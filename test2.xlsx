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2.xml" ContentType="application/vnd.openxmlformats-officedocument.spreadsheetml.worksheet+xml"/>
  <Override PartName="/xl/worksheets/sheet30.xml" ContentType="application/vnd.openxmlformats-officedocument.spreadsheetml.worksheet+xml"/>
  <Override PartName="/xl/worksheets/sheet1.xml" ContentType="application/vnd.openxmlformats-officedocument.spreadsheetml.worksheet+xml"/>
  <Override PartName="/xl/worksheets/sheet13.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worksheets/sheet27.xml" ContentType="application/vnd.openxmlformats-officedocument.spreadsheetml.worksheet+xml"/>
  <Override PartName="/xl/worksheets/sheet33.xml" ContentType="application/vnd.openxmlformats-officedocument.spreadsheetml.worksheet+xml"/>
  <Override PartName="/xl/worksheets/sheet29.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activeTab="3"/>
  </bookViews>
  <sheets>
    <sheet sheetId="32" name="Instructions" state="visible" r:id="rId4"/>
    <sheet sheetId="30" name="Descriptors Guide" state="visible" r:id="rId5"/>
    <sheet sheetId="1" name="Data Input" state="visible" r:id="rId6"/>
    <sheet sheetId="13" name="Term 1" state="visible" r:id="rId7"/>
    <sheet sheetId="16" name="Term 2" state="visible" r:id="rId8"/>
    <sheet sheetId="17" name="Term 3" state="visible" r:id="rId9"/>
    <sheet sheetId="19" name="Grading Summary" state="visible" r:id="rId10"/>
    <sheet sheetId="28" name="List of School" state="hidden" r:id="rId11"/>
    <sheet sheetId="25" name="Attendance" state="visible" r:id="rId12"/>
    <sheet sheetId="23" name="IAR" state="visible" r:id="rId13"/>
    <sheet sheetId="27" name="LFS" state="visible" r:id="rId14"/>
    <sheet sheetId="33" name="Intervention" state="visible" r:id="rId15"/>
    <sheet sheetId="29" name="Helper 2" state="hidden" r:id="rId16"/>
    <sheet sheetId="6" name="Helper 1" state="hidden" r:id="rId17"/>
  </sheets>
  <definedNames>
    <definedName name="SUBJECTS">'[1]INPUT DATA'!$A$1002:$A$1005</definedName>
    <definedName name="_xlnm.Print_Area" localSheetId="3">'Term 1'!$A1:$BH69</definedName>
    <definedName name="_xlnm.Print_Area" localSheetId="6">'Grading Summary'!$A1:$J69</definedName>
    <definedName name="_xlnm.Print_Area" localSheetId="10">'LFS'!$B2:$K66</definedName>
  </definedNames>
  <calcPr calcId="171027"/>
</workbook>
</file>

<file path=xl/sharedStrings.xml><?xml version="1.0" encoding="utf-8"?>
<sst xmlns="http://schemas.openxmlformats.org/spreadsheetml/2006/main" count="644" uniqueCount="341">
  <si>
    <r>
      <t>High School Class Record Template Instructions</t>
    </r>
    <r>
      <rPr>
        <color theme="1"/>
        <family val="2"/>
        <sz val="18"/>
        <rFont val="Calibri"/>
      </rPr>
      <t xml:space="preserve"> </t>
    </r>
  </si>
  <si>
    <t>Data Input Tab</t>
  </si>
  <si>
    <r>
      <rPr>
        <b/>
        <color theme="1"/>
        <family val="2"/>
        <sz val="11"/>
        <rFont val="Calibri"/>
      </rPr>
      <t>1.</t>
    </r>
    <r>
      <rPr>
        <color theme="1"/>
        <family val="2"/>
        <sz val="11"/>
        <rFont val="Calibri"/>
      </rPr>
      <t xml:space="preserve"> This tab contains three sections: Class Information, Subject Components, and Learner Information.</t>
    </r>
  </si>
  <si>
    <r>
      <rPr>
        <b/>
        <color theme="1"/>
        <family val="2"/>
        <sz val="11"/>
        <rFont val="Calibri"/>
      </rPr>
      <t>2.</t>
    </r>
    <r>
      <rPr>
        <color theme="1"/>
        <family val="2"/>
        <sz val="11"/>
        <rFont val="Calibri"/>
      </rPr>
      <t xml:space="preserve"> Complete the Class Information section and encode the corresponding weights for each assessment component under Subject Components.</t>
    </r>
  </si>
  <si>
    <r>
      <rPr>
        <b/>
        <color theme="1"/>
        <family val="2"/>
        <sz val="11"/>
        <rFont val="Calibri"/>
      </rPr>
      <t>3.</t>
    </r>
    <r>
      <rPr>
        <color theme="1"/>
        <family val="2"/>
        <sz val="11"/>
        <rFont val="Calibri"/>
      </rPr>
      <t xml:space="preserve"> Enter the learners' details in the Learner Information section.</t>
    </r>
  </si>
  <si>
    <t xml:space="preserve">Assessment Input Tabs (Term 1, Term 2, and Term 3 Sheets) </t>
  </si>
  <si>
    <r>
      <rPr>
        <b/>
        <color theme="1"/>
        <family val="2"/>
        <sz val="11"/>
        <rFont val="Calibri"/>
      </rPr>
      <t>1.</t>
    </r>
    <r>
      <rPr>
        <color theme="1"/>
        <family val="2"/>
        <sz val="11"/>
        <rFont val="Calibri"/>
      </rPr>
      <t xml:space="preserve"> These tabs are used to enter assessment scores for the applicable term(s). Depending on the subject offering, they may be used for Term 1 only, Terms 1 and 2, Term 3 only, or all three terms.</t>
    </r>
  </si>
  <si>
    <r>
      <rPr>
        <b/>
        <color theme="1"/>
        <family val="2"/>
        <sz val="11"/>
        <rFont val="Calibri"/>
      </rPr>
      <t>2.</t>
    </r>
    <r>
      <rPr>
        <color theme="1"/>
        <family val="2"/>
        <sz val="11"/>
        <rFont val="Calibri"/>
      </rPr>
      <t xml:space="preserve"> To enter scores for Written/Oral Works, Product/Performance Tasks, and Examinations, refer to the labels in the image below.</t>
    </r>
  </si>
  <si>
    <t>STUDENT NAME</t>
  </si>
  <si>
    <t>A</t>
  </si>
  <si>
    <t>B</t>
  </si>
  <si>
    <t>REC1</t>
  </si>
  <si>
    <t>A1</t>
  </si>
  <si>
    <t>Q1</t>
  </si>
  <si>
    <t>C</t>
  </si>
  <si>
    <t>Santos, John Michael Reyes</t>
  </si>
  <si>
    <t>Cruz, Maria Angela Dela Peña</t>
  </si>
  <si>
    <t>Reyes, Joshua Miguel Ramos</t>
  </si>
  <si>
    <t>Garcia, Nicole Anne Villanueva</t>
  </si>
  <si>
    <r>
      <rPr>
        <b/>
        <color theme="1"/>
        <family val="2"/>
        <sz val="11"/>
        <rFont val="Calibri"/>
      </rPr>
      <t xml:space="preserve">A. </t>
    </r>
    <r>
      <rPr>
        <color theme="1"/>
        <family val="2"/>
        <sz val="11"/>
        <rFont val="Calibri"/>
      </rPr>
      <t>Input the Highest Possible Score (HPS).</t>
    </r>
  </si>
  <si>
    <r>
      <rPr>
        <b/>
        <color theme="1"/>
        <family val="2"/>
        <sz val="11"/>
        <rFont val="Calibri"/>
      </rPr>
      <t>B.</t>
    </r>
    <r>
      <rPr>
        <color theme="1"/>
        <family val="2"/>
        <sz val="11"/>
        <rFont val="Calibri"/>
      </rPr>
      <t xml:space="preserve"> Input the date.</t>
    </r>
  </si>
  <si>
    <r>
      <rPr>
        <b/>
        <color theme="1"/>
        <family val="2"/>
        <sz val="11"/>
        <rFont val="Calibri"/>
      </rPr>
      <t>C.</t>
    </r>
    <r>
      <rPr>
        <color theme="1"/>
        <family val="2"/>
        <sz val="11"/>
        <rFont val="Calibri"/>
      </rPr>
      <t xml:space="preserve"> Personal Remarks – Any remarks may be entered here. Sample tags include:</t>
    </r>
  </si>
  <si>
    <r>
      <t xml:space="preserve">• </t>
    </r>
    <r>
      <rPr>
        <b/>
        <family val="2"/>
        <sz val="11"/>
        <rFont val="Calibri"/>
      </rPr>
      <t>A1</t>
    </r>
    <r>
      <rPr>
        <family val="2"/>
        <sz val="11"/>
        <rFont val="Calibri"/>
      </rPr>
      <t xml:space="preserve"> – Activity 1 </t>
    </r>
  </si>
  <si>
    <r>
      <t>•</t>
    </r>
    <r>
      <rPr>
        <b/>
        <family val="2"/>
        <sz val="11"/>
        <rFont val="Calibri"/>
      </rPr>
      <t xml:space="preserve"> REC1</t>
    </r>
    <r>
      <rPr>
        <family val="2"/>
        <sz val="11"/>
        <rFont val="Calibri"/>
      </rPr>
      <t xml:space="preserve"> – Recitation 1 </t>
    </r>
  </si>
  <si>
    <r>
      <t xml:space="preserve">• </t>
    </r>
    <r>
      <rPr>
        <b/>
        <family val="2"/>
        <sz val="11"/>
        <rFont val="Calibri"/>
      </rPr>
      <t>Q1</t>
    </r>
    <r>
      <rPr>
        <family val="2"/>
        <sz val="11"/>
        <rFont val="Calibri"/>
      </rPr>
      <t xml:space="preserve"> – Quiz 1 </t>
    </r>
  </si>
  <si>
    <r>
      <t xml:space="preserve">• </t>
    </r>
    <r>
      <rPr>
        <b/>
        <family val="2"/>
        <sz val="11"/>
        <rFont val="Calibri"/>
      </rPr>
      <t xml:space="preserve">1L1 </t>
    </r>
    <r>
      <rPr>
        <family val="2"/>
        <sz val="11"/>
        <rFont val="Calibri"/>
      </rPr>
      <t xml:space="preserve">– 01 LMS Activity 1 </t>
    </r>
  </si>
  <si>
    <t>Other tags may be used as needed.</t>
  </si>
  <si>
    <r>
      <rPr>
        <b/>
        <color theme="1"/>
        <family val="2"/>
        <sz val="11"/>
        <rFont val="Calibri"/>
      </rPr>
      <t>3.</t>
    </r>
    <r>
      <rPr>
        <color theme="1"/>
        <family val="2"/>
        <sz val="11"/>
        <rFont val="Calibri"/>
      </rPr>
      <t xml:space="preserve"> If an entered score exceeds the highest possible score, an error message will appear, as shown in the image below. Correct the score to ensure the accurate computation of grades for the corresponding assessment component.  </t>
    </r>
  </si>
  <si>
    <t>WRITTEN/ORAL WORKS</t>
  </si>
  <si>
    <t>Total</t>
  </si>
  <si>
    <t>PS</t>
  </si>
  <si>
    <t>WS</t>
  </si>
  <si>
    <t>Error</t>
  </si>
  <si>
    <t/>
  </si>
  <si>
    <r>
      <rPr>
        <b/>
        <color theme="1"/>
        <family val="2"/>
        <sz val="11"/>
        <rFont val="Calibri"/>
      </rPr>
      <t>4.</t>
    </r>
    <r>
      <rPr>
        <color theme="1"/>
        <family val="2"/>
        <sz val="11"/>
        <rFont val="Calibri"/>
      </rPr>
      <t xml:space="preserve"> The Status column beside the transmuted grade indicates whether the learner is At-Risk, Passed, or Failed, together with the corresponding qualitative descriptor [</t>
    </r>
    <r>
      <rPr>
        <b/>
        <color theme="1"/>
        <family val="2"/>
        <sz val="11"/>
        <rFont val="Calibri"/>
      </rPr>
      <t>A</t>
    </r>
    <r>
      <rPr>
        <color theme="1"/>
        <family val="2"/>
        <sz val="11"/>
        <rFont val="Calibri"/>
      </rPr>
      <t>,</t>
    </r>
    <r>
      <rPr>
        <b/>
        <color theme="1"/>
        <family val="2"/>
        <sz val="11"/>
        <rFont val="Calibri"/>
      </rPr>
      <t xml:space="preserve"> B</t>
    </r>
    <r>
      <rPr>
        <color theme="1"/>
        <family val="2"/>
        <sz val="11"/>
        <rFont val="Calibri"/>
      </rPr>
      <t xml:space="preserve">, </t>
    </r>
    <r>
      <rPr>
        <b/>
        <color theme="1"/>
        <family val="2"/>
        <sz val="11"/>
        <rFont val="Calibri"/>
      </rPr>
      <t>C</t>
    </r>
    <r>
      <rPr>
        <color theme="1"/>
        <family val="2"/>
        <sz val="11"/>
        <rFont val="Calibri"/>
      </rPr>
      <t xml:space="preserve">, </t>
    </r>
    <r>
      <rPr>
        <b/>
        <color theme="1"/>
        <family val="2"/>
        <sz val="11"/>
        <rFont val="Calibri"/>
      </rPr>
      <t>D</t>
    </r>
    <r>
      <rPr>
        <color theme="1"/>
        <family val="2"/>
        <sz val="11"/>
        <rFont val="Calibri"/>
      </rPr>
      <t xml:space="preserve">, or </t>
    </r>
    <r>
      <rPr>
        <b/>
        <color theme="1"/>
        <family val="2"/>
        <sz val="11"/>
        <rFont val="Calibri"/>
      </rPr>
      <t>E</t>
    </r>
    <r>
      <rPr>
        <color theme="1"/>
        <family val="2"/>
        <sz val="11"/>
        <rFont val="Calibri"/>
      </rPr>
      <t>].</t>
    </r>
  </si>
  <si>
    <t xml:space="preserve">Initial
Grade</t>
  </si>
  <si>
    <t xml:space="preserve">Trasmuted
Grade</t>
  </si>
  <si>
    <t xml:space="preserve">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</si>
  <si>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</si>
  <si>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</si>
  <si>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</si>
  <si>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</si>
  <si>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</si>
  <si>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</si>
  <si>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</si>
  <si>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rPr>
        <b/>
        <color theme="1"/>
        <family val="2"/>
        <sz val="11"/>
        <rFont val="Calibri"/>
      </rPr>
      <t>5.</t>
    </r>
    <r>
      <rPr>
        <color theme="1"/>
        <family val="2"/>
        <sz val="11"/>
        <rFont val="Calibri"/>
      </rPr>
      <t xml:space="preserve"> Learners are tagged as “At-Risk” or “Failed” according to the following stages:</t>
    </r>
  </si>
  <si>
    <r>
      <rPr>
        <b/>
        <color theme="1"/>
        <family val="2"/>
        <sz val="11"/>
        <rFont val="Calibri"/>
      </rPr>
      <t>Stage 1: On or Before ST1</t>
    </r>
    <r>
      <rPr>
        <color theme="1"/>
        <family val="2"/>
        <sz val="11"/>
        <rFont val="Calibri"/>
      </rPr>
      <t xml:space="preserve">
Learners whose overall performance in graded assessments is below 70% will be tagged as “At-Risk.”</t>
    </r>
  </si>
  <si>
    <r>
      <rPr>
        <b/>
        <color theme="1"/>
        <family val="2"/>
        <sz val="11"/>
        <rFont val="Calibri"/>
      </rPr>
      <t>Stage 2: After ST2</t>
    </r>
    <r>
      <rPr>
        <color theme="1"/>
        <family val="2"/>
        <sz val="11"/>
        <rFont val="Calibri"/>
      </rPr>
      <t xml:space="preserve">
Learners whose transmuted grade is below 75 will be tagged as “At-Risk.”</t>
    </r>
  </si>
  <si>
    <r>
      <rPr>
        <b/>
        <color theme="1"/>
        <family val="2"/>
        <sz val="11"/>
        <rFont val="Calibri"/>
      </rPr>
      <t>Stage 3: After the Term Exam</t>
    </r>
    <r>
      <rPr>
        <color theme="1"/>
        <family val="2"/>
        <sz val="11"/>
        <rFont val="Calibri"/>
      </rPr>
      <t xml:space="preserve">
Learners whose transmuted grade is below 75 will be tagged as “Failed.” A Removal Exam will be 
administered to learners who receive a failing grade. Learners who pass the Removal Exam will be 
given a final grade of 75.</t>
    </r>
  </si>
  <si>
    <r>
      <t xml:space="preserve">For proper At-Risk tagging, please make sure that </t>
    </r>
    <r>
      <rPr>
        <b/>
        <color theme="1"/>
        <family val="2"/>
        <sz val="11"/>
        <rFont val="Calibri"/>
      </rPr>
      <t>no cell is left blank when encoding a graded assessment</t>
    </r>
    <r>
      <rPr>
        <color theme="1"/>
        <family val="2"/>
        <sz val="11"/>
        <rFont val="Calibri"/>
      </rPr>
      <t>. Enter zero (0) for learners who did not complete or receive an assessment. Blank cells will be highlighted in gray, as shown below.</t>
    </r>
  </si>
  <si>
    <t>Q2</t>
  </si>
  <si>
    <t>Q3</t>
  </si>
  <si>
    <t>Q4</t>
  </si>
  <si>
    <t>Q5</t>
  </si>
  <si>
    <t xml:space="preserve"> Abad, Juan Miguel Santos</t>
  </si>
  <si>
    <t xml:space="preserve"> Agbayani, Maria Cristina Reyes</t>
  </si>
  <si>
    <t xml:space="preserve"> Aguilar, Paolo Andres Cruz</t>
  </si>
  <si>
    <t xml:space="preserve"> Alonzo, Sofia Beatriz Garcia</t>
  </si>
  <si>
    <t xml:space="preserve"> Aquino, Daniel Joseph Ramos</t>
  </si>
  <si>
    <t>Teachers are encouraged to provide timely interventions for at-risk learners throughout the grading period to help improve their academic performance.</t>
  </si>
  <si>
    <t xml:space="preserve">PRODUCT/
PERFORMANCE TASKS</t>
  </si>
  <si>
    <t xml:space="preserve">Transmuted
Grade</t>
  </si>
  <si>
    <t>Status &amp; Description</t>
  </si>
  <si>
    <t>Intervention Tab</t>
  </si>
  <si>
    <r>
      <rPr>
        <b/>
        <color theme="1"/>
        <family val="2"/>
        <sz val="11"/>
        <rFont val="Calibri"/>
      </rPr>
      <t>1.</t>
    </r>
    <r>
      <rPr>
        <color theme="1"/>
        <family val="2"/>
        <sz val="11"/>
        <rFont val="Calibri"/>
      </rPr>
      <t xml:space="preserve"> This tab shows where interventions can be recorded. It consistently displays the status of each learner per term, particularly those tagged as “At-Risk” in the Assessment Input Tabs.</t>
    </r>
  </si>
  <si>
    <r>
      <rPr>
        <b/>
        <color theme="1"/>
        <family val="2"/>
        <sz val="11"/>
        <rFont val="Calibri"/>
      </rPr>
      <t>2.</t>
    </r>
    <r>
      <rPr>
        <color theme="1"/>
        <family val="2"/>
        <sz val="11"/>
        <rFont val="Calibri"/>
      </rPr>
      <t xml:space="preserve"> To record an intervention assessment for a written work or performance task, encode the highest possible score in Row 4, then enter the learner's corresponding score.</t>
    </r>
  </si>
  <si>
    <t xml:space="preserve">Grading Summary Tab </t>
  </si>
  <si>
    <r>
      <rPr>
        <b/>
        <color theme="1"/>
        <family val="2"/>
        <sz val="11"/>
        <rFont val="Calibri"/>
      </rPr>
      <t>1.</t>
    </r>
    <r>
      <rPr>
        <color theme="1"/>
        <family val="2"/>
        <sz val="11"/>
        <rFont val="Calibri"/>
      </rPr>
      <t xml:space="preserve"> This tab displays the computed grades for each applicable term, the Final Grade, and the corresponding learner status.</t>
    </r>
  </si>
  <si>
    <r>
      <rPr>
        <b/>
        <color theme="1"/>
        <family val="2"/>
        <sz val="11"/>
        <rFont val="Calibri"/>
      </rPr>
      <t>2.</t>
    </r>
    <r>
      <rPr>
        <color theme="1"/>
        <family val="2"/>
        <sz val="11"/>
        <rFont val="Calibri"/>
      </rPr>
      <t xml:space="preserve"> To ensure the Final Grade is computed correctly, enter grades only for the applicable term(s). For example, if a subject is offered only in Term 1, leave Term 2 and Term 3 sheets blank. This ensures the Final Grade is calculated accurately.</t>
    </r>
  </si>
  <si>
    <r>
      <rPr>
        <b/>
        <color theme="1"/>
        <family val="2"/>
        <sz val="11"/>
        <rFont val="Calibri"/>
      </rPr>
      <t>3.</t>
    </r>
    <r>
      <rPr>
        <color theme="1"/>
        <family val="2"/>
        <sz val="11"/>
        <rFont val="Calibri"/>
      </rPr>
      <t xml:space="preserve"> Similar to the Assessment Input Tabs, the Status column displays the learner's pass/fail result and corresponding qualitative descriptor.</t>
    </r>
  </si>
  <si>
    <t>TERM 1</t>
  </si>
  <si>
    <t>TERM 2</t>
  </si>
  <si>
    <t>TERM 3</t>
  </si>
  <si>
    <t>FINAL GRADE</t>
  </si>
  <si>
    <t>REMARK &amp; DESCRIPTOR</t>
  </si>
  <si>
    <t>Passed [Advancing]</t>
  </si>
  <si>
    <t>Passed [Benchmarking]</t>
  </si>
  <si>
    <t>Passed [Connecting]</t>
  </si>
  <si>
    <t>Failed [Developing]</t>
  </si>
  <si>
    <t>Failed [Emerging]</t>
  </si>
  <si>
    <r>
      <rPr>
        <b/>
        <color theme="1"/>
        <family val="2"/>
        <sz val="11"/>
        <rFont val="Calibri"/>
      </rPr>
      <t>4.</t>
    </r>
    <r>
      <rPr>
        <color theme="1"/>
        <family val="2"/>
        <sz val="11"/>
        <rFont val="Calibri"/>
      </rPr>
      <t xml:space="preserve"> This tab can be printed if needed. Before printing, verify that all grades have been entered correctly.</t>
    </r>
  </si>
  <si>
    <t>Individual Assessment Record Tab</t>
  </si>
  <si>
    <r>
      <rPr>
        <b/>
        <color theme="1"/>
        <family val="2"/>
        <sz val="11"/>
        <rFont val="Calibri"/>
      </rPr>
      <t>1.</t>
    </r>
    <r>
      <rPr>
        <color theme="1"/>
        <family val="2"/>
        <sz val="11"/>
        <rFont val="Calibri"/>
      </rPr>
      <t xml:space="preserve"> To assist teachers during grade consultations, the Individual Assessment Record (</t>
    </r>
    <r>
      <rPr>
        <b/>
        <color theme="1"/>
        <family val="2"/>
        <sz val="11"/>
        <rFont val="Calibri"/>
      </rPr>
      <t>IAR</t>
    </r>
    <r>
      <rPr>
        <color theme="1"/>
        <family val="2"/>
        <sz val="11"/>
        <rFont val="Calibri"/>
      </rPr>
      <t>) tab is provided. It displays a learner's performance for each term, including the final subject grade and attendance summary.</t>
    </r>
  </si>
  <si>
    <r>
      <rPr>
        <b/>
        <color theme="1"/>
        <family val="2"/>
        <sz val="11"/>
        <rFont val="Calibri"/>
      </rPr>
      <t>2.</t>
    </r>
    <r>
      <rPr>
        <color theme="1"/>
        <family val="2"/>
        <sz val="11"/>
        <rFont val="Calibri"/>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</si>
  <si>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</si>
  <si>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</si>
  <si>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</si>
  <si>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</si>
  <si>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</si>
  <si>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color theme="1"/>
        <family val="2"/>
        <sz val="11"/>
        <rFont val="Calibri"/>
      </rPr>
      <t>3.</t>
    </r>
    <r>
      <rPr>
        <color theme="1"/>
        <family val="2"/>
        <sz val="11"/>
        <rFont val="Calibri"/>
      </rPr>
      <t xml:space="preserve"> This tab can also be printed if needed.</t>
    </r>
  </si>
  <si>
    <r>
      <t>Attendance Tab</t>
    </r>
    <r>
      <rPr>
        <color theme="0"/>
        <family val="2"/>
        <sz val="12"/>
        <rFont val="Calibri"/>
      </rPr>
      <t xml:space="preserve"> </t>
    </r>
  </si>
  <si>
    <r>
      <rPr>
        <b/>
        <color theme="1"/>
        <family val="2"/>
        <sz val="11"/>
        <rFont val="Calibri"/>
      </rPr>
      <t>1.</t>
    </r>
    <r>
      <rPr>
        <color theme="1"/>
        <family val="2"/>
        <sz val="11"/>
        <rFont val="Calibri"/>
      </rPr>
      <t xml:space="preserve"> This tab is used to record learner attendance. Dropdown menus are provided in the designated cells to help teachers select the appropriate attendance status.</t>
    </r>
  </si>
  <si>
    <r>
      <rPr>
        <b/>
        <color theme="1"/>
        <family val="2"/>
        <sz val="11"/>
        <rFont val="Calibri"/>
      </rPr>
      <t>2.</t>
    </r>
    <r>
      <rPr>
        <color theme="1"/>
        <family val="2"/>
        <sz val="11"/>
        <rFont val="Calibri"/>
      </rPr>
      <t xml:space="preserve"> To record attendance, enter the date in the row highlighted in yellow. Sample attendance entries are shown below.</t>
    </r>
  </si>
  <si>
    <t>Tue</t>
  </si>
  <si>
    <t>Fri</t>
  </si>
  <si>
    <t>Sat</t>
  </si>
  <si>
    <t>Sun</t>
  </si>
  <si>
    <t>Mon</t>
  </si>
  <si>
    <t>Wed</t>
  </si>
  <si>
    <t>Thu</t>
  </si>
  <si>
    <t>P</t>
  </si>
  <si>
    <t>L</t>
  </si>
  <si>
    <t>E</t>
  </si>
  <si>
    <r>
      <rPr>
        <b/>
        <color theme="1"/>
        <family val="2"/>
        <sz val="11"/>
        <rFont val="Calibri"/>
      </rPr>
      <t>3.</t>
    </r>
    <r>
      <rPr>
        <color theme="1"/>
        <family val="2"/>
        <sz val="11"/>
        <rFont val="Calibri"/>
      </rPr>
      <t xml:space="preserve"> The attendance tags are defined as follows.</t>
    </r>
  </si>
  <si>
    <t>Tagging</t>
  </si>
  <si>
    <t>Attendance Status</t>
  </si>
  <si>
    <t>Present</t>
  </si>
  <si>
    <t>Absent</t>
  </si>
  <si>
    <t>Late</t>
  </si>
  <si>
    <t>Excused</t>
  </si>
  <si>
    <t>D</t>
  </si>
  <si>
    <t>Dropped</t>
  </si>
  <si>
    <r>
      <rPr>
        <b/>
        <color theme="1"/>
        <family val="2"/>
        <sz val="11"/>
        <rFont val="Calibri"/>
      </rPr>
      <t>4.</t>
    </r>
    <r>
      <rPr>
        <color theme="1"/>
        <family val="2"/>
        <sz val="11"/>
        <rFont val="Calibri"/>
      </rPr>
      <t xml:space="preserve"> If a learner officially drops the class, enter "</t>
    </r>
    <r>
      <rPr>
        <b/>
        <color theme="1"/>
        <family val="2"/>
        <sz val="11"/>
        <rFont val="Calibri"/>
      </rPr>
      <t>D</t>
    </r>
    <r>
      <rPr>
        <color theme="1"/>
        <family val="2"/>
        <sz val="11"/>
        <rFont val="Calibri"/>
      </rPr>
      <t>" in the Status column. Only learners whose withdrawal has been officially confirmed by the school registrar should be assigned this status.</t>
    </r>
  </si>
  <si>
    <t>List of Failed Students Tab</t>
  </si>
  <si>
    <r>
      <rPr>
        <b/>
        <color theme="1"/>
        <family val="2"/>
        <sz val="11"/>
        <rFont val="Calibri"/>
      </rPr>
      <t>1.</t>
    </r>
    <r>
      <rPr>
        <color theme="1"/>
        <family val="2"/>
        <sz val="11"/>
        <rFont val="Calibri"/>
      </rPr>
      <t xml:space="preserve"> At the end of each term, the List of Failed Students (LFS) tab automatically displays learners who failed the subject, together with relevant information, including their final grades, for easier monitoring and tracking.</t>
    </r>
  </si>
  <si>
    <r>
      <rPr>
        <b/>
        <color theme="1"/>
        <family val="2"/>
        <sz val="11"/>
        <rFont val="Calibri"/>
      </rPr>
      <t>2.</t>
    </r>
    <r>
      <rPr>
        <color theme="1"/>
        <family val="2"/>
        <sz val="11"/>
        <rFont val="Calibri"/>
      </rPr>
      <t xml:space="preserve"> Teachers may record interventions provided to a learner in Column I. Please ensure that grades have already been finalized before entering any data in this column to avoid changes to the learner list.</t>
    </r>
  </si>
  <si>
    <r>
      <rPr>
        <b/>
        <color theme="1"/>
        <family val="2"/>
        <sz val="11"/>
        <rFont val="Calibri"/>
      </rPr>
      <t>3.</t>
    </r>
    <r>
      <rPr>
        <color theme="1"/>
        <family val="2"/>
        <sz val="11"/>
        <rFont val="Calibri"/>
      </rPr>
      <t xml:space="preserve"> This tab can also be printed directly when a hard copy is required.</t>
    </r>
  </si>
  <si>
    <t>Qualitative Descriptors</t>
  </si>
  <si>
    <t>Numerical Grade</t>
  </si>
  <si>
    <t>Descriptor</t>
  </si>
  <si>
    <t>General Description</t>
  </si>
  <si>
    <t>Instructional Response</t>
  </si>
  <si>
    <t>90 - 100</t>
  </si>
  <si>
    <r>
      <rPr>
        <b/>
        <color theme="1"/>
        <family val="2"/>
        <sz val="11"/>
        <rFont val="Calibri"/>
      </rPr>
      <t>Advancing [A]</t>
    </r>
    <r>
      <rPr>
        <color theme="1"/>
        <family val="2"/>
        <sz val="11"/>
        <rFont val="Calibri"/>
      </rPr>
      <t xml:space="preserve">
</t>
    </r>
    <r>
      <rPr>
        <i/>
        <color theme="1"/>
        <family val="2"/>
        <sz val="11"/>
        <rFont val="Calibri"/>
      </rPr>
      <t>(Namumukod-tangi)</t>
    </r>
  </si>
  <si>
    <t>Consistently demonstrates skills and understanding that meet or exceed standards with independence, flexibility, and depth.</t>
  </si>
  <si>
    <t>Provide enrichment opportunities; encourage leadership, transfer, or peer mentoring.</t>
  </si>
  <si>
    <t>80 - 89</t>
  </si>
  <si>
    <r>
      <rPr>
        <b/>
        <color theme="1"/>
        <family val="2"/>
        <sz val="11"/>
        <rFont val="Calibri"/>
      </rPr>
      <t>Benchmarking [B]</t>
    </r>
    <r>
      <rPr>
        <color theme="1"/>
        <family val="2"/>
        <sz val="11"/>
        <rFont val="Calibri"/>
      </rPr>
      <t xml:space="preserve">
</t>
    </r>
    <r>
      <rPr>
        <i/>
        <color theme="1"/>
        <family val="2"/>
        <sz val="11"/>
        <rFont val="Calibri"/>
      </rPr>
      <t>(Napamamalas)</t>
    </r>
  </si>
  <si>
    <t>Demonstrates expected grade-level skills and understanding competently and idependently.</t>
  </si>
  <si>
    <t>Encourage deeper application, transfer of learning, and increased independence.</t>
  </si>
  <si>
    <t>75 - 79</t>
  </si>
  <si>
    <r>
      <rPr>
        <b/>
        <color theme="1"/>
        <family val="2"/>
        <sz val="11"/>
        <rFont val="Calibri"/>
      </rPr>
      <t>Connecting [C]</t>
    </r>
    <r>
      <rPr>
        <color theme="1"/>
        <family val="2"/>
        <sz val="11"/>
        <rFont val="Calibri"/>
      </rPr>
      <t xml:space="preserve">
</t>
    </r>
    <r>
      <rPr>
        <i/>
        <color theme="1"/>
        <family val="2"/>
        <sz val="11"/>
        <rFont val="Calibri"/>
      </rPr>
      <t>(Natutungo)</t>
    </r>
  </si>
  <si>
    <t>Demonstrates sufficient understanding and application of grade-level standards with occasional guidance and support.</t>
  </si>
  <si>
    <t>Provide guided practice to strengthen consistency, accuracy, and confidence.</t>
  </si>
  <si>
    <t>65 - 74</t>
  </si>
  <si>
    <r>
      <rPr>
        <b/>
        <color theme="1"/>
        <family val="2"/>
        <sz val="11"/>
        <rFont val="Calibri"/>
      </rPr>
      <t>Developing [D]</t>
    </r>
    <r>
      <rPr>
        <color theme="1"/>
        <family val="2"/>
        <sz val="11"/>
        <rFont val="Calibri"/>
      </rPr>
      <t xml:space="preserve">
</t>
    </r>
    <r>
      <rPr>
        <i/>
        <color theme="1"/>
        <family val="2"/>
        <sz val="11"/>
        <rFont val="Calibri"/>
      </rPr>
      <t>(Napauunlad)</t>
    </r>
  </si>
  <si>
    <t>Demonstrates partial understanding and inconsistent application of skills, requires targeted support and scaffolding.</t>
  </si>
  <si>
    <t>Provide targeted remediation, scaffolded instruction, and additional opportunities for practice.</t>
  </si>
  <si>
    <t>0 - 64</t>
  </si>
  <si>
    <r>
      <rPr>
        <b/>
        <color theme="1"/>
        <family val="2"/>
        <sz val="11"/>
        <rFont val="Calibri"/>
      </rPr>
      <t>Emerging [E]</t>
    </r>
    <r>
      <rPr>
        <color theme="1"/>
        <family val="2"/>
        <sz val="11"/>
        <rFont val="Calibri"/>
      </rPr>
      <t xml:space="preserve">
</t>
    </r>
    <r>
      <rPr>
        <i/>
        <color theme="1"/>
        <family val="2"/>
        <sz val="11"/>
        <rFont val="Calibri"/>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</si>
  <si>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</si>
  <si>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</si>
  <si>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</si>
  <si>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</si>
  <si>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</si>
  <si>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</si>
  <si>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</si>
  <si>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Naga</t>
  </si>
  <si>
    <t>STUDENT NO.</t>
  </si>
  <si>
    <t>Department</t>
  </si>
  <si>
    <t>Senior High School (SHS)</t>
  </si>
  <si>
    <t>ABENDANTE, CARL YUAN</t>
  </si>
  <si>
    <t>School Year</t>
  </si>
  <si>
    <t>2026 - 2027</t>
  </si>
  <si>
    <t>ACALA, AJI RHEYACELLE</t>
  </si>
  <si>
    <t>BAER, SHANIA PEARL</t>
  </si>
  <si>
    <t>Instructor</t>
  </si>
  <si>
    <t>John Marq E. Ramos</t>
  </si>
  <si>
    <t>BAGAPORO, RYEANNA MHERYL</t>
  </si>
  <si>
    <t>Grade Level</t>
  </si>
  <si>
    <t>BELARMINO, EASEAN</t>
  </si>
  <si>
    <t>Subject</t>
  </si>
  <si>
    <t>General Mathematics</t>
  </si>
  <si>
    <t>BORJA, GREEDY</t>
  </si>
  <si>
    <t>CABALQUINTO, JUVY</t>
  </si>
  <si>
    <t>Code</t>
  </si>
  <si>
    <t>CONLU, MARC JEFFREY</t>
  </si>
  <si>
    <t>DE LUNA, FELICITY RYNE</t>
  </si>
  <si>
    <t>Section</t>
  </si>
  <si>
    <t>BE/ICT</t>
  </si>
  <si>
    <t>DELOS REYES, GAVIN ZUE</t>
  </si>
  <si>
    <t>Room</t>
  </si>
  <si>
    <t>DIANELA, MARY DIANE</t>
  </si>
  <si>
    <t>Schedule (Day)</t>
  </si>
  <si>
    <t>Mon &amp; Fri</t>
  </si>
  <si>
    <t>DIKIT, JON JUIN</t>
  </si>
  <si>
    <t>Time</t>
  </si>
  <si>
    <t>09:00 to 10:30 AM</t>
  </si>
  <si>
    <t>ESTOR, PHOEB REMEDIOS</t>
  </si>
  <si>
    <t>ESTORIA, JOHN KYLE TIMOTHY</t>
  </si>
  <si>
    <t>GARCIA, ARIORIE VEN AMHER</t>
  </si>
  <si>
    <t>SUBJECT COMPONENTS</t>
  </si>
  <si>
    <t>GAVINO, REISHA LORRIANE</t>
  </si>
  <si>
    <t>JACOBO, EZRA</t>
  </si>
  <si>
    <t>JANI, JOSEPH LOUIE</t>
  </si>
  <si>
    <t>Written/Oral Works</t>
  </si>
  <si>
    <t>LEDESMA, CARL AUSTIN</t>
  </si>
  <si>
    <t>Product/Performance Tasks</t>
  </si>
  <si>
    <t>LLAMADO, JOHN JEROME</t>
  </si>
  <si>
    <t>Term Examination</t>
  </si>
  <si>
    <t>MAQUITE, JOHN MICHAEL</t>
  </si>
  <si>
    <t>MELGAR, NIZA JADE</t>
  </si>
  <si>
    <t>MORADA, CARL ELY</t>
  </si>
  <si>
    <t>OLORES, FRECIOUS NATALIE</t>
  </si>
  <si>
    <t>ORTINERO, CHRISTEL ACE</t>
  </si>
  <si>
    <t>PASCUA, JHON GAVRIEL</t>
  </si>
  <si>
    <t>PASTOR, JAYDHEN</t>
  </si>
  <si>
    <t>PLACENTE, RHIAN</t>
  </si>
  <si>
    <t xml:space="preserve"> </t>
  </si>
  <si>
    <t>REMOVAL EXAM</t>
  </si>
  <si>
    <t>SUMMARY</t>
  </si>
  <si>
    <t>Grade Level and Section</t>
  </si>
  <si>
    <t>PRODUCT/PERFORMANCE TASKS</t>
  </si>
  <si>
    <t>EXAMINATION</t>
  </si>
  <si>
    <t>ST1</t>
  </si>
  <si>
    <t>ST2</t>
  </si>
  <si>
    <t>TE</t>
  </si>
  <si>
    <r>
      <t xml:space="preserve">WS
</t>
    </r>
    <r>
      <rPr>
        <b/>
        <color theme="1"/>
        <family val="2"/>
        <sz val="12"/>
        <rFont val="Calibri"/>
      </rPr>
      <t>ST1</t>
    </r>
  </si>
  <si>
    <r>
      <t xml:space="preserve">WS
</t>
    </r>
    <r>
      <rPr>
        <b/>
        <color theme="1"/>
        <family val="2"/>
        <sz val="12"/>
        <rFont val="Calibri"/>
      </rPr>
      <t>ST2</t>
    </r>
  </si>
  <si>
    <r>
      <t xml:space="preserve">WS
</t>
    </r>
    <r>
      <rPr>
        <b/>
        <color theme="1"/>
        <family val="2"/>
        <sz val="12"/>
        <rFont val="Calibri"/>
      </rPr>
      <t>TE</t>
    </r>
  </si>
  <si>
    <t xml:space="preserve">PS
(ST &amp; TE)</t>
  </si>
  <si>
    <t xml:space="preserve">WS
(ST &amp; TE)</t>
  </si>
  <si>
    <t>RE</t>
  </si>
  <si>
    <t>Exam Remarks</t>
  </si>
  <si>
    <t>PT1</t>
  </si>
  <si>
    <t>PT2</t>
  </si>
  <si>
    <t>PT3</t>
  </si>
  <si>
    <t>PT4</t>
  </si>
  <si>
    <t>PT5</t>
  </si>
  <si>
    <t>REC2</t>
  </si>
  <si>
    <t>REC3</t>
  </si>
  <si>
    <t>REC4</t>
  </si>
  <si>
    <t>REC5</t>
  </si>
  <si>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</si>
  <si>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</si>
  <si>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</si>
  <si>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</si>
  <si>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</si>
  <si>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</si>
  <si>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</si>
  <si>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</si>
  <si>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</si>
  <si>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</si>
  <si>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</si>
  <si>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</si>
  <si>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</si>
  <si>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</si>
  <si>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</si>
  <si>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</si>
  <si>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</si>
  <si>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</si>
  <si>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</si>
  <si>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</si>
  <si>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</si>
  <si>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</si>
  <si>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</si>
  <si>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</si>
  <si>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</si>
  <si>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</si>
  <si>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</si>
  <si>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</si>
  <si>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</si>
  <si>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</si>
  <si>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</si>
  <si>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</si>
  <si>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</si>
  <si>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</si>
  <si>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</si>
  <si>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</si>
  <si>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</si>
  <si>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</si>
  <si>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</si>
  <si>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</si>
  <si>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</si>
  <si>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</si>
  <si>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</si>
  <si>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</si>
  <si>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</si>
  <si>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</si>
  <si>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Novaliches</t>
  </si>
  <si>
    <t>Ormoc</t>
  </si>
  <si>
    <t>Ortigas-Cainta</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</si>
  <si>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</si>
  <si>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</si>
  <si>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</si>
  <si>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</si>
  <si>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</si>
  <si>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</si>
  <si>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</si>
  <si>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</si>
  <si>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</si>
  <si>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</si>
  <si>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</si>
  <si>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</si>
  <si>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</si>
  <si>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</si>
  <si>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</si>
  <si>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</si>
  <si>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</si>
  <si>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</si>
  <si>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</si>
  <si>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</si>
  <si>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</si>
  <si>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</si>
  <si>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</si>
  <si>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</si>
  <si>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</si>
  <si>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</si>
  <si>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Student 1</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</si>
  <si>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</si>
  <si>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</si>
  <si>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</si>
  <si>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</si>
  <si>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</si>
  <si>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</si>
  <si>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</si>
  <si>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</si>
  <si>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</si>
  <si>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</si>
  <si>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</si>
  <si>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</si>
  <si>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</si>
  <si>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</si>
  <si>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</si>
  <si>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</si>
  <si>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</si>
  <si>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</si>
  <si>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</si>
  <si>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Estor, Phoeb Remedios</t>
  </si>
  <si>
    <t>Jacobo, Ezra</t>
  </si>
  <si>
    <t>Melgar, Niza Jade</t>
  </si>
  <si>
    <t>Instructor:</t>
  </si>
  <si>
    <t>Remarks</t>
  </si>
  <si>
    <t>Section:</t>
  </si>
  <si>
    <t>Status</t>
  </si>
  <si>
    <t>WW-INT1</t>
  </si>
  <si>
    <t>WW-INT2</t>
  </si>
  <si>
    <t>WW-INT3</t>
  </si>
  <si>
    <t>WW-INT4</t>
  </si>
  <si>
    <t>WW-INT5</t>
  </si>
  <si>
    <t>PT-INT1</t>
  </si>
  <si>
    <t>PT-INT2</t>
  </si>
  <si>
    <t>PT-INT3</t>
  </si>
  <si>
    <t>PT-INT4</t>
  </si>
  <si>
    <t>PT-INT5</t>
  </si>
  <si>
    <t>Filter</t>
  </si>
  <si>
    <t>Junior High School (JHS)</t>
  </si>
  <si>
    <t>INITIAL GRADE</t>
  </si>
  <si>
    <t xml:space="preserve">TRANSMUTED
GRADE</t>
  </si>
  <si>
    <t>FROM</t>
  </si>
  <si>
    <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</si>
</sst>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
    <numFmt numFmtId="165" formatCode="ddd"/>
    <numFmt numFmtId="166" formatCode="mm/dd/yy;@"/>
  </numFmts>
  <fonts count="24" x14ac:knownFonts="1">
    <font>
      <color theme="1"/>
      <family val="2"/>
      <scheme val="minor"/>
      <sz val="11"/>
      <name val="Calibri"/>
    </font>
    <font>
      <color theme="1"/>
      <family val="2"/>
      <sz val="11"/>
      <name val="Calibri"/>
    </font>
    <font>
      <color theme="0"/>
      <family val="2"/>
      <sz val="11"/>
      <name val="Calibri"/>
    </font>
    <font>
      <b/>
      <color theme="1"/>
      <family val="2"/>
      <sz val="18"/>
      <name val="Calibri"/>
    </font>
    <font>
      <b/>
      <color theme="0"/>
      <family val="2"/>
      <sz val="16"/>
      <name val="Calibri"/>
    </font>
    <font>
      <b/>
      <color theme="0"/>
      <family val="2"/>
      <sz val="12"/>
      <name val="Calibri"/>
    </font>
    <font>
      <b/>
      <color theme="1"/>
      <family val="2"/>
      <sz val="16"/>
      <name val="Calibri"/>
    </font>
    <font>
      <b/>
      <color theme="1"/>
      <family val="2"/>
      <sz val="11"/>
      <name val="Calibri"/>
    </font>
    <font>
      <b/>
      <color theme="1"/>
      <family val="2"/>
      <sz val="12"/>
      <name val="Calibri"/>
    </font>
    <font>
      <family val="2"/>
      <sz val="11"/>
      <name val="Calibri"/>
    </font>
    <font>
      <b/>
      <color theme="1"/>
      <family val="2"/>
      <sz val="14"/>
      <name val="Calibri"/>
    </font>
    <font>
      <b/>
      <color rgb="FFFF0000"/>
      <family val="2"/>
      <sz val="11"/>
      <name val="Calibri"/>
    </font>
    <font>
      <i/>
      <color theme="1"/>
      <family val="2"/>
      <sz val="12"/>
      <name val="Calibri"/>
    </font>
    <font>
      <b/>
      <color theme="0"/>
      <family val="2"/>
      <sz val="11"/>
      <name val="Calibri"/>
    </font>
    <font>
      <color theme="1"/>
      <family val="2"/>
      <sz val="12"/>
      <name val="Calibri"/>
    </font>
    <font>
      <color theme="0"/>
      <family val="2"/>
      <sz val="12"/>
      <name val="Calibri"/>
    </font>
    <font>
      <b/>
      <color theme="0"/>
      <family val="2"/>
      <sz val="14"/>
      <name val="Calibri"/>
    </font>
    <font>
      <color theme="1"/>
      <family val="2"/>
      <sz val="9"/>
      <name val="Calibri"/>
    </font>
    <font>
      <b/>
      <color theme="1"/>
      <family val="2"/>
      <sz val="10"/>
      <name val="Calibri"/>
    </font>
    <font>
      <b/>
      <color theme="1"/>
      <family val="2"/>
      <sz val="9"/>
      <name val="Calibri"/>
    </font>
    <font>
      <b/>
      <color theme="1"/>
      <family val="2"/>
      <sz val="20"/>
      <name val="Calibri"/>
    </font>
    <font>
      <i/>
      <color theme="1"/>
      <family val="2"/>
      <sz val="9"/>
      <name val="Calibri"/>
    </font>
    <font>
      <b/>
      <family val="2"/>
      <sz val="11"/>
      <name val="Calibri"/>
    </font>
    <font>
      <b/>
      <color theme="0"/>
      <family val="2"/>
      <sz val="18"/>
      <name val="Calibri"/>
    </font>
  </fonts>
  <fills count="12">
    <fill>
      <patternFill patternType="none"/>
    </fill>
    <fill>
      <patternFill patternType="gray125"/>
    </fill>
    <fill>
      <patternFill patternType="solid">
        <fgColor theme="0" tint="-0.0499893185216834"/>
        <bgColor indexed="64"/>
      </patternFill>
    </fill>
    <fill>
      <patternFill patternType="solid">
        <fgColor rgb="FFF0F0F0"/>
        <bgColor indexed="64"/>
      </patternFill>
    </fill>
    <fill>
      <patternFill patternType="solid">
        <fgColor rgb="FF0E2841"/>
        <bgColor indexed="64"/>
      </patternFill>
    </fill>
    <fill>
      <patternFill patternType="solid">
        <fgColor theme="0"/>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theme="0" tint="-0.1499984740745262"/>
        <bgColor indexed="64"/>
      </patternFill>
    </fill>
  </fills>
  <borders count="197">
    <border>
      <left/>
      <right/>
      <top/>
      <bottom/>
      <diagonal/>
    </border>
    <border>
      <left style="medium">
        <color rgb="FF0E2841"/>
      </left>
      <right/>
      <top style="medium">
        <color rgb="FF0E2841"/>
      </top>
      <bottom/>
      <diagonal/>
    </border>
    <border>
      <left/>
      <right/>
      <top style="medium">
        <color rgb="FF0E2841"/>
      </top>
      <bottom/>
      <diagonal/>
    </border>
    <border>
      <left/>
      <right style="medium">
        <color rgb="FF0E2841"/>
      </right>
      <top style="medium">
        <color rgb="FF0E2841"/>
      </top>
      <bottom/>
      <diagonal/>
    </border>
    <border>
      <left style="medium">
        <color rgb="FF0E2841"/>
      </left>
      <right/>
      <top/>
      <bottom/>
      <diagonal/>
    </border>
    <border>
      <left/>
      <right style="medium">
        <color rgb="FF0E2841"/>
      </right>
      <top/>
      <bottom/>
      <diagonal/>
    </border>
    <border>
      <left style="thin">
        <color rgb="FF0E2841"/>
      </left>
      <right/>
      <top style="thin">
        <color rgb="FF0E2841"/>
      </top>
      <bottom/>
      <diagonal/>
    </border>
    <border>
      <left/>
      <right/>
      <top style="thin">
        <color rgb="FF0E2841"/>
      </top>
      <bottom/>
      <diagonal/>
    </border>
    <border>
      <left/>
      <right style="medium">
        <color rgb="FF0E2841"/>
      </right>
      <top style="thin">
        <color rgb="FF0E2841"/>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top/>
      <bottom/>
      <diagonal/>
    </border>
    <border>
      <left style="thin">
        <color rgb="FF0E2841"/>
      </left>
      <right/>
      <top/>
      <bottom style="thin">
        <color rgb="FF0E2841"/>
      </bottom>
      <diagonal/>
    </border>
    <border>
      <left/>
      <right/>
      <top/>
      <bottom style="thin">
        <color rgb="FF0E2841"/>
      </bottom>
      <diagonal/>
    </border>
    <border>
      <left/>
      <right style="medium">
        <color rgb="FF0E2841"/>
      </right>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right style="medium">
        <color rgb="FF0E2841"/>
      </right>
      <top style="thin">
        <color rgb="FF0E2841"/>
      </top>
      <bottom style="thin">
        <color rgb="FF0E2841"/>
      </bottom>
      <diagonal/>
    </border>
    <border>
      <left/>
      <right style="thin">
        <color rgb="FF0E2841"/>
      </right>
      <top style="thin">
        <color rgb="FF0E2841"/>
      </top>
      <bottom style="thin">
        <color rgb="FF0E2841"/>
      </bottom>
      <diagonal/>
    </border>
    <border>
      <left style="thin">
        <color rgb="FF0E2841"/>
      </left>
      <right style="thin">
        <color rgb="FF0E2841"/>
      </right>
      <top style="thin">
        <color rgb="FF0E2841"/>
      </top>
      <bottom/>
      <diagonal/>
    </border>
    <border>
      <left style="thin">
        <color rgb="FF0E2841"/>
      </left>
      <right style="thin">
        <color rgb="FF0E2841"/>
      </right>
      <top/>
      <bottom/>
      <diagonal/>
    </border>
    <border>
      <left style="thin">
        <color rgb="FF0E2841"/>
      </left>
      <right style="thin">
        <color rgb="FF0E2841"/>
      </right>
      <top/>
      <bottom style="thin">
        <color rgb="FF0E2841"/>
      </bottom>
      <diagonal/>
    </border>
    <border>
      <left/>
      <right style="thin">
        <color rgb="FF0E2841"/>
      </right>
      <top style="thin">
        <color rgb="FF0E2841"/>
      </top>
      <bottom/>
      <diagonal/>
    </border>
    <border>
      <left/>
      <right style="thin">
        <color rgb="FF0E2841"/>
      </right>
      <top/>
      <bottom/>
      <diagonal/>
    </border>
    <border>
      <left/>
      <right style="thin">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style="thin">
        <color rgb="FF0E2841"/>
      </left>
      <right style="thin">
        <color rgb="FF0E2841"/>
      </right>
      <top style="double">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right/>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top style="thin">
        <color rgb="FF0E2841"/>
      </top>
      <bottom style="medium">
        <color rgb="FF0E2841"/>
      </bottom>
      <diagonal/>
    </border>
    <border>
      <left/>
      <right/>
      <top style="thin">
        <color rgb="FF0E2841"/>
      </top>
      <bottom style="medium">
        <color rgb="FF0E2841"/>
      </bottom>
      <diagonal/>
    </border>
    <border>
      <left/>
      <right style="thin">
        <color rgb="FF0E2841"/>
      </right>
      <top style="thin">
        <color rgb="FF0E2841"/>
      </top>
      <bottom style="medium">
        <color rgb="FF0E2841"/>
      </bottom>
      <diagonal/>
    </border>
    <border>
      <left style="thin">
        <color rgb="FF0E2841"/>
      </left>
      <right/>
      <top style="medium">
        <color rgb="FF0E2841"/>
      </top>
      <bottom/>
      <diagonal/>
    </border>
    <border>
      <left/>
      <right style="thin">
        <color rgb="FF0E2841"/>
      </right>
      <top style="medium">
        <color rgb="FF0E2841"/>
      </top>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style="medium">
        <color rgb="FF0E2841"/>
      </right>
      <top style="medium">
        <color rgb="FF0E2841"/>
      </top>
      <bottom/>
      <diagonal/>
    </border>
    <border>
      <left style="medium">
        <color rgb="FF0E2841"/>
      </left>
      <right/>
      <top style="medium">
        <color rgb="FF0E2841"/>
      </top>
      <bottom style="dashed">
        <color rgb="FF0E2841"/>
      </bottom>
      <diagonal/>
    </border>
    <border>
      <left/>
      <right/>
      <top style="medium">
        <color rgb="FF0E2841"/>
      </top>
      <bottom style="dashed">
        <color rgb="FF0E2841"/>
      </bottom>
      <diagonal/>
    </border>
    <border>
      <left/>
      <right style="thin">
        <color rgb="FF0E2841"/>
      </right>
      <top style="medium">
        <color rgb="FF0E2841"/>
      </top>
      <bottom style="dashed">
        <color rgb="FF0E2841"/>
      </bottom>
      <diagonal/>
    </border>
    <border>
      <left style="thin">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mediumDashed">
        <color rgb="FF0E2841"/>
      </left>
      <right/>
      <top style="medium">
        <color rgb="FF0E2841"/>
      </top>
      <bottom/>
      <diagonal/>
    </border>
    <border>
      <left/>
      <right style="mediumDashed">
        <color rgb="FF0E2841"/>
      </right>
      <top style="medium">
        <color rgb="FF0E2841"/>
      </top>
      <bottom/>
      <diagonal/>
    </border>
    <border>
      <left style="medium">
        <color rgb="FF0E2841"/>
      </left>
      <right/>
      <top style="dashed">
        <color rgb="FF0E2841"/>
      </top>
      <bottom style="double">
        <color rgb="FF0E2841"/>
      </bottom>
      <diagonal/>
    </border>
    <border>
      <left/>
      <right/>
      <top style="dashed">
        <color rgb="FF0E2841"/>
      </top>
      <bottom style="double">
        <color rgb="FF0E2841"/>
      </bottom>
      <diagonal/>
    </border>
    <border>
      <left style="thin">
        <color rgb="FF0E2841"/>
      </left>
      <right style="medium">
        <color rgb="FF0E2841"/>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top style="dashed">
        <color rgb="FF0E2841"/>
      </top>
      <bottom style="double">
        <color rgb="FF0E2841"/>
      </bottom>
      <diagonal/>
    </border>
    <border>
      <left/>
      <right style="medium">
        <color rgb="FF0E2841"/>
      </right>
      <top style="dashed">
        <color rgb="FF0E2841"/>
      </top>
      <bottom style="double">
        <color rgb="FF0E2841"/>
      </bottom>
      <diagonal/>
    </border>
    <border>
      <left style="mediumDashed">
        <color rgb="FF0E2841"/>
      </left>
      <right/>
      <top/>
      <bottom/>
      <diagonal/>
    </border>
    <border>
      <left/>
      <right style="mediumDashed">
        <color rgb="FF0E2841"/>
      </right>
      <top/>
      <bottom/>
      <diagonal/>
    </border>
    <border>
      <left/>
      <right/>
      <top/>
      <bottom style="double">
        <color rgb="FF0E2841"/>
      </bottom>
      <diagonal/>
    </border>
    <border>
      <left/>
      <right style="medium">
        <color rgb="FF0E2841"/>
      </right>
      <top/>
      <bottom style="double">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Dashed">
        <color rgb="FF0E2841"/>
      </left>
      <right/>
      <top/>
      <bottom style="thin">
        <color rgb="FF0E2841"/>
      </bottom>
      <diagonal/>
    </border>
    <border>
      <left/>
      <right style="mediumDashed">
        <color rgb="FF0E2841"/>
      </right>
      <top/>
      <bottom style="thin">
        <color rgb="FF0E2841"/>
      </bottom>
      <diagonal/>
    </border>
    <border>
      <left style="mediumDashed">
        <color rgb="FF0E2841"/>
      </left>
      <right style="thin">
        <color rgb="FF0E2841"/>
      </right>
      <top style="double">
        <color rgb="FF0E2841"/>
      </top>
      <bottom/>
      <diagonal/>
    </border>
    <border>
      <left style="thin">
        <color rgb="FF0E2841"/>
      </left>
      <right style="thin">
        <color rgb="FF0E2841"/>
      </right>
      <top style="double">
        <color rgb="FF0E2841"/>
      </top>
      <bottom/>
      <diagonal/>
    </border>
    <border>
      <left style="thin">
        <color rgb="FF0E2841"/>
      </left>
      <right style="medium">
        <color rgb="FF0E2841"/>
      </right>
      <top style="double">
        <color rgb="FF0E2841"/>
      </top>
      <bottom/>
      <diagonal/>
    </border>
    <border>
      <left style="medium">
        <color rgb="FF0E2841"/>
      </left>
      <right/>
      <top style="thin">
        <color rgb="FF0E2841"/>
      </top>
      <bottom/>
      <diagonal/>
    </border>
    <border>
      <left style="thin">
        <color rgb="FF0E2841"/>
      </left>
      <right style="medium">
        <color rgb="FF0E2841"/>
      </right>
      <top style="thin">
        <color rgb="FF0E2841"/>
      </top>
      <bottom/>
      <diagonal/>
    </border>
    <border>
      <left style="mediumDashed">
        <color rgb="FF0E2841"/>
      </left>
      <right/>
      <top style="thin">
        <color rgb="FF0E2841"/>
      </top>
      <bottom style="thin">
        <color rgb="FF0E2841"/>
      </bottom>
      <diagonal/>
    </border>
    <border>
      <left style="thin">
        <color rgb="FF0E2841"/>
      </left>
      <right style="mediumDashed">
        <color rgb="FF0E2841"/>
      </right>
      <top style="thin">
        <color rgb="FF0E2841"/>
      </top>
      <bottom/>
      <diagonal/>
    </border>
    <border>
      <left style="mediumDashed">
        <color rgb="FF0E2841"/>
      </left>
      <right style="thin">
        <color rgb="FF0E2841"/>
      </right>
      <top/>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mediumDashed">
        <color rgb="FF0E2841"/>
      </left>
      <right style="thin">
        <color rgb="FF0E2841"/>
      </right>
      <top style="thin">
        <color rgb="FF0E2841"/>
      </top>
      <bottom style="thin">
        <color rgb="FF0E2841"/>
      </bottom>
      <diagonal/>
    </border>
    <border>
      <left style="thin">
        <color rgb="FF0E2841"/>
      </left>
      <right style="mediumDashed">
        <color rgb="FF0E2841"/>
      </right>
      <top/>
      <bottom/>
      <diagonal/>
    </border>
    <border>
      <left style="medium">
        <color rgb="FF0E2841"/>
      </left>
      <right style="thin">
        <color rgb="FF0E2841"/>
      </right>
      <top/>
      <bottom style="thin">
        <color rgb="FF0E2841"/>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mediumDashed">
        <color rgb="FF0E2841"/>
      </left>
      <right/>
      <top style="thin">
        <color rgb="FF0E2841"/>
      </top>
      <bottom style="thick">
        <color rgb="FF0E2841"/>
      </bottom>
      <diagonal/>
    </border>
    <border>
      <left style="thin">
        <color rgb="FF0E2841"/>
      </left>
      <right style="mediumDashed">
        <color rgb="FF0E2841"/>
      </right>
      <top/>
      <bottom style="thick">
        <color rgb="FF0E2841"/>
      </bottom>
      <diagonal/>
    </border>
    <border>
      <left style="mediumDashed">
        <color rgb="FF0E2841"/>
      </left>
      <right style="thin">
        <color rgb="FF0E2841"/>
      </right>
      <top/>
      <bottom style="thick">
        <color rgb="FF0E2841"/>
      </bottom>
      <diagonal/>
    </border>
    <border>
      <left style="thin">
        <color rgb="FF0E2841"/>
      </left>
      <right style="medium">
        <color rgb="FF0E2841"/>
      </right>
      <top style="thick">
        <color rgb="FF0E2841"/>
      </top>
      <bottom style="thin">
        <color rgb="FF0E2841"/>
      </bottom>
      <diagonal/>
    </border>
    <border>
      <left style="thin">
        <color rgb="FF0E2841"/>
      </left>
      <right style="medium">
        <color rgb="FF0E2841"/>
      </right>
      <top/>
      <bottom style="thin">
        <color rgb="FF0E2841"/>
      </bottom>
      <diagonal/>
    </border>
    <border>
      <left style="thin">
        <color rgb="FF0E2841"/>
      </left>
      <right style="thin">
        <color rgb="FF0E2841"/>
      </right>
      <top style="thick">
        <color rgb="FF0E2841"/>
      </top>
      <bottom style="thin">
        <color rgb="FF0E2841"/>
      </bottom>
      <diagonal/>
    </border>
    <border>
      <left style="mediumDashed">
        <color rgb="FF0E2841"/>
      </left>
      <right style="thin">
        <color rgb="FF0E2841"/>
      </right>
      <top style="thick">
        <color rgb="FF0E2841"/>
      </top>
      <bottom style="thin">
        <color rgb="FF0E2841"/>
      </bottom>
      <diagonal/>
    </border>
    <border>
      <left style="thin">
        <color rgb="FF0E2841"/>
      </left>
      <right style="mediumDashed">
        <color rgb="FF0E2841"/>
      </right>
      <top style="thick">
        <color rgb="FF0E2841"/>
      </top>
      <bottom style="thin">
        <color rgb="FF0E2841"/>
      </bottom>
      <diagonal/>
    </border>
    <border>
      <left style="mediumDashed">
        <color rgb="FF0E2841"/>
      </left>
      <right style="thin">
        <color rgb="FF0E2841"/>
      </right>
      <top/>
      <bottom style="thin">
        <color rgb="FF0E2841"/>
      </bottom>
      <diagonal/>
    </border>
    <border>
      <left style="thin">
        <color rgb="FF0E2841"/>
      </left>
      <right style="mediumDashed">
        <color rgb="FF0E2841"/>
      </right>
      <top/>
      <bottom style="thin">
        <color rgb="FF0E2841"/>
      </bottom>
      <diagonal/>
    </border>
    <border>
      <left style="thin">
        <color rgb="FF0E2841"/>
      </left>
      <right style="thin">
        <color rgb="FF0E2841"/>
      </right>
      <top/>
      <bottom style="medium">
        <color rgb="FF0E2841"/>
      </bottom>
      <diagonal/>
    </border>
    <border>
      <left style="mediumDashed">
        <color rgb="FF0E2841"/>
      </left>
      <right style="thin">
        <color rgb="FF0E2841"/>
      </right>
      <top/>
      <bottom style="medium">
        <color rgb="FF0E2841"/>
      </bottom>
      <diagonal/>
    </border>
    <border>
      <left style="thin">
        <color rgb="FF0E2841"/>
      </left>
      <right style="mediumDashed">
        <color rgb="FF0E2841"/>
      </right>
      <top/>
      <bottom style="medium">
        <color rgb="FF0E2841"/>
      </bottom>
      <diagonal/>
    </border>
    <border>
      <left style="medium">
        <color rgb="FF0E2841"/>
      </left>
      <right/>
      <top/>
      <bottom style="double">
        <color rgb="FF0E2841"/>
      </bottom>
      <diagonal/>
    </border>
    <border>
      <left style="mediumDashed">
        <color rgb="FF0E2841"/>
      </left>
      <right/>
      <top/>
      <bottom style="double">
        <color rgb="FF0E2841"/>
      </bottom>
      <diagonal/>
    </border>
    <border>
      <left/>
      <right style="thin">
        <color rgb="FF0E2841"/>
      </right>
      <top style="double">
        <color rgb="FF0E2841"/>
      </top>
      <bottom/>
      <diagonal/>
    </border>
    <border>
      <left style="thin">
        <color rgb="FF0E2841"/>
      </left>
      <right/>
      <top style="double">
        <color rgb="FF0E2841"/>
      </top>
      <bottom/>
      <diagonal/>
    </border>
    <border>
      <left style="thin">
        <color rgb="FF0E2841"/>
      </left>
      <right style="mediumDashed">
        <color rgb="FF0E2841"/>
      </right>
      <top style="thin">
        <color rgb="FF0E2841"/>
      </top>
      <bottom style="thin">
        <color rgb="FF0E2841"/>
      </bottom>
      <diagonal/>
    </border>
    <border>
      <left style="mediumDashed">
        <color rgb="FF0E2841"/>
      </left>
      <right style="thin">
        <color rgb="FF0E2841"/>
      </right>
      <top style="thin">
        <color rgb="FF0E2841"/>
      </top>
      <bottom style="thick">
        <color rgb="FF0E2841"/>
      </bottom>
      <diagonal/>
    </border>
    <border>
      <left style="thin">
        <color rgb="FF0E2841"/>
      </left>
      <right style="mediumDashed">
        <color rgb="FF0E2841"/>
      </right>
      <top style="thin">
        <color rgb="FF0E2841"/>
      </top>
      <bottom style="thick">
        <color rgb="FF0E2841"/>
      </bottom>
      <diagonal/>
    </border>
    <border>
      <left/>
      <right style="thin">
        <color rgb="FF0E2841"/>
      </right>
      <top style="thick">
        <color rgb="FF0E2841"/>
      </top>
      <bottom style="thin">
        <color rgb="FF0E2841"/>
      </bottom>
      <diagonal/>
    </border>
    <border>
      <left style="mediumDashed">
        <color rgb="FF0E2841"/>
      </left>
      <right/>
      <top/>
      <bottom style="medium">
        <color rgb="FF0E2841"/>
      </bottom>
      <diagonal/>
    </border>
    <border>
      <left/>
      <right style="mediumDashed">
        <color rgb="FF0E2841"/>
      </right>
      <top/>
      <bottom style="medium">
        <color rgb="FF0E2841"/>
      </bottom>
      <diagonal/>
    </border>
    <border>
      <left style="thin">
        <color rgb="FF0E2841"/>
      </left>
      <right style="medium">
        <color rgb="FF0E2841"/>
      </right>
      <top style="medium">
        <color rgb="FF0E2841"/>
      </top>
      <bottom style="dashed">
        <color rgb="FF0E2841"/>
      </bottom>
      <diagonal/>
    </border>
    <border>
      <left style="medium">
        <color rgb="FF0E2841"/>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medium">
        <color rgb="FF0E2841"/>
      </left>
      <right/>
      <top/>
      <bottom style="dashed">
        <color rgb="FF0E2841"/>
      </bottom>
      <diagonal/>
    </border>
    <border>
      <left/>
      <right style="thin">
        <color rgb="FF0E2841"/>
      </right>
      <top/>
      <bottom style="dashed">
        <color rgb="FF0E2841"/>
      </bottom>
      <diagonal/>
    </border>
    <border>
      <left style="thin">
        <color rgb="FF0E2841"/>
      </left>
      <right/>
      <top/>
      <bottom style="dashed">
        <color rgb="FF0E2841"/>
      </bottom>
      <diagonal/>
    </border>
    <border>
      <left style="thin">
        <color rgb="FF0E2841"/>
      </left>
      <right style="thin">
        <color rgb="FF0E2841"/>
      </right>
      <top/>
      <bottom style="dashed">
        <color rgb="FF0E2841"/>
      </bottom>
      <diagonal/>
    </border>
    <border>
      <left/>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style="thin">
        <color rgb="FF0E2841"/>
      </left>
      <right/>
      <top/>
      <bottom style="thin">
        <color theme="0" tint="-0.3499862666707358"/>
      </bottom>
      <diagonal/>
    </border>
    <border>
      <left style="thin">
        <color rgb="FF0E2841"/>
      </left>
      <right style="thin">
        <color rgb="FF0E2841"/>
      </right>
      <top/>
      <bottom style="thin">
        <color theme="0" tint="-0.3499862666707358"/>
      </bottom>
      <diagonal/>
    </border>
    <border>
      <left style="thin">
        <color rgb="FF0E2841"/>
      </left>
      <right style="medium">
        <color rgb="FF0E2841"/>
      </right>
      <top/>
      <bottom style="thin">
        <color theme="0" tint="-0.3499862666707358"/>
      </bottom>
      <diagonal/>
    </border>
    <border>
      <left style="thin">
        <color rgb="FF0E2841"/>
      </left>
      <right/>
      <top style="thin">
        <color theme="0" tint="-0.3499862666707358"/>
      </top>
      <bottom style="thin">
        <color theme="0" tint="-0.3499862666707358"/>
      </bottom>
      <diagonal/>
    </border>
    <border>
      <left style="thin">
        <color rgb="FF0E2841"/>
      </left>
      <right/>
      <top style="thin">
        <color theme="0" tint="-0.3499862666707358"/>
      </top>
      <bottom style="medium">
        <color rgb="FF0E2841"/>
      </bottom>
      <diagonal/>
    </border>
    <border>
      <left style="thin">
        <color rgb="FF0E2841"/>
      </left>
      <right/>
      <top/>
      <bottom style="medium">
        <color rgb="FF0E2841"/>
      </bottom>
      <diagonal/>
    </border>
    <border>
      <left/>
      <right style="thick">
        <color rgb="FF0E2841"/>
      </right>
      <top style="medium">
        <color rgb="FF0E2841"/>
      </top>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thick">
        <color rgb="FF0E2841"/>
      </right>
      <top/>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style="medium">
        <color rgb="FF0E2841"/>
      </left>
      <right style="medium">
        <color rgb="FF0E2841"/>
      </right>
      <top/>
      <bottom/>
      <diagonal/>
    </border>
    <border>
      <left style="medium">
        <color rgb="FF0E2841"/>
      </left>
      <right/>
      <top/>
      <bottom style="thin">
        <color rgb="FF0E2841"/>
      </bottom>
      <diagonal/>
    </border>
    <border>
      <left style="thin">
        <color rgb="FF0E2841"/>
      </left>
      <right style="thick">
        <color rgb="FF0E2841"/>
      </right>
      <top/>
      <bottom style="thick">
        <color rgb="FF0E2841"/>
      </bottom>
      <diagonal/>
    </border>
    <border>
      <left style="thin">
        <color rgb="FF0E2841"/>
      </left>
      <right style="medium">
        <color rgb="FF0E2841"/>
      </right>
      <top style="thin">
        <color rgb="FF0E2841"/>
      </top>
      <bottom style="thick">
        <color rgb="FF0E2841"/>
      </bottom>
      <diagonal/>
    </border>
    <border>
      <left style="medium">
        <color rgb="FF0E2841"/>
      </left>
      <right style="medium">
        <color rgb="FF0E2841"/>
      </right>
      <top/>
      <bottom style="thick">
        <color rgb="FF0E2841"/>
      </bottom>
      <diagonal/>
    </border>
    <border>
      <left style="thin">
        <color rgb="FF0E2841"/>
      </left>
      <right style="thick">
        <color rgb="FF0E2841"/>
      </right>
      <top/>
      <bottom style="thin">
        <color rgb="FF0E2841"/>
      </bottom>
      <diagonal/>
    </border>
    <border>
      <left style="medium">
        <color rgb="FF0E2841"/>
      </left>
      <right style="medium">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dashed">
        <color theme="0" tint="-0.249946592608417"/>
      </bottom>
      <diagonal/>
    </border>
    <border>
      <left style="thin">
        <color theme="0" tint="-0.0499893185216834"/>
      </left>
      <right style="thin">
        <color theme="0" tint="-0.0499893185216834"/>
      </right>
      <top/>
      <bottom style="dashed">
        <color theme="0" tint="-0.249946592608417"/>
      </bottom>
      <diagonal/>
    </border>
    <border>
      <left style="thin">
        <color theme="0" tint="-0.0499893185216834"/>
      </left>
      <right style="thin">
        <color theme="0" tint="-0.0499893185216834"/>
      </right>
      <top/>
      <bottom/>
      <diagonal/>
    </border>
    <border>
      <left style="thin">
        <color theme="0" tint="-0.0499893185216834"/>
      </left>
      <right/>
      <top/>
      <bottom/>
      <diagonal/>
    </border>
    <border>
      <left/>
      <right/>
      <top/>
      <bottom style="double">
        <color theme="0" tint="-0.499984740745262"/>
      </bottom>
      <diagonal/>
    </border>
    <border>
      <left/>
      <right/>
      <top style="double">
        <color theme="0" tint="-0.499984740745262"/>
      </top>
      <bottom/>
      <diagonal/>
    </border>
    <border>
      <left/>
      <right/>
      <top style="dashed">
        <color theme="0" tint="-0.249946592608417"/>
      </top>
      <bottom style="dashed">
        <color theme="0" tint="-0.249946592608417"/>
      </bottom>
      <diagonal/>
    </border>
    <border>
      <left/>
      <right/>
      <top style="dashed">
        <color theme="0" tint="-0.249946592608417"/>
      </top>
      <bottom/>
      <diagonal/>
    </border>
    <border>
      <left/>
      <right/>
      <top style="thin">
        <color theme="0" tint="-0.249946592608417"/>
      </top>
      <bottom style="dashed">
        <color theme="0" tint="-0.249946592608417"/>
      </bottom>
      <diagonal/>
    </border>
    <border>
      <left/>
      <right/>
      <top style="double">
        <color theme="0" tint="-0.499984740745262"/>
      </top>
      <bottom style="dashed">
        <color theme="0" tint="-0.499984740745262"/>
      </bottom>
      <diagonal/>
    </border>
    <border>
      <left style="thin">
        <color rgb="FF0E2841"/>
      </left>
      <right/>
      <top style="medium">
        <color rgb="FF0E2841"/>
      </top>
      <bottom style="thin">
        <color rgb="FF0E2841"/>
      </bottom>
      <diagonal/>
    </border>
    <border>
      <left/>
      <right/>
      <top style="medium">
        <color rgb="FF0E2841"/>
      </top>
      <bottom style="thin">
        <color rgb="FF0E2841"/>
      </bottom>
      <diagonal/>
    </border>
    <border>
      <left/>
      <right style="thin">
        <color rgb="FF0E2841"/>
      </right>
      <top style="medium">
        <color rgb="FF0E2841"/>
      </top>
      <bottom style="thin">
        <color rgb="FF0E2841"/>
      </bottom>
      <diagonal/>
    </border>
    <border>
      <left style="medium">
        <color rgb="FF0E2841"/>
      </left>
      <right style="thin">
        <color rgb="FF0E2841"/>
      </right>
      <top/>
      <bottom style="medium">
        <color rgb="FF0E2841"/>
      </bottom>
      <diagonal/>
    </border>
    <border>
      <left style="thin">
        <color rgb="FF0E2841"/>
      </left>
      <right style="medium">
        <color rgb="FF0E2841"/>
      </right>
      <top/>
      <bottom style="medium">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s>
  <cellStyleXfs count="1">
    <xf numFmtId="0" fontId="0" fillId="0" borderId="0"/>
  </cellStyleXfs>
  <cellXfs count="695">
    <xf numFmtId="0" fontId="0" fillId="0" borderId="0" xfId="0"/>
    <xf numFmtId="0" fontId="1" fillId="0" borderId="0" xfId="0" applyFont="1" applyAlignment="1" applyProtection="1">
      <alignment vertical="center"/>
      <protection hidden="1"/>
    </xf>
    <xf numFmtId="0" fontId="2" fillId="2" borderId="1" xfId="0" applyFont="1" applyFill="1" applyBorder="1" applyAlignment="1" applyProtection="1">
      <alignment vertical="center"/>
      <protection hidden="1"/>
    </xf>
    <xf numFmtId="0" fontId="2" fillId="2" borderId="2" xfId="0" applyFont="1" applyFill="1" applyBorder="1" applyAlignment="1" applyProtection="1">
      <alignment vertical="center"/>
      <protection hidden="1"/>
    </xf>
    <xf numFmtId="0" fontId="3" fillId="2" borderId="2" xfId="0" applyFont="1" applyFill="1" applyBorder="1" applyAlignment="1" applyProtection="1">
      <alignment horizontal="center"/>
      <protection hidden="1"/>
    </xf>
    <xf numFmtId="0" fontId="4" fillId="2" borderId="2" xfId="0" applyFont="1" applyFill="1" applyBorder="1" applyAlignment="1" applyProtection="1">
      <alignment horizontal="center" vertical="center"/>
      <protection hidden="1"/>
    </xf>
    <xf numFmtId="0" fontId="2" fillId="2" borderId="3" xfId="0" applyFont="1" applyFill="1" applyBorder="1" applyAlignment="1" applyProtection="1">
      <alignment vertical="center"/>
      <protection hidden="1"/>
    </xf>
    <xf numFmtId="0" fontId="1" fillId="3" borderId="4" xfId="0" applyFont="1" applyFill="1" applyBorder="1" applyAlignment="1" applyProtection="1">
      <alignment vertical="center"/>
      <protection hidden="1"/>
    </xf>
    <xf numFmtId="0" fontId="1" fillId="3" borderId="0" xfId="0" applyFont="1" applyFill="1" applyAlignment="1" applyProtection="1">
      <alignment vertical="center"/>
      <protection hidden="1"/>
    </xf>
    <xf numFmtId="0" fontId="1" fillId="3" borderId="5" xfId="0" applyFont="1" applyFill="1" applyBorder="1" applyAlignment="1" applyProtection="1">
      <alignment vertical="center"/>
      <protection hidden="1"/>
    </xf>
    <xf numFmtId="0" fontId="2" fillId="4" borderId="0" xfId="0" applyFont="1" applyFill="1" applyAlignment="1" applyProtection="1">
      <alignment vertical="center"/>
      <protection hidden="1"/>
    </xf>
    <xf numFmtId="0" fontId="5" fillId="4" borderId="0" xfId="0" applyFont="1" applyFill="1" applyAlignment="1" applyProtection="1">
      <alignment horizontal="left" vertical="center" indent="2"/>
      <protection hidden="1"/>
    </xf>
    <xf numFmtId="0" fontId="1" fillId="5" borderId="0" xfId="0" applyFont="1" applyFill="1" applyAlignment="1" applyProtection="1">
      <alignment vertical="center"/>
      <protection hidden="1"/>
    </xf>
    <xf numFmtId="0" fontId="1" fillId="5" borderId="0" xfId="0" applyFont="1" applyFill="1" applyAlignment="1" applyProtection="1">
      <alignment horizontal="left" vertical="center" indent="2"/>
      <protection hidden="1"/>
    </xf>
    <xf numFmtId="0" fontId="1" fillId="5" borderId="0" xfId="0" applyFont="1" applyFill="1" applyAlignment="1" applyProtection="1">
      <alignment wrapText="1"/>
      <protection hidden="1"/>
    </xf>
    <xf numFmtId="0" fontId="1" fillId="5" borderId="0" xfId="0" applyFont="1" applyFill="1" applyAlignment="1" applyProtection="1">
      <alignment horizontal="left" vertical="center" wrapText="1" indent="2"/>
      <protection hidden="1"/>
    </xf>
    <xf numFmtId="0" fontId="1" fillId="0" borderId="0" xfId="0" applyFont="1" applyAlignment="1" applyProtection="1">
      <alignment horizontal="left" vertical="center" wrapText="1" indent="2"/>
      <protection hidden="1"/>
    </xf>
    <xf numFmtId="0" fontId="6" fillId="5" borderId="6" xfId="0" applyFont="1" applyFill="1" applyBorder="1" applyAlignment="1" applyProtection="1">
      <alignment horizontal="center" vertical="center"/>
      <protection hidden="1"/>
    </xf>
    <xf numFmtId="0" fontId="6" fillId="5" borderId="7" xfId="0" applyFont="1" applyFill="1" applyBorder="1" applyAlignment="1" applyProtection="1">
      <alignment horizontal="center" vertical="center"/>
      <protection hidden="1"/>
    </xf>
    <xf numFmtId="0" fontId="6"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7" fillId="5" borderId="10" xfId="0" applyFont="1" applyFill="1" applyBorder="1" applyAlignment="1" applyProtection="1">
      <alignment horizontal="center" vertical="center"/>
      <protection hidden="1"/>
    </xf>
    <xf numFmtId="0" fontId="1" fillId="5" borderId="11" xfId="0" applyFont="1" applyFill="1" applyBorder="1" applyAlignment="1" applyProtection="1">
      <alignment horizontal="center" vertical="center"/>
      <protection hidden="1"/>
    </xf>
    <xf numFmtId="0" fontId="6" fillId="5" borderId="11" xfId="0" applyFont="1" applyFill="1" applyBorder="1" applyAlignment="1" applyProtection="1">
      <alignment horizontal="center" vertical="center"/>
      <protection hidden="1"/>
    </xf>
    <xf numFmtId="0" fontId="6" fillId="5" borderId="0" xfId="0" applyFont="1" applyFill="1" applyAlignment="1" applyProtection="1">
      <alignment horizontal="center" vertical="center"/>
      <protection hidden="1"/>
    </xf>
    <xf numFmtId="0" fontId="6" fillId="5" borderId="5" xfId="0" applyFont="1" applyFill="1" applyBorder="1" applyAlignment="1" applyProtection="1">
      <alignment horizontal="center" vertical="center"/>
      <protection hidden="1"/>
    </xf>
    <xf numFmtId="0" fontId="8" fillId="5" borderId="0" xfId="0" applyFont="1" applyFill="1" applyAlignment="1" applyProtection="1">
      <alignment horizontal="left" vertical="center" indent="1"/>
      <protection hidden="1"/>
    </xf>
    <xf numFmtId="164" fontId="7" fillId="5" borderId="9" xfId="0" applyNumberFormat="1" applyFont="1" applyFill="1" applyBorder="1" applyAlignment="1" applyProtection="1">
      <alignment horizontal="center" vertical="center"/>
      <protection hidden="1"/>
    </xf>
    <xf numFmtId="164" fontId="7" fillId="5" borderId="10" xfId="0" applyNumberFormat="1" applyFont="1" applyFill="1" applyBorder="1" applyAlignment="1" applyProtection="1">
      <alignment horizontal="center" vertical="center"/>
      <protection hidden="1"/>
    </xf>
    <xf numFmtId="164" fontId="1" fillId="5" borderId="11" xfId="0" applyNumberFormat="1" applyFont="1" applyFill="1" applyBorder="1" applyAlignment="1" applyProtection="1">
      <alignment horizontal="center" vertical="center"/>
      <protection hidden="1"/>
    </xf>
    <xf numFmtId="0" fontId="6" fillId="5" borderId="12" xfId="0" applyFont="1" applyFill="1" applyBorder="1" applyAlignment="1" applyProtection="1">
      <alignment horizontal="center" vertical="center"/>
      <protection hidden="1"/>
    </xf>
    <xf numFmtId="0" fontId="6" fillId="5" borderId="13" xfId="0" applyFont="1" applyFill="1" applyBorder="1" applyAlignment="1" applyProtection="1">
      <alignment horizontal="center" vertical="center"/>
      <protection hidden="1"/>
    </xf>
    <xf numFmtId="0" fontId="6" fillId="5" borderId="14" xfId="0" applyFont="1" applyFill="1" applyBorder="1" applyAlignment="1" applyProtection="1">
      <alignment horizontal="center" vertical="center"/>
      <protection hidden="1"/>
    </xf>
    <xf numFmtId="0" fontId="1" fillId="4" borderId="10" xfId="0" applyFont="1" applyFill="1" applyBorder="1" applyAlignment="1" applyProtection="1">
      <alignment horizontal="center" vertical="center"/>
      <protection hidden="1"/>
    </xf>
    <xf numFmtId="0" fontId="1" fillId="4" borderId="15" xfId="0" applyFont="1" applyFill="1" applyBorder="1" applyAlignment="1" applyProtection="1">
      <alignment horizontal="center" vertical="center"/>
      <protection hidden="1"/>
    </xf>
    <xf numFmtId="0" fontId="7" fillId="4" borderId="9" xfId="0" applyFont="1" applyFill="1" applyBorder="1" applyAlignment="1" applyProtection="1">
      <alignment horizontal="center" vertical="center"/>
      <protection hidden="1"/>
    </xf>
    <xf numFmtId="0" fontId="7" fillId="4" borderId="10" xfId="0" applyFont="1" applyFill="1" applyBorder="1" applyAlignment="1" applyProtection="1">
      <alignment horizontal="center" vertical="center"/>
      <protection hidden="1"/>
    </xf>
    <xf numFmtId="0" fontId="1" fillId="5" borderId="15" xfId="0" applyFont="1" applyFill="1" applyBorder="1" applyAlignment="1" applyProtection="1">
      <alignment horizontal="left" vertical="center" indent="1"/>
      <protection hidden="1"/>
    </xf>
    <xf numFmtId="0" fontId="1" fillId="5" borderId="16" xfId="0" applyFont="1" applyFill="1" applyBorder="1" applyAlignment="1" applyProtection="1">
      <alignment horizontal="left" vertical="center" indent="1"/>
      <protection hidden="1"/>
    </xf>
    <xf numFmtId="0" fontId="1" fillId="5" borderId="17" xfId="0" applyFont="1" applyFill="1" applyBorder="1" applyAlignment="1" applyProtection="1">
      <alignment horizontal="left" vertical="center" indent="1"/>
      <protection hidden="1"/>
    </xf>
    <xf numFmtId="0" fontId="1" fillId="5" borderId="9" xfId="0" applyFont="1" applyFill="1" applyBorder="1" applyAlignment="1" applyProtection="1">
      <alignment horizontal="center" vertical="center"/>
      <protection hidden="1"/>
    </xf>
    <xf numFmtId="0" fontId="1" fillId="5" borderId="10" xfId="0" applyFont="1" applyFill="1" applyBorder="1" applyAlignment="1" applyProtection="1">
      <alignment horizontal="center" vertical="center"/>
      <protection hidden="1"/>
    </xf>
    <xf numFmtId="0" fontId="1" fillId="0" borderId="0" xfId="0" applyFont="1" applyAlignment="1" applyProtection="1">
      <alignment horizontal="left" vertical="center" indent="1"/>
      <protection hidden="1"/>
    </xf>
    <xf numFmtId="0" fontId="1" fillId="5" borderId="0" xfId="0" applyFont="1" applyFill="1" applyAlignment="1" applyProtection="1">
      <alignment horizontal="left" vertical="center"/>
      <protection hidden="1"/>
    </xf>
    <xf numFmtId="0" fontId="9" fillId="5" borderId="0" xfId="0" applyFont="1" applyFill="1" applyAlignment="1" applyProtection="1">
      <alignment horizontal="left" vertical="center" wrapText="1" indent="2"/>
      <protection hidden="1"/>
    </xf>
    <xf numFmtId="0" fontId="1" fillId="5" borderId="0" xfId="0" applyFont="1" applyFill="1" applyAlignment="1" applyProtection="1">
      <alignment horizontal="left" vertical="center" wrapText="1"/>
      <protection hidden="1"/>
    </xf>
    <xf numFmtId="0" fontId="10" fillId="5" borderId="15" xfId="0" applyFont="1" applyFill="1" applyBorder="1" applyAlignment="1" applyProtection="1">
      <alignment horizontal="center" vertical="center"/>
      <protection hidden="1"/>
    </xf>
    <xf numFmtId="0" fontId="10" fillId="5" borderId="16" xfId="0" applyFont="1" applyFill="1" applyBorder="1" applyAlignment="1" applyProtection="1">
      <alignment horizontal="center" vertical="center"/>
      <protection hidden="1"/>
    </xf>
    <xf numFmtId="0" fontId="10" fillId="5" borderId="18" xfId="0" applyFont="1" applyFill="1" applyBorder="1" applyAlignment="1" applyProtection="1">
      <alignment horizontal="center" vertical="center"/>
      <protection hidden="1"/>
    </xf>
    <xf numFmtId="0" fontId="10" fillId="5" borderId="19" xfId="0" applyFont="1" applyFill="1" applyBorder="1" applyAlignment="1" applyProtection="1">
      <alignment horizontal="center" vertical="center"/>
      <protection hidden="1"/>
    </xf>
    <xf numFmtId="9" fontId="6" fillId="5" borderId="19" xfId="0" applyNumberFormat="1" applyFont="1" applyFill="1" applyBorder="1" applyAlignment="1" applyProtection="1">
      <alignment horizontal="center" vertical="center"/>
      <protection hidden="1"/>
    </xf>
    <xf numFmtId="0" fontId="10" fillId="5" borderId="20" xfId="0" applyFont="1" applyFill="1" applyBorder="1" applyAlignment="1" applyProtection="1">
      <alignment horizontal="center" vertical="center"/>
      <protection hidden="1"/>
    </xf>
    <xf numFmtId="0" fontId="6" fillId="5" borderId="20" xfId="0" applyFont="1" applyFill="1" applyBorder="1" applyAlignment="1" applyProtection="1">
      <alignment horizontal="center" vertical="center"/>
      <protection hidden="1"/>
    </xf>
    <xf numFmtId="0" fontId="10" fillId="5" borderId="21" xfId="0" applyFont="1" applyFill="1" applyBorder="1" applyAlignment="1" applyProtection="1">
      <alignment horizontal="center" vertical="center"/>
      <protection hidden="1"/>
    </xf>
    <xf numFmtId="0" fontId="6" fillId="5" borderId="21" xfId="0" applyFont="1" applyFill="1" applyBorder="1" applyAlignment="1" applyProtection="1">
      <alignment horizontal="center" vertical="center"/>
      <protection hidden="1"/>
    </xf>
    <xf numFmtId="0" fontId="10" fillId="4" borderId="21" xfId="0" applyFont="1" applyFill="1" applyBorder="1" applyAlignment="1" applyProtection="1">
      <alignment horizontal="center" vertical="center"/>
      <protection hidden="1"/>
    </xf>
    <xf numFmtId="0" fontId="6" fillId="4" borderId="21" xfId="0" applyFont="1" applyFill="1" applyBorder="1" applyAlignment="1" applyProtection="1">
      <alignment horizontal="center" vertical="center"/>
      <protection hidden="1"/>
    </xf>
    <xf numFmtId="2" fontId="7" fillId="5" borderId="10" xfId="0" applyNumberFormat="1" applyFont="1" applyFill="1" applyBorder="1" applyAlignment="1" applyProtection="1">
      <alignment horizontal="center" vertical="center"/>
      <protection hidden="1"/>
    </xf>
    <xf numFmtId="0" fontId="1" fillId="6" borderId="10" xfId="0" applyFont="1" applyFill="1" applyBorder="1" applyAlignment="1" applyProtection="1">
      <alignment horizontal="center" vertical="center"/>
      <protection hidden="1"/>
    </xf>
    <xf numFmtId="0" fontId="7" fillId="6" borderId="10" xfId="0" applyFont="1" applyFill="1" applyBorder="1" applyAlignment="1" applyProtection="1">
      <alignment horizontal="center" vertical="center"/>
      <protection hidden="1"/>
    </xf>
    <xf numFmtId="0" fontId="1" fillId="5" borderId="7" xfId="0" applyFont="1" applyFill="1" applyBorder="1" applyAlignment="1" applyProtection="1">
      <alignment horizontal="center" vertical="center"/>
      <protection hidden="1"/>
    </xf>
    <xf numFmtId="0" fontId="8" fillId="5" borderId="6" xfId="0" applyFont="1" applyFill="1" applyBorder="1" applyAlignment="1" applyProtection="1">
      <alignment horizontal="center" vertical="center" wrapText="1"/>
      <protection hidden="1"/>
    </xf>
    <xf numFmtId="0" fontId="8" fillId="5" borderId="7" xfId="0" applyFont="1" applyFill="1" applyBorder="1" applyAlignment="1" applyProtection="1">
      <alignment horizontal="center" vertical="center" wrapText="1"/>
      <protection hidden="1"/>
    </xf>
    <xf numFmtId="0" fontId="8" fillId="5" borderId="22" xfId="0" applyFont="1" applyFill="1" applyBorder="1" applyAlignment="1" applyProtection="1">
      <alignment horizontal="center" vertical="center" wrapText="1"/>
      <protection hidden="1"/>
    </xf>
    <xf numFmtId="0" fontId="1" fillId="4" borderId="11" xfId="0" applyFont="1" applyFill="1" applyBorder="1" applyAlignment="1" applyProtection="1">
      <alignment horizontal="left" vertical="center" wrapText="1" indent="2"/>
      <protection hidden="1"/>
    </xf>
    <xf numFmtId="0" fontId="1" fillId="4" borderId="0" xfId="0" applyFont="1" applyFill="1" applyAlignment="1" applyProtection="1">
      <alignment horizontal="left" vertical="center" wrapText="1" indent="2"/>
      <protection hidden="1"/>
    </xf>
    <xf numFmtId="0" fontId="1" fillId="4" borderId="23" xfId="0" applyFont="1" applyFill="1" applyBorder="1" applyAlignment="1" applyProtection="1">
      <alignment horizontal="left" vertical="center" wrapText="1" indent="2"/>
      <protection hidden="1"/>
    </xf>
    <xf numFmtId="2" fontId="1" fillId="5" borderId="12" xfId="0" applyNumberFormat="1" applyFont="1" applyFill="1" applyBorder="1" applyAlignment="1" applyProtection="1">
      <alignment horizontal="center" vertical="center" wrapText="1"/>
      <protection hidden="1"/>
    </xf>
    <xf numFmtId="2" fontId="1" fillId="5" borderId="24" xfId="0" applyNumberFormat="1" applyFont="1" applyFill="1" applyBorder="1" applyAlignment="1" applyProtection="1">
      <alignment horizontal="center" vertical="center" wrapText="1"/>
      <protection hidden="1"/>
    </xf>
    <xf numFmtId="0" fontId="1" fillId="5" borderId="12" xfId="0" applyFont="1" applyFill="1" applyBorder="1" applyAlignment="1" applyProtection="1">
      <alignment horizontal="center" vertical="center" wrapText="1"/>
      <protection hidden="1"/>
    </xf>
    <xf numFmtId="0" fontId="1" fillId="5" borderId="24" xfId="0" applyFont="1" applyFill="1" applyBorder="1" applyAlignment="1" applyProtection="1">
      <alignment horizontal="center" vertical="center" wrapText="1"/>
      <protection hidden="1"/>
    </xf>
    <xf numFmtId="0" fontId="7" fillId="5" borderId="12" xfId="0" applyFont="1" applyFill="1" applyBorder="1" applyAlignment="1" applyProtection="1">
      <alignment horizontal="center" vertical="center" wrapText="1"/>
      <protection hidden="1"/>
    </xf>
    <xf numFmtId="0" fontId="7" fillId="5" borderId="13" xfId="0" applyFont="1" applyFill="1" applyBorder="1" applyAlignment="1" applyProtection="1">
      <alignment horizontal="center" vertical="center" wrapText="1"/>
      <protection hidden="1"/>
    </xf>
    <xf numFmtId="0" fontId="7" fillId="5" borderId="24" xfId="0" applyFont="1" applyFill="1" applyBorder="1" applyAlignment="1" applyProtection="1">
      <alignment horizontal="center" vertical="center" wrapText="1"/>
      <protection hidden="1"/>
    </xf>
    <xf numFmtId="2" fontId="1" fillId="5" borderId="15" xfId="0" applyNumberFormat="1" applyFont="1" applyFill="1" applyBorder="1" applyAlignment="1" applyProtection="1">
      <alignment horizontal="center" vertical="center" wrapText="1"/>
      <protection hidden="1"/>
    </xf>
    <xf numFmtId="2" fontId="1" fillId="5" borderId="18" xfId="0" applyNumberFormat="1" applyFont="1" applyFill="1" applyBorder="1" applyAlignment="1" applyProtection="1">
      <alignment horizontal="center" vertical="center" wrapText="1"/>
      <protection hidden="1"/>
    </xf>
    <xf numFmtId="0" fontId="1" fillId="5" borderId="15" xfId="0" applyFont="1" applyFill="1" applyBorder="1" applyAlignment="1" applyProtection="1">
      <alignment horizontal="center" vertical="center" wrapText="1"/>
      <protection hidden="1"/>
    </xf>
    <xf numFmtId="0" fontId="1" fillId="5" borderId="18" xfId="0" applyFont="1" applyFill="1" applyBorder="1" applyAlignment="1" applyProtection="1">
      <alignment horizontal="center" vertical="center" wrapText="1"/>
      <protection hidden="1"/>
    </xf>
    <xf numFmtId="0" fontId="1" fillId="7" borderId="15" xfId="0" applyFont="1" applyFill="1" applyBorder="1" applyAlignment="1" applyProtection="1">
      <alignment horizontal="center" vertical="center" wrapText="1"/>
      <protection hidden="1"/>
    </xf>
    <xf numFmtId="0" fontId="1" fillId="7" borderId="18" xfId="0" applyFont="1" applyFill="1" applyBorder="1" applyAlignment="1" applyProtection="1">
      <alignment horizontal="center" vertical="center" wrapText="1"/>
      <protection hidden="1"/>
    </xf>
    <xf numFmtId="0" fontId="7" fillId="7" borderId="12" xfId="0" applyFont="1" applyFill="1" applyBorder="1" applyAlignment="1" applyProtection="1">
      <alignment horizontal="center" vertical="center" wrapText="1"/>
      <protection hidden="1"/>
    </xf>
    <xf numFmtId="0" fontId="7" fillId="7" borderId="13" xfId="0" applyFont="1" applyFill="1" applyBorder="1" applyAlignment="1" applyProtection="1">
      <alignment horizontal="center" vertical="center" wrapText="1"/>
      <protection hidden="1"/>
    </xf>
    <xf numFmtId="0" fontId="7" fillId="7" borderId="24" xfId="0" applyFont="1" applyFill="1" applyBorder="1" applyAlignment="1" applyProtection="1">
      <alignment horizontal="center" vertical="center" wrapText="1"/>
      <protection hidden="1"/>
    </xf>
    <xf numFmtId="0" fontId="7" fillId="8" borderId="15" xfId="0" applyFont="1" applyFill="1" applyBorder="1" applyAlignment="1" applyProtection="1">
      <alignment horizontal="center" vertical="center" wrapText="1"/>
      <protection hidden="1"/>
    </xf>
    <xf numFmtId="0" fontId="7" fillId="8" borderId="16" xfId="0" applyFont="1" applyFill="1" applyBorder="1" applyAlignment="1" applyProtection="1">
      <alignment horizontal="center" vertical="center" wrapText="1"/>
      <protection hidden="1"/>
    </xf>
    <xf numFmtId="0" fontId="7" fillId="8" borderId="18" xfId="0" applyFont="1" applyFill="1" applyBorder="1" applyAlignment="1" applyProtection="1">
      <alignment horizontal="center" vertical="center" wrapText="1"/>
      <protection hidden="1"/>
    </xf>
    <xf numFmtId="0" fontId="1" fillId="5" borderId="0" xfId="0" applyFont="1" applyFill="1" applyAlignment="1" applyProtection="1">
      <alignment horizontal="left" vertical="center" wrapText="1" indent="4"/>
      <protection hidden="1"/>
    </xf>
    <xf numFmtId="0" fontId="1" fillId="5" borderId="0" xfId="0" applyFont="1" applyFill="1" applyAlignment="1" applyProtection="1">
      <alignment horizontal="center" vertical="center" wrapText="1"/>
      <protection hidden="1"/>
    </xf>
    <xf numFmtId="0" fontId="1" fillId="5" borderId="0" xfId="0" applyFont="1" applyFill="1" applyAlignment="1" applyProtection="1">
      <alignment vertical="center" wrapText="1"/>
      <protection hidden="1"/>
    </xf>
    <xf numFmtId="0" fontId="8" fillId="0" borderId="6" xfId="0" applyFont="1" applyBorder="1" applyAlignment="1" applyProtection="1">
      <alignment horizontal="center" vertical="center"/>
      <protection hidden="1"/>
    </xf>
    <xf numFmtId="0" fontId="8" fillId="0" borderId="7" xfId="0" applyFont="1" applyBorder="1" applyAlignment="1" applyProtection="1">
      <alignment horizontal="center" vertical="center"/>
      <protection hidden="1"/>
    </xf>
    <xf numFmtId="0" fontId="8" fillId="0" borderId="22" xfId="0" applyFont="1" applyBorder="1" applyAlignment="1" applyProtection="1">
      <alignment horizontal="center" vertical="center"/>
      <protection hidden="1"/>
    </xf>
    <xf numFmtId="0" fontId="7" fillId="2" borderId="10" xfId="0" applyFont="1" applyFill="1" applyBorder="1" applyAlignment="1" applyProtection="1">
      <alignment horizontal="left" vertical="center" wrapText="1" indent="4"/>
      <protection hidden="1"/>
    </xf>
    <xf numFmtId="0" fontId="8" fillId="0" borderId="11" xfId="0" applyFont="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8" fillId="0" borderId="23" xfId="0" applyFont="1" applyBorder="1" applyAlignment="1" applyProtection="1">
      <alignment horizontal="center" vertical="center"/>
      <protection hidden="1"/>
    </xf>
    <xf numFmtId="0" fontId="7" fillId="5" borderId="10" xfId="0" applyFont="1" applyFill="1" applyBorder="1" applyAlignment="1" applyProtection="1">
      <alignment horizontal="center" vertical="center" wrapText="1"/>
      <protection hidden="1"/>
    </xf>
    <xf numFmtId="0" fontId="8" fillId="0" borderId="12" xfId="0" applyFont="1" applyBorder="1" applyAlignment="1" applyProtection="1">
      <alignment horizontal="center" vertical="center"/>
      <protection hidden="1"/>
    </xf>
    <xf numFmtId="0" fontId="8" fillId="0" borderId="13" xfId="0" applyFont="1" applyBorder="1" applyAlignment="1" applyProtection="1">
      <alignment horizontal="center" vertical="center"/>
      <protection hidden="1"/>
    </xf>
    <xf numFmtId="0" fontId="8" fillId="0" borderId="24" xfId="0" applyFont="1" applyBorder="1" applyAlignment="1" applyProtection="1">
      <alignment horizontal="center" vertical="center"/>
      <protection hidden="1"/>
    </xf>
    <xf numFmtId="0" fontId="7" fillId="5" borderId="19" xfId="0" applyFont="1" applyFill="1" applyBorder="1" applyAlignment="1" applyProtection="1">
      <alignment horizontal="center" vertical="center" wrapText="1"/>
      <protection hidden="1"/>
    </xf>
    <xf numFmtId="0" fontId="1" fillId="5" borderId="15" xfId="0" applyFont="1" applyFill="1" applyBorder="1" applyAlignment="1" applyProtection="1">
      <alignment horizontal="left" vertical="center"/>
      <protection hidden="1"/>
    </xf>
    <xf numFmtId="0" fontId="1" fillId="5" borderId="16" xfId="0" applyFont="1" applyFill="1" applyBorder="1" applyAlignment="1" applyProtection="1">
      <alignment horizontal="left" vertical="center"/>
      <protection hidden="1"/>
    </xf>
    <xf numFmtId="0" fontId="1" fillId="5" borderId="18" xfId="0" applyFont="1" applyFill="1" applyBorder="1" applyAlignment="1" applyProtection="1">
      <alignment horizontal="left" vertical="center"/>
      <protection hidden="1"/>
    </xf>
    <xf numFmtId="0" fontId="1" fillId="9" borderId="10" xfId="0" applyFont="1" applyFill="1" applyBorder="1" applyAlignment="1" applyProtection="1">
      <alignment horizontal="center" vertical="center"/>
      <protection hidden="1"/>
    </xf>
    <xf numFmtId="0" fontId="8" fillId="5" borderId="19" xfId="0" applyFont="1" applyFill="1" applyBorder="1" applyAlignment="1" applyProtection="1">
      <alignment horizontal="center" vertical="center" wrapText="1"/>
      <protection hidden="1"/>
    </xf>
    <xf numFmtId="0" fontId="1" fillId="2" borderId="10" xfId="0" applyFont="1" applyFill="1" applyBorder="1" applyAlignment="1" applyProtection="1">
      <alignment horizontal="center" vertical="center" wrapText="1"/>
      <protection hidden="1"/>
    </xf>
    <xf numFmtId="0" fontId="8" fillId="5" borderId="11" xfId="0" applyFont="1" applyFill="1" applyBorder="1" applyAlignment="1" applyProtection="1">
      <alignment horizontal="center" vertical="center" wrapText="1"/>
      <protection hidden="1"/>
    </xf>
    <xf numFmtId="0" fontId="8" fillId="5" borderId="23"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9" fontId="10" fillId="5" borderId="19" xfId="0" applyNumberFormat="1" applyFont="1" applyFill="1" applyBorder="1" applyAlignment="1" applyProtection="1">
      <alignment horizontal="center" vertical="center" wrapText="1"/>
      <protection hidden="1"/>
    </xf>
    <xf numFmtId="164" fontId="1" fillId="5" borderId="10" xfId="0" applyNumberFormat="1" applyFont="1" applyFill="1" applyBorder="1" applyAlignment="1" applyProtection="1">
      <alignment horizontal="center" vertical="center" wrapText="1"/>
      <protection hidden="1"/>
    </xf>
    <xf numFmtId="0" fontId="10" fillId="5" borderId="20" xfId="0" applyFont="1" applyFill="1" applyBorder="1" applyAlignment="1" applyProtection="1">
      <alignment horizontal="center" vertical="center" wrapText="1"/>
      <protection hidden="1"/>
    </xf>
    <xf numFmtId="0" fontId="10" fillId="5" borderId="21" xfId="0" applyFont="1" applyFill="1" applyBorder="1" applyAlignment="1" applyProtection="1">
      <alignment horizontal="center" vertical="center" wrapText="1"/>
      <protection hidden="1"/>
    </xf>
    <xf numFmtId="0" fontId="8" fillId="5" borderId="12" xfId="0" applyFont="1" applyFill="1" applyBorder="1" applyAlignment="1" applyProtection="1">
      <alignment horizontal="center" vertical="center" wrapText="1"/>
      <protection hidden="1"/>
    </xf>
    <xf numFmtId="0" fontId="8" fillId="5" borderId="24" xfId="0" applyFont="1" applyFill="1" applyBorder="1" applyAlignment="1" applyProtection="1">
      <alignment horizontal="center" vertical="center" wrapText="1"/>
      <protection hidden="1"/>
    </xf>
    <xf numFmtId="0" fontId="8" fillId="5" borderId="21" xfId="0" applyFont="1" applyFill="1" applyBorder="1" applyAlignment="1" applyProtection="1">
      <alignment horizontal="center" vertical="center" wrapText="1"/>
      <protection hidden="1"/>
    </xf>
    <xf numFmtId="0" fontId="7" fillId="4" borderId="10" xfId="0" applyFont="1" applyFill="1" applyBorder="1" applyAlignment="1" applyProtection="1">
      <alignment horizontal="center" vertical="center" wrapText="1"/>
      <protection hidden="1"/>
    </xf>
    <xf numFmtId="0" fontId="1" fillId="4" borderId="10" xfId="0" applyFont="1" applyFill="1" applyBorder="1" applyAlignment="1" applyProtection="1">
      <alignment horizontal="center" vertical="center" wrapText="1"/>
      <protection hidden="1"/>
    </xf>
    <xf numFmtId="0" fontId="1" fillId="4" borderId="15" xfId="0" applyFont="1" applyFill="1" applyBorder="1" applyAlignment="1" applyProtection="1">
      <alignment horizontal="center" vertical="center" wrapText="1"/>
      <protection hidden="1"/>
    </xf>
    <xf numFmtId="0" fontId="1" fillId="4" borderId="18" xfId="0" applyFont="1" applyFill="1" applyBorder="1" applyAlignment="1" applyProtection="1">
      <alignment horizontal="center" vertical="center" wrapText="1"/>
      <protection hidden="1"/>
    </xf>
    <xf numFmtId="0" fontId="1" fillId="5" borderId="10" xfId="0" applyFont="1" applyFill="1" applyBorder="1" applyAlignment="1" applyProtection="1">
      <alignment horizontal="left" vertical="center" wrapText="1" indent="2"/>
      <protection hidden="1"/>
    </xf>
    <xf numFmtId="2" fontId="7" fillId="5" borderId="10" xfId="0" applyNumberFormat="1" applyFont="1" applyFill="1" applyBorder="1" applyAlignment="1" applyProtection="1">
      <alignment horizontal="left" vertical="center" wrapText="1" indent="2"/>
      <protection hidden="1"/>
    </xf>
    <xf numFmtId="0" fontId="7" fillId="8" borderId="10" xfId="0" applyFont="1" applyFill="1" applyBorder="1" applyAlignment="1" applyProtection="1">
      <alignment horizontal="center" vertical="center" wrapText="1"/>
      <protection hidden="1"/>
    </xf>
    <xf numFmtId="2" fontId="7" fillId="5" borderId="0" xfId="0" applyNumberFormat="1" applyFont="1" applyFill="1" applyAlignment="1" applyProtection="1">
      <alignment horizontal="left" vertical="center" wrapText="1" indent="2"/>
      <protection hidden="1"/>
    </xf>
    <xf numFmtId="0" fontId="7" fillId="0" borderId="0" xfId="0" applyFont="1" applyAlignment="1" applyProtection="1">
      <alignment horizontal="center" vertical="center" wrapText="1"/>
      <protection hidden="1"/>
    </xf>
    <xf numFmtId="0" fontId="5" fillId="4" borderId="0" xfId="0" applyFont="1" applyFill="1" applyAlignment="1" applyProtection="1">
      <alignment horizontal="left" vertical="center" wrapText="1" indent="2"/>
      <protection hidden="1"/>
    </xf>
    <xf numFmtId="0" fontId="2" fillId="4" borderId="0" xfId="0" applyFont="1" applyFill="1" applyAlignment="1" applyProtection="1">
      <alignment horizontal="left" vertical="center" wrapText="1"/>
      <protection hidden="1"/>
    </xf>
    <xf numFmtId="0" fontId="2" fillId="0" borderId="0" xfId="0" applyFont="1" applyAlignment="1" applyProtection="1">
      <alignment vertical="center"/>
      <protection hidden="1"/>
    </xf>
    <xf numFmtId="0" fontId="5" fillId="0" borderId="0" xfId="0" applyFont="1" applyAlignment="1" applyProtection="1">
      <alignment horizontal="left" vertical="center" wrapText="1" indent="2"/>
      <protection hidden="1"/>
    </xf>
    <xf numFmtId="0" fontId="2" fillId="0" borderId="0" xfId="0" applyFont="1" applyAlignment="1" applyProtection="1">
      <alignment horizontal="left" vertical="center" wrapText="1"/>
      <protection hidden="1"/>
    </xf>
    <xf numFmtId="0" fontId="2" fillId="0" borderId="0" xfId="0" applyFont="1" applyAlignment="1" applyProtection="1">
      <alignment horizontal="left" vertical="center" wrapText="1" indent="2"/>
      <protection hidden="1"/>
    </xf>
    <xf numFmtId="0" fontId="5" fillId="0" borderId="0" xfId="0" applyFont="1" applyAlignment="1" applyProtection="1">
      <alignment horizontal="left" vertical="center" wrapText="1" indent="4"/>
      <protection hidden="1"/>
    </xf>
    <xf numFmtId="0" fontId="7" fillId="5" borderId="25" xfId="0" applyFont="1" applyFill="1" applyBorder="1" applyAlignment="1" applyProtection="1">
      <alignment horizontal="center" vertical="center" wrapText="1"/>
      <protection hidden="1"/>
    </xf>
    <xf numFmtId="0" fontId="7" fillId="5" borderId="20" xfId="0" applyFont="1" applyFill="1" applyBorder="1" applyAlignment="1" applyProtection="1">
      <alignment horizontal="center" vertical="center" wrapText="1"/>
      <protection hidden="1"/>
    </xf>
    <xf numFmtId="0" fontId="11" fillId="5" borderId="19" xfId="0" applyFont="1" applyFill="1" applyBorder="1" applyAlignment="1" applyProtection="1">
      <alignment horizontal="center" vertical="center" wrapText="1"/>
      <protection hidden="1"/>
    </xf>
    <xf numFmtId="0" fontId="7" fillId="7" borderId="19" xfId="0" applyFont="1" applyFill="1" applyBorder="1" applyAlignment="1" applyProtection="1">
      <alignment horizontal="center" vertical="center" wrapText="1"/>
      <protection hidden="1"/>
    </xf>
    <xf numFmtId="0" fontId="11" fillId="5" borderId="10" xfId="0" applyFont="1" applyFill="1" applyBorder="1" applyAlignment="1" applyProtection="1">
      <alignment horizontal="center" vertical="center" wrapText="1"/>
      <protection hidden="1"/>
    </xf>
    <xf numFmtId="0" fontId="7" fillId="7" borderId="10" xfId="0" applyFont="1" applyFill="1" applyBorder="1" applyAlignment="1" applyProtection="1">
      <alignment horizontal="center" vertical="center" wrapText="1"/>
      <protection hidden="1"/>
    </xf>
    <xf numFmtId="0" fontId="11" fillId="5" borderId="0" xfId="0" applyFont="1" applyFill="1" applyAlignment="1" applyProtection="1">
      <alignment horizontal="center" vertical="center" wrapText="1"/>
      <protection hidden="1"/>
    </xf>
    <xf numFmtId="0" fontId="1" fillId="0" borderId="0" xfId="0" applyFont="1" applyAlignment="1" applyProtection="1">
      <alignment horizontal="left" vertical="center" indent="2"/>
      <protection hidden="1"/>
    </xf>
    <xf numFmtId="0" fontId="1" fillId="3" borderId="4" xfId="0" applyFont="1" applyFill="1" applyBorder="1" applyAlignment="1" applyProtection="1">
      <alignment horizontal="left" vertical="center" indent="2"/>
      <protection hidden="1"/>
    </xf>
    <xf numFmtId="0" fontId="1" fillId="3" borderId="5" xfId="0" applyFont="1" applyFill="1" applyBorder="1" applyAlignment="1" applyProtection="1">
      <alignment horizontal="left" vertical="center" indent="2"/>
      <protection hidden="1"/>
    </xf>
    <xf numFmtId="0" fontId="1" fillId="0" borderId="0" xfId="0" applyFont="1" applyAlignment="1" applyProtection="1">
      <alignment horizontal="left" vertical="center"/>
      <protection hidden="1"/>
    </xf>
    <xf numFmtId="0" fontId="1" fillId="3" borderId="4" xfId="0" applyFont="1" applyFill="1" applyBorder="1" applyAlignment="1" applyProtection="1">
      <alignment horizontal="left" vertical="center"/>
      <protection hidden="1"/>
    </xf>
    <xf numFmtId="0" fontId="1" fillId="3" borderId="5" xfId="0" applyFont="1" applyFill="1" applyBorder="1" applyAlignment="1" applyProtection="1">
      <alignment horizontal="left" vertical="center"/>
      <protection hidden="1"/>
    </xf>
    <xf numFmtId="0" fontId="1" fillId="2" borderId="26"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1" fillId="2" borderId="28" xfId="0" applyFont="1" applyFill="1" applyBorder="1" applyAlignment="1" applyProtection="1">
      <alignment horizontal="center" vertical="center" wrapText="1"/>
      <protection hidden="1"/>
    </xf>
    <xf numFmtId="0" fontId="8" fillId="5" borderId="29" xfId="0" applyFont="1" applyFill="1" applyBorder="1" applyAlignment="1" applyProtection="1">
      <alignment horizontal="center" vertical="center" wrapText="1"/>
      <protection hidden="1"/>
    </xf>
    <xf numFmtId="0" fontId="8" fillId="5" borderId="30" xfId="0" applyFont="1" applyFill="1" applyBorder="1" applyAlignment="1" applyProtection="1">
      <alignment horizontal="center" vertical="center" wrapText="1"/>
      <protection hidden="1"/>
    </xf>
    <xf numFmtId="0" fontId="8" fillId="5" borderId="31" xfId="0" applyFont="1" applyFill="1" applyBorder="1" applyAlignment="1" applyProtection="1">
      <alignment horizontal="center" vertical="center" wrapText="1"/>
      <protection hidden="1"/>
    </xf>
    <xf numFmtId="0" fontId="12" fillId="5" borderId="0" xfId="0" applyFont="1" applyFill="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7" fillId="5" borderId="32" xfId="0" applyFont="1" applyFill="1" applyBorder="1" applyAlignment="1" applyProtection="1">
      <alignment horizontal="center" vertical="center"/>
      <protection hidden="1"/>
    </xf>
    <xf numFmtId="164" fontId="1" fillId="6" borderId="10" xfId="0" applyNumberFormat="1" applyFont="1" applyFill="1" applyBorder="1" applyAlignment="1" applyProtection="1">
      <alignment horizontal="center" vertical="center"/>
      <protection hidden="1"/>
    </xf>
    <xf numFmtId="0" fontId="13" fillId="4" borderId="33" xfId="0" applyFont="1" applyFill="1" applyBorder="1" applyAlignment="1" applyProtection="1">
      <alignment horizontal="center" vertical="center"/>
      <protection hidden="1"/>
    </xf>
    <xf numFmtId="0" fontId="13" fillId="4" borderId="34" xfId="0" applyFont="1" applyFill="1" applyBorder="1" applyAlignment="1" applyProtection="1">
      <alignment horizontal="center" vertical="center"/>
      <protection hidden="1"/>
    </xf>
    <xf numFmtId="0" fontId="13" fillId="4" borderId="35" xfId="0" applyFont="1" applyFill="1" applyBorder="1" applyAlignment="1" applyProtection="1">
      <alignment horizontal="center" vertical="center"/>
      <protection hidden="1"/>
    </xf>
    <xf numFmtId="0" fontId="1" fillId="5" borderId="36" xfId="0" applyFont="1" applyFill="1" applyBorder="1" applyAlignment="1" applyProtection="1">
      <alignment horizontal="center" vertical="center"/>
      <protection hidden="1"/>
    </xf>
    <xf numFmtId="0" fontId="7" fillId="5" borderId="37" xfId="0" applyFont="1" applyFill="1" applyBorder="1" applyAlignment="1" applyProtection="1">
      <alignment horizontal="center" vertical="center"/>
      <protection hidden="1"/>
    </xf>
    <xf numFmtId="0" fontId="7" fillId="5" borderId="38" xfId="0" applyFont="1" applyFill="1" applyBorder="1" applyAlignment="1" applyProtection="1">
      <alignment horizontal="center" vertical="center"/>
      <protection hidden="1"/>
    </xf>
    <xf numFmtId="0" fontId="1" fillId="5" borderId="38" xfId="0" applyFont="1" applyFill="1" applyBorder="1" applyAlignment="1" applyProtection="1">
      <alignment horizontal="center" vertical="center"/>
      <protection hidden="1"/>
    </xf>
    <xf numFmtId="0" fontId="1" fillId="5" borderId="39" xfId="0" applyFont="1" applyFill="1" applyBorder="1" applyAlignment="1" applyProtection="1">
      <alignment horizontal="center" vertical="center"/>
      <protection hidden="1"/>
    </xf>
    <xf numFmtId="0" fontId="1" fillId="3" borderId="40" xfId="0" applyFont="1" applyFill="1" applyBorder="1" applyAlignment="1" applyProtection="1">
      <alignment vertical="center"/>
      <protection hidden="1"/>
    </xf>
    <xf numFmtId="0" fontId="1" fillId="3" borderId="41" xfId="0" applyFont="1" applyFill="1" applyBorder="1" applyAlignment="1" applyProtection="1">
      <alignment vertical="center"/>
      <protection hidden="1"/>
    </xf>
    <xf numFmtId="0" fontId="1" fillId="3" borderId="42" xfId="0" applyFont="1" applyFill="1" applyBorder="1" applyAlignment="1" applyProtection="1">
      <alignment vertical="center"/>
      <protection hidden="1"/>
    </xf>
    <xf numFmtId="0" fontId="1" fillId="0" borderId="0" xfId="0" applyFont="1" applyAlignment="1" applyProtection="1">
      <alignment horizontal="center" vertical="center"/>
      <protection hidden="1"/>
    </xf>
    <xf numFmtId="0" fontId="1" fillId="5" borderId="0" xfId="0" applyFont="1" applyFill="1" applyAlignment="1" applyProtection="1">
      <alignment horizontal="center" vertical="center"/>
      <protection hidden="1"/>
    </xf>
    <xf numFmtId="0" fontId="1" fillId="2" borderId="1" xfId="0" applyFont="1" applyFill="1" applyBorder="1" applyAlignment="1" applyProtection="1">
      <alignment vertical="center"/>
      <protection hidden="1"/>
    </xf>
    <xf numFmtId="0" fontId="1" fillId="2" borderId="3" xfId="0" applyFont="1" applyFill="1" applyBorder="1" applyAlignment="1" applyProtection="1">
      <alignment vertical="center"/>
      <protection hidden="1"/>
    </xf>
    <xf numFmtId="0" fontId="1" fillId="2" borderId="4" xfId="0" applyFont="1" applyFill="1" applyBorder="1" applyAlignment="1" applyProtection="1">
      <alignment vertical="center"/>
      <protection hidden="1"/>
    </xf>
    <xf numFmtId="0" fontId="3" fillId="2" borderId="0" xfId="0" applyFont="1" applyFill="1" applyAlignment="1" applyProtection="1">
      <alignment horizontal="center" vertical="center"/>
      <protection hidden="1"/>
    </xf>
    <xf numFmtId="0" fontId="1" fillId="2" borderId="5" xfId="0" applyFont="1" applyFill="1" applyBorder="1" applyAlignment="1" applyProtection="1">
      <alignment vertical="center"/>
      <protection hidden="1"/>
    </xf>
    <xf numFmtId="0" fontId="1" fillId="4" borderId="0" xfId="0" applyFont="1" applyFill="1" applyAlignment="1" applyProtection="1">
      <alignment vertical="center"/>
      <protection hidden="1"/>
    </xf>
    <xf numFmtId="0" fontId="5" fillId="4" borderId="0" xfId="0"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0" fontId="1" fillId="2" borderId="4" xfId="0" applyFont="1" applyFill="1" applyBorder="1" applyAlignment="1" applyProtection="1">
      <alignment horizontal="left" vertical="center"/>
      <protection hidden="1"/>
    </xf>
    <xf numFmtId="0" fontId="8" fillId="5" borderId="43" xfId="0" applyFont="1" applyFill="1" applyBorder="1" applyAlignment="1" applyProtection="1">
      <alignment horizontal="center" vertical="center"/>
      <protection hidden="1"/>
    </xf>
    <xf numFmtId="0" fontId="1" fillId="5" borderId="44" xfId="0" applyFont="1" applyFill="1" applyBorder="1" applyAlignment="1" applyProtection="1">
      <alignment horizontal="center" vertical="center" wrapText="1"/>
      <protection hidden="1"/>
    </xf>
    <xf numFmtId="0" fontId="1" fillId="5" borderId="43" xfId="0" applyFont="1" applyFill="1" applyBorder="1" applyAlignment="1" applyProtection="1">
      <alignment horizontal="left" vertical="center" wrapText="1"/>
      <protection hidden="1"/>
    </xf>
    <xf numFmtId="0" fontId="1" fillId="2" borderId="5" xfId="0" applyFont="1" applyFill="1" applyBorder="1" applyAlignment="1" applyProtection="1">
      <alignment horizontal="left" vertical="center"/>
      <protection hidden="1"/>
    </xf>
    <xf numFmtId="0" fontId="8" fillId="5" borderId="45" xfId="0" applyFont="1" applyFill="1" applyBorder="1" applyAlignment="1" applyProtection="1">
      <alignment horizontal="center" vertical="center"/>
      <protection hidden="1"/>
    </xf>
    <xf numFmtId="0" fontId="1" fillId="5" borderId="46" xfId="0" applyFont="1" applyFill="1" applyBorder="1" applyAlignment="1" applyProtection="1">
      <alignment horizontal="center" vertical="center" wrapText="1"/>
      <protection hidden="1"/>
    </xf>
    <xf numFmtId="0" fontId="1" fillId="5" borderId="45" xfId="0" applyFont="1" applyFill="1" applyBorder="1" applyAlignment="1" applyProtection="1">
      <alignment horizontal="left" vertical="center" wrapText="1"/>
      <protection hidden="1"/>
    </xf>
    <xf numFmtId="0" fontId="1" fillId="2" borderId="40" xfId="0" applyFont="1" applyFill="1" applyBorder="1" applyAlignment="1" applyProtection="1">
      <alignment vertical="center"/>
      <protection hidden="1"/>
    </xf>
    <xf numFmtId="0" fontId="1" fillId="2" borderId="41" xfId="0" applyFont="1" applyFill="1" applyBorder="1" applyAlignment="1" applyProtection="1">
      <alignment vertical="center"/>
      <protection hidden="1"/>
    </xf>
    <xf numFmtId="0" fontId="1" fillId="2" borderId="41" xfId="0" applyFont="1" applyFill="1" applyBorder="1" applyAlignment="1" applyProtection="1">
      <alignment horizontal="center" vertical="center"/>
      <protection hidden="1"/>
    </xf>
    <xf numFmtId="0" fontId="1" fillId="2" borderId="42" xfId="0" applyFont="1" applyFill="1" applyBorder="1" applyAlignment="1" applyProtection="1">
      <alignment vertical="center"/>
      <protection hidden="1"/>
    </xf>
    <xf numFmtId="0" fontId="1" fillId="2" borderId="1" xfId="0" applyFont="1" applyFill="1" applyBorder="1" applyAlignment="1" applyProtection="1">
      <alignment horizontal="center" vertical="center"/>
      <protection hidden="1"/>
    </xf>
    <xf numFmtId="0" fontId="3" fillId="2" borderId="2" xfId="0" applyFont="1" applyFill="1" applyBorder="1" applyAlignment="1" applyProtection="1">
      <alignment horizontal="center" wrapText="1"/>
      <protection hidden="1"/>
    </xf>
    <xf numFmtId="0" fontId="1" fillId="2" borderId="3" xfId="0" applyFont="1" applyFill="1" applyBorder="1" applyAlignment="1" applyProtection="1">
      <alignment horizontal="center" vertical="center"/>
      <protection hidden="1"/>
    </xf>
    <xf numFmtId="0" fontId="1" fillId="3" borderId="4" xfId="0" applyFont="1" applyFill="1" applyBorder="1" applyAlignment="1" applyProtection="1">
      <alignment horizontal="center" vertical="center"/>
      <protection hidden="1"/>
    </xf>
    <xf numFmtId="0" fontId="1" fillId="3" borderId="0" xfId="0" applyFont="1" applyFill="1" applyAlignment="1" applyProtection="1">
      <alignment horizontal="center" vertical="center"/>
      <protection hidden="1"/>
    </xf>
    <xf numFmtId="0" fontId="14" fillId="3" borderId="0" xfId="0" applyFont="1" applyFill="1" applyAlignment="1" applyProtection="1">
      <alignment horizontal="center" vertical="center"/>
      <protection hidden="1"/>
    </xf>
    <xf numFmtId="0" fontId="1" fillId="3" borderId="5" xfId="0" applyFont="1" applyFill="1" applyBorder="1" applyAlignment="1" applyProtection="1">
      <alignment horizontal="center" vertical="center"/>
      <protection hidden="1"/>
    </xf>
    <xf numFmtId="0" fontId="2" fillId="4" borderId="6" xfId="0" applyFont="1" applyFill="1" applyBorder="1" applyAlignment="1" applyProtection="1">
      <alignment horizontal="center" vertical="center"/>
      <protection hidden="1"/>
    </xf>
    <xf numFmtId="0" fontId="4" fillId="4" borderId="7" xfId="0" applyFont="1" applyFill="1" applyBorder="1" applyAlignment="1" applyProtection="1">
      <alignment horizontal="left" vertical="center"/>
      <protection hidden="1"/>
    </xf>
    <xf numFmtId="0" fontId="15" fillId="4" borderId="7" xfId="0" applyFont="1" applyFill="1" applyBorder="1" applyAlignment="1" applyProtection="1">
      <alignment horizontal="center" vertical="center"/>
      <protection hidden="1"/>
    </xf>
    <xf numFmtId="0" fontId="15" fillId="4" borderId="22" xfId="0" applyFont="1" applyFill="1" applyBorder="1" applyAlignment="1" applyProtection="1">
      <alignment horizontal="center" vertical="center"/>
      <protection hidden="1"/>
    </xf>
    <xf numFmtId="0" fontId="15" fillId="4" borderId="47" xfId="0" applyFont="1" applyFill="1" applyBorder="1" applyAlignment="1" applyProtection="1">
      <alignment horizontal="center" vertical="center"/>
      <protection hidden="1"/>
    </xf>
    <xf numFmtId="0" fontId="4" fillId="4" borderId="48" xfId="0" applyFont="1" applyFill="1" applyBorder="1" applyAlignment="1" applyProtection="1">
      <alignment horizontal="left" vertical="center"/>
      <protection hidden="1"/>
    </xf>
    <xf numFmtId="0" fontId="2" fillId="4" borderId="48" xfId="0" applyFont="1" applyFill="1" applyBorder="1" applyAlignment="1" applyProtection="1">
      <alignment horizontal="center" vertical="center"/>
      <protection hidden="1"/>
    </xf>
    <xf numFmtId="0" fontId="2" fillId="4" borderId="49" xfId="0" applyFont="1" applyFill="1" applyBorder="1" applyAlignment="1" applyProtection="1">
      <alignment horizontal="center" vertical="center"/>
      <protection hidden="1"/>
    </xf>
    <xf numFmtId="0" fontId="1" fillId="0" borderId="11"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5" fillId="0" borderId="50" xfId="0" applyFont="1" applyBorder="1" applyAlignment="1" applyProtection="1">
      <alignment horizontal="center" vertical="center"/>
      <protection hidden="1"/>
    </xf>
    <xf numFmtId="0" fontId="16" fillId="0" borderId="2" xfId="0" applyFont="1" applyBorder="1" applyAlignment="1" applyProtection="1">
      <alignment horizontal="left" vertical="center"/>
      <protection hidden="1"/>
    </xf>
    <xf numFmtId="0" fontId="2" fillId="0" borderId="2" xfId="0" applyFont="1" applyBorder="1" applyAlignment="1" applyProtection="1">
      <alignment horizontal="center" vertical="center"/>
      <protection hidden="1"/>
    </xf>
    <xf numFmtId="0" fontId="2" fillId="0" borderId="51" xfId="0" applyFont="1" applyBorder="1" applyAlignment="1" applyProtection="1">
      <alignment horizontal="center" vertical="center"/>
      <protection hidden="1"/>
    </xf>
    <xf numFmtId="0" fontId="14" fillId="0" borderId="15" xfId="0" applyFont="1" applyBorder="1" applyAlignment="1" applyProtection="1">
      <alignment horizontal="left" vertical="center" indent="1"/>
      <protection hidden="1"/>
    </xf>
    <xf numFmtId="0" fontId="14" fillId="0" borderId="16" xfId="0" applyFont="1" applyBorder="1" applyAlignment="1" applyProtection="1">
      <alignment horizontal="left" vertical="center" indent="1"/>
      <protection hidden="1"/>
    </xf>
    <xf numFmtId="0" fontId="8" fillId="0" borderId="16" xfId="0" applyFont="1" applyBorder="1" applyAlignment="1" applyProtection="1">
      <alignment horizontal="center" vertical="center"/>
      <protection hidden="1"/>
    </xf>
    <xf numFmtId="0" fontId="8" fillId="0" borderId="16" xfId="0" applyFont="1" applyBorder="1" applyAlignment="1" applyProtection="1">
      <alignment horizontal="left" vertical="center"/>
      <protection locked="0"/>
    </xf>
    <xf numFmtId="0" fontId="8" fillId="0" borderId="18" xfId="0" applyFont="1" applyBorder="1" applyAlignment="1" applyProtection="1">
      <alignment horizontal="left" vertical="center"/>
      <protection locked="0"/>
    </xf>
    <xf numFmtId="0" fontId="14" fillId="0" borderId="23" xfId="0" applyFont="1" applyBorder="1" applyAlignment="1" applyProtection="1">
      <alignment horizontal="center" vertical="center"/>
      <protection hidden="1"/>
    </xf>
    <xf numFmtId="0" fontId="7" fillId="2" borderId="10" xfId="0" applyFont="1" applyFill="1" applyBorder="1" applyAlignment="1" applyProtection="1">
      <alignment horizontal="center" vertical="center"/>
      <protection hidden="1"/>
    </xf>
    <xf numFmtId="0" fontId="8" fillId="2" borderId="10" xfId="0" applyFont="1" applyFill="1" applyBorder="1" applyAlignment="1" applyProtection="1">
      <alignment horizontal="center" vertical="center"/>
      <protection hidden="1"/>
    </xf>
    <xf numFmtId="0" fontId="14" fillId="0" borderId="11" xfId="0" applyFont="1" applyBorder="1" applyAlignment="1" applyProtection="1">
      <alignment horizontal="center" vertical="center"/>
      <protection hidden="1"/>
    </xf>
    <xf numFmtId="0" fontId="1" fillId="0" borderId="10" xfId="0" applyFont="1" applyBorder="1" applyAlignment="1" applyProtection="1">
      <alignment horizontal="center" vertical="center"/>
      <protection locked="0"/>
    </xf>
    <xf numFmtId="0" fontId="1" fillId="0" borderId="10" xfId="0" applyFont="1" applyBorder="1" applyAlignment="1" applyProtection="1">
      <alignment horizontal="left" vertical="center" indent="1"/>
      <protection locked="0"/>
    </xf>
    <xf numFmtId="0" fontId="8" fillId="0" borderId="16" xfId="0" applyFont="1" applyBorder="1" applyAlignment="1" applyProtection="1">
      <alignment horizontal="left" vertical="center" indent="1"/>
      <protection hidden="1"/>
    </xf>
    <xf numFmtId="0" fontId="7" fillId="0" borderId="16" xfId="0" applyFont="1" applyBorder="1" applyAlignment="1" applyProtection="1">
      <alignment horizontal="center" vertical="center"/>
      <protection hidden="1"/>
    </xf>
    <xf numFmtId="0" fontId="14" fillId="0" borderId="6" xfId="0" applyFont="1" applyBorder="1" applyAlignment="1" applyProtection="1">
      <alignment horizontal="left" vertical="center" indent="1"/>
      <protection hidden="1"/>
    </xf>
    <xf numFmtId="0" fontId="14" fillId="0" borderId="7" xfId="0" applyFont="1" applyBorder="1" applyAlignment="1" applyProtection="1">
      <alignment horizontal="left" vertical="center" indent="1"/>
      <protection hidden="1"/>
    </xf>
    <xf numFmtId="0" fontId="7" fillId="0" borderId="7" xfId="0" applyFont="1" applyBorder="1" applyAlignment="1" applyProtection="1">
      <alignment horizontal="center" vertical="center"/>
      <protection hidden="1"/>
    </xf>
    <xf numFmtId="0" fontId="8" fillId="0" borderId="7" xfId="0" applyFont="1" applyBorder="1" applyAlignment="1" applyProtection="1">
      <alignment vertical="center" wrapText="1"/>
      <protection locked="0"/>
    </xf>
    <xf numFmtId="0" fontId="8" fillId="0" borderId="22" xfId="0" applyFont="1" applyBorder="1" applyAlignment="1" applyProtection="1">
      <alignment vertical="center" wrapText="1"/>
      <protection locked="0"/>
    </xf>
    <xf numFmtId="0" fontId="14" fillId="0" borderId="12" xfId="0" applyFont="1" applyBorder="1" applyAlignment="1" applyProtection="1">
      <alignment horizontal="left" vertical="center" indent="1"/>
      <protection hidden="1"/>
    </xf>
    <xf numFmtId="0" fontId="14" fillId="0" borderId="13" xfId="0" applyFont="1" applyBorder="1" applyAlignment="1" applyProtection="1">
      <alignment horizontal="left" vertical="center" indent="1"/>
      <protection hidden="1"/>
    </xf>
    <xf numFmtId="0" fontId="7" fillId="0" borderId="13" xfId="0" applyFont="1" applyBorder="1" applyAlignment="1" applyProtection="1">
      <alignment horizontal="center" vertical="center"/>
      <protection hidden="1"/>
    </xf>
    <xf numFmtId="0" fontId="8" fillId="0" borderId="13" xfId="0" applyFont="1" applyBorder="1" applyAlignment="1" applyProtection="1">
      <alignment vertical="center" wrapText="1"/>
      <protection locked="0"/>
    </xf>
    <xf numFmtId="0" fontId="8" fillId="0" borderId="24" xfId="0" applyFont="1" applyBorder="1" applyAlignment="1" applyProtection="1">
      <alignment vertical="center" wrapText="1"/>
      <protection locked="0"/>
    </xf>
    <xf numFmtId="0" fontId="7" fillId="0" borderId="16" xfId="0" applyFont="1" applyBorder="1" applyAlignment="1" applyProtection="1">
      <alignment horizontal="left" vertical="center" indent="1"/>
      <protection hidden="1"/>
    </xf>
    <xf numFmtId="0" fontId="1" fillId="0" borderId="12" xfId="0" applyFont="1" applyBorder="1" applyAlignment="1" applyProtection="1">
      <alignment horizontal="center" vertical="center"/>
      <protection hidden="1"/>
    </xf>
    <xf numFmtId="0" fontId="1" fillId="0" borderId="13"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4" fillId="0" borderId="23" xfId="0" applyFont="1" applyBorder="1" applyAlignment="1" applyProtection="1">
      <alignment vertical="center"/>
      <protection hidden="1"/>
    </xf>
    <xf numFmtId="0" fontId="2" fillId="4" borderId="7" xfId="0" applyFont="1" applyFill="1" applyBorder="1" applyAlignment="1" applyProtection="1">
      <alignment horizontal="center" vertical="center"/>
      <protection hidden="1"/>
    </xf>
    <xf numFmtId="0" fontId="2" fillId="4" borderId="22"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4" fillId="4" borderId="13" xfId="0" applyFont="1" applyFill="1" applyBorder="1" applyAlignment="1" applyProtection="1">
      <alignment horizontal="left" vertical="center"/>
      <protection hidden="1"/>
    </xf>
    <xf numFmtId="0" fontId="2" fillId="4" borderId="13" xfId="0" applyFont="1" applyFill="1" applyBorder="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10" fillId="0" borderId="13" xfId="0" applyFont="1" applyBorder="1" applyAlignment="1" applyProtection="1">
      <alignment horizontal="left" vertical="center"/>
      <protection hidden="1"/>
    </xf>
    <xf numFmtId="0" fontId="14" fillId="0" borderId="18" xfId="0" applyFont="1" applyBorder="1" applyAlignment="1" applyProtection="1">
      <alignment horizontal="left" vertical="center" indent="1"/>
      <protection hidden="1"/>
    </xf>
    <xf numFmtId="9" fontId="8" fillId="0" borderId="10" xfId="0" applyNumberFormat="1" applyFont="1" applyBorder="1" applyAlignment="1" applyProtection="1">
      <alignment horizontal="center" vertical="center"/>
      <protection locked="0"/>
    </xf>
    <xf numFmtId="0" fontId="14" fillId="0" borderId="52" xfId="0" applyFont="1" applyBorder="1" applyAlignment="1" applyProtection="1">
      <alignment horizontal="left" vertical="center" indent="1"/>
      <protection hidden="1"/>
    </xf>
    <xf numFmtId="0" fontId="14" fillId="0" borderId="53" xfId="0" applyFont="1" applyBorder="1" applyAlignment="1" applyProtection="1">
      <alignment horizontal="left" vertical="center" indent="1"/>
      <protection hidden="1"/>
    </xf>
    <xf numFmtId="0" fontId="14" fillId="0" borderId="54" xfId="0" applyFont="1" applyBorder="1" applyAlignment="1" applyProtection="1">
      <alignment horizontal="left" vertical="center" indent="1"/>
      <protection hidden="1"/>
    </xf>
    <xf numFmtId="9" fontId="8" fillId="0" borderId="25" xfId="0" applyNumberFormat="1" applyFont="1" applyBorder="1" applyAlignment="1" applyProtection="1">
      <alignment horizontal="center" vertical="center"/>
      <protection locked="0"/>
    </xf>
    <xf numFmtId="0" fontId="14" fillId="3" borderId="55" xfId="0" applyFont="1" applyFill="1" applyBorder="1" applyAlignment="1" applyProtection="1">
      <alignment horizontal="center" vertical="center"/>
      <protection hidden="1"/>
    </xf>
    <xf numFmtId="0" fontId="14" fillId="3" borderId="56" xfId="0" applyFont="1" applyFill="1" applyBorder="1" applyAlignment="1" applyProtection="1">
      <alignment horizontal="center" vertical="center"/>
      <protection hidden="1"/>
    </xf>
    <xf numFmtId="0" fontId="14" fillId="3" borderId="57" xfId="0" applyFont="1" applyFill="1" applyBorder="1" applyAlignment="1" applyProtection="1">
      <alignment horizontal="center" vertical="center"/>
      <protection hidden="1"/>
    </xf>
    <xf numFmtId="9" fontId="8" fillId="3" borderId="32" xfId="0" applyNumberFormat="1" applyFont="1" applyFill="1" applyBorder="1" applyAlignment="1" applyProtection="1">
      <alignment horizontal="center" vertical="center"/>
      <protection hidden="1"/>
    </xf>
    <xf numFmtId="0" fontId="7" fillId="5" borderId="13" xfId="0" applyFont="1" applyFill="1" applyBorder="1" applyAlignment="1" applyProtection="1">
      <alignment horizontal="center" vertical="center"/>
      <protection hidden="1"/>
    </xf>
    <xf numFmtId="0" fontId="7" fillId="0" borderId="13" xfId="0" applyFont="1" applyBorder="1" applyAlignment="1" applyProtection="1">
      <alignment horizontal="left" vertical="center"/>
      <protection hidden="1"/>
    </xf>
    <xf numFmtId="0" fontId="1" fillId="3" borderId="40" xfId="0" applyFont="1" applyFill="1" applyBorder="1" applyAlignment="1" applyProtection="1">
      <alignment horizontal="center" vertical="center"/>
      <protection hidden="1"/>
    </xf>
    <xf numFmtId="0" fontId="1" fillId="3" borderId="41" xfId="0" applyFont="1" applyFill="1" applyBorder="1" applyAlignment="1" applyProtection="1">
      <alignment horizontal="center" vertical="center"/>
      <protection hidden="1"/>
    </xf>
    <xf numFmtId="0" fontId="1" fillId="3" borderId="42" xfId="0" applyFont="1" applyFill="1" applyBorder="1" applyAlignment="1" applyProtection="1">
      <alignment horizontal="center" vertical="center"/>
      <protection hidden="1"/>
    </xf>
    <xf numFmtId="0" fontId="8" fillId="0" borderId="1" xfId="0" applyFont="1" applyBorder="1" applyAlignment="1" applyProtection="1">
      <alignment horizontal="center" vertical="center"/>
      <protection hidden="1"/>
    </xf>
    <xf numFmtId="0" fontId="8" fillId="0" borderId="2" xfId="0" applyFont="1" applyBorder="1" applyAlignment="1" applyProtection="1">
      <alignment horizontal="center" vertical="center"/>
      <protection hidden="1"/>
    </xf>
    <xf numFmtId="0" fontId="8" fillId="0" borderId="58" xfId="0" applyFont="1" applyBorder="1" applyAlignment="1" applyProtection="1">
      <alignment horizontal="center" vertical="center"/>
      <protection hidden="1"/>
    </xf>
    <xf numFmtId="0" fontId="8" fillId="0" borderId="59" xfId="0" applyFont="1" applyBorder="1" applyAlignment="1" applyProtection="1">
      <alignment horizontal="center" vertical="center"/>
      <protection hidden="1"/>
    </xf>
    <xf numFmtId="0" fontId="8" fillId="0" borderId="60" xfId="0" applyFont="1" applyBorder="1" applyAlignment="1" applyProtection="1">
      <alignment horizontal="center" vertical="center"/>
      <protection hidden="1"/>
    </xf>
    <xf numFmtId="0" fontId="8" fillId="0" borderId="61" xfId="0" applyFont="1" applyBorder="1" applyAlignment="1" applyProtection="1">
      <alignment horizontal="center" vertical="center"/>
      <protection hidden="1"/>
    </xf>
    <xf numFmtId="0" fontId="8" fillId="0" borderId="62" xfId="0" applyFont="1" applyBorder="1" applyAlignment="1" applyProtection="1">
      <alignment horizontal="center" vertical="center"/>
      <protection hidden="1"/>
    </xf>
    <xf numFmtId="0" fontId="8" fillId="0" borderId="63" xfId="0" applyFont="1" applyBorder="1" applyAlignment="1" applyProtection="1">
      <alignment horizontal="center" vertical="center"/>
      <protection hidden="1"/>
    </xf>
    <xf numFmtId="0" fontId="8" fillId="0" borderId="50" xfId="0" applyFont="1" applyBorder="1" applyAlignment="1" applyProtection="1">
      <alignment horizontal="center" vertical="center"/>
      <protection hidden="1"/>
    </xf>
    <xf numFmtId="0" fontId="8" fillId="0" borderId="51" xfId="0" applyFont="1" applyBorder="1" applyAlignment="1" applyProtection="1">
      <alignment horizontal="center" vertical="center"/>
      <protection hidden="1"/>
    </xf>
    <xf numFmtId="0" fontId="6" fillId="0" borderId="64" xfId="0" applyFont="1" applyBorder="1" applyAlignment="1" applyProtection="1">
      <alignment horizontal="center" vertical="center" wrapText="1"/>
      <protection hidden="1"/>
    </xf>
    <xf numFmtId="0" fontId="6" fillId="0" borderId="2" xfId="0" applyFont="1" applyBorder="1" applyAlignment="1" applyProtection="1">
      <alignment horizontal="center" vertical="center" wrapText="1"/>
      <protection hidden="1"/>
    </xf>
    <xf numFmtId="0" fontId="6" fillId="0" borderId="65" xfId="0" applyFont="1" applyBorder="1" applyAlignment="1" applyProtection="1">
      <alignment horizontal="center" vertical="center" wrapText="1"/>
      <protection hidden="1"/>
    </xf>
    <xf numFmtId="0" fontId="6" fillId="0" borderId="3" xfId="0" applyFont="1" applyBorder="1" applyAlignment="1" applyProtection="1">
      <alignment horizontal="center" vertical="center" wrapText="1"/>
      <protection hidden="1"/>
    </xf>
    <xf numFmtId="0" fontId="17" fillId="2" borderId="66" xfId="0" applyFont="1" applyFill="1" applyBorder="1" applyAlignment="1" applyProtection="1">
      <alignment horizontal="center" vertical="center"/>
      <protection hidden="1"/>
    </xf>
    <xf numFmtId="0" fontId="17" fillId="2" borderId="67" xfId="0" applyFont="1" applyFill="1" applyBorder="1" applyAlignment="1" applyProtection="1">
      <alignment horizontal="center" vertical="center"/>
      <protection hidden="1"/>
    </xf>
    <xf numFmtId="0" fontId="17" fillId="2" borderId="68" xfId="0" applyFont="1" applyFill="1" applyBorder="1" applyAlignment="1" applyProtection="1">
      <alignment horizontal="center" vertical="center"/>
      <protection hidden="1"/>
    </xf>
    <xf numFmtId="0" fontId="17" fillId="2" borderId="69" xfId="0" applyFont="1" applyFill="1" applyBorder="1" applyAlignment="1" applyProtection="1">
      <alignment horizontal="center" vertical="center"/>
      <protection hidden="1"/>
    </xf>
    <xf numFmtId="0" fontId="17" fillId="2" borderId="70" xfId="0" applyFont="1" applyFill="1" applyBorder="1" applyAlignment="1" applyProtection="1">
      <alignment horizontal="center" vertical="center"/>
      <protection hidden="1"/>
    </xf>
    <xf numFmtId="0" fontId="17" fillId="2" borderId="71" xfId="0" applyFont="1" applyFill="1" applyBorder="1" applyAlignment="1" applyProtection="1">
      <alignment horizontal="center" vertical="center"/>
      <protection hidden="1"/>
    </xf>
    <xf numFmtId="0" fontId="6" fillId="0" borderId="72" xfId="0" applyFont="1" applyBorder="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0" fontId="6" fillId="0" borderId="73" xfId="0" applyFont="1" applyBorder="1" applyAlignment="1" applyProtection="1">
      <alignment horizontal="center" vertical="center" wrapText="1"/>
      <protection hidden="1"/>
    </xf>
    <xf numFmtId="0" fontId="6" fillId="0" borderId="74" xfId="0" applyFont="1" applyBorder="1" applyAlignment="1" applyProtection="1">
      <alignment horizontal="center" vertical="center" wrapText="1"/>
      <protection hidden="1"/>
    </xf>
    <xf numFmtId="0" fontId="6" fillId="0" borderId="75" xfId="0" applyFont="1" applyBorder="1" applyAlignment="1" applyProtection="1">
      <alignment horizontal="center" vertical="center" wrapText="1"/>
      <protection hidden="1"/>
    </xf>
    <xf numFmtId="0" fontId="3" fillId="0" borderId="76" xfId="0" applyFont="1" applyBorder="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3" fillId="0" borderId="77" xfId="0" applyFont="1" applyBorder="1" applyAlignment="1" applyProtection="1">
      <alignment horizontal="center" vertical="center"/>
      <protection hidden="1"/>
    </xf>
    <xf numFmtId="0" fontId="6" fillId="0" borderId="77" xfId="0" applyFont="1" applyBorder="1" applyAlignment="1" applyProtection="1">
      <alignment horizontal="center" vertical="center"/>
      <protection hidden="1"/>
    </xf>
    <xf numFmtId="0" fontId="6" fillId="0" borderId="78" xfId="0" applyFont="1" applyBorder="1" applyAlignment="1" applyProtection="1">
      <alignment horizontal="center" vertical="center"/>
      <protection hidden="1"/>
    </xf>
    <xf numFmtId="0" fontId="6" fillId="0" borderId="78" xfId="0" applyFont="1" applyBorder="1" applyAlignment="1" applyProtection="1">
      <alignment horizontal="center" vertical="center" wrapText="1"/>
      <protection hidden="1"/>
    </xf>
    <xf numFmtId="0" fontId="6" fillId="0" borderId="77" xfId="0" applyFont="1" applyBorder="1" applyAlignment="1" applyProtection="1">
      <alignment horizontal="center" vertical="center" wrapText="1"/>
      <protection hidden="1"/>
    </xf>
    <xf numFmtId="0" fontId="6" fillId="0" borderId="76" xfId="0" applyFont="1" applyBorder="1" applyAlignment="1" applyProtection="1">
      <alignment horizontal="center" vertical="center"/>
      <protection hidden="1"/>
    </xf>
    <xf numFmtId="0" fontId="6" fillId="0" borderId="79" xfId="0" applyFont="1" applyBorder="1" applyAlignment="1" applyProtection="1">
      <alignment horizontal="center" vertical="center" wrapText="1"/>
      <protection hidden="1"/>
    </xf>
    <xf numFmtId="0" fontId="6" fillId="0" borderId="13" xfId="0" applyFont="1" applyBorder="1" applyAlignment="1" applyProtection="1">
      <alignment horizontal="center" vertical="center" wrapText="1"/>
      <protection hidden="1"/>
    </xf>
    <xf numFmtId="0" fontId="6" fillId="0" borderId="80" xfId="0" applyFont="1" applyBorder="1" applyAlignment="1" applyProtection="1">
      <alignment horizontal="center" vertical="center" wrapText="1"/>
      <protection hidden="1"/>
    </xf>
    <xf numFmtId="0" fontId="8" fillId="0" borderId="81" xfId="0" applyFont="1" applyBorder="1" applyAlignment="1" applyProtection="1">
      <alignment horizontal="center" vertical="center" wrapText="1"/>
      <protection hidden="1"/>
    </xf>
    <xf numFmtId="0" fontId="8" fillId="0" borderId="82" xfId="0" applyFont="1" applyBorder="1" applyAlignment="1" applyProtection="1">
      <alignment horizontal="center" vertical="center" wrapText="1"/>
      <protection hidden="1"/>
    </xf>
    <xf numFmtId="0" fontId="8" fillId="0" borderId="83" xfId="0" applyFont="1" applyBorder="1" applyAlignment="1" applyProtection="1">
      <alignment horizontal="center" vertical="center" wrapText="1"/>
      <protection hidden="1"/>
    </xf>
    <xf numFmtId="0" fontId="10" fillId="0" borderId="84" xfId="0" applyFont="1" applyBorder="1" applyAlignment="1" applyProtection="1">
      <alignment horizontal="center" vertical="center"/>
      <protection hidden="1"/>
    </xf>
    <xf numFmtId="0" fontId="10" fillId="0" borderId="22" xfId="0" applyFont="1" applyBorder="1" applyAlignment="1" applyProtection="1">
      <alignment horizontal="center" vertical="center"/>
      <protection hidden="1"/>
    </xf>
    <xf numFmtId="0" fontId="10" fillId="0" borderId="85" xfId="0" applyFont="1" applyBorder="1" applyAlignment="1" applyProtection="1">
      <alignment horizontal="center" vertical="center"/>
      <protection hidden="1"/>
    </xf>
    <xf numFmtId="0" fontId="18" fillId="2" borderId="18" xfId="0" applyFont="1" applyFill="1" applyBorder="1" applyAlignment="1" applyProtection="1">
      <alignment horizontal="center" vertical="center"/>
      <protection hidden="1"/>
    </xf>
    <xf numFmtId="0" fontId="18" fillId="2" borderId="10" xfId="0" applyFont="1" applyFill="1" applyBorder="1" applyAlignment="1" applyProtection="1">
      <alignment horizontal="center" vertical="center"/>
      <protection hidden="1"/>
    </xf>
    <xf numFmtId="0" fontId="18" fillId="2" borderId="36" xfId="0" applyFont="1" applyFill="1" applyBorder="1" applyAlignment="1" applyProtection="1">
      <alignment horizontal="center" vertical="center"/>
      <protection hidden="1"/>
    </xf>
    <xf numFmtId="0" fontId="18" fillId="2" borderId="9" xfId="0" applyFont="1" applyFill="1" applyBorder="1" applyAlignment="1" applyProtection="1">
      <alignment horizontal="center" vertical="center"/>
      <protection hidden="1"/>
    </xf>
    <xf numFmtId="0" fontId="18" fillId="2" borderId="15" xfId="0" applyFont="1" applyFill="1" applyBorder="1" applyAlignment="1" applyProtection="1">
      <alignment horizontal="center" vertical="center"/>
      <protection hidden="1"/>
    </xf>
    <xf numFmtId="0" fontId="18" fillId="2" borderId="19" xfId="0" applyFont="1" applyFill="1" applyBorder="1" applyAlignment="1" applyProtection="1">
      <alignment horizontal="center" vertical="center" wrapText="1"/>
      <protection hidden="1"/>
    </xf>
    <xf numFmtId="0" fontId="18" fillId="2" borderId="7" xfId="0" applyFont="1" applyFill="1" applyBorder="1" applyAlignment="1" applyProtection="1">
      <alignment horizontal="center" vertical="center" wrapText="1"/>
      <protection hidden="1"/>
    </xf>
    <xf numFmtId="0" fontId="18" fillId="2" borderId="86" xfId="0" applyFont="1" applyFill="1" applyBorder="1" applyAlignment="1" applyProtection="1">
      <alignment horizontal="center" vertical="center" wrapText="1"/>
      <protection hidden="1"/>
    </xf>
    <xf numFmtId="0" fontId="18" fillId="2" borderId="10" xfId="0" applyFont="1" applyFill="1" applyBorder="1" applyAlignment="1" applyProtection="1">
      <alignment horizontal="center" vertical="center" wrapText="1"/>
      <protection hidden="1"/>
    </xf>
    <xf numFmtId="0" fontId="8" fillId="0" borderId="87" xfId="0" applyFont="1" applyBorder="1" applyAlignment="1" applyProtection="1">
      <alignment horizontal="center" vertical="center" wrapText="1"/>
      <protection hidden="1"/>
    </xf>
    <xf numFmtId="0" fontId="8" fillId="0" borderId="88" xfId="0" applyFont="1" applyBorder="1" applyAlignment="1" applyProtection="1">
      <alignment horizontal="center" vertical="center" wrapText="1"/>
      <protection hidden="1"/>
    </xf>
    <xf numFmtId="0" fontId="8" fillId="0" borderId="20" xfId="0" applyFont="1" applyBorder="1" applyAlignment="1" applyProtection="1">
      <alignment horizontal="center" vertical="center" wrapText="1"/>
      <protection hidden="1"/>
    </xf>
    <xf numFmtId="0" fontId="8" fillId="0" borderId="89" xfId="0" applyFont="1" applyBorder="1" applyAlignment="1" applyProtection="1">
      <alignment horizontal="center" vertical="center" wrapText="1"/>
      <protection hidden="1"/>
    </xf>
    <xf numFmtId="0" fontId="10" fillId="0" borderId="4" xfId="0" applyFont="1" applyBorder="1" applyAlignment="1" applyProtection="1">
      <alignment horizontal="center" vertical="center"/>
      <protection hidden="1"/>
    </xf>
    <xf numFmtId="0" fontId="10" fillId="0" borderId="23" xfId="0" applyFont="1" applyBorder="1" applyAlignment="1" applyProtection="1">
      <alignment horizontal="center" vertical="center"/>
      <protection hidden="1"/>
    </xf>
    <xf numFmtId="0" fontId="10" fillId="0" borderId="89" xfId="0" applyFont="1" applyBorder="1" applyAlignment="1" applyProtection="1">
      <alignment horizontal="center" vertical="center"/>
      <protection hidden="1"/>
    </xf>
    <xf numFmtId="0" fontId="7" fillId="0" borderId="22" xfId="0" applyFont="1" applyBorder="1" applyAlignment="1" applyProtection="1">
      <alignment horizontal="center" vertical="center"/>
      <protection locked="0"/>
    </xf>
    <xf numFmtId="0" fontId="7" fillId="0" borderId="19" xfId="0" applyFont="1" applyBorder="1" applyAlignment="1" applyProtection="1">
      <alignment horizontal="center" vertical="center"/>
      <protection locked="0"/>
    </xf>
    <xf numFmtId="0" fontId="8" fillId="2" borderId="19" xfId="0" applyFont="1" applyFill="1" applyBorder="1" applyAlignment="1" applyProtection="1">
      <alignment horizontal="center" vertical="center"/>
      <protection hidden="1"/>
    </xf>
    <xf numFmtId="9" fontId="10" fillId="2" borderId="85" xfId="0" applyNumberFormat="1" applyFont="1" applyFill="1" applyBorder="1" applyAlignment="1" applyProtection="1">
      <alignment horizontal="center" vertical="center"/>
      <protection hidden="1"/>
    </xf>
    <xf numFmtId="0" fontId="7" fillId="0" borderId="90" xfId="0" applyFont="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0" fontId="18" fillId="2" borderId="21" xfId="0" applyFont="1" applyFill="1" applyBorder="1" applyAlignment="1" applyProtection="1">
      <alignment horizontal="center" vertical="center"/>
      <protection hidden="1"/>
    </xf>
    <xf numFmtId="0" fontId="18" fillId="2" borderId="13" xfId="0" applyFont="1" applyFill="1" applyBorder="1" applyAlignment="1" applyProtection="1">
      <alignment horizontal="center" vertical="center"/>
      <protection hidden="1"/>
    </xf>
    <xf numFmtId="0" fontId="7" fillId="0" borderId="91" xfId="0" applyFont="1" applyBorder="1" applyAlignment="1" applyProtection="1">
      <alignment horizontal="center" vertical="center"/>
      <protection locked="0"/>
    </xf>
    <xf numFmtId="0" fontId="8" fillId="0" borderId="92" xfId="0" applyFont="1" applyBorder="1" applyAlignment="1" applyProtection="1">
      <alignment horizontal="center" vertical="center" wrapText="1"/>
      <protection hidden="1"/>
    </xf>
    <xf numFmtId="164" fontId="19" fillId="0" borderId="22" xfId="0" applyNumberFormat="1" applyFont="1" applyBorder="1" applyAlignment="1" applyProtection="1">
      <alignment horizontal="center" vertical="center" shrinkToFit="1"/>
      <protection locked="0"/>
    </xf>
    <xf numFmtId="164" fontId="19" fillId="0" borderId="19" xfId="0" applyNumberFormat="1" applyFont="1" applyBorder="1" applyAlignment="1" applyProtection="1">
      <alignment horizontal="center" vertical="center" shrinkToFit="1"/>
      <protection locked="0"/>
    </xf>
    <xf numFmtId="0" fontId="8" fillId="2" borderId="20" xfId="0" applyFont="1" applyFill="1" applyBorder="1" applyAlignment="1" applyProtection="1">
      <alignment horizontal="center" vertical="center"/>
      <protection hidden="1"/>
    </xf>
    <xf numFmtId="9" fontId="10" fillId="2" borderId="89" xfId="0" applyNumberFormat="1" applyFont="1" applyFill="1" applyBorder="1" applyAlignment="1" applyProtection="1">
      <alignment horizontal="center" vertical="center"/>
      <protection hidden="1"/>
    </xf>
    <xf numFmtId="164" fontId="19" fillId="0" borderId="90" xfId="0" applyNumberFormat="1" applyFont="1" applyBorder="1" applyAlignment="1" applyProtection="1">
      <alignment horizontal="center" vertical="center" shrinkToFit="1"/>
      <protection locked="0"/>
    </xf>
    <xf numFmtId="0" fontId="7" fillId="0" borderId="93" xfId="0" applyFont="1" applyBorder="1" applyAlignment="1" applyProtection="1">
      <alignment horizontal="center" vertical="center"/>
      <protection locked="0"/>
    </xf>
    <xf numFmtId="0" fontId="7" fillId="0" borderId="21"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9" fontId="1" fillId="2" borderId="19" xfId="0" applyNumberFormat="1" applyFont="1" applyFill="1" applyBorder="1" applyAlignment="1" applyProtection="1">
      <alignment horizontal="center" vertical="center"/>
      <protection hidden="1"/>
    </xf>
    <xf numFmtId="0" fontId="8" fillId="2" borderId="6" xfId="0" applyFont="1" applyFill="1" applyBorder="1" applyAlignment="1" applyProtection="1">
      <alignment horizontal="center" vertical="center"/>
      <protection hidden="1"/>
    </xf>
    <xf numFmtId="9" fontId="10" fillId="2" borderId="6" xfId="0" applyNumberFormat="1" applyFont="1" applyFill="1" applyBorder="1" applyAlignment="1" applyProtection="1">
      <alignment horizontal="center" vertical="center"/>
      <protection hidden="1"/>
    </xf>
    <xf numFmtId="0" fontId="10" fillId="0" borderId="94" xfId="0" applyFont="1" applyBorder="1" applyAlignment="1" applyProtection="1">
      <alignment horizontal="center" vertical="center"/>
      <protection hidden="1"/>
    </xf>
    <xf numFmtId="0" fontId="10" fillId="0" borderId="95" xfId="0" applyFont="1" applyBorder="1" applyAlignment="1" applyProtection="1">
      <alignment horizontal="center" vertical="center"/>
      <protection hidden="1"/>
    </xf>
    <xf numFmtId="0" fontId="10" fillId="0" borderId="96" xfId="0" applyFont="1" applyBorder="1" applyAlignment="1" applyProtection="1">
      <alignment horizontal="center" vertical="center"/>
      <protection hidden="1"/>
    </xf>
    <xf numFmtId="164" fontId="19" fillId="0" borderId="97" xfId="0" applyNumberFormat="1" applyFont="1" applyBorder="1" applyAlignment="1" applyProtection="1">
      <alignment horizontal="center" vertical="center" shrinkToFit="1"/>
      <protection locked="0"/>
    </xf>
    <xf numFmtId="164" fontId="19" fillId="0" borderId="98" xfId="0" applyNumberFormat="1" applyFont="1" applyBorder="1" applyAlignment="1" applyProtection="1">
      <alignment horizontal="center" vertical="center" shrinkToFit="1"/>
      <protection locked="0"/>
    </xf>
    <xf numFmtId="0" fontId="8" fillId="2" borderId="99" xfId="0" applyFont="1" applyFill="1" applyBorder="1" applyAlignment="1" applyProtection="1">
      <alignment horizontal="center" vertical="center"/>
      <protection hidden="1"/>
    </xf>
    <xf numFmtId="9" fontId="10" fillId="2" borderId="96" xfId="0" applyNumberFormat="1" applyFont="1" applyFill="1" applyBorder="1" applyAlignment="1" applyProtection="1">
      <alignment horizontal="center" vertical="center"/>
      <protection hidden="1"/>
    </xf>
    <xf numFmtId="164" fontId="19" fillId="0" borderId="100" xfId="0" applyNumberFormat="1" applyFont="1" applyBorder="1" applyAlignment="1" applyProtection="1">
      <alignment horizontal="center" vertical="center" shrinkToFit="1"/>
      <protection locked="0"/>
    </xf>
    <xf numFmtId="164" fontId="19" fillId="0" borderId="101" xfId="0" applyNumberFormat="1" applyFont="1" applyBorder="1" applyAlignment="1" applyProtection="1">
      <alignment horizontal="center" vertical="center" shrinkToFit="1"/>
      <protection locked="0"/>
    </xf>
    <xf numFmtId="9" fontId="1" fillId="2" borderId="99" xfId="0" applyNumberFormat="1" applyFont="1" applyFill="1" applyBorder="1" applyAlignment="1" applyProtection="1">
      <alignment horizontal="center" vertical="center"/>
      <protection hidden="1"/>
    </xf>
    <xf numFmtId="0" fontId="8" fillId="2" borderId="102" xfId="0" applyFont="1" applyFill="1" applyBorder="1" applyAlignment="1" applyProtection="1">
      <alignment horizontal="center" vertical="center"/>
      <protection hidden="1"/>
    </xf>
    <xf numFmtId="9" fontId="10" fillId="2" borderId="102" xfId="0" applyNumberFormat="1" applyFont="1" applyFill="1" applyBorder="1" applyAlignment="1" applyProtection="1">
      <alignment horizontal="center" vertical="center"/>
      <protection hidden="1"/>
    </xf>
    <xf numFmtId="164" fontId="19" fillId="0" borderId="103" xfId="0" applyNumberFormat="1" applyFont="1" applyBorder="1" applyAlignment="1" applyProtection="1">
      <alignment horizontal="center" vertical="center"/>
      <protection locked="0"/>
    </xf>
    <xf numFmtId="0" fontId="8" fillId="0" borderId="104" xfId="0" applyFont="1" applyBorder="1" applyAlignment="1" applyProtection="1">
      <alignment horizontal="center" vertical="center" wrapText="1"/>
      <protection hidden="1"/>
    </xf>
    <xf numFmtId="0" fontId="8" fillId="0" borderId="105" xfId="0" applyFont="1" applyBorder="1" applyAlignment="1" applyProtection="1">
      <alignment horizontal="center" vertical="center" wrapText="1"/>
      <protection hidden="1"/>
    </xf>
    <xf numFmtId="0" fontId="8" fillId="0" borderId="99" xfId="0" applyFont="1" applyBorder="1" applyAlignment="1" applyProtection="1">
      <alignment horizontal="center" vertical="center" wrapText="1"/>
      <protection hidden="1"/>
    </xf>
    <xf numFmtId="0" fontId="8" fillId="0" borderId="96" xfId="0" applyFont="1" applyBorder="1" applyAlignment="1" applyProtection="1">
      <alignment horizontal="center" vertical="center" wrapText="1"/>
      <protection hidden="1"/>
    </xf>
    <xf numFmtId="0" fontId="18" fillId="2" borderId="93" xfId="0" applyFont="1" applyFill="1" applyBorder="1" applyAlignment="1" applyProtection="1">
      <alignment horizontal="center" vertical="center"/>
      <protection hidden="1"/>
    </xf>
    <xf numFmtId="0" fontId="1" fillId="5" borderId="13" xfId="0" applyFont="1" applyFill="1" applyBorder="1" applyAlignment="1" applyProtection="1">
      <alignment horizontal="center" vertical="center"/>
      <protection hidden="1"/>
    </xf>
    <xf numFmtId="0" fontId="1" fillId="5" borderId="106" xfId="0" applyFont="1" applyFill="1" applyBorder="1" applyAlignment="1" applyProtection="1">
      <alignment horizontal="left" vertical="center" indent="1"/>
      <protection hidden="1"/>
    </xf>
    <xf numFmtId="0" fontId="1" fillId="5" borderId="24" xfId="0" applyFont="1" applyFill="1" applyBorder="1" applyAlignment="1" applyProtection="1">
      <alignment horizontal="center" vertical="center"/>
      <protection locked="0"/>
    </xf>
    <xf numFmtId="0" fontId="1" fillId="5" borderId="21" xfId="0" applyFont="1" applyFill="1" applyBorder="1" applyAlignment="1" applyProtection="1">
      <alignment horizontal="center" vertical="center"/>
      <protection locked="0"/>
    </xf>
    <xf numFmtId="0" fontId="7" fillId="2" borderId="21" xfId="0" applyFont="1" applyFill="1" applyBorder="1" applyAlignment="1" applyProtection="1">
      <alignment horizontal="center" vertical="center"/>
      <protection hidden="1"/>
    </xf>
    <xf numFmtId="2" fontId="7" fillId="2" borderId="21" xfId="0" applyNumberFormat="1" applyFont="1" applyFill="1" applyBorder="1" applyAlignment="1" applyProtection="1">
      <alignment horizontal="center" vertical="center"/>
      <protection hidden="1"/>
    </xf>
    <xf numFmtId="2" fontId="7" fillId="2" borderId="107" xfId="0" applyNumberFormat="1" applyFont="1" applyFill="1" applyBorder="1" applyAlignment="1" applyProtection="1">
      <alignment horizontal="center" vertical="center"/>
      <protection hidden="1"/>
    </xf>
    <xf numFmtId="0" fontId="1" fillId="5" borderId="93" xfId="0" applyFont="1" applyFill="1" applyBorder="1" applyAlignment="1" applyProtection="1">
      <alignment horizontal="center" vertical="center"/>
      <protection locked="0"/>
    </xf>
    <xf numFmtId="0" fontId="1" fillId="5" borderId="13" xfId="0" applyFont="1" applyFill="1" applyBorder="1" applyAlignment="1" applyProtection="1">
      <alignment horizontal="center" vertical="center"/>
      <protection locked="0"/>
    </xf>
    <xf numFmtId="0" fontId="1" fillId="5" borderId="108" xfId="0" applyFont="1" applyFill="1" applyBorder="1" applyAlignment="1" applyProtection="1">
      <alignment horizontal="center" vertical="center"/>
      <protection locked="0"/>
    </xf>
    <xf numFmtId="0" fontId="1" fillId="5" borderId="12" xfId="0" applyFont="1" applyFill="1" applyBorder="1" applyAlignment="1" applyProtection="1">
      <alignment horizontal="center" vertical="center"/>
      <protection locked="0"/>
    </xf>
    <xf numFmtId="2" fontId="7" fillId="2" borderId="12" xfId="0" applyNumberFormat="1" applyFont="1" applyFill="1" applyBorder="1" applyAlignment="1" applyProtection="1">
      <alignment horizontal="center" vertical="center"/>
      <protection hidden="1"/>
    </xf>
    <xf numFmtId="1" fontId="7" fillId="10" borderId="109" xfId="0" applyNumberFormat="1" applyFont="1" applyFill="1" applyBorder="1" applyAlignment="1" applyProtection="1">
      <alignment horizontal="center" vertical="center"/>
      <protection locked="0"/>
    </xf>
    <xf numFmtId="2" fontId="7" fillId="2" borderId="108" xfId="0" applyNumberFormat="1" applyFont="1" applyFill="1" applyBorder="1" applyAlignment="1" applyProtection="1">
      <alignment horizontal="center" vertical="center"/>
      <protection hidden="1"/>
    </xf>
    <xf numFmtId="2" fontId="7" fillId="0" borderId="110" xfId="0" applyNumberFormat="1" applyFont="1" applyBorder="1" applyAlignment="1" applyProtection="1">
      <alignment horizontal="center" vertical="center"/>
      <protection hidden="1"/>
    </xf>
    <xf numFmtId="2" fontId="7" fillId="5" borderId="24" xfId="0" applyNumberFormat="1" applyFont="1" applyFill="1" applyBorder="1" applyAlignment="1" applyProtection="1">
      <alignment horizontal="center" vertical="center"/>
      <protection hidden="1"/>
    </xf>
    <xf numFmtId="0" fontId="7" fillId="5" borderId="21" xfId="0" applyFont="1" applyFill="1" applyBorder="1" applyAlignment="1" applyProtection="1">
      <alignment horizontal="center" vertical="center"/>
      <protection hidden="1"/>
    </xf>
    <xf numFmtId="0" fontId="1" fillId="5" borderId="107" xfId="0" applyFont="1" applyFill="1" applyBorder="1" applyAlignment="1" applyProtection="1">
      <alignment horizontal="center" vertical="center"/>
      <protection hidden="1"/>
    </xf>
    <xf numFmtId="0" fontId="1" fillId="5" borderId="16" xfId="0" applyFont="1" applyFill="1" applyBorder="1" applyAlignment="1" applyProtection="1">
      <alignment horizontal="center" vertical="center"/>
      <protection hidden="1"/>
    </xf>
    <xf numFmtId="0" fontId="1" fillId="5" borderId="36" xfId="0" applyFont="1" applyFill="1" applyBorder="1" applyAlignment="1" applyProtection="1">
      <alignment horizontal="left" vertical="center" indent="1"/>
      <protection hidden="1"/>
    </xf>
    <xf numFmtId="0" fontId="1" fillId="5" borderId="18" xfId="0" applyFont="1" applyFill="1" applyBorder="1" applyAlignment="1" applyProtection="1">
      <alignment horizontal="center" vertical="center"/>
      <protection locked="0"/>
    </xf>
    <xf numFmtId="0" fontId="1" fillId="5" borderId="10" xfId="0" applyFont="1" applyFill="1" applyBorder="1" applyAlignment="1" applyProtection="1">
      <alignment horizontal="center" vertical="center"/>
      <protection locked="0"/>
    </xf>
    <xf numFmtId="0" fontId="1" fillId="5" borderId="9" xfId="0" applyFont="1" applyFill="1" applyBorder="1" applyAlignment="1" applyProtection="1">
      <alignment horizontal="center" vertical="center"/>
      <protection locked="0"/>
    </xf>
    <xf numFmtId="0" fontId="1" fillId="5" borderId="16" xfId="0" applyFont="1" applyFill="1" applyBorder="1" applyAlignment="1" applyProtection="1">
      <alignment horizontal="center" vertical="center"/>
      <protection locked="0"/>
    </xf>
    <xf numFmtId="2" fontId="7" fillId="2" borderId="10" xfId="0" applyNumberFormat="1" applyFont="1" applyFill="1" applyBorder="1" applyAlignment="1" applyProtection="1">
      <alignment horizontal="center" vertical="center"/>
      <protection hidden="1"/>
    </xf>
    <xf numFmtId="2" fontId="7" fillId="2" borderId="36" xfId="0" applyNumberFormat="1" applyFont="1" applyFill="1" applyBorder="1" applyAlignment="1" applyProtection="1">
      <alignment horizontal="center" vertical="center"/>
      <protection hidden="1"/>
    </xf>
    <xf numFmtId="0" fontId="1" fillId="5" borderId="15" xfId="0" applyFont="1" applyFill="1" applyBorder="1" applyAlignment="1" applyProtection="1">
      <alignment horizontal="center" vertical="center"/>
      <protection locked="0"/>
    </xf>
    <xf numFmtId="2" fontId="7" fillId="2" borderId="15" xfId="0" applyNumberFormat="1" applyFont="1" applyFill="1" applyBorder="1" applyAlignment="1" applyProtection="1">
      <alignment horizontal="center" vertical="center"/>
      <protection hidden="1"/>
    </xf>
    <xf numFmtId="1" fontId="7" fillId="10" borderId="111" xfId="0" applyNumberFormat="1" applyFont="1" applyFill="1" applyBorder="1" applyAlignment="1" applyProtection="1">
      <alignment horizontal="center" vertical="center"/>
      <protection locked="0"/>
    </xf>
    <xf numFmtId="2" fontId="7" fillId="0" borderId="112" xfId="0" applyNumberFormat="1" applyFont="1" applyBorder="1" applyAlignment="1" applyProtection="1">
      <alignment horizontal="center" vertical="center"/>
      <protection hidden="1"/>
    </xf>
    <xf numFmtId="0" fontId="18" fillId="2" borderId="37" xfId="0" applyFont="1" applyFill="1" applyBorder="1" applyAlignment="1" applyProtection="1">
      <alignment horizontal="center" vertical="center"/>
      <protection hidden="1"/>
    </xf>
    <xf numFmtId="0" fontId="1" fillId="5" borderId="39" xfId="0" applyFont="1" applyFill="1" applyBorder="1" applyAlignment="1" applyProtection="1">
      <alignment horizontal="left" vertical="center" indent="1"/>
      <protection hidden="1"/>
    </xf>
    <xf numFmtId="0" fontId="1" fillId="5" borderId="49" xfId="0" applyFont="1" applyFill="1" applyBorder="1" applyAlignment="1" applyProtection="1">
      <alignment horizontal="center" vertical="center"/>
      <protection locked="0"/>
    </xf>
    <xf numFmtId="0" fontId="1" fillId="5" borderId="38" xfId="0" applyFont="1" applyFill="1" applyBorder="1" applyAlignment="1" applyProtection="1">
      <alignment horizontal="center" vertical="center"/>
      <protection locked="0"/>
    </xf>
    <xf numFmtId="0" fontId="1" fillId="5" borderId="37"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0" fontId="7" fillId="2" borderId="38" xfId="0" applyFont="1" applyFill="1" applyBorder="1" applyAlignment="1" applyProtection="1">
      <alignment horizontal="center" vertical="center"/>
      <protection hidden="1"/>
    </xf>
    <xf numFmtId="2" fontId="7" fillId="2" borderId="38" xfId="0" applyNumberFormat="1" applyFont="1" applyFill="1" applyBorder="1" applyAlignment="1" applyProtection="1">
      <alignment horizontal="center" vertical="center"/>
      <protection hidden="1"/>
    </xf>
    <xf numFmtId="2" fontId="7" fillId="2" borderId="39" xfId="0" applyNumberFormat="1" applyFont="1" applyFill="1" applyBorder="1" applyAlignment="1" applyProtection="1">
      <alignment horizontal="center" vertical="center"/>
      <protection hidden="1"/>
    </xf>
    <xf numFmtId="0" fontId="1" fillId="5" borderId="47" xfId="0" applyFont="1" applyFill="1" applyBorder="1" applyAlignment="1" applyProtection="1">
      <alignment horizontal="center" vertical="center"/>
      <protection locked="0"/>
    </xf>
    <xf numFmtId="2" fontId="7" fillId="2" borderId="113" xfId="0" applyNumberFormat="1" applyFont="1" applyFill="1" applyBorder="1" applyAlignment="1" applyProtection="1">
      <alignment horizontal="center" vertical="center"/>
      <protection hidden="1"/>
    </xf>
    <xf numFmtId="2" fontId="7" fillId="2" borderId="47" xfId="0" applyNumberFormat="1" applyFont="1" applyFill="1" applyBorder="1" applyAlignment="1" applyProtection="1">
      <alignment horizontal="center" vertical="center"/>
      <protection hidden="1"/>
    </xf>
    <xf numFmtId="1" fontId="7" fillId="10" borderId="114" xfId="0" applyNumberFormat="1" applyFont="1" applyFill="1" applyBorder="1" applyAlignment="1" applyProtection="1">
      <alignment horizontal="center" vertical="center"/>
      <protection locked="0"/>
    </xf>
    <xf numFmtId="2" fontId="7" fillId="0" borderId="115" xfId="0" applyNumberFormat="1" applyFont="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6" fillId="0" borderId="64" xfId="0" applyFont="1" applyBorder="1" applyAlignment="1" applyProtection="1">
      <alignment horizontal="center" vertical="center"/>
      <protection hidden="1"/>
    </xf>
    <xf numFmtId="0" fontId="6" fillId="0" borderId="2" xfId="0" applyFont="1" applyBorder="1" applyAlignment="1" applyProtection="1">
      <alignment horizontal="center" vertical="center"/>
      <protection hidden="1"/>
    </xf>
    <xf numFmtId="0" fontId="6" fillId="0" borderId="65"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17" fillId="2" borderId="116" xfId="0" applyFont="1" applyFill="1" applyBorder="1" applyAlignment="1" applyProtection="1">
      <alignment horizontal="center" vertical="center"/>
      <protection hidden="1"/>
    </xf>
    <xf numFmtId="0" fontId="17" fillId="2" borderId="74" xfId="0" applyFont="1" applyFill="1" applyBorder="1" applyAlignment="1" applyProtection="1">
      <alignment horizontal="center" vertical="center"/>
      <protection hidden="1"/>
    </xf>
    <xf numFmtId="0" fontId="6" fillId="0" borderId="72"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73" xfId="0" applyFont="1" applyBorder="1" applyAlignment="1" applyProtection="1">
      <alignment horizontal="center" vertical="center"/>
      <protection hidden="1"/>
    </xf>
    <xf numFmtId="0" fontId="6" fillId="0" borderId="117" xfId="0" applyFont="1" applyBorder="1" applyAlignment="1" applyProtection="1">
      <alignment horizontal="center" vertical="center"/>
      <protection hidden="1"/>
    </xf>
    <xf numFmtId="0" fontId="6" fillId="0" borderId="74" xfId="0" applyFont="1" applyBorder="1" applyAlignment="1" applyProtection="1">
      <alignment horizontal="center" vertical="center"/>
      <protection hidden="1"/>
    </xf>
    <xf numFmtId="0" fontId="6" fillId="0" borderId="75" xfId="0" applyFont="1" applyBorder="1" applyAlignment="1" applyProtection="1">
      <alignment horizontal="center" vertical="center"/>
      <protection hidden="1"/>
    </xf>
    <xf numFmtId="0" fontId="6" fillId="0" borderId="79" xfId="0" applyFont="1" applyBorder="1" applyAlignment="1" applyProtection="1">
      <alignment horizontal="center" vertical="center"/>
      <protection hidden="1"/>
    </xf>
    <xf numFmtId="0" fontId="6" fillId="0" borderId="13" xfId="0" applyFont="1" applyBorder="1" applyAlignment="1" applyProtection="1">
      <alignment horizontal="center" vertical="center"/>
      <protection hidden="1"/>
    </xf>
    <xf numFmtId="0" fontId="6" fillId="0" borderId="80" xfId="0" applyFont="1" applyBorder="1" applyAlignment="1" applyProtection="1">
      <alignment horizontal="center" vertical="center"/>
      <protection hidden="1"/>
    </xf>
    <xf numFmtId="0" fontId="8" fillId="0" borderId="118" xfId="0" applyFont="1" applyBorder="1" applyAlignment="1" applyProtection="1">
      <alignment horizontal="center" vertical="center" wrapText="1"/>
      <protection hidden="1"/>
    </xf>
    <xf numFmtId="0" fontId="8" fillId="0" borderId="119" xfId="0" applyFont="1" applyBorder="1" applyAlignment="1" applyProtection="1">
      <alignment horizontal="center" vertical="center" wrapText="1"/>
      <protection hidden="1"/>
    </xf>
    <xf numFmtId="0" fontId="18" fillId="2" borderId="91" xfId="0" applyFont="1" applyFill="1" applyBorder="1" applyAlignment="1" applyProtection="1">
      <alignment horizontal="center" vertical="center" wrapText="1"/>
      <protection hidden="1"/>
    </xf>
    <xf numFmtId="0" fontId="8" fillId="0" borderId="120" xfId="0" applyFont="1" applyBorder="1" applyAlignment="1" applyProtection="1">
      <alignment horizontal="center" vertical="center" wrapText="1"/>
      <protection hidden="1"/>
    </xf>
    <xf numFmtId="0" fontId="8" fillId="0" borderId="23" xfId="0" applyFont="1" applyBorder="1" applyAlignment="1" applyProtection="1">
      <alignment horizontal="center" vertical="center" wrapText="1"/>
      <protection hidden="1"/>
    </xf>
    <xf numFmtId="0" fontId="8" fillId="0" borderId="11" xfId="0" applyFont="1" applyBorder="1" applyAlignment="1" applyProtection="1">
      <alignment horizontal="center" vertical="center" wrapText="1"/>
      <protection hidden="1"/>
    </xf>
    <xf numFmtId="164" fontId="19" fillId="0" borderId="121" xfId="0" applyNumberFormat="1" applyFont="1" applyBorder="1" applyAlignment="1" applyProtection="1">
      <alignment horizontal="center" vertical="center"/>
      <protection locked="0"/>
    </xf>
    <xf numFmtId="0" fontId="8" fillId="2" borderId="98" xfId="0" applyFont="1" applyFill="1" applyBorder="1" applyAlignment="1" applyProtection="1">
      <alignment horizontal="center" vertical="center"/>
      <protection hidden="1"/>
    </xf>
    <xf numFmtId="0" fontId="8" fillId="0" borderId="122" xfId="0" applyFont="1" applyBorder="1" applyAlignment="1" applyProtection="1">
      <alignment horizontal="center" vertical="center" wrapText="1"/>
      <protection hidden="1"/>
    </xf>
    <xf numFmtId="0" fontId="8" fillId="0" borderId="95" xfId="0" applyFont="1" applyBorder="1" applyAlignment="1" applyProtection="1">
      <alignment horizontal="center" vertical="center" wrapText="1"/>
      <protection hidden="1"/>
    </xf>
    <xf numFmtId="0" fontId="8" fillId="0" borderId="102" xfId="0" applyFont="1" applyBorder="1" applyAlignment="1" applyProtection="1">
      <alignment horizontal="center" vertical="center" wrapText="1"/>
      <protection hidden="1"/>
    </xf>
    <xf numFmtId="0" fontId="1" fillId="5" borderId="123" xfId="0" applyFont="1" applyFill="1" applyBorder="1" applyAlignment="1" applyProtection="1">
      <alignment horizontal="center" vertical="center"/>
      <protection locked="0"/>
    </xf>
    <xf numFmtId="1" fontId="7" fillId="10" borderId="79" xfId="0" applyNumberFormat="1" applyFont="1" applyFill="1" applyBorder="1" applyAlignment="1" applyProtection="1">
      <alignment horizontal="center" vertical="center"/>
      <protection locked="0"/>
    </xf>
    <xf numFmtId="2" fontId="7" fillId="0" borderId="80" xfId="0" applyNumberFormat="1" applyFont="1" applyBorder="1" applyAlignment="1" applyProtection="1">
      <alignment horizontal="center" vertical="center"/>
      <protection hidden="1"/>
    </xf>
    <xf numFmtId="1" fontId="7" fillId="10" borderId="124" xfId="0" applyNumberFormat="1" applyFont="1" applyFill="1" applyBorder="1" applyAlignment="1" applyProtection="1">
      <alignment horizontal="center" vertical="center"/>
      <protection locked="0"/>
    </xf>
    <xf numFmtId="2" fontId="7" fillId="0" borderId="125" xfId="0" applyNumberFormat="1" applyFont="1" applyBorder="1" applyAlignment="1" applyProtection="1">
      <alignment horizontal="center" vertical="center"/>
      <protection hidden="1"/>
    </xf>
    <xf numFmtId="0" fontId="3" fillId="0" borderId="1" xfId="0" applyFont="1" applyBorder="1" applyAlignment="1" applyProtection="1">
      <alignment horizontal="center"/>
      <protection hidden="1"/>
    </xf>
    <xf numFmtId="0" fontId="3" fillId="0" borderId="2" xfId="0" applyFont="1" applyBorder="1" applyAlignment="1" applyProtection="1">
      <alignment horizontal="center"/>
      <protection hidden="1"/>
    </xf>
    <xf numFmtId="0" fontId="3" fillId="0" borderId="3" xfId="0" applyFont="1" applyBorder="1" applyAlignment="1" applyProtection="1">
      <alignment horizontal="center"/>
      <protection hidden="1"/>
    </xf>
    <xf numFmtId="0" fontId="1" fillId="0" borderId="4" xfId="0" applyFont="1" applyBorder="1" applyAlignment="1" applyProtection="1">
      <alignment horizontal="left" vertical="center"/>
      <protection hidden="1"/>
    </xf>
    <xf numFmtId="0" fontId="1" fillId="0" borderId="5" xfId="0" applyFont="1" applyBorder="1" applyAlignment="1" applyProtection="1">
      <alignment horizontal="left" vertical="center"/>
      <protection hidden="1"/>
    </xf>
    <xf numFmtId="0" fontId="7" fillId="0" borderId="59" xfId="0" applyFont="1" applyBorder="1" applyAlignment="1" applyProtection="1">
      <alignment horizontal="center" vertical="center"/>
      <protection hidden="1"/>
    </xf>
    <xf numFmtId="0" fontId="7" fillId="0" borderId="61" xfId="0" applyFont="1" applyBorder="1" applyAlignment="1" applyProtection="1">
      <alignment horizontal="center" vertical="center"/>
      <protection hidden="1"/>
    </xf>
    <xf numFmtId="0" fontId="7" fillId="0" borderId="62" xfId="0" applyFont="1" applyBorder="1" applyAlignment="1" applyProtection="1">
      <alignment horizontal="center" vertical="center"/>
      <protection hidden="1"/>
    </xf>
    <xf numFmtId="0" fontId="7" fillId="0" borderId="60" xfId="0" applyFont="1" applyBorder="1" applyAlignment="1" applyProtection="1">
      <alignment horizontal="center" vertical="center"/>
      <protection hidden="1"/>
    </xf>
    <xf numFmtId="0" fontId="7" fillId="0" borderId="126" xfId="0" applyFont="1" applyBorder="1" applyAlignment="1" applyProtection="1">
      <alignment horizontal="center" vertical="center"/>
      <protection hidden="1"/>
    </xf>
    <xf numFmtId="0" fontId="17" fillId="2" borderId="127" xfId="0" applyFont="1" applyFill="1" applyBorder="1" applyAlignment="1" applyProtection="1">
      <alignment horizontal="center" vertical="center"/>
      <protection hidden="1"/>
    </xf>
    <xf numFmtId="0" fontId="17" fillId="2" borderId="28" xfId="0" applyFont="1" applyFill="1" applyBorder="1" applyAlignment="1" applyProtection="1">
      <alignment horizontal="center" vertical="center"/>
      <protection hidden="1"/>
    </xf>
    <xf numFmtId="0" fontId="17" fillId="2" borderId="26" xfId="0" applyFont="1" applyFill="1" applyBorder="1" applyAlignment="1" applyProtection="1">
      <alignment horizontal="center" vertical="center"/>
      <protection hidden="1"/>
    </xf>
    <xf numFmtId="0" fontId="17" fillId="2" borderId="27" xfId="0" applyFont="1" applyFill="1" applyBorder="1" applyAlignment="1" applyProtection="1">
      <alignment horizontal="center" vertical="center"/>
      <protection hidden="1"/>
    </xf>
    <xf numFmtId="0" fontId="17" fillId="2" borderId="128" xfId="0" applyFont="1" applyFill="1" applyBorder="1" applyAlignment="1" applyProtection="1">
      <alignment horizontal="center" vertical="center"/>
      <protection hidden="1"/>
    </xf>
    <xf numFmtId="0" fontId="7" fillId="0" borderId="129" xfId="0" applyFont="1" applyBorder="1" applyAlignment="1" applyProtection="1">
      <alignment horizontal="center" vertical="center"/>
      <protection hidden="1"/>
    </xf>
    <xf numFmtId="0" fontId="7" fillId="0" borderId="130" xfId="0" applyFont="1" applyBorder="1" applyAlignment="1" applyProtection="1">
      <alignment horizontal="center" vertical="center"/>
      <protection hidden="1"/>
    </xf>
    <xf numFmtId="0" fontId="7" fillId="0" borderId="131" xfId="0" applyFont="1" applyBorder="1" applyAlignment="1" applyProtection="1">
      <alignment horizontal="center" vertical="center"/>
      <protection hidden="1"/>
    </xf>
    <xf numFmtId="0" fontId="7" fillId="0" borderId="132" xfId="0" applyFont="1" applyBorder="1" applyAlignment="1" applyProtection="1">
      <alignment horizontal="center" vertical="center"/>
      <protection hidden="1"/>
    </xf>
    <xf numFmtId="0" fontId="7" fillId="0" borderId="133" xfId="0" applyFont="1" applyBorder="1" applyAlignment="1" applyProtection="1">
      <alignment horizontal="center" vertical="center"/>
      <protection hidden="1"/>
    </xf>
    <xf numFmtId="0" fontId="7" fillId="0" borderId="134" xfId="0" applyFont="1" applyBorder="1" applyAlignment="1" applyProtection="1">
      <alignment horizontal="center" vertical="center"/>
      <protection hidden="1"/>
    </xf>
    <xf numFmtId="0" fontId="17" fillId="2" borderId="135" xfId="0" applyFont="1" applyFill="1" applyBorder="1" applyAlignment="1" applyProtection="1">
      <alignment horizontal="center" vertical="center"/>
      <protection hidden="1"/>
    </xf>
    <xf numFmtId="0" fontId="17" fillId="2" borderId="136" xfId="0" applyFont="1" applyFill="1" applyBorder="1" applyAlignment="1" applyProtection="1">
      <alignment horizontal="center" vertical="center"/>
      <protection hidden="1"/>
    </xf>
    <xf numFmtId="0" fontId="17" fillId="2" borderId="137" xfId="0" applyFont="1" applyFill="1" applyBorder="1" applyAlignment="1" applyProtection="1">
      <alignment horizontal="center" vertical="center"/>
      <protection hidden="1"/>
    </xf>
    <xf numFmtId="0" fontId="17" fillId="2" borderId="138" xfId="0" applyFont="1" applyFill="1" applyBorder="1" applyAlignment="1" applyProtection="1">
      <alignment horizontal="center" vertical="center"/>
      <protection hidden="1"/>
    </xf>
    <xf numFmtId="0" fontId="17" fillId="2" borderId="139" xfId="0" applyFont="1" applyFill="1" applyBorder="1" applyAlignment="1" applyProtection="1">
      <alignment horizontal="center" vertical="center"/>
      <protection hidden="1"/>
    </xf>
    <xf numFmtId="0" fontId="17" fillId="2" borderId="140" xfId="0" applyFont="1" applyFill="1" applyBorder="1" applyAlignment="1" applyProtection="1">
      <alignment horizontal="center" vertical="center"/>
      <protection hidden="1"/>
    </xf>
    <xf numFmtId="0" fontId="14" fillId="0" borderId="0" xfId="0" applyFont="1" applyAlignment="1" applyProtection="1">
      <alignment horizontal="left" vertical="center"/>
      <protection hidden="1"/>
    </xf>
    <xf numFmtId="0" fontId="8" fillId="2" borderId="141" xfId="0" applyFont="1" applyFill="1" applyBorder="1" applyAlignment="1" applyProtection="1">
      <alignment horizontal="center" vertical="center"/>
      <protection hidden="1"/>
    </xf>
    <xf numFmtId="0" fontId="8" fillId="2" borderId="142" xfId="0" applyFont="1" applyFill="1" applyBorder="1" applyAlignment="1" applyProtection="1">
      <alignment horizontal="center" vertical="center"/>
      <protection hidden="1"/>
    </xf>
    <xf numFmtId="0" fontId="8" fillId="2" borderId="143" xfId="0" applyFont="1" applyFill="1" applyBorder="1" applyAlignment="1" applyProtection="1">
      <alignment horizontal="center" vertical="center"/>
      <protection hidden="1"/>
    </xf>
    <xf numFmtId="0" fontId="8" fillId="2" borderId="144" xfId="0" applyFont="1" applyFill="1" applyBorder="1" applyAlignment="1" applyProtection="1">
      <alignment horizontal="center" vertical="center"/>
      <protection hidden="1"/>
    </xf>
    <xf numFmtId="0" fontId="7" fillId="2" borderId="93" xfId="0" applyFont="1" applyFill="1" applyBorder="1" applyAlignment="1" applyProtection="1">
      <alignment horizontal="center" vertical="center"/>
      <protection hidden="1"/>
    </xf>
    <xf numFmtId="0" fontId="1" fillId="0" borderId="145" xfId="0" applyFont="1" applyBorder="1" applyAlignment="1" applyProtection="1">
      <alignment horizontal="center" vertical="center"/>
      <protection hidden="1"/>
    </xf>
    <xf numFmtId="0" fontId="1" fillId="0" borderId="145" xfId="0" applyFont="1" applyBorder="1" applyAlignment="1" applyProtection="1">
      <alignment horizontal="left" vertical="center" indent="1"/>
      <protection hidden="1"/>
    </xf>
    <xf numFmtId="0" fontId="7" fillId="0" borderId="146" xfId="0" applyFont="1" applyBorder="1" applyAlignment="1" applyProtection="1">
      <alignment horizontal="center" vertical="center"/>
      <protection hidden="1"/>
    </xf>
    <xf numFmtId="1" fontId="7" fillId="0" borderId="145" xfId="0" applyNumberFormat="1" applyFont="1" applyBorder="1" applyAlignment="1" applyProtection="1">
      <alignment horizontal="center" vertical="center"/>
      <protection hidden="1"/>
    </xf>
    <xf numFmtId="0" fontId="1" fillId="0" borderId="147" xfId="0" applyFont="1" applyBorder="1" applyAlignment="1" applyProtection="1">
      <alignment horizontal="center" vertical="center"/>
      <protection hidden="1"/>
    </xf>
    <xf numFmtId="0" fontId="7" fillId="2" borderId="9" xfId="0" applyFont="1" applyFill="1" applyBorder="1" applyAlignment="1" applyProtection="1">
      <alignment horizontal="center" vertical="center"/>
      <protection hidden="1"/>
    </xf>
    <xf numFmtId="0" fontId="1" fillId="0" borderId="148" xfId="0" applyFont="1" applyBorder="1" applyAlignment="1" applyProtection="1">
      <alignment horizontal="center" vertical="center"/>
      <protection hidden="1"/>
    </xf>
    <xf numFmtId="0" fontId="7" fillId="2" borderId="37" xfId="0" applyFont="1" applyFill="1" applyBorder="1" applyAlignment="1" applyProtection="1">
      <alignment horizontal="center" vertical="center"/>
      <protection hidden="1"/>
    </xf>
    <xf numFmtId="0" fontId="1" fillId="0" borderId="149" xfId="0" applyFont="1" applyBorder="1" applyAlignment="1" applyProtection="1">
      <alignment horizontal="center" vertical="center"/>
      <protection hidden="1"/>
    </xf>
    <xf numFmtId="0" fontId="1" fillId="0" borderId="150" xfId="0" applyFont="1" applyBorder="1" applyAlignment="1" applyProtection="1">
      <alignment horizontal="left" vertical="center" indent="1"/>
      <protection hidden="1"/>
    </xf>
    <xf numFmtId="0" fontId="1" fillId="0" borderId="2" xfId="0" applyFont="1" applyBorder="1" applyAlignment="1" applyProtection="1">
      <alignment horizontal="left" vertical="center"/>
      <protection hidden="1"/>
    </xf>
    <xf numFmtId="0" fontId="1" fillId="0" borderId="0" xfId="0" applyFont="1"/>
    <xf numFmtId="0" fontId="7" fillId="0" borderId="0" xfId="0" applyFont="1"/>
    <xf numFmtId="0" fontId="1" fillId="0" borderId="0" xfId="0" applyFont="1" applyProtection="1">
      <protection hidden="1"/>
    </xf>
    <xf numFmtId="0" fontId="4" fillId="4" borderId="1" xfId="0" applyFont="1" applyFill="1" applyBorder="1" applyAlignment="1" applyProtection="1">
      <alignment horizontal="center" vertical="center"/>
      <protection hidden="1"/>
    </xf>
    <xf numFmtId="0" fontId="4" fillId="4" borderId="2" xfId="0" applyFont="1" applyFill="1" applyBorder="1" applyAlignment="1" applyProtection="1">
      <alignment horizontal="center" vertical="center"/>
      <protection hidden="1"/>
    </xf>
    <xf numFmtId="0" fontId="4" fillId="4" borderId="151" xfId="0" applyFont="1" applyFill="1" applyBorder="1" applyAlignment="1" applyProtection="1">
      <alignment horizontal="center" vertical="center"/>
      <protection hidden="1"/>
    </xf>
    <xf numFmtId="0" fontId="7" fillId="2" borderId="152" xfId="0" applyFont="1" applyFill="1" applyBorder="1" applyAlignment="1" applyProtection="1">
      <alignment horizontal="center" vertical="center"/>
      <protection hidden="1"/>
    </xf>
    <xf numFmtId="0" fontId="7" fillId="2" borderId="153" xfId="0" applyFont="1" applyFill="1" applyBorder="1" applyAlignment="1" applyProtection="1">
      <alignment horizontal="center" vertical="center"/>
      <protection hidden="1"/>
    </xf>
    <xf numFmtId="0" fontId="7" fillId="2" borderId="62" xfId="0" applyFont="1" applyFill="1" applyBorder="1" applyAlignment="1" applyProtection="1">
      <alignment horizontal="center" vertical="center"/>
      <protection hidden="1"/>
    </xf>
    <xf numFmtId="0" fontId="7" fillId="2" borderId="126" xfId="0" applyFont="1" applyFill="1" applyBorder="1" applyAlignment="1" applyProtection="1">
      <alignment horizontal="center" vertical="center"/>
      <protection hidden="1"/>
    </xf>
    <xf numFmtId="0" fontId="4" fillId="4" borderId="3" xfId="0" applyFont="1" applyFill="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8" fillId="0" borderId="4" xfId="0" applyFont="1" applyBorder="1" applyAlignment="1" applyProtection="1">
      <alignment horizontal="center" vertical="center"/>
      <protection hidden="1"/>
    </xf>
    <xf numFmtId="0" fontId="8" fillId="0" borderId="154" xfId="0" applyFont="1" applyBorder="1" applyAlignment="1" applyProtection="1">
      <alignment horizontal="center" vertical="center"/>
      <protection hidden="1"/>
    </xf>
    <xf numFmtId="165" fontId="1" fillId="2" borderId="155" xfId="0" applyNumberFormat="1" applyFont="1" applyFill="1" applyBorder="1" applyAlignment="1" applyProtection="1">
      <alignment horizontal="center" vertical="center"/>
      <protection hidden="1"/>
    </xf>
    <xf numFmtId="165" fontId="1" fillId="2" borderId="156" xfId="0" applyNumberFormat="1" applyFont="1" applyFill="1" applyBorder="1" applyAlignment="1" applyProtection="1">
      <alignment horizontal="center" vertical="center"/>
      <protection hidden="1"/>
    </xf>
    <xf numFmtId="165" fontId="1" fillId="2" borderId="157" xfId="0" applyNumberFormat="1" applyFont="1" applyFill="1" applyBorder="1" applyAlignment="1" applyProtection="1">
      <alignment horizontal="center" vertical="center"/>
      <protection hidden="1"/>
    </xf>
    <xf numFmtId="0" fontId="8" fillId="2" borderId="40" xfId="0" applyFont="1" applyFill="1" applyBorder="1" applyAlignment="1" applyProtection="1">
      <alignment horizontal="center" vertical="center"/>
      <protection hidden="1"/>
    </xf>
    <xf numFmtId="0" fontId="8" fillId="2" borderId="41" xfId="0" applyFont="1" applyFill="1" applyBorder="1" applyAlignment="1" applyProtection="1">
      <alignment horizontal="center" vertical="center"/>
      <protection hidden="1"/>
    </xf>
    <xf numFmtId="0" fontId="8" fillId="2" borderId="42" xfId="0" applyFont="1" applyFill="1" applyBorder="1" applyAlignment="1" applyProtection="1">
      <alignment horizontal="center" vertical="center"/>
      <protection hidden="1"/>
    </xf>
    <xf numFmtId="0" fontId="8" fillId="5" borderId="158" xfId="0" applyFont="1" applyFill="1" applyBorder="1" applyAlignment="1" applyProtection="1">
      <alignment horizontal="center" vertical="center"/>
      <protection hidden="1"/>
    </xf>
    <xf numFmtId="0" fontId="5" fillId="0" borderId="0" xfId="0" applyFont="1" applyAlignment="1" applyProtection="1">
      <alignment horizontal="center" vertical="center"/>
      <protection hidden="1"/>
    </xf>
    <xf numFmtId="164" fontId="1" fillId="0" borderId="24" xfId="0" applyNumberFormat="1" applyFont="1" applyBorder="1" applyAlignment="1" applyProtection="1">
      <alignment horizontal="center" vertical="center"/>
      <protection locked="0"/>
    </xf>
    <xf numFmtId="164" fontId="1" fillId="0" borderId="21" xfId="0" applyNumberFormat="1" applyFont="1" applyBorder="1" applyAlignment="1" applyProtection="1">
      <alignment horizontal="center" vertical="center"/>
      <protection locked="0"/>
    </xf>
    <xf numFmtId="164" fontId="1" fillId="0" borderId="14" xfId="0" applyNumberFormat="1" applyFont="1" applyBorder="1" applyAlignment="1" applyProtection="1">
      <alignment horizontal="center" vertical="center"/>
      <protection locked="0"/>
    </xf>
    <xf numFmtId="0" fontId="7" fillId="0" borderId="159" xfId="0" applyFont="1" applyBorder="1" applyAlignment="1" applyProtection="1">
      <alignment horizontal="center" vertical="center" wrapText="1"/>
      <protection hidden="1"/>
    </xf>
    <xf numFmtId="0" fontId="7" fillId="0" borderId="13" xfId="0" applyFont="1" applyBorder="1" applyAlignment="1" applyProtection="1">
      <alignment horizontal="center" vertical="center" wrapText="1"/>
      <protection hidden="1"/>
    </xf>
    <xf numFmtId="0" fontId="7" fillId="0" borderId="14" xfId="0" applyFont="1" applyBorder="1" applyAlignment="1" applyProtection="1">
      <alignment horizontal="center" vertical="center" wrapText="1"/>
      <protection hidden="1"/>
    </xf>
    <xf numFmtId="0" fontId="8" fillId="0" borderId="94" xfId="0" applyFont="1" applyBorder="1" applyAlignment="1" applyProtection="1">
      <alignment horizontal="center" vertical="center"/>
      <protection hidden="1"/>
    </xf>
    <xf numFmtId="0" fontId="8" fillId="0" borderId="95" xfId="0" applyFont="1" applyBorder="1" applyAlignment="1" applyProtection="1">
      <alignment horizontal="center" vertical="center"/>
      <protection hidden="1"/>
    </xf>
    <xf numFmtId="0" fontId="8" fillId="0" borderId="160" xfId="0" applyFont="1" applyBorder="1" applyAlignment="1" applyProtection="1">
      <alignment horizontal="center" vertical="center"/>
      <protection hidden="1"/>
    </xf>
    <xf numFmtId="164" fontId="7" fillId="0" borderId="95" xfId="0" applyNumberFormat="1" applyFont="1" applyBorder="1" applyAlignment="1" applyProtection="1">
      <alignment horizontal="center" vertical="center"/>
      <protection locked="0"/>
    </xf>
    <xf numFmtId="164" fontId="7" fillId="0" borderId="99" xfId="0" applyNumberFormat="1" applyFont="1" applyBorder="1" applyAlignment="1" applyProtection="1">
      <alignment horizontal="center" vertical="center"/>
      <protection locked="0"/>
    </xf>
    <xf numFmtId="164" fontId="7" fillId="0" borderId="102" xfId="0" applyNumberFormat="1" applyFont="1" applyBorder="1" applyAlignment="1" applyProtection="1">
      <alignment horizontal="center" vertical="center"/>
      <protection locked="0"/>
    </xf>
    <xf numFmtId="164" fontId="7" fillId="0" borderId="98" xfId="0" applyNumberFormat="1" applyFont="1" applyBorder="1" applyAlignment="1" applyProtection="1">
      <alignment horizontal="center" vertical="center"/>
      <protection locked="0"/>
    </xf>
    <xf numFmtId="164" fontId="7" fillId="0" borderId="161" xfId="0" applyNumberFormat="1" applyFont="1" applyBorder="1" applyAlignment="1" applyProtection="1">
      <alignment horizontal="center" vertical="center"/>
      <protection locked="0"/>
    </xf>
    <xf numFmtId="0" fontId="7" fillId="0" borderId="100" xfId="0" applyFont="1" applyBorder="1" applyAlignment="1" applyProtection="1">
      <alignment horizontal="center" vertical="center"/>
      <protection hidden="1"/>
    </xf>
    <xf numFmtId="0" fontId="7" fillId="0" borderId="98" xfId="0" applyFont="1" applyBorder="1" applyAlignment="1" applyProtection="1">
      <alignment horizontal="center" vertical="center"/>
      <protection hidden="1"/>
    </xf>
    <xf numFmtId="0" fontId="7" fillId="0" borderId="101" xfId="0" applyFont="1" applyBorder="1" applyAlignment="1" applyProtection="1">
      <alignment horizontal="center" vertical="center"/>
      <protection hidden="1"/>
    </xf>
    <xf numFmtId="0" fontId="7" fillId="0" borderId="161" xfId="0" applyFont="1" applyBorder="1" applyAlignment="1" applyProtection="1">
      <alignment horizontal="center" vertical="center"/>
      <protection hidden="1"/>
    </xf>
    <xf numFmtId="0" fontId="7" fillId="0" borderId="97" xfId="0" applyFont="1" applyBorder="1" applyAlignment="1" applyProtection="1">
      <alignment horizontal="center" vertical="center"/>
      <protection hidden="1"/>
    </xf>
    <xf numFmtId="0" fontId="8" fillId="5" borderId="162" xfId="0" applyFont="1" applyFill="1" applyBorder="1" applyAlignment="1" applyProtection="1">
      <alignment horizontal="center" vertical="center"/>
      <protection hidden="1"/>
    </xf>
    <xf numFmtId="0" fontId="1" fillId="0" borderId="21" xfId="0" applyFont="1" applyBorder="1" applyAlignment="1" applyProtection="1">
      <alignment horizontal="center" vertical="center"/>
      <protection hidden="1"/>
    </xf>
    <xf numFmtId="0" fontId="1" fillId="0" borderId="163" xfId="0" applyFont="1" applyBorder="1" applyAlignment="1" applyProtection="1">
      <alignment horizontal="left" vertical="center" indent="1"/>
      <protection hidden="1"/>
    </xf>
    <xf numFmtId="0" fontId="7" fillId="0" borderId="24" xfId="0" applyFont="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0" fontId="7" fillId="0" borderId="107" xfId="0" applyFont="1" applyBorder="1" applyAlignment="1" applyProtection="1">
      <alignment horizontal="center" vertical="center"/>
      <protection locked="0"/>
    </xf>
    <xf numFmtId="0" fontId="1" fillId="0" borderId="93" xfId="0" applyFont="1" applyBorder="1" applyAlignment="1" applyProtection="1">
      <alignment horizontal="center" vertical="center"/>
      <protection hidden="1"/>
    </xf>
    <xf numFmtId="0" fontId="1" fillId="0" borderId="21" xfId="0" applyFont="1" applyBorder="1" applyAlignment="1" applyProtection="1">
      <alignment horizontal="center"/>
      <protection hidden="1"/>
    </xf>
    <xf numFmtId="0" fontId="1" fillId="0" borderId="12" xfId="0" applyFont="1" applyBorder="1" applyAlignment="1" applyProtection="1">
      <alignment horizontal="center"/>
      <protection hidden="1"/>
    </xf>
    <xf numFmtId="0" fontId="1" fillId="0" borderId="93" xfId="0" applyFont="1" applyBorder="1" applyAlignment="1" applyProtection="1">
      <alignment horizontal="center"/>
      <protection hidden="1"/>
    </xf>
    <xf numFmtId="0" fontId="1" fillId="0" borderId="107" xfId="0" applyFont="1" applyBorder="1" applyAlignment="1" applyProtection="1">
      <alignment horizontal="center"/>
      <protection hidden="1"/>
    </xf>
    <xf numFmtId="0" fontId="1" fillId="0" borderId="24" xfId="0" applyFont="1" applyBorder="1" applyAlignment="1" applyProtection="1">
      <alignment horizontal="center"/>
      <protection hidden="1"/>
    </xf>
    <xf numFmtId="0" fontId="1" fillId="0" borderId="164" xfId="0" applyFont="1" applyBorder="1" applyAlignment="1" applyProtection="1">
      <alignment horizontal="center" vertical="center"/>
      <protection hidden="1"/>
    </xf>
    <xf numFmtId="0" fontId="1" fillId="0" borderId="4" xfId="0" applyFont="1" applyBorder="1" applyProtection="1">
      <protection hidden="1"/>
    </xf>
    <xf numFmtId="0" fontId="1" fillId="0" borderId="10" xfId="0" applyFont="1" applyBorder="1" applyAlignment="1" applyProtection="1">
      <alignment horizontal="center" vertical="center"/>
      <protection hidden="1"/>
    </xf>
    <xf numFmtId="0" fontId="1" fillId="0" borderId="165" xfId="0" applyFont="1" applyBorder="1" applyAlignment="1" applyProtection="1">
      <alignment horizontal="left" vertical="center" indent="1"/>
      <protection hidden="1"/>
    </xf>
    <xf numFmtId="0" fontId="7" fillId="0" borderId="18"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7" fillId="0" borderId="36"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hidden="1"/>
    </xf>
    <xf numFmtId="0" fontId="1" fillId="0" borderId="10" xfId="0" applyFont="1" applyBorder="1" applyAlignment="1" applyProtection="1">
      <alignment horizontal="center"/>
      <protection hidden="1"/>
    </xf>
    <xf numFmtId="0" fontId="1" fillId="0" borderId="15" xfId="0" applyFont="1" applyBorder="1" applyAlignment="1" applyProtection="1">
      <alignment horizontal="center"/>
      <protection hidden="1"/>
    </xf>
    <xf numFmtId="0" fontId="1" fillId="0" borderId="9" xfId="0" applyFont="1" applyBorder="1" applyAlignment="1" applyProtection="1">
      <alignment horizontal="center"/>
      <protection hidden="1"/>
    </xf>
    <xf numFmtId="0" fontId="1" fillId="0" borderId="36" xfId="0" applyFont="1" applyBorder="1" applyAlignment="1" applyProtection="1">
      <alignment horizontal="center"/>
      <protection hidden="1"/>
    </xf>
    <xf numFmtId="0" fontId="1" fillId="0" borderId="18" xfId="0" applyFont="1" applyBorder="1" applyAlignment="1" applyProtection="1">
      <alignment horizontal="center"/>
      <protection hidden="1"/>
    </xf>
    <xf numFmtId="0" fontId="1" fillId="0" borderId="38" xfId="0" applyFont="1" applyBorder="1" applyAlignment="1" applyProtection="1">
      <alignment horizontal="center" vertical="center"/>
      <protection hidden="1"/>
    </xf>
    <xf numFmtId="0" fontId="1" fillId="0" borderId="166" xfId="0" applyFont="1" applyBorder="1" applyAlignment="1" applyProtection="1">
      <alignment horizontal="left" vertical="center" indent="1"/>
      <protection hidden="1"/>
    </xf>
    <xf numFmtId="0" fontId="7" fillId="0" borderId="6" xfId="0" applyFont="1" applyBorder="1" applyAlignment="1" applyProtection="1">
      <alignment horizontal="center" vertical="center"/>
      <protection locked="0"/>
    </xf>
    <xf numFmtId="0" fontId="7" fillId="0" borderId="85"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hidden="1"/>
    </xf>
    <xf numFmtId="0" fontId="1" fillId="0" borderId="38" xfId="0" applyFont="1" applyBorder="1" applyAlignment="1" applyProtection="1">
      <alignment horizontal="center"/>
      <protection hidden="1"/>
    </xf>
    <xf numFmtId="0" fontId="1" fillId="0" borderId="47" xfId="0" applyFont="1" applyBorder="1" applyAlignment="1" applyProtection="1">
      <alignment horizontal="center"/>
      <protection hidden="1"/>
    </xf>
    <xf numFmtId="0" fontId="1" fillId="0" borderId="37" xfId="0" applyFont="1" applyBorder="1" applyAlignment="1" applyProtection="1">
      <alignment horizontal="center"/>
      <protection hidden="1"/>
    </xf>
    <xf numFmtId="0" fontId="1" fillId="0" borderId="39" xfId="0" applyFont="1" applyBorder="1" applyAlignment="1" applyProtection="1">
      <alignment horizontal="center"/>
      <protection hidden="1"/>
    </xf>
    <xf numFmtId="0" fontId="1" fillId="0" borderId="49" xfId="0" applyFont="1" applyBorder="1" applyAlignment="1" applyProtection="1">
      <alignment horizontal="center"/>
      <protection hidden="1"/>
    </xf>
    <xf numFmtId="0" fontId="1" fillId="0" borderId="2" xfId="0" applyFont="1" applyBorder="1" applyProtection="1">
      <protection hidden="1"/>
    </xf>
    <xf numFmtId="0" fontId="1" fillId="2" borderId="2" xfId="0" applyFont="1" applyFill="1" applyBorder="1" applyAlignment="1" applyProtection="1">
      <alignment horizontal="center" vertical="center"/>
      <protection hidden="1"/>
    </xf>
    <xf numFmtId="0" fontId="1" fillId="2" borderId="4" xfId="0" applyFont="1" applyFill="1" applyBorder="1" applyAlignment="1" applyProtection="1">
      <alignment horizontal="center" vertical="center"/>
      <protection hidden="1"/>
    </xf>
    <xf numFmtId="0" fontId="1" fillId="2" borderId="0" xfId="0" applyFont="1" applyFill="1" applyAlignment="1" applyProtection="1">
      <alignment horizontal="center" vertical="center"/>
      <protection hidden="1"/>
    </xf>
    <xf numFmtId="0" fontId="20" fillId="2" borderId="0" xfId="0" applyFont="1" applyFill="1" applyAlignment="1" applyProtection="1">
      <alignment horizontal="center" vertical="center"/>
      <protection hidden="1"/>
    </xf>
    <xf numFmtId="0" fontId="1" fillId="2" borderId="5" xfId="0" applyFont="1" applyFill="1" applyBorder="1" applyAlignment="1" applyProtection="1">
      <alignment horizontal="center" vertical="center"/>
      <protection hidden="1"/>
    </xf>
    <xf numFmtId="0" fontId="7" fillId="5" borderId="167" xfId="0" applyFont="1" applyFill="1" applyBorder="1" applyAlignment="1" applyProtection="1">
      <alignment horizontal="center" vertical="center"/>
      <protection locked="0"/>
    </xf>
    <xf numFmtId="0" fontId="7" fillId="5" borderId="168" xfId="0" applyFont="1" applyFill="1" applyBorder="1" applyAlignment="1" applyProtection="1">
      <alignment horizontal="center" vertical="center"/>
      <protection locked="0"/>
    </xf>
    <xf numFmtId="0" fontId="7" fillId="5" borderId="169" xfId="0" applyFont="1" applyFill="1" applyBorder="1" applyAlignment="1" applyProtection="1">
      <alignment horizontal="center" vertical="center"/>
      <protection locked="0"/>
    </xf>
    <xf numFmtId="0" fontId="7" fillId="5" borderId="170" xfId="0" applyFont="1" applyFill="1" applyBorder="1" applyAlignment="1" applyProtection="1">
      <alignment horizontal="center" vertical="center"/>
      <protection hidden="1"/>
    </xf>
    <xf numFmtId="0" fontId="7" fillId="5" borderId="171" xfId="0" applyFont="1" applyFill="1" applyBorder="1" applyAlignment="1" applyProtection="1">
      <alignment horizontal="center" vertical="center"/>
      <protection hidden="1"/>
    </xf>
    <xf numFmtId="0" fontId="7" fillId="5" borderId="172" xfId="0" applyFont="1" applyFill="1" applyBorder="1" applyAlignment="1" applyProtection="1">
      <alignment horizontal="center" vertical="center"/>
      <protection hidden="1"/>
    </xf>
    <xf numFmtId="0" fontId="7" fillId="2" borderId="0" xfId="0" applyFont="1" applyFill="1" applyAlignment="1" applyProtection="1">
      <alignment horizontal="center" vertical="center"/>
      <protection hidden="1"/>
    </xf>
    <xf numFmtId="0" fontId="17" fillId="11" borderId="173" xfId="0" applyFont="1" applyFill="1" applyBorder="1" applyAlignment="1" applyProtection="1">
      <alignment horizontal="center" vertical="center"/>
      <protection hidden="1"/>
    </xf>
    <xf numFmtId="0" fontId="17" fillId="11" borderId="174" xfId="0" applyFont="1" applyFill="1" applyBorder="1" applyAlignment="1" applyProtection="1">
      <alignment horizontal="center" vertical="center"/>
      <protection hidden="1"/>
    </xf>
    <xf numFmtId="0" fontId="17" fillId="11" borderId="175" xfId="0" applyFont="1" applyFill="1" applyBorder="1" applyAlignment="1" applyProtection="1">
      <alignment horizontal="center" vertical="center"/>
      <protection hidden="1"/>
    </xf>
    <xf numFmtId="0" fontId="21" fillId="2" borderId="0" xfId="0" applyFont="1" applyFill="1" applyAlignment="1" applyProtection="1">
      <alignment horizontal="center" vertical="center"/>
      <protection hidden="1"/>
    </xf>
    <xf numFmtId="0" fontId="13" fillId="11" borderId="0" xfId="0" applyFont="1" applyFill="1" applyAlignment="1" applyProtection="1">
      <alignment vertical="center"/>
      <protection hidden="1"/>
    </xf>
    <xf numFmtId="0" fontId="19" fillId="11" borderId="176" xfId="0" applyFont="1" applyFill="1" applyBorder="1" applyAlignment="1" applyProtection="1">
      <alignment horizontal="center" vertical="center"/>
      <protection hidden="1"/>
    </xf>
    <xf numFmtId="0" fontId="19" fillId="11" borderId="177" xfId="0" applyFont="1" applyFill="1" applyBorder="1" applyAlignment="1" applyProtection="1">
      <alignment horizontal="center" vertical="center"/>
      <protection hidden="1"/>
    </xf>
    <xf numFmtId="0" fontId="19" fillId="11" borderId="178" xfId="0" applyFont="1" applyFill="1" applyBorder="1" applyAlignment="1" applyProtection="1">
      <alignment horizontal="center" vertical="center"/>
      <protection hidden="1"/>
    </xf>
    <xf numFmtId="0" fontId="7" fillId="5" borderId="167" xfId="0" applyFont="1" applyFill="1" applyBorder="1" applyAlignment="1" applyProtection="1">
      <alignment horizontal="center" vertical="center"/>
      <protection hidden="1"/>
    </xf>
    <xf numFmtId="0" fontId="7" fillId="5" borderId="168" xfId="0" applyFont="1" applyFill="1" applyBorder="1" applyAlignment="1" applyProtection="1">
      <alignment horizontal="center" vertical="center"/>
      <protection hidden="1"/>
    </xf>
    <xf numFmtId="0" fontId="7" fillId="5" borderId="169" xfId="0" applyFont="1" applyFill="1" applyBorder="1" applyAlignment="1" applyProtection="1">
      <alignment horizontal="center" vertical="center"/>
      <protection hidden="1"/>
    </xf>
    <xf numFmtId="0" fontId="18" fillId="5" borderId="0" xfId="0" applyFont="1" applyFill="1" applyAlignment="1" applyProtection="1">
      <alignment vertical="center"/>
      <protection hidden="1"/>
    </xf>
    <xf numFmtId="0" fontId="8" fillId="5" borderId="179" xfId="0" applyFont="1" applyFill="1" applyBorder="1" applyAlignment="1" applyProtection="1">
      <alignment horizontal="center" vertical="center"/>
      <protection hidden="1"/>
    </xf>
    <xf numFmtId="0" fontId="8" fillId="5" borderId="180" xfId="0" applyFont="1" applyFill="1" applyBorder="1" applyAlignment="1" applyProtection="1">
      <alignment horizontal="center" vertical="center"/>
      <protection hidden="1"/>
    </xf>
    <xf numFmtId="1" fontId="8" fillId="5" borderId="179" xfId="0" applyNumberFormat="1" applyFont="1" applyFill="1" applyBorder="1" applyAlignment="1" applyProtection="1">
      <alignment horizontal="center" vertical="center"/>
      <protection hidden="1"/>
    </xf>
    <xf numFmtId="0" fontId="17" fillId="5" borderId="0" xfId="0" applyFont="1" applyFill="1" applyAlignment="1" applyProtection="1">
      <alignment vertical="center"/>
      <protection hidden="1"/>
    </xf>
    <xf numFmtId="0" fontId="17" fillId="5" borderId="0" xfId="0" applyFont="1" applyFill="1" applyAlignment="1" applyProtection="1">
      <alignment horizontal="center" vertical="center"/>
      <protection hidden="1"/>
    </xf>
    <xf numFmtId="0" fontId="17" fillId="5" borderId="181" xfId="0" applyFont="1" applyFill="1" applyBorder="1" applyAlignment="1" applyProtection="1">
      <alignment horizontal="center" vertical="center"/>
      <protection hidden="1"/>
    </xf>
    <xf numFmtId="0" fontId="17" fillId="5" borderId="182" xfId="0" applyFont="1" applyFill="1" applyBorder="1" applyAlignment="1" applyProtection="1">
      <alignment horizontal="center" vertical="center"/>
      <protection hidden="1"/>
    </xf>
    <xf numFmtId="0" fontId="1" fillId="2" borderId="0" xfId="0" applyFont="1" applyFill="1" applyAlignment="1" applyProtection="1">
      <alignment horizontal="left" vertical="center"/>
      <protection hidden="1"/>
    </xf>
    <xf numFmtId="0" fontId="6" fillId="2" borderId="0" xfId="0" applyFont="1" applyFill="1" applyAlignment="1" applyProtection="1">
      <alignment horizontal="center" vertical="center"/>
      <protection hidden="1"/>
    </xf>
    <xf numFmtId="0" fontId="1" fillId="2" borderId="183" xfId="0" applyFont="1" applyFill="1" applyBorder="1" applyAlignment="1" applyProtection="1">
      <alignment horizontal="center" vertical="center"/>
      <protection hidden="1"/>
    </xf>
    <xf numFmtId="0" fontId="1" fillId="2" borderId="184" xfId="0" applyFont="1" applyFill="1" applyBorder="1" applyAlignment="1" applyProtection="1">
      <alignment horizontal="center" vertical="center"/>
      <protection hidden="1"/>
    </xf>
    <xf numFmtId="0" fontId="8" fillId="2" borderId="184" xfId="0" applyFont="1" applyFill="1" applyBorder="1" applyAlignment="1" applyProtection="1">
      <alignment vertical="center"/>
      <protection hidden="1"/>
    </xf>
    <xf numFmtId="9" fontId="8" fillId="2" borderId="184" xfId="0" applyNumberFormat="1" applyFont="1" applyFill="1" applyBorder="1" applyAlignment="1" applyProtection="1">
      <alignment horizontal="center" vertical="center"/>
      <protection hidden="1"/>
    </xf>
    <xf numFmtId="0" fontId="8" fillId="2" borderId="0" xfId="0" applyFont="1" applyFill="1" applyAlignment="1" applyProtection="1">
      <alignment vertical="center"/>
      <protection hidden="1"/>
    </xf>
    <xf numFmtId="9" fontId="8" fillId="2" borderId="0" xfId="0" applyNumberFormat="1" applyFont="1" applyFill="1" applyAlignment="1" applyProtection="1">
      <alignment horizontal="center" vertical="center"/>
      <protection hidden="1"/>
    </xf>
    <xf numFmtId="0" fontId="1" fillId="4" borderId="0" xfId="0" applyFont="1" applyFill="1" applyAlignment="1" applyProtection="1">
      <alignment horizontal="center" vertical="center"/>
      <protection hidden="1"/>
    </xf>
    <xf numFmtId="9" fontId="16" fillId="4" borderId="0" xfId="0" applyNumberFormat="1" applyFont="1" applyFill="1" applyAlignment="1" applyProtection="1">
      <alignment horizontal="center" vertical="center"/>
      <protection hidden="1"/>
    </xf>
    <xf numFmtId="9" fontId="5" fillId="2" borderId="0" xfId="0" applyNumberFormat="1" applyFont="1" applyFill="1" applyAlignment="1" applyProtection="1">
      <alignment horizontal="center" vertical="center"/>
      <protection hidden="1"/>
    </xf>
    <xf numFmtId="9" fontId="5" fillId="4" borderId="0" xfId="0" applyNumberFormat="1" applyFont="1" applyFill="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1" fillId="11" borderId="0" xfId="0" applyFont="1" applyFill="1" applyAlignment="1" applyProtection="1">
      <alignment horizontal="center" vertical="center"/>
      <protection hidden="1"/>
    </xf>
    <xf numFmtId="0" fontId="7" fillId="11" borderId="0" xfId="0" applyFont="1" applyFill="1" applyAlignment="1" applyProtection="1">
      <alignment horizontal="center" vertical="center"/>
      <protection hidden="1"/>
    </xf>
    <xf numFmtId="0" fontId="7" fillId="11" borderId="177" xfId="0" applyFont="1" applyFill="1" applyBorder="1" applyAlignment="1" applyProtection="1">
      <alignment horizontal="center" vertical="center"/>
      <protection hidden="1"/>
    </xf>
    <xf numFmtId="166" fontId="1" fillId="5" borderId="0" xfId="0" applyNumberFormat="1" applyFont="1" applyFill="1" applyAlignment="1" applyProtection="1">
      <alignment horizontal="center" vertical="center"/>
      <protection hidden="1"/>
    </xf>
    <xf numFmtId="0" fontId="7" fillId="5" borderId="0" xfId="0" applyFont="1" applyFill="1" applyAlignment="1" applyProtection="1">
      <alignment horizontal="center" vertical="center"/>
      <protection hidden="1"/>
    </xf>
    <xf numFmtId="2" fontId="1" fillId="5" borderId="0" xfId="0" applyNumberFormat="1" applyFont="1" applyFill="1" applyAlignment="1" applyProtection="1">
      <alignment horizontal="center" vertical="center"/>
      <protection hidden="1"/>
    </xf>
    <xf numFmtId="2" fontId="1" fillId="2" borderId="0" xfId="0" applyNumberFormat="1" applyFont="1" applyFill="1" applyAlignment="1" applyProtection="1">
      <alignment horizontal="center" vertical="center"/>
      <protection hidden="1"/>
    </xf>
    <xf numFmtId="166" fontId="7" fillId="5" borderId="179" xfId="0" applyNumberFormat="1" applyFont="1" applyFill="1" applyBorder="1" applyAlignment="1" applyProtection="1">
      <alignment horizontal="center" vertical="center"/>
      <protection hidden="1"/>
    </xf>
    <xf numFmtId="9" fontId="7" fillId="5" borderId="179" xfId="0" applyNumberFormat="1" applyFont="1" applyFill="1" applyBorder="1" applyAlignment="1" applyProtection="1">
      <alignment horizontal="center" vertical="center"/>
      <protection hidden="1"/>
    </xf>
    <xf numFmtId="9" fontId="7" fillId="5" borderId="0" xfId="0" applyNumberFormat="1" applyFont="1" applyFill="1" applyAlignment="1" applyProtection="1">
      <alignment horizontal="center" vertical="center"/>
      <protection hidden="1"/>
    </xf>
    <xf numFmtId="166" fontId="7" fillId="5" borderId="0" xfId="0" applyNumberFormat="1" applyFont="1" applyFill="1" applyAlignment="1" applyProtection="1">
      <alignment horizontal="center" vertical="center"/>
      <protection hidden="1"/>
    </xf>
    <xf numFmtId="166" fontId="1" fillId="5" borderId="185" xfId="0" applyNumberFormat="1" applyFont="1" applyFill="1" applyBorder="1" applyAlignment="1" applyProtection="1">
      <alignment horizontal="center" vertical="center"/>
      <protection hidden="1"/>
    </xf>
    <xf numFmtId="0" fontId="1" fillId="5" borderId="185" xfId="0" applyFont="1" applyFill="1" applyBorder="1" applyAlignment="1" applyProtection="1">
      <alignment horizontal="center" vertical="center"/>
      <protection hidden="1"/>
    </xf>
    <xf numFmtId="0" fontId="7" fillId="5" borderId="185" xfId="0" applyFont="1" applyFill="1" applyBorder="1" applyAlignment="1" applyProtection="1">
      <alignment horizontal="center" vertical="center"/>
      <protection hidden="1"/>
    </xf>
    <xf numFmtId="2" fontId="1" fillId="5" borderId="185" xfId="0" applyNumberFormat="1" applyFont="1" applyFill="1" applyBorder="1" applyAlignment="1" applyProtection="1">
      <alignment horizontal="center" vertical="center"/>
      <protection hidden="1"/>
    </xf>
    <xf numFmtId="166" fontId="7" fillId="5" borderId="185" xfId="0" applyNumberFormat="1" applyFont="1" applyFill="1" applyBorder="1" applyAlignment="1" applyProtection="1">
      <alignment horizontal="center" vertical="center"/>
      <protection hidden="1"/>
    </xf>
    <xf numFmtId="9" fontId="7" fillId="5" borderId="185" xfId="0" applyNumberFormat="1" applyFont="1" applyFill="1" applyBorder="1" applyAlignment="1" applyProtection="1">
      <alignment horizontal="center" vertical="center"/>
      <protection hidden="1"/>
    </xf>
    <xf numFmtId="166" fontId="9" fillId="5" borderId="185" xfId="0" applyNumberFormat="1" applyFont="1" applyFill="1" applyBorder="1" applyAlignment="1" applyProtection="1">
      <alignment horizontal="center" vertical="center"/>
      <protection hidden="1"/>
    </xf>
    <xf numFmtId="0" fontId="9" fillId="5" borderId="185" xfId="0" applyFont="1" applyFill="1" applyBorder="1" applyAlignment="1" applyProtection="1">
      <alignment horizontal="center" vertical="center"/>
      <protection hidden="1"/>
    </xf>
    <xf numFmtId="0" fontId="22" fillId="5" borderId="185" xfId="0" applyFont="1" applyFill="1" applyBorder="1" applyAlignment="1" applyProtection="1">
      <alignment horizontal="center" vertical="center"/>
      <protection hidden="1"/>
    </xf>
    <xf numFmtId="2" fontId="9" fillId="5" borderId="185" xfId="0" applyNumberFormat="1" applyFont="1" applyFill="1" applyBorder="1" applyAlignment="1" applyProtection="1">
      <alignment horizontal="center" vertical="center"/>
      <protection hidden="1"/>
    </xf>
    <xf numFmtId="2" fontId="9" fillId="5" borderId="0" xfId="0" applyNumberFormat="1" applyFont="1" applyFill="1" applyAlignment="1" applyProtection="1">
      <alignment horizontal="center" vertical="center"/>
      <protection hidden="1"/>
    </xf>
    <xf numFmtId="0" fontId="1" fillId="5" borderId="186" xfId="0" applyFont="1" applyFill="1" applyBorder="1" applyAlignment="1" applyProtection="1">
      <alignment horizontal="center" vertical="center"/>
      <protection hidden="1"/>
    </xf>
    <xf numFmtId="0" fontId="1" fillId="5" borderId="179" xfId="0" applyFont="1" applyFill="1" applyBorder="1" applyAlignment="1" applyProtection="1">
      <alignment horizontal="center" vertical="center"/>
      <protection hidden="1"/>
    </xf>
    <xf numFmtId="166" fontId="7" fillId="5" borderId="186" xfId="0" applyNumberFormat="1" applyFont="1" applyFill="1" applyBorder="1" applyAlignment="1" applyProtection="1">
      <alignment horizontal="center" vertical="center"/>
      <protection hidden="1"/>
    </xf>
    <xf numFmtId="166" fontId="1" fillId="5" borderId="187" xfId="0" applyNumberFormat="1" applyFont="1" applyFill="1" applyBorder="1" applyAlignment="1" applyProtection="1">
      <alignment horizontal="center" vertical="center"/>
      <protection hidden="1"/>
    </xf>
    <xf numFmtId="0" fontId="1" fillId="5" borderId="187" xfId="0" applyFont="1" applyFill="1" applyBorder="1" applyAlignment="1" applyProtection="1">
      <alignment horizontal="center" vertical="center"/>
      <protection hidden="1"/>
    </xf>
    <xf numFmtId="166" fontId="1" fillId="5" borderId="183" xfId="0" applyNumberFormat="1" applyFont="1" applyFill="1" applyBorder="1" applyAlignment="1" applyProtection="1">
      <alignment horizontal="center" vertical="center"/>
      <protection hidden="1"/>
    </xf>
    <xf numFmtId="0" fontId="1" fillId="5" borderId="183" xfId="0" applyFont="1" applyFill="1" applyBorder="1" applyAlignment="1" applyProtection="1">
      <alignment horizontal="center" vertical="center"/>
      <protection hidden="1"/>
    </xf>
    <xf numFmtId="0" fontId="7" fillId="5" borderId="183" xfId="0" applyFont="1" applyFill="1" applyBorder="1" applyAlignment="1" applyProtection="1">
      <alignment horizontal="center" vertical="center"/>
      <protection hidden="1"/>
    </xf>
    <xf numFmtId="2" fontId="1" fillId="5" borderId="183" xfId="0" applyNumberFormat="1" applyFont="1" applyFill="1" applyBorder="1" applyAlignment="1" applyProtection="1">
      <alignment horizontal="center" vertical="center"/>
      <protection hidden="1"/>
    </xf>
    <xf numFmtId="166" fontId="8" fillId="5" borderId="188" xfId="0" applyNumberFormat="1" applyFont="1" applyFill="1" applyBorder="1" applyAlignment="1" applyProtection="1">
      <alignment horizontal="center" vertical="center"/>
      <protection hidden="1"/>
    </xf>
    <xf numFmtId="0" fontId="8" fillId="5" borderId="188" xfId="0" applyFont="1" applyFill="1" applyBorder="1" applyAlignment="1" applyProtection="1">
      <alignment horizontal="center" vertical="center"/>
      <protection hidden="1"/>
    </xf>
    <xf numFmtId="2" fontId="8" fillId="5" borderId="188" xfId="0" applyNumberFormat="1" applyFont="1" applyFill="1" applyBorder="1" applyAlignment="1" applyProtection="1">
      <alignment horizontal="center" vertical="center"/>
      <protection hidden="1"/>
    </xf>
    <xf numFmtId="2" fontId="8" fillId="5" borderId="0" xfId="0" applyNumberFormat="1" applyFont="1" applyFill="1" applyAlignment="1" applyProtection="1">
      <alignment horizontal="center" vertical="center"/>
      <protection hidden="1"/>
    </xf>
    <xf numFmtId="0" fontId="8" fillId="2" borderId="0" xfId="0" applyFont="1" applyFill="1" applyAlignment="1" applyProtection="1">
      <alignment horizontal="center" vertical="center"/>
      <protection hidden="1"/>
    </xf>
    <xf numFmtId="0" fontId="8" fillId="5" borderId="0" xfId="0" applyFont="1" applyFill="1" applyAlignment="1" applyProtection="1">
      <alignment horizontal="center" vertical="center"/>
      <protection hidden="1"/>
    </xf>
    <xf numFmtId="166" fontId="8" fillId="5" borderId="0" xfId="0" applyNumberFormat="1" applyFont="1" applyFill="1" applyAlignment="1" applyProtection="1">
      <alignment horizontal="center" vertical="center"/>
      <protection hidden="1"/>
    </xf>
    <xf numFmtId="0" fontId="1" fillId="2" borderId="40" xfId="0" applyFont="1" applyFill="1" applyBorder="1" applyAlignment="1" applyProtection="1">
      <alignment horizontal="center" vertical="center"/>
      <protection hidden="1"/>
    </xf>
    <xf numFmtId="0" fontId="1" fillId="2" borderId="42" xfId="0" applyFont="1" applyFill="1" applyBorder="1" applyAlignment="1" applyProtection="1">
      <alignment horizontal="center" vertical="center"/>
      <protection hidden="1"/>
    </xf>
    <xf numFmtId="2" fontId="1" fillId="0" borderId="0" xfId="0" applyNumberFormat="1" applyFont="1" applyAlignment="1" applyProtection="1">
      <alignment horizontal="center" vertical="center"/>
      <protection hidden="1"/>
    </xf>
    <xf numFmtId="0" fontId="7" fillId="0" borderId="0" xfId="0" applyFont="1" applyAlignment="1" applyProtection="1">
      <alignment horizontal="center" vertical="center"/>
      <protection hidden="1"/>
    </xf>
    <xf numFmtId="1" fontId="7" fillId="0" borderId="0" xfId="0" applyNumberFormat="1" applyFont="1" applyAlignment="1" applyProtection="1">
      <alignment horizontal="center" vertical="center"/>
      <protection hidden="1"/>
    </xf>
    <xf numFmtId="0" fontId="2" fillId="2" borderId="2" xfId="0" applyFont="1" applyFill="1" applyBorder="1" applyAlignment="1" applyProtection="1">
      <alignment horizontal="center" vertical="center"/>
      <protection hidden="1"/>
    </xf>
    <xf numFmtId="0" fontId="20" fillId="2" borderId="2" xfId="0" applyFont="1" applyFill="1" applyBorder="1" applyAlignment="1" applyProtection="1">
      <alignment horizontal="center"/>
      <protection hidden="1"/>
    </xf>
    <xf numFmtId="0" fontId="2" fillId="2" borderId="0" xfId="0" applyFont="1" applyFill="1" applyAlignment="1" applyProtection="1">
      <alignment horizontal="center" vertical="center"/>
      <protection hidden="1"/>
    </xf>
    <xf numFmtId="0" fontId="23" fillId="2" borderId="0" xfId="0" applyFont="1" applyFill="1" applyAlignment="1" applyProtection="1">
      <alignment horizontal="center" vertical="center"/>
      <protection hidden="1"/>
    </xf>
    <xf numFmtId="0" fontId="13" fillId="4" borderId="0" xfId="0" applyFont="1" applyFill="1" applyAlignment="1" applyProtection="1">
      <alignment horizontal="center" vertical="center"/>
      <protection hidden="1"/>
    </xf>
    <xf numFmtId="0" fontId="1" fillId="0" borderId="0" xfId="0" applyFont="1" applyAlignment="1" applyProtection="1">
      <alignment horizontal="left" vertical="center"/>
      <protection locked="0"/>
    </xf>
    <xf numFmtId="0" fontId="7" fillId="2" borderId="41" xfId="0" applyFont="1" applyFill="1" applyBorder="1" applyAlignment="1" applyProtection="1">
      <alignment horizontal="center" vertical="center"/>
      <protection hidden="1"/>
    </xf>
    <xf numFmtId="1" fontId="7" fillId="2" borderId="41" xfId="0" applyNumberFormat="1" applyFont="1" applyFill="1" applyBorder="1" applyAlignment="1" applyProtection="1">
      <alignment horizontal="center" vertical="center"/>
      <protection hidden="1"/>
    </xf>
    <xf numFmtId="0" fontId="7" fillId="2" borderId="33" xfId="0" applyFont="1" applyFill="1" applyBorder="1" applyAlignment="1" applyProtection="1">
      <alignment horizontal="center" vertical="center"/>
      <protection hidden="1"/>
    </xf>
    <xf numFmtId="0" fontId="7" fillId="0" borderId="189" xfId="0" applyFont="1" applyBorder="1" applyAlignment="1" applyProtection="1">
      <alignment horizontal="center" vertical="center"/>
      <protection hidden="1"/>
    </xf>
    <xf numFmtId="0" fontId="5" fillId="4" borderId="33" xfId="0" applyFont="1" applyFill="1" applyBorder="1" applyAlignment="1" applyProtection="1">
      <alignment horizontal="center" vertical="center"/>
      <protection hidden="1"/>
    </xf>
    <xf numFmtId="0" fontId="7" fillId="0" borderId="34" xfId="0" applyFont="1" applyBorder="1" applyAlignment="1" applyProtection="1">
      <alignment horizontal="center" vertical="center"/>
      <protection hidden="1"/>
    </xf>
    <xf numFmtId="0" fontId="5" fillId="4" borderId="1" xfId="0" applyFont="1" applyFill="1" applyBorder="1" applyAlignment="1" applyProtection="1">
      <alignment horizontal="center" vertical="center"/>
      <protection hidden="1"/>
    </xf>
    <xf numFmtId="0" fontId="8" fillId="0" borderId="35" xfId="0" applyFont="1" applyBorder="1" applyAlignment="1" applyProtection="1">
      <alignment horizontal="center" vertical="center"/>
      <protection hidden="1"/>
    </xf>
    <xf numFmtId="0" fontId="7" fillId="0" borderId="190" xfId="0" applyFont="1" applyBorder="1" applyAlignment="1" applyProtection="1">
      <alignment horizontal="center" vertical="center"/>
      <protection hidden="1"/>
    </xf>
    <xf numFmtId="0" fontId="7" fillId="0" borderId="191" xfId="0" applyFont="1" applyBorder="1" applyAlignment="1" applyProtection="1">
      <alignment horizontal="center" vertical="center"/>
      <protection hidden="1"/>
    </xf>
    <xf numFmtId="0" fontId="7" fillId="0" borderId="15" xfId="0" applyFont="1" applyBorder="1" applyAlignment="1" applyProtection="1">
      <alignment horizontal="center" vertical="center"/>
      <protection hidden="1"/>
    </xf>
    <xf numFmtId="0" fontId="8" fillId="0" borderId="90" xfId="0" applyFont="1" applyBorder="1" applyAlignment="1" applyProtection="1">
      <alignment horizontal="center" vertical="center"/>
      <protection hidden="1"/>
    </xf>
    <xf numFmtId="0" fontId="7" fillId="2" borderId="25" xfId="0" applyFont="1" applyFill="1" applyBorder="1" applyAlignment="1" applyProtection="1">
      <alignment horizontal="center" vertical="center"/>
      <protection hidden="1"/>
    </xf>
    <xf numFmtId="0" fontId="8" fillId="0" borderId="89" xfId="0" applyFont="1" applyBorder="1" applyAlignment="1" applyProtection="1">
      <alignment horizontal="center" vertical="center"/>
      <protection hidden="1"/>
    </xf>
    <xf numFmtId="0" fontId="8" fillId="0" borderId="36" xfId="0" applyFont="1" applyBorder="1" applyAlignment="1" applyProtection="1">
      <alignment horizontal="center" vertical="center"/>
      <protection hidden="1"/>
    </xf>
    <xf numFmtId="0" fontId="7" fillId="2" borderId="192" xfId="0" applyFont="1" applyFill="1" applyBorder="1" applyAlignment="1" applyProtection="1">
      <alignment horizontal="center" vertical="center"/>
      <protection hidden="1"/>
    </xf>
    <xf numFmtId="0" fontId="7" fillId="0" borderId="150" xfId="0" applyFont="1" applyBorder="1" applyAlignment="1" applyProtection="1">
      <alignment horizontal="center" vertical="center"/>
      <protection hidden="1"/>
    </xf>
    <xf numFmtId="0" fontId="8" fillId="0" borderId="192" xfId="0" applyFont="1" applyBorder="1" applyAlignment="1" applyProtection="1">
      <alignment horizontal="center" vertical="center"/>
      <protection hidden="1"/>
    </xf>
    <xf numFmtId="0" fontId="7" fillId="0" borderId="113" xfId="0" applyFont="1" applyBorder="1" applyAlignment="1" applyProtection="1">
      <alignment horizontal="center" vertical="center"/>
      <protection locked="0"/>
    </xf>
    <xf numFmtId="0" fontId="8" fillId="0" borderId="193" xfId="0" applyFont="1" applyBorder="1" applyAlignment="1" applyProtection="1">
      <alignment horizontal="center" vertical="center"/>
      <protection hidden="1"/>
    </xf>
    <xf numFmtId="0" fontId="8" fillId="0" borderId="40" xfId="0" applyFont="1" applyBorder="1" applyAlignment="1" applyProtection="1">
      <alignment horizontal="center" vertical="center"/>
      <protection hidden="1"/>
    </xf>
    <xf numFmtId="0" fontId="1" fillId="0" borderId="113" xfId="0" applyFont="1" applyBorder="1" applyAlignment="1" applyProtection="1">
      <alignment horizontal="center" vertical="center"/>
      <protection locked="0"/>
    </xf>
    <xf numFmtId="0" fontId="8" fillId="0" borderId="39" xfId="0" applyFont="1" applyBorder="1" applyAlignment="1" applyProtection="1">
      <alignment horizontal="center" vertical="center"/>
      <protection hidden="1"/>
    </xf>
    <xf numFmtId="0" fontId="1" fillId="0" borderId="107" xfId="0" applyFont="1" applyBorder="1" applyAlignment="1" applyProtection="1">
      <alignment horizontal="left" vertical="center" indent="1"/>
      <protection hidden="1"/>
    </xf>
    <xf numFmtId="0" fontId="1" fillId="0" borderId="21" xfId="0" applyFont="1" applyBorder="1" applyAlignment="1" applyProtection="1">
      <alignment horizontal="center" vertical="center"/>
      <protection locked="0"/>
    </xf>
    <xf numFmtId="0" fontId="1" fillId="0" borderId="107" xfId="0" applyFont="1" applyBorder="1" applyAlignment="1" applyProtection="1">
      <alignment horizontal="center" vertical="center" wrapText="1"/>
      <protection locked="0"/>
    </xf>
    <xf numFmtId="0" fontId="1" fillId="0" borderId="107" xfId="0" applyFont="1" applyBorder="1" applyAlignment="1" applyProtection="1">
      <alignment horizontal="center" vertical="center"/>
      <protection locked="0"/>
    </xf>
    <xf numFmtId="0" fontId="1" fillId="0" borderId="36" xfId="0" applyFont="1" applyBorder="1" applyAlignment="1" applyProtection="1">
      <alignment horizontal="center" vertical="center" wrapText="1"/>
      <protection locked="0"/>
    </xf>
    <xf numFmtId="0" fontId="1" fillId="0" borderId="36" xfId="0" applyFont="1" applyBorder="1" applyAlignment="1" applyProtection="1">
      <alignment horizontal="center" vertical="center"/>
      <protection locked="0"/>
    </xf>
    <xf numFmtId="0" fontId="1" fillId="0" borderId="90" xfId="0" applyFont="1" applyBorder="1" applyAlignment="1" applyProtection="1">
      <alignment horizontal="center" vertical="center"/>
      <protection hidden="1"/>
    </xf>
    <xf numFmtId="0" fontId="1" fillId="0" borderId="85" xfId="0" applyFont="1" applyBorder="1" applyAlignment="1" applyProtection="1">
      <alignment horizontal="left" vertical="center" indent="1"/>
      <protection hidden="1"/>
    </xf>
    <xf numFmtId="0" fontId="1" fillId="0" borderId="19" xfId="0" applyFont="1" applyBorder="1" applyAlignment="1" applyProtection="1">
      <alignment horizontal="center" vertical="center"/>
      <protection locked="0"/>
    </xf>
    <xf numFmtId="0" fontId="1" fillId="0" borderId="85" xfId="0" applyFont="1" applyBorder="1" applyAlignment="1" applyProtection="1">
      <alignment horizontal="center" vertical="center" wrapText="1"/>
      <protection locked="0"/>
    </xf>
    <xf numFmtId="0" fontId="1" fillId="0" borderId="85" xfId="0" applyFont="1" applyBorder="1" applyAlignment="1" applyProtection="1">
      <alignment horizontal="center" vertical="center"/>
      <protection locked="0"/>
    </xf>
    <xf numFmtId="0" fontId="1" fillId="0" borderId="0" xfId="0" applyFont="1" applyAlignment="1">
      <alignment horizontal="center" vertical="center"/>
    </xf>
    <xf numFmtId="0" fontId="7" fillId="0" borderId="0" xfId="0" applyFont="1" applyAlignment="1">
      <alignment horizontal="center" vertical="center"/>
    </xf>
    <xf numFmtId="0" fontId="1" fillId="0" borderId="0" xfId="0" applyFont="1" applyAlignment="1">
      <alignment horizontal="left" vertical="center"/>
    </xf>
    <xf numFmtId="0" fontId="7" fillId="0" borderId="0" xfId="0" applyFont="1" applyAlignment="1">
      <alignment horizontal="center" vertical="center" wrapText="1"/>
    </xf>
    <xf numFmtId="0" fontId="7" fillId="0" borderId="74" xfId="0" applyFont="1" applyBorder="1" applyAlignment="1">
      <alignment horizontal="center" vertical="center"/>
    </xf>
    <xf numFmtId="0" fontId="7" fillId="0" borderId="74" xfId="0" applyFont="1" applyBorder="1" applyAlignment="1">
      <alignment horizontal="center" vertical="center" wrapText="1"/>
    </xf>
    <xf numFmtId="2" fontId="1" fillId="0" borderId="194" xfId="0" applyNumberFormat="1" applyFont="1" applyBorder="1" applyAlignment="1">
      <alignment horizontal="center" vertical="center"/>
    </xf>
    <xf numFmtId="1" fontId="1" fillId="0" borderId="194" xfId="0" applyNumberFormat="1" applyFont="1" applyBorder="1" applyAlignment="1">
      <alignment horizontal="center" vertical="center"/>
    </xf>
    <xf numFmtId="0" fontId="1" fillId="0" borderId="194" xfId="0" applyFont="1" applyBorder="1" applyAlignment="1">
      <alignment horizontal="center" vertical="center"/>
    </xf>
    <xf numFmtId="2" fontId="1" fillId="0" borderId="195" xfId="0" applyNumberFormat="1" applyFont="1" applyBorder="1" applyAlignment="1">
      <alignment horizontal="center" vertical="center"/>
    </xf>
    <xf numFmtId="0" fontId="1" fillId="0" borderId="195" xfId="0" applyFont="1" applyBorder="1" applyAlignment="1">
      <alignment horizontal="center" vertical="center"/>
    </xf>
    <xf numFmtId="2" fontId="1" fillId="0" borderId="196" xfId="0" applyNumberFormat="1" applyFont="1" applyBorder="1" applyAlignment="1">
      <alignment horizontal="center" vertical="center"/>
    </xf>
    <xf numFmtId="0" fontId="1" fillId="0" borderId="196" xfId="0" applyFont="1" applyBorder="1" applyAlignment="1">
      <alignment horizontal="center" vertical="center"/>
    </xf>
  </cellXfs>
  <cellStyles count="1">
    <cellStyle name="Normal" xfId="0" builtinId="0"/>
  </cellStyles>
  <dxfs count="45">
    <dxf>
      <fill>
        <patternFill>
          <bgColor rgb="FFFF9999"/>
        </patternFill>
      </fill>
    </dxf>
    <dxf>
      <fill>
        <patternFill>
          <bgColor rgb="FFFF9999"/>
        </patternFill>
      </fill>
    </dxf>
    <dxf>
      <fill>
        <patternFill>
          <bgColor rgb="FFFF7C80"/>
        </patternFill>
      </fill>
    </dxf>
    <dxf>
      <fill>
        <patternFill>
          <bgColor rgb="FFFF9999"/>
        </patternFill>
      </fill>
    </dxf>
    <dxf>
      <fill>
        <patternFill>
          <bgColor theme="0" tint="-0.249946592608417"/>
        </patternFill>
      </fill>
    </dxf>
    <dxf>
      <fill>
        <patternFill>
          <bgColor rgb="FFFF9999"/>
        </patternFill>
      </fill>
    </dxf>
    <dxf>
      <fill>
        <patternFill>
          <bgColor rgb="FFFF9999"/>
        </patternFill>
      </fill>
    </dxf>
    <dxf>
      <fill>
        <patternFill>
          <bgColor theme="0" tint="-0.249946592608417"/>
        </patternFill>
      </fill>
    </dxf>
    <dxf>
      <fill>
        <patternFill>
          <bgColor rgb="FFFF9999"/>
        </patternFill>
      </fill>
    </dxf>
    <dxf>
      <fill>
        <patternFill>
          <bgColor rgb="FFFF9999"/>
        </patternFill>
      </fill>
    </dxf>
    <dxf>
      <fill>
        <patternFill>
          <bgColor theme="0" tint="-0.249946592608417"/>
        </patternFill>
      </fill>
    </dxf>
    <dxf>
      <fill>
        <patternFill>
          <bgColor rgb="FFFF9999"/>
        </patternFill>
      </fill>
    </dxf>
    <dxf>
      <fill>
        <patternFill>
          <bgColor rgb="FFFFCCCC"/>
        </patternFill>
      </fill>
    </dxf>
    <dxf>
      <fill>
        <patternFill>
          <bgColor rgb="FFFFCCCC"/>
        </patternFill>
      </fill>
    </dxf>
    <dxf>
      <fill>
        <patternFill>
          <bgColor rgb="FFFF9999"/>
        </patternFill>
      </fill>
    </dxf>
    <dxf>
      <fill>
        <patternFill>
          <bgColor theme="0" tint="-0.249946592608417"/>
        </patternFill>
      </fill>
    </dxf>
    <dxf>
      <fill>
        <patternFill>
          <bgColor rgb="FFFF9999"/>
        </patternFill>
      </fill>
    </dxf>
    <dxf>
      <fill>
        <patternFill>
          <bgColor rgb="FFFF9999"/>
        </patternFill>
      </fill>
    </dxf>
    <dxf>
      <fill>
        <patternFill>
          <bgColor theme="0" tint="-0.249946592608417"/>
        </patternFill>
      </fill>
    </dxf>
    <dxf>
      <fill>
        <patternFill>
          <bgColor rgb="FFFF9999"/>
        </patternFill>
      </fill>
    </dxf>
    <dxf>
      <fill>
        <patternFill>
          <bgColor rgb="FFFF9999"/>
        </patternFill>
      </fill>
    </dxf>
    <dxf>
      <fill>
        <patternFill>
          <bgColor theme="0" tint="-0.249946592608417"/>
        </patternFill>
      </fill>
    </dxf>
    <dxf>
      <fill>
        <patternFill>
          <bgColor rgb="FFFF9999"/>
        </patternFill>
      </fill>
    </dxf>
    <dxf>
      <fill>
        <patternFill>
          <bgColor rgb="FFFFCCCC"/>
        </patternFill>
      </fill>
    </dxf>
    <dxf>
      <fill>
        <patternFill>
          <bgColor rgb="FFFFCCCC"/>
        </patternFill>
      </fill>
    </dxf>
    <dxf>
      <fill>
        <patternFill>
          <bgColor rgb="FFFF9999"/>
        </patternFill>
      </fill>
    </dxf>
    <dxf>
      <fill>
        <patternFill>
          <bgColor theme="0" tint="-0.249946592608417"/>
        </patternFill>
      </fill>
    </dxf>
    <dxf>
      <fill>
        <patternFill>
          <bgColor rgb="FFFF9999"/>
        </patternFill>
      </fill>
    </dxf>
    <dxf>
      <fill>
        <patternFill>
          <bgColor rgb="FFFF9999"/>
        </patternFill>
      </fill>
    </dxf>
    <dxf>
      <fill>
        <patternFill>
          <bgColor theme="0" tint="-0.249946592608417"/>
        </patternFill>
      </fill>
    </dxf>
    <dxf>
      <fill>
        <patternFill>
          <bgColor rgb="FFFF9999"/>
        </patternFill>
      </fill>
    </dxf>
    <dxf>
      <fill>
        <patternFill>
          <bgColor rgb="FFFF9999"/>
        </patternFill>
      </fill>
    </dxf>
    <dxf>
      <fill>
        <patternFill>
          <bgColor theme="0" tint="-0.249946592608417"/>
        </patternFill>
      </fill>
    </dxf>
    <dxf>
      <fill>
        <patternFill>
          <bgColor rgb="FFFF9999"/>
        </patternFill>
      </fill>
    </dxf>
    <dxf>
      <fill>
        <patternFill>
          <bgColor rgb="FFFFCCCC"/>
        </patternFill>
      </fill>
    </dxf>
    <dxf>
      <fill>
        <patternFill>
          <bgColor rgb="FFFFCCCC"/>
        </patternFill>
      </fill>
    </dxf>
    <dxf>
      <font>
        <b/>
        <i/>
        <color rgb="FFFF0000"/>
      </font>
    </dxf>
    <dxf>
      <fill>
        <patternFill>
          <bgColor rgb="FFFF9999"/>
        </patternFill>
      </fill>
    </dxf>
    <dxf>
      <fill>
        <patternFill>
          <bgColor rgb="FFFF9999"/>
        </patternFill>
      </fill>
    </dxf>
    <dxf>
      <fill>
        <patternFill>
          <bgColor rgb="FFC0C0C0"/>
        </patternFill>
      </fill>
    </dxf>
    <dxf>
      <fill>
        <patternFill>
          <bgColor rgb="FFCCECFF"/>
        </patternFill>
      </fill>
    </dxf>
    <dxf>
      <fill>
        <patternFill>
          <bgColor rgb="FFFFFFCC"/>
        </patternFill>
      </fill>
    </dxf>
    <dxf>
      <fill>
        <patternFill>
          <bgColor rgb="FFFFCCCC"/>
        </patternFill>
      </fill>
    </dxf>
    <dxf>
      <fill>
        <patternFill>
          <bgColor rgb="FFCCFFCC"/>
        </patternFill>
      </fill>
    </dxf>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2.xml"/><Relationship Id="rId5" Type="http://schemas.openxmlformats.org/officeDocument/2006/relationships/worksheet" Target="worksheets/sheet30.xml"/><Relationship Id="rId6" Type="http://schemas.openxmlformats.org/officeDocument/2006/relationships/worksheet" Target="worksheets/sheet1.xml"/><Relationship Id="rId7" Type="http://schemas.openxmlformats.org/officeDocument/2006/relationships/worksheet" Target="worksheets/sheet13.xml"/><Relationship Id="rId8" Type="http://schemas.openxmlformats.org/officeDocument/2006/relationships/worksheet" Target="worksheets/sheet16.xml"/><Relationship Id="rId9" Type="http://schemas.openxmlformats.org/officeDocument/2006/relationships/worksheet" Target="worksheets/sheet17.xml"/><Relationship Id="rId10" Type="http://schemas.openxmlformats.org/officeDocument/2006/relationships/worksheet" Target="worksheets/sheet19.xml"/><Relationship Id="rId11" Type="http://schemas.openxmlformats.org/officeDocument/2006/relationships/worksheet" Target="worksheets/sheet28.xml"/><Relationship Id="rId12" Type="http://schemas.openxmlformats.org/officeDocument/2006/relationships/worksheet" Target="worksheets/sheet25.xml"/><Relationship Id="rId13" Type="http://schemas.openxmlformats.org/officeDocument/2006/relationships/worksheet" Target="worksheets/sheet23.xml"/><Relationship Id="rId14" Type="http://schemas.openxmlformats.org/officeDocument/2006/relationships/worksheet" Target="worksheets/sheet27.xml"/><Relationship Id="rId15" Type="http://schemas.openxmlformats.org/officeDocument/2006/relationships/worksheet" Target="worksheets/sheet33.xml"/><Relationship Id="rId16" Type="http://schemas.openxmlformats.org/officeDocument/2006/relationships/worksheet" Target="worksheets/sheet29.xml"/><Relationship Id="rId17"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
  <sheetViews>
    <sheetView workbookViewId="0" showGridLines="0" zoomScale="100" zoomScaleNormal="100">
      <pane ySplit="4" topLeftCell="A22" activePane="bottomLeft" state="frozen"/>
      <selection pane="bottomLeft" activeCell="M12" sqref="M12"/>
    </sheetView>
  </sheetViews>
  <sheetFormatPr defaultRowHeight="0" outlineLevelRow="0" outlineLevelCol="0" x14ac:dyDescent="0.25" customHeight="1"/>
  <cols>
    <col min="1" max="2" width="2.140625" style="167" customWidth="1"/>
    <col min="3" max="3" width="3.140625" style="167" customWidth="1"/>
    <col min="4" max="4" width="5.85546875" style="167" customWidth="1"/>
    <col min="5" max="5" width="10.85546875" style="167" customWidth="1"/>
    <col min="6" max="6" width="1.85546875" style="167" customWidth="1"/>
    <col min="7" max="7" width="15.85546875" style="167" customWidth="1"/>
    <col min="8" max="8" width="45.85546875" style="167" customWidth="1"/>
    <col min="9" max="9" width="3.140625" style="167" customWidth="1"/>
    <col min="10" max="10" width="3.42578125" style="167" customWidth="1"/>
    <col min="11" max="11" width="3.140625" style="167" customWidth="1"/>
    <col min="12" max="12" width="3.85546875" style="167" customWidth="1"/>
    <col min="13" max="13" width="18.85546875" style="167" customWidth="1"/>
    <col min="14" max="14" width="40.85546875" style="167" customWidth="1"/>
    <col min="15" max="15" width="3.140625" style="167" customWidth="1"/>
    <col min="16" max="17" width="2.140625" style="167" customWidth="1"/>
    <col min="18" max="16384" width="8.85546875" style="167" hidden="1" customWidth="1"/>
  </cols>
  <sheetData>
    <row r="1" ht="9.95" customHeight="1" x14ac:dyDescent="0.25"/>
    <row r="2" ht="39.95" customHeight="1" spans="2:16" x14ac:dyDescent="0.25">
      <c r="B2" s="189"/>
      <c r="C2" s="190" t="s">
        <v>142</v>
      </c>
      <c r="D2" s="4"/>
      <c r="E2" s="4"/>
      <c r="F2" s="4"/>
      <c r="G2" s="4"/>
      <c r="H2" s="4"/>
      <c r="I2" s="4"/>
      <c r="J2" s="4"/>
      <c r="K2" s="4"/>
      <c r="L2" s="4"/>
      <c r="M2" s="4"/>
      <c r="N2" s="4"/>
      <c r="O2" s="4"/>
      <c r="P2" s="191"/>
    </row>
    <row r="3" ht="15" customHeight="1" spans="2:16" x14ac:dyDescent="0.25">
      <c r="B3" s="192"/>
      <c r="C3" s="193"/>
      <c r="D3" s="193"/>
      <c r="E3" s="193"/>
      <c r="F3" s="193"/>
      <c r="G3" s="194"/>
      <c r="H3" s="194"/>
      <c r="I3" s="194"/>
      <c r="J3" s="194"/>
      <c r="K3" s="194"/>
      <c r="L3" s="194"/>
      <c r="M3" s="194"/>
      <c r="N3" s="193"/>
      <c r="O3" s="193"/>
      <c r="P3" s="195"/>
    </row>
    <row r="4" ht="33.95" customHeight="1" spans="2:16" x14ac:dyDescent="0.25">
      <c r="B4" s="192"/>
      <c r="C4" s="196"/>
      <c r="D4" s="197" t="s">
        <v>143</v>
      </c>
      <c r="E4" s="198"/>
      <c r="F4" s="198"/>
      <c r="G4" s="198"/>
      <c r="H4" s="198"/>
      <c r="I4" s="199"/>
      <c r="J4" s="194"/>
      <c r="K4" s="200"/>
      <c r="L4" s="201" t="s">
        <v>144</v>
      </c>
      <c r="M4" s="201"/>
      <c r="N4" s="202"/>
      <c r="O4" s="203"/>
      <c r="P4" s="195"/>
    </row>
    <row r="5" ht="17.1" customHeight="1" spans="2:16" x14ac:dyDescent="0.25">
      <c r="B5" s="192"/>
      <c r="C5" s="204"/>
      <c r="I5" s="205"/>
      <c r="J5" s="193"/>
      <c r="K5" s="206"/>
      <c r="L5" s="207"/>
      <c r="M5" s="207"/>
      <c r="N5" s="208"/>
      <c r="O5" s="209"/>
      <c r="P5" s="195"/>
    </row>
    <row r="6" ht="17.1" customHeight="1" spans="2:16" x14ac:dyDescent="0.25">
      <c r="B6" s="192"/>
      <c r="C6" s="204"/>
      <c r="D6" s="210" t="s">
        <v>145</v>
      </c>
      <c r="E6" s="211"/>
      <c r="F6" s="212" t="s">
        <v>146</v>
      </c>
      <c r="G6" s="213" t="s">
        <v>147</v>
      </c>
      <c r="H6" s="214"/>
      <c r="I6" s="215"/>
      <c r="J6" s="194"/>
      <c r="K6" s="204"/>
      <c r="L6" s="216"/>
      <c r="M6" s="217" t="s">
        <v>148</v>
      </c>
      <c r="N6" s="217" t="s">
        <v>8</v>
      </c>
      <c r="O6" s="205"/>
      <c r="P6" s="195"/>
    </row>
    <row r="7" ht="17.1" customHeight="1" spans="2:16" x14ac:dyDescent="0.25">
      <c r="B7" s="192"/>
      <c r="C7" s="204"/>
      <c r="D7" s="210" t="s">
        <v>149</v>
      </c>
      <c r="E7" s="211"/>
      <c r="F7" s="212" t="s">
        <v>146</v>
      </c>
      <c r="G7" s="213" t="s">
        <v>150</v>
      </c>
      <c r="H7" s="214"/>
      <c r="I7" s="215"/>
      <c r="J7" s="194"/>
      <c r="K7" s="218"/>
      <c r="L7" s="216">
        <v>1</v>
      </c>
      <c r="M7" s="219">
        <v>2000498439</v>
      </c>
      <c r="N7" s="220" t="s">
        <v>151</v>
      </c>
      <c r="O7" s="215"/>
      <c r="P7" s="195"/>
    </row>
    <row r="8" ht="17.1" customHeight="1" spans="2:16" x14ac:dyDescent="0.25">
      <c r="B8" s="192"/>
      <c r="C8" s="204"/>
      <c r="D8" s="210" t="s">
        <v>152</v>
      </c>
      <c r="E8" s="211"/>
      <c r="F8" s="212" t="s">
        <v>146</v>
      </c>
      <c r="G8" s="213" t="s">
        <v>153</v>
      </c>
      <c r="H8" s="214"/>
      <c r="I8" s="215"/>
      <c r="J8" s="194"/>
      <c r="K8" s="218"/>
      <c r="L8" s="216">
        <v>2</v>
      </c>
      <c r="M8" s="219">
        <v>2000483599</v>
      </c>
      <c r="N8" s="220" t="s">
        <v>154</v>
      </c>
      <c r="O8" s="215"/>
      <c r="P8" s="195"/>
    </row>
    <row r="9" ht="17.1" customHeight="1" spans="2:16" x14ac:dyDescent="0.25">
      <c r="B9" s="192"/>
      <c r="C9" s="204"/>
      <c r="D9" s="221"/>
      <c r="E9" s="221"/>
      <c r="F9" s="212"/>
      <c r="G9" s="94"/>
      <c r="H9" s="94"/>
      <c r="I9" s="215"/>
      <c r="J9" s="194"/>
      <c r="K9" s="218"/>
      <c r="L9" s="216">
        <v>3</v>
      </c>
      <c r="M9" s="219">
        <v>2000480423</v>
      </c>
      <c r="N9" s="220" t="s">
        <v>155</v>
      </c>
      <c r="O9" s="215"/>
      <c r="P9" s="195"/>
    </row>
    <row r="10" ht="17.1" customHeight="1" spans="2:16" x14ac:dyDescent="0.25">
      <c r="B10" s="192"/>
      <c r="C10" s="204"/>
      <c r="D10" s="210" t="s">
        <v>156</v>
      </c>
      <c r="E10" s="211"/>
      <c r="F10" s="212" t="s">
        <v>146</v>
      </c>
      <c r="G10" s="213" t="s">
        <v>157</v>
      </c>
      <c r="H10" s="214"/>
      <c r="I10" s="215"/>
      <c r="J10" s="194"/>
      <c r="K10" s="218"/>
      <c r="L10" s="216">
        <v>4</v>
      </c>
      <c r="M10" s="219">
        <v>2000487858</v>
      </c>
      <c r="N10" s="220" t="s">
        <v>158</v>
      </c>
      <c r="O10" s="215"/>
      <c r="P10" s="195"/>
    </row>
    <row r="11" ht="17.1" customHeight="1" spans="2:16" x14ac:dyDescent="0.25">
      <c r="B11" s="192"/>
      <c r="C11" s="204"/>
      <c r="D11" s="210" t="s">
        <v>159</v>
      </c>
      <c r="E11" s="211"/>
      <c r="F11" s="222" t="s">
        <v>146</v>
      </c>
      <c r="G11" s="213">
        <v>11</v>
      </c>
      <c r="H11" s="214"/>
      <c r="I11" s="215"/>
      <c r="J11" s="194"/>
      <c r="K11" s="218"/>
      <c r="L11" s="216">
        <v>5</v>
      </c>
      <c r="M11" s="219">
        <v>2000497598</v>
      </c>
      <c r="N11" s="220" t="s">
        <v>160</v>
      </c>
      <c r="O11" s="215"/>
      <c r="P11" s="195"/>
    </row>
    <row r="12" ht="17.1" customHeight="1" spans="2:16" x14ac:dyDescent="0.25">
      <c r="B12" s="192"/>
      <c r="C12" s="204"/>
      <c r="D12" s="223" t="s">
        <v>161</v>
      </c>
      <c r="E12" s="224"/>
      <c r="F12" s="225" t="s">
        <v>146</v>
      </c>
      <c r="G12" s="226" t="s">
        <v>162</v>
      </c>
      <c r="H12" s="227"/>
      <c r="I12" s="215"/>
      <c r="J12" s="194"/>
      <c r="K12" s="218"/>
      <c r="L12" s="216">
        <v>6</v>
      </c>
      <c r="M12" s="219">
        <v>2000504370</v>
      </c>
      <c r="N12" s="220" t="s">
        <v>163</v>
      </c>
      <c r="O12" s="215"/>
      <c r="P12" s="195"/>
    </row>
    <row r="13" ht="17.1" customHeight="1" spans="2:16" x14ac:dyDescent="0.25">
      <c r="B13" s="192"/>
      <c r="C13" s="204"/>
      <c r="D13" s="228"/>
      <c r="E13" s="229"/>
      <c r="F13" s="230"/>
      <c r="G13" s="231"/>
      <c r="H13" s="232"/>
      <c r="I13" s="215"/>
      <c r="J13" s="194"/>
      <c r="K13" s="218"/>
      <c r="L13" s="216">
        <v>7</v>
      </c>
      <c r="M13" s="219">
        <v>2000480420</v>
      </c>
      <c r="N13" s="220" t="s">
        <v>164</v>
      </c>
      <c r="O13" s="215"/>
      <c r="P13" s="195"/>
    </row>
    <row r="14" ht="17.1" customHeight="1" spans="2:16" x14ac:dyDescent="0.25">
      <c r="B14" s="192"/>
      <c r="C14" s="204"/>
      <c r="D14" s="210" t="s">
        <v>165</v>
      </c>
      <c r="E14" s="211"/>
      <c r="F14" s="212" t="s">
        <v>146</v>
      </c>
      <c r="G14" s="213"/>
      <c r="H14" s="214"/>
      <c r="I14" s="215"/>
      <c r="J14" s="194"/>
      <c r="K14" s="218"/>
      <c r="L14" s="216">
        <v>8</v>
      </c>
      <c r="M14" s="219">
        <v>2000487004</v>
      </c>
      <c r="N14" s="220" t="s">
        <v>166</v>
      </c>
      <c r="O14" s="215"/>
      <c r="P14" s="195"/>
    </row>
    <row r="15" ht="17.1" customHeight="1" spans="2:16" x14ac:dyDescent="0.25">
      <c r="B15" s="192"/>
      <c r="C15" s="204"/>
      <c r="D15" s="221"/>
      <c r="E15" s="233"/>
      <c r="F15" s="212"/>
      <c r="G15" s="94"/>
      <c r="H15" s="94"/>
      <c r="I15" s="215"/>
      <c r="J15" s="194"/>
      <c r="K15" s="218"/>
      <c r="L15" s="216">
        <v>9</v>
      </c>
      <c r="M15" s="219">
        <v>2000488434</v>
      </c>
      <c r="N15" s="220" t="s">
        <v>167</v>
      </c>
      <c r="O15" s="215"/>
      <c r="P15" s="195"/>
    </row>
    <row r="16" ht="17.1" customHeight="1" spans="2:16" x14ac:dyDescent="0.25">
      <c r="B16" s="192"/>
      <c r="C16" s="204"/>
      <c r="D16" s="210" t="s">
        <v>168</v>
      </c>
      <c r="E16" s="211"/>
      <c r="F16" s="222" t="s">
        <v>146</v>
      </c>
      <c r="G16" s="213" t="s">
        <v>169</v>
      </c>
      <c r="H16" s="214"/>
      <c r="I16" s="215"/>
      <c r="J16" s="194"/>
      <c r="K16" s="218"/>
      <c r="L16" s="216">
        <v>10</v>
      </c>
      <c r="M16" s="219">
        <v>2000485973</v>
      </c>
      <c r="N16" s="220" t="s">
        <v>170</v>
      </c>
      <c r="O16" s="215"/>
      <c r="P16" s="195"/>
    </row>
    <row r="17" ht="17.1" customHeight="1" spans="2:16" x14ac:dyDescent="0.25">
      <c r="B17" s="192"/>
      <c r="C17" s="204"/>
      <c r="D17" s="210" t="s">
        <v>171</v>
      </c>
      <c r="E17" s="211"/>
      <c r="F17" s="222" t="s">
        <v>146</v>
      </c>
      <c r="G17" s="213">
        <v>201</v>
      </c>
      <c r="H17" s="214"/>
      <c r="I17" s="215"/>
      <c r="J17" s="194"/>
      <c r="K17" s="218"/>
      <c r="L17" s="216">
        <v>11</v>
      </c>
      <c r="M17" s="219">
        <v>2000486374</v>
      </c>
      <c r="N17" s="220" t="s">
        <v>172</v>
      </c>
      <c r="O17" s="205"/>
      <c r="P17" s="195"/>
    </row>
    <row r="18" ht="17.1" customHeight="1" spans="2:16" x14ac:dyDescent="0.25">
      <c r="B18" s="192"/>
      <c r="C18" s="204"/>
      <c r="D18" s="210" t="s">
        <v>173</v>
      </c>
      <c r="E18" s="211"/>
      <c r="F18" s="222" t="s">
        <v>146</v>
      </c>
      <c r="G18" s="213" t="s">
        <v>174</v>
      </c>
      <c r="H18" s="214"/>
      <c r="I18" s="215"/>
      <c r="J18" s="194"/>
      <c r="K18" s="218"/>
      <c r="L18" s="216">
        <v>12</v>
      </c>
      <c r="M18" s="219">
        <v>2000486376</v>
      </c>
      <c r="N18" s="220" t="s">
        <v>175</v>
      </c>
      <c r="O18" s="205"/>
      <c r="P18" s="195"/>
    </row>
    <row r="19" ht="17.1" customHeight="1" spans="2:16" x14ac:dyDescent="0.25">
      <c r="B19" s="192"/>
      <c r="C19" s="204"/>
      <c r="D19" s="210" t="s">
        <v>176</v>
      </c>
      <c r="E19" s="211"/>
      <c r="F19" s="222" t="s">
        <v>146</v>
      </c>
      <c r="G19" s="213" t="s">
        <v>177</v>
      </c>
      <c r="H19" s="214"/>
      <c r="I19" s="215"/>
      <c r="J19" s="194"/>
      <c r="K19" s="218"/>
      <c r="L19" s="216">
        <v>13</v>
      </c>
      <c r="M19" s="219">
        <v>2000490030</v>
      </c>
      <c r="N19" s="220" t="s">
        <v>178</v>
      </c>
      <c r="O19" s="205"/>
      <c r="P19" s="195"/>
    </row>
    <row r="20" ht="17.1" customHeight="1" spans="2:16" x14ac:dyDescent="0.25">
      <c r="B20" s="192"/>
      <c r="C20" s="234"/>
      <c r="D20" s="235"/>
      <c r="E20" s="235"/>
      <c r="F20" s="235"/>
      <c r="G20" s="235"/>
      <c r="H20" s="235"/>
      <c r="I20" s="236"/>
      <c r="J20" s="194"/>
      <c r="K20" s="218"/>
      <c r="L20" s="216">
        <v>14</v>
      </c>
      <c r="M20" s="219">
        <v>2000498660</v>
      </c>
      <c r="N20" s="220" t="s">
        <v>179</v>
      </c>
      <c r="O20" s="205"/>
      <c r="P20" s="195"/>
    </row>
    <row r="21" ht="17.1" customHeight="1" spans="2:16" x14ac:dyDescent="0.25">
      <c r="B21" s="192"/>
      <c r="C21" s="193"/>
      <c r="D21" s="193"/>
      <c r="E21" s="193"/>
      <c r="F21" s="193"/>
      <c r="G21" s="193"/>
      <c r="H21" s="193"/>
      <c r="I21" s="193"/>
      <c r="J21" s="193"/>
      <c r="K21" s="218"/>
      <c r="L21" s="216">
        <v>15</v>
      </c>
      <c r="M21" s="219">
        <v>2000485981</v>
      </c>
      <c r="N21" s="220" t="s">
        <v>180</v>
      </c>
      <c r="O21" s="237"/>
      <c r="P21" s="195"/>
    </row>
    <row r="22" ht="17.1" customHeight="1" spans="2:16" x14ac:dyDescent="0.25">
      <c r="B22" s="192"/>
      <c r="C22" s="196"/>
      <c r="D22" s="197" t="s">
        <v>181</v>
      </c>
      <c r="E22" s="197"/>
      <c r="F22" s="197"/>
      <c r="G22" s="197"/>
      <c r="H22" s="238"/>
      <c r="I22" s="239"/>
      <c r="J22" s="193"/>
      <c r="K22" s="204"/>
      <c r="L22" s="216">
        <v>16</v>
      </c>
      <c r="M22" s="219">
        <v>2000499229</v>
      </c>
      <c r="N22" s="220" t="s">
        <v>182</v>
      </c>
      <c r="O22" s="205"/>
      <c r="P22" s="195"/>
    </row>
    <row r="23" ht="17.1" customHeight="1" spans="2:16" x14ac:dyDescent="0.25">
      <c r="B23" s="192"/>
      <c r="C23" s="240"/>
      <c r="D23" s="241"/>
      <c r="E23" s="241"/>
      <c r="F23" s="241"/>
      <c r="G23" s="241"/>
      <c r="H23" s="242"/>
      <c r="I23" s="243"/>
      <c r="J23" s="193"/>
      <c r="K23" s="204"/>
      <c r="L23" s="216">
        <v>17</v>
      </c>
      <c r="M23" s="219">
        <v>2000481947</v>
      </c>
      <c r="N23" s="220" t="s">
        <v>183</v>
      </c>
      <c r="O23" s="205"/>
      <c r="P23" s="195"/>
    </row>
    <row r="24" ht="17.1" customHeight="1" spans="2:16" x14ac:dyDescent="0.25">
      <c r="B24" s="192"/>
      <c r="C24" s="204"/>
      <c r="D24" s="244"/>
      <c r="E24" s="244"/>
      <c r="F24" s="244"/>
      <c r="G24" s="244"/>
      <c r="I24" s="205"/>
      <c r="J24" s="193"/>
      <c r="K24" s="204"/>
      <c r="L24" s="216">
        <v>18</v>
      </c>
      <c r="M24" s="219">
        <v>2000488472</v>
      </c>
      <c r="N24" s="220" t="s">
        <v>184</v>
      </c>
      <c r="O24" s="205"/>
      <c r="P24" s="195"/>
    </row>
    <row r="25" ht="17.1" customHeight="1" spans="2:16" x14ac:dyDescent="0.25">
      <c r="B25" s="192"/>
      <c r="C25" s="204"/>
      <c r="D25" s="210" t="s">
        <v>185</v>
      </c>
      <c r="E25" s="211"/>
      <c r="F25" s="211"/>
      <c r="G25" s="245"/>
      <c r="H25" s="246">
        <v>0.2</v>
      </c>
      <c r="I25" s="205"/>
      <c r="J25" s="193"/>
      <c r="K25" s="204"/>
      <c r="L25" s="216">
        <v>19</v>
      </c>
      <c r="M25" s="219">
        <v>2000494958</v>
      </c>
      <c r="N25" s="220" t="s">
        <v>186</v>
      </c>
      <c r="O25" s="205"/>
      <c r="P25" s="195"/>
    </row>
    <row r="26" ht="17.1" customHeight="1" spans="2:16" x14ac:dyDescent="0.25">
      <c r="B26" s="192"/>
      <c r="C26" s="204"/>
      <c r="D26" s="210" t="s">
        <v>187</v>
      </c>
      <c r="E26" s="211"/>
      <c r="F26" s="211"/>
      <c r="G26" s="245"/>
      <c r="H26" s="246">
        <v>0.5</v>
      </c>
      <c r="I26" s="205"/>
      <c r="J26" s="193"/>
      <c r="K26" s="204"/>
      <c r="L26" s="216">
        <v>20</v>
      </c>
      <c r="M26" s="219">
        <v>2000498659</v>
      </c>
      <c r="N26" s="220" t="s">
        <v>188</v>
      </c>
      <c r="O26" s="205"/>
      <c r="P26" s="195"/>
    </row>
    <row r="27" ht="17.1" customHeight="1" spans="2:16" x14ac:dyDescent="0.25">
      <c r="B27" s="192"/>
      <c r="C27" s="204"/>
      <c r="D27" s="247" t="s">
        <v>189</v>
      </c>
      <c r="E27" s="248"/>
      <c r="F27" s="248"/>
      <c r="G27" s="249"/>
      <c r="H27" s="250">
        <v>0.3</v>
      </c>
      <c r="I27" s="205"/>
      <c r="J27" s="193"/>
      <c r="K27" s="204"/>
      <c r="L27" s="216">
        <v>21</v>
      </c>
      <c r="M27" s="219">
        <v>2000496341</v>
      </c>
      <c r="N27" s="220" t="s">
        <v>190</v>
      </c>
      <c r="O27" s="205"/>
      <c r="P27" s="195"/>
    </row>
    <row r="28" ht="17.1" customHeight="1" spans="2:16" x14ac:dyDescent="0.25">
      <c r="B28" s="192"/>
      <c r="C28" s="204"/>
      <c r="D28" s="251" t="s">
        <v>29</v>
      </c>
      <c r="E28" s="252"/>
      <c r="F28" s="252"/>
      <c r="G28" s="253"/>
      <c r="H28" s="254">
        <f>IF(COUNTA($H$25:$H$27)=0,"",IF(COUNT($H$25:$H$27)&lt;&gt;COUNTA($H$25:$H$27),"Error",SUM($H$25:$H$27)))</f>
        <v>1</v>
      </c>
      <c r="I28" s="205"/>
      <c r="J28" s="193"/>
      <c r="K28" s="204"/>
      <c r="L28" s="216">
        <v>22</v>
      </c>
      <c r="M28" s="219">
        <v>2000494490</v>
      </c>
      <c r="N28" s="220" t="s">
        <v>191</v>
      </c>
      <c r="O28" s="205"/>
      <c r="P28" s="195"/>
    </row>
    <row r="29" ht="17.1" customHeight="1" spans="2:16" x14ac:dyDescent="0.25">
      <c r="B29" s="192"/>
      <c r="C29" s="234"/>
      <c r="D29" s="235"/>
      <c r="E29" s="235"/>
      <c r="F29" s="235"/>
      <c r="G29" s="235"/>
      <c r="H29" s="235"/>
      <c r="I29" s="236"/>
      <c r="J29" s="193"/>
      <c r="K29" s="204"/>
      <c r="L29" s="216">
        <v>23</v>
      </c>
      <c r="M29" s="219">
        <v>2000492883</v>
      </c>
      <c r="N29" s="220" t="s">
        <v>192</v>
      </c>
      <c r="O29" s="205"/>
      <c r="P29" s="195"/>
    </row>
    <row r="30" ht="17.1" customHeight="1" spans="2:16" x14ac:dyDescent="0.25">
      <c r="B30" s="192"/>
      <c r="C30" s="193"/>
      <c r="D30" s="193"/>
      <c r="E30" s="193"/>
      <c r="F30" s="193"/>
      <c r="G30" s="193"/>
      <c r="H30" s="193"/>
      <c r="I30" s="193"/>
      <c r="J30" s="193"/>
      <c r="K30" s="204"/>
      <c r="L30" s="216">
        <v>24</v>
      </c>
      <c r="M30" s="219">
        <v>2000493062</v>
      </c>
      <c r="N30" s="220" t="s">
        <v>193</v>
      </c>
      <c r="O30" s="205"/>
      <c r="P30" s="195"/>
    </row>
    <row r="31" ht="17.1" customHeight="1" spans="2:16" x14ac:dyDescent="0.25">
      <c r="B31" s="192"/>
      <c r="C31" s="193"/>
      <c r="D31" s="193"/>
      <c r="E31" s="193"/>
      <c r="F31" s="193"/>
      <c r="G31" s="193"/>
      <c r="H31" s="193"/>
      <c r="I31" s="193"/>
      <c r="J31" s="193"/>
      <c r="K31" s="204"/>
      <c r="L31" s="216">
        <v>25</v>
      </c>
      <c r="M31" s="219">
        <v>2000499699</v>
      </c>
      <c r="N31" s="220" t="s">
        <v>194</v>
      </c>
      <c r="O31" s="205"/>
      <c r="P31" s="195"/>
    </row>
    <row r="32" ht="17.1" customHeight="1" spans="2:16" x14ac:dyDescent="0.25">
      <c r="B32" s="192"/>
      <c r="C32" s="193"/>
      <c r="D32" s="193"/>
      <c r="E32" s="193"/>
      <c r="F32" s="193"/>
      <c r="G32" s="193"/>
      <c r="H32" s="193"/>
      <c r="I32" s="193"/>
      <c r="J32" s="193"/>
      <c r="K32" s="204"/>
      <c r="L32" s="216">
        <v>26</v>
      </c>
      <c r="M32" s="219">
        <v>2000481841</v>
      </c>
      <c r="N32" s="220" t="s">
        <v>195</v>
      </c>
      <c r="O32" s="205"/>
      <c r="P32" s="195"/>
    </row>
    <row r="33" ht="17.1" customHeight="1" spans="2:16" x14ac:dyDescent="0.25">
      <c r="B33" s="192"/>
      <c r="C33" s="193"/>
      <c r="D33" s="193"/>
      <c r="E33" s="193"/>
      <c r="F33" s="193"/>
      <c r="G33" s="193"/>
      <c r="H33" s="193"/>
      <c r="I33" s="193"/>
      <c r="J33" s="193"/>
      <c r="K33" s="204"/>
      <c r="L33" s="216">
        <v>27</v>
      </c>
      <c r="M33" s="219">
        <v>2000492838</v>
      </c>
      <c r="N33" s="220" t="s">
        <v>196</v>
      </c>
      <c r="O33" s="205"/>
      <c r="P33" s="195"/>
    </row>
    <row r="34" ht="17.1" customHeight="1" spans="2:16" x14ac:dyDescent="0.25">
      <c r="B34" s="192"/>
      <c r="C34" s="193"/>
      <c r="D34" s="193"/>
      <c r="E34" s="193"/>
      <c r="F34" s="193"/>
      <c r="G34" s="193"/>
      <c r="H34" s="193"/>
      <c r="I34" s="193"/>
      <c r="J34" s="193"/>
      <c r="K34" s="204"/>
      <c r="L34" s="216">
        <v>28</v>
      </c>
      <c r="M34" s="219">
        <v>2000485198</v>
      </c>
      <c r="N34" s="220" t="s">
        <v>197</v>
      </c>
      <c r="O34" s="205"/>
      <c r="P34" s="195"/>
    </row>
    <row r="35" ht="17.1" customHeight="1" spans="2:16" x14ac:dyDescent="0.25">
      <c r="B35" s="192"/>
      <c r="C35" s="193"/>
      <c r="D35" s="193"/>
      <c r="E35" s="193"/>
      <c r="F35" s="193"/>
      <c r="G35" s="193"/>
      <c r="H35" s="193"/>
      <c r="I35" s="193"/>
      <c r="J35" s="193"/>
      <c r="K35" s="204"/>
      <c r="L35" s="216">
        <v>29</v>
      </c>
      <c r="M35" s="219"/>
      <c r="N35" s="220"/>
      <c r="O35" s="205"/>
      <c r="P35" s="195"/>
    </row>
    <row r="36" ht="17.1" customHeight="1" spans="2:16" x14ac:dyDescent="0.25">
      <c r="B36" s="192"/>
      <c r="C36" s="193"/>
      <c r="D36" s="193"/>
      <c r="E36" s="193"/>
      <c r="F36" s="193"/>
      <c r="G36" s="193"/>
      <c r="H36" s="193"/>
      <c r="I36" s="193"/>
      <c r="J36" s="193"/>
      <c r="K36" s="204"/>
      <c r="L36" s="216">
        <v>30</v>
      </c>
      <c r="M36" s="219"/>
      <c r="N36" s="220"/>
      <c r="O36" s="205"/>
      <c r="P36" s="195"/>
    </row>
    <row r="37" ht="17.1" customHeight="1" spans="2:16" x14ac:dyDescent="0.25">
      <c r="B37" s="192"/>
      <c r="C37" s="193"/>
      <c r="D37" s="193"/>
      <c r="E37" s="193"/>
      <c r="F37" s="193"/>
      <c r="G37" s="193"/>
      <c r="H37" s="193"/>
      <c r="I37" s="193"/>
      <c r="J37" s="193"/>
      <c r="K37" s="204"/>
      <c r="L37" s="216">
        <v>31</v>
      </c>
      <c r="M37" s="219"/>
      <c r="N37" s="220"/>
      <c r="O37" s="205"/>
      <c r="P37" s="195"/>
    </row>
    <row r="38" ht="17.1" customHeight="1" spans="2:16" x14ac:dyDescent="0.25">
      <c r="B38" s="192"/>
      <c r="C38" s="193"/>
      <c r="D38" s="193"/>
      <c r="E38" s="193"/>
      <c r="F38" s="193"/>
      <c r="G38" s="193"/>
      <c r="H38" s="193"/>
      <c r="I38" s="193"/>
      <c r="J38" s="193"/>
      <c r="K38" s="204"/>
      <c r="L38" s="216">
        <v>32</v>
      </c>
      <c r="M38" s="219"/>
      <c r="N38" s="220"/>
      <c r="O38" s="205"/>
      <c r="P38" s="195"/>
    </row>
    <row r="39" ht="17.1" customHeight="1" spans="2:16" x14ac:dyDescent="0.25">
      <c r="B39" s="192"/>
      <c r="C39" s="193"/>
      <c r="D39" s="193"/>
      <c r="E39" s="193"/>
      <c r="F39" s="193"/>
      <c r="G39" s="193"/>
      <c r="H39" s="193"/>
      <c r="I39" s="193"/>
      <c r="J39" s="193"/>
      <c r="K39" s="204"/>
      <c r="L39" s="216">
        <v>33</v>
      </c>
      <c r="M39" s="219"/>
      <c r="N39" s="220"/>
      <c r="O39" s="205"/>
      <c r="P39" s="195"/>
    </row>
    <row r="40" ht="17.1" customHeight="1" spans="2:16" x14ac:dyDescent="0.25">
      <c r="B40" s="192"/>
      <c r="C40" s="193"/>
      <c r="D40" s="193"/>
      <c r="E40" s="193"/>
      <c r="F40" s="193"/>
      <c r="G40" s="193"/>
      <c r="H40" s="193"/>
      <c r="I40" s="193"/>
      <c r="J40" s="193"/>
      <c r="K40" s="204"/>
      <c r="L40" s="216">
        <v>34</v>
      </c>
      <c r="M40" s="219"/>
      <c r="N40" s="220"/>
      <c r="O40" s="205"/>
      <c r="P40" s="195"/>
    </row>
    <row r="41" ht="17.1" customHeight="1" spans="2:16" x14ac:dyDescent="0.25">
      <c r="B41" s="192"/>
      <c r="C41" s="193"/>
      <c r="D41" s="193"/>
      <c r="E41" s="193"/>
      <c r="F41" s="193"/>
      <c r="G41" s="193"/>
      <c r="H41" s="193"/>
      <c r="I41" s="193"/>
      <c r="J41" s="193"/>
      <c r="K41" s="204"/>
      <c r="L41" s="216">
        <v>35</v>
      </c>
      <c r="M41" s="219"/>
      <c r="N41" s="220"/>
      <c r="O41" s="205"/>
      <c r="P41" s="195"/>
    </row>
    <row r="42" ht="17.1" customHeight="1" spans="2:16" x14ac:dyDescent="0.25">
      <c r="B42" s="192"/>
      <c r="C42" s="193"/>
      <c r="D42" s="193"/>
      <c r="E42" s="193"/>
      <c r="F42" s="193"/>
      <c r="G42" s="193"/>
      <c r="H42" s="193"/>
      <c r="I42" s="193"/>
      <c r="J42" s="193"/>
      <c r="K42" s="204"/>
      <c r="L42" s="216">
        <v>36</v>
      </c>
      <c r="M42" s="219"/>
      <c r="N42" s="220"/>
      <c r="O42" s="205"/>
      <c r="P42" s="195"/>
    </row>
    <row r="43" ht="17.1" customHeight="1" spans="2:16" x14ac:dyDescent="0.25">
      <c r="B43" s="192"/>
      <c r="C43" s="193"/>
      <c r="D43" s="193"/>
      <c r="E43" s="193"/>
      <c r="F43" s="193"/>
      <c r="G43" s="193"/>
      <c r="H43" s="193"/>
      <c r="I43" s="193"/>
      <c r="J43" s="193"/>
      <c r="K43" s="204"/>
      <c r="L43" s="216">
        <v>37</v>
      </c>
      <c r="M43" s="219"/>
      <c r="N43" s="220"/>
      <c r="O43" s="205"/>
      <c r="P43" s="195"/>
    </row>
    <row r="44" ht="17.1" customHeight="1" spans="2:16" x14ac:dyDescent="0.25">
      <c r="B44" s="192"/>
      <c r="C44" s="193"/>
      <c r="D44" s="193"/>
      <c r="E44" s="193"/>
      <c r="F44" s="193"/>
      <c r="G44" s="193"/>
      <c r="H44" s="193"/>
      <c r="I44" s="193"/>
      <c r="J44" s="193"/>
      <c r="K44" s="204"/>
      <c r="L44" s="216">
        <v>38</v>
      </c>
      <c r="M44" s="219"/>
      <c r="N44" s="220"/>
      <c r="O44" s="205"/>
      <c r="P44" s="195"/>
    </row>
    <row r="45" ht="17.1" customHeight="1" spans="2:16" x14ac:dyDescent="0.25">
      <c r="B45" s="192"/>
      <c r="C45" s="193"/>
      <c r="D45" s="193"/>
      <c r="E45" s="193"/>
      <c r="F45" s="193"/>
      <c r="G45" s="193"/>
      <c r="H45" s="193"/>
      <c r="I45" s="193"/>
      <c r="J45" s="193"/>
      <c r="K45" s="204"/>
      <c r="L45" s="216">
        <v>39</v>
      </c>
      <c r="M45" s="219"/>
      <c r="N45" s="220"/>
      <c r="O45" s="205"/>
      <c r="P45" s="195"/>
    </row>
    <row r="46" ht="17.1" customHeight="1" spans="2:16" x14ac:dyDescent="0.25">
      <c r="B46" s="192"/>
      <c r="C46" s="193"/>
      <c r="D46" s="193"/>
      <c r="E46" s="193"/>
      <c r="F46" s="193"/>
      <c r="G46" s="193"/>
      <c r="H46" s="193"/>
      <c r="I46" s="193"/>
      <c r="J46" s="193"/>
      <c r="K46" s="204"/>
      <c r="L46" s="216">
        <v>40</v>
      </c>
      <c r="M46" s="219"/>
      <c r="N46" s="220"/>
      <c r="O46" s="205"/>
      <c r="P46" s="195"/>
    </row>
    <row r="47" ht="17.1" customHeight="1" spans="2:16" x14ac:dyDescent="0.25">
      <c r="B47" s="192"/>
      <c r="C47" s="193"/>
      <c r="D47" s="193"/>
      <c r="E47" s="193"/>
      <c r="F47" s="193"/>
      <c r="G47" s="193"/>
      <c r="H47" s="193"/>
      <c r="I47" s="193"/>
      <c r="J47" s="193"/>
      <c r="K47" s="204"/>
      <c r="L47" s="216">
        <v>41</v>
      </c>
      <c r="M47" s="219"/>
      <c r="N47" s="220"/>
      <c r="O47" s="205"/>
      <c r="P47" s="195"/>
    </row>
    <row r="48" ht="17.1" customHeight="1" spans="2:16" x14ac:dyDescent="0.25">
      <c r="B48" s="192"/>
      <c r="C48" s="193"/>
      <c r="D48" s="193"/>
      <c r="E48" s="193"/>
      <c r="F48" s="193"/>
      <c r="G48" s="193"/>
      <c r="H48" s="193"/>
      <c r="I48" s="193"/>
      <c r="J48" s="193"/>
      <c r="K48" s="204"/>
      <c r="L48" s="216">
        <v>42</v>
      </c>
      <c r="M48" s="219"/>
      <c r="N48" s="220"/>
      <c r="O48" s="205"/>
      <c r="P48" s="195"/>
    </row>
    <row r="49" ht="17.1" customHeight="1" spans="2:16" x14ac:dyDescent="0.25">
      <c r="B49" s="192"/>
      <c r="C49" s="193"/>
      <c r="D49" s="193"/>
      <c r="E49" s="193"/>
      <c r="F49" s="193"/>
      <c r="G49" s="193"/>
      <c r="H49" s="193"/>
      <c r="I49" s="193"/>
      <c r="J49" s="193"/>
      <c r="K49" s="204"/>
      <c r="L49" s="216">
        <v>43</v>
      </c>
      <c r="M49" s="219"/>
      <c r="N49" s="220"/>
      <c r="O49" s="205"/>
      <c r="P49" s="195"/>
    </row>
    <row r="50" ht="17.1" customHeight="1" spans="2:16" x14ac:dyDescent="0.25">
      <c r="B50" s="192"/>
      <c r="C50" s="193"/>
      <c r="D50" s="193"/>
      <c r="E50" s="193"/>
      <c r="F50" s="193"/>
      <c r="G50" s="193"/>
      <c r="H50" s="193"/>
      <c r="I50" s="193"/>
      <c r="J50" s="193"/>
      <c r="K50" s="204"/>
      <c r="L50" s="216">
        <v>44</v>
      </c>
      <c r="M50" s="219"/>
      <c r="N50" s="220"/>
      <c r="O50" s="205"/>
      <c r="P50" s="195"/>
    </row>
    <row r="51" ht="17.1" customHeight="1" spans="2:16" x14ac:dyDescent="0.25">
      <c r="B51" s="192"/>
      <c r="C51" s="193"/>
      <c r="D51" s="193"/>
      <c r="E51" s="193"/>
      <c r="F51" s="193"/>
      <c r="G51" s="193"/>
      <c r="H51" s="193"/>
      <c r="I51" s="193"/>
      <c r="J51" s="193"/>
      <c r="K51" s="204"/>
      <c r="L51" s="216">
        <v>45</v>
      </c>
      <c r="M51" s="219"/>
      <c r="N51" s="220"/>
      <c r="O51" s="205"/>
      <c r="P51" s="195"/>
    </row>
    <row r="52" ht="17.1" customHeight="1" spans="2:16" x14ac:dyDescent="0.25">
      <c r="B52" s="192"/>
      <c r="C52" s="193"/>
      <c r="D52" s="193"/>
      <c r="E52" s="193"/>
      <c r="F52" s="193"/>
      <c r="G52" s="193"/>
      <c r="H52" s="193"/>
      <c r="I52" s="193"/>
      <c r="J52" s="193"/>
      <c r="K52" s="204"/>
      <c r="L52" s="216">
        <v>46</v>
      </c>
      <c r="M52" s="219"/>
      <c r="N52" s="220"/>
      <c r="O52" s="205"/>
      <c r="P52" s="195"/>
    </row>
    <row r="53" ht="17.1" customHeight="1" spans="2:16" x14ac:dyDescent="0.25">
      <c r="B53" s="192"/>
      <c r="C53" s="193"/>
      <c r="D53" s="193"/>
      <c r="E53" s="193"/>
      <c r="F53" s="193"/>
      <c r="G53" s="193"/>
      <c r="H53" s="193"/>
      <c r="I53" s="193"/>
      <c r="J53" s="193"/>
      <c r="K53" s="204"/>
      <c r="L53" s="216">
        <v>47</v>
      </c>
      <c r="M53" s="219"/>
      <c r="N53" s="220"/>
      <c r="O53" s="205"/>
      <c r="P53" s="195"/>
    </row>
    <row r="54" ht="17.1" customHeight="1" spans="2:16" x14ac:dyDescent="0.25">
      <c r="B54" s="192"/>
      <c r="C54" s="193"/>
      <c r="D54" s="193"/>
      <c r="E54" s="193"/>
      <c r="F54" s="193"/>
      <c r="G54" s="193"/>
      <c r="H54" s="193"/>
      <c r="I54" s="193"/>
      <c r="J54" s="193"/>
      <c r="K54" s="204"/>
      <c r="L54" s="216">
        <v>48</v>
      </c>
      <c r="M54" s="219"/>
      <c r="N54" s="220"/>
      <c r="O54" s="205"/>
      <c r="P54" s="195"/>
    </row>
    <row r="55" ht="17.1" customHeight="1" spans="2:16" x14ac:dyDescent="0.25">
      <c r="B55" s="192"/>
      <c r="C55" s="193"/>
      <c r="D55" s="193"/>
      <c r="E55" s="193"/>
      <c r="F55" s="193"/>
      <c r="G55" s="193"/>
      <c r="H55" s="193"/>
      <c r="I55" s="193"/>
      <c r="J55" s="193"/>
      <c r="K55" s="204"/>
      <c r="L55" s="216">
        <v>49</v>
      </c>
      <c r="M55" s="219"/>
      <c r="N55" s="220"/>
      <c r="O55" s="205"/>
      <c r="P55" s="195"/>
    </row>
    <row r="56" ht="17.1" customHeight="1" spans="2:16" x14ac:dyDescent="0.25">
      <c r="B56" s="192"/>
      <c r="C56" s="193"/>
      <c r="D56" s="193"/>
      <c r="E56" s="193"/>
      <c r="F56" s="193"/>
      <c r="G56" s="193"/>
      <c r="H56" s="193"/>
      <c r="I56" s="193"/>
      <c r="J56" s="193"/>
      <c r="K56" s="204"/>
      <c r="L56" s="216">
        <v>50</v>
      </c>
      <c r="M56" s="219"/>
      <c r="N56" s="220"/>
      <c r="O56" s="205"/>
      <c r="P56" s="195"/>
    </row>
    <row r="57" ht="17.1" customHeight="1" spans="2:16" x14ac:dyDescent="0.25">
      <c r="B57" s="192"/>
      <c r="C57" s="193"/>
      <c r="D57" s="193"/>
      <c r="E57" s="193"/>
      <c r="F57" s="193"/>
      <c r="G57" s="193"/>
      <c r="H57" s="193"/>
      <c r="I57" s="193"/>
      <c r="J57" s="193"/>
      <c r="K57" s="204"/>
      <c r="L57" s="216">
        <v>51</v>
      </c>
      <c r="M57" s="219"/>
      <c r="N57" s="220"/>
      <c r="O57" s="205"/>
      <c r="P57" s="195"/>
    </row>
    <row r="58" ht="17.1" customHeight="1" spans="2:16" x14ac:dyDescent="0.25">
      <c r="B58" s="192"/>
      <c r="C58" s="193"/>
      <c r="D58" s="193"/>
      <c r="E58" s="193"/>
      <c r="F58" s="193"/>
      <c r="G58" s="193"/>
      <c r="H58" s="193"/>
      <c r="I58" s="193"/>
      <c r="J58" s="193"/>
      <c r="K58" s="204"/>
      <c r="L58" s="216">
        <v>52</v>
      </c>
      <c r="M58" s="219"/>
      <c r="N58" s="220"/>
      <c r="O58" s="205"/>
      <c r="P58" s="195"/>
    </row>
    <row r="59" ht="17.1" customHeight="1" spans="2:16" x14ac:dyDescent="0.25">
      <c r="B59" s="192"/>
      <c r="C59" s="193"/>
      <c r="D59" s="193"/>
      <c r="E59" s="193"/>
      <c r="F59" s="193"/>
      <c r="G59" s="193"/>
      <c r="H59" s="193"/>
      <c r="I59" s="193"/>
      <c r="J59" s="193"/>
      <c r="K59" s="204"/>
      <c r="L59" s="216">
        <v>53</v>
      </c>
      <c r="M59" s="219"/>
      <c r="N59" s="220"/>
      <c r="O59" s="205"/>
      <c r="P59" s="195"/>
    </row>
    <row r="60" ht="17.1" customHeight="1" spans="2:16" x14ac:dyDescent="0.25">
      <c r="B60" s="192"/>
      <c r="C60" s="193"/>
      <c r="D60" s="193"/>
      <c r="E60" s="193"/>
      <c r="F60" s="193"/>
      <c r="G60" s="193"/>
      <c r="H60" s="193"/>
      <c r="I60" s="193"/>
      <c r="J60" s="193"/>
      <c r="K60" s="204"/>
      <c r="L60" s="216">
        <v>54</v>
      </c>
      <c r="M60" s="219"/>
      <c r="N60" s="220"/>
      <c r="O60" s="205"/>
      <c r="P60" s="195"/>
    </row>
    <row r="61" ht="17.1" customHeight="1" spans="2:16" x14ac:dyDescent="0.25">
      <c r="B61" s="192"/>
      <c r="C61" s="193"/>
      <c r="D61" s="193"/>
      <c r="E61" s="193"/>
      <c r="F61" s="193"/>
      <c r="G61" s="193"/>
      <c r="H61" s="193"/>
      <c r="I61" s="193"/>
      <c r="J61" s="193"/>
      <c r="K61" s="204"/>
      <c r="L61" s="216">
        <v>55</v>
      </c>
      <c r="M61" s="219"/>
      <c r="N61" s="220"/>
      <c r="O61" s="205"/>
      <c r="P61" s="195"/>
    </row>
    <row r="62" ht="17.1" customHeight="1" spans="2:16" x14ac:dyDescent="0.25">
      <c r="B62" s="192"/>
      <c r="C62" s="193"/>
      <c r="D62" s="193"/>
      <c r="E62" s="193"/>
      <c r="F62" s="193"/>
      <c r="G62" s="193"/>
      <c r="H62" s="193"/>
      <c r="I62" s="193"/>
      <c r="J62" s="193"/>
      <c r="K62" s="204"/>
      <c r="L62" s="216">
        <v>56</v>
      </c>
      <c r="M62" s="219"/>
      <c r="N62" s="220"/>
      <c r="O62" s="205"/>
      <c r="P62" s="195"/>
    </row>
    <row r="63" ht="17.1" customHeight="1" spans="2:16" x14ac:dyDescent="0.25">
      <c r="B63" s="192"/>
      <c r="C63" s="193"/>
      <c r="D63" s="193"/>
      <c r="E63" s="193"/>
      <c r="F63" s="193"/>
      <c r="G63" s="193"/>
      <c r="H63" s="193"/>
      <c r="I63" s="193"/>
      <c r="J63" s="193"/>
      <c r="K63" s="204"/>
      <c r="L63" s="216">
        <v>57</v>
      </c>
      <c r="M63" s="219"/>
      <c r="N63" s="220"/>
      <c r="O63" s="205"/>
      <c r="P63" s="195"/>
    </row>
    <row r="64" ht="17.1" customHeight="1" spans="2:16" x14ac:dyDescent="0.25">
      <c r="B64" s="192"/>
      <c r="C64" s="193"/>
      <c r="D64" s="193"/>
      <c r="E64" s="193"/>
      <c r="F64" s="193"/>
      <c r="G64" s="193"/>
      <c r="H64" s="193"/>
      <c r="I64" s="193"/>
      <c r="J64" s="193"/>
      <c r="K64" s="204"/>
      <c r="L64" s="216">
        <v>58</v>
      </c>
      <c r="M64" s="219"/>
      <c r="N64" s="220"/>
      <c r="O64" s="205"/>
      <c r="P64" s="195"/>
    </row>
    <row r="65" ht="17.1" customHeight="1" spans="2:16" x14ac:dyDescent="0.25">
      <c r="B65" s="192"/>
      <c r="C65" s="193"/>
      <c r="D65" s="193"/>
      <c r="E65" s="193"/>
      <c r="F65" s="193"/>
      <c r="G65" s="193"/>
      <c r="H65" s="193"/>
      <c r="I65" s="193"/>
      <c r="J65" s="193"/>
      <c r="K65" s="204"/>
      <c r="L65" s="216">
        <v>59</v>
      </c>
      <c r="M65" s="219"/>
      <c r="N65" s="220"/>
      <c r="O65" s="205"/>
      <c r="P65" s="195"/>
    </row>
    <row r="66" ht="17.1" customHeight="1" spans="2:16" x14ac:dyDescent="0.25">
      <c r="B66" s="192"/>
      <c r="C66" s="193"/>
      <c r="D66" s="193"/>
      <c r="E66" s="193"/>
      <c r="F66" s="193"/>
      <c r="G66" s="193"/>
      <c r="H66" s="193"/>
      <c r="I66" s="193"/>
      <c r="J66" s="193"/>
      <c r="K66" s="204"/>
      <c r="L66" s="216">
        <v>60</v>
      </c>
      <c r="M66" s="219"/>
      <c r="N66" s="220"/>
      <c r="O66" s="205"/>
      <c r="P66" s="195"/>
    </row>
    <row r="67" ht="17.1" customHeight="1" spans="2:16" x14ac:dyDescent="0.25">
      <c r="B67" s="192"/>
      <c r="C67" s="193"/>
      <c r="D67" s="193"/>
      <c r="E67" s="193"/>
      <c r="F67" s="193"/>
      <c r="G67" s="193"/>
      <c r="H67" s="193"/>
      <c r="I67" s="193"/>
      <c r="J67" s="193"/>
      <c r="K67" s="234"/>
      <c r="L67" s="255"/>
      <c r="M67" s="230"/>
      <c r="N67" s="256"/>
      <c r="O67" s="236"/>
      <c r="P67" s="195"/>
    </row>
    <row r="68" ht="15" customHeight="1" spans="2:16" x14ac:dyDescent="0.25">
      <c r="B68" s="257"/>
      <c r="C68" s="258"/>
      <c r="D68" s="258"/>
      <c r="E68" s="258"/>
      <c r="F68" s="258"/>
      <c r="G68" s="258"/>
      <c r="H68" s="258"/>
      <c r="I68" s="258"/>
      <c r="J68" s="258"/>
      <c r="K68" s="258"/>
      <c r="L68" s="258"/>
      <c r="M68" s="258"/>
      <c r="N68" s="258"/>
      <c r="O68" s="258"/>
      <c r="P68" s="259"/>
    </row>
    <row r="69" ht="9.95" customHeight="1" spans="1:18" x14ac:dyDescent="0.25">
      <c r="A69" s="168"/>
      <c r="B69" s="168"/>
      <c r="C69" s="168"/>
      <c r="D69" s="168"/>
      <c r="E69" s="168"/>
      <c r="F69" s="168"/>
      <c r="G69" s="168"/>
      <c r="H69" s="168"/>
      <c r="I69" s="168"/>
      <c r="J69" s="168"/>
      <c r="K69" s="168"/>
      <c r="L69" s="168"/>
      <c r="M69" s="168"/>
      <c r="N69" s="168"/>
      <c r="O69" s="168"/>
      <c r="P69" s="168"/>
      <c r="Q69" s="168"/>
      <c r="R69" s="168"/>
    </row>
    <row r="70" ht="17.1" customHeight="1" hidden="1" spans="1:18" x14ac:dyDescent="0.25">
      <c r="A70" s="168"/>
      <c r="B70" s="168"/>
      <c r="C70" s="168"/>
      <c r="D70" s="168"/>
      <c r="E70" s="168"/>
      <c r="F70" s="168"/>
      <c r="G70" s="168"/>
      <c r="H70" s="168"/>
      <c r="I70" s="168"/>
      <c r="J70" s="168"/>
      <c r="K70" s="168"/>
      <c r="L70" s="168"/>
      <c r="M70" s="168"/>
      <c r="N70" s="168"/>
      <c r="O70" s="168"/>
      <c r="P70" s="168"/>
      <c r="Q70" s="168"/>
      <c r="R70" s="168"/>
    </row>
    <row r="71" ht="16.7" customHeight="1" hidden="1" spans="1:18" x14ac:dyDescent="0.25">
      <c r="A71" s="168"/>
      <c r="B71" s="168"/>
      <c r="C71" s="168"/>
      <c r="D71" s="168"/>
      <c r="E71" s="168"/>
      <c r="F71" s="168"/>
      <c r="G71" s="168"/>
      <c r="H71" s="168"/>
      <c r="I71" s="168"/>
      <c r="J71" s="168"/>
      <c r="K71" s="168"/>
      <c r="L71" s="168"/>
      <c r="M71" s="168"/>
      <c r="N71" s="168"/>
      <c r="O71" s="168"/>
      <c r="P71" s="168"/>
      <c r="Q71" s="168"/>
      <c r="R71" s="168"/>
    </row>
    <row r="72" ht="15" customHeight="1" hidden="1" spans="1:18" x14ac:dyDescent="0.25">
      <c r="A72" s="168"/>
      <c r="B72" s="168"/>
      <c r="C72" s="168"/>
      <c r="D72" s="168"/>
      <c r="E72" s="168"/>
      <c r="F72" s="168"/>
      <c r="G72" s="168"/>
      <c r="H72" s="168"/>
      <c r="I72" s="168"/>
      <c r="J72" s="168"/>
      <c r="K72" s="168"/>
      <c r="L72" s="168"/>
      <c r="M72" s="168"/>
      <c r="N72" s="168"/>
      <c r="O72" s="168"/>
      <c r="P72" s="168"/>
      <c r="Q72" s="168"/>
      <c r="R72" s="168"/>
    </row>
  </sheetData>
  <sheetProtection sheet="1" algorithmName="SHA-512" hashValue="dq/+ln/xbDfBDidz9SwgOcuQ4Rtq6bKg8DZNZj8mFtPelYkx9lxQX5AFQdz+b2gylTs2++eDJ9sUS51MNAal4g==" saltValue="gSHhtgOaxc2Jm7QCxub8YQ==" spinCount="100000" objects="1" scenarios="1"/>
  <mergeCells count="29">
    <mergeCell ref="C2:O2"/>
    <mergeCell ref="D6:E6"/>
    <mergeCell ref="G6:H6"/>
    <mergeCell ref="D7:E7"/>
    <mergeCell ref="G7:H7"/>
    <mergeCell ref="D8:E8"/>
    <mergeCell ref="G8:H8"/>
    <mergeCell ref="D10:E10"/>
    <mergeCell ref="G10:H10"/>
    <mergeCell ref="D11:E11"/>
    <mergeCell ref="G11:H11"/>
    <mergeCell ref="D12:E13"/>
    <mergeCell ref="G12:H13"/>
    <mergeCell ref="F12:F13"/>
    <mergeCell ref="D14:E14"/>
    <mergeCell ref="G14:H14"/>
    <mergeCell ref="D16:E16"/>
    <mergeCell ref="G16:H16"/>
    <mergeCell ref="D17:E17"/>
    <mergeCell ref="G17:H17"/>
    <mergeCell ref="D18:E18"/>
    <mergeCell ref="G18:H18"/>
    <mergeCell ref="D19:E19"/>
    <mergeCell ref="G19:H19"/>
    <mergeCell ref="D22:G23"/>
    <mergeCell ref="D25:G25"/>
    <mergeCell ref="D26:G26"/>
    <mergeCell ref="D27:G27"/>
    <mergeCell ref="D28:G28"/>
  </mergeCells>
  <conditionalFormatting sqref="G11:H11">
    <cfRule type="expression" dxfId="0" priority="1">
      <formula>AND($G$7="Senior High School (SHS)",NOT(OR($G$11=12,$G$11=11)))</formula>
    </cfRule>
    <cfRule type="expression" dxfId="1" priority="2">
      <formula>AND($G$7="Junior High School (JHS)",NOT(OR($G$11=10,$G$11=9,$G$11=8,$G$11=7)))</formula>
    </cfRule>
  </conditionalFormatting>
  <conditionalFormatting sqref="H28">
    <cfRule type="cellIs" dxfId="2" priority="3" operator="notEqual">
      <formula>100%</formula>
    </cfRule>
  </conditionalFormatting>
  <dataValidations count="3">
    <dataValidation type="list" allowBlank="1" showInputMessage="1" showErrorMessage="1" sqref="G7:H7">
      <formula1>"Senior High School (SHS), Junior High School (JHS)"</formula1>
    </dataValidation>
    <dataValidation type="custom" allowBlank="1" showInputMessage="1" showErrorMessage="1" sqref="H25:H27">
      <formula1>AND(ISNUMBER(H25),H25&gt;=0,H25&lt;=1)</formula1>
    </dataValidation>
    <dataValidation type="decimal" allowBlank="1" showInputMessage="1" showErrorMessage="1" sqref="H28">
      <formula1>0</formula1>
      <formula2>1</formula2>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44"/>
  <sheetViews>
    <sheetView workbookViewId="0" showGridLines="0" zoomScale="100" zoomScaleNormal="100">
      <selection activeCell="D9" sqref="D9"/>
    </sheetView>
  </sheetViews>
  <sheetFormatPr defaultRowHeight="15" outlineLevelRow="0" outlineLevelCol="0" x14ac:dyDescent="0.25" defaultColWidth="8.85546875"/>
  <cols>
    <col min="1" max="1" width="3.140625" style="477" customWidth="1"/>
    <col min="2" max="3" width="10.85546875" style="477" customWidth="1"/>
    <col min="4" max="4" width="14.85546875" style="477" customWidth="1"/>
    <col min="5" max="5" width="3.140625" style="477" customWidth="1"/>
    <col min="6" max="16384" width="8.85546875" style="477" customWidth="1"/>
  </cols>
  <sheetData>
    <row r="1" ht="20.1" customHeight="1" spans="2:4" x14ac:dyDescent="0.25">
      <c r="B1" s="683" t="s">
        <v>337</v>
      </c>
      <c r="C1" s="683"/>
      <c r="D1" s="685" t="s">
        <v>338</v>
      </c>
    </row>
    <row r="2" ht="20.1" customHeight="1" spans="2:4" x14ac:dyDescent="0.25">
      <c r="B2" s="686" t="s">
        <v>339</v>
      </c>
      <c r="C2" s="686" t="s">
        <v>340</v>
      </c>
      <c r="D2" s="687"/>
    </row>
    <row r="3" ht="15.75" customHeight="1" spans="2:4" x14ac:dyDescent="0.25">
      <c r="B3" s="688">
        <v>99.5</v>
      </c>
      <c r="C3" s="689">
        <v>100</v>
      </c>
      <c r="D3" s="690">
        <v>100</v>
      </c>
    </row>
    <row r="4" spans="2:4" x14ac:dyDescent="0.25">
      <c r="B4" s="691">
        <v>98.32</v>
      </c>
      <c r="C4" s="691">
        <v>99.49</v>
      </c>
      <c r="D4" s="692">
        <v>99</v>
      </c>
    </row>
    <row r="5" spans="2:4" x14ac:dyDescent="0.25">
      <c r="B5" s="691">
        <v>97.14</v>
      </c>
      <c r="C5" s="691">
        <v>98.31</v>
      </c>
      <c r="D5" s="692">
        <v>98</v>
      </c>
    </row>
    <row r="6" spans="2:4" x14ac:dyDescent="0.25">
      <c r="B6" s="691">
        <v>95.96</v>
      </c>
      <c r="C6" s="691">
        <v>97.13</v>
      </c>
      <c r="D6" s="692">
        <v>97</v>
      </c>
    </row>
    <row r="7" spans="2:4" x14ac:dyDescent="0.25">
      <c r="B7" s="691">
        <v>94.78</v>
      </c>
      <c r="C7" s="691">
        <v>95.95</v>
      </c>
      <c r="D7" s="692">
        <v>96</v>
      </c>
    </row>
    <row r="8" spans="2:4" x14ac:dyDescent="0.25">
      <c r="B8" s="691">
        <v>93.6</v>
      </c>
      <c r="C8" s="691">
        <v>94.77</v>
      </c>
      <c r="D8" s="692">
        <v>95</v>
      </c>
    </row>
    <row r="9" spans="2:4" x14ac:dyDescent="0.25">
      <c r="B9" s="691">
        <v>92.42</v>
      </c>
      <c r="C9" s="691">
        <v>93.59</v>
      </c>
      <c r="D9" s="692">
        <v>94</v>
      </c>
    </row>
    <row r="10" spans="2:4" x14ac:dyDescent="0.25">
      <c r="B10" s="691">
        <v>91.24</v>
      </c>
      <c r="C10" s="691">
        <v>92.41</v>
      </c>
      <c r="D10" s="692">
        <v>93</v>
      </c>
    </row>
    <row r="11" spans="2:4" x14ac:dyDescent="0.25">
      <c r="B11" s="691">
        <v>90.06</v>
      </c>
      <c r="C11" s="691">
        <v>91.23</v>
      </c>
      <c r="D11" s="692">
        <v>92</v>
      </c>
    </row>
    <row r="12" spans="2:4" x14ac:dyDescent="0.25">
      <c r="B12" s="691">
        <v>88.88</v>
      </c>
      <c r="C12" s="691">
        <v>90.05</v>
      </c>
      <c r="D12" s="692">
        <v>91</v>
      </c>
    </row>
    <row r="13" spans="2:4" x14ac:dyDescent="0.25">
      <c r="B13" s="691">
        <v>87.7</v>
      </c>
      <c r="C13" s="691">
        <v>88.87</v>
      </c>
      <c r="D13" s="692">
        <v>90</v>
      </c>
    </row>
    <row r="14" spans="2:4" x14ac:dyDescent="0.25">
      <c r="B14" s="691">
        <v>86.52</v>
      </c>
      <c r="C14" s="691">
        <v>87.69</v>
      </c>
      <c r="D14" s="692">
        <v>89</v>
      </c>
    </row>
    <row r="15" spans="2:4" x14ac:dyDescent="0.25">
      <c r="B15" s="691">
        <v>85.34</v>
      </c>
      <c r="C15" s="691">
        <v>86.51</v>
      </c>
      <c r="D15" s="692">
        <v>88</v>
      </c>
    </row>
    <row r="16" spans="2:4" x14ac:dyDescent="0.25">
      <c r="B16" s="691">
        <v>84.16</v>
      </c>
      <c r="C16" s="691">
        <v>85.33</v>
      </c>
      <c r="D16" s="692">
        <v>87</v>
      </c>
    </row>
    <row r="17" spans="2:4" x14ac:dyDescent="0.25">
      <c r="B17" s="691">
        <v>82.98</v>
      </c>
      <c r="C17" s="691">
        <v>84.15</v>
      </c>
      <c r="D17" s="692">
        <v>86</v>
      </c>
    </row>
    <row r="18" spans="2:4" x14ac:dyDescent="0.25">
      <c r="B18" s="691">
        <v>81.8</v>
      </c>
      <c r="C18" s="691">
        <v>82.97</v>
      </c>
      <c r="D18" s="692">
        <v>85</v>
      </c>
    </row>
    <row r="19" spans="2:4" x14ac:dyDescent="0.25">
      <c r="B19" s="691">
        <v>80.62</v>
      </c>
      <c r="C19" s="691">
        <v>81.79</v>
      </c>
      <c r="D19" s="692">
        <v>84</v>
      </c>
    </row>
    <row r="20" spans="2:4" x14ac:dyDescent="0.25">
      <c r="B20" s="691">
        <v>79.44</v>
      </c>
      <c r="C20" s="691">
        <v>80.61</v>
      </c>
      <c r="D20" s="692">
        <v>83</v>
      </c>
    </row>
    <row r="21" spans="2:4" x14ac:dyDescent="0.25">
      <c r="B21" s="691">
        <v>78.26</v>
      </c>
      <c r="C21" s="691">
        <v>79.43</v>
      </c>
      <c r="D21" s="692">
        <v>82</v>
      </c>
    </row>
    <row r="22" spans="2:4" x14ac:dyDescent="0.25">
      <c r="B22" s="691">
        <v>77.08</v>
      </c>
      <c r="C22" s="691">
        <v>78.25</v>
      </c>
      <c r="D22" s="692">
        <v>81</v>
      </c>
    </row>
    <row r="23" spans="2:4" x14ac:dyDescent="0.25">
      <c r="B23" s="691">
        <v>75.9</v>
      </c>
      <c r="C23" s="691">
        <v>77.07</v>
      </c>
      <c r="D23" s="692">
        <v>80</v>
      </c>
    </row>
    <row r="24" spans="2:4" x14ac:dyDescent="0.25">
      <c r="B24" s="691">
        <v>74.72</v>
      </c>
      <c r="C24" s="691">
        <v>75.89</v>
      </c>
      <c r="D24" s="692">
        <v>79</v>
      </c>
    </row>
    <row r="25" spans="2:4" x14ac:dyDescent="0.25">
      <c r="B25" s="691">
        <v>73.54</v>
      </c>
      <c r="C25" s="691">
        <v>74.71</v>
      </c>
      <c r="D25" s="692">
        <v>78</v>
      </c>
    </row>
    <row r="26" spans="2:4" x14ac:dyDescent="0.25">
      <c r="B26" s="691">
        <v>72.36</v>
      </c>
      <c r="C26" s="691">
        <v>73.53</v>
      </c>
      <c r="D26" s="692">
        <v>77</v>
      </c>
    </row>
    <row r="27" spans="2:4" x14ac:dyDescent="0.25">
      <c r="B27" s="691">
        <v>71.18</v>
      </c>
      <c r="C27" s="691">
        <v>72.35</v>
      </c>
      <c r="D27" s="692">
        <v>76</v>
      </c>
    </row>
    <row r="28" spans="2:4" x14ac:dyDescent="0.25">
      <c r="B28" s="691">
        <v>70</v>
      </c>
      <c r="C28" s="691">
        <v>71.17</v>
      </c>
      <c r="D28" s="692">
        <v>75</v>
      </c>
    </row>
    <row r="29" spans="2:4" x14ac:dyDescent="0.25">
      <c r="B29" s="691">
        <v>65.34</v>
      </c>
      <c r="C29" s="691">
        <v>69.99</v>
      </c>
      <c r="D29" s="692">
        <v>74</v>
      </c>
    </row>
    <row r="30" spans="2:4" x14ac:dyDescent="0.25">
      <c r="B30" s="691">
        <v>60.67</v>
      </c>
      <c r="C30" s="691">
        <v>65.33</v>
      </c>
      <c r="D30" s="692">
        <v>73</v>
      </c>
    </row>
    <row r="31" spans="2:4" x14ac:dyDescent="0.25">
      <c r="B31" s="691">
        <v>56.01</v>
      </c>
      <c r="C31" s="691">
        <v>60.66</v>
      </c>
      <c r="D31" s="692">
        <v>72</v>
      </c>
    </row>
    <row r="32" spans="2:4" x14ac:dyDescent="0.25">
      <c r="B32" s="691">
        <v>51.34</v>
      </c>
      <c r="C32" s="691">
        <v>56</v>
      </c>
      <c r="D32" s="692">
        <v>71</v>
      </c>
    </row>
    <row r="33" spans="2:4" x14ac:dyDescent="0.25">
      <c r="B33" s="691">
        <v>46.67</v>
      </c>
      <c r="C33" s="691">
        <v>51.33</v>
      </c>
      <c r="D33" s="692">
        <v>70</v>
      </c>
    </row>
    <row r="34" spans="2:4" x14ac:dyDescent="0.25">
      <c r="B34" s="691">
        <v>42.01</v>
      </c>
      <c r="C34" s="691">
        <v>46.66</v>
      </c>
      <c r="D34" s="692">
        <v>69</v>
      </c>
    </row>
    <row r="35" spans="2:4" x14ac:dyDescent="0.25">
      <c r="B35" s="691">
        <v>37.34</v>
      </c>
      <c r="C35" s="691">
        <v>42</v>
      </c>
      <c r="D35" s="692">
        <v>68</v>
      </c>
    </row>
    <row r="36" spans="2:4" x14ac:dyDescent="0.25">
      <c r="B36" s="691">
        <v>32.68</v>
      </c>
      <c r="C36" s="691">
        <v>37.33</v>
      </c>
      <c r="D36" s="692">
        <v>67</v>
      </c>
    </row>
    <row r="37" spans="2:4" x14ac:dyDescent="0.25">
      <c r="B37" s="691">
        <v>28.01</v>
      </c>
      <c r="C37" s="691">
        <v>32.67</v>
      </c>
      <c r="D37" s="692">
        <v>66</v>
      </c>
    </row>
    <row r="38" spans="2:4" x14ac:dyDescent="0.25">
      <c r="B38" s="691">
        <v>23.35</v>
      </c>
      <c r="C38" s="691">
        <v>28</v>
      </c>
      <c r="D38" s="692">
        <v>65</v>
      </c>
    </row>
    <row r="39" spans="2:4" x14ac:dyDescent="0.25">
      <c r="B39" s="691">
        <v>18.68</v>
      </c>
      <c r="C39" s="691">
        <v>23.34</v>
      </c>
      <c r="D39" s="692">
        <v>64</v>
      </c>
    </row>
    <row r="40" spans="2:4" x14ac:dyDescent="0.25">
      <c r="B40" s="691">
        <v>14.01</v>
      </c>
      <c r="C40" s="691">
        <v>18.67</v>
      </c>
      <c r="D40" s="692">
        <v>63</v>
      </c>
    </row>
    <row r="41" spans="2:4" x14ac:dyDescent="0.25">
      <c r="B41" s="691">
        <v>9.35</v>
      </c>
      <c r="C41" s="691">
        <v>14</v>
      </c>
      <c r="D41" s="692">
        <v>62</v>
      </c>
    </row>
    <row r="42" spans="2:4" x14ac:dyDescent="0.25">
      <c r="B42" s="691">
        <v>4.68</v>
      </c>
      <c r="C42" s="691">
        <v>9.34</v>
      </c>
      <c r="D42" s="692">
        <v>61</v>
      </c>
    </row>
    <row r="43" ht="15.75" customHeight="1" spans="2:4" x14ac:dyDescent="0.25">
      <c r="B43" s="693">
        <v>0</v>
      </c>
      <c r="C43" s="693">
        <v>4.67</v>
      </c>
      <c r="D43" s="694">
        <v>60</v>
      </c>
    </row>
    <row r="44" spans="2:4" x14ac:dyDescent="0.25">
      <c r="B44" s="682"/>
      <c r="C44" s="682"/>
      <c r="D44" s="682"/>
    </row>
  </sheetData>
  <sheetProtection sheet="1" algorithmName="SHA-512" hashValue="m/6FyGShwvTA+f2hvtK5+UnEfsa2apH1urvBmWe2jbWW2Yt3HZ8Ko6Wk5eGaS9UxsWDWrfCjFYfSVBBvqTjUNA==" saltValue="EXfJrl0ZlH2qV8284Qqs1g==" spinCount="100000" objects="1" scenarios="1"/>
  <mergeCells count="2">
    <mergeCell ref="B1:C1"/>
    <mergeCell ref="D1:D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I69"/>
  <sheetViews>
    <sheetView workbookViewId="0" showGridLines="0" zoomScale="100" zoomScaleNormal="100">
      <pane xSplit="4" ySplit="8" topLeftCell="AH9" activePane="bottomRight" state="frozen"/>
      <selection pane="bottomRight" activeCell="AV30" sqref="AV30"/>
    </sheetView>
  </sheetViews>
  <sheetFormatPr defaultRowHeight="15" outlineLevelRow="0" outlineLevelCol="0" x14ac:dyDescent="0.25" defaultColWidth="8.85546875"/>
  <cols>
    <col min="1" max="1" width="2.140625" style="167" customWidth="1"/>
    <col min="2" max="2" width="3.85546875" style="167" customWidth="1"/>
    <col min="3" max="3" width="15.85546875" style="167" customWidth="1"/>
    <col min="4" max="4" width="35.85546875" style="167" customWidth="1"/>
    <col min="5" max="24" width="5.42578125" style="167" customWidth="1"/>
    <col min="25" max="27" width="7.42578125" style="167" customWidth="1"/>
    <col min="28" max="42" width="5.42578125" style="167" customWidth="1"/>
    <col min="43" max="45" width="7.42578125" style="167" customWidth="1"/>
    <col min="46" max="48" width="5.85546875" style="167" customWidth="1"/>
    <col min="49" max="51" width="6.85546875" style="167" customWidth="1"/>
    <col min="52" max="53" width="8.42578125" style="167" customWidth="1"/>
    <col min="54" max="54" width="5.85546875" style="167" customWidth="1"/>
    <col min="55" max="55" width="7.85546875" style="167" customWidth="1"/>
    <col min="56" max="59" width="12.85546875" style="167" customWidth="1"/>
    <col min="60" max="60" width="2.140625" style="167" customWidth="1"/>
    <col min="61" max="16384" width="8.85546875" style="167" customWidth="1"/>
  </cols>
  <sheetData>
    <row r="1" ht="9.95" customHeight="1" spans="1:1" x14ac:dyDescent="0.25">
      <c r="A1" s="167" t="s">
        <v>198</v>
      </c>
    </row>
    <row r="2" ht="27.95" customHeight="1" spans="2:59" x14ac:dyDescent="0.25">
      <c r="B2" s="260" t="str">
        <f>IF('Data Input'!$G$6="","",'Data Input'!$G$6)</f>
        <v>Naga</v>
      </c>
      <c r="C2" s="261"/>
      <c r="D2" s="262" t="str">
        <f>IF('Data Input'!$G$7="","",('Data Input'!$G$7))</f>
        <v>Senior High School (SHS)</v>
      </c>
      <c r="E2" s="263" t="str">
        <f>IF('Data Input'!$G$12="","",PROPER('Data Input'!$G$12))</f>
        <v>General Mathematics</v>
      </c>
      <c r="F2" s="264"/>
      <c r="G2" s="264"/>
      <c r="H2" s="264"/>
      <c r="I2" s="264"/>
      <c r="J2" s="264"/>
      <c r="K2" s="264"/>
      <c r="L2" s="264"/>
      <c r="M2" s="264"/>
      <c r="N2" s="264"/>
      <c r="O2" s="264"/>
      <c r="P2" s="264"/>
      <c r="Q2" s="264"/>
      <c r="R2" s="264"/>
      <c r="S2" s="264"/>
      <c r="T2" s="264"/>
      <c r="U2" s="264"/>
      <c r="V2" s="264"/>
      <c r="W2" s="264"/>
      <c r="X2" s="265"/>
      <c r="Y2" s="266">
        <f>IF('Data Input'!$G$14="","",UPPER('Data Input'!$G$14))</f>
      </c>
      <c r="Z2" s="264"/>
      <c r="AA2" s="267"/>
      <c r="AB2" s="260" t="str">
        <f>IF('Data Input'!$G$8="","",'Data Input'!$G$8)</f>
        <v>2026 - 2027</v>
      </c>
      <c r="AC2" s="261"/>
      <c r="AD2" s="261"/>
      <c r="AE2" s="268" t="str">
        <f>IF(OR('Data Input'!$G$11="",'Data Input'!$G$16=""),"",UPPER('Data Input'!$G$11&amp;" - "&amp;'Data Input'!$G$16))</f>
        <v>11 - BE/ICT</v>
      </c>
      <c r="AF2" s="261"/>
      <c r="AG2" s="261"/>
      <c r="AH2" s="269"/>
      <c r="AI2" s="268" t="str">
        <f>IF('Data Input'!$G$10="","",PROPER('Data Input'!$G$10))</f>
        <v>John Marq E. Ramos</v>
      </c>
      <c r="AJ2" s="261"/>
      <c r="AK2" s="261"/>
      <c r="AL2" s="261"/>
      <c r="AM2" s="261"/>
      <c r="AN2" s="261"/>
      <c r="AO2" s="261"/>
      <c r="AP2" s="261"/>
      <c r="AQ2" s="269"/>
      <c r="AR2" s="266">
        <f>IF('Data Input'!$G$17="","",'Data Input'!$G$17)</f>
        <v>201</v>
      </c>
      <c r="AS2" s="267"/>
      <c r="AT2" s="263" t="str">
        <f>IF('Data Input'!$G$18="","",PROPER('Data Input'!$G$18))</f>
        <v>Mon &amp; Fri</v>
      </c>
      <c r="AU2" s="264"/>
      <c r="AV2" s="264"/>
      <c r="AW2" s="265"/>
      <c r="AX2" s="264" t="str">
        <f>IF('Data Input'!$G$19="","",'Data Input'!$G$19)</f>
        <v>09:00 to 10:30 AM</v>
      </c>
      <c r="AY2" s="264"/>
      <c r="AZ2" s="264"/>
      <c r="BA2" s="264"/>
      <c r="BB2" s="270" t="s">
        <v>199</v>
      </c>
      <c r="BC2" s="271"/>
      <c r="BD2" s="272"/>
      <c r="BE2" s="271" t="s">
        <v>200</v>
      </c>
      <c r="BF2" s="271"/>
      <c r="BG2" s="273"/>
    </row>
    <row r="3" ht="15" customHeight="1" spans="2:59" x14ac:dyDescent="0.25">
      <c r="B3" s="274" t="s">
        <v>145</v>
      </c>
      <c r="C3" s="275"/>
      <c r="D3" s="276" t="s">
        <v>149</v>
      </c>
      <c r="E3" s="274" t="s">
        <v>161</v>
      </c>
      <c r="F3" s="275"/>
      <c r="G3" s="275"/>
      <c r="H3" s="275"/>
      <c r="I3" s="275"/>
      <c r="J3" s="275"/>
      <c r="K3" s="275"/>
      <c r="L3" s="275"/>
      <c r="M3" s="275"/>
      <c r="N3" s="275"/>
      <c r="O3" s="275"/>
      <c r="P3" s="275"/>
      <c r="Q3" s="275"/>
      <c r="R3" s="275"/>
      <c r="S3" s="275"/>
      <c r="T3" s="275"/>
      <c r="U3" s="275"/>
      <c r="V3" s="275"/>
      <c r="W3" s="275"/>
      <c r="X3" s="277"/>
      <c r="Y3" s="278" t="s">
        <v>165</v>
      </c>
      <c r="Z3" s="275"/>
      <c r="AA3" s="279"/>
      <c r="AB3" s="274" t="s">
        <v>152</v>
      </c>
      <c r="AC3" s="275"/>
      <c r="AD3" s="275"/>
      <c r="AE3" s="278" t="s">
        <v>201</v>
      </c>
      <c r="AF3" s="275"/>
      <c r="AG3" s="275"/>
      <c r="AH3" s="277"/>
      <c r="AI3" s="278" t="s">
        <v>156</v>
      </c>
      <c r="AJ3" s="275"/>
      <c r="AK3" s="275"/>
      <c r="AL3" s="275"/>
      <c r="AM3" s="275"/>
      <c r="AN3" s="275"/>
      <c r="AO3" s="275"/>
      <c r="AP3" s="275"/>
      <c r="AQ3" s="277"/>
      <c r="AR3" s="278" t="s">
        <v>171</v>
      </c>
      <c r="AS3" s="279"/>
      <c r="AT3" s="274" t="s">
        <v>173</v>
      </c>
      <c r="AU3" s="275"/>
      <c r="AV3" s="275"/>
      <c r="AW3" s="277"/>
      <c r="AX3" s="278" t="s">
        <v>176</v>
      </c>
      <c r="AY3" s="275"/>
      <c r="AZ3" s="275"/>
      <c r="BA3" s="275"/>
      <c r="BB3" s="280"/>
      <c r="BC3" s="281"/>
      <c r="BD3" s="282"/>
      <c r="BE3" s="283"/>
      <c r="BF3" s="283"/>
      <c r="BG3" s="284"/>
    </row>
    <row r="4" ht="30" customHeight="1" spans="2:59" x14ac:dyDescent="0.25">
      <c r="B4" s="285" t="s">
        <v>70</v>
      </c>
      <c r="C4" s="286"/>
      <c r="D4" s="287"/>
      <c r="E4" s="288" t="s">
        <v>28</v>
      </c>
      <c r="F4" s="288"/>
      <c r="G4" s="288"/>
      <c r="H4" s="288"/>
      <c r="I4" s="288"/>
      <c r="J4" s="288"/>
      <c r="K4" s="288"/>
      <c r="L4" s="288"/>
      <c r="M4" s="288"/>
      <c r="N4" s="288"/>
      <c r="O4" s="288"/>
      <c r="P4" s="288"/>
      <c r="Q4" s="288"/>
      <c r="R4" s="288"/>
      <c r="S4" s="288"/>
      <c r="T4" s="288"/>
      <c r="U4" s="289"/>
      <c r="V4" s="289"/>
      <c r="W4" s="289"/>
      <c r="X4" s="289"/>
      <c r="Y4" s="289"/>
      <c r="Z4" s="289"/>
      <c r="AA4" s="289"/>
      <c r="AB4" s="290" t="s">
        <v>202</v>
      </c>
      <c r="AC4" s="291"/>
      <c r="AD4" s="291"/>
      <c r="AE4" s="291"/>
      <c r="AF4" s="291"/>
      <c r="AG4" s="291"/>
      <c r="AH4" s="291"/>
      <c r="AI4" s="291"/>
      <c r="AJ4" s="291"/>
      <c r="AK4" s="291"/>
      <c r="AL4" s="291"/>
      <c r="AM4" s="291"/>
      <c r="AN4" s="291"/>
      <c r="AO4" s="289"/>
      <c r="AP4" s="289"/>
      <c r="AQ4" s="289"/>
      <c r="AR4" s="289"/>
      <c r="AS4" s="289"/>
      <c r="AT4" s="291" t="s">
        <v>203</v>
      </c>
      <c r="AU4" s="289"/>
      <c r="AV4" s="289"/>
      <c r="AW4" s="289"/>
      <c r="AX4" s="289"/>
      <c r="AY4" s="289"/>
      <c r="AZ4" s="289"/>
      <c r="BA4" s="292"/>
      <c r="BB4" s="293"/>
      <c r="BC4" s="294"/>
      <c r="BD4" s="295"/>
      <c r="BE4" s="296" t="s">
        <v>35</v>
      </c>
      <c r="BF4" s="297" t="s">
        <v>61</v>
      </c>
      <c r="BG4" s="298" t="s">
        <v>62</v>
      </c>
    </row>
    <row r="5" ht="18" customHeight="1" spans="2:59" x14ac:dyDescent="0.25">
      <c r="B5" s="299" t="s">
        <v>148</v>
      </c>
      <c r="C5" s="300"/>
      <c r="D5" s="301" t="s">
        <v>8</v>
      </c>
      <c r="E5" s="302">
        <v>1</v>
      </c>
      <c r="F5" s="303">
        <v>2</v>
      </c>
      <c r="G5" s="303">
        <v>3</v>
      </c>
      <c r="H5" s="303">
        <v>4</v>
      </c>
      <c r="I5" s="303">
        <v>5</v>
      </c>
      <c r="J5" s="303">
        <v>6</v>
      </c>
      <c r="K5" s="303">
        <v>7</v>
      </c>
      <c r="L5" s="303">
        <v>8</v>
      </c>
      <c r="M5" s="303">
        <v>9</v>
      </c>
      <c r="N5" s="303">
        <v>10</v>
      </c>
      <c r="O5" s="303">
        <v>11</v>
      </c>
      <c r="P5" s="303">
        <v>12</v>
      </c>
      <c r="Q5" s="303">
        <v>13</v>
      </c>
      <c r="R5" s="303">
        <v>14</v>
      </c>
      <c r="S5" s="303">
        <v>15</v>
      </c>
      <c r="T5" s="303">
        <v>16</v>
      </c>
      <c r="U5" s="303">
        <v>17</v>
      </c>
      <c r="V5" s="303">
        <v>18</v>
      </c>
      <c r="W5" s="303">
        <v>19</v>
      </c>
      <c r="X5" s="303">
        <v>20</v>
      </c>
      <c r="Y5" s="303" t="s">
        <v>29</v>
      </c>
      <c r="Z5" s="303" t="s">
        <v>30</v>
      </c>
      <c r="AA5" s="304" t="s">
        <v>31</v>
      </c>
      <c r="AB5" s="305">
        <v>1</v>
      </c>
      <c r="AC5" s="302">
        <v>2</v>
      </c>
      <c r="AD5" s="302">
        <v>3</v>
      </c>
      <c r="AE5" s="302">
        <v>4</v>
      </c>
      <c r="AF5" s="302">
        <v>5</v>
      </c>
      <c r="AG5" s="302">
        <v>6</v>
      </c>
      <c r="AH5" s="302">
        <v>7</v>
      </c>
      <c r="AI5" s="302">
        <v>8</v>
      </c>
      <c r="AJ5" s="302">
        <v>9</v>
      </c>
      <c r="AK5" s="302">
        <v>10</v>
      </c>
      <c r="AL5" s="302">
        <v>11</v>
      </c>
      <c r="AM5" s="302">
        <v>12</v>
      </c>
      <c r="AN5" s="302">
        <v>13</v>
      </c>
      <c r="AO5" s="303">
        <v>14</v>
      </c>
      <c r="AP5" s="303">
        <v>15</v>
      </c>
      <c r="AQ5" s="303" t="s">
        <v>29</v>
      </c>
      <c r="AR5" s="303" t="s">
        <v>30</v>
      </c>
      <c r="AS5" s="304" t="s">
        <v>31</v>
      </c>
      <c r="AT5" s="302" t="s">
        <v>204</v>
      </c>
      <c r="AU5" s="303" t="s">
        <v>205</v>
      </c>
      <c r="AV5" s="306" t="s">
        <v>206</v>
      </c>
      <c r="AW5" s="307" t="s">
        <v>207</v>
      </c>
      <c r="AX5" s="307" t="s">
        <v>208</v>
      </c>
      <c r="AY5" s="307" t="s">
        <v>209</v>
      </c>
      <c r="AZ5" s="307" t="s">
        <v>210</v>
      </c>
      <c r="BA5" s="308" t="s">
        <v>211</v>
      </c>
      <c r="BB5" s="309" t="s">
        <v>212</v>
      </c>
      <c r="BC5" s="310" t="s">
        <v>30</v>
      </c>
      <c r="BD5" s="311" t="s">
        <v>213</v>
      </c>
      <c r="BE5" s="312"/>
      <c r="BF5" s="313"/>
      <c r="BG5" s="314"/>
    </row>
    <row r="6" ht="18" customHeight="1" spans="2:59" x14ac:dyDescent="0.25">
      <c r="B6" s="315"/>
      <c r="C6" s="316"/>
      <c r="D6" s="317"/>
      <c r="E6" s="318">
        <v>20</v>
      </c>
      <c r="F6" s="319">
        <v>20</v>
      </c>
      <c r="G6" s="319">
        <v>10</v>
      </c>
      <c r="H6" s="319">
        <v>20</v>
      </c>
      <c r="I6" s="319"/>
      <c r="J6" s="319"/>
      <c r="K6" s="319"/>
      <c r="L6" s="319"/>
      <c r="M6" s="319"/>
      <c r="N6" s="319"/>
      <c r="O6" s="319"/>
      <c r="P6" s="319"/>
      <c r="Q6" s="319"/>
      <c r="R6" s="319"/>
      <c r="S6" s="319"/>
      <c r="T6" s="319"/>
      <c r="U6" s="319"/>
      <c r="V6" s="319"/>
      <c r="W6" s="319"/>
      <c r="X6" s="319"/>
      <c r="Y6" s="320">
        <f>IF(COUNT($E6:$X6)=0,"",SUM($E6:$X6))</f>
        <v>70</v>
      </c>
      <c r="Z6" s="320">
        <v>100</v>
      </c>
      <c r="AA6" s="321">
        <f>IF(OR('Data Input'!$H$25="",'Data Input'!$H$25=0%),"--",
 IF('Data Input'!$H$28&lt;&gt;100%,"Error",'Data Input'!$H$25))</f>
        <v>0.2</v>
      </c>
      <c r="AB6" s="322">
        <v>50</v>
      </c>
      <c r="AC6" s="318">
        <v>100</v>
      </c>
      <c r="AD6" s="318"/>
      <c r="AE6" s="318"/>
      <c r="AF6" s="318"/>
      <c r="AG6" s="318"/>
      <c r="AH6" s="318"/>
      <c r="AI6" s="318"/>
      <c r="AJ6" s="318"/>
      <c r="AK6" s="318"/>
      <c r="AL6" s="318"/>
      <c r="AM6" s="318"/>
      <c r="AN6" s="318"/>
      <c r="AO6" s="319"/>
      <c r="AP6" s="319"/>
      <c r="AQ6" s="320">
        <f>IF(COUNT($AB6:$AP6)=0,"",SUM($AB6:$AP6))</f>
        <v>150</v>
      </c>
      <c r="AR6" s="320">
        <v>100</v>
      </c>
      <c r="AS6" s="321">
        <f>IF(OR('Data Input'!$H$26="",'Data Input'!$H$26=0%),"--",
 IF('Data Input'!$H$28&lt;&gt;100%,"Error",'Data Input'!$H$26))</f>
        <v>0.5</v>
      </c>
      <c r="AT6" s="322">
        <v>45</v>
      </c>
      <c r="AU6" s="319">
        <v>45</v>
      </c>
      <c r="AV6" s="323">
        <v>100</v>
      </c>
      <c r="AW6" s="324"/>
      <c r="AX6" s="324"/>
      <c r="AY6" s="324"/>
      <c r="AZ6" s="324"/>
      <c r="BA6" s="325"/>
      <c r="BB6" s="326">
        <v>100</v>
      </c>
      <c r="BC6" s="320">
        <v>100</v>
      </c>
      <c r="BD6" s="327"/>
      <c r="BE6" s="312"/>
      <c r="BF6" s="313"/>
      <c r="BG6" s="314"/>
    </row>
    <row r="7" ht="18" customHeight="1" spans="2:59" x14ac:dyDescent="0.25">
      <c r="B7" s="315"/>
      <c r="C7" s="316"/>
      <c r="D7" s="317"/>
      <c r="E7" s="328"/>
      <c r="F7" s="329"/>
      <c r="G7" s="329"/>
      <c r="H7" s="329"/>
      <c r="I7" s="329"/>
      <c r="J7" s="329"/>
      <c r="K7" s="329"/>
      <c r="L7" s="329"/>
      <c r="M7" s="329"/>
      <c r="N7" s="329"/>
      <c r="O7" s="329"/>
      <c r="P7" s="329"/>
      <c r="Q7" s="329"/>
      <c r="R7" s="329"/>
      <c r="S7" s="329"/>
      <c r="T7" s="329"/>
      <c r="U7" s="329"/>
      <c r="V7" s="329"/>
      <c r="W7" s="329"/>
      <c r="X7" s="329"/>
      <c r="Y7" s="330"/>
      <c r="Z7" s="330"/>
      <c r="AA7" s="331"/>
      <c r="AB7" s="332">
        <v>46242</v>
      </c>
      <c r="AC7" s="329">
        <v>46243</v>
      </c>
      <c r="AD7" s="329"/>
      <c r="AE7" s="329"/>
      <c r="AF7" s="329"/>
      <c r="AG7" s="329"/>
      <c r="AH7" s="329"/>
      <c r="AI7" s="329"/>
      <c r="AJ7" s="329"/>
      <c r="AK7" s="329"/>
      <c r="AL7" s="329"/>
      <c r="AM7" s="329"/>
      <c r="AN7" s="329"/>
      <c r="AO7" s="329"/>
      <c r="AP7" s="329"/>
      <c r="AQ7" s="330"/>
      <c r="AR7" s="330"/>
      <c r="AS7" s="331"/>
      <c r="AT7" s="333"/>
      <c r="AU7" s="334"/>
      <c r="AV7" s="335"/>
      <c r="AW7" s="336">
        <v>0.3</v>
      </c>
      <c r="AX7" s="336">
        <v>0.3</v>
      </c>
      <c r="AY7" s="336">
        <v>0.4</v>
      </c>
      <c r="AZ7" s="337">
        <v>100</v>
      </c>
      <c r="BA7" s="338">
        <f>IF(OR('Data Input'!$H$27="",'Data Input'!$H$27=0%),"--",
 IF('Data Input'!$H$28&lt;&gt;100%,"Error",'Data Input'!$H$27))</f>
        <v>0.3</v>
      </c>
      <c r="BB7" s="326"/>
      <c r="BC7" s="330"/>
      <c r="BD7" s="327"/>
      <c r="BE7" s="312"/>
      <c r="BF7" s="313"/>
      <c r="BG7" s="314"/>
    </row>
    <row r="8" ht="18" customHeight="1" spans="2:59" x14ac:dyDescent="0.25">
      <c r="B8" s="339"/>
      <c r="C8" s="340"/>
      <c r="D8" s="341"/>
      <c r="E8" s="342" t="s">
        <v>13</v>
      </c>
      <c r="F8" s="343" t="s">
        <v>50</v>
      </c>
      <c r="G8" s="343" t="s">
        <v>51</v>
      </c>
      <c r="H8" s="343" t="s">
        <v>52</v>
      </c>
      <c r="I8" s="343"/>
      <c r="J8" s="343"/>
      <c r="K8" s="343"/>
      <c r="L8" s="343"/>
      <c r="M8" s="343"/>
      <c r="N8" s="343"/>
      <c r="O8" s="343"/>
      <c r="P8" s="343"/>
      <c r="Q8" s="343"/>
      <c r="R8" s="343"/>
      <c r="S8" s="343"/>
      <c r="T8" s="343"/>
      <c r="U8" s="343"/>
      <c r="V8" s="343"/>
      <c r="W8" s="343"/>
      <c r="X8" s="343"/>
      <c r="Y8" s="344"/>
      <c r="Z8" s="344"/>
      <c r="AA8" s="345"/>
      <c r="AB8" s="346" t="s">
        <v>214</v>
      </c>
      <c r="AC8" s="343" t="s">
        <v>11</v>
      </c>
      <c r="AD8" s="343"/>
      <c r="AE8" s="343"/>
      <c r="AF8" s="343"/>
      <c r="AG8" s="343"/>
      <c r="AH8" s="343"/>
      <c r="AI8" s="343"/>
      <c r="AJ8" s="343"/>
      <c r="AK8" s="343"/>
      <c r="AL8" s="343"/>
      <c r="AM8" s="343"/>
      <c r="AN8" s="343"/>
      <c r="AO8" s="343"/>
      <c r="AP8" s="343"/>
      <c r="AQ8" s="344"/>
      <c r="AR8" s="344"/>
      <c r="AS8" s="345"/>
      <c r="AT8" s="342">
        <v>46247</v>
      </c>
      <c r="AU8" s="343">
        <v>46248</v>
      </c>
      <c r="AV8" s="347">
        <v>46249</v>
      </c>
      <c r="AW8" s="348"/>
      <c r="AX8" s="348"/>
      <c r="AY8" s="348"/>
      <c r="AZ8" s="349"/>
      <c r="BA8" s="350"/>
      <c r="BB8" s="351">
        <v>46250</v>
      </c>
      <c r="BC8" s="344"/>
      <c r="BD8" s="352"/>
      <c r="BE8" s="353"/>
      <c r="BF8" s="354"/>
      <c r="BG8" s="355"/>
    </row>
    <row r="9" ht="15.95" customHeight="1" spans="2:59" x14ac:dyDescent="0.25">
      <c r="B9" s="356">
        <v>1</v>
      </c>
      <c r="C9" s="357">
        <f>IF('Data Input'!M7="","",'Data Input'!M7)</f>
        <v>2000498439</v>
      </c>
      <c r="D9" s="358" t="str">
        <f>IF(ISBLANK('Data Input'!N7),"",PROPER('Data Input'!N7))</f>
        <v>Abendante, Carl Yuan</v>
      </c>
      <c r="E9" s="359">
        <v>9</v>
      </c>
      <c r="F9" s="359">
        <v>13</v>
      </c>
      <c r="G9" s="359">
        <v>6</v>
      </c>
      <c r="H9" s="359">
        <v>20</v>
      </c>
      <c r="I9" s="359"/>
      <c r="J9" s="359"/>
      <c r="K9" s="359"/>
      <c r="L9" s="359"/>
      <c r="M9" s="359"/>
      <c r="N9" s="359"/>
      <c r="O9" s="359"/>
      <c r="P9" s="359"/>
      <c r="Q9" s="359"/>
      <c r="R9" s="359"/>
      <c r="S9" s="359"/>
      <c r="T9" s="359"/>
      <c r="U9" s="360"/>
      <c r="V9" s="360"/>
      <c r="W9" s="360"/>
      <c r="X9" s="360"/>
      <c r="Y9" s="36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48</v>
      </c>
      <c r="Z9" s="362">
        <f>IF(D9="","",IF(Y9="Error","Error",IFERROR((Y9/$Y$6*$Z$6),"")))</f>
        <v>68.57142857142857</v>
      </c>
      <c r="AA9" s="363">
        <f>IFERROR(IF(D9="","",IF(Z9="Error","Error",(Z9*$AA$6))),"")</f>
        <v>13.714285714285715</v>
      </c>
      <c r="AB9" s="364">
        <v>45</v>
      </c>
      <c r="AC9" s="359">
        <v>90</v>
      </c>
      <c r="AD9" s="359"/>
      <c r="AE9" s="359"/>
      <c r="AF9" s="359"/>
      <c r="AG9" s="359"/>
      <c r="AH9" s="359"/>
      <c r="AI9" s="359"/>
      <c r="AJ9" s="365"/>
      <c r="AK9" s="366"/>
      <c r="AL9" s="359"/>
      <c r="AM9" s="359"/>
      <c r="AN9" s="359"/>
      <c r="AO9" s="360"/>
      <c r="AP9" s="360"/>
      <c r="AQ9" s="36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9" s="362">
        <f>IF(D9="","",IF(AQ9="Error","Error",IFERROR((AQ9/$AQ$6*$AR$6),"")))</f>
        <v>90</v>
      </c>
      <c r="AS9" s="363">
        <f>IFERROR(IF(D9="","",IF(AR9="Error","Error",(AR9*$AS$6))),"")</f>
        <v>45</v>
      </c>
      <c r="AT9" s="359">
        <v>39</v>
      </c>
      <c r="AU9" s="360">
        <v>32</v>
      </c>
      <c r="AV9" s="367">
        <v>79</v>
      </c>
      <c r="AW9" s="362">
        <f>IF(OR(D9="",AT9=""),"",
 IF($AT$6=0,"Error",
 IF(OR(AND($AT$6="",AT9&lt;&gt;""),
 ISTEXT($AT$6),
 ISTEXT(AT9),
 ISLOGICAL($AT$6),
 ISLOGICAL(AT9),
 ISERROR($AT$6),
 ISERROR(AT9)),"Error",
 IF(AT9&gt;$AT$6,"Error",
 IF($AT$6=0,"",AT9/$AT$6*$AZ$7*$AW$7)))))</f>
        <v>26</v>
      </c>
      <c r="AX9" s="362">
        <f>IF(OR(D9="",AU9=""),"",
 IF($AU$6=0,"Error",
 IF(OR(AND($AU$6="",AU9&lt;&gt;""),
 ISTEXT($AU$6),
 ISTEXT(AU9),
 ISLOGICAL($AU$6),
 ISLOGICAL(AU9),
 ISERROR($AU$6),
 ISERROR(AU9)),"Error",
 IF(AU9&gt;$AU$6,"Error",
 IF($AU$6=0,"",AU9/$AU$6*$AZ$7*$AX$7)))))</f>
        <v>21.333333333333332</v>
      </c>
      <c r="AY9" s="362">
        <f>IF(OR(D9="",AV9=""),"",
 IF($AV$6=0,"Error",
 IF(OR(AND($AV$6="",AV9&lt;&gt;""),
 ISTEXT($AV$6),
 ISTEXT(AV9),
 ISLOGICAL($AV$6),
 ISLOGICAL(AV9),
 ISERROR($AV$6),
 ISERROR(AV9)),"Error",
 IF(AV9&gt;$AV$6,"Error",
 IF($AV$6=0,"",AV9/$AV$6*$AZ$7*$AY$7)))))</f>
        <v>31.6</v>
      </c>
      <c r="AZ9" s="362">
        <f>IF(D9="","",IF(COUNTIF(AW9:AY9,"Error")&gt;0,"Error",IFERROR(IF(COUNT(AW9:AY9)=0,"",SUM(AW9:AY9)),"")))</f>
        <v>78.93333333333334</v>
      </c>
      <c r="BA9" s="368">
        <f>IFERROR(IF(D9="","",IF(AZ9="Error","Error",(AZ9*$BA$7))),"")</f>
        <v>23.68</v>
      </c>
      <c r="BB9" s="369"/>
      <c r="BC9" s="370">
        <f t="shared" ref="BC9:BC40" si="0">IF(OR(D9="",BB9=""),"",IF(BB9="Error","Error",IFERROR((BB9/$BB$6*$BC$6),"")))</f>
      </c>
      <c r="BD9" s="371">
        <f>IF(AND(AY9="",BB9&lt;&gt;""),"Error",IF(BB9="","",IF(BB9&gt;$BB$6,"Error",IF(BC9&gt;=75,"Passed","Failed"))))</f>
      </c>
      <c r="BE9" s="372">
        <f>_xlfn.LET(
_xlpm.total,ROUND((N(AA9)+N(AS9)+N(BA9)),2),
IF(OR(AA9="Error",AS9="Error",BA9="Error",BD9="Error"),"Error",
IF(AND(AA9="",AS9="",BA9=""),"",
IF(_xlpm.total&gt;=70,_xlpm.total,IF(BD9="Passed",70,_xlpm.total)))))</f>
        <v>82.39</v>
      </c>
      <c r="BF9" s="373">
        <f>IF(OR(AA9="Error",AS9="Error",BA9="Error",BD9="Error"),"Error",
 IF(D9="","",
 IF(AND(N($AA$6)+N($AS$6)+N($BA$7)=100%,
 OR(N($AA$6)=0,AA9&lt;&gt;""),OR(N($AS$6)=0,AS9&lt;&gt;""),OR(N($BA$7)=0,BA9&lt;&gt;""),BE9&lt;&gt;""),
 _xlfn.XLOOKUP(BE9,'Helper 1'!$B$3:$B$43,'Helper 1'!$D$3:$D$43,,-1),"")))</f>
        <v>85</v>
      </c>
      <c r="BG9" s="374" t="str">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ht="15.95" customHeight="1" spans="2:59" x14ac:dyDescent="0.25">
      <c r="B10" s="305">
        <v>2</v>
      </c>
      <c r="C10" s="375">
        <f>IF('Data Input'!M8="","",'Data Input'!M8)</f>
        <v>2000483599</v>
      </c>
      <c r="D10" s="376" t="str">
        <f>IF(ISBLANK('Data Input'!N8),"",PROPER('Data Input'!N8))</f>
        <v>Acala, Aji Rheyacelle</v>
      </c>
      <c r="E10" s="377">
        <v>3</v>
      </c>
      <c r="F10" s="377">
        <v>9</v>
      </c>
      <c r="G10" s="377">
        <v>4</v>
      </c>
      <c r="H10" s="377">
        <v>20</v>
      </c>
      <c r="I10" s="377"/>
      <c r="J10" s="377"/>
      <c r="K10" s="377"/>
      <c r="L10" s="377"/>
      <c r="M10" s="377"/>
      <c r="N10" s="377"/>
      <c r="O10" s="377"/>
      <c r="P10" s="377"/>
      <c r="Q10" s="377"/>
      <c r="R10" s="377"/>
      <c r="S10" s="377"/>
      <c r="T10" s="377"/>
      <c r="U10" s="378"/>
      <c r="V10" s="378"/>
      <c r="W10" s="378"/>
      <c r="X10" s="378"/>
      <c r="Y10" s="36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36</v>
      </c>
      <c r="Z10" s="362">
        <f t="shared" ref="Z10:Z68" si="1">IF(D10="","",IF(Y10="Error","Error",IFERROR((Y10/$Y$6*$Z$6),"")))</f>
        <v>51.42857142857142</v>
      </c>
      <c r="AA10" s="363">
        <f t="shared" ref="AA10:AA68" si="2">IFERROR(IF(D10="","",IF(Z10="Error","Error",(Z10*$AA$6))),"")</f>
        <v>10.285714285714285</v>
      </c>
      <c r="AB10" s="379">
        <v>50</v>
      </c>
      <c r="AC10" s="377">
        <v>88</v>
      </c>
      <c r="AD10" s="377"/>
      <c r="AE10" s="377"/>
      <c r="AF10" s="377"/>
      <c r="AG10" s="377"/>
      <c r="AH10" s="377"/>
      <c r="AI10" s="377"/>
      <c r="AJ10" s="380"/>
      <c r="AK10" s="378"/>
      <c r="AL10" s="377"/>
      <c r="AM10" s="377"/>
      <c r="AN10" s="377"/>
      <c r="AO10" s="378"/>
      <c r="AP10" s="378"/>
      <c r="AQ10" s="216">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0" s="381">
        <f t="shared" ref="AR10:AR68" si="3">IF(D10="","",IF(AQ10="Error","Error",IFERROR((AQ10/$AQ$6*$AR$6),"")))</f>
        <v>92</v>
      </c>
      <c r="AS10" s="382">
        <f t="shared" ref="AS10:AS68" si="4">IFERROR(IF(D10="","",IF(AR10="Error","Error",(AR10*$AS$6))),"")</f>
        <v>46</v>
      </c>
      <c r="AT10" s="377">
        <v>35</v>
      </c>
      <c r="AU10" s="378">
        <v>38</v>
      </c>
      <c r="AV10" s="383">
        <v>65</v>
      </c>
      <c r="AW10" s="362">
        <f t="shared" ref="AW10:AW68" si="5">IF(OR(D10="",AT10=""),"",
 IF($AT$6=0,"Error",
 IF(OR(AND($AT$6="",AT10&lt;&gt;""),
 ISTEXT($AT$6),
 ISTEXT(AT10),
 ISLOGICAL($AT$6),
 ISLOGICAL(AT10),
 ISERROR($AT$6),
 ISERROR(AT10)),"Error",
 IF(AT10&gt;$AT$6,"Error",
 IF($AT$6=0,"",AT10/$AT$6*$AZ$7*$AW$7)))))</f>
        <v>23.333333333333336</v>
      </c>
      <c r="AX10" s="362">
        <f t="shared" ref="AX10:AX68" si="6">IF(OR(D10="",AU10=""),"",
 IF($AU$6=0,"Error",
 IF(OR(AND($AU$6="",AU10&lt;&gt;""),
 ISTEXT($AU$6),
 ISTEXT(AU10),
 ISLOGICAL($AU$6),
 ISLOGICAL(AU10),
 ISERROR($AU$6),
 ISERROR(AU10)),"Error",
 IF(AU10&gt;$AU$6,"Error",
 IF($AU$6=0,"",AU10/$AU$6*$AZ$7*$AX$7)))))</f>
        <v>25.333333333333332</v>
      </c>
      <c r="AY10" s="362">
        <f t="shared" ref="AY10:AY68" si="7">IF(OR(D10="",AV10=""),"",
 IF($AV$6=0,"Error",
 IF(OR(AND($AV$6="",AV10&lt;&gt;""),
 ISTEXT($AV$6),
 ISTEXT(AV10),
 ISLOGICAL($AV$6),
 ISLOGICAL(AV10),
 ISERROR($AV$6),
 ISERROR(AV10)),"Error",
 IF(AV10&gt;$AV$6,"Error",
 IF($AV$6=0,"",AV10/$AV$6*$AZ$7*$AY$7)))))</f>
        <v>26</v>
      </c>
      <c r="AZ10" s="381">
        <f t="shared" ref="AZ10:AZ68" si="8">IF(D10="","",IF(COUNTIF(AW10:AY10,"Error")&gt;0,"Error",IFERROR(IF(COUNT(AW10:AY10)=0,"",SUM(AW10:AY10)),"")))</f>
        <v>74.66666666666667</v>
      </c>
      <c r="BA10" s="384">
        <f t="shared" ref="BA10:BA68" si="9">IFERROR(IF(D10="","",IF(AZ10="Error","Error",(AZ10*$BA$7))),"")</f>
        <v>22.400000000000002</v>
      </c>
      <c r="BB10" s="385"/>
      <c r="BC10" s="362">
        <f t="shared" si="0"/>
      </c>
      <c r="BD10" s="386">
        <f t="shared" ref="BD10:BD68" si="10">IF(AND(AY10="",BB10&lt;&gt;""),"Error",IF(BB10="","",IF(BB10&gt;$BB$6,"Error",IF(BC10&gt;=75,"Passed","Failed"))))</f>
      </c>
      <c r="BE10" s="372">
        <f t="shared" ref="BE10:BE68" si="11">_xlfn.LET(
_xlpm.total,ROUND((N(AA10)+N(AS10)+N(BA10)),2),
IF(OR(AA10="Error",AS10="Error",BA10="Error",BD10="Error"),"Error",
IF(AND(AA10="",AS10="",BA10=""),"",
IF(_xlpm.total&gt;=70,_xlpm.total,IF(BD10="Passed",70,_xlpm.total)))))</f>
        <v>78.69</v>
      </c>
      <c r="BF10" s="373">
        <f>IF(OR(AA10="Error",AS10="Error",BA10="Error",BD10="Error"),"Error",
 IF(D10="","",
 IF(AND(N($AA$6)+N($AS$6)+N($BA$7)=100%,
 OR(N($AA$6)=0,AA10&lt;&gt;""),OR(N($AS$6)=0,AS10&lt;&gt;""),OR(N($BA$7)=0,BA10&lt;&gt;""),BE10&lt;&gt;""),
 _xlfn.XLOOKUP(BE10,'Helper 1'!$B$3:$B$43,'Helper 1'!$D$3:$D$43,,-1),"")))</f>
        <v>82</v>
      </c>
      <c r="BG10" s="374" t="str">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1" ht="15.95" customHeight="1" spans="2:61" x14ac:dyDescent="0.25">
      <c r="B11" s="305">
        <v>3</v>
      </c>
      <c r="C11" s="375">
        <f>IF('Data Input'!M9="","",'Data Input'!M9)</f>
        <v>2000480423</v>
      </c>
      <c r="D11" s="376" t="str">
        <f>IF(ISBLANK('Data Input'!N9),"",PROPER('Data Input'!N9))</f>
        <v>Baer, Shania Pearl</v>
      </c>
      <c r="E11" s="377">
        <v>14</v>
      </c>
      <c r="F11" s="377">
        <v>12</v>
      </c>
      <c r="G11" s="377">
        <v>7</v>
      </c>
      <c r="H11" s="377">
        <v>20</v>
      </c>
      <c r="I11" s="377"/>
      <c r="J11" s="377"/>
      <c r="K11" s="377"/>
      <c r="L11" s="377"/>
      <c r="M11" s="377"/>
      <c r="N11" s="377"/>
      <c r="O11" s="377"/>
      <c r="P11" s="377"/>
      <c r="Q11" s="377"/>
      <c r="R11" s="377"/>
      <c r="S11" s="377"/>
      <c r="T11" s="377"/>
      <c r="U11" s="378"/>
      <c r="V11" s="378"/>
      <c r="W11" s="378"/>
      <c r="X11" s="378"/>
      <c r="Y11" s="36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53</v>
      </c>
      <c r="Z11" s="362">
        <f t="shared" si="1"/>
        <v>75.71428571428571</v>
      </c>
      <c r="AA11" s="363">
        <f t="shared" si="2"/>
        <v>15.142857142857142</v>
      </c>
      <c r="AB11" s="379">
        <v>50</v>
      </c>
      <c r="AC11" s="377">
        <v>88</v>
      </c>
      <c r="AD11" s="377"/>
      <c r="AE11" s="377"/>
      <c r="AF11" s="377"/>
      <c r="AG11" s="377"/>
      <c r="AH11" s="377"/>
      <c r="AI11" s="377"/>
      <c r="AJ11" s="380"/>
      <c r="AK11" s="378"/>
      <c r="AL11" s="377"/>
      <c r="AM11" s="377"/>
      <c r="AN11" s="377"/>
      <c r="AO11" s="378"/>
      <c r="AP11" s="378"/>
      <c r="AQ11" s="216">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1" s="381">
        <f t="shared" si="3"/>
        <v>92</v>
      </c>
      <c r="AS11" s="382">
        <f t="shared" si="4"/>
        <v>46</v>
      </c>
      <c r="AT11" s="377">
        <v>38</v>
      </c>
      <c r="AU11" s="378">
        <v>37</v>
      </c>
      <c r="AV11" s="383">
        <v>50</v>
      </c>
      <c r="AW11" s="362">
        <f t="shared" si="5"/>
        <v>25.333333333333332</v>
      </c>
      <c r="AX11" s="362">
        <f t="shared" si="6"/>
        <v>24.666666666666664</v>
      </c>
      <c r="AY11" s="362">
        <f t="shared" si="7"/>
        <v>20</v>
      </c>
      <c r="AZ11" s="381">
        <f t="shared" si="8"/>
        <v>70</v>
      </c>
      <c r="BA11" s="384">
        <f t="shared" si="9"/>
        <v>21</v>
      </c>
      <c r="BB11" s="385"/>
      <c r="BC11" s="362">
        <f t="shared" si="0"/>
      </c>
      <c r="BD11" s="386">
        <f t="shared" si="10"/>
      </c>
      <c r="BE11" s="372">
        <f t="shared" si="11"/>
        <v>82.14</v>
      </c>
      <c r="BF11" s="373">
        <f>IF(OR(AA11="Error",AS11="Error",BA11="Error",BD11="Error"),"Error",
 IF(D11="","",
 IF(AND(N($AA$6)+N($AS$6)+N($BA$7)=100%,
 OR(N($AA$6)=0,AA11&lt;&gt;""),OR(N($AS$6)=0,AS11&lt;&gt;""),OR(N($BA$7)=0,BA11&lt;&gt;""),BE11&lt;&gt;""),
 _xlfn.XLOOKUP(BE11,'Helper 1'!$B$3:$B$43,'Helper 1'!$D$3:$D$43,,-1),"")))</f>
        <v>85</v>
      </c>
      <c r="BG11" s="374" t="str">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c r="BI11" s="167"/>
    </row>
    <row r="12" ht="15.95" customHeight="1" spans="2:61" x14ac:dyDescent="0.25">
      <c r="B12" s="305">
        <v>4</v>
      </c>
      <c r="C12" s="375">
        <f>IF('Data Input'!M10="","",'Data Input'!M10)</f>
        <v>2000487858</v>
      </c>
      <c r="D12" s="376" t="str">
        <f>IF(ISBLANK('Data Input'!N10),"",PROPER('Data Input'!N10))</f>
        <v>Bagaporo, Ryeanna Mheryl</v>
      </c>
      <c r="E12" s="377">
        <v>1</v>
      </c>
      <c r="F12" s="377">
        <v>11</v>
      </c>
      <c r="G12" s="377">
        <v>3</v>
      </c>
      <c r="H12" s="377">
        <v>20</v>
      </c>
      <c r="I12" s="377"/>
      <c r="J12" s="377"/>
      <c r="K12" s="377"/>
      <c r="L12" s="377"/>
      <c r="M12" s="377"/>
      <c r="N12" s="377"/>
      <c r="O12" s="377"/>
      <c r="P12" s="377"/>
      <c r="Q12" s="377"/>
      <c r="R12" s="377"/>
      <c r="S12" s="377"/>
      <c r="T12" s="377"/>
      <c r="U12" s="378"/>
      <c r="V12" s="378"/>
      <c r="W12" s="378"/>
      <c r="X12" s="378"/>
      <c r="Y12" s="36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12" s="362">
        <f t="shared" si="1"/>
        <v>50</v>
      </c>
      <c r="AA12" s="363">
        <f t="shared" si="2"/>
        <v>10</v>
      </c>
      <c r="AB12" s="379">
        <v>47</v>
      </c>
      <c r="AC12" s="377">
        <v>88</v>
      </c>
      <c r="AD12" s="377"/>
      <c r="AE12" s="377"/>
      <c r="AF12" s="377"/>
      <c r="AG12" s="377"/>
      <c r="AH12" s="377"/>
      <c r="AI12" s="377"/>
      <c r="AJ12" s="380"/>
      <c r="AK12" s="378"/>
      <c r="AL12" s="377"/>
      <c r="AM12" s="377"/>
      <c r="AN12" s="377"/>
      <c r="AO12" s="378"/>
      <c r="AP12" s="378"/>
      <c r="AQ12" s="216">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2" s="381">
        <f t="shared" si="3"/>
        <v>90</v>
      </c>
      <c r="AS12" s="382">
        <f t="shared" si="4"/>
        <v>45</v>
      </c>
      <c r="AT12" s="377">
        <v>26</v>
      </c>
      <c r="AU12" s="378">
        <v>31</v>
      </c>
      <c r="AV12" s="383">
        <v>37</v>
      </c>
      <c r="AW12" s="362">
        <f t="shared" si="5"/>
        <v>17.333333333333332</v>
      </c>
      <c r="AX12" s="362">
        <f t="shared" si="6"/>
        <v>20.666666666666664</v>
      </c>
      <c r="AY12" s="362">
        <f t="shared" si="7"/>
        <v>14.8</v>
      </c>
      <c r="AZ12" s="381">
        <f t="shared" si="8"/>
        <v>52.8</v>
      </c>
      <c r="BA12" s="384">
        <f t="shared" si="9"/>
        <v>15.839999999999998</v>
      </c>
      <c r="BB12" s="385"/>
      <c r="BC12" s="362">
        <f t="shared" si="0"/>
      </c>
      <c r="BD12" s="386">
        <f t="shared" si="10"/>
      </c>
      <c r="BE12" s="372">
        <f t="shared" si="11"/>
        <v>70.84</v>
      </c>
      <c r="BF12" s="373">
        <f>IF(OR(AA12="Error",AS12="Error",BA12="Error",BD12="Error"),"Error",
 IF(D12="","",
 IF(AND(N($AA$6)+N($AS$6)+N($BA$7)=100%,
 OR(N($AA$6)=0,AA12&lt;&gt;""),OR(N($AS$6)=0,AS12&lt;&gt;""),OR(N($BA$7)=0,BA12&lt;&gt;""),BE12&lt;&gt;""),
 _xlfn.XLOOKUP(BE12,'Helper 1'!$B$3:$B$43,'Helper 1'!$D$3:$D$43,,-1),"")))</f>
        <v>75</v>
      </c>
      <c r="BG12" s="374" t="str">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c r="BI12" s="167"/>
    </row>
    <row r="13" ht="15.95" customHeight="1" spans="2:59" x14ac:dyDescent="0.25">
      <c r="B13" s="305">
        <v>5</v>
      </c>
      <c r="C13" s="375">
        <f>IF('Data Input'!M11="","",'Data Input'!M11)</f>
        <v>2000497598</v>
      </c>
      <c r="D13" s="376" t="str">
        <f>IF(ISBLANK('Data Input'!N11),"",PROPER('Data Input'!N11))</f>
        <v>Belarmino, Easean</v>
      </c>
      <c r="E13" s="377">
        <v>2</v>
      </c>
      <c r="F13" s="377">
        <v>10</v>
      </c>
      <c r="G13" s="377">
        <v>5</v>
      </c>
      <c r="H13" s="377">
        <v>20</v>
      </c>
      <c r="I13" s="377"/>
      <c r="J13" s="377"/>
      <c r="K13" s="377"/>
      <c r="L13" s="377"/>
      <c r="M13" s="377"/>
      <c r="N13" s="377"/>
      <c r="O13" s="377"/>
      <c r="P13" s="377"/>
      <c r="Q13" s="377"/>
      <c r="R13" s="377"/>
      <c r="S13" s="377"/>
      <c r="T13" s="377"/>
      <c r="U13" s="378"/>
      <c r="V13" s="378"/>
      <c r="W13" s="378"/>
      <c r="X13" s="378"/>
      <c r="Y13" s="36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37</v>
      </c>
      <c r="Z13" s="362">
        <f t="shared" si="1"/>
        <v>52.85714285714286</v>
      </c>
      <c r="AA13" s="363">
        <f t="shared" si="2"/>
        <v>10.571428571428573</v>
      </c>
      <c r="AB13" s="379">
        <v>50</v>
      </c>
      <c r="AC13" s="377">
        <v>92</v>
      </c>
      <c r="AD13" s="377"/>
      <c r="AE13" s="377"/>
      <c r="AF13" s="377"/>
      <c r="AG13" s="377"/>
      <c r="AH13" s="377"/>
      <c r="AI13" s="377"/>
      <c r="AJ13" s="380"/>
      <c r="AK13" s="378"/>
      <c r="AL13" s="377"/>
      <c r="AM13" s="377"/>
      <c r="AN13" s="377"/>
      <c r="AO13" s="378"/>
      <c r="AP13" s="378"/>
      <c r="AQ13" s="216">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142</v>
      </c>
      <c r="AR13" s="381">
        <f t="shared" si="3"/>
        <v>94.66666666666667</v>
      </c>
      <c r="AS13" s="382">
        <f t="shared" si="4"/>
        <v>47.333333333333336</v>
      </c>
      <c r="AT13" s="377">
        <v>43</v>
      </c>
      <c r="AU13" s="378">
        <v>37</v>
      </c>
      <c r="AV13" s="383"/>
      <c r="AW13" s="362">
        <f>IF(OR(D13="",AT13=""),"",
 IF($AT$6=0,"Error",
 IF(OR(AND($AT$6="",AT13&lt;&gt;""),
 ISTEXT($AT$6),
 ISTEXT(AT13),
 ISLOGICAL($AT$6),
 ISLOGICAL(AT13),
 ISERROR($AT$6),
 ISERROR(AT13)),"Error",
 IF(AT13&gt;$AT$6,"Error",
 IF($AT$6=0,"",AT13/$AT$6*$AZ$7*$AW$7)))))</f>
        <v>28.666666666666668</v>
      </c>
      <c r="AX13" s="362">
        <f>IF(OR(D13="",AU13=""),"",
 IF($AU$6=0,"Error",
 IF(OR(AND($AU$6="",AU13&lt;&gt;""),
 ISTEXT($AU$6),
 ISTEXT(AU13),
 ISLOGICAL($AU$6),
 ISLOGICAL(AU13),
 ISERROR($AU$6),
 ISERROR(AU13)),"Error",
 IF(AU13&gt;$AU$6,"Error",
 IF($AU$6=0,"",AU13/$AU$6*$AZ$7*$AX$7)))))</f>
        <v>24.666666666666664</v>
      </c>
      <c r="AY13" s="362">
        <f>IF(OR(D13="",AV13=""),"",
 IF($AV$6=0,"Error",
 IF(OR(AND($AV$6="",AV13&lt;&gt;""),
 ISTEXT($AV$6),
 ISTEXT(AV13),
 ISLOGICAL($AV$6),
 ISLOGICAL(AV13),
 ISERROR($AV$6),
 ISERROR(AV13)),"Error",
 IF(AV13&gt;$AV$6,"Error",
 IF($AV$6=0,"",AV13/$AV$6*$AZ$7*$AY$7)))))</f>
      </c>
      <c r="AZ13" s="381">
        <f t="shared" si="8"/>
        <v>53.33333333333333</v>
      </c>
      <c r="BA13" s="384">
        <f t="shared" si="9"/>
        <v>15.999999999999998</v>
      </c>
      <c r="BB13" s="385"/>
      <c r="BC13" s="362">
        <f t="shared" si="0"/>
      </c>
      <c r="BD13" s="386">
        <f t="shared" si="10"/>
      </c>
      <c r="BE13" s="372">
        <f t="shared" si="11"/>
        <v>73.9</v>
      </c>
      <c r="BF13" s="373">
        <f>IF(OR(AA13="Error",AS13="Error",BA13="Error",BD13="Error"),"Error",
 IF(D13="","",
 IF(AND(N($AA$6)+N($AS$6)+N($BA$7)=100%,
 OR(N($AA$6)=0,AA13&lt;&gt;""),OR(N($AS$6)=0,AS13&lt;&gt;""),OR(N($BA$7)=0,BA13&lt;&gt;""),BE13&lt;&gt;""),
 _xlfn.XLOOKUP(BE13,'Helper 1'!$B$3:$B$43,'Helper 1'!$D$3:$D$43,,-1),"")))</f>
        <v>78</v>
      </c>
      <c r="BG13" s="374">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4" ht="15.95" customHeight="1" spans="2:59" x14ac:dyDescent="0.25">
      <c r="B14" s="305">
        <v>6</v>
      </c>
      <c r="C14" s="375">
        <f>IF('Data Input'!M12="","",'Data Input'!M12)</f>
        <v>2000504370</v>
      </c>
      <c r="D14" s="376" t="str">
        <f>IF(ISBLANK('Data Input'!N12),"",PROPER('Data Input'!N12))</f>
        <v>Borja, Greedy</v>
      </c>
      <c r="E14" s="377">
        <v>16</v>
      </c>
      <c r="F14" s="377">
        <v>12</v>
      </c>
      <c r="G14" s="377">
        <v>6</v>
      </c>
      <c r="H14" s="377">
        <v>20</v>
      </c>
      <c r="I14" s="377"/>
      <c r="J14" s="377"/>
      <c r="K14" s="377"/>
      <c r="L14" s="377"/>
      <c r="M14" s="377"/>
      <c r="N14" s="377"/>
      <c r="O14" s="377"/>
      <c r="P14" s="377"/>
      <c r="Q14" s="377"/>
      <c r="R14" s="377"/>
      <c r="S14" s="377"/>
      <c r="T14" s="377"/>
      <c r="U14" s="378"/>
      <c r="V14" s="378"/>
      <c r="W14" s="378"/>
      <c r="X14" s="378"/>
      <c r="Y14" s="36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54</v>
      </c>
      <c r="Z14" s="362">
        <f t="shared" si="1"/>
        <v>77.14285714285715</v>
      </c>
      <c r="AA14" s="363">
        <f t="shared" si="2"/>
        <v>15.42857142857143</v>
      </c>
      <c r="AB14" s="379">
        <v>47</v>
      </c>
      <c r="AC14" s="377">
        <v>88</v>
      </c>
      <c r="AD14" s="377"/>
      <c r="AE14" s="377"/>
      <c r="AF14" s="377"/>
      <c r="AG14" s="377"/>
      <c r="AH14" s="377"/>
      <c r="AI14" s="377"/>
      <c r="AJ14" s="380"/>
      <c r="AK14" s="378"/>
      <c r="AL14" s="377"/>
      <c r="AM14" s="377"/>
      <c r="AN14" s="377"/>
      <c r="AO14" s="378"/>
      <c r="AP14" s="378"/>
      <c r="AQ14" s="216">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4" s="381">
        <f t="shared" si="3"/>
        <v>90</v>
      </c>
      <c r="AS14" s="382">
        <f t="shared" si="4"/>
        <v>45</v>
      </c>
      <c r="AT14" s="377">
        <v>31</v>
      </c>
      <c r="AU14" s="378">
        <v>33</v>
      </c>
      <c r="AV14" s="383">
        <v>54</v>
      </c>
      <c r="AW14" s="362">
        <f>IF(OR(D14="",AT14=""),"",
 IF($AT$6=0,"Error",
 IF(OR(AND($AT$6="",AT14&lt;&gt;""),
 ISTEXT($AT$6),
 ISTEXT(AT14),
 ISLOGICAL($AT$6),
 ISLOGICAL(AT14),
 ISERROR($AT$6),
 ISERROR(AT14)),"Error",
 IF(AT14&gt;$AT$6,"Error",
 IF($AT$6=0,"",AT14/$AT$6*$AZ$7*$AW$7)))))</f>
        <v>20.666666666666664</v>
      </c>
      <c r="AX14" s="362">
        <f>IF(OR(D14="",AU14=""),"",
 IF($AU$6=0,"Error",
 IF(OR(AND($AU$6="",AU14&lt;&gt;""),
 ISTEXT($AU$6),
 ISTEXT(AU14),
 ISLOGICAL($AU$6),
 ISLOGICAL(AU14),
 ISERROR($AU$6),
 ISERROR(AU14)),"Error",
 IF(AU14&gt;$AU$6,"Error",
 IF($AU$6=0,"",AU14/$AU$6*$AZ$7*$AX$7)))))</f>
        <v>21.999999999999996</v>
      </c>
      <c r="AY14" s="362">
        <f>IF(OR(D14="",AV14=""),"",
 IF($AV$6=0,"Error",
 IF(OR(AND($AV$6="",AV14&lt;&gt;""),
 ISTEXT($AV$6),
 ISTEXT(AV14),
 ISLOGICAL($AV$6),
 ISLOGICAL(AV14),
 ISERROR($AV$6),
 ISERROR(AV14)),"Error",
 IF(AV14&gt;$AV$6,"Error",
 IF($AV$6=0,"",AV14/$AV$6*$AZ$7*$AY$7)))))</f>
        <v>21.6</v>
      </c>
      <c r="AZ14" s="381">
        <f t="shared" si="8"/>
        <v>64.26666666666665</v>
      </c>
      <c r="BA14" s="384">
        <f t="shared" si="9"/>
        <v>19.279999999999994</v>
      </c>
      <c r="BB14" s="385"/>
      <c r="BC14" s="362">
        <f t="shared" si="0"/>
      </c>
      <c r="BD14" s="386">
        <f t="shared" si="10"/>
      </c>
      <c r="BE14" s="372">
        <f t="shared" si="11"/>
        <v>79.71</v>
      </c>
      <c r="BF14" s="373">
        <f>IF(OR(AA14="Error",AS14="Error",BA14="Error",BD14="Error"),"Error",
 IF(D14="","",
 IF(AND(N($AA$6)+N($AS$6)+N($BA$7)=100%,
 OR(N($AA$6)=0,AA14&lt;&gt;""),OR(N($AS$6)=0,AS14&lt;&gt;""),OR(N($BA$7)=0,BA14&lt;&gt;""),BE14&lt;&gt;""),
 _xlfn.XLOOKUP(BE14,'Helper 1'!$B$3:$B$43,'Helper 1'!$D$3:$D$43,,-1),"")))</f>
        <v>83</v>
      </c>
      <c r="BG14" s="374" t="str">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5" ht="15.95" customHeight="1" spans="2:59" x14ac:dyDescent="0.25">
      <c r="B15" s="305">
        <v>7</v>
      </c>
      <c r="C15" s="375">
        <f>IF('Data Input'!M13="","",'Data Input'!M13)</f>
        <v>2000480420</v>
      </c>
      <c r="D15" s="376" t="str">
        <f>IF(ISBLANK('Data Input'!N13),"",PROPER('Data Input'!N13))</f>
        <v>Cabalquinto, Juvy</v>
      </c>
      <c r="E15" s="377">
        <v>6</v>
      </c>
      <c r="F15" s="377">
        <v>10</v>
      </c>
      <c r="G15" s="377">
        <v>6</v>
      </c>
      <c r="H15" s="377">
        <v>20</v>
      </c>
      <c r="I15" s="377"/>
      <c r="J15" s="377"/>
      <c r="K15" s="377"/>
      <c r="L15" s="377"/>
      <c r="M15" s="377"/>
      <c r="N15" s="377"/>
      <c r="O15" s="377"/>
      <c r="P15" s="377"/>
      <c r="Q15" s="377"/>
      <c r="R15" s="377"/>
      <c r="S15" s="377"/>
      <c r="T15" s="377"/>
      <c r="U15" s="378"/>
      <c r="V15" s="378"/>
      <c r="W15" s="378"/>
      <c r="X15" s="378"/>
      <c r="Y15" s="36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15" s="362">
        <f t="shared" si="1"/>
        <v>60</v>
      </c>
      <c r="AA15" s="363">
        <f t="shared" si="2"/>
        <v>12</v>
      </c>
      <c r="AB15" s="379">
        <v>45</v>
      </c>
      <c r="AC15" s="377">
        <v>88</v>
      </c>
      <c r="AD15" s="377"/>
      <c r="AE15" s="377"/>
      <c r="AF15" s="377"/>
      <c r="AG15" s="377"/>
      <c r="AH15" s="377"/>
      <c r="AI15" s="377"/>
      <c r="AJ15" s="380"/>
      <c r="AK15" s="378"/>
      <c r="AL15" s="377"/>
      <c r="AM15" s="377"/>
      <c r="AN15" s="377"/>
      <c r="AO15" s="378"/>
      <c r="AP15" s="378"/>
      <c r="AQ15" s="216">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15" s="381">
        <f t="shared" si="3"/>
        <v>88.66666666666667</v>
      </c>
      <c r="AS15" s="382">
        <f t="shared" si="4"/>
        <v>44.333333333333336</v>
      </c>
      <c r="AT15" s="377">
        <v>31</v>
      </c>
      <c r="AU15" s="378">
        <v>32</v>
      </c>
      <c r="AV15" s="383">
        <v>44</v>
      </c>
      <c r="AW15" s="362">
        <f t="shared" si="5"/>
        <v>20.666666666666664</v>
      </c>
      <c r="AX15" s="362">
        <f t="shared" si="6"/>
        <v>21.333333333333332</v>
      </c>
      <c r="AY15" s="362">
        <f t="shared" si="7"/>
        <v>17.6</v>
      </c>
      <c r="AZ15" s="381">
        <f t="shared" si="8"/>
        <v>59.6</v>
      </c>
      <c r="BA15" s="384">
        <f t="shared" si="9"/>
        <v>17.88</v>
      </c>
      <c r="BB15" s="385"/>
      <c r="BC15" s="362">
        <f t="shared" si="0"/>
      </c>
      <c r="BD15" s="386">
        <f t="shared" si="10"/>
      </c>
      <c r="BE15" s="372">
        <f t="shared" si="11"/>
        <v>74.21</v>
      </c>
      <c r="BF15" s="373">
        <f>IF(OR(AA15="Error",AS15="Error",BA15="Error",BD15="Error"),"Error",
 IF(D15="","",
 IF(AND(N($AA$6)+N($AS$6)+N($BA$7)=100%,
 OR(N($AA$6)=0,AA15&lt;&gt;""),OR(N($AS$6)=0,AS15&lt;&gt;""),OR(N($BA$7)=0,BA15&lt;&gt;""),BE15&lt;&gt;""),
 _xlfn.XLOOKUP(BE15,'Helper 1'!$B$3:$B$43,'Helper 1'!$D$3:$D$43,,-1),"")))</f>
        <v>78</v>
      </c>
      <c r="BG15" s="374" t="str">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6" ht="15.95" customHeight="1" spans="2:59" x14ac:dyDescent="0.25">
      <c r="B16" s="305">
        <v>8</v>
      </c>
      <c r="C16" s="375">
        <f>IF('Data Input'!M14="","",'Data Input'!M14)</f>
        <v>2000487004</v>
      </c>
      <c r="D16" s="376" t="str">
        <f>IF(ISBLANK('Data Input'!N14),"",PROPER('Data Input'!N14))</f>
        <v>Conlu, Marc Jeffrey</v>
      </c>
      <c r="E16" s="377"/>
      <c r="F16" s="377">
        <v>11</v>
      </c>
      <c r="G16" s="377">
        <v>4</v>
      </c>
      <c r="H16" s="377">
        <v>20</v>
      </c>
      <c r="I16" s="377"/>
      <c r="J16" s="377"/>
      <c r="K16" s="377"/>
      <c r="L16" s="377"/>
      <c r="M16" s="377"/>
      <c r="N16" s="377"/>
      <c r="O16" s="377"/>
      <c r="P16" s="377"/>
      <c r="Q16" s="377"/>
      <c r="R16" s="377"/>
      <c r="S16" s="377"/>
      <c r="T16" s="377"/>
      <c r="U16" s="378"/>
      <c r="V16" s="378"/>
      <c r="W16" s="378"/>
      <c r="X16" s="378"/>
      <c r="Y16" s="36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16" s="362">
        <f t="shared" si="1"/>
        <v>50</v>
      </c>
      <c r="AA16" s="363">
        <f t="shared" si="2"/>
        <v>10</v>
      </c>
      <c r="AB16" s="379">
        <v>45</v>
      </c>
      <c r="AC16" s="377">
        <v>88</v>
      </c>
      <c r="AD16" s="377"/>
      <c r="AE16" s="377"/>
      <c r="AF16" s="377"/>
      <c r="AG16" s="377"/>
      <c r="AH16" s="377"/>
      <c r="AI16" s="377"/>
      <c r="AJ16" s="380"/>
      <c r="AK16" s="378"/>
      <c r="AL16" s="377"/>
      <c r="AM16" s="377"/>
      <c r="AN16" s="377"/>
      <c r="AO16" s="378"/>
      <c r="AP16" s="378"/>
      <c r="AQ16" s="216">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16" s="381">
        <f t="shared" si="3"/>
        <v>88.66666666666667</v>
      </c>
      <c r="AS16" s="382">
        <f t="shared" si="4"/>
        <v>44.333333333333336</v>
      </c>
      <c r="AT16" s="377">
        <v>29</v>
      </c>
      <c r="AU16" s="378">
        <v>41</v>
      </c>
      <c r="AV16" s="383">
        <v>53</v>
      </c>
      <c r="AW16" s="362">
        <f t="shared" si="5"/>
        <v>19.333333333333332</v>
      </c>
      <c r="AX16" s="362">
        <f t="shared" si="6"/>
        <v>27.333333333333332</v>
      </c>
      <c r="AY16" s="362">
        <f t="shared" si="7"/>
        <v>21.200000000000003</v>
      </c>
      <c r="AZ16" s="381">
        <f t="shared" si="8"/>
        <v>67.86666666666667</v>
      </c>
      <c r="BA16" s="384">
        <f t="shared" si="9"/>
        <v>20.360000000000003</v>
      </c>
      <c r="BB16" s="385"/>
      <c r="BC16" s="362">
        <f t="shared" si="0"/>
      </c>
      <c r="BD16" s="386">
        <f t="shared" si="10"/>
      </c>
      <c r="BE16" s="372">
        <f t="shared" si="11"/>
        <v>74.69</v>
      </c>
      <c r="BF16" s="373">
        <f>IF(OR(AA16="Error",AS16="Error",BA16="Error",BD16="Error"),"Error",
 IF(D16="","",
 IF(AND(N($AA$6)+N($AS$6)+N($BA$7)=100%,
 OR(N($AA$6)=0,AA16&lt;&gt;""),OR(N($AS$6)=0,AS16&lt;&gt;""),OR(N($BA$7)=0,BA16&lt;&gt;""),BE16&lt;&gt;""),
 _xlfn.XLOOKUP(BE16,'Helper 1'!$B$3:$B$43,'Helper 1'!$D$3:$D$43,,-1),"")))</f>
        <v>78</v>
      </c>
      <c r="BG16" s="374" t="str">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7" ht="15.95" customHeight="1" spans="2:59" x14ac:dyDescent="0.25">
      <c r="B17" s="305">
        <v>9</v>
      </c>
      <c r="C17" s="375">
        <f>IF('Data Input'!M15="","",'Data Input'!M15)</f>
        <v>2000488434</v>
      </c>
      <c r="D17" s="376" t="str">
        <f>IF(ISBLANK('Data Input'!N15),"",PROPER('Data Input'!N15))</f>
        <v>De Luna, Felicity Ryne</v>
      </c>
      <c r="E17" s="377">
        <v>9</v>
      </c>
      <c r="F17" s="377">
        <v>1</v>
      </c>
      <c r="G17" s="377"/>
      <c r="H17" s="377">
        <v>20</v>
      </c>
      <c r="I17" s="377"/>
      <c r="J17" s="377"/>
      <c r="K17" s="377"/>
      <c r="L17" s="377"/>
      <c r="M17" s="377"/>
      <c r="N17" s="377"/>
      <c r="O17" s="377"/>
      <c r="P17" s="377"/>
      <c r="Q17" s="377"/>
      <c r="R17" s="377"/>
      <c r="S17" s="377"/>
      <c r="T17" s="377"/>
      <c r="U17" s="378"/>
      <c r="V17" s="378"/>
      <c r="W17" s="378"/>
      <c r="X17" s="378"/>
      <c r="Y17" s="36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30</v>
      </c>
      <c r="Z17" s="362">
        <f t="shared" si="1"/>
        <v>42.857142857142854</v>
      </c>
      <c r="AA17" s="363">
        <f t="shared" si="2"/>
        <v>8.571428571428571</v>
      </c>
      <c r="AB17" s="379">
        <v>47</v>
      </c>
      <c r="AC17" s="377">
        <v>88</v>
      </c>
      <c r="AD17" s="377"/>
      <c r="AE17" s="377"/>
      <c r="AF17" s="377"/>
      <c r="AG17" s="377"/>
      <c r="AH17" s="377"/>
      <c r="AI17" s="377"/>
      <c r="AJ17" s="380"/>
      <c r="AK17" s="378"/>
      <c r="AL17" s="377"/>
      <c r="AM17" s="377"/>
      <c r="AN17" s="377"/>
      <c r="AO17" s="378"/>
      <c r="AP17" s="378"/>
      <c r="AQ17" s="216">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7" s="381">
        <f t="shared" si="3"/>
        <v>90</v>
      </c>
      <c r="AS17" s="382">
        <f t="shared" si="4"/>
        <v>45</v>
      </c>
      <c r="AT17" s="377">
        <v>35</v>
      </c>
      <c r="AU17" s="378">
        <v>25</v>
      </c>
      <c r="AV17" s="383">
        <v>38</v>
      </c>
      <c r="AW17" s="362">
        <f t="shared" si="5"/>
        <v>23.333333333333336</v>
      </c>
      <c r="AX17" s="362">
        <f t="shared" si="6"/>
        <v>16.666666666666668</v>
      </c>
      <c r="AY17" s="362">
        <f t="shared" si="7"/>
        <v>15.200000000000001</v>
      </c>
      <c r="AZ17" s="381">
        <f t="shared" si="8"/>
        <v>55.2</v>
      </c>
      <c r="BA17" s="384">
        <f t="shared" si="9"/>
        <v>16.56</v>
      </c>
      <c r="BB17" s="385"/>
      <c r="BC17" s="362">
        <f t="shared" si="0"/>
      </c>
      <c r="BD17" s="386">
        <f t="shared" si="10"/>
      </c>
      <c r="BE17" s="372">
        <f t="shared" si="11"/>
        <v>70.13</v>
      </c>
      <c r="BF17" s="373">
        <f>IF(OR(AA17="Error",AS17="Error",BA17="Error",BD17="Error"),"Error",
 IF(D17="","",
 IF(AND(N($AA$6)+N($AS$6)+N($BA$7)=100%,
 OR(N($AA$6)=0,AA17&lt;&gt;""),OR(N($AS$6)=0,AS17&lt;&gt;""),OR(N($BA$7)=0,BA17&lt;&gt;""),BE17&lt;&gt;""),
 _xlfn.XLOOKUP(BE17,'Helper 1'!$B$3:$B$43,'Helper 1'!$D$3:$D$43,,-1),"")))</f>
        <v>75</v>
      </c>
      <c r="BG17" s="374" t="str">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8" ht="15.95" customHeight="1" spans="2:59" x14ac:dyDescent="0.25">
      <c r="B18" s="305">
        <v>10</v>
      </c>
      <c r="C18" s="375">
        <f>IF('Data Input'!M16="","",'Data Input'!M16)</f>
        <v>2000485973</v>
      </c>
      <c r="D18" s="376" t="str">
        <f>IF(ISBLANK('Data Input'!N16),"",PROPER('Data Input'!N16))</f>
        <v>Delos Reyes, Gavin Zue</v>
      </c>
      <c r="E18" s="377">
        <v>5</v>
      </c>
      <c r="F18" s="377">
        <v>16</v>
      </c>
      <c r="G18" s="377">
        <v>5</v>
      </c>
      <c r="H18" s="377">
        <v>20</v>
      </c>
      <c r="I18" s="377"/>
      <c r="J18" s="377"/>
      <c r="K18" s="377"/>
      <c r="L18" s="377"/>
      <c r="M18" s="377"/>
      <c r="N18" s="377"/>
      <c r="O18" s="377"/>
      <c r="P18" s="377"/>
      <c r="Q18" s="377"/>
      <c r="R18" s="377"/>
      <c r="S18" s="377"/>
      <c r="T18" s="377"/>
      <c r="U18" s="378"/>
      <c r="V18" s="378"/>
      <c r="W18" s="378"/>
      <c r="X18" s="378"/>
      <c r="Y18" s="36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46</v>
      </c>
      <c r="Z18" s="362">
        <f t="shared" si="1"/>
        <v>65.71428571428571</v>
      </c>
      <c r="AA18" s="363">
        <f t="shared" si="2"/>
        <v>13.142857142857142</v>
      </c>
      <c r="AB18" s="379">
        <v>49</v>
      </c>
      <c r="AC18" s="377">
        <v>95</v>
      </c>
      <c r="AD18" s="377"/>
      <c r="AE18" s="377"/>
      <c r="AF18" s="377"/>
      <c r="AG18" s="377"/>
      <c r="AH18" s="377"/>
      <c r="AI18" s="377"/>
      <c r="AJ18" s="380"/>
      <c r="AK18" s="378"/>
      <c r="AL18" s="377"/>
      <c r="AM18" s="377"/>
      <c r="AN18" s="377"/>
      <c r="AO18" s="378"/>
      <c r="AP18" s="378"/>
      <c r="AQ18" s="216">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18" s="381">
        <f t="shared" si="3"/>
        <v>96</v>
      </c>
      <c r="AS18" s="382">
        <f t="shared" si="4"/>
        <v>48</v>
      </c>
      <c r="AT18" s="377">
        <v>40</v>
      </c>
      <c r="AU18" s="378">
        <v>43</v>
      </c>
      <c r="AV18" s="383">
        <v>79</v>
      </c>
      <c r="AW18" s="362">
        <f t="shared" si="5"/>
        <v>26.666666666666664</v>
      </c>
      <c r="AX18" s="362">
        <f t="shared" si="6"/>
        <v>28.666666666666668</v>
      </c>
      <c r="AY18" s="362">
        <f t="shared" si="7"/>
        <v>31.6</v>
      </c>
      <c r="AZ18" s="381">
        <f t="shared" si="8"/>
        <v>86.93333333333334</v>
      </c>
      <c r="BA18" s="384">
        <f t="shared" si="9"/>
        <v>26.080000000000002</v>
      </c>
      <c r="BB18" s="385"/>
      <c r="BC18" s="362">
        <f t="shared" si="0"/>
      </c>
      <c r="BD18" s="386">
        <f t="shared" si="10"/>
      </c>
      <c r="BE18" s="372">
        <f t="shared" si="11"/>
        <v>87.22</v>
      </c>
      <c r="BF18" s="373">
        <f>IF(OR(AA18="Error",AS18="Error",BA18="Error",BD18="Error"),"Error",
 IF(D18="","",
 IF(AND(N($AA$6)+N($AS$6)+N($BA$7)=100%,
 OR(N($AA$6)=0,AA18&lt;&gt;""),OR(N($AS$6)=0,AS18&lt;&gt;""),OR(N($BA$7)=0,BA18&lt;&gt;""),BE18&lt;&gt;""),
 _xlfn.XLOOKUP(BE18,'Helper 1'!$B$3:$B$43,'Helper 1'!$D$3:$D$43,,-1),"")))</f>
        <v>89</v>
      </c>
      <c r="BG18" s="374" t="str">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9" ht="15.95" customHeight="1" spans="2:59" x14ac:dyDescent="0.25">
      <c r="B19" s="305">
        <v>11</v>
      </c>
      <c r="C19" s="375">
        <f>IF('Data Input'!M17="","",'Data Input'!M17)</f>
        <v>2000486374</v>
      </c>
      <c r="D19" s="376" t="str">
        <f>IF(ISBLANK('Data Input'!N17),"",PROPER('Data Input'!N17))</f>
        <v>Dianela, Mary Diane</v>
      </c>
      <c r="E19" s="377">
        <v>18</v>
      </c>
      <c r="F19" s="377">
        <v>13</v>
      </c>
      <c r="G19" s="377">
        <v>4</v>
      </c>
      <c r="H19" s="377">
        <v>20</v>
      </c>
      <c r="I19" s="377"/>
      <c r="J19" s="377"/>
      <c r="K19" s="377"/>
      <c r="L19" s="377"/>
      <c r="M19" s="377"/>
      <c r="N19" s="377"/>
      <c r="O19" s="377"/>
      <c r="P19" s="377"/>
      <c r="Q19" s="377"/>
      <c r="R19" s="377"/>
      <c r="S19" s="377"/>
      <c r="T19" s="377"/>
      <c r="U19" s="378"/>
      <c r="V19" s="378"/>
      <c r="W19" s="378"/>
      <c r="X19" s="378"/>
      <c r="Y19" s="36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v>
      </c>
      <c r="Z19" s="362">
        <f t="shared" si="1"/>
        <v>78.57142857142857</v>
      </c>
      <c r="AA19" s="363">
        <f t="shared" si="2"/>
        <v>15.714285714285715</v>
      </c>
      <c r="AB19" s="379">
        <v>50</v>
      </c>
      <c r="AC19" s="377">
        <v>93</v>
      </c>
      <c r="AD19" s="377"/>
      <c r="AE19" s="377"/>
      <c r="AF19" s="377"/>
      <c r="AG19" s="377"/>
      <c r="AH19" s="377"/>
      <c r="AI19" s="377"/>
      <c r="AJ19" s="380"/>
      <c r="AK19" s="378"/>
      <c r="AL19" s="377"/>
      <c r="AM19" s="377"/>
      <c r="AN19" s="377"/>
      <c r="AO19" s="378"/>
      <c r="AP19" s="378"/>
      <c r="AQ19" s="216">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143</v>
      </c>
      <c r="AR19" s="381">
        <f t="shared" si="3"/>
        <v>95.33333333333334</v>
      </c>
      <c r="AS19" s="382">
        <f t="shared" si="4"/>
        <v>47.66666666666667</v>
      </c>
      <c r="AT19" s="377">
        <v>38</v>
      </c>
      <c r="AU19" s="378">
        <v>35</v>
      </c>
      <c r="AV19" s="383">
        <v>50</v>
      </c>
      <c r="AW19" s="362">
        <f t="shared" si="5"/>
        <v>25.333333333333332</v>
      </c>
      <c r="AX19" s="362">
        <f t="shared" si="6"/>
        <v>23.333333333333336</v>
      </c>
      <c r="AY19" s="362">
        <f t="shared" si="7"/>
        <v>20</v>
      </c>
      <c r="AZ19" s="381">
        <f t="shared" si="8"/>
        <v>68.66666666666667</v>
      </c>
      <c r="BA19" s="384">
        <f t="shared" si="9"/>
        <v>20.6</v>
      </c>
      <c r="BB19" s="385"/>
      <c r="BC19" s="362">
        <f t="shared" si="0"/>
      </c>
      <c r="BD19" s="386">
        <f t="shared" si="10"/>
      </c>
      <c r="BE19" s="372">
        <f t="shared" si="11"/>
        <v>83.98</v>
      </c>
      <c r="BF19" s="373">
        <f>IF(OR(AA19="Error",AS19="Error",BA19="Error",BD19="Error"),"Error",
 IF(D19="","",
 IF(AND(N($AA$6)+N($AS$6)+N($BA$7)=100%,
 OR(N($AA$6)=0,AA19&lt;&gt;""),OR(N($AS$6)=0,AS19&lt;&gt;""),OR(N($BA$7)=0,BA19&lt;&gt;""),BE19&lt;&gt;""),
 _xlfn.XLOOKUP(BE19,'Helper 1'!$B$3:$B$43,'Helper 1'!$D$3:$D$43,,-1),"")))</f>
        <v>86</v>
      </c>
      <c r="BG19" s="374" t="str">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0" ht="15.95" customHeight="1" spans="2:59" x14ac:dyDescent="0.25">
      <c r="B20" s="305">
        <v>12</v>
      </c>
      <c r="C20" s="375">
        <f>IF('Data Input'!M18="","",'Data Input'!M18)</f>
        <v>2000486376</v>
      </c>
      <c r="D20" s="376" t="str">
        <f>IF(ISBLANK('Data Input'!N18),"",PROPER('Data Input'!N18))</f>
        <v>Dikit, Jon Juin</v>
      </c>
      <c r="E20" s="377">
        <v>3</v>
      </c>
      <c r="F20" s="377">
        <v>13</v>
      </c>
      <c r="G20" s="377">
        <v>6</v>
      </c>
      <c r="H20" s="377">
        <v>20</v>
      </c>
      <c r="I20" s="377"/>
      <c r="J20" s="377"/>
      <c r="K20" s="377"/>
      <c r="L20" s="377"/>
      <c r="M20" s="377"/>
      <c r="N20" s="377"/>
      <c r="O20" s="377"/>
      <c r="P20" s="377"/>
      <c r="Q20" s="377"/>
      <c r="R20" s="377"/>
      <c r="S20" s="377"/>
      <c r="T20" s="377"/>
      <c r="U20" s="378"/>
      <c r="V20" s="378"/>
      <c r="W20" s="378"/>
      <c r="X20" s="378"/>
      <c r="Y20" s="36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20" s="362">
        <f t="shared" si="1"/>
        <v>60</v>
      </c>
      <c r="AA20" s="363">
        <f t="shared" si="2"/>
        <v>12</v>
      </c>
      <c r="AB20" s="379">
        <v>48</v>
      </c>
      <c r="AC20" s="377">
        <v>88</v>
      </c>
      <c r="AD20" s="377"/>
      <c r="AE20" s="377"/>
      <c r="AF20" s="377"/>
      <c r="AG20" s="377"/>
      <c r="AH20" s="377"/>
      <c r="AI20" s="377"/>
      <c r="AJ20" s="380"/>
      <c r="AK20" s="378"/>
      <c r="AL20" s="377"/>
      <c r="AM20" s="377"/>
      <c r="AN20" s="377"/>
      <c r="AO20" s="378"/>
      <c r="AP20" s="378"/>
      <c r="AQ20" s="216">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20" s="381">
        <f t="shared" si="3"/>
        <v>90.66666666666666</v>
      </c>
      <c r="AS20" s="382">
        <f t="shared" si="4"/>
        <v>45.33333333333333</v>
      </c>
      <c r="AT20" s="377">
        <v>35</v>
      </c>
      <c r="AU20" s="378">
        <v>28</v>
      </c>
      <c r="AV20" s="383">
        <v>40</v>
      </c>
      <c r="AW20" s="362">
        <f t="shared" si="5"/>
        <v>23.333333333333336</v>
      </c>
      <c r="AX20" s="362">
        <f t="shared" si="6"/>
        <v>18.666666666666664</v>
      </c>
      <c r="AY20" s="362">
        <f t="shared" si="7"/>
        <v>16</v>
      </c>
      <c r="AZ20" s="381">
        <f t="shared" si="8"/>
        <v>58</v>
      </c>
      <c r="BA20" s="384">
        <f t="shared" si="9"/>
        <v>17.4</v>
      </c>
      <c r="BB20" s="385"/>
      <c r="BC20" s="362">
        <f t="shared" si="0"/>
      </c>
      <c r="BD20" s="386">
        <f t="shared" si="10"/>
      </c>
      <c r="BE20" s="372">
        <f t="shared" si="11"/>
        <v>74.73</v>
      </c>
      <c r="BF20" s="373">
        <f>IF(OR(AA20="Error",AS20="Error",BA20="Error",BD20="Error"),"Error",
 IF(D20="","",
 IF(AND(N($AA$6)+N($AS$6)+N($BA$7)=100%,
 OR(N($AA$6)=0,AA20&lt;&gt;""),OR(N($AS$6)=0,AS20&lt;&gt;""),OR(N($BA$7)=0,BA20&lt;&gt;""),BE20&lt;&gt;""),
 _xlfn.XLOOKUP(BE20,'Helper 1'!$B$3:$B$43,'Helper 1'!$D$3:$D$43,,-1),"")))</f>
        <v>79</v>
      </c>
      <c r="BG20" s="374" t="str">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1" ht="15.95" customHeight="1" spans="2:59" x14ac:dyDescent="0.25">
      <c r="B21" s="305">
        <v>13</v>
      </c>
      <c r="C21" s="375">
        <f>IF('Data Input'!M19="","",'Data Input'!M19)</f>
        <v>2000490030</v>
      </c>
      <c r="D21" s="376" t="str">
        <f>IF(ISBLANK('Data Input'!N19),"",PROPER('Data Input'!N19))</f>
        <v>Estor, Phoeb Remedios</v>
      </c>
      <c r="E21" s="377">
        <v>0</v>
      </c>
      <c r="F21" s="377">
        <v>3</v>
      </c>
      <c r="G21" s="377">
        <v>3</v>
      </c>
      <c r="H21" s="377">
        <v>20</v>
      </c>
      <c r="I21" s="377"/>
      <c r="J21" s="377"/>
      <c r="K21" s="377"/>
      <c r="L21" s="377"/>
      <c r="M21" s="377"/>
      <c r="N21" s="377"/>
      <c r="O21" s="377"/>
      <c r="P21" s="377"/>
      <c r="Q21" s="377"/>
      <c r="R21" s="377"/>
      <c r="S21" s="377"/>
      <c r="T21" s="377"/>
      <c r="U21" s="378"/>
      <c r="V21" s="378"/>
      <c r="W21" s="378"/>
      <c r="X21" s="378"/>
      <c r="Y21" s="36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26</v>
      </c>
      <c r="Z21" s="362">
        <f t="shared" si="1"/>
        <v>37.142857142857146</v>
      </c>
      <c r="AA21" s="363">
        <f t="shared" si="2"/>
        <v>7.42857142857143</v>
      </c>
      <c r="AB21" s="379">
        <v>46</v>
      </c>
      <c r="AC21" s="377">
        <v>88</v>
      </c>
      <c r="AD21" s="377"/>
      <c r="AE21" s="377"/>
      <c r="AF21" s="377"/>
      <c r="AG21" s="377"/>
      <c r="AH21" s="377"/>
      <c r="AI21" s="377"/>
      <c r="AJ21" s="380"/>
      <c r="AK21" s="378"/>
      <c r="AL21" s="377"/>
      <c r="AM21" s="377"/>
      <c r="AN21" s="377"/>
      <c r="AO21" s="378"/>
      <c r="AP21" s="378"/>
      <c r="AQ21" s="216">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134</v>
      </c>
      <c r="AR21" s="381">
        <f t="shared" si="3"/>
        <v>89.33333333333333</v>
      </c>
      <c r="AS21" s="382">
        <f t="shared" si="4"/>
        <v>44.666666666666664</v>
      </c>
      <c r="AT21" s="377">
        <v>27</v>
      </c>
      <c r="AU21" s="378">
        <v>22</v>
      </c>
      <c r="AV21" s="383">
        <v>51</v>
      </c>
      <c r="AW21" s="362">
        <f t="shared" si="5"/>
        <v>18</v>
      </c>
      <c r="AX21" s="362">
        <f t="shared" si="6"/>
        <v>14.666666666666664</v>
      </c>
      <c r="AY21" s="362">
        <f t="shared" si="7"/>
        <v>20.400000000000002</v>
      </c>
      <c r="AZ21" s="381">
        <f t="shared" si="8"/>
        <v>53.06666666666666</v>
      </c>
      <c r="BA21" s="384">
        <f t="shared" si="9"/>
        <v>15.919999999999998</v>
      </c>
      <c r="BB21" s="385"/>
      <c r="BC21" s="362">
        <f t="shared" si="0"/>
      </c>
      <c r="BD21" s="386">
        <f t="shared" si="10"/>
      </c>
      <c r="BE21" s="372">
        <f t="shared" si="11"/>
        <v>68.02</v>
      </c>
      <c r="BF21" s="373">
        <f>IF(OR(AA21="Error",AS21="Error",BA21="Error",BD21="Error"),"Error",
 IF(D21="","",
 IF(AND(N($AA$6)+N($AS$6)+N($BA$7)=100%,
 OR(N($AA$6)=0,AA21&lt;&gt;""),OR(N($AS$6)=0,AS21&lt;&gt;""),OR(N($BA$7)=0,BA21&lt;&gt;""),BE21&lt;&gt;""),
 _xlfn.XLOOKUP(BE21,'Helper 1'!$B$3:$B$43,'Helper 1'!$D$3:$D$43,,-1),"")))</f>
        <v>74</v>
      </c>
      <c r="BG21" s="374" t="str">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2" ht="15.95" customHeight="1" spans="2:59" x14ac:dyDescent="0.25">
      <c r="B22" s="305">
        <v>14</v>
      </c>
      <c r="C22" s="375">
        <f>IF('Data Input'!M20="","",'Data Input'!M20)</f>
        <v>2000498660</v>
      </c>
      <c r="D22" s="376" t="str">
        <f>IF(ISBLANK('Data Input'!N20),"",PROPER('Data Input'!N20))</f>
        <v>Estoria, John Kyle Timothy</v>
      </c>
      <c r="E22" s="377">
        <v>8</v>
      </c>
      <c r="F22" s="377">
        <v>13</v>
      </c>
      <c r="G22" s="377">
        <v>7</v>
      </c>
      <c r="H22" s="377">
        <v>20</v>
      </c>
      <c r="I22" s="377"/>
      <c r="J22" s="377"/>
      <c r="K22" s="377"/>
      <c r="L22" s="377"/>
      <c r="M22" s="377"/>
      <c r="N22" s="377"/>
      <c r="O22" s="377"/>
      <c r="P22" s="377"/>
      <c r="Q22" s="377"/>
      <c r="R22" s="377"/>
      <c r="S22" s="377"/>
      <c r="T22" s="377"/>
      <c r="U22" s="378"/>
      <c r="V22" s="378"/>
      <c r="W22" s="378"/>
      <c r="X22" s="378"/>
      <c r="Y22" s="36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48</v>
      </c>
      <c r="Z22" s="362">
        <f t="shared" si="1"/>
        <v>68.57142857142857</v>
      </c>
      <c r="AA22" s="363">
        <f t="shared" si="2"/>
        <v>13.714285714285715</v>
      </c>
      <c r="AB22" s="379">
        <v>45</v>
      </c>
      <c r="AC22" s="377">
        <v>88</v>
      </c>
      <c r="AD22" s="377"/>
      <c r="AE22" s="377"/>
      <c r="AF22" s="377"/>
      <c r="AG22" s="377"/>
      <c r="AH22" s="377"/>
      <c r="AI22" s="377"/>
      <c r="AJ22" s="380"/>
      <c r="AK22" s="378"/>
      <c r="AL22" s="377"/>
      <c r="AM22" s="377"/>
      <c r="AN22" s="377"/>
      <c r="AO22" s="378"/>
      <c r="AP22" s="378"/>
      <c r="AQ22" s="216">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22" s="381">
        <f t="shared" si="3"/>
        <v>88.66666666666667</v>
      </c>
      <c r="AS22" s="382">
        <f t="shared" si="4"/>
        <v>44.333333333333336</v>
      </c>
      <c r="AT22" s="377">
        <v>36</v>
      </c>
      <c r="AU22" s="378">
        <v>35</v>
      </c>
      <c r="AV22" s="383">
        <v>49</v>
      </c>
      <c r="AW22" s="362">
        <f t="shared" si="5"/>
        <v>24</v>
      </c>
      <c r="AX22" s="362">
        <f t="shared" si="6"/>
        <v>23.333333333333336</v>
      </c>
      <c r="AY22" s="362">
        <f t="shared" si="7"/>
        <v>19.6</v>
      </c>
      <c r="AZ22" s="381">
        <f t="shared" si="8"/>
        <v>66.93333333333334</v>
      </c>
      <c r="BA22" s="384">
        <f t="shared" si="9"/>
        <v>20.080000000000002</v>
      </c>
      <c r="BB22" s="385"/>
      <c r="BC22" s="362">
        <f t="shared" si="0"/>
      </c>
      <c r="BD22" s="386">
        <f t="shared" si="10"/>
      </c>
      <c r="BE22" s="372">
        <f t="shared" si="11"/>
        <v>78.13</v>
      </c>
      <c r="BF22" s="373">
        <f>IF(OR(AA22="Error",AS22="Error",BA22="Error",BD22="Error"),"Error",
 IF(D22="","",
 IF(AND(N($AA$6)+N($AS$6)+N($BA$7)=100%,
 OR(N($AA$6)=0,AA22&lt;&gt;""),OR(N($AS$6)=0,AS22&lt;&gt;""),OR(N($BA$7)=0,BA22&lt;&gt;""),BE22&lt;&gt;""),
 _xlfn.XLOOKUP(BE22,'Helper 1'!$B$3:$B$43,'Helper 1'!$D$3:$D$43,,-1),"")))</f>
        <v>81</v>
      </c>
      <c r="BG22" s="374" t="str">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3" ht="15.95" customHeight="1" spans="2:59" x14ac:dyDescent="0.25">
      <c r="B23" s="305">
        <v>15</v>
      </c>
      <c r="C23" s="375">
        <f>IF('Data Input'!M21="","",'Data Input'!M21)</f>
        <v>2000485981</v>
      </c>
      <c r="D23" s="376" t="str">
        <f>IF(ISBLANK('Data Input'!N21),"",PROPER('Data Input'!N21))</f>
        <v>Garcia, Ariorie Ven Amher</v>
      </c>
      <c r="E23" s="377">
        <v>13</v>
      </c>
      <c r="F23" s="377">
        <v>11</v>
      </c>
      <c r="G23" s="377">
        <v>8</v>
      </c>
      <c r="H23" s="377">
        <v>20</v>
      </c>
      <c r="I23" s="377"/>
      <c r="J23" s="377"/>
      <c r="K23" s="377"/>
      <c r="L23" s="377"/>
      <c r="M23" s="377"/>
      <c r="N23" s="377"/>
      <c r="O23" s="377"/>
      <c r="P23" s="377"/>
      <c r="Q23" s="377"/>
      <c r="R23" s="377"/>
      <c r="S23" s="377"/>
      <c r="T23" s="377"/>
      <c r="U23" s="378"/>
      <c r="V23" s="378"/>
      <c r="W23" s="378"/>
      <c r="X23" s="378"/>
      <c r="Y23" s="36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52</v>
      </c>
      <c r="Z23" s="362">
        <f t="shared" si="1"/>
        <v>74.28571428571429</v>
      </c>
      <c r="AA23" s="363">
        <f t="shared" si="2"/>
        <v>14.85714285714286</v>
      </c>
      <c r="AB23" s="379">
        <v>45</v>
      </c>
      <c r="AC23" s="377">
        <v>93</v>
      </c>
      <c r="AD23" s="377"/>
      <c r="AE23" s="377"/>
      <c r="AF23" s="377"/>
      <c r="AG23" s="377"/>
      <c r="AH23" s="377"/>
      <c r="AI23" s="377"/>
      <c r="AJ23" s="380"/>
      <c r="AK23" s="378"/>
      <c r="AL23" s="377"/>
      <c r="AM23" s="377"/>
      <c r="AN23" s="377"/>
      <c r="AO23" s="378"/>
      <c r="AP23" s="378"/>
      <c r="AQ23" s="216">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23" s="381">
        <f t="shared" si="3"/>
        <v>92</v>
      </c>
      <c r="AS23" s="382">
        <f t="shared" si="4"/>
        <v>46</v>
      </c>
      <c r="AT23" s="377">
        <v>40</v>
      </c>
      <c r="AU23" s="378">
        <v>40</v>
      </c>
      <c r="AV23" s="383">
        <v>61</v>
      </c>
      <c r="AW23" s="362">
        <f t="shared" si="5"/>
        <v>26.666666666666664</v>
      </c>
      <c r="AX23" s="362">
        <f t="shared" si="6"/>
        <v>26.666666666666664</v>
      </c>
      <c r="AY23" s="362">
        <f t="shared" si="7"/>
        <v>24.400000000000002</v>
      </c>
      <c r="AZ23" s="381">
        <f t="shared" si="8"/>
        <v>77.73333333333333</v>
      </c>
      <c r="BA23" s="384">
        <f t="shared" si="9"/>
        <v>23.32</v>
      </c>
      <c r="BB23" s="385"/>
      <c r="BC23" s="362">
        <f t="shared" si="0"/>
      </c>
      <c r="BD23" s="386">
        <f t="shared" si="10"/>
      </c>
      <c r="BE23" s="372">
        <f t="shared" si="11"/>
        <v>84.18</v>
      </c>
      <c r="BF23" s="373">
        <f>IF(OR(AA23="Error",AS23="Error",BA23="Error",BD23="Error"),"Error",
 IF(D23="","",
 IF(AND(N($AA$6)+N($AS$6)+N($BA$7)=100%,
 OR(N($AA$6)=0,AA23&lt;&gt;""),OR(N($AS$6)=0,AS23&lt;&gt;""),OR(N($BA$7)=0,BA23&lt;&gt;""),BE23&lt;&gt;""),
 _xlfn.XLOOKUP(BE23,'Helper 1'!$B$3:$B$43,'Helper 1'!$D$3:$D$43,,-1),"")))</f>
        <v>87</v>
      </c>
      <c r="BG23" s="374" t="str">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4" ht="15.95" customHeight="1" spans="2:59" x14ac:dyDescent="0.25">
      <c r="B24" s="305">
        <v>16</v>
      </c>
      <c r="C24" s="375">
        <f>IF('Data Input'!M22="","",'Data Input'!M22)</f>
        <v>2000499229</v>
      </c>
      <c r="D24" s="376" t="str">
        <f>IF(ISBLANK('Data Input'!N22),"",PROPER('Data Input'!N22))</f>
        <v>Gavino, Reisha Lorriane</v>
      </c>
      <c r="E24" s="377">
        <v>7</v>
      </c>
      <c r="F24" s="377">
        <v>7</v>
      </c>
      <c r="G24" s="377">
        <v>6</v>
      </c>
      <c r="H24" s="377">
        <v>20</v>
      </c>
      <c r="I24" s="377"/>
      <c r="J24" s="377"/>
      <c r="K24" s="377"/>
      <c r="L24" s="377"/>
      <c r="M24" s="377"/>
      <c r="N24" s="377"/>
      <c r="O24" s="377"/>
      <c r="P24" s="377"/>
      <c r="Q24" s="377"/>
      <c r="R24" s="377"/>
      <c r="S24" s="377"/>
      <c r="T24" s="377"/>
      <c r="U24" s="378"/>
      <c r="V24" s="378"/>
      <c r="W24" s="378"/>
      <c r="X24" s="378"/>
      <c r="Y24" s="36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40</v>
      </c>
      <c r="Z24" s="362">
        <f t="shared" si="1"/>
        <v>57.14285714285714</v>
      </c>
      <c r="AA24" s="363">
        <f t="shared" si="2"/>
        <v>11.428571428571429</v>
      </c>
      <c r="AB24" s="379">
        <v>47</v>
      </c>
      <c r="AC24" s="377">
        <v>88</v>
      </c>
      <c r="AD24" s="377"/>
      <c r="AE24" s="377"/>
      <c r="AF24" s="377"/>
      <c r="AG24" s="377"/>
      <c r="AH24" s="377"/>
      <c r="AI24" s="377"/>
      <c r="AJ24" s="380"/>
      <c r="AK24" s="378"/>
      <c r="AL24" s="377"/>
      <c r="AM24" s="377"/>
      <c r="AN24" s="377"/>
      <c r="AO24" s="378"/>
      <c r="AP24" s="378"/>
      <c r="AQ24" s="216">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4" s="381">
        <f t="shared" si="3"/>
        <v>90</v>
      </c>
      <c r="AS24" s="382">
        <f t="shared" si="4"/>
        <v>45</v>
      </c>
      <c r="AT24" s="377">
        <v>24</v>
      </c>
      <c r="AU24" s="378">
        <v>36</v>
      </c>
      <c r="AV24" s="383">
        <v>43</v>
      </c>
      <c r="AW24" s="362">
        <f t="shared" si="5"/>
        <v>16</v>
      </c>
      <c r="AX24" s="362">
        <f t="shared" si="6"/>
        <v>24</v>
      </c>
      <c r="AY24" s="362">
        <f t="shared" si="7"/>
        <v>17.2</v>
      </c>
      <c r="AZ24" s="381">
        <f t="shared" si="8"/>
        <v>57.2</v>
      </c>
      <c r="BA24" s="384">
        <f t="shared" si="9"/>
        <v>17.16</v>
      </c>
      <c r="BB24" s="385"/>
      <c r="BC24" s="362">
        <f t="shared" si="0"/>
      </c>
      <c r="BD24" s="386">
        <f t="shared" si="10"/>
      </c>
      <c r="BE24" s="372">
        <f t="shared" si="11"/>
        <v>73.59</v>
      </c>
      <c r="BF24" s="373">
        <f>IF(OR(AA24="Error",AS24="Error",BA24="Error",BD24="Error"),"Error",
 IF(D24="","",
 IF(AND(N($AA$6)+N($AS$6)+N($BA$7)=100%,
 OR(N($AA$6)=0,AA24&lt;&gt;""),OR(N($AS$6)=0,AS24&lt;&gt;""),OR(N($BA$7)=0,BA24&lt;&gt;""),BE24&lt;&gt;""),
 _xlfn.XLOOKUP(BE24,'Helper 1'!$B$3:$B$43,'Helper 1'!$D$3:$D$43,,-1),"")))</f>
        <v>78</v>
      </c>
      <c r="BG24" s="374" t="str">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5" ht="15.95" customHeight="1" spans="2:59" x14ac:dyDescent="0.25">
      <c r="B25" s="305">
        <v>17</v>
      </c>
      <c r="C25" s="375">
        <f>IF('Data Input'!M23="","",'Data Input'!M23)</f>
        <v>2000481947</v>
      </c>
      <c r="D25" s="376" t="str">
        <f>IF(ISBLANK('Data Input'!N23),"",PROPER('Data Input'!N23))</f>
        <v>Jacobo, Ezra</v>
      </c>
      <c r="E25" s="377">
        <v>2</v>
      </c>
      <c r="F25" s="377">
        <v>14</v>
      </c>
      <c r="G25" s="377">
        <v>5</v>
      </c>
      <c r="H25" s="377">
        <v>20</v>
      </c>
      <c r="I25" s="377"/>
      <c r="J25" s="377"/>
      <c r="K25" s="377"/>
      <c r="L25" s="377"/>
      <c r="M25" s="377"/>
      <c r="N25" s="377"/>
      <c r="O25" s="377"/>
      <c r="P25" s="377"/>
      <c r="Q25" s="377"/>
      <c r="R25" s="377"/>
      <c r="S25" s="377"/>
      <c r="T25" s="377"/>
      <c r="U25" s="378"/>
      <c r="V25" s="378"/>
      <c r="W25" s="378"/>
      <c r="X25" s="378"/>
      <c r="Y25" s="36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41</v>
      </c>
      <c r="Z25" s="362">
        <f t="shared" si="1"/>
        <v>58.57142857142858</v>
      </c>
      <c r="AA25" s="363">
        <f t="shared" si="2"/>
        <v>11.714285714285715</v>
      </c>
      <c r="AB25" s="379">
        <v>47</v>
      </c>
      <c r="AC25" s="377">
        <v>88</v>
      </c>
      <c r="AD25" s="377"/>
      <c r="AE25" s="377"/>
      <c r="AF25" s="377"/>
      <c r="AG25" s="377"/>
      <c r="AH25" s="377"/>
      <c r="AI25" s="377"/>
      <c r="AJ25" s="380"/>
      <c r="AK25" s="378"/>
      <c r="AL25" s="377"/>
      <c r="AM25" s="377"/>
      <c r="AN25" s="377"/>
      <c r="AO25" s="378"/>
      <c r="AP25" s="378"/>
      <c r="AQ25" s="216">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5" s="381">
        <f t="shared" si="3"/>
        <v>90</v>
      </c>
      <c r="AS25" s="382">
        <f t="shared" si="4"/>
        <v>45</v>
      </c>
      <c r="AT25" s="377">
        <v>23</v>
      </c>
      <c r="AU25" s="378">
        <v>34</v>
      </c>
      <c r="AV25" s="383"/>
      <c r="AW25" s="362">
        <f t="shared" si="5"/>
        <v>15.333333333333332</v>
      </c>
      <c r="AX25" s="362">
        <f t="shared" si="6"/>
        <v>22.666666666666668</v>
      </c>
      <c r="AY25" s="362">
        <f t="shared" si="7"/>
      </c>
      <c r="AZ25" s="381">
        <f t="shared" si="8"/>
        <v>38</v>
      </c>
      <c r="BA25" s="384">
        <f t="shared" si="9"/>
        <v>11.4</v>
      </c>
      <c r="BB25" s="385"/>
      <c r="BC25" s="362">
        <f t="shared" si="0"/>
      </c>
      <c r="BD25" s="386">
        <f t="shared" si="10"/>
      </c>
      <c r="BE25" s="372">
        <f t="shared" si="11"/>
        <v>68.11</v>
      </c>
      <c r="BF25" s="373">
        <f>IF(OR(AA25="Error",AS25="Error",BA25="Error",BD25="Error"),"Error",
 IF(D25="","",
 IF(AND(N($AA$6)+N($AS$6)+N($BA$7)=100%,
 OR(N($AA$6)=0,AA25&lt;&gt;""),OR(N($AS$6)=0,AS25&lt;&gt;""),OR(N($BA$7)=0,BA25&lt;&gt;""),BE25&lt;&gt;""),
 _xlfn.XLOOKUP(BE25,'Helper 1'!$B$3:$B$43,'Helper 1'!$D$3:$D$43,,-1),"")))</f>
        <v>74</v>
      </c>
      <c r="BG25" s="374" t="str">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At-Risk</v>
      </c>
    </row>
    <row r="26" ht="15.95" customHeight="1" spans="2:59" x14ac:dyDescent="0.25">
      <c r="B26" s="305">
        <v>18</v>
      </c>
      <c r="C26" s="375">
        <f>IF('Data Input'!M24="","",'Data Input'!M24)</f>
        <v>2000488472</v>
      </c>
      <c r="D26" s="376" t="str">
        <f>IF(ISBLANK('Data Input'!N24),"",PROPER('Data Input'!N24))</f>
        <v>Jani, Joseph Louie</v>
      </c>
      <c r="E26" s="377">
        <v>5</v>
      </c>
      <c r="F26" s="377">
        <v>13</v>
      </c>
      <c r="G26" s="377"/>
      <c r="H26" s="377">
        <v>20</v>
      </c>
      <c r="I26" s="377"/>
      <c r="J26" s="377"/>
      <c r="K26" s="377"/>
      <c r="L26" s="377"/>
      <c r="M26" s="377"/>
      <c r="N26" s="377"/>
      <c r="O26" s="377"/>
      <c r="P26" s="377"/>
      <c r="Q26" s="377"/>
      <c r="R26" s="377"/>
      <c r="S26" s="377"/>
      <c r="T26" s="377"/>
      <c r="U26" s="378"/>
      <c r="V26" s="378"/>
      <c r="W26" s="378"/>
      <c r="X26" s="378"/>
      <c r="Y26" s="36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26" s="362">
        <f t="shared" si="1"/>
        <v>54.285714285714285</v>
      </c>
      <c r="AA26" s="363">
        <f t="shared" si="2"/>
        <v>10.857142857142858</v>
      </c>
      <c r="AB26" s="379">
        <v>46</v>
      </c>
      <c r="AC26" s="377">
        <v>88</v>
      </c>
      <c r="AD26" s="377"/>
      <c r="AE26" s="377"/>
      <c r="AF26" s="377"/>
      <c r="AG26" s="377"/>
      <c r="AH26" s="377"/>
      <c r="AI26" s="377"/>
      <c r="AJ26" s="380"/>
      <c r="AK26" s="378"/>
      <c r="AL26" s="377"/>
      <c r="AM26" s="377"/>
      <c r="AN26" s="377"/>
      <c r="AO26" s="378"/>
      <c r="AP26" s="378"/>
      <c r="AQ26" s="216">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134</v>
      </c>
      <c r="AR26" s="381">
        <f t="shared" si="3"/>
        <v>89.33333333333333</v>
      </c>
      <c r="AS26" s="382">
        <f t="shared" si="4"/>
        <v>44.666666666666664</v>
      </c>
      <c r="AT26" s="377">
        <v>36</v>
      </c>
      <c r="AU26" s="378">
        <v>36</v>
      </c>
      <c r="AV26" s="383">
        <v>73</v>
      </c>
      <c r="AW26" s="362">
        <f t="shared" si="5"/>
        <v>24</v>
      </c>
      <c r="AX26" s="362">
        <f t="shared" si="6"/>
        <v>24</v>
      </c>
      <c r="AY26" s="362">
        <f t="shared" si="7"/>
        <v>29.200000000000003</v>
      </c>
      <c r="AZ26" s="381">
        <f t="shared" si="8"/>
        <v>77.2</v>
      </c>
      <c r="BA26" s="384">
        <f t="shared" si="9"/>
        <v>23.16</v>
      </c>
      <c r="BB26" s="385"/>
      <c r="BC26" s="362">
        <f t="shared" si="0"/>
      </c>
      <c r="BD26" s="386">
        <f t="shared" si="10"/>
      </c>
      <c r="BE26" s="372">
        <f t="shared" si="11"/>
        <v>78.68</v>
      </c>
      <c r="BF26" s="373">
        <f>IF(OR(AA26="Error",AS26="Error",BA26="Error",BD26="Error"),"Error",
 IF(D26="","",
 IF(AND(N($AA$6)+N($AS$6)+N($BA$7)=100%,
 OR(N($AA$6)=0,AA26&lt;&gt;""),OR(N($AS$6)=0,AS26&lt;&gt;""),OR(N($BA$7)=0,BA26&lt;&gt;""),BE26&lt;&gt;""),
 _xlfn.XLOOKUP(BE26,'Helper 1'!$B$3:$B$43,'Helper 1'!$D$3:$D$43,,-1),"")))</f>
        <v>82</v>
      </c>
      <c r="BG26" s="374" t="str">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7" ht="15.95" customHeight="1" spans="2:59" x14ac:dyDescent="0.25">
      <c r="B27" s="305">
        <v>19</v>
      </c>
      <c r="C27" s="375">
        <f>IF('Data Input'!M25="","",'Data Input'!M25)</f>
        <v>2000494958</v>
      </c>
      <c r="D27" s="376" t="str">
        <f>IF(ISBLANK('Data Input'!N25),"",PROPER('Data Input'!N25))</f>
        <v>Ledesma, Carl Austin</v>
      </c>
      <c r="E27" s="377">
        <v>6</v>
      </c>
      <c r="F27" s="377">
        <v>16</v>
      </c>
      <c r="G27" s="377">
        <v>8</v>
      </c>
      <c r="H27" s="377">
        <v>20</v>
      </c>
      <c r="I27" s="377"/>
      <c r="J27" s="377"/>
      <c r="K27" s="377"/>
      <c r="L27" s="377"/>
      <c r="M27" s="377"/>
      <c r="N27" s="377"/>
      <c r="O27" s="377"/>
      <c r="P27" s="377"/>
      <c r="Q27" s="377"/>
      <c r="R27" s="377"/>
      <c r="S27" s="377"/>
      <c r="T27" s="377"/>
      <c r="U27" s="378"/>
      <c r="V27" s="378"/>
      <c r="W27" s="378"/>
      <c r="X27" s="378"/>
      <c r="Y27" s="36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50</v>
      </c>
      <c r="Z27" s="362">
        <f t="shared" si="1"/>
        <v>71.42857142857143</v>
      </c>
      <c r="AA27" s="363">
        <f t="shared" si="2"/>
        <v>14.285714285714286</v>
      </c>
      <c r="AB27" s="379">
        <v>49</v>
      </c>
      <c r="AC27" s="377">
        <v>95</v>
      </c>
      <c r="AD27" s="377"/>
      <c r="AE27" s="377"/>
      <c r="AF27" s="377"/>
      <c r="AG27" s="377"/>
      <c r="AH27" s="377"/>
      <c r="AI27" s="377"/>
      <c r="AJ27" s="380"/>
      <c r="AK27" s="378"/>
      <c r="AL27" s="377"/>
      <c r="AM27" s="377"/>
      <c r="AN27" s="377"/>
      <c r="AO27" s="378"/>
      <c r="AP27" s="378"/>
      <c r="AQ27" s="216">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27" s="381">
        <f t="shared" si="3"/>
        <v>96</v>
      </c>
      <c r="AS27" s="382">
        <f t="shared" si="4"/>
        <v>48</v>
      </c>
      <c r="AT27" s="377">
        <v>44</v>
      </c>
      <c r="AU27" s="378">
        <v>41</v>
      </c>
      <c r="AV27" s="383">
        <v>77</v>
      </c>
      <c r="AW27" s="362">
        <f t="shared" si="5"/>
        <v>29.33333333333333</v>
      </c>
      <c r="AX27" s="362">
        <f t="shared" si="6"/>
        <v>27.333333333333332</v>
      </c>
      <c r="AY27" s="362">
        <f t="shared" si="7"/>
        <v>30.8</v>
      </c>
      <c r="AZ27" s="381">
        <f t="shared" si="8"/>
        <v>87.46666666666665</v>
      </c>
      <c r="BA27" s="384">
        <f t="shared" si="9"/>
        <v>26.239999999999995</v>
      </c>
      <c r="BB27" s="385"/>
      <c r="BC27" s="362">
        <f t="shared" si="0"/>
      </c>
      <c r="BD27" s="386">
        <f t="shared" si="10"/>
      </c>
      <c r="BE27" s="372">
        <f t="shared" si="11"/>
        <v>88.53</v>
      </c>
      <c r="BF27" s="373">
        <f>IF(OR(AA27="Error",AS27="Error",BA27="Error",BD27="Error"),"Error",
 IF(D27="","",
 IF(AND(N($AA$6)+N($AS$6)+N($BA$7)=100%,
 OR(N($AA$6)=0,AA27&lt;&gt;""),OR(N($AS$6)=0,AS27&lt;&gt;""),OR(N($BA$7)=0,BA27&lt;&gt;""),BE27&lt;&gt;""),
 _xlfn.XLOOKUP(BE27,'Helper 1'!$B$3:$B$43,'Helper 1'!$D$3:$D$43,,-1),"")))</f>
        <v>90</v>
      </c>
      <c r="BG27" s="374" t="str">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8" ht="15.95" customHeight="1" spans="2:59" x14ac:dyDescent="0.25">
      <c r="B28" s="305">
        <v>20</v>
      </c>
      <c r="C28" s="375">
        <f>IF('Data Input'!M26="","",'Data Input'!M26)</f>
        <v>2000498659</v>
      </c>
      <c r="D28" s="376" t="str">
        <f>IF(ISBLANK('Data Input'!N26),"",PROPER('Data Input'!N26))</f>
        <v>Llamado, John Jerome</v>
      </c>
      <c r="E28" s="377">
        <v>9</v>
      </c>
      <c r="F28" s="377">
        <v>10</v>
      </c>
      <c r="G28" s="377">
        <v>5</v>
      </c>
      <c r="H28" s="377">
        <v>20</v>
      </c>
      <c r="I28" s="377"/>
      <c r="J28" s="377"/>
      <c r="K28" s="377"/>
      <c r="L28" s="377"/>
      <c r="M28" s="377"/>
      <c r="N28" s="377"/>
      <c r="O28" s="377"/>
      <c r="P28" s="377"/>
      <c r="Q28" s="377"/>
      <c r="R28" s="377"/>
      <c r="S28" s="377"/>
      <c r="T28" s="377"/>
      <c r="U28" s="378"/>
      <c r="V28" s="378"/>
      <c r="W28" s="378"/>
      <c r="X28" s="378"/>
      <c r="Y28" s="36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44</v>
      </c>
      <c r="Z28" s="362">
        <f t="shared" si="1"/>
        <v>62.857142857142854</v>
      </c>
      <c r="AA28" s="363">
        <f t="shared" si="2"/>
        <v>12.571428571428571</v>
      </c>
      <c r="AB28" s="379">
        <v>47</v>
      </c>
      <c r="AC28" s="377">
        <v>88</v>
      </c>
      <c r="AD28" s="377"/>
      <c r="AE28" s="377"/>
      <c r="AF28" s="377"/>
      <c r="AG28" s="377"/>
      <c r="AH28" s="377"/>
      <c r="AI28" s="377"/>
      <c r="AJ28" s="380"/>
      <c r="AK28" s="378"/>
      <c r="AL28" s="377"/>
      <c r="AM28" s="377"/>
      <c r="AN28" s="377"/>
      <c r="AO28" s="378"/>
      <c r="AP28" s="378"/>
      <c r="AQ28" s="216">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8" s="381">
        <f t="shared" si="3"/>
        <v>90</v>
      </c>
      <c r="AS28" s="382">
        <f t="shared" si="4"/>
        <v>45</v>
      </c>
      <c r="AT28" s="377">
        <v>22</v>
      </c>
      <c r="AU28" s="378">
        <v>24</v>
      </c>
      <c r="AV28" s="383">
        <v>35</v>
      </c>
      <c r="AW28" s="362">
        <f t="shared" si="5"/>
        <v>14.666666666666664</v>
      </c>
      <c r="AX28" s="362">
        <f t="shared" si="6"/>
        <v>16</v>
      </c>
      <c r="AY28" s="362">
        <f t="shared" si="7"/>
        <v>14</v>
      </c>
      <c r="AZ28" s="381">
        <f t="shared" si="8"/>
        <v>44.666666666666664</v>
      </c>
      <c r="BA28" s="384">
        <f t="shared" si="9"/>
        <v>13.399999999999999</v>
      </c>
      <c r="BB28" s="385"/>
      <c r="BC28" s="362">
        <f t="shared" si="0"/>
      </c>
      <c r="BD28" s="386">
        <f t="shared" si="10"/>
      </c>
      <c r="BE28" s="372">
        <f t="shared" si="11"/>
        <v>70.97</v>
      </c>
      <c r="BF28" s="373">
        <f>IF(OR(AA28="Error",AS28="Error",BA28="Error",BD28="Error"),"Error",
 IF(D28="","",
 IF(AND(N($AA$6)+N($AS$6)+N($BA$7)=100%,
 OR(N($AA$6)=0,AA28&lt;&gt;""),OR(N($AS$6)=0,AS28&lt;&gt;""),OR(N($BA$7)=0,BA28&lt;&gt;""),BE28&lt;&gt;""),
 _xlfn.XLOOKUP(BE28,'Helper 1'!$B$3:$B$43,'Helper 1'!$D$3:$D$43,,-1),"")))</f>
        <v>75</v>
      </c>
      <c r="BG28" s="374" t="str">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9" ht="15.95" customHeight="1" spans="2:59" x14ac:dyDescent="0.25">
      <c r="B29" s="305">
        <v>21</v>
      </c>
      <c r="C29" s="375">
        <f>IF('Data Input'!M27="","",'Data Input'!M27)</f>
        <v>2000496341</v>
      </c>
      <c r="D29" s="376" t="str">
        <f>IF(ISBLANK('Data Input'!N27),"",PROPER('Data Input'!N27))</f>
        <v>Maquite, John Michael</v>
      </c>
      <c r="E29" s="377">
        <v>3</v>
      </c>
      <c r="F29" s="377">
        <v>14</v>
      </c>
      <c r="G29" s="377">
        <v>5</v>
      </c>
      <c r="H29" s="377">
        <v>20</v>
      </c>
      <c r="I29" s="377"/>
      <c r="J29" s="377"/>
      <c r="K29" s="377"/>
      <c r="L29" s="377"/>
      <c r="M29" s="377"/>
      <c r="N29" s="377"/>
      <c r="O29" s="377"/>
      <c r="P29" s="377"/>
      <c r="Q29" s="377"/>
      <c r="R29" s="377"/>
      <c r="S29" s="377"/>
      <c r="T29" s="377"/>
      <c r="U29" s="378"/>
      <c r="V29" s="378"/>
      <c r="W29" s="378"/>
      <c r="X29" s="378"/>
      <c r="Y29" s="36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29" s="362">
        <f t="shared" si="1"/>
        <v>60</v>
      </c>
      <c r="AA29" s="363">
        <f t="shared" si="2"/>
        <v>12</v>
      </c>
      <c r="AB29" s="379">
        <v>45</v>
      </c>
      <c r="AC29" s="377">
        <v>88</v>
      </c>
      <c r="AD29" s="377"/>
      <c r="AE29" s="377"/>
      <c r="AF29" s="377"/>
      <c r="AG29" s="377"/>
      <c r="AH29" s="377"/>
      <c r="AI29" s="377"/>
      <c r="AJ29" s="380"/>
      <c r="AK29" s="378"/>
      <c r="AL29" s="377"/>
      <c r="AM29" s="377"/>
      <c r="AN29" s="377"/>
      <c r="AO29" s="378"/>
      <c r="AP29" s="378"/>
      <c r="AQ29" s="216">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29" s="381">
        <f t="shared" si="3"/>
        <v>88.66666666666667</v>
      </c>
      <c r="AS29" s="382">
        <f t="shared" si="4"/>
        <v>44.333333333333336</v>
      </c>
      <c r="AT29" s="377">
        <v>21</v>
      </c>
      <c r="AU29" s="378">
        <v>29</v>
      </c>
      <c r="AV29" s="383">
        <v>34</v>
      </c>
      <c r="AW29" s="362">
        <f t="shared" si="5"/>
        <v>13.999999999999998</v>
      </c>
      <c r="AX29" s="362">
        <f t="shared" si="6"/>
        <v>19.333333333333332</v>
      </c>
      <c r="AY29" s="362">
        <f t="shared" si="7"/>
        <v>13.600000000000001</v>
      </c>
      <c r="AZ29" s="381">
        <f t="shared" si="8"/>
        <v>46.93333333333333</v>
      </c>
      <c r="BA29" s="384">
        <f t="shared" si="9"/>
        <v>14.079999999999998</v>
      </c>
      <c r="BB29" s="385"/>
      <c r="BC29" s="362">
        <f t="shared" si="0"/>
      </c>
      <c r="BD29" s="386">
        <f t="shared" si="10"/>
      </c>
      <c r="BE29" s="372">
        <f t="shared" si="11"/>
        <v>70.41</v>
      </c>
      <c r="BF29" s="373">
        <f>IF(OR(AA29="Error",AS29="Error",BA29="Error",BD29="Error"),"Error",
 IF(D29="","",
 IF(AND(N($AA$6)+N($AS$6)+N($BA$7)=100%,
 OR(N($AA$6)=0,AA29&lt;&gt;""),OR(N($AS$6)=0,AS29&lt;&gt;""),OR(N($BA$7)=0,BA29&lt;&gt;""),BE29&lt;&gt;""),
 _xlfn.XLOOKUP(BE29,'Helper 1'!$B$3:$B$43,'Helper 1'!$D$3:$D$43,,-1),"")))</f>
        <v>75</v>
      </c>
      <c r="BG29" s="374" t="str">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0" ht="15.95" customHeight="1" spans="2:59" x14ac:dyDescent="0.25">
      <c r="B30" s="305">
        <v>22</v>
      </c>
      <c r="C30" s="375">
        <f>IF('Data Input'!M28="","",'Data Input'!M28)</f>
        <v>2000494490</v>
      </c>
      <c r="D30" s="376" t="str">
        <f>IF(ISBLANK('Data Input'!N28),"",PROPER('Data Input'!N28))</f>
        <v>Melgar, Niza Jade</v>
      </c>
      <c r="E30" s="377">
        <v>0</v>
      </c>
      <c r="F30" s="377">
        <v>8</v>
      </c>
      <c r="G30" s="377">
        <v>6</v>
      </c>
      <c r="H30" s="377">
        <v>20</v>
      </c>
      <c r="I30" s="377"/>
      <c r="J30" s="377"/>
      <c r="K30" s="377"/>
      <c r="L30" s="377"/>
      <c r="M30" s="377"/>
      <c r="N30" s="377"/>
      <c r="O30" s="377"/>
      <c r="P30" s="377"/>
      <c r="Q30" s="377"/>
      <c r="R30" s="377"/>
      <c r="S30" s="377"/>
      <c r="T30" s="377"/>
      <c r="U30" s="378"/>
      <c r="V30" s="378"/>
      <c r="W30" s="378"/>
      <c r="X30" s="378"/>
      <c r="Y30" s="36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34</v>
      </c>
      <c r="Z30" s="362">
        <f t="shared" si="1"/>
        <v>48.57142857142857</v>
      </c>
      <c r="AA30" s="363">
        <f t="shared" si="2"/>
        <v>9.714285714285715</v>
      </c>
      <c r="AB30" s="379">
        <v>45</v>
      </c>
      <c r="AC30" s="377">
        <v>88</v>
      </c>
      <c r="AD30" s="377"/>
      <c r="AE30" s="377"/>
      <c r="AF30" s="377"/>
      <c r="AG30" s="377"/>
      <c r="AH30" s="377"/>
      <c r="AI30" s="377"/>
      <c r="AJ30" s="380"/>
      <c r="AK30" s="378"/>
      <c r="AL30" s="377"/>
      <c r="AM30" s="377"/>
      <c r="AN30" s="377"/>
      <c r="AO30" s="378"/>
      <c r="AP30" s="378"/>
      <c r="AQ30" s="216">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0" s="381">
        <f t="shared" si="3"/>
        <v>88.66666666666667</v>
      </c>
      <c r="AS30" s="382">
        <f t="shared" si="4"/>
        <v>44.333333333333336</v>
      </c>
      <c r="AT30" s="377">
        <v>25</v>
      </c>
      <c r="AU30" s="378">
        <v>31</v>
      </c>
      <c r="AV30" s="383">
        <v>27</v>
      </c>
      <c r="AW30" s="362">
        <f t="shared" si="5"/>
        <v>16.666666666666668</v>
      </c>
      <c r="AX30" s="362">
        <f t="shared" si="6"/>
        <v>20.666666666666664</v>
      </c>
      <c r="AY30" s="362">
        <f t="shared" si="7"/>
        <v>10.8</v>
      </c>
      <c r="AZ30" s="381">
        <f t="shared" si="8"/>
        <v>48.133333333333326</v>
      </c>
      <c r="BA30" s="384">
        <f t="shared" si="9"/>
        <v>14.439999999999998</v>
      </c>
      <c r="BB30" s="385"/>
      <c r="BC30" s="362">
        <f t="shared" si="0"/>
      </c>
      <c r="BD30" s="386">
        <f t="shared" si="10"/>
      </c>
      <c r="BE30" s="372">
        <f t="shared" si="11"/>
        <v>68.49</v>
      </c>
      <c r="BF30" s="373">
        <f>IF(OR(AA30="Error",AS30="Error",BA30="Error",BD30="Error"),"Error",
 IF(D30="","",
 IF(AND(N($AA$6)+N($AS$6)+N($BA$7)=100%,
 OR(N($AA$6)=0,AA30&lt;&gt;""),OR(N($AS$6)=0,AS30&lt;&gt;""),OR(N($BA$7)=0,BA30&lt;&gt;""),BE30&lt;&gt;""),
 _xlfn.XLOOKUP(BE30,'Helper 1'!$B$3:$B$43,'Helper 1'!$D$3:$D$43,,-1),"")))</f>
        <v>74</v>
      </c>
      <c r="BG30" s="374" t="str">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1" ht="15.95" customHeight="1" spans="2:59" x14ac:dyDescent="0.25">
      <c r="B31" s="305">
        <v>23</v>
      </c>
      <c r="C31" s="375">
        <f>IF('Data Input'!M29="","",'Data Input'!M29)</f>
        <v>2000492883</v>
      </c>
      <c r="D31" s="376" t="str">
        <f>IF(ISBLANK('Data Input'!N29),"",PROPER('Data Input'!N29))</f>
        <v>Morada, Carl Ely</v>
      </c>
      <c r="E31" s="377">
        <v>5</v>
      </c>
      <c r="F31" s="377">
        <v>12</v>
      </c>
      <c r="G31" s="377">
        <v>1</v>
      </c>
      <c r="H31" s="377">
        <v>20</v>
      </c>
      <c r="I31" s="377"/>
      <c r="J31" s="377"/>
      <c r="K31" s="377"/>
      <c r="L31" s="377"/>
      <c r="M31" s="377"/>
      <c r="N31" s="377"/>
      <c r="O31" s="377"/>
      <c r="P31" s="377"/>
      <c r="Q31" s="377"/>
      <c r="R31" s="377"/>
      <c r="S31" s="377"/>
      <c r="T31" s="377"/>
      <c r="U31" s="378"/>
      <c r="V31" s="378"/>
      <c r="W31" s="378"/>
      <c r="X31" s="378"/>
      <c r="Y31" s="36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31" s="362">
        <f t="shared" si="1"/>
        <v>54.285714285714285</v>
      </c>
      <c r="AA31" s="363">
        <f t="shared" si="2"/>
        <v>10.857142857142858</v>
      </c>
      <c r="AB31" s="379">
        <v>47</v>
      </c>
      <c r="AC31" s="377">
        <v>88</v>
      </c>
      <c r="AD31" s="377"/>
      <c r="AE31" s="377"/>
      <c r="AF31" s="377"/>
      <c r="AG31" s="377"/>
      <c r="AH31" s="377"/>
      <c r="AI31" s="377"/>
      <c r="AJ31" s="380"/>
      <c r="AK31" s="378"/>
      <c r="AL31" s="377"/>
      <c r="AM31" s="377"/>
      <c r="AN31" s="377"/>
      <c r="AO31" s="378"/>
      <c r="AP31" s="378"/>
      <c r="AQ31" s="216">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1" s="381">
        <f t="shared" si="3"/>
        <v>90</v>
      </c>
      <c r="AS31" s="382">
        <f t="shared" si="4"/>
        <v>45</v>
      </c>
      <c r="AT31" s="377">
        <v>32</v>
      </c>
      <c r="AU31" s="378">
        <v>35</v>
      </c>
      <c r="AV31" s="383">
        <v>56</v>
      </c>
      <c r="AW31" s="362">
        <f t="shared" si="5"/>
        <v>21.333333333333332</v>
      </c>
      <c r="AX31" s="362">
        <f t="shared" si="6"/>
        <v>23.333333333333336</v>
      </c>
      <c r="AY31" s="362">
        <f t="shared" si="7"/>
        <v>22.400000000000006</v>
      </c>
      <c r="AZ31" s="381">
        <f t="shared" si="8"/>
        <v>67.06666666666668</v>
      </c>
      <c r="BA31" s="384">
        <f t="shared" si="9"/>
        <v>20.12</v>
      </c>
      <c r="BB31" s="385"/>
      <c r="BC31" s="362">
        <f t="shared" si="0"/>
      </c>
      <c r="BD31" s="386">
        <f t="shared" si="10"/>
      </c>
      <c r="BE31" s="372">
        <f t="shared" si="11"/>
        <v>75.98</v>
      </c>
      <c r="BF31" s="373">
        <f>IF(OR(AA31="Error",AS31="Error",BA31="Error",BD31="Error"),"Error",
 IF(D31="","",
 IF(AND(N($AA$6)+N($AS$6)+N($BA$7)=100%,
 OR(N($AA$6)=0,AA31&lt;&gt;""),OR(N($AS$6)=0,AS31&lt;&gt;""),OR(N($BA$7)=0,BA31&lt;&gt;""),BE31&lt;&gt;""),
 _xlfn.XLOOKUP(BE31,'Helper 1'!$B$3:$B$43,'Helper 1'!$D$3:$D$43,,-1),"")))</f>
        <v>80</v>
      </c>
      <c r="BG31" s="374" t="str">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2" ht="15.95" customHeight="1" spans="2:59" x14ac:dyDescent="0.25">
      <c r="B32" s="305">
        <v>24</v>
      </c>
      <c r="C32" s="375">
        <f>IF('Data Input'!M30="","",'Data Input'!M30)</f>
        <v>2000493062</v>
      </c>
      <c r="D32" s="376" t="str">
        <f>IF(ISBLANK('Data Input'!N30),"",PROPER('Data Input'!N30))</f>
        <v>Olores, Frecious Natalie</v>
      </c>
      <c r="E32" s="377">
        <v>9</v>
      </c>
      <c r="F32" s="377">
        <v>10</v>
      </c>
      <c r="G32" s="377">
        <v>8</v>
      </c>
      <c r="H32" s="377">
        <v>20</v>
      </c>
      <c r="I32" s="377"/>
      <c r="J32" s="377"/>
      <c r="K32" s="377"/>
      <c r="L32" s="377"/>
      <c r="M32" s="377"/>
      <c r="N32" s="377"/>
      <c r="O32" s="377"/>
      <c r="P32" s="377"/>
      <c r="Q32" s="377"/>
      <c r="R32" s="377"/>
      <c r="S32" s="377"/>
      <c r="T32" s="377"/>
      <c r="U32" s="378"/>
      <c r="V32" s="378"/>
      <c r="W32" s="378"/>
      <c r="X32" s="378"/>
      <c r="Y32" s="36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47</v>
      </c>
      <c r="Z32" s="362">
        <f t="shared" si="1"/>
        <v>67.14285714285714</v>
      </c>
      <c r="AA32" s="363">
        <f t="shared" si="2"/>
        <v>13.428571428571429</v>
      </c>
      <c r="AB32" s="379">
        <v>45</v>
      </c>
      <c r="AC32" s="377">
        <v>88</v>
      </c>
      <c r="AD32" s="377"/>
      <c r="AE32" s="377"/>
      <c r="AF32" s="377"/>
      <c r="AG32" s="377"/>
      <c r="AH32" s="377"/>
      <c r="AI32" s="377"/>
      <c r="AJ32" s="380"/>
      <c r="AK32" s="378"/>
      <c r="AL32" s="377"/>
      <c r="AM32" s="377"/>
      <c r="AN32" s="377"/>
      <c r="AO32" s="378"/>
      <c r="AP32" s="378"/>
      <c r="AQ32" s="216">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2" s="381">
        <f t="shared" si="3"/>
        <v>88.66666666666667</v>
      </c>
      <c r="AS32" s="382">
        <f t="shared" si="4"/>
        <v>44.333333333333336</v>
      </c>
      <c r="AT32" s="377">
        <v>28</v>
      </c>
      <c r="AU32" s="378">
        <v>22</v>
      </c>
      <c r="AV32" s="383">
        <v>37</v>
      </c>
      <c r="AW32" s="362">
        <f t="shared" si="5"/>
        <v>18.666666666666664</v>
      </c>
      <c r="AX32" s="362">
        <f t="shared" si="6"/>
        <v>14.666666666666664</v>
      </c>
      <c r="AY32" s="362">
        <f t="shared" si="7"/>
        <v>14.8</v>
      </c>
      <c r="AZ32" s="381">
        <f t="shared" si="8"/>
        <v>48.133333333333326</v>
      </c>
      <c r="BA32" s="384">
        <f t="shared" si="9"/>
        <v>14.439999999999998</v>
      </c>
      <c r="BB32" s="385"/>
      <c r="BC32" s="362">
        <f t="shared" si="0"/>
      </c>
      <c r="BD32" s="386">
        <f t="shared" si="10"/>
      </c>
      <c r="BE32" s="372">
        <f t="shared" si="11"/>
        <v>72.2</v>
      </c>
      <c r="BF32" s="373">
        <f>IF(OR(AA32="Error",AS32="Error",BA32="Error",BD32="Error"),"Error",
 IF(D32="","",
 IF(AND(N($AA$6)+N($AS$6)+N($BA$7)=100%,
 OR(N($AA$6)=0,AA32&lt;&gt;""),OR(N($AS$6)=0,AS32&lt;&gt;""),OR(N($BA$7)=0,BA32&lt;&gt;""),BE32&lt;&gt;""),
 _xlfn.XLOOKUP(BE32,'Helper 1'!$B$3:$B$43,'Helper 1'!$D$3:$D$43,,-1),"")))</f>
        <v>76</v>
      </c>
      <c r="BG32" s="374" t="str">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3" ht="15.95" customHeight="1" spans="2:59" x14ac:dyDescent="0.25">
      <c r="B33" s="305">
        <v>25</v>
      </c>
      <c r="C33" s="375">
        <f>IF('Data Input'!M31="","",'Data Input'!M31)</f>
        <v>2000499699</v>
      </c>
      <c r="D33" s="376" t="str">
        <f>IF(ISBLANK('Data Input'!N31),"",PROPER('Data Input'!N31))</f>
        <v>Ortinero, Christel Ace</v>
      </c>
      <c r="E33" s="377">
        <v>3</v>
      </c>
      <c r="F33" s="377">
        <v>12</v>
      </c>
      <c r="G33" s="377"/>
      <c r="H33" s="377">
        <v>20</v>
      </c>
      <c r="I33" s="377"/>
      <c r="J33" s="377"/>
      <c r="K33" s="377"/>
      <c r="L33" s="377"/>
      <c r="M33" s="377"/>
      <c r="N33" s="377"/>
      <c r="O33" s="377"/>
      <c r="P33" s="377"/>
      <c r="Q33" s="377"/>
      <c r="R33" s="377"/>
      <c r="S33" s="377"/>
      <c r="T33" s="377"/>
      <c r="U33" s="378"/>
      <c r="V33" s="378"/>
      <c r="W33" s="378"/>
      <c r="X33" s="378"/>
      <c r="Y33" s="36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33" s="362">
        <f t="shared" si="1"/>
        <v>50</v>
      </c>
      <c r="AA33" s="363">
        <f t="shared" si="2"/>
        <v>10</v>
      </c>
      <c r="AB33" s="379">
        <v>47</v>
      </c>
      <c r="AC33" s="377">
        <v>88</v>
      </c>
      <c r="AD33" s="377"/>
      <c r="AE33" s="377"/>
      <c r="AF33" s="377"/>
      <c r="AG33" s="377"/>
      <c r="AH33" s="377"/>
      <c r="AI33" s="377"/>
      <c r="AJ33" s="380"/>
      <c r="AK33" s="378"/>
      <c r="AL33" s="377"/>
      <c r="AM33" s="377"/>
      <c r="AN33" s="377"/>
      <c r="AO33" s="378"/>
      <c r="AP33" s="378"/>
      <c r="AQ33" s="216">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3" s="381">
        <f t="shared" si="3"/>
        <v>90</v>
      </c>
      <c r="AS33" s="382">
        <f t="shared" si="4"/>
        <v>45</v>
      </c>
      <c r="AT33" s="377">
        <v>25</v>
      </c>
      <c r="AU33" s="378">
        <v>28</v>
      </c>
      <c r="AV33" s="383">
        <v>45</v>
      </c>
      <c r="AW33" s="362">
        <f t="shared" si="5"/>
        <v>16.666666666666668</v>
      </c>
      <c r="AX33" s="362">
        <f t="shared" si="6"/>
        <v>18.666666666666664</v>
      </c>
      <c r="AY33" s="362">
        <f t="shared" si="7"/>
        <v>18</v>
      </c>
      <c r="AZ33" s="381">
        <f t="shared" si="8"/>
        <v>53.33333333333333</v>
      </c>
      <c r="BA33" s="384">
        <f t="shared" si="9"/>
        <v>15.999999999999998</v>
      </c>
      <c r="BB33" s="385"/>
      <c r="BC33" s="362">
        <f t="shared" si="0"/>
      </c>
      <c r="BD33" s="386">
        <f t="shared" si="10"/>
      </c>
      <c r="BE33" s="372">
        <f t="shared" si="11"/>
        <v>71</v>
      </c>
      <c r="BF33" s="373">
        <f>IF(OR(AA33="Error",AS33="Error",BA33="Error",BD33="Error"),"Error",
 IF(D33="","",
 IF(AND(N($AA$6)+N($AS$6)+N($BA$7)=100%,
 OR(N($AA$6)=0,AA33&lt;&gt;""),OR(N($AS$6)=0,AS33&lt;&gt;""),OR(N($BA$7)=0,BA33&lt;&gt;""),BE33&lt;&gt;""),
 _xlfn.XLOOKUP(BE33,'Helper 1'!$B$3:$B$43,'Helper 1'!$D$3:$D$43,,-1),"")))</f>
        <v>75</v>
      </c>
      <c r="BG33" s="374" t="str">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4" ht="15.95" customHeight="1" spans="2:59" x14ac:dyDescent="0.25">
      <c r="B34" s="305">
        <v>26</v>
      </c>
      <c r="C34" s="375">
        <f>IF('Data Input'!M32="","",'Data Input'!M32)</f>
        <v>2000481841</v>
      </c>
      <c r="D34" s="376" t="str">
        <f>IF(ISBLANK('Data Input'!N32),"",PROPER('Data Input'!N32))</f>
        <v>Pascua, Jhon Gavriel</v>
      </c>
      <c r="E34" s="377">
        <v>7</v>
      </c>
      <c r="F34" s="377">
        <v>9</v>
      </c>
      <c r="G34" s="377">
        <v>7</v>
      </c>
      <c r="H34" s="377">
        <v>20</v>
      </c>
      <c r="I34" s="377"/>
      <c r="J34" s="377"/>
      <c r="K34" s="377"/>
      <c r="L34" s="377"/>
      <c r="M34" s="377"/>
      <c r="N34" s="377"/>
      <c r="O34" s="377"/>
      <c r="P34" s="377"/>
      <c r="Q34" s="377"/>
      <c r="R34" s="377"/>
      <c r="S34" s="377"/>
      <c r="T34" s="377"/>
      <c r="U34" s="378"/>
      <c r="V34" s="378"/>
      <c r="W34" s="378"/>
      <c r="X34" s="378"/>
      <c r="Y34" s="36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43</v>
      </c>
      <c r="Z34" s="362">
        <f t="shared" si="1"/>
        <v>61.42857142857143</v>
      </c>
      <c r="AA34" s="363">
        <f t="shared" si="2"/>
        <v>12.285714285714286</v>
      </c>
      <c r="AB34" s="379">
        <v>45</v>
      </c>
      <c r="AC34" s="377">
        <v>88</v>
      </c>
      <c r="AD34" s="377"/>
      <c r="AE34" s="377"/>
      <c r="AF34" s="377"/>
      <c r="AG34" s="377"/>
      <c r="AH34" s="377"/>
      <c r="AI34" s="377"/>
      <c r="AJ34" s="380"/>
      <c r="AK34" s="378"/>
      <c r="AL34" s="377"/>
      <c r="AM34" s="377"/>
      <c r="AN34" s="377"/>
      <c r="AO34" s="378"/>
      <c r="AP34" s="378"/>
      <c r="AQ34" s="216">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4" s="381">
        <f t="shared" si="3"/>
        <v>88.66666666666667</v>
      </c>
      <c r="AS34" s="382">
        <f t="shared" si="4"/>
        <v>44.333333333333336</v>
      </c>
      <c r="AT34" s="377">
        <v>28</v>
      </c>
      <c r="AU34" s="378">
        <v>32</v>
      </c>
      <c r="AV34" s="383">
        <v>48</v>
      </c>
      <c r="AW34" s="362">
        <f t="shared" si="5"/>
        <v>18.666666666666664</v>
      </c>
      <c r="AX34" s="362">
        <f t="shared" si="6"/>
        <v>21.333333333333332</v>
      </c>
      <c r="AY34" s="362">
        <f t="shared" si="7"/>
        <v>19.200000000000003</v>
      </c>
      <c r="AZ34" s="381">
        <f t="shared" si="8"/>
        <v>59.2</v>
      </c>
      <c r="BA34" s="384">
        <f t="shared" si="9"/>
        <v>17.76</v>
      </c>
      <c r="BB34" s="385"/>
      <c r="BC34" s="362">
        <f t="shared" si="0"/>
      </c>
      <c r="BD34" s="386">
        <f t="shared" si="10"/>
      </c>
      <c r="BE34" s="372">
        <f t="shared" si="11"/>
        <v>74.38</v>
      </c>
      <c r="BF34" s="373">
        <f>IF(OR(AA34="Error",AS34="Error",BA34="Error",BD34="Error"),"Error",
 IF(D34="","",
 IF(AND(N($AA$6)+N($AS$6)+N($BA$7)=100%,
 OR(N($AA$6)=0,AA34&lt;&gt;""),OR(N($AS$6)=0,AS34&lt;&gt;""),OR(N($BA$7)=0,BA34&lt;&gt;""),BE34&lt;&gt;""),
 _xlfn.XLOOKUP(BE34,'Helper 1'!$B$3:$B$43,'Helper 1'!$D$3:$D$43,,-1),"")))</f>
        <v>78</v>
      </c>
      <c r="BG34" s="374" t="str">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5" ht="15.95" customHeight="1" spans="2:59" x14ac:dyDescent="0.25">
      <c r="B35" s="305">
        <v>27</v>
      </c>
      <c r="C35" s="375">
        <f>IF('Data Input'!M33="","",'Data Input'!M33)</f>
        <v>2000492838</v>
      </c>
      <c r="D35" s="376" t="str">
        <f>IF(ISBLANK('Data Input'!N33),"",PROPER('Data Input'!N33))</f>
        <v>Pastor, Jaydhen</v>
      </c>
      <c r="E35" s="377">
        <v>16</v>
      </c>
      <c r="F35" s="377">
        <v>19</v>
      </c>
      <c r="G35" s="377">
        <v>9</v>
      </c>
      <c r="H35" s="377">
        <v>20</v>
      </c>
      <c r="I35" s="377"/>
      <c r="J35" s="377"/>
      <c r="K35" s="377"/>
      <c r="L35" s="377"/>
      <c r="M35" s="377"/>
      <c r="N35" s="377"/>
      <c r="O35" s="377"/>
      <c r="P35" s="377"/>
      <c r="Q35" s="377"/>
      <c r="R35" s="377"/>
      <c r="S35" s="377"/>
      <c r="T35" s="377"/>
      <c r="U35" s="378"/>
      <c r="V35" s="378"/>
      <c r="W35" s="378"/>
      <c r="X35" s="378"/>
      <c r="Y35" s="36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64</v>
      </c>
      <c r="Z35" s="362">
        <f t="shared" si="1"/>
        <v>91.42857142857143</v>
      </c>
      <c r="AA35" s="363">
        <f t="shared" si="2"/>
        <v>18.28571428571429</v>
      </c>
      <c r="AB35" s="379">
        <v>46</v>
      </c>
      <c r="AC35" s="377">
        <v>90</v>
      </c>
      <c r="AD35" s="377"/>
      <c r="AE35" s="377"/>
      <c r="AF35" s="377"/>
      <c r="AG35" s="377"/>
      <c r="AH35" s="377"/>
      <c r="AI35" s="377"/>
      <c r="AJ35" s="380"/>
      <c r="AK35" s="378"/>
      <c r="AL35" s="377"/>
      <c r="AM35" s="377"/>
      <c r="AN35" s="377"/>
      <c r="AO35" s="378"/>
      <c r="AP35" s="378"/>
      <c r="AQ35" s="216">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35" s="381">
        <f t="shared" si="3"/>
        <v>90.66666666666666</v>
      </c>
      <c r="AS35" s="382">
        <f t="shared" si="4"/>
        <v>45.33333333333333</v>
      </c>
      <c r="AT35" s="377">
        <v>42</v>
      </c>
      <c r="AU35" s="378">
        <v>45</v>
      </c>
      <c r="AV35" s="383">
        <v>91</v>
      </c>
      <c r="AW35" s="362">
        <f t="shared" si="5"/>
        <v>27.999999999999996</v>
      </c>
      <c r="AX35" s="362">
        <f t="shared" si="6"/>
        <v>30</v>
      </c>
      <c r="AY35" s="362">
        <f t="shared" si="7"/>
        <v>36.4</v>
      </c>
      <c r="AZ35" s="381">
        <f t="shared" si="8"/>
        <v>94.4</v>
      </c>
      <c r="BA35" s="384">
        <f t="shared" si="9"/>
        <v>28.32</v>
      </c>
      <c r="BB35" s="385"/>
      <c r="BC35" s="362">
        <f t="shared" si="0"/>
      </c>
      <c r="BD35" s="386">
        <f t="shared" si="10"/>
      </c>
      <c r="BE35" s="372">
        <f t="shared" si="11"/>
        <v>91.94</v>
      </c>
      <c r="BF35" s="373">
        <f>IF(OR(AA35="Error",AS35="Error",BA35="Error",BD35="Error"),"Error",
 IF(D35="","",
 IF(AND(N($AA$6)+N($AS$6)+N($BA$7)=100%,
 OR(N($AA$6)=0,AA35&lt;&gt;""),OR(N($AS$6)=0,AS35&lt;&gt;""),OR(N($BA$7)=0,BA35&lt;&gt;""),BE35&lt;&gt;""),
 _xlfn.XLOOKUP(BE35,'Helper 1'!$B$3:$B$43,'Helper 1'!$D$3:$D$43,,-1),"")))</f>
        <v>93</v>
      </c>
      <c r="BG35" s="374" t="str">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6" ht="15.95" customHeight="1" spans="2:59" x14ac:dyDescent="0.25">
      <c r="B36" s="305">
        <v>28</v>
      </c>
      <c r="C36" s="375">
        <f>IF('Data Input'!M34="","",'Data Input'!M34)</f>
        <v>2000485198</v>
      </c>
      <c r="D36" s="376" t="str">
        <f>IF(ISBLANK('Data Input'!N34),"",PROPER('Data Input'!N34))</f>
        <v>Placente, Rhian</v>
      </c>
      <c r="E36" s="377">
        <v>2</v>
      </c>
      <c r="F36" s="377">
        <v>10</v>
      </c>
      <c r="G36" s="377">
        <v>3</v>
      </c>
      <c r="H36" s="377">
        <v>20</v>
      </c>
      <c r="I36" s="377"/>
      <c r="J36" s="377"/>
      <c r="K36" s="377"/>
      <c r="L36" s="377"/>
      <c r="M36" s="377"/>
      <c r="N36" s="377"/>
      <c r="O36" s="377"/>
      <c r="P36" s="377"/>
      <c r="Q36" s="377"/>
      <c r="R36" s="377"/>
      <c r="S36" s="377"/>
      <c r="T36" s="377"/>
      <c r="U36" s="378"/>
      <c r="V36" s="378"/>
      <c r="W36" s="378"/>
      <c r="X36" s="378"/>
      <c r="Y36" s="36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36" s="362">
        <f t="shared" si="1"/>
        <v>50</v>
      </c>
      <c r="AA36" s="363">
        <f t="shared" si="2"/>
        <v>10</v>
      </c>
      <c r="AB36" s="379">
        <v>47</v>
      </c>
      <c r="AC36" s="377">
        <v>88</v>
      </c>
      <c r="AD36" s="377"/>
      <c r="AE36" s="377"/>
      <c r="AF36" s="377"/>
      <c r="AG36" s="377"/>
      <c r="AH36" s="377"/>
      <c r="AI36" s="377"/>
      <c r="AJ36" s="380"/>
      <c r="AK36" s="378"/>
      <c r="AL36" s="377"/>
      <c r="AM36" s="377"/>
      <c r="AN36" s="377"/>
      <c r="AO36" s="378"/>
      <c r="AP36" s="378"/>
      <c r="AQ36" s="216">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6" s="381">
        <f t="shared" si="3"/>
        <v>90</v>
      </c>
      <c r="AS36" s="382">
        <f t="shared" si="4"/>
        <v>45</v>
      </c>
      <c r="AT36" s="377">
        <v>25</v>
      </c>
      <c r="AU36" s="378">
        <v>29</v>
      </c>
      <c r="AV36" s="383">
        <v>38</v>
      </c>
      <c r="AW36" s="362">
        <f t="shared" si="5"/>
        <v>16.666666666666668</v>
      </c>
      <c r="AX36" s="362">
        <f t="shared" si="6"/>
        <v>19.333333333333332</v>
      </c>
      <c r="AY36" s="362">
        <f t="shared" si="7"/>
        <v>15.200000000000001</v>
      </c>
      <c r="AZ36" s="381">
        <f t="shared" si="8"/>
        <v>51.2</v>
      </c>
      <c r="BA36" s="384">
        <f t="shared" si="9"/>
        <v>15.36</v>
      </c>
      <c r="BB36" s="385"/>
      <c r="BC36" s="362">
        <f t="shared" si="0"/>
      </c>
      <c r="BD36" s="386">
        <f t="shared" si="10"/>
      </c>
      <c r="BE36" s="372">
        <f t="shared" si="11"/>
        <v>70.36</v>
      </c>
      <c r="BF36" s="373">
        <f>IF(OR(AA36="Error",AS36="Error",BA36="Error",BD36="Error"),"Error",
 IF(D36="","",
 IF(AND(N($AA$6)+N($AS$6)+N($BA$7)=100%,
 OR(N($AA$6)=0,AA36&lt;&gt;""),OR(N($AS$6)=0,AS36&lt;&gt;""),OR(N($BA$7)=0,BA36&lt;&gt;""),BE36&lt;&gt;""),
 _xlfn.XLOOKUP(BE36,'Helper 1'!$B$3:$B$43,'Helper 1'!$D$3:$D$43,,-1),"")))</f>
        <v>75</v>
      </c>
      <c r="BG36" s="374" t="str">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7" ht="15.95" customHeight="1" spans="2:59" x14ac:dyDescent="0.25">
      <c r="B37" s="305">
        <v>29</v>
      </c>
      <c r="C37" s="375">
        <f>IF('Data Input'!M35="","",'Data Input'!M35)</f>
      </c>
      <c r="D37" s="376">
        <f>IF(ISBLANK('Data Input'!N35),"",PROPER('Data Input'!N35))</f>
      </c>
      <c r="E37" s="377"/>
      <c r="F37" s="377"/>
      <c r="G37" s="377"/>
      <c r="H37" s="377"/>
      <c r="I37" s="377"/>
      <c r="J37" s="377"/>
      <c r="K37" s="377"/>
      <c r="L37" s="377"/>
      <c r="M37" s="377"/>
      <c r="N37" s="377"/>
      <c r="O37" s="377"/>
      <c r="P37" s="377"/>
      <c r="Q37" s="377"/>
      <c r="R37" s="377"/>
      <c r="S37" s="377"/>
      <c r="T37" s="377"/>
      <c r="U37" s="378"/>
      <c r="V37" s="378"/>
      <c r="W37" s="378"/>
      <c r="X37" s="378"/>
      <c r="Y37" s="36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7" s="362">
        <f t="shared" si="1"/>
      </c>
      <c r="AA37" s="363">
        <f t="shared" si="2"/>
      </c>
      <c r="AB37" s="379"/>
      <c r="AC37" s="377"/>
      <c r="AD37" s="377"/>
      <c r="AE37" s="377"/>
      <c r="AF37" s="377"/>
      <c r="AG37" s="377"/>
      <c r="AH37" s="377"/>
      <c r="AI37" s="377"/>
      <c r="AJ37" s="380"/>
      <c r="AK37" s="378"/>
      <c r="AL37" s="377"/>
      <c r="AM37" s="377"/>
      <c r="AN37" s="377"/>
      <c r="AO37" s="378"/>
      <c r="AP37" s="378"/>
      <c r="AQ37" s="216">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7" s="381">
        <f t="shared" si="3"/>
      </c>
      <c r="AS37" s="382">
        <f t="shared" si="4"/>
      </c>
      <c r="AT37" s="377"/>
      <c r="AU37" s="378"/>
      <c r="AV37" s="383"/>
      <c r="AW37" s="362">
        <f t="shared" si="5"/>
      </c>
      <c r="AX37" s="362">
        <f t="shared" si="6"/>
      </c>
      <c r="AY37" s="362">
        <f t="shared" si="7"/>
      </c>
      <c r="AZ37" s="381">
        <f t="shared" si="8"/>
      </c>
      <c r="BA37" s="384">
        <f t="shared" si="9"/>
      </c>
      <c r="BB37" s="385"/>
      <c r="BC37" s="362">
        <f t="shared" si="0"/>
      </c>
      <c r="BD37" s="386">
        <f t="shared" si="10"/>
      </c>
      <c r="BE37" s="372">
        <f t="shared" si="11"/>
      </c>
      <c r="BF37" s="373">
        <f>IF(OR(AA37="Error",AS37="Error",BA37="Error",BD37="Error"),"Error",
 IF(D37="","",
 IF(AND(N($AA$6)+N($AS$6)+N($BA$7)=100%,
 OR(N($AA$6)=0,AA37&lt;&gt;""),OR(N($AS$6)=0,AS37&lt;&gt;""),OR(N($BA$7)=0,BA37&lt;&gt;""),BE37&lt;&gt;""),
 _xlfn.XLOOKUP(BE37,'Helper 1'!$B$3:$B$43,'Helper 1'!$D$3:$D$43,,-1),"")))</f>
      </c>
      <c r="BG37" s="374">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8" ht="15.95" customHeight="1" spans="2:59" x14ac:dyDescent="0.25">
      <c r="B38" s="305">
        <v>30</v>
      </c>
      <c r="C38" s="375">
        <f>IF('Data Input'!M36="","",'Data Input'!M36)</f>
      </c>
      <c r="D38" s="376">
        <f>IF(ISBLANK('Data Input'!N36),"",PROPER('Data Input'!N36))</f>
      </c>
      <c r="E38" s="377"/>
      <c r="F38" s="377"/>
      <c r="G38" s="377"/>
      <c r="H38" s="377"/>
      <c r="I38" s="377"/>
      <c r="J38" s="377"/>
      <c r="K38" s="377"/>
      <c r="L38" s="377"/>
      <c r="M38" s="377"/>
      <c r="N38" s="377"/>
      <c r="O38" s="377"/>
      <c r="P38" s="377"/>
      <c r="Q38" s="377"/>
      <c r="R38" s="377"/>
      <c r="S38" s="377"/>
      <c r="T38" s="377"/>
      <c r="U38" s="378"/>
      <c r="V38" s="378"/>
      <c r="W38" s="378"/>
      <c r="X38" s="378"/>
      <c r="Y38" s="36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8" s="362">
        <f t="shared" si="1"/>
      </c>
      <c r="AA38" s="363">
        <f t="shared" si="2"/>
      </c>
      <c r="AB38" s="379"/>
      <c r="AC38" s="377"/>
      <c r="AD38" s="377"/>
      <c r="AE38" s="377"/>
      <c r="AF38" s="377"/>
      <c r="AG38" s="377"/>
      <c r="AH38" s="377"/>
      <c r="AI38" s="377"/>
      <c r="AJ38" s="380"/>
      <c r="AK38" s="378"/>
      <c r="AL38" s="377"/>
      <c r="AM38" s="377"/>
      <c r="AN38" s="377"/>
      <c r="AO38" s="378"/>
      <c r="AP38" s="378"/>
      <c r="AQ38" s="216">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8" s="381">
        <f t="shared" si="3"/>
      </c>
      <c r="AS38" s="382">
        <f t="shared" si="4"/>
      </c>
      <c r="AT38" s="377"/>
      <c r="AU38" s="378"/>
      <c r="AV38" s="383"/>
      <c r="AW38" s="362">
        <f t="shared" si="5"/>
      </c>
      <c r="AX38" s="362">
        <f t="shared" si="6"/>
      </c>
      <c r="AY38" s="362">
        <f t="shared" si="7"/>
      </c>
      <c r="AZ38" s="381">
        <f t="shared" si="8"/>
      </c>
      <c r="BA38" s="384">
        <f t="shared" si="9"/>
      </c>
      <c r="BB38" s="385"/>
      <c r="BC38" s="362">
        <f t="shared" si="0"/>
      </c>
      <c r="BD38" s="386">
        <f t="shared" si="10"/>
      </c>
      <c r="BE38" s="372">
        <f t="shared" si="11"/>
      </c>
      <c r="BF38" s="373">
        <f>IF(OR(AA38="Error",AS38="Error",BA38="Error",BD38="Error"),"Error",
 IF(D38="","",
 IF(AND(N($AA$6)+N($AS$6)+N($BA$7)=100%,
 OR(N($AA$6)=0,AA38&lt;&gt;""),OR(N($AS$6)=0,AS38&lt;&gt;""),OR(N($BA$7)=0,BA38&lt;&gt;""),BE38&lt;&gt;""),
 _xlfn.XLOOKUP(BE38,'Helper 1'!$B$3:$B$43,'Helper 1'!$D$3:$D$43,,-1),"")))</f>
      </c>
      <c r="BG38" s="374">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9" ht="15.95" customHeight="1" spans="2:59" x14ac:dyDescent="0.25">
      <c r="B39" s="305">
        <v>31</v>
      </c>
      <c r="C39" s="375">
        <f>IF('Data Input'!M37="","",'Data Input'!M37)</f>
      </c>
      <c r="D39" s="376">
        <f>IF(ISBLANK('Data Input'!N37),"",PROPER('Data Input'!N37))</f>
      </c>
      <c r="E39" s="377"/>
      <c r="F39" s="377"/>
      <c r="G39" s="377"/>
      <c r="H39" s="377"/>
      <c r="I39" s="377"/>
      <c r="J39" s="377"/>
      <c r="K39" s="377"/>
      <c r="L39" s="377"/>
      <c r="M39" s="377"/>
      <c r="N39" s="377"/>
      <c r="O39" s="377"/>
      <c r="P39" s="377"/>
      <c r="Q39" s="377"/>
      <c r="R39" s="377"/>
      <c r="S39" s="377"/>
      <c r="T39" s="377"/>
      <c r="U39" s="378"/>
      <c r="V39" s="378"/>
      <c r="W39" s="378"/>
      <c r="X39" s="378"/>
      <c r="Y39" s="36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9" s="362">
        <f t="shared" si="1"/>
      </c>
      <c r="AA39" s="363">
        <f t="shared" si="2"/>
      </c>
      <c r="AB39" s="379"/>
      <c r="AC39" s="377"/>
      <c r="AD39" s="377"/>
      <c r="AE39" s="377"/>
      <c r="AF39" s="377"/>
      <c r="AG39" s="377"/>
      <c r="AH39" s="377"/>
      <c r="AI39" s="377"/>
      <c r="AJ39" s="380"/>
      <c r="AK39" s="378"/>
      <c r="AL39" s="377"/>
      <c r="AM39" s="377"/>
      <c r="AN39" s="377"/>
      <c r="AO39" s="378"/>
      <c r="AP39" s="378"/>
      <c r="AQ39" s="216">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9" s="381">
        <f t="shared" si="3"/>
      </c>
      <c r="AS39" s="382">
        <f t="shared" si="4"/>
      </c>
      <c r="AT39" s="377"/>
      <c r="AU39" s="378"/>
      <c r="AV39" s="383"/>
      <c r="AW39" s="362">
        <f t="shared" si="5"/>
      </c>
      <c r="AX39" s="362">
        <f t="shared" si="6"/>
      </c>
      <c r="AY39" s="362">
        <f t="shared" si="7"/>
      </c>
      <c r="AZ39" s="381">
        <f t="shared" si="8"/>
      </c>
      <c r="BA39" s="384">
        <f t="shared" si="9"/>
      </c>
      <c r="BB39" s="385"/>
      <c r="BC39" s="362">
        <f t="shared" si="0"/>
      </c>
      <c r="BD39" s="386">
        <f t="shared" si="10"/>
      </c>
      <c r="BE39" s="372">
        <f t="shared" si="11"/>
      </c>
      <c r="BF39" s="373">
        <f>IF(OR(AA39="Error",AS39="Error",BA39="Error",BD39="Error"),"Error",
 IF(D39="","",
 IF(AND(N($AA$6)+N($AS$6)+N($BA$7)=100%,
 OR(N($AA$6)=0,AA39&lt;&gt;""),OR(N($AS$6)=0,AS39&lt;&gt;""),OR(N($BA$7)=0,BA39&lt;&gt;""),BE39&lt;&gt;""),
 _xlfn.XLOOKUP(BE39,'Helper 1'!$B$3:$B$43,'Helper 1'!$D$3:$D$43,,-1),"")))</f>
      </c>
      <c r="BG39" s="374">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0" ht="15.95" customHeight="1" spans="2:59" x14ac:dyDescent="0.25">
      <c r="B40" s="305">
        <v>32</v>
      </c>
      <c r="C40" s="375">
        <f>IF('Data Input'!M38="","",'Data Input'!M38)</f>
      </c>
      <c r="D40" s="376">
        <f>IF(ISBLANK('Data Input'!N38),"",PROPER('Data Input'!N38))</f>
      </c>
      <c r="E40" s="377"/>
      <c r="F40" s="377"/>
      <c r="G40" s="377"/>
      <c r="H40" s="377"/>
      <c r="I40" s="377"/>
      <c r="J40" s="377"/>
      <c r="K40" s="377"/>
      <c r="L40" s="377"/>
      <c r="M40" s="377"/>
      <c r="N40" s="377"/>
      <c r="O40" s="377"/>
      <c r="P40" s="377"/>
      <c r="Q40" s="377"/>
      <c r="R40" s="377"/>
      <c r="S40" s="377"/>
      <c r="T40" s="377"/>
      <c r="U40" s="378"/>
      <c r="V40" s="378"/>
      <c r="W40" s="378"/>
      <c r="X40" s="378"/>
      <c r="Y40" s="36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0" s="362">
        <f t="shared" si="1"/>
      </c>
      <c r="AA40" s="363">
        <f t="shared" si="2"/>
      </c>
      <c r="AB40" s="379"/>
      <c r="AC40" s="377"/>
      <c r="AD40" s="377"/>
      <c r="AE40" s="377"/>
      <c r="AF40" s="377"/>
      <c r="AG40" s="377"/>
      <c r="AH40" s="377"/>
      <c r="AI40" s="377"/>
      <c r="AJ40" s="380"/>
      <c r="AK40" s="378"/>
      <c r="AL40" s="377"/>
      <c r="AM40" s="377"/>
      <c r="AN40" s="377"/>
      <c r="AO40" s="378"/>
      <c r="AP40" s="378"/>
      <c r="AQ40" s="216">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0" s="381">
        <f t="shared" si="3"/>
      </c>
      <c r="AS40" s="382">
        <f t="shared" si="4"/>
      </c>
      <c r="AT40" s="377"/>
      <c r="AU40" s="378"/>
      <c r="AV40" s="383"/>
      <c r="AW40" s="362">
        <f t="shared" si="5"/>
      </c>
      <c r="AX40" s="362">
        <f t="shared" si="6"/>
      </c>
      <c r="AY40" s="362">
        <f t="shared" si="7"/>
      </c>
      <c r="AZ40" s="381">
        <f t="shared" si="8"/>
      </c>
      <c r="BA40" s="384">
        <f t="shared" si="9"/>
      </c>
      <c r="BB40" s="385"/>
      <c r="BC40" s="362">
        <f t="shared" si="0"/>
      </c>
      <c r="BD40" s="386">
        <f t="shared" si="10"/>
      </c>
      <c r="BE40" s="372">
        <f t="shared" si="11"/>
      </c>
      <c r="BF40" s="373">
        <f>IF(OR(AA40="Error",AS40="Error",BA40="Error",BD40="Error"),"Error",
 IF(D40="","",
 IF(AND(N($AA$6)+N($AS$6)+N($BA$7)=100%,
 OR(N($AA$6)=0,AA40&lt;&gt;""),OR(N($AS$6)=0,AS40&lt;&gt;""),OR(N($BA$7)=0,BA40&lt;&gt;""),BE40&lt;&gt;""),
 _xlfn.XLOOKUP(BE40,'Helper 1'!$B$3:$B$43,'Helper 1'!$D$3:$D$43,,-1),"")))</f>
      </c>
      <c r="BG40" s="374">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1" ht="15.95" customHeight="1" spans="2:59" x14ac:dyDescent="0.25">
      <c r="B41" s="305">
        <v>33</v>
      </c>
      <c r="C41" s="375">
        <f>IF('Data Input'!M39="","",'Data Input'!M39)</f>
      </c>
      <c r="D41" s="376">
        <f>IF(ISBLANK('Data Input'!N39),"",PROPER('Data Input'!N39))</f>
      </c>
      <c r="E41" s="377"/>
      <c r="F41" s="377"/>
      <c r="G41" s="377"/>
      <c r="H41" s="377"/>
      <c r="I41" s="377"/>
      <c r="J41" s="377"/>
      <c r="K41" s="377"/>
      <c r="L41" s="377"/>
      <c r="M41" s="377"/>
      <c r="N41" s="377"/>
      <c r="O41" s="377"/>
      <c r="P41" s="377"/>
      <c r="Q41" s="377"/>
      <c r="R41" s="377"/>
      <c r="S41" s="377"/>
      <c r="T41" s="377"/>
      <c r="U41" s="378"/>
      <c r="V41" s="378"/>
      <c r="W41" s="378"/>
      <c r="X41" s="378"/>
      <c r="Y41" s="36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1" s="362">
        <f t="shared" si="1"/>
      </c>
      <c r="AA41" s="363">
        <f t="shared" si="2"/>
      </c>
      <c r="AB41" s="379"/>
      <c r="AC41" s="377"/>
      <c r="AD41" s="377"/>
      <c r="AE41" s="377"/>
      <c r="AF41" s="377"/>
      <c r="AG41" s="377"/>
      <c r="AH41" s="377"/>
      <c r="AI41" s="377"/>
      <c r="AJ41" s="380"/>
      <c r="AK41" s="378"/>
      <c r="AL41" s="377"/>
      <c r="AM41" s="377"/>
      <c r="AN41" s="377"/>
      <c r="AO41" s="378"/>
      <c r="AP41" s="378"/>
      <c r="AQ41" s="216">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1" s="381">
        <f t="shared" si="3"/>
      </c>
      <c r="AS41" s="382">
        <f t="shared" si="4"/>
      </c>
      <c r="AT41" s="377"/>
      <c r="AU41" s="378"/>
      <c r="AV41" s="383"/>
      <c r="AW41" s="362">
        <f t="shared" si="5"/>
      </c>
      <c r="AX41" s="362">
        <f t="shared" si="6"/>
      </c>
      <c r="AY41" s="362">
        <f t="shared" si="7"/>
      </c>
      <c r="AZ41" s="381">
        <f t="shared" si="8"/>
      </c>
      <c r="BA41" s="384">
        <f t="shared" si="9"/>
      </c>
      <c r="BB41" s="385"/>
      <c r="BC41" s="362">
        <f t="shared" ref="BC41:BC68" si="12">IF(OR(D41="",BB41=""),"",IF(BB41="Error","Error",IFERROR((BB41/$BB$6*$BC$6),"")))</f>
      </c>
      <c r="BD41" s="386">
        <f t="shared" si="10"/>
      </c>
      <c r="BE41" s="372">
        <f t="shared" si="11"/>
      </c>
      <c r="BF41" s="373">
        <f>IF(OR(AA41="Error",AS41="Error",BA41="Error",BD41="Error"),"Error",
 IF(D41="","",
 IF(AND(N($AA$6)+N($AS$6)+N($BA$7)=100%,
 OR(N($AA$6)=0,AA41&lt;&gt;""),OR(N($AS$6)=0,AS41&lt;&gt;""),OR(N($BA$7)=0,BA41&lt;&gt;""),BE41&lt;&gt;""),
 _xlfn.XLOOKUP(BE41,'Helper 1'!$B$3:$B$43,'Helper 1'!$D$3:$D$43,,-1),"")))</f>
      </c>
      <c r="BG41" s="374">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2" ht="15.95" customHeight="1" spans="2:59" x14ac:dyDescent="0.25">
      <c r="B42" s="305">
        <v>34</v>
      </c>
      <c r="C42" s="375">
        <f>IF('Data Input'!M40="","",'Data Input'!M40)</f>
      </c>
      <c r="D42" s="376">
        <f>IF(ISBLANK('Data Input'!N40),"",PROPER('Data Input'!N40))</f>
      </c>
      <c r="E42" s="377"/>
      <c r="F42" s="377"/>
      <c r="G42" s="377"/>
      <c r="H42" s="377"/>
      <c r="I42" s="377"/>
      <c r="J42" s="377"/>
      <c r="K42" s="377"/>
      <c r="L42" s="377"/>
      <c r="M42" s="377"/>
      <c r="N42" s="377"/>
      <c r="O42" s="377"/>
      <c r="P42" s="377"/>
      <c r="Q42" s="377"/>
      <c r="R42" s="377"/>
      <c r="S42" s="377"/>
      <c r="T42" s="377"/>
      <c r="U42" s="378"/>
      <c r="V42" s="378"/>
      <c r="W42" s="378"/>
      <c r="X42" s="378"/>
      <c r="Y42" s="36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2" s="362">
        <f t="shared" si="1"/>
      </c>
      <c r="AA42" s="363">
        <f t="shared" si="2"/>
      </c>
      <c r="AB42" s="379"/>
      <c r="AC42" s="377"/>
      <c r="AD42" s="377"/>
      <c r="AE42" s="377"/>
      <c r="AF42" s="377"/>
      <c r="AG42" s="377"/>
      <c r="AH42" s="377"/>
      <c r="AI42" s="377"/>
      <c r="AJ42" s="380"/>
      <c r="AK42" s="378"/>
      <c r="AL42" s="377"/>
      <c r="AM42" s="377"/>
      <c r="AN42" s="377"/>
      <c r="AO42" s="378"/>
      <c r="AP42" s="378"/>
      <c r="AQ42" s="216">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2" s="381">
        <f t="shared" si="3"/>
      </c>
      <c r="AS42" s="382">
        <f t="shared" si="4"/>
      </c>
      <c r="AT42" s="377"/>
      <c r="AU42" s="378"/>
      <c r="AV42" s="383"/>
      <c r="AW42" s="362">
        <f t="shared" si="5"/>
      </c>
      <c r="AX42" s="362">
        <f t="shared" si="6"/>
      </c>
      <c r="AY42" s="362">
        <f t="shared" si="7"/>
      </c>
      <c r="AZ42" s="381">
        <f t="shared" si="8"/>
      </c>
      <c r="BA42" s="384">
        <f t="shared" si="9"/>
      </c>
      <c r="BB42" s="385"/>
      <c r="BC42" s="362">
        <f t="shared" si="12"/>
      </c>
      <c r="BD42" s="386">
        <f t="shared" si="10"/>
      </c>
      <c r="BE42" s="372">
        <f t="shared" si="11"/>
      </c>
      <c r="BF42" s="373">
        <f>IF(OR(AA42="Error",AS42="Error",BA42="Error",BD42="Error"),"Error",
 IF(D42="","",
 IF(AND(N($AA$6)+N($AS$6)+N($BA$7)=100%,
 OR(N($AA$6)=0,AA42&lt;&gt;""),OR(N($AS$6)=0,AS42&lt;&gt;""),OR(N($BA$7)=0,BA42&lt;&gt;""),BE42&lt;&gt;""),
 _xlfn.XLOOKUP(BE42,'Helper 1'!$B$3:$B$43,'Helper 1'!$D$3:$D$43,,-1),"")))</f>
      </c>
      <c r="BG42" s="374">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3" ht="15.95" customHeight="1" spans="2:59" x14ac:dyDescent="0.25">
      <c r="B43" s="305">
        <v>35</v>
      </c>
      <c r="C43" s="375">
        <f>IF('Data Input'!M41="","",'Data Input'!M41)</f>
      </c>
      <c r="D43" s="376">
        <f>IF(ISBLANK('Data Input'!N41),"",PROPER('Data Input'!N41))</f>
      </c>
      <c r="E43" s="377"/>
      <c r="F43" s="377"/>
      <c r="G43" s="377"/>
      <c r="H43" s="377"/>
      <c r="I43" s="377"/>
      <c r="J43" s="377"/>
      <c r="K43" s="377"/>
      <c r="L43" s="377"/>
      <c r="M43" s="377"/>
      <c r="N43" s="377"/>
      <c r="O43" s="377"/>
      <c r="P43" s="377"/>
      <c r="Q43" s="377"/>
      <c r="R43" s="377"/>
      <c r="S43" s="377"/>
      <c r="T43" s="377"/>
      <c r="U43" s="378"/>
      <c r="V43" s="378"/>
      <c r="W43" s="378"/>
      <c r="X43" s="378"/>
      <c r="Y43" s="36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3" s="362">
        <f t="shared" si="1"/>
      </c>
      <c r="AA43" s="363">
        <f t="shared" si="2"/>
      </c>
      <c r="AB43" s="379"/>
      <c r="AC43" s="377"/>
      <c r="AD43" s="377"/>
      <c r="AE43" s="377"/>
      <c r="AF43" s="377"/>
      <c r="AG43" s="377"/>
      <c r="AH43" s="377"/>
      <c r="AI43" s="377"/>
      <c r="AJ43" s="380"/>
      <c r="AK43" s="378"/>
      <c r="AL43" s="377"/>
      <c r="AM43" s="377"/>
      <c r="AN43" s="377"/>
      <c r="AO43" s="378"/>
      <c r="AP43" s="378"/>
      <c r="AQ43" s="216">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3" s="381">
        <f t="shared" si="3"/>
      </c>
      <c r="AS43" s="382">
        <f t="shared" si="4"/>
      </c>
      <c r="AT43" s="377"/>
      <c r="AU43" s="378"/>
      <c r="AV43" s="383"/>
      <c r="AW43" s="362">
        <f t="shared" si="5"/>
      </c>
      <c r="AX43" s="362">
        <f t="shared" si="6"/>
      </c>
      <c r="AY43" s="362">
        <f t="shared" si="7"/>
      </c>
      <c r="AZ43" s="381">
        <f t="shared" si="8"/>
      </c>
      <c r="BA43" s="384">
        <f t="shared" si="9"/>
      </c>
      <c r="BB43" s="385"/>
      <c r="BC43" s="362">
        <f t="shared" si="12"/>
      </c>
      <c r="BD43" s="386">
        <f t="shared" si="10"/>
      </c>
      <c r="BE43" s="372">
        <f t="shared" si="11"/>
      </c>
      <c r="BF43" s="373">
        <f>IF(OR(AA43="Error",AS43="Error",BA43="Error",BD43="Error"),"Error",
 IF(D43="","",
 IF(AND(N($AA$6)+N($AS$6)+N($BA$7)=100%,
 OR(N($AA$6)=0,AA43&lt;&gt;""),OR(N($AS$6)=0,AS43&lt;&gt;""),OR(N($BA$7)=0,BA43&lt;&gt;""),BE43&lt;&gt;""),
 _xlfn.XLOOKUP(BE43,'Helper 1'!$B$3:$B$43,'Helper 1'!$D$3:$D$43,,-1),"")))</f>
      </c>
      <c r="BG43" s="374">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4" ht="15.95" customHeight="1" spans="2:59" x14ac:dyDescent="0.25">
      <c r="B44" s="305">
        <v>36</v>
      </c>
      <c r="C44" s="375">
        <f>IF('Data Input'!M42="","",'Data Input'!M42)</f>
      </c>
      <c r="D44" s="376">
        <f>IF(ISBLANK('Data Input'!N42),"",PROPER('Data Input'!N42))</f>
      </c>
      <c r="E44" s="377"/>
      <c r="F44" s="377"/>
      <c r="G44" s="377"/>
      <c r="H44" s="377"/>
      <c r="I44" s="377"/>
      <c r="J44" s="377"/>
      <c r="K44" s="377"/>
      <c r="L44" s="377"/>
      <c r="M44" s="377"/>
      <c r="N44" s="377"/>
      <c r="O44" s="377"/>
      <c r="P44" s="377"/>
      <c r="Q44" s="377"/>
      <c r="R44" s="377"/>
      <c r="S44" s="377"/>
      <c r="T44" s="377"/>
      <c r="U44" s="378"/>
      <c r="V44" s="378"/>
      <c r="W44" s="378"/>
      <c r="X44" s="378"/>
      <c r="Y44" s="36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4" s="362">
        <f t="shared" si="1"/>
      </c>
      <c r="AA44" s="363">
        <f t="shared" si="2"/>
      </c>
      <c r="AB44" s="379"/>
      <c r="AC44" s="377"/>
      <c r="AD44" s="377"/>
      <c r="AE44" s="377"/>
      <c r="AF44" s="377"/>
      <c r="AG44" s="377"/>
      <c r="AH44" s="377"/>
      <c r="AI44" s="377"/>
      <c r="AJ44" s="380"/>
      <c r="AK44" s="378"/>
      <c r="AL44" s="377"/>
      <c r="AM44" s="377"/>
      <c r="AN44" s="377"/>
      <c r="AO44" s="378"/>
      <c r="AP44" s="378"/>
      <c r="AQ44" s="216">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4" s="381">
        <f t="shared" si="3"/>
      </c>
      <c r="AS44" s="382">
        <f t="shared" si="4"/>
      </c>
      <c r="AT44" s="377"/>
      <c r="AU44" s="378"/>
      <c r="AV44" s="383"/>
      <c r="AW44" s="362">
        <f t="shared" si="5"/>
      </c>
      <c r="AX44" s="362">
        <f t="shared" si="6"/>
      </c>
      <c r="AY44" s="362">
        <f t="shared" si="7"/>
      </c>
      <c r="AZ44" s="381">
        <f t="shared" si="8"/>
      </c>
      <c r="BA44" s="384">
        <f t="shared" si="9"/>
      </c>
      <c r="BB44" s="385"/>
      <c r="BC44" s="362">
        <f t="shared" si="12"/>
      </c>
      <c r="BD44" s="386">
        <f t="shared" si="10"/>
      </c>
      <c r="BE44" s="372">
        <f t="shared" si="11"/>
      </c>
      <c r="BF44" s="373">
        <f>IF(OR(AA44="Error",AS44="Error",BA44="Error",BD44="Error"),"Error",
 IF(D44="","",
 IF(AND(N($AA$6)+N($AS$6)+N($BA$7)=100%,
 OR(N($AA$6)=0,AA44&lt;&gt;""),OR(N($AS$6)=0,AS44&lt;&gt;""),OR(N($BA$7)=0,BA44&lt;&gt;""),BE44&lt;&gt;""),
 _xlfn.XLOOKUP(BE44,'Helper 1'!$B$3:$B$43,'Helper 1'!$D$3:$D$43,,-1),"")))</f>
      </c>
      <c r="BG44" s="374">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5" ht="15.95" customHeight="1" spans="2:59" x14ac:dyDescent="0.25">
      <c r="B45" s="305">
        <v>37</v>
      </c>
      <c r="C45" s="375">
        <f>IF('Data Input'!M43="","",'Data Input'!M43)</f>
      </c>
      <c r="D45" s="376">
        <f>IF(ISBLANK('Data Input'!N43),"",PROPER('Data Input'!N43))</f>
      </c>
      <c r="E45" s="377"/>
      <c r="F45" s="377"/>
      <c r="G45" s="377"/>
      <c r="H45" s="377"/>
      <c r="I45" s="377"/>
      <c r="J45" s="377"/>
      <c r="K45" s="377"/>
      <c r="L45" s="377"/>
      <c r="M45" s="377"/>
      <c r="N45" s="377"/>
      <c r="O45" s="377"/>
      <c r="P45" s="377"/>
      <c r="Q45" s="377"/>
      <c r="R45" s="377"/>
      <c r="S45" s="377"/>
      <c r="T45" s="377"/>
      <c r="U45" s="378"/>
      <c r="V45" s="378"/>
      <c r="W45" s="378"/>
      <c r="X45" s="378"/>
      <c r="Y45" s="36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5" s="362">
        <f t="shared" si="1"/>
      </c>
      <c r="AA45" s="363">
        <f t="shared" si="2"/>
      </c>
      <c r="AB45" s="379"/>
      <c r="AC45" s="377"/>
      <c r="AD45" s="377"/>
      <c r="AE45" s="377"/>
      <c r="AF45" s="377"/>
      <c r="AG45" s="377"/>
      <c r="AH45" s="377"/>
      <c r="AI45" s="377"/>
      <c r="AJ45" s="380"/>
      <c r="AK45" s="378"/>
      <c r="AL45" s="377"/>
      <c r="AM45" s="377"/>
      <c r="AN45" s="377"/>
      <c r="AO45" s="378"/>
      <c r="AP45" s="378"/>
      <c r="AQ45" s="216">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5" s="381">
        <f t="shared" si="3"/>
      </c>
      <c r="AS45" s="382">
        <f t="shared" si="4"/>
      </c>
      <c r="AT45" s="377"/>
      <c r="AU45" s="378"/>
      <c r="AV45" s="383"/>
      <c r="AW45" s="362">
        <f t="shared" si="5"/>
      </c>
      <c r="AX45" s="362">
        <f t="shared" si="6"/>
      </c>
      <c r="AY45" s="362">
        <f t="shared" si="7"/>
      </c>
      <c r="AZ45" s="381">
        <f t="shared" si="8"/>
      </c>
      <c r="BA45" s="384">
        <f t="shared" si="9"/>
      </c>
      <c r="BB45" s="385"/>
      <c r="BC45" s="362">
        <f t="shared" si="12"/>
      </c>
      <c r="BD45" s="386">
        <f t="shared" si="10"/>
      </c>
      <c r="BE45" s="372">
        <f t="shared" si="11"/>
      </c>
      <c r="BF45" s="373">
        <f>IF(OR(AA45="Error",AS45="Error",BA45="Error",BD45="Error"),"Error",
 IF(D45="","",
 IF(AND(N($AA$6)+N($AS$6)+N($BA$7)=100%,
 OR(N($AA$6)=0,AA45&lt;&gt;""),OR(N($AS$6)=0,AS45&lt;&gt;""),OR(N($BA$7)=0,BA45&lt;&gt;""),BE45&lt;&gt;""),
 _xlfn.XLOOKUP(BE45,'Helper 1'!$B$3:$B$43,'Helper 1'!$D$3:$D$43,,-1),"")))</f>
      </c>
      <c r="BG45" s="374">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6" ht="15.95" customHeight="1" spans="2:59" x14ac:dyDescent="0.25">
      <c r="B46" s="305">
        <v>38</v>
      </c>
      <c r="C46" s="375">
        <f>IF('Data Input'!M44="","",'Data Input'!M44)</f>
      </c>
      <c r="D46" s="376">
        <f>IF(ISBLANK('Data Input'!N44),"",PROPER('Data Input'!N44))</f>
      </c>
      <c r="E46" s="377"/>
      <c r="F46" s="377"/>
      <c r="G46" s="377"/>
      <c r="H46" s="377"/>
      <c r="I46" s="377"/>
      <c r="J46" s="377"/>
      <c r="K46" s="377"/>
      <c r="L46" s="377"/>
      <c r="M46" s="377"/>
      <c r="N46" s="377"/>
      <c r="O46" s="377"/>
      <c r="P46" s="377"/>
      <c r="Q46" s="377"/>
      <c r="R46" s="377"/>
      <c r="S46" s="377"/>
      <c r="T46" s="377"/>
      <c r="U46" s="378"/>
      <c r="V46" s="378"/>
      <c r="W46" s="378"/>
      <c r="X46" s="378"/>
      <c r="Y46" s="36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6" s="362">
        <f t="shared" si="1"/>
      </c>
      <c r="AA46" s="363">
        <f t="shared" si="2"/>
      </c>
      <c r="AB46" s="379"/>
      <c r="AC46" s="377"/>
      <c r="AD46" s="377"/>
      <c r="AE46" s="377"/>
      <c r="AF46" s="377"/>
      <c r="AG46" s="377"/>
      <c r="AH46" s="377"/>
      <c r="AI46" s="377"/>
      <c r="AJ46" s="380"/>
      <c r="AK46" s="378"/>
      <c r="AL46" s="377"/>
      <c r="AM46" s="377"/>
      <c r="AN46" s="377"/>
      <c r="AO46" s="378"/>
      <c r="AP46" s="378"/>
      <c r="AQ46" s="216">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6" s="381">
        <f t="shared" si="3"/>
      </c>
      <c r="AS46" s="382">
        <f t="shared" si="4"/>
      </c>
      <c r="AT46" s="377"/>
      <c r="AU46" s="378"/>
      <c r="AV46" s="383"/>
      <c r="AW46" s="362">
        <f t="shared" si="5"/>
      </c>
      <c r="AX46" s="362">
        <f t="shared" si="6"/>
      </c>
      <c r="AY46" s="362">
        <f t="shared" si="7"/>
      </c>
      <c r="AZ46" s="381">
        <f t="shared" si="8"/>
      </c>
      <c r="BA46" s="384">
        <f t="shared" si="9"/>
      </c>
      <c r="BB46" s="385"/>
      <c r="BC46" s="362">
        <f t="shared" si="12"/>
      </c>
      <c r="BD46" s="386">
        <f t="shared" si="10"/>
      </c>
      <c r="BE46" s="372">
        <f t="shared" si="11"/>
      </c>
      <c r="BF46" s="373">
        <f>IF(OR(AA46="Error",AS46="Error",BA46="Error",BD46="Error"),"Error",
 IF(D46="","",
 IF(AND(N($AA$6)+N($AS$6)+N($BA$7)=100%,
 OR(N($AA$6)=0,AA46&lt;&gt;""),OR(N($AS$6)=0,AS46&lt;&gt;""),OR(N($BA$7)=0,BA46&lt;&gt;""),BE46&lt;&gt;""),
 _xlfn.XLOOKUP(BE46,'Helper 1'!$B$3:$B$43,'Helper 1'!$D$3:$D$43,,-1),"")))</f>
      </c>
      <c r="BG46" s="374">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7" ht="15.95" customHeight="1" spans="2:59" x14ac:dyDescent="0.25">
      <c r="B47" s="305">
        <v>39</v>
      </c>
      <c r="C47" s="375">
        <f>IF('Data Input'!M45="","",'Data Input'!M45)</f>
      </c>
      <c r="D47" s="376">
        <f>IF(ISBLANK('Data Input'!N45),"",PROPER('Data Input'!N45))</f>
      </c>
      <c r="E47" s="377"/>
      <c r="F47" s="377"/>
      <c r="G47" s="377"/>
      <c r="H47" s="377"/>
      <c r="I47" s="377"/>
      <c r="J47" s="377"/>
      <c r="K47" s="377"/>
      <c r="L47" s="377"/>
      <c r="M47" s="377"/>
      <c r="N47" s="377"/>
      <c r="O47" s="377"/>
      <c r="P47" s="377"/>
      <c r="Q47" s="377"/>
      <c r="R47" s="377"/>
      <c r="S47" s="377"/>
      <c r="T47" s="377"/>
      <c r="U47" s="378"/>
      <c r="V47" s="378"/>
      <c r="W47" s="378"/>
      <c r="X47" s="378"/>
      <c r="Y47" s="36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7" s="362">
        <f t="shared" si="1"/>
      </c>
      <c r="AA47" s="363">
        <f t="shared" si="2"/>
      </c>
      <c r="AB47" s="379"/>
      <c r="AC47" s="377"/>
      <c r="AD47" s="377"/>
      <c r="AE47" s="377"/>
      <c r="AF47" s="377"/>
      <c r="AG47" s="377"/>
      <c r="AH47" s="377"/>
      <c r="AI47" s="377"/>
      <c r="AJ47" s="380"/>
      <c r="AK47" s="378"/>
      <c r="AL47" s="377"/>
      <c r="AM47" s="377"/>
      <c r="AN47" s="377"/>
      <c r="AO47" s="378"/>
      <c r="AP47" s="378"/>
      <c r="AQ47" s="216">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7" s="381">
        <f t="shared" si="3"/>
      </c>
      <c r="AS47" s="382">
        <f t="shared" si="4"/>
      </c>
      <c r="AT47" s="377"/>
      <c r="AU47" s="378"/>
      <c r="AV47" s="383"/>
      <c r="AW47" s="362">
        <f t="shared" si="5"/>
      </c>
      <c r="AX47" s="362">
        <f t="shared" si="6"/>
      </c>
      <c r="AY47" s="362">
        <f t="shared" si="7"/>
      </c>
      <c r="AZ47" s="381">
        <f t="shared" si="8"/>
      </c>
      <c r="BA47" s="384">
        <f t="shared" si="9"/>
      </c>
      <c r="BB47" s="385"/>
      <c r="BC47" s="362">
        <f t="shared" si="12"/>
      </c>
      <c r="BD47" s="386">
        <f t="shared" si="10"/>
      </c>
      <c r="BE47" s="372">
        <f t="shared" si="11"/>
      </c>
      <c r="BF47" s="373">
        <f>IF(OR(AA47="Error",AS47="Error",BA47="Error",BD47="Error"),"Error",
 IF(D47="","",
 IF(AND(N($AA$6)+N($AS$6)+N($BA$7)=100%,
 OR(N($AA$6)=0,AA47&lt;&gt;""),OR(N($AS$6)=0,AS47&lt;&gt;""),OR(N($BA$7)=0,BA47&lt;&gt;""),BE47&lt;&gt;""),
 _xlfn.XLOOKUP(BE47,'Helper 1'!$B$3:$B$43,'Helper 1'!$D$3:$D$43,,-1),"")))</f>
      </c>
      <c r="BG47" s="374">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8" ht="15.95" customHeight="1" spans="2:59" x14ac:dyDescent="0.25">
      <c r="B48" s="305">
        <v>40</v>
      </c>
      <c r="C48" s="375">
        <f>IF('Data Input'!M46="","",'Data Input'!M46)</f>
      </c>
      <c r="D48" s="376">
        <f>IF(ISBLANK('Data Input'!N46),"",PROPER('Data Input'!N46))</f>
      </c>
      <c r="E48" s="377"/>
      <c r="F48" s="377"/>
      <c r="G48" s="377"/>
      <c r="H48" s="377"/>
      <c r="I48" s="377"/>
      <c r="J48" s="377"/>
      <c r="K48" s="377"/>
      <c r="L48" s="377"/>
      <c r="M48" s="377"/>
      <c r="N48" s="377"/>
      <c r="O48" s="377"/>
      <c r="P48" s="377"/>
      <c r="Q48" s="377"/>
      <c r="R48" s="377"/>
      <c r="S48" s="377"/>
      <c r="T48" s="377"/>
      <c r="U48" s="378"/>
      <c r="V48" s="378"/>
      <c r="W48" s="378"/>
      <c r="X48" s="378"/>
      <c r="Y48" s="36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8" s="362">
        <f t="shared" si="1"/>
      </c>
      <c r="AA48" s="363">
        <f t="shared" si="2"/>
      </c>
      <c r="AB48" s="379"/>
      <c r="AC48" s="377"/>
      <c r="AD48" s="377"/>
      <c r="AE48" s="377"/>
      <c r="AF48" s="377"/>
      <c r="AG48" s="377"/>
      <c r="AH48" s="377"/>
      <c r="AI48" s="377"/>
      <c r="AJ48" s="380"/>
      <c r="AK48" s="378"/>
      <c r="AL48" s="377"/>
      <c r="AM48" s="377"/>
      <c r="AN48" s="377"/>
      <c r="AO48" s="378"/>
      <c r="AP48" s="378"/>
      <c r="AQ48" s="216">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8" s="381">
        <f t="shared" si="3"/>
      </c>
      <c r="AS48" s="382">
        <f t="shared" si="4"/>
      </c>
      <c r="AT48" s="377"/>
      <c r="AU48" s="378"/>
      <c r="AV48" s="383"/>
      <c r="AW48" s="362">
        <f t="shared" si="5"/>
      </c>
      <c r="AX48" s="362">
        <f t="shared" si="6"/>
      </c>
      <c r="AY48" s="362">
        <f t="shared" si="7"/>
      </c>
      <c r="AZ48" s="381">
        <f t="shared" si="8"/>
      </c>
      <c r="BA48" s="384">
        <f t="shared" si="9"/>
      </c>
      <c r="BB48" s="385"/>
      <c r="BC48" s="362">
        <f t="shared" si="12"/>
      </c>
      <c r="BD48" s="386">
        <f t="shared" si="10"/>
      </c>
      <c r="BE48" s="372">
        <f t="shared" si="11"/>
      </c>
      <c r="BF48" s="373">
        <f>IF(OR(AA48="Error",AS48="Error",BA48="Error",BD48="Error"),"Error",
 IF(D48="","",
 IF(AND(N($AA$6)+N($AS$6)+N($BA$7)=100%,
 OR(N($AA$6)=0,AA48&lt;&gt;""),OR(N($AS$6)=0,AS48&lt;&gt;""),OR(N($BA$7)=0,BA48&lt;&gt;""),BE48&lt;&gt;""),
 _xlfn.XLOOKUP(BE48,'Helper 1'!$B$3:$B$43,'Helper 1'!$D$3:$D$43,,-1),"")))</f>
      </c>
      <c r="BG48" s="374">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9" ht="15.95" customHeight="1" spans="2:59" x14ac:dyDescent="0.25">
      <c r="B49" s="305">
        <v>41</v>
      </c>
      <c r="C49" s="375">
        <f>IF('Data Input'!M47="","",'Data Input'!M47)</f>
      </c>
      <c r="D49" s="376">
        <f>IF(ISBLANK('Data Input'!N47),"",PROPER('Data Input'!N47))</f>
      </c>
      <c r="E49" s="377"/>
      <c r="F49" s="377"/>
      <c r="G49" s="377"/>
      <c r="H49" s="377"/>
      <c r="I49" s="377"/>
      <c r="J49" s="377"/>
      <c r="K49" s="377"/>
      <c r="L49" s="377"/>
      <c r="M49" s="377"/>
      <c r="N49" s="377"/>
      <c r="O49" s="377"/>
      <c r="P49" s="377"/>
      <c r="Q49" s="377"/>
      <c r="R49" s="377"/>
      <c r="S49" s="377"/>
      <c r="T49" s="377"/>
      <c r="U49" s="378"/>
      <c r="V49" s="378"/>
      <c r="W49" s="378"/>
      <c r="X49" s="378"/>
      <c r="Y49" s="36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9" s="362">
        <f t="shared" si="1"/>
      </c>
      <c r="AA49" s="363">
        <f t="shared" si="2"/>
      </c>
      <c r="AB49" s="379"/>
      <c r="AC49" s="377"/>
      <c r="AD49" s="377"/>
      <c r="AE49" s="377"/>
      <c r="AF49" s="377"/>
      <c r="AG49" s="377"/>
      <c r="AH49" s="377"/>
      <c r="AI49" s="377"/>
      <c r="AJ49" s="380"/>
      <c r="AK49" s="378"/>
      <c r="AL49" s="377"/>
      <c r="AM49" s="377"/>
      <c r="AN49" s="377"/>
      <c r="AO49" s="378"/>
      <c r="AP49" s="378"/>
      <c r="AQ49" s="216">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9" s="381">
        <f t="shared" si="3"/>
      </c>
      <c r="AS49" s="382">
        <f t="shared" si="4"/>
      </c>
      <c r="AT49" s="377"/>
      <c r="AU49" s="378"/>
      <c r="AV49" s="383"/>
      <c r="AW49" s="362">
        <f t="shared" si="5"/>
      </c>
      <c r="AX49" s="362">
        <f t="shared" si="6"/>
      </c>
      <c r="AY49" s="362">
        <f t="shared" si="7"/>
      </c>
      <c r="AZ49" s="381">
        <f t="shared" si="8"/>
      </c>
      <c r="BA49" s="384">
        <f t="shared" si="9"/>
      </c>
      <c r="BB49" s="385"/>
      <c r="BC49" s="362">
        <f t="shared" si="12"/>
      </c>
      <c r="BD49" s="386">
        <f t="shared" si="10"/>
      </c>
      <c r="BE49" s="372">
        <f t="shared" si="11"/>
      </c>
      <c r="BF49" s="373">
        <f>IF(OR(AA49="Error",AS49="Error",BA49="Error",BD49="Error"),"Error",
 IF(D49="","",
 IF(AND(N($AA$6)+N($AS$6)+N($BA$7)=100%,
 OR(N($AA$6)=0,AA49&lt;&gt;""),OR(N($AS$6)=0,AS49&lt;&gt;""),OR(N($BA$7)=0,BA49&lt;&gt;""),BE49&lt;&gt;""),
 _xlfn.XLOOKUP(BE49,'Helper 1'!$B$3:$B$43,'Helper 1'!$D$3:$D$43,,-1),"")))</f>
      </c>
      <c r="BG49" s="374">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0" ht="15.95" customHeight="1" spans="2:59" x14ac:dyDescent="0.25">
      <c r="B50" s="305">
        <v>42</v>
      </c>
      <c r="C50" s="375">
        <f>IF('Data Input'!M48="","",'Data Input'!M48)</f>
      </c>
      <c r="D50" s="376">
        <f>IF(ISBLANK('Data Input'!N48),"",PROPER('Data Input'!N48))</f>
      </c>
      <c r="E50" s="377"/>
      <c r="F50" s="377"/>
      <c r="G50" s="377"/>
      <c r="H50" s="377"/>
      <c r="I50" s="377"/>
      <c r="J50" s="377"/>
      <c r="K50" s="377"/>
      <c r="L50" s="377"/>
      <c r="M50" s="377"/>
      <c r="N50" s="377"/>
      <c r="O50" s="377"/>
      <c r="P50" s="377"/>
      <c r="Q50" s="377"/>
      <c r="R50" s="377"/>
      <c r="S50" s="377"/>
      <c r="T50" s="377"/>
      <c r="U50" s="378"/>
      <c r="V50" s="378"/>
      <c r="W50" s="378"/>
      <c r="X50" s="378"/>
      <c r="Y50" s="36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0" s="362">
        <f t="shared" si="1"/>
      </c>
      <c r="AA50" s="363">
        <f t="shared" si="2"/>
      </c>
      <c r="AB50" s="379"/>
      <c r="AC50" s="377"/>
      <c r="AD50" s="377"/>
      <c r="AE50" s="377"/>
      <c r="AF50" s="377"/>
      <c r="AG50" s="377"/>
      <c r="AH50" s="377"/>
      <c r="AI50" s="377"/>
      <c r="AJ50" s="380"/>
      <c r="AK50" s="378"/>
      <c r="AL50" s="377"/>
      <c r="AM50" s="377"/>
      <c r="AN50" s="377"/>
      <c r="AO50" s="378"/>
      <c r="AP50" s="378"/>
      <c r="AQ50" s="216">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0" s="381">
        <f t="shared" si="3"/>
      </c>
      <c r="AS50" s="382">
        <f t="shared" si="4"/>
      </c>
      <c r="AT50" s="377"/>
      <c r="AU50" s="378"/>
      <c r="AV50" s="383"/>
      <c r="AW50" s="362">
        <f t="shared" si="5"/>
      </c>
      <c r="AX50" s="362">
        <f t="shared" si="6"/>
      </c>
      <c r="AY50" s="362">
        <f t="shared" si="7"/>
      </c>
      <c r="AZ50" s="381">
        <f t="shared" si="8"/>
      </c>
      <c r="BA50" s="384">
        <f t="shared" si="9"/>
      </c>
      <c r="BB50" s="385"/>
      <c r="BC50" s="362">
        <f t="shared" si="12"/>
      </c>
      <c r="BD50" s="386">
        <f t="shared" si="10"/>
      </c>
      <c r="BE50" s="372">
        <f t="shared" si="11"/>
      </c>
      <c r="BF50" s="373">
        <f>IF(OR(AA50="Error",AS50="Error",BA50="Error",BD50="Error"),"Error",
 IF(D50="","",
 IF(AND(N($AA$6)+N($AS$6)+N($BA$7)=100%,
 OR(N($AA$6)=0,AA50&lt;&gt;""),OR(N($AS$6)=0,AS50&lt;&gt;""),OR(N($BA$7)=0,BA50&lt;&gt;""),BE50&lt;&gt;""),
 _xlfn.XLOOKUP(BE50,'Helper 1'!$B$3:$B$43,'Helper 1'!$D$3:$D$43,,-1),"")))</f>
      </c>
      <c r="BG50" s="374">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1" ht="15.95" customHeight="1" spans="2:59" x14ac:dyDescent="0.25">
      <c r="B51" s="305">
        <v>43</v>
      </c>
      <c r="C51" s="375">
        <f>IF('Data Input'!M49="","",'Data Input'!M49)</f>
      </c>
      <c r="D51" s="376">
        <f>IF(ISBLANK('Data Input'!N49),"",PROPER('Data Input'!N49))</f>
      </c>
      <c r="E51" s="377"/>
      <c r="F51" s="377"/>
      <c r="G51" s="377"/>
      <c r="H51" s="377"/>
      <c r="I51" s="377"/>
      <c r="J51" s="377"/>
      <c r="K51" s="377"/>
      <c r="L51" s="377"/>
      <c r="M51" s="377"/>
      <c r="N51" s="377"/>
      <c r="O51" s="377"/>
      <c r="P51" s="377"/>
      <c r="Q51" s="377"/>
      <c r="R51" s="377"/>
      <c r="S51" s="377"/>
      <c r="T51" s="377"/>
      <c r="U51" s="378"/>
      <c r="V51" s="378"/>
      <c r="W51" s="378"/>
      <c r="X51" s="378"/>
      <c r="Y51" s="36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1" s="362">
        <f t="shared" si="1"/>
      </c>
      <c r="AA51" s="363">
        <f t="shared" si="2"/>
      </c>
      <c r="AB51" s="379"/>
      <c r="AC51" s="377"/>
      <c r="AD51" s="377"/>
      <c r="AE51" s="377"/>
      <c r="AF51" s="377"/>
      <c r="AG51" s="377"/>
      <c r="AH51" s="377"/>
      <c r="AI51" s="377"/>
      <c r="AJ51" s="380"/>
      <c r="AK51" s="378"/>
      <c r="AL51" s="377"/>
      <c r="AM51" s="377"/>
      <c r="AN51" s="377"/>
      <c r="AO51" s="378"/>
      <c r="AP51" s="378"/>
      <c r="AQ51" s="216">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1" s="381">
        <f t="shared" si="3"/>
      </c>
      <c r="AS51" s="382">
        <f t="shared" si="4"/>
      </c>
      <c r="AT51" s="377"/>
      <c r="AU51" s="378"/>
      <c r="AV51" s="383"/>
      <c r="AW51" s="362">
        <f t="shared" si="5"/>
      </c>
      <c r="AX51" s="362">
        <f t="shared" si="6"/>
      </c>
      <c r="AY51" s="362">
        <f t="shared" si="7"/>
      </c>
      <c r="AZ51" s="381">
        <f t="shared" si="8"/>
      </c>
      <c r="BA51" s="384">
        <f t="shared" si="9"/>
      </c>
      <c r="BB51" s="385"/>
      <c r="BC51" s="362">
        <f t="shared" si="12"/>
      </c>
      <c r="BD51" s="386">
        <f t="shared" si="10"/>
      </c>
      <c r="BE51" s="372">
        <f t="shared" si="11"/>
      </c>
      <c r="BF51" s="373">
        <f>IF(OR(AA51="Error",AS51="Error",BA51="Error",BD51="Error"),"Error",
 IF(D51="","",
 IF(AND(N($AA$6)+N($AS$6)+N($BA$7)=100%,
 OR(N($AA$6)=0,AA51&lt;&gt;""),OR(N($AS$6)=0,AS51&lt;&gt;""),OR(N($BA$7)=0,BA51&lt;&gt;""),BE51&lt;&gt;""),
 _xlfn.XLOOKUP(BE51,'Helper 1'!$B$3:$B$43,'Helper 1'!$D$3:$D$43,,-1),"")))</f>
      </c>
      <c r="BG51" s="374">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2" ht="15.95" customHeight="1" spans="2:59" x14ac:dyDescent="0.25">
      <c r="B52" s="305">
        <v>44</v>
      </c>
      <c r="C52" s="375">
        <f>IF('Data Input'!M50="","",'Data Input'!M50)</f>
      </c>
      <c r="D52" s="376">
        <f>IF(ISBLANK('Data Input'!N50),"",PROPER('Data Input'!N50))</f>
      </c>
      <c r="E52" s="377"/>
      <c r="F52" s="377"/>
      <c r="G52" s="377"/>
      <c r="H52" s="377"/>
      <c r="I52" s="377"/>
      <c r="J52" s="377"/>
      <c r="K52" s="377"/>
      <c r="L52" s="377"/>
      <c r="M52" s="377"/>
      <c r="N52" s="377"/>
      <c r="O52" s="377"/>
      <c r="P52" s="377"/>
      <c r="Q52" s="377"/>
      <c r="R52" s="377"/>
      <c r="S52" s="377"/>
      <c r="T52" s="377"/>
      <c r="U52" s="378"/>
      <c r="V52" s="378"/>
      <c r="W52" s="378"/>
      <c r="X52" s="378"/>
      <c r="Y52" s="36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2" s="362">
        <f t="shared" si="1"/>
      </c>
      <c r="AA52" s="363">
        <f t="shared" si="2"/>
      </c>
      <c r="AB52" s="379"/>
      <c r="AC52" s="377"/>
      <c r="AD52" s="377"/>
      <c r="AE52" s="377"/>
      <c r="AF52" s="377"/>
      <c r="AG52" s="377"/>
      <c r="AH52" s="377"/>
      <c r="AI52" s="377"/>
      <c r="AJ52" s="380"/>
      <c r="AK52" s="378"/>
      <c r="AL52" s="377"/>
      <c r="AM52" s="377"/>
      <c r="AN52" s="377"/>
      <c r="AO52" s="378"/>
      <c r="AP52" s="378"/>
      <c r="AQ52" s="216">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2" s="381">
        <f t="shared" si="3"/>
      </c>
      <c r="AS52" s="382">
        <f t="shared" si="4"/>
      </c>
      <c r="AT52" s="377"/>
      <c r="AU52" s="378"/>
      <c r="AV52" s="383"/>
      <c r="AW52" s="362">
        <f t="shared" si="5"/>
      </c>
      <c r="AX52" s="362">
        <f t="shared" si="6"/>
      </c>
      <c r="AY52" s="362">
        <f t="shared" si="7"/>
      </c>
      <c r="AZ52" s="381">
        <f t="shared" si="8"/>
      </c>
      <c r="BA52" s="384">
        <f t="shared" si="9"/>
      </c>
      <c r="BB52" s="385"/>
      <c r="BC52" s="362">
        <f t="shared" si="12"/>
      </c>
      <c r="BD52" s="386">
        <f t="shared" si="10"/>
      </c>
      <c r="BE52" s="372">
        <f t="shared" si="11"/>
      </c>
      <c r="BF52" s="373">
        <f>IF(OR(AA52="Error",AS52="Error",BA52="Error",BD52="Error"),"Error",
 IF(D52="","",
 IF(AND(N($AA$6)+N($AS$6)+N($BA$7)=100%,
 OR(N($AA$6)=0,AA52&lt;&gt;""),OR(N($AS$6)=0,AS52&lt;&gt;""),OR(N($BA$7)=0,BA52&lt;&gt;""),BE52&lt;&gt;""),
 _xlfn.XLOOKUP(BE52,'Helper 1'!$B$3:$B$43,'Helper 1'!$D$3:$D$43,,-1),"")))</f>
      </c>
      <c r="BG52" s="374">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3" ht="15.95" customHeight="1" spans="2:59" x14ac:dyDescent="0.25">
      <c r="B53" s="305">
        <v>45</v>
      </c>
      <c r="C53" s="375">
        <f>IF('Data Input'!M51="","",'Data Input'!M51)</f>
      </c>
      <c r="D53" s="376">
        <f>IF(ISBLANK('Data Input'!N51),"",PROPER('Data Input'!N51))</f>
      </c>
      <c r="E53" s="377"/>
      <c r="F53" s="377"/>
      <c r="G53" s="377"/>
      <c r="H53" s="377"/>
      <c r="I53" s="377"/>
      <c r="J53" s="377"/>
      <c r="K53" s="377"/>
      <c r="L53" s="377"/>
      <c r="M53" s="377"/>
      <c r="N53" s="377"/>
      <c r="O53" s="377"/>
      <c r="P53" s="377"/>
      <c r="Q53" s="377"/>
      <c r="R53" s="377"/>
      <c r="S53" s="377"/>
      <c r="T53" s="377"/>
      <c r="U53" s="378"/>
      <c r="V53" s="378"/>
      <c r="W53" s="378"/>
      <c r="X53" s="378"/>
      <c r="Y53" s="36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3" s="362">
        <f t="shared" si="1"/>
      </c>
      <c r="AA53" s="363">
        <f t="shared" si="2"/>
      </c>
      <c r="AB53" s="379"/>
      <c r="AC53" s="377"/>
      <c r="AD53" s="377"/>
      <c r="AE53" s="377"/>
      <c r="AF53" s="377"/>
      <c r="AG53" s="377"/>
      <c r="AH53" s="377"/>
      <c r="AI53" s="377"/>
      <c r="AJ53" s="380"/>
      <c r="AK53" s="378"/>
      <c r="AL53" s="377"/>
      <c r="AM53" s="377"/>
      <c r="AN53" s="377"/>
      <c r="AO53" s="378"/>
      <c r="AP53" s="378"/>
      <c r="AQ53" s="216">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3" s="381">
        <f t="shared" si="3"/>
      </c>
      <c r="AS53" s="382">
        <f t="shared" si="4"/>
      </c>
      <c r="AT53" s="377"/>
      <c r="AU53" s="378"/>
      <c r="AV53" s="383"/>
      <c r="AW53" s="362">
        <f t="shared" si="5"/>
      </c>
      <c r="AX53" s="362">
        <f t="shared" si="6"/>
      </c>
      <c r="AY53" s="362">
        <f t="shared" si="7"/>
      </c>
      <c r="AZ53" s="381">
        <f t="shared" si="8"/>
      </c>
      <c r="BA53" s="384">
        <f t="shared" si="9"/>
      </c>
      <c r="BB53" s="385"/>
      <c r="BC53" s="362">
        <f t="shared" si="12"/>
      </c>
      <c r="BD53" s="386">
        <f t="shared" si="10"/>
      </c>
      <c r="BE53" s="372">
        <f t="shared" si="11"/>
      </c>
      <c r="BF53" s="373">
        <f>IF(OR(AA53="Error",AS53="Error",BA53="Error",BD53="Error"),"Error",
 IF(D53="","",
 IF(AND(N($AA$6)+N($AS$6)+N($BA$7)=100%,
 OR(N($AA$6)=0,AA53&lt;&gt;""),OR(N($AS$6)=0,AS53&lt;&gt;""),OR(N($BA$7)=0,BA53&lt;&gt;""),BE53&lt;&gt;""),
 _xlfn.XLOOKUP(BE53,'Helper 1'!$B$3:$B$43,'Helper 1'!$D$3:$D$43,,-1),"")))</f>
      </c>
      <c r="BG53" s="374">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4" ht="15.95" customHeight="1" spans="2:59" x14ac:dyDescent="0.25">
      <c r="B54" s="305">
        <v>46</v>
      </c>
      <c r="C54" s="375">
        <f>IF('Data Input'!M52="","",'Data Input'!M52)</f>
      </c>
      <c r="D54" s="376">
        <f>IF(ISBLANK('Data Input'!N52),"",PROPER('Data Input'!N52))</f>
      </c>
      <c r="E54" s="377"/>
      <c r="F54" s="377"/>
      <c r="G54" s="377"/>
      <c r="H54" s="377"/>
      <c r="I54" s="377"/>
      <c r="J54" s="377"/>
      <c r="K54" s="377"/>
      <c r="L54" s="377"/>
      <c r="M54" s="377"/>
      <c r="N54" s="377"/>
      <c r="O54" s="377"/>
      <c r="P54" s="377"/>
      <c r="Q54" s="377"/>
      <c r="R54" s="377"/>
      <c r="S54" s="377"/>
      <c r="T54" s="377"/>
      <c r="U54" s="378"/>
      <c r="V54" s="378"/>
      <c r="W54" s="378"/>
      <c r="X54" s="378"/>
      <c r="Y54" s="36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4" s="362">
        <f t="shared" si="1"/>
      </c>
      <c r="AA54" s="363">
        <f t="shared" si="2"/>
      </c>
      <c r="AB54" s="379"/>
      <c r="AC54" s="377"/>
      <c r="AD54" s="377"/>
      <c r="AE54" s="377"/>
      <c r="AF54" s="377"/>
      <c r="AG54" s="377"/>
      <c r="AH54" s="377"/>
      <c r="AI54" s="377"/>
      <c r="AJ54" s="380"/>
      <c r="AK54" s="378"/>
      <c r="AL54" s="377"/>
      <c r="AM54" s="377"/>
      <c r="AN54" s="377"/>
      <c r="AO54" s="378"/>
      <c r="AP54" s="378"/>
      <c r="AQ54" s="216">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4" s="381">
        <f t="shared" si="3"/>
      </c>
      <c r="AS54" s="382">
        <f t="shared" si="4"/>
      </c>
      <c r="AT54" s="377"/>
      <c r="AU54" s="378"/>
      <c r="AV54" s="383"/>
      <c r="AW54" s="362">
        <f t="shared" si="5"/>
      </c>
      <c r="AX54" s="362">
        <f t="shared" si="6"/>
      </c>
      <c r="AY54" s="362">
        <f t="shared" si="7"/>
      </c>
      <c r="AZ54" s="381">
        <f t="shared" si="8"/>
      </c>
      <c r="BA54" s="384">
        <f t="shared" si="9"/>
      </c>
      <c r="BB54" s="385"/>
      <c r="BC54" s="362">
        <f t="shared" si="12"/>
      </c>
      <c r="BD54" s="386">
        <f t="shared" si="10"/>
      </c>
      <c r="BE54" s="372">
        <f t="shared" si="11"/>
      </c>
      <c r="BF54" s="373">
        <f>IF(OR(AA54="Error",AS54="Error",BA54="Error",BD54="Error"),"Error",
 IF(D54="","",
 IF(AND(N($AA$6)+N($AS$6)+N($BA$7)=100%,
 OR(N($AA$6)=0,AA54&lt;&gt;""),OR(N($AS$6)=0,AS54&lt;&gt;""),OR(N($BA$7)=0,BA54&lt;&gt;""),BE54&lt;&gt;""),
 _xlfn.XLOOKUP(BE54,'Helper 1'!$B$3:$B$43,'Helper 1'!$D$3:$D$43,,-1),"")))</f>
      </c>
      <c r="BG54" s="374">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5" ht="15.95" customHeight="1" spans="2:59" x14ac:dyDescent="0.25">
      <c r="B55" s="305">
        <v>47</v>
      </c>
      <c r="C55" s="375">
        <f>IF('Data Input'!M53="","",'Data Input'!M53)</f>
      </c>
      <c r="D55" s="376">
        <f>IF(ISBLANK('Data Input'!N53),"",PROPER('Data Input'!N53))</f>
      </c>
      <c r="E55" s="377"/>
      <c r="F55" s="377"/>
      <c r="G55" s="377"/>
      <c r="H55" s="377"/>
      <c r="I55" s="377"/>
      <c r="J55" s="377"/>
      <c r="K55" s="377"/>
      <c r="L55" s="377"/>
      <c r="M55" s="377"/>
      <c r="N55" s="377"/>
      <c r="O55" s="377"/>
      <c r="P55" s="377"/>
      <c r="Q55" s="377"/>
      <c r="R55" s="377"/>
      <c r="S55" s="377"/>
      <c r="T55" s="377"/>
      <c r="U55" s="378"/>
      <c r="V55" s="378"/>
      <c r="W55" s="378"/>
      <c r="X55" s="378"/>
      <c r="Y55" s="36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5" s="362">
        <f t="shared" si="1"/>
      </c>
      <c r="AA55" s="363">
        <f t="shared" si="2"/>
      </c>
      <c r="AB55" s="379"/>
      <c r="AC55" s="377"/>
      <c r="AD55" s="377"/>
      <c r="AE55" s="377"/>
      <c r="AF55" s="377"/>
      <c r="AG55" s="377"/>
      <c r="AH55" s="377"/>
      <c r="AI55" s="377"/>
      <c r="AJ55" s="380"/>
      <c r="AK55" s="378"/>
      <c r="AL55" s="377"/>
      <c r="AM55" s="377"/>
      <c r="AN55" s="377"/>
      <c r="AO55" s="378"/>
      <c r="AP55" s="378"/>
      <c r="AQ55" s="216">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5" s="381">
        <f t="shared" si="3"/>
      </c>
      <c r="AS55" s="382">
        <f t="shared" si="4"/>
      </c>
      <c r="AT55" s="377"/>
      <c r="AU55" s="378"/>
      <c r="AV55" s="383"/>
      <c r="AW55" s="362">
        <f t="shared" si="5"/>
      </c>
      <c r="AX55" s="362">
        <f t="shared" si="6"/>
      </c>
      <c r="AY55" s="362">
        <f t="shared" si="7"/>
      </c>
      <c r="AZ55" s="381">
        <f t="shared" si="8"/>
      </c>
      <c r="BA55" s="384">
        <f t="shared" si="9"/>
      </c>
      <c r="BB55" s="385"/>
      <c r="BC55" s="362">
        <f t="shared" si="12"/>
      </c>
      <c r="BD55" s="386">
        <f t="shared" si="10"/>
      </c>
      <c r="BE55" s="372">
        <f t="shared" si="11"/>
      </c>
      <c r="BF55" s="373">
        <f>IF(OR(AA55="Error",AS55="Error",BA55="Error",BD55="Error"),"Error",
 IF(D55="","",
 IF(AND(N($AA$6)+N($AS$6)+N($BA$7)=100%,
 OR(N($AA$6)=0,AA55&lt;&gt;""),OR(N($AS$6)=0,AS55&lt;&gt;""),OR(N($BA$7)=0,BA55&lt;&gt;""),BE55&lt;&gt;""),
 _xlfn.XLOOKUP(BE55,'Helper 1'!$B$3:$B$43,'Helper 1'!$D$3:$D$43,,-1),"")))</f>
      </c>
      <c r="BG55" s="374">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6" ht="15.95" customHeight="1" spans="2:59" x14ac:dyDescent="0.25">
      <c r="B56" s="305">
        <v>48</v>
      </c>
      <c r="C56" s="375">
        <f>IF('Data Input'!M54="","",'Data Input'!M54)</f>
      </c>
      <c r="D56" s="376">
        <f>IF(ISBLANK('Data Input'!N54),"",PROPER('Data Input'!N54))</f>
      </c>
      <c r="E56" s="377"/>
      <c r="F56" s="377"/>
      <c r="G56" s="377"/>
      <c r="H56" s="377"/>
      <c r="I56" s="377"/>
      <c r="J56" s="377"/>
      <c r="K56" s="377"/>
      <c r="L56" s="377"/>
      <c r="M56" s="377"/>
      <c r="N56" s="377"/>
      <c r="O56" s="377"/>
      <c r="P56" s="377"/>
      <c r="Q56" s="377"/>
      <c r="R56" s="377"/>
      <c r="S56" s="377"/>
      <c r="T56" s="377"/>
      <c r="U56" s="378"/>
      <c r="V56" s="378"/>
      <c r="W56" s="378"/>
      <c r="X56" s="378"/>
      <c r="Y56" s="36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6" s="362">
        <f t="shared" si="1"/>
      </c>
      <c r="AA56" s="363">
        <f t="shared" si="2"/>
      </c>
      <c r="AB56" s="379"/>
      <c r="AC56" s="377"/>
      <c r="AD56" s="377"/>
      <c r="AE56" s="377"/>
      <c r="AF56" s="377"/>
      <c r="AG56" s="377"/>
      <c r="AH56" s="377"/>
      <c r="AI56" s="377"/>
      <c r="AJ56" s="380"/>
      <c r="AK56" s="378"/>
      <c r="AL56" s="377"/>
      <c r="AM56" s="377"/>
      <c r="AN56" s="377"/>
      <c r="AO56" s="378"/>
      <c r="AP56" s="378"/>
      <c r="AQ56" s="216">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6" s="381">
        <f t="shared" si="3"/>
      </c>
      <c r="AS56" s="382">
        <f t="shared" si="4"/>
      </c>
      <c r="AT56" s="377"/>
      <c r="AU56" s="378"/>
      <c r="AV56" s="383"/>
      <c r="AW56" s="362">
        <f t="shared" si="5"/>
      </c>
      <c r="AX56" s="362">
        <f t="shared" si="6"/>
      </c>
      <c r="AY56" s="362">
        <f t="shared" si="7"/>
      </c>
      <c r="AZ56" s="381">
        <f t="shared" si="8"/>
      </c>
      <c r="BA56" s="384">
        <f t="shared" si="9"/>
      </c>
      <c r="BB56" s="385"/>
      <c r="BC56" s="362">
        <f t="shared" si="12"/>
      </c>
      <c r="BD56" s="386">
        <f t="shared" si="10"/>
      </c>
      <c r="BE56" s="372">
        <f t="shared" si="11"/>
      </c>
      <c r="BF56" s="373">
        <f>IF(OR(AA56="Error",AS56="Error",BA56="Error",BD56="Error"),"Error",
 IF(D56="","",
 IF(AND(N($AA$6)+N($AS$6)+N($BA$7)=100%,
 OR(N($AA$6)=0,AA56&lt;&gt;""),OR(N($AS$6)=0,AS56&lt;&gt;""),OR(N($BA$7)=0,BA56&lt;&gt;""),BE56&lt;&gt;""),
 _xlfn.XLOOKUP(BE56,'Helper 1'!$B$3:$B$43,'Helper 1'!$D$3:$D$43,,-1),"")))</f>
      </c>
      <c r="BG56" s="374">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7" ht="15.95" customHeight="1" spans="2:59" x14ac:dyDescent="0.25">
      <c r="B57" s="305">
        <v>49</v>
      </c>
      <c r="C57" s="375">
        <f>IF('Data Input'!M55="","",'Data Input'!M55)</f>
      </c>
      <c r="D57" s="376">
        <f>IF(ISBLANK('Data Input'!N55),"",PROPER('Data Input'!N55))</f>
      </c>
      <c r="E57" s="377"/>
      <c r="F57" s="377"/>
      <c r="G57" s="377"/>
      <c r="H57" s="377"/>
      <c r="I57" s="377"/>
      <c r="J57" s="377"/>
      <c r="K57" s="377"/>
      <c r="L57" s="377"/>
      <c r="M57" s="377"/>
      <c r="N57" s="377"/>
      <c r="O57" s="377"/>
      <c r="P57" s="377"/>
      <c r="Q57" s="377"/>
      <c r="R57" s="377"/>
      <c r="S57" s="377"/>
      <c r="T57" s="377"/>
      <c r="U57" s="378"/>
      <c r="V57" s="378"/>
      <c r="W57" s="378"/>
      <c r="X57" s="378"/>
      <c r="Y57" s="36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7" s="362">
        <f t="shared" si="1"/>
      </c>
      <c r="AA57" s="363">
        <f t="shared" si="2"/>
      </c>
      <c r="AB57" s="379"/>
      <c r="AC57" s="377"/>
      <c r="AD57" s="377"/>
      <c r="AE57" s="377"/>
      <c r="AF57" s="377"/>
      <c r="AG57" s="377"/>
      <c r="AH57" s="377"/>
      <c r="AI57" s="377"/>
      <c r="AJ57" s="380"/>
      <c r="AK57" s="378"/>
      <c r="AL57" s="377"/>
      <c r="AM57" s="377"/>
      <c r="AN57" s="377"/>
      <c r="AO57" s="378"/>
      <c r="AP57" s="378"/>
      <c r="AQ57" s="216">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7" s="381">
        <f t="shared" si="3"/>
      </c>
      <c r="AS57" s="382">
        <f t="shared" si="4"/>
      </c>
      <c r="AT57" s="377"/>
      <c r="AU57" s="378"/>
      <c r="AV57" s="383"/>
      <c r="AW57" s="362">
        <f t="shared" si="5"/>
      </c>
      <c r="AX57" s="362">
        <f t="shared" si="6"/>
      </c>
      <c r="AY57" s="362">
        <f t="shared" si="7"/>
      </c>
      <c r="AZ57" s="381">
        <f t="shared" si="8"/>
      </c>
      <c r="BA57" s="384">
        <f t="shared" si="9"/>
      </c>
      <c r="BB57" s="385"/>
      <c r="BC57" s="362">
        <f t="shared" si="12"/>
      </c>
      <c r="BD57" s="386">
        <f t="shared" si="10"/>
      </c>
      <c r="BE57" s="372">
        <f t="shared" si="11"/>
      </c>
      <c r="BF57" s="373">
        <f>IF(OR(AA57="Error",AS57="Error",BA57="Error",BD57="Error"),"Error",
 IF(D57="","",
 IF(AND(N($AA$6)+N($AS$6)+N($BA$7)=100%,
 OR(N($AA$6)=0,AA57&lt;&gt;""),OR(N($AS$6)=0,AS57&lt;&gt;""),OR(N($BA$7)=0,BA57&lt;&gt;""),BE57&lt;&gt;""),
 _xlfn.XLOOKUP(BE57,'Helper 1'!$B$3:$B$43,'Helper 1'!$D$3:$D$43,,-1),"")))</f>
      </c>
      <c r="BG57" s="374">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8" ht="15.95" customHeight="1" spans="2:59" x14ac:dyDescent="0.25">
      <c r="B58" s="305">
        <v>50</v>
      </c>
      <c r="C58" s="375">
        <f>IF('Data Input'!M56="","",'Data Input'!M56)</f>
      </c>
      <c r="D58" s="376">
        <f>IF(ISBLANK('Data Input'!N56),"",PROPER('Data Input'!N56))</f>
      </c>
      <c r="E58" s="377"/>
      <c r="F58" s="377"/>
      <c r="G58" s="377"/>
      <c r="H58" s="377"/>
      <c r="I58" s="377"/>
      <c r="J58" s="377"/>
      <c r="K58" s="377"/>
      <c r="L58" s="377"/>
      <c r="M58" s="377"/>
      <c r="N58" s="377"/>
      <c r="O58" s="377"/>
      <c r="P58" s="377"/>
      <c r="Q58" s="377"/>
      <c r="R58" s="377"/>
      <c r="S58" s="377"/>
      <c r="T58" s="377"/>
      <c r="U58" s="378"/>
      <c r="V58" s="378"/>
      <c r="W58" s="378"/>
      <c r="X58" s="378"/>
      <c r="Y58" s="36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8" s="362">
        <f t="shared" si="1"/>
      </c>
      <c r="AA58" s="363">
        <f t="shared" si="2"/>
      </c>
      <c r="AB58" s="379"/>
      <c r="AC58" s="377"/>
      <c r="AD58" s="377"/>
      <c r="AE58" s="377"/>
      <c r="AF58" s="377"/>
      <c r="AG58" s="377"/>
      <c r="AH58" s="377"/>
      <c r="AI58" s="377"/>
      <c r="AJ58" s="380"/>
      <c r="AK58" s="378"/>
      <c r="AL58" s="377"/>
      <c r="AM58" s="377"/>
      <c r="AN58" s="377"/>
      <c r="AO58" s="378"/>
      <c r="AP58" s="378"/>
      <c r="AQ58" s="216">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8" s="381">
        <f t="shared" si="3"/>
      </c>
      <c r="AS58" s="382">
        <f t="shared" si="4"/>
      </c>
      <c r="AT58" s="377"/>
      <c r="AU58" s="378"/>
      <c r="AV58" s="383"/>
      <c r="AW58" s="362">
        <f t="shared" si="5"/>
      </c>
      <c r="AX58" s="362">
        <f t="shared" si="6"/>
      </c>
      <c r="AY58" s="362">
        <f t="shared" si="7"/>
      </c>
      <c r="AZ58" s="381">
        <f t="shared" si="8"/>
      </c>
      <c r="BA58" s="384">
        <f t="shared" si="9"/>
      </c>
      <c r="BB58" s="385"/>
      <c r="BC58" s="362">
        <f t="shared" si="12"/>
      </c>
      <c r="BD58" s="386">
        <f t="shared" si="10"/>
      </c>
      <c r="BE58" s="372">
        <f t="shared" si="11"/>
      </c>
      <c r="BF58" s="373">
        <f>IF(OR(AA58="Error",AS58="Error",BA58="Error",BD58="Error"),"Error",
 IF(D58="","",
 IF(AND(N($AA$6)+N($AS$6)+N($BA$7)=100%,
 OR(N($AA$6)=0,AA58&lt;&gt;""),OR(N($AS$6)=0,AS58&lt;&gt;""),OR(N($BA$7)=0,BA58&lt;&gt;""),BE58&lt;&gt;""),
 _xlfn.XLOOKUP(BE58,'Helper 1'!$B$3:$B$43,'Helper 1'!$D$3:$D$43,,-1),"")))</f>
      </c>
      <c r="BG58" s="374">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9" ht="15.95" customHeight="1" spans="2:59" x14ac:dyDescent="0.25">
      <c r="B59" s="305">
        <v>51</v>
      </c>
      <c r="C59" s="375">
        <f>IF('Data Input'!M57="","",'Data Input'!M57)</f>
      </c>
      <c r="D59" s="376">
        <f>IF(ISBLANK('Data Input'!N57),"",PROPER('Data Input'!N57))</f>
      </c>
      <c r="E59" s="377"/>
      <c r="F59" s="377"/>
      <c r="G59" s="377"/>
      <c r="H59" s="377"/>
      <c r="I59" s="377"/>
      <c r="J59" s="377"/>
      <c r="K59" s="377"/>
      <c r="L59" s="377"/>
      <c r="M59" s="377"/>
      <c r="N59" s="377"/>
      <c r="O59" s="377"/>
      <c r="P59" s="377"/>
      <c r="Q59" s="377"/>
      <c r="R59" s="377"/>
      <c r="S59" s="377"/>
      <c r="T59" s="377"/>
      <c r="U59" s="378"/>
      <c r="V59" s="378"/>
      <c r="W59" s="378"/>
      <c r="X59" s="378"/>
      <c r="Y59" s="36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9" s="362">
        <f t="shared" si="1"/>
      </c>
      <c r="AA59" s="363">
        <f t="shared" si="2"/>
      </c>
      <c r="AB59" s="379"/>
      <c r="AC59" s="377"/>
      <c r="AD59" s="377"/>
      <c r="AE59" s="377"/>
      <c r="AF59" s="377"/>
      <c r="AG59" s="377"/>
      <c r="AH59" s="377"/>
      <c r="AI59" s="377"/>
      <c r="AJ59" s="380"/>
      <c r="AK59" s="378"/>
      <c r="AL59" s="377"/>
      <c r="AM59" s="377"/>
      <c r="AN59" s="377"/>
      <c r="AO59" s="378"/>
      <c r="AP59" s="378"/>
      <c r="AQ59" s="216">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9" s="381">
        <f t="shared" si="3"/>
      </c>
      <c r="AS59" s="382">
        <f t="shared" si="4"/>
      </c>
      <c r="AT59" s="377"/>
      <c r="AU59" s="378"/>
      <c r="AV59" s="383"/>
      <c r="AW59" s="362">
        <f t="shared" si="5"/>
      </c>
      <c r="AX59" s="362">
        <f t="shared" si="6"/>
      </c>
      <c r="AY59" s="362">
        <f t="shared" si="7"/>
      </c>
      <c r="AZ59" s="381">
        <f t="shared" si="8"/>
      </c>
      <c r="BA59" s="384">
        <f t="shared" si="9"/>
      </c>
      <c r="BB59" s="385"/>
      <c r="BC59" s="362">
        <f t="shared" si="12"/>
      </c>
      <c r="BD59" s="386">
        <f t="shared" si="10"/>
      </c>
      <c r="BE59" s="372">
        <f t="shared" si="11"/>
      </c>
      <c r="BF59" s="373">
        <f>IF(OR(AA59="Error",AS59="Error",BA59="Error",BD59="Error"),"Error",
 IF(D59="","",
 IF(AND(N($AA$6)+N($AS$6)+N($BA$7)=100%,
 OR(N($AA$6)=0,AA59&lt;&gt;""),OR(N($AS$6)=0,AS59&lt;&gt;""),OR(N($BA$7)=0,BA59&lt;&gt;""),BE59&lt;&gt;""),
 _xlfn.XLOOKUP(BE59,'Helper 1'!$B$3:$B$43,'Helper 1'!$D$3:$D$43,,-1),"")))</f>
      </c>
      <c r="BG59" s="374">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0" ht="15.95" customHeight="1" spans="2:59" x14ac:dyDescent="0.25">
      <c r="B60" s="305">
        <v>52</v>
      </c>
      <c r="C60" s="375">
        <f>IF('Data Input'!M58="","",'Data Input'!M58)</f>
      </c>
      <c r="D60" s="376">
        <f>IF(ISBLANK('Data Input'!N58),"",PROPER('Data Input'!N58))</f>
      </c>
      <c r="E60" s="377"/>
      <c r="F60" s="377"/>
      <c r="G60" s="377"/>
      <c r="H60" s="377"/>
      <c r="I60" s="377"/>
      <c r="J60" s="377"/>
      <c r="K60" s="377"/>
      <c r="L60" s="377"/>
      <c r="M60" s="377"/>
      <c r="N60" s="377"/>
      <c r="O60" s="377"/>
      <c r="P60" s="377"/>
      <c r="Q60" s="377"/>
      <c r="R60" s="377"/>
      <c r="S60" s="377"/>
      <c r="T60" s="377"/>
      <c r="U60" s="378"/>
      <c r="V60" s="378"/>
      <c r="W60" s="378"/>
      <c r="X60" s="378"/>
      <c r="Y60" s="36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0" s="362">
        <f t="shared" si="1"/>
      </c>
      <c r="AA60" s="363">
        <f t="shared" si="2"/>
      </c>
      <c r="AB60" s="379"/>
      <c r="AC60" s="377"/>
      <c r="AD60" s="377"/>
      <c r="AE60" s="377"/>
      <c r="AF60" s="377"/>
      <c r="AG60" s="377"/>
      <c r="AH60" s="377"/>
      <c r="AI60" s="377"/>
      <c r="AJ60" s="380"/>
      <c r="AK60" s="378"/>
      <c r="AL60" s="377"/>
      <c r="AM60" s="377"/>
      <c r="AN60" s="377"/>
      <c r="AO60" s="378"/>
      <c r="AP60" s="378"/>
      <c r="AQ60" s="216">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0" s="381">
        <f t="shared" si="3"/>
      </c>
      <c r="AS60" s="382">
        <f t="shared" si="4"/>
      </c>
      <c r="AT60" s="377"/>
      <c r="AU60" s="378"/>
      <c r="AV60" s="383"/>
      <c r="AW60" s="362">
        <f t="shared" si="5"/>
      </c>
      <c r="AX60" s="362">
        <f t="shared" si="6"/>
      </c>
      <c r="AY60" s="362">
        <f t="shared" si="7"/>
      </c>
      <c r="AZ60" s="381">
        <f t="shared" si="8"/>
      </c>
      <c r="BA60" s="384">
        <f t="shared" si="9"/>
      </c>
      <c r="BB60" s="385"/>
      <c r="BC60" s="362">
        <f t="shared" si="12"/>
      </c>
      <c r="BD60" s="386">
        <f t="shared" si="10"/>
      </c>
      <c r="BE60" s="372">
        <f t="shared" si="11"/>
      </c>
      <c r="BF60" s="373">
        <f>IF(OR(AA60="Error",AS60="Error",BA60="Error",BD60="Error"),"Error",
 IF(D60="","",
 IF(AND(N($AA$6)+N($AS$6)+N($BA$7)=100%,
 OR(N($AA$6)=0,AA60&lt;&gt;""),OR(N($AS$6)=0,AS60&lt;&gt;""),OR(N($BA$7)=0,BA60&lt;&gt;""),BE60&lt;&gt;""),
 _xlfn.XLOOKUP(BE60,'Helper 1'!$B$3:$B$43,'Helper 1'!$D$3:$D$43,,-1),"")))</f>
      </c>
      <c r="BG60" s="374">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1" ht="15.95" customHeight="1" spans="2:59" x14ac:dyDescent="0.25">
      <c r="B61" s="305">
        <v>53</v>
      </c>
      <c r="C61" s="375">
        <f>IF('Data Input'!M59="","",'Data Input'!M59)</f>
      </c>
      <c r="D61" s="376">
        <f>IF(ISBLANK('Data Input'!N59),"",PROPER('Data Input'!N59))</f>
      </c>
      <c r="E61" s="377"/>
      <c r="F61" s="377"/>
      <c r="G61" s="377"/>
      <c r="H61" s="377"/>
      <c r="I61" s="377"/>
      <c r="J61" s="377"/>
      <c r="K61" s="377"/>
      <c r="L61" s="377"/>
      <c r="M61" s="377"/>
      <c r="N61" s="377"/>
      <c r="O61" s="377"/>
      <c r="P61" s="377"/>
      <c r="Q61" s="377"/>
      <c r="R61" s="377"/>
      <c r="S61" s="377"/>
      <c r="T61" s="377"/>
      <c r="U61" s="378"/>
      <c r="V61" s="378"/>
      <c r="W61" s="378"/>
      <c r="X61" s="378"/>
      <c r="Y61" s="36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1" s="362">
        <f t="shared" si="1"/>
      </c>
      <c r="AA61" s="363">
        <f t="shared" si="2"/>
      </c>
      <c r="AB61" s="379"/>
      <c r="AC61" s="377"/>
      <c r="AD61" s="377"/>
      <c r="AE61" s="377"/>
      <c r="AF61" s="377"/>
      <c r="AG61" s="377"/>
      <c r="AH61" s="377"/>
      <c r="AI61" s="377"/>
      <c r="AJ61" s="380"/>
      <c r="AK61" s="378"/>
      <c r="AL61" s="377"/>
      <c r="AM61" s="377"/>
      <c r="AN61" s="377"/>
      <c r="AO61" s="378"/>
      <c r="AP61" s="378"/>
      <c r="AQ61" s="216">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1" s="381">
        <f t="shared" si="3"/>
      </c>
      <c r="AS61" s="382">
        <f t="shared" si="4"/>
      </c>
      <c r="AT61" s="377"/>
      <c r="AU61" s="378"/>
      <c r="AV61" s="383"/>
      <c r="AW61" s="362">
        <f t="shared" si="5"/>
      </c>
      <c r="AX61" s="362">
        <f t="shared" si="6"/>
      </c>
      <c r="AY61" s="362">
        <f t="shared" si="7"/>
      </c>
      <c r="AZ61" s="381">
        <f t="shared" si="8"/>
      </c>
      <c r="BA61" s="384">
        <f t="shared" si="9"/>
      </c>
      <c r="BB61" s="385"/>
      <c r="BC61" s="362">
        <f t="shared" si="12"/>
      </c>
      <c r="BD61" s="386">
        <f t="shared" si="10"/>
      </c>
      <c r="BE61" s="372">
        <f t="shared" si="11"/>
      </c>
      <c r="BF61" s="373">
        <f>IF(OR(AA61="Error",AS61="Error",BA61="Error",BD61="Error"),"Error",
 IF(D61="","",
 IF(AND(N($AA$6)+N($AS$6)+N($BA$7)=100%,
 OR(N($AA$6)=0,AA61&lt;&gt;""),OR(N($AS$6)=0,AS61&lt;&gt;""),OR(N($BA$7)=0,BA61&lt;&gt;""),BE61&lt;&gt;""),
 _xlfn.XLOOKUP(BE61,'Helper 1'!$B$3:$B$43,'Helper 1'!$D$3:$D$43,,-1),"")))</f>
      </c>
      <c r="BG61" s="374">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2" ht="15.95" customHeight="1" spans="2:59" x14ac:dyDescent="0.25">
      <c r="B62" s="305">
        <v>54</v>
      </c>
      <c r="C62" s="375">
        <f>IF('Data Input'!M60="","",'Data Input'!M60)</f>
      </c>
      <c r="D62" s="376">
        <f>IF(ISBLANK('Data Input'!N60),"",PROPER('Data Input'!N60))</f>
      </c>
      <c r="E62" s="377"/>
      <c r="F62" s="377"/>
      <c r="G62" s="377"/>
      <c r="H62" s="377"/>
      <c r="I62" s="377"/>
      <c r="J62" s="377"/>
      <c r="K62" s="377"/>
      <c r="L62" s="377"/>
      <c r="M62" s="377"/>
      <c r="N62" s="377"/>
      <c r="O62" s="377"/>
      <c r="P62" s="377"/>
      <c r="Q62" s="377"/>
      <c r="R62" s="377"/>
      <c r="S62" s="377"/>
      <c r="T62" s="377"/>
      <c r="U62" s="378"/>
      <c r="V62" s="378"/>
      <c r="W62" s="378"/>
      <c r="X62" s="378"/>
      <c r="Y62" s="36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2" s="362">
        <f t="shared" si="1"/>
      </c>
      <c r="AA62" s="363">
        <f t="shared" si="2"/>
      </c>
      <c r="AB62" s="379"/>
      <c r="AC62" s="377"/>
      <c r="AD62" s="377"/>
      <c r="AE62" s="377"/>
      <c r="AF62" s="377"/>
      <c r="AG62" s="377"/>
      <c r="AH62" s="377"/>
      <c r="AI62" s="377"/>
      <c r="AJ62" s="380"/>
      <c r="AK62" s="378"/>
      <c r="AL62" s="377"/>
      <c r="AM62" s="377"/>
      <c r="AN62" s="377"/>
      <c r="AO62" s="378"/>
      <c r="AP62" s="378"/>
      <c r="AQ62" s="216">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2" s="381">
        <f t="shared" si="3"/>
      </c>
      <c r="AS62" s="382">
        <f t="shared" si="4"/>
      </c>
      <c r="AT62" s="377"/>
      <c r="AU62" s="378"/>
      <c r="AV62" s="383"/>
      <c r="AW62" s="362">
        <f t="shared" si="5"/>
      </c>
      <c r="AX62" s="362">
        <f t="shared" si="6"/>
      </c>
      <c r="AY62" s="362">
        <f t="shared" si="7"/>
      </c>
      <c r="AZ62" s="381">
        <f t="shared" si="8"/>
      </c>
      <c r="BA62" s="384">
        <f t="shared" si="9"/>
      </c>
      <c r="BB62" s="385"/>
      <c r="BC62" s="362">
        <f t="shared" si="12"/>
      </c>
      <c r="BD62" s="386">
        <f t="shared" si="10"/>
      </c>
      <c r="BE62" s="372">
        <f t="shared" si="11"/>
      </c>
      <c r="BF62" s="373">
        <f>IF(OR(AA62="Error",AS62="Error",BA62="Error",BD62="Error"),"Error",
 IF(D62="","",
 IF(AND(N($AA$6)+N($AS$6)+N($BA$7)=100%,
 OR(N($AA$6)=0,AA62&lt;&gt;""),OR(N($AS$6)=0,AS62&lt;&gt;""),OR(N($BA$7)=0,BA62&lt;&gt;""),BE62&lt;&gt;""),
 _xlfn.XLOOKUP(BE62,'Helper 1'!$B$3:$B$43,'Helper 1'!$D$3:$D$43,,-1),"")))</f>
      </c>
      <c r="BG62" s="374">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3" ht="15.95" customHeight="1" spans="2:59" x14ac:dyDescent="0.25">
      <c r="B63" s="305">
        <v>55</v>
      </c>
      <c r="C63" s="375">
        <f>IF('Data Input'!M61="","",'Data Input'!M61)</f>
      </c>
      <c r="D63" s="376">
        <f>IF(ISBLANK('Data Input'!N61),"",PROPER('Data Input'!N61))</f>
      </c>
      <c r="E63" s="377"/>
      <c r="F63" s="377"/>
      <c r="G63" s="377"/>
      <c r="H63" s="377"/>
      <c r="I63" s="377"/>
      <c r="J63" s="377"/>
      <c r="K63" s="377"/>
      <c r="L63" s="377"/>
      <c r="M63" s="377"/>
      <c r="N63" s="377"/>
      <c r="O63" s="377"/>
      <c r="P63" s="377"/>
      <c r="Q63" s="377"/>
      <c r="R63" s="377"/>
      <c r="S63" s="377"/>
      <c r="T63" s="377"/>
      <c r="U63" s="378"/>
      <c r="V63" s="378"/>
      <c r="W63" s="378"/>
      <c r="X63" s="378"/>
      <c r="Y63" s="36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3" s="362">
        <f t="shared" si="1"/>
      </c>
      <c r="AA63" s="363">
        <f t="shared" si="2"/>
      </c>
      <c r="AB63" s="379"/>
      <c r="AC63" s="377"/>
      <c r="AD63" s="377"/>
      <c r="AE63" s="377"/>
      <c r="AF63" s="377"/>
      <c r="AG63" s="377"/>
      <c r="AH63" s="377"/>
      <c r="AI63" s="377"/>
      <c r="AJ63" s="380"/>
      <c r="AK63" s="378"/>
      <c r="AL63" s="377"/>
      <c r="AM63" s="377"/>
      <c r="AN63" s="377"/>
      <c r="AO63" s="378"/>
      <c r="AP63" s="378"/>
      <c r="AQ63" s="216">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3" s="381">
        <f t="shared" si="3"/>
      </c>
      <c r="AS63" s="382">
        <f t="shared" si="4"/>
      </c>
      <c r="AT63" s="377"/>
      <c r="AU63" s="378"/>
      <c r="AV63" s="383"/>
      <c r="AW63" s="362">
        <f t="shared" si="5"/>
      </c>
      <c r="AX63" s="362">
        <f t="shared" si="6"/>
      </c>
      <c r="AY63" s="362">
        <f t="shared" si="7"/>
      </c>
      <c r="AZ63" s="381">
        <f t="shared" si="8"/>
      </c>
      <c r="BA63" s="384">
        <f t="shared" si="9"/>
      </c>
      <c r="BB63" s="385"/>
      <c r="BC63" s="362">
        <f t="shared" si="12"/>
      </c>
      <c r="BD63" s="386">
        <f t="shared" si="10"/>
      </c>
      <c r="BE63" s="372">
        <f t="shared" si="11"/>
      </c>
      <c r="BF63" s="373">
        <f>IF(OR(AA63="Error",AS63="Error",BA63="Error",BD63="Error"),"Error",
 IF(D63="","",
 IF(AND(N($AA$6)+N($AS$6)+N($BA$7)=100%,
 OR(N($AA$6)=0,AA63&lt;&gt;""),OR(N($AS$6)=0,AS63&lt;&gt;""),OR(N($BA$7)=0,BA63&lt;&gt;""),BE63&lt;&gt;""),
 _xlfn.XLOOKUP(BE63,'Helper 1'!$B$3:$B$43,'Helper 1'!$D$3:$D$43,,-1),"")))</f>
      </c>
      <c r="BG63" s="374">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4" ht="15.95" customHeight="1" spans="2:59" x14ac:dyDescent="0.25">
      <c r="B64" s="305">
        <v>56</v>
      </c>
      <c r="C64" s="375">
        <f>IF('Data Input'!M62="","",'Data Input'!M62)</f>
      </c>
      <c r="D64" s="376">
        <f>IF(ISBLANK('Data Input'!N62),"",PROPER('Data Input'!N62))</f>
      </c>
      <c r="E64" s="377"/>
      <c r="F64" s="377"/>
      <c r="G64" s="377"/>
      <c r="H64" s="377"/>
      <c r="I64" s="377"/>
      <c r="J64" s="377"/>
      <c r="K64" s="377"/>
      <c r="L64" s="377"/>
      <c r="M64" s="377"/>
      <c r="N64" s="377"/>
      <c r="O64" s="377"/>
      <c r="P64" s="377"/>
      <c r="Q64" s="377"/>
      <c r="R64" s="377"/>
      <c r="S64" s="377"/>
      <c r="T64" s="377"/>
      <c r="U64" s="378"/>
      <c r="V64" s="378"/>
      <c r="W64" s="378"/>
      <c r="X64" s="378"/>
      <c r="Y64" s="36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4" s="362">
        <f t="shared" si="1"/>
      </c>
      <c r="AA64" s="363">
        <f t="shared" si="2"/>
      </c>
      <c r="AB64" s="379"/>
      <c r="AC64" s="377"/>
      <c r="AD64" s="377"/>
      <c r="AE64" s="377"/>
      <c r="AF64" s="377"/>
      <c r="AG64" s="377"/>
      <c r="AH64" s="377"/>
      <c r="AI64" s="377"/>
      <c r="AJ64" s="380"/>
      <c r="AK64" s="378"/>
      <c r="AL64" s="377"/>
      <c r="AM64" s="377"/>
      <c r="AN64" s="377"/>
      <c r="AO64" s="378"/>
      <c r="AP64" s="378"/>
      <c r="AQ64" s="216">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4" s="381">
        <f t="shared" si="3"/>
      </c>
      <c r="AS64" s="382">
        <f t="shared" si="4"/>
      </c>
      <c r="AT64" s="377"/>
      <c r="AU64" s="378"/>
      <c r="AV64" s="383"/>
      <c r="AW64" s="362">
        <f t="shared" si="5"/>
      </c>
      <c r="AX64" s="362">
        <f t="shared" si="6"/>
      </c>
      <c r="AY64" s="362">
        <f t="shared" si="7"/>
      </c>
      <c r="AZ64" s="381">
        <f t="shared" si="8"/>
      </c>
      <c r="BA64" s="384">
        <f t="shared" si="9"/>
      </c>
      <c r="BB64" s="385"/>
      <c r="BC64" s="362">
        <f t="shared" si="12"/>
      </c>
      <c r="BD64" s="386">
        <f t="shared" si="10"/>
      </c>
      <c r="BE64" s="372">
        <f t="shared" si="11"/>
      </c>
      <c r="BF64" s="373">
        <f>IF(OR(AA64="Error",AS64="Error",BA64="Error",BD64="Error"),"Error",
 IF(D64="","",
 IF(AND(N($AA$6)+N($AS$6)+N($BA$7)=100%,
 OR(N($AA$6)=0,AA64&lt;&gt;""),OR(N($AS$6)=0,AS64&lt;&gt;""),OR(N($BA$7)=0,BA64&lt;&gt;""),BE64&lt;&gt;""),
 _xlfn.XLOOKUP(BE64,'Helper 1'!$B$3:$B$43,'Helper 1'!$D$3:$D$43,,-1),"")))</f>
      </c>
      <c r="BG64" s="374">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5" ht="15.95" customHeight="1" spans="2:59" x14ac:dyDescent="0.25">
      <c r="B65" s="305">
        <v>57</v>
      </c>
      <c r="C65" s="375">
        <f>IF('Data Input'!M63="","",'Data Input'!M63)</f>
      </c>
      <c r="D65" s="376">
        <f>IF(ISBLANK('Data Input'!N63),"",PROPER('Data Input'!N63))</f>
      </c>
      <c r="E65" s="377"/>
      <c r="F65" s="377"/>
      <c r="G65" s="377"/>
      <c r="H65" s="377"/>
      <c r="I65" s="377"/>
      <c r="J65" s="377"/>
      <c r="K65" s="377"/>
      <c r="L65" s="377"/>
      <c r="M65" s="377"/>
      <c r="N65" s="377"/>
      <c r="O65" s="377"/>
      <c r="P65" s="377"/>
      <c r="Q65" s="377"/>
      <c r="R65" s="377"/>
      <c r="S65" s="377"/>
      <c r="T65" s="377"/>
      <c r="U65" s="378"/>
      <c r="V65" s="378"/>
      <c r="W65" s="378"/>
      <c r="X65" s="378"/>
      <c r="Y65" s="36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5" s="362">
        <f t="shared" si="1"/>
      </c>
      <c r="AA65" s="363">
        <f t="shared" si="2"/>
      </c>
      <c r="AB65" s="379"/>
      <c r="AC65" s="377"/>
      <c r="AD65" s="377"/>
      <c r="AE65" s="377"/>
      <c r="AF65" s="377"/>
      <c r="AG65" s="377"/>
      <c r="AH65" s="377"/>
      <c r="AI65" s="377"/>
      <c r="AJ65" s="380"/>
      <c r="AK65" s="378"/>
      <c r="AL65" s="377"/>
      <c r="AM65" s="377"/>
      <c r="AN65" s="377"/>
      <c r="AO65" s="378"/>
      <c r="AP65" s="378"/>
      <c r="AQ65" s="216">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5" s="381">
        <f t="shared" si="3"/>
      </c>
      <c r="AS65" s="382">
        <f t="shared" si="4"/>
      </c>
      <c r="AT65" s="377"/>
      <c r="AU65" s="378"/>
      <c r="AV65" s="383"/>
      <c r="AW65" s="362">
        <f t="shared" si="5"/>
      </c>
      <c r="AX65" s="362">
        <f t="shared" si="6"/>
      </c>
      <c r="AY65" s="362">
        <f t="shared" si="7"/>
      </c>
      <c r="AZ65" s="381">
        <f t="shared" si="8"/>
      </c>
      <c r="BA65" s="384">
        <f t="shared" si="9"/>
      </c>
      <c r="BB65" s="385"/>
      <c r="BC65" s="362">
        <f t="shared" si="12"/>
      </c>
      <c r="BD65" s="386">
        <f t="shared" si="10"/>
      </c>
      <c r="BE65" s="372">
        <f t="shared" si="11"/>
      </c>
      <c r="BF65" s="373">
        <f>IF(OR(AA65="Error",AS65="Error",BA65="Error",BD65="Error"),"Error",
 IF(D65="","",
 IF(AND(N($AA$6)+N($AS$6)+N($BA$7)=100%,
 OR(N($AA$6)=0,AA65&lt;&gt;""),OR(N($AS$6)=0,AS65&lt;&gt;""),OR(N($BA$7)=0,BA65&lt;&gt;""),BE65&lt;&gt;""),
 _xlfn.XLOOKUP(BE65,'Helper 1'!$B$3:$B$43,'Helper 1'!$D$3:$D$43,,-1),"")))</f>
      </c>
      <c r="BG65" s="374">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6" ht="15.95" customHeight="1" spans="2:59" x14ac:dyDescent="0.25">
      <c r="B66" s="305">
        <v>58</v>
      </c>
      <c r="C66" s="375">
        <f>IF('Data Input'!M64="","",'Data Input'!M64)</f>
      </c>
      <c r="D66" s="376">
        <f>IF(ISBLANK('Data Input'!N64),"",PROPER('Data Input'!N64))</f>
      </c>
      <c r="E66" s="377"/>
      <c r="F66" s="377"/>
      <c r="G66" s="377"/>
      <c r="H66" s="377"/>
      <c r="I66" s="377"/>
      <c r="J66" s="377"/>
      <c r="K66" s="377"/>
      <c r="L66" s="377"/>
      <c r="M66" s="377"/>
      <c r="N66" s="377"/>
      <c r="O66" s="377"/>
      <c r="P66" s="377"/>
      <c r="Q66" s="377"/>
      <c r="R66" s="377"/>
      <c r="S66" s="377"/>
      <c r="T66" s="377"/>
      <c r="U66" s="378"/>
      <c r="V66" s="378"/>
      <c r="W66" s="378"/>
      <c r="X66" s="378"/>
      <c r="Y66" s="36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6" s="362">
        <f t="shared" si="1"/>
      </c>
      <c r="AA66" s="363">
        <f t="shared" si="2"/>
      </c>
      <c r="AB66" s="379"/>
      <c r="AC66" s="377"/>
      <c r="AD66" s="377"/>
      <c r="AE66" s="377"/>
      <c r="AF66" s="377"/>
      <c r="AG66" s="377"/>
      <c r="AH66" s="377"/>
      <c r="AI66" s="377"/>
      <c r="AJ66" s="380"/>
      <c r="AK66" s="378"/>
      <c r="AL66" s="377"/>
      <c r="AM66" s="377"/>
      <c r="AN66" s="377"/>
      <c r="AO66" s="378"/>
      <c r="AP66" s="378"/>
      <c r="AQ66" s="216">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6" s="381">
        <f t="shared" si="3"/>
      </c>
      <c r="AS66" s="382">
        <f t="shared" si="4"/>
      </c>
      <c r="AT66" s="377"/>
      <c r="AU66" s="378"/>
      <c r="AV66" s="383"/>
      <c r="AW66" s="362">
        <f t="shared" si="5"/>
      </c>
      <c r="AX66" s="362">
        <f t="shared" si="6"/>
      </c>
      <c r="AY66" s="362">
        <f t="shared" si="7"/>
      </c>
      <c r="AZ66" s="381">
        <f t="shared" si="8"/>
      </c>
      <c r="BA66" s="384">
        <f t="shared" si="9"/>
      </c>
      <c r="BB66" s="385"/>
      <c r="BC66" s="362">
        <f t="shared" si="12"/>
      </c>
      <c r="BD66" s="386">
        <f t="shared" si="10"/>
      </c>
      <c r="BE66" s="372">
        <f t="shared" si="11"/>
      </c>
      <c r="BF66" s="373">
        <f>IF(OR(AA66="Error",AS66="Error",BA66="Error",BD66="Error"),"Error",
 IF(D66="","",
 IF(AND(N($AA$6)+N($AS$6)+N($BA$7)=100%,
 OR(N($AA$6)=0,AA66&lt;&gt;""),OR(N($AS$6)=0,AS66&lt;&gt;""),OR(N($BA$7)=0,BA66&lt;&gt;""),BE66&lt;&gt;""),
 _xlfn.XLOOKUP(BE66,'Helper 1'!$B$3:$B$43,'Helper 1'!$D$3:$D$43,,-1),"")))</f>
      </c>
      <c r="BG66" s="374">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7" ht="15.95" customHeight="1" spans="2:59" x14ac:dyDescent="0.25">
      <c r="B67" s="305">
        <v>59</v>
      </c>
      <c r="C67" s="375">
        <f>IF('Data Input'!M65="","",'Data Input'!M65)</f>
      </c>
      <c r="D67" s="376">
        <f>IF(ISBLANK('Data Input'!N65),"",PROPER('Data Input'!N65))</f>
      </c>
      <c r="E67" s="377"/>
      <c r="F67" s="377"/>
      <c r="G67" s="377"/>
      <c r="H67" s="377"/>
      <c r="I67" s="377"/>
      <c r="J67" s="377"/>
      <c r="K67" s="377"/>
      <c r="L67" s="377"/>
      <c r="M67" s="377"/>
      <c r="N67" s="377"/>
      <c r="O67" s="377"/>
      <c r="P67" s="377"/>
      <c r="Q67" s="377"/>
      <c r="R67" s="377"/>
      <c r="S67" s="377"/>
      <c r="T67" s="377"/>
      <c r="U67" s="378"/>
      <c r="V67" s="378"/>
      <c r="W67" s="378"/>
      <c r="X67" s="378"/>
      <c r="Y67" s="36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7" s="362">
        <f t="shared" si="1"/>
      </c>
      <c r="AA67" s="363">
        <f t="shared" si="2"/>
      </c>
      <c r="AB67" s="379"/>
      <c r="AC67" s="377"/>
      <c r="AD67" s="377"/>
      <c r="AE67" s="377"/>
      <c r="AF67" s="377"/>
      <c r="AG67" s="377"/>
      <c r="AH67" s="377"/>
      <c r="AI67" s="377"/>
      <c r="AJ67" s="380"/>
      <c r="AK67" s="378"/>
      <c r="AL67" s="377"/>
      <c r="AM67" s="377"/>
      <c r="AN67" s="377"/>
      <c r="AO67" s="378"/>
      <c r="AP67" s="378"/>
      <c r="AQ67" s="216">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7" s="381">
        <f t="shared" si="3"/>
      </c>
      <c r="AS67" s="382">
        <f t="shared" si="4"/>
      </c>
      <c r="AT67" s="377"/>
      <c r="AU67" s="378"/>
      <c r="AV67" s="383"/>
      <c r="AW67" s="362">
        <f t="shared" si="5"/>
      </c>
      <c r="AX67" s="362">
        <f t="shared" si="6"/>
      </c>
      <c r="AY67" s="362">
        <f t="shared" si="7"/>
      </c>
      <c r="AZ67" s="381">
        <f t="shared" si="8"/>
      </c>
      <c r="BA67" s="384">
        <f t="shared" si="9"/>
      </c>
      <c r="BB67" s="385"/>
      <c r="BC67" s="362">
        <f t="shared" si="12"/>
      </c>
      <c r="BD67" s="386">
        <f t="shared" si="10"/>
      </c>
      <c r="BE67" s="372">
        <f t="shared" si="11"/>
      </c>
      <c r="BF67" s="373">
        <f>IF(OR(AA67="Error",AS67="Error",BA67="Error",BD67="Error"),"Error",
 IF(D67="","",
 IF(AND(N($AA$6)+N($AS$6)+N($BA$7)=100%,
 OR(N($AA$6)=0,AA67&lt;&gt;""),OR(N($AS$6)=0,AS67&lt;&gt;""),OR(N($BA$7)=0,BA67&lt;&gt;""),BE67&lt;&gt;""),
 _xlfn.XLOOKUP(BE67,'Helper 1'!$B$3:$B$43,'Helper 1'!$D$3:$D$43,,-1),"")))</f>
      </c>
      <c r="BG67" s="374">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8" ht="15.95" customHeight="1" spans="2:59" x14ac:dyDescent="0.25">
      <c r="B68" s="387">
        <v>60</v>
      </c>
      <c r="C68" s="162">
        <f>IF('Data Input'!M66="","",'Data Input'!M66)</f>
      </c>
      <c r="D68" s="388">
        <f>IF(ISBLANK('Data Input'!N66),"",PROPER('Data Input'!N66))</f>
      </c>
      <c r="E68" s="389"/>
      <c r="F68" s="389"/>
      <c r="G68" s="389"/>
      <c r="H68" s="389"/>
      <c r="I68" s="389"/>
      <c r="J68" s="389"/>
      <c r="K68" s="389"/>
      <c r="L68" s="389"/>
      <c r="M68" s="389"/>
      <c r="N68" s="389"/>
      <c r="O68" s="389"/>
      <c r="P68" s="389"/>
      <c r="Q68" s="389"/>
      <c r="R68" s="389"/>
      <c r="S68" s="389"/>
      <c r="T68" s="389"/>
      <c r="U68" s="390"/>
      <c r="V68" s="390"/>
      <c r="W68" s="390"/>
      <c r="X68" s="390"/>
      <c r="Y68" s="36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8" s="362">
        <f t="shared" si="1"/>
      </c>
      <c r="AA68" s="363">
        <f t="shared" si="2"/>
      </c>
      <c r="AB68" s="391"/>
      <c r="AC68" s="389"/>
      <c r="AD68" s="389"/>
      <c r="AE68" s="389"/>
      <c r="AF68" s="389"/>
      <c r="AG68" s="389"/>
      <c r="AH68" s="389"/>
      <c r="AI68" s="389"/>
      <c r="AJ68" s="392"/>
      <c r="AK68" s="390"/>
      <c r="AL68" s="389"/>
      <c r="AM68" s="389"/>
      <c r="AN68" s="389"/>
      <c r="AO68" s="390"/>
      <c r="AP68" s="390"/>
      <c r="AQ68" s="393">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8" s="394">
        <f t="shared" si="3"/>
      </c>
      <c r="AS68" s="395">
        <f t="shared" si="4"/>
      </c>
      <c r="AT68" s="389"/>
      <c r="AU68" s="390"/>
      <c r="AV68" s="396"/>
      <c r="AW68" s="362">
        <f t="shared" si="5"/>
      </c>
      <c r="AX68" s="397">
        <f t="shared" si="6"/>
      </c>
      <c r="AY68" s="397">
        <f t="shared" si="7"/>
      </c>
      <c r="AZ68" s="394">
        <f t="shared" si="8"/>
      </c>
      <c r="BA68" s="398">
        <f t="shared" si="9"/>
      </c>
      <c r="BB68" s="399"/>
      <c r="BC68" s="397">
        <f t="shared" si="12"/>
      </c>
      <c r="BD68" s="400">
        <f t="shared" si="10"/>
      </c>
      <c r="BE68" s="372">
        <f t="shared" si="11"/>
      </c>
      <c r="BF68" s="373">
        <f>IF(OR(AA68="Error",AS68="Error",BA68="Error",BD68="Error"),"Error",
 IF(D68="","",
 IF(AND(N($AA$6)+N($AS$6)+N($BA$7)=100%,
 OR(N($AA$6)=0,AA68&lt;&gt;""),OR(N($AS$6)=0,AS68&lt;&gt;""),OR(N($BA$7)=0,BA68&lt;&gt;""),BE68&lt;&gt;""),
 _xlfn.XLOOKUP(BE68,'Helper 1'!$B$3:$B$43,'Helper 1'!$D$3:$D$43,,-1),"")))</f>
      </c>
      <c r="BG68" s="374">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9" spans="2:59" x14ac:dyDescent="0.25">
      <c r="B69" s="401"/>
      <c r="C69" s="401"/>
      <c r="D69" s="401"/>
      <c r="E69" s="401"/>
      <c r="F69" s="401"/>
      <c r="G69" s="401"/>
      <c r="H69" s="401"/>
      <c r="I69" s="401"/>
      <c r="J69" s="401"/>
      <c r="K69" s="401"/>
      <c r="L69" s="401"/>
      <c r="M69" s="401"/>
      <c r="N69" s="401"/>
      <c r="O69" s="401"/>
      <c r="P69" s="401"/>
      <c r="Q69" s="401"/>
      <c r="R69" s="401"/>
      <c r="S69" s="401"/>
      <c r="T69" s="401"/>
      <c r="U69" s="401"/>
      <c r="V69" s="401"/>
      <c r="W69" s="401"/>
      <c r="X69" s="401"/>
      <c r="Y69" s="401"/>
      <c r="Z69" s="401"/>
      <c r="AA69" s="401"/>
      <c r="AB69" s="401"/>
      <c r="AC69" s="401"/>
      <c r="AD69" s="401"/>
      <c r="AE69" s="401"/>
      <c r="AF69" s="401"/>
      <c r="AG69" s="401"/>
      <c r="AH69" s="401"/>
      <c r="AI69" s="401"/>
      <c r="AJ69" s="401"/>
      <c r="AK69" s="401"/>
      <c r="AL69" s="401"/>
      <c r="AM69" s="401"/>
      <c r="AN69" s="401"/>
      <c r="AO69" s="401"/>
      <c r="AP69" s="401"/>
      <c r="AQ69" s="401"/>
      <c r="AR69" s="401"/>
      <c r="AS69" s="401"/>
      <c r="AT69" s="401"/>
      <c r="AU69" s="401"/>
      <c r="AV69" s="401"/>
      <c r="AW69" s="401"/>
      <c r="AX69" s="401"/>
      <c r="AY69" s="401"/>
      <c r="AZ69" s="401"/>
      <c r="BA69" s="401"/>
      <c r="BB69" s="401"/>
      <c r="BC69" s="401"/>
      <c r="BD69" s="401"/>
      <c r="BE69" s="401"/>
      <c r="BF69" s="401"/>
      <c r="BG69" s="401"/>
    </row>
  </sheetData>
  <sheetProtection sheet="1" algorithmName="SHA-512" hashValue="gOatvrCBW5qDH64NCK5iXF8VcMQAlhGL/Dtd+p7QwdfTYTKQMbtfSB34ZzLtuB2k+N2YmYoN0vIQaSlV6As8kQ==" saltValue="kGmelAlOdHYGwDGaK5MGWw==" spinCount="100000" objects="1" scenarios="1"/>
  <mergeCells count="52">
    <mergeCell ref="B2:C2"/>
    <mergeCell ref="E2:X2"/>
    <mergeCell ref="Y2:AA2"/>
    <mergeCell ref="AB2:AD2"/>
    <mergeCell ref="AE2:AH2"/>
    <mergeCell ref="AI2:AQ2"/>
    <mergeCell ref="AR2:AS2"/>
    <mergeCell ref="AT2:AW2"/>
    <mergeCell ref="AX2:BA2"/>
    <mergeCell ref="BB2:BD4"/>
    <mergeCell ref="BE2:BG3"/>
    <mergeCell ref="B3:C3"/>
    <mergeCell ref="E3:X3"/>
    <mergeCell ref="Y3:AA3"/>
    <mergeCell ref="AB3:AD3"/>
    <mergeCell ref="AE3:AH3"/>
    <mergeCell ref="AI3:AQ3"/>
    <mergeCell ref="AR3:AS3"/>
    <mergeCell ref="AT3:AW3"/>
    <mergeCell ref="AX3:BA3"/>
    <mergeCell ref="B4:D4"/>
    <mergeCell ref="E4:AA4"/>
    <mergeCell ref="AB4:AS4"/>
    <mergeCell ref="AT4:BA4"/>
    <mergeCell ref="B5:C8"/>
    <mergeCell ref="BE4:BE8"/>
    <mergeCell ref="BF4:BF8"/>
    <mergeCell ref="BG4:BG8"/>
    <mergeCell ref="D5:D8"/>
    <mergeCell ref="AW5:AW6"/>
    <mergeCell ref="AX5:AX6"/>
    <mergeCell ref="AY5:AY6"/>
    <mergeCell ref="AZ5:AZ6"/>
    <mergeCell ref="BA5:BA6"/>
    <mergeCell ref="BD5:BD8"/>
    <mergeCell ref="Y6:Y8"/>
    <mergeCell ref="Z6:Z8"/>
    <mergeCell ref="AA6:AA8"/>
    <mergeCell ref="AQ6:AQ8"/>
    <mergeCell ref="AR6:AR8"/>
    <mergeCell ref="AS6:AS8"/>
    <mergeCell ref="AT6:AT7"/>
    <mergeCell ref="AU6:AU7"/>
    <mergeCell ref="AV6:AV7"/>
    <mergeCell ref="BB6:BB7"/>
    <mergeCell ref="BC6:BC8"/>
    <mergeCell ref="AW7:AW8"/>
    <mergeCell ref="AX7:AX8"/>
    <mergeCell ref="AY7:AY8"/>
    <mergeCell ref="AZ7:AZ8"/>
    <mergeCell ref="BA7:BA8"/>
    <mergeCell ref="BI11:BI12"/>
  </mergeCells>
  <conditionalFormatting sqref="E6:X6">
    <cfRule type="expression" dxfId="3" priority="11">
      <formula>AND(ISTEXT(E$6),(E$6&lt;&gt;""))</formula>
    </cfRule>
  </conditionalFormatting>
  <conditionalFormatting sqref="E9:X68">
    <cfRule type="expression" dxfId="4" priority="3">
      <formula>AND($D9&lt;&gt;"",E$6&lt;&gt;"",E9="")</formula>
    </cfRule>
    <cfRule type="expression" dxfId="5" priority="14">
      <formula>OR(ISTEXT(E9),E9&gt;E$6)</formula>
    </cfRule>
  </conditionalFormatting>
  <conditionalFormatting sqref="AB6:AP6">
    <cfRule type="expression" dxfId="6" priority="12">
      <formula>AND(ISTEXT(AB$6),(AB$6&lt;&gt;""))</formula>
    </cfRule>
  </conditionalFormatting>
  <conditionalFormatting sqref="AB9:AP68">
    <cfRule type="expression" dxfId="7" priority="2">
      <formula>AND($D9&lt;&gt;"",AB$6&lt;&gt;"",AB9="")</formula>
    </cfRule>
    <cfRule type="expression" dxfId="8" priority="15">
      <formula>OR(ISTEXT(AB9),AB9&gt;AB$6)</formula>
    </cfRule>
  </conditionalFormatting>
  <conditionalFormatting sqref="AT6:AV6">
    <cfRule type="expression" dxfId="9" priority="13">
      <formula>AND(ISTEXT(AT$6),(AT$6&lt;&gt;""))</formula>
    </cfRule>
  </conditionalFormatting>
  <conditionalFormatting sqref="AT9:AV68">
    <cfRule type="expression" dxfId="10" priority="1">
      <formula>AND($D9&lt;&gt;"",AT$6&lt;&gt;"",AT9="")</formula>
    </cfRule>
    <cfRule type="expression" dxfId="11" priority="16">
      <formula>OR(ISTEXT(AT9),AT9&gt;AT$6)</formula>
    </cfRule>
  </conditionalFormatting>
  <conditionalFormatting sqref="BB9:BB68">
    <cfRule type="expression" dxfId="12" priority="5">
      <formula>BB9&gt;$BB$6</formula>
    </cfRule>
  </conditionalFormatting>
  <conditionalFormatting sqref="BF9:BF68">
    <cfRule type="cellIs" dxfId="13" priority="8" operator="lessThan">
      <formula>75</formula>
    </cfRule>
  </conditionalFormatting>
  <conditionalFormatting sqref="BD9:BD68">
    <cfRule priority="6"/>
  </conditionalFormatting>
  <conditionalFormatting sqref="BG9:BG68">
    <cfRule priority="4"/>
  </conditionalFormatting>
  <conditionalFormatting sqref="BG9:BG68">
    <cfRule priority="9"/>
  </conditionalFormatting>
  <conditionalFormatting sqref="BG9:BG68">
    <cfRule priority="10"/>
  </conditionalFormatting>
  <dataValidations count="2299">
    <dataValidation showInputMessage="1" prompt="Weighted Score" showErrorMessage="1" sqref="AA5"/>
    <dataValidation type="whole" allowBlank="1" showInputMessage="1" showErrorMessage="1" sqref="AB10">
      <formula1>0</formula1>
      <formula2>NaN</formula2>
    </dataValidation>
    <dataValidation type="whole" allowBlank="1" showInputMessage="1" showErrorMessage="1" sqref="AB11">
      <formula1>0</formula1>
      <formula2>NaN</formula2>
    </dataValidation>
    <dataValidation type="whole" allowBlank="1" showInputMessage="1" showErrorMessage="1" sqref="AB12">
      <formula1>0</formula1>
      <formula2>NaN</formula2>
    </dataValidation>
    <dataValidation type="whole" allowBlank="1" showInputMessage="1" showErrorMessage="1" sqref="AB13">
      <formula1>0</formula1>
      <formula2>NaN</formula2>
    </dataValidation>
    <dataValidation type="whole" allowBlank="1" showInputMessage="1" showErrorMessage="1" sqref="AB14">
      <formula1>0</formula1>
      <formula2>NaN</formula2>
    </dataValidation>
    <dataValidation type="whole" allowBlank="1" showInputMessage="1" showErrorMessage="1" sqref="AB15">
      <formula1>0</formula1>
      <formula2>NaN</formula2>
    </dataValidation>
    <dataValidation type="whole" allowBlank="1" showInputMessage="1" showErrorMessage="1" sqref="AB16">
      <formula1>0</formula1>
      <formula2>NaN</formula2>
    </dataValidation>
    <dataValidation type="whole" allowBlank="1" showInputMessage="1" showErrorMessage="1" sqref="AB17">
      <formula1>0</formula1>
      <formula2>NaN</formula2>
    </dataValidation>
    <dataValidation type="whole" allowBlank="1" showInputMessage="1" showErrorMessage="1" sqref="AB18">
      <formula1>0</formula1>
      <formula2>NaN</formula2>
    </dataValidation>
    <dataValidation type="whole" allowBlank="1" showInputMessage="1" showErrorMessage="1" sqref="AB19">
      <formula1>0</formula1>
      <formula2>NaN</formula2>
    </dataValidation>
    <dataValidation type="whole" allowBlank="1" showInputMessage="1" showErrorMessage="1" sqref="AB20">
      <formula1>0</formula1>
      <formula2>NaN</formula2>
    </dataValidation>
    <dataValidation type="whole" allowBlank="1" showInputMessage="1" showErrorMessage="1" sqref="AB21">
      <formula1>0</formula1>
      <formula2>NaN</formula2>
    </dataValidation>
    <dataValidation type="whole" allowBlank="1" showInputMessage="1" showErrorMessage="1" sqref="AB22">
      <formula1>0</formula1>
      <formula2>NaN</formula2>
    </dataValidation>
    <dataValidation type="whole" allowBlank="1" showInputMessage="1" showErrorMessage="1" sqref="AB23">
      <formula1>0</formula1>
      <formula2>NaN</formula2>
    </dataValidation>
    <dataValidation type="whole" allowBlank="1" showInputMessage="1" showErrorMessage="1" sqref="AB24">
      <formula1>0</formula1>
      <formula2>NaN</formula2>
    </dataValidation>
    <dataValidation type="whole" allowBlank="1" showInputMessage="1" showErrorMessage="1" sqref="AB25">
      <formula1>0</formula1>
      <formula2>NaN</formula2>
    </dataValidation>
    <dataValidation type="whole" allowBlank="1" showInputMessage="1" showErrorMessage="1" sqref="AB26">
      <formula1>0</formula1>
      <formula2>NaN</formula2>
    </dataValidation>
    <dataValidation type="whole" allowBlank="1" showInputMessage="1" showErrorMessage="1" sqref="AB27">
      <formula1>0</formula1>
      <formula2>NaN</formula2>
    </dataValidation>
    <dataValidation type="whole" allowBlank="1" showInputMessage="1" showErrorMessage="1" sqref="AB28">
      <formula1>0</formula1>
      <formula2>NaN</formula2>
    </dataValidation>
    <dataValidation type="whole" allowBlank="1" showInputMessage="1" showErrorMessage="1" sqref="AB29">
      <formula1>0</formula1>
      <formula2>NaN</formula2>
    </dataValidation>
    <dataValidation type="whole" allowBlank="1" showInputMessage="1" showErrorMessage="1" sqref="AB30">
      <formula1>0</formula1>
      <formula2>NaN</formula2>
    </dataValidation>
    <dataValidation type="whole" allowBlank="1" showInputMessage="1" showErrorMessage="1" sqref="AB31">
      <formula1>0</formula1>
      <formula2>NaN</formula2>
    </dataValidation>
    <dataValidation type="whole" allowBlank="1" showInputMessage="1" showErrorMessage="1" sqref="AB32">
      <formula1>0</formula1>
      <formula2>NaN</formula2>
    </dataValidation>
    <dataValidation type="whole" allowBlank="1" showInputMessage="1" showErrorMessage="1" sqref="AB33">
      <formula1>0</formula1>
      <formula2>NaN</formula2>
    </dataValidation>
    <dataValidation type="whole" allowBlank="1" showInputMessage="1" showErrorMessage="1" sqref="AB34">
      <formula1>0</formula1>
      <formula2>NaN</formula2>
    </dataValidation>
    <dataValidation type="whole" allowBlank="1" showInputMessage="1" showErrorMessage="1" sqref="AB35">
      <formula1>0</formula1>
      <formula2>NaN</formula2>
    </dataValidation>
    <dataValidation type="whole" allowBlank="1" showInputMessage="1" showErrorMessage="1" sqref="AB36">
      <formula1>0</formula1>
      <formula2>NaN</formula2>
    </dataValidation>
    <dataValidation type="whole" allowBlank="1" showInputMessage="1" showErrorMessage="1" sqref="AB37">
      <formula1>0</formula1>
      <formula2>NaN</formula2>
    </dataValidation>
    <dataValidation type="whole" allowBlank="1" showInputMessage="1" showErrorMessage="1" sqref="AB38">
      <formula1>0</formula1>
      <formula2>NaN</formula2>
    </dataValidation>
    <dataValidation type="whole" allowBlank="1" showInputMessage="1" showErrorMessage="1" sqref="AB39">
      <formula1>0</formula1>
      <formula2>NaN</formula2>
    </dataValidation>
    <dataValidation type="whole" allowBlank="1" showInputMessage="1" showErrorMessage="1" sqref="AB40">
      <formula1>0</formula1>
      <formula2>NaN</formula2>
    </dataValidation>
    <dataValidation type="whole" allowBlank="1" showInputMessage="1" showErrorMessage="1" sqref="AB41">
      <formula1>0</formula1>
      <formula2>NaN</formula2>
    </dataValidation>
    <dataValidation type="whole" allowBlank="1" showInputMessage="1" showErrorMessage="1" sqref="AB42">
      <formula1>0</formula1>
      <formula2>NaN</formula2>
    </dataValidation>
    <dataValidation type="whole" allowBlank="1" showInputMessage="1" showErrorMessage="1" sqref="AB43">
      <formula1>0</formula1>
      <formula2>NaN</formula2>
    </dataValidation>
    <dataValidation type="whole" allowBlank="1" showInputMessage="1" showErrorMessage="1" sqref="AB44">
      <formula1>0</formula1>
      <formula2>NaN</formula2>
    </dataValidation>
    <dataValidation type="whole" allowBlank="1" showInputMessage="1" showErrorMessage="1" sqref="AB45">
      <formula1>0</formula1>
      <formula2>NaN</formula2>
    </dataValidation>
    <dataValidation type="whole" allowBlank="1" showInputMessage="1" showErrorMessage="1" sqref="AB46">
      <formula1>0</formula1>
      <formula2>NaN</formula2>
    </dataValidation>
    <dataValidation type="whole" allowBlank="1" showInputMessage="1" showErrorMessage="1" sqref="AB47">
      <formula1>0</formula1>
      <formula2>NaN</formula2>
    </dataValidation>
    <dataValidation type="whole" allowBlank="1" showInputMessage="1" showErrorMessage="1" sqref="AB48">
      <formula1>0</formula1>
      <formula2>NaN</formula2>
    </dataValidation>
    <dataValidation type="whole" allowBlank="1" showInputMessage="1" showErrorMessage="1" sqref="AB49">
      <formula1>0</formula1>
      <formula2>NaN</formula2>
    </dataValidation>
    <dataValidation type="whole" allowBlank="1" showInputMessage="1" showErrorMessage="1" sqref="AB50">
      <formula1>0</formula1>
      <formula2>NaN</formula2>
    </dataValidation>
    <dataValidation type="whole" allowBlank="1" showInputMessage="1" showErrorMessage="1" sqref="AB51">
      <formula1>0</formula1>
      <formula2>NaN</formula2>
    </dataValidation>
    <dataValidation type="whole" allowBlank="1" showInputMessage="1" showErrorMessage="1" sqref="AB52">
      <formula1>0</formula1>
      <formula2>NaN</formula2>
    </dataValidation>
    <dataValidation type="whole" allowBlank="1" showInputMessage="1" showErrorMessage="1" sqref="AB53">
      <formula1>0</formula1>
      <formula2>NaN</formula2>
    </dataValidation>
    <dataValidation type="whole" allowBlank="1" showInputMessage="1" showErrorMessage="1" sqref="AB54">
      <formula1>0</formula1>
      <formula2>NaN</formula2>
    </dataValidation>
    <dataValidation type="whole" allowBlank="1" showInputMessage="1" showErrorMessage="1" sqref="AB55">
      <formula1>0</formula1>
      <formula2>NaN</formula2>
    </dataValidation>
    <dataValidation type="whole" allowBlank="1" showInputMessage="1" showErrorMessage="1" sqref="AB56">
      <formula1>0</formula1>
      <formula2>NaN</formula2>
    </dataValidation>
    <dataValidation type="whole" allowBlank="1" showInputMessage="1" showErrorMessage="1" sqref="AB57">
      <formula1>0</formula1>
      <formula2>NaN</formula2>
    </dataValidation>
    <dataValidation type="whole" allowBlank="1" showInputMessage="1" showErrorMessage="1" sqref="AB58">
      <formula1>0</formula1>
      <formula2>NaN</formula2>
    </dataValidation>
    <dataValidation type="whole" allowBlank="1" showInputMessage="1" showErrorMessage="1" sqref="AB59">
      <formula1>0</formula1>
      <formula2>NaN</formula2>
    </dataValidation>
    <dataValidation showInputMessage="1" prompt="Input possible highest score here" showErrorMessage="1" sqref="AB6:AP6"/>
    <dataValidation type="whole" allowBlank="1" showInputMessage="1" showErrorMessage="1" sqref="AB60">
      <formula1>0</formula1>
      <formula2>NaN</formula2>
    </dataValidation>
    <dataValidation type="whole" allowBlank="1" showInputMessage="1" showErrorMessage="1" sqref="AB61">
      <formula1>0</formula1>
      <formula2>NaN</formula2>
    </dataValidation>
    <dataValidation type="whole" allowBlank="1" showInputMessage="1" showErrorMessage="1" sqref="AB62">
      <formula1>0</formula1>
      <formula2>NaN</formula2>
    </dataValidation>
    <dataValidation type="whole" allowBlank="1" showInputMessage="1" showErrorMessage="1" sqref="AB63">
      <formula1>0</formula1>
      <formula2>NaN</formula2>
    </dataValidation>
    <dataValidation type="whole" allowBlank="1" showInputMessage="1" showErrorMessage="1" sqref="AB64">
      <formula1>0</formula1>
      <formula2>NaN</formula2>
    </dataValidation>
    <dataValidation type="whole" allowBlank="1" showInputMessage="1" showErrorMessage="1" sqref="AB65">
      <formula1>0</formula1>
      <formula2>NaN</formula2>
    </dataValidation>
    <dataValidation type="whole" allowBlank="1" showInputMessage="1" showErrorMessage="1" sqref="AB66">
      <formula1>0</formula1>
      <formula2>NaN</formula2>
    </dataValidation>
    <dataValidation type="whole" allowBlank="1" showInputMessage="1" showErrorMessage="1" sqref="AB67">
      <formula1>0</formula1>
      <formula2>NaN</formula2>
    </dataValidation>
    <dataValidation type="whole" allowBlank="1" showInputMessage="1" showErrorMessage="1" sqref="AB68">
      <formula1>0</formula1>
      <formula2>NaN</formula2>
    </dataValidation>
    <dataValidation type="date" allowBlank="1" showInputMessage="1" prompt="Input date here_x000a_" showErrorMessage="1" sqref="AB7:AP7">
      <formula1>1</formula1>
      <formula2>NaN</formula2>
    </dataValidation>
    <dataValidation showInputMessage="1" prompt="Personal Remarks for FMs – You may enter any remarks here. Sample tags include:_x000a_ _x000a_A1 - Activity 1_x000a_REC1 - Recitation 1_x000a_Q1 - Quiz 1_x000a_1L1 - 01 LMS Activity 1" showErrorMessage="1" sqref="AB8:AP8"/>
    <dataValidation type="whole" allowBlank="1" showInputMessage="1" showErrorMessage="1" sqref="AB9">
      <formula1>0</formula1>
      <formula2>NaN</formula2>
    </dataValidation>
    <dataValidation type="whole" allowBlank="1" showInputMessage="1" showErrorMessage="1" sqref="AC10">
      <formula1>0</formula1>
      <formula2>NaN</formula2>
    </dataValidation>
    <dataValidation type="whole" allowBlank="1" showInputMessage="1" showErrorMessage="1" sqref="AC11">
      <formula1>0</formula1>
      <formula2>NaN</formula2>
    </dataValidation>
    <dataValidation type="whole" allowBlank="1" showInputMessage="1" showErrorMessage="1" sqref="AC12">
      <formula1>0</formula1>
      <formula2>NaN</formula2>
    </dataValidation>
    <dataValidation type="whole" allowBlank="1" showInputMessage="1" showErrorMessage="1" sqref="AC13">
      <formula1>0</formula1>
      <formula2>NaN</formula2>
    </dataValidation>
    <dataValidation type="whole" allowBlank="1" showInputMessage="1" showErrorMessage="1" sqref="AC14">
      <formula1>0</formula1>
      <formula2>NaN</formula2>
    </dataValidation>
    <dataValidation type="whole" allowBlank="1" showInputMessage="1" showErrorMessage="1" sqref="AC15">
      <formula1>0</formula1>
      <formula2>NaN</formula2>
    </dataValidation>
    <dataValidation type="whole" allowBlank="1" showInputMessage="1" showErrorMessage="1" sqref="AC16">
      <formula1>0</formula1>
      <formula2>NaN</formula2>
    </dataValidation>
    <dataValidation type="whole" allowBlank="1" showInputMessage="1" showErrorMessage="1" sqref="AC17">
      <formula1>0</formula1>
      <formula2>NaN</formula2>
    </dataValidation>
    <dataValidation type="whole" allowBlank="1" showInputMessage="1" showErrorMessage="1" sqref="AC18">
      <formula1>0</formula1>
      <formula2>NaN</formula2>
    </dataValidation>
    <dataValidation type="whole" allowBlank="1" showInputMessage="1" showErrorMessage="1" sqref="AC19">
      <formula1>0</formula1>
      <formula2>NaN</formula2>
    </dataValidation>
    <dataValidation type="whole" allowBlank="1" showInputMessage="1" showErrorMessage="1" sqref="AC20">
      <formula1>0</formula1>
      <formula2>NaN</formula2>
    </dataValidation>
    <dataValidation type="whole" allowBlank="1" showInputMessage="1" showErrorMessage="1" sqref="AC21">
      <formula1>0</formula1>
      <formula2>NaN</formula2>
    </dataValidation>
    <dataValidation type="whole" allowBlank="1" showInputMessage="1" showErrorMessage="1" sqref="AC22">
      <formula1>0</formula1>
      <formula2>NaN</formula2>
    </dataValidation>
    <dataValidation type="whole" allowBlank="1" showInputMessage="1" showErrorMessage="1" sqref="AC23">
      <formula1>0</formula1>
      <formula2>NaN</formula2>
    </dataValidation>
    <dataValidation type="whole" allowBlank="1" showInputMessage="1" showErrorMessage="1" sqref="AC24">
      <formula1>0</formula1>
      <formula2>NaN</formula2>
    </dataValidation>
    <dataValidation type="whole" allowBlank="1" showInputMessage="1" showErrorMessage="1" sqref="AC25">
      <formula1>0</formula1>
      <formula2>NaN</formula2>
    </dataValidation>
    <dataValidation type="whole" allowBlank="1" showInputMessage="1" showErrorMessage="1" sqref="AC26">
      <formula1>0</formula1>
      <formula2>NaN</formula2>
    </dataValidation>
    <dataValidation type="whole" allowBlank="1" showInputMessage="1" showErrorMessage="1" sqref="AC27">
      <formula1>0</formula1>
      <formula2>NaN</formula2>
    </dataValidation>
    <dataValidation type="whole" allowBlank="1" showInputMessage="1" showErrorMessage="1" sqref="AC28">
      <formula1>0</formula1>
      <formula2>NaN</formula2>
    </dataValidation>
    <dataValidation type="whole" allowBlank="1" showInputMessage="1" showErrorMessage="1" sqref="AC29">
      <formula1>0</formula1>
      <formula2>NaN</formula2>
    </dataValidation>
    <dataValidation type="whole" allowBlank="1" showInputMessage="1" showErrorMessage="1" sqref="AC30">
      <formula1>0</formula1>
      <formula2>NaN</formula2>
    </dataValidation>
    <dataValidation type="whole" allowBlank="1" showInputMessage="1" showErrorMessage="1" sqref="AC31">
      <formula1>0</formula1>
      <formula2>NaN</formula2>
    </dataValidation>
    <dataValidation type="whole" allowBlank="1" showInputMessage="1" showErrorMessage="1" sqref="AC32">
      <formula1>0</formula1>
      <formula2>NaN</formula2>
    </dataValidation>
    <dataValidation type="whole" allowBlank="1" showInputMessage="1" showErrorMessage="1" sqref="AC33">
      <formula1>0</formula1>
      <formula2>NaN</formula2>
    </dataValidation>
    <dataValidation type="whole" allowBlank="1" showInputMessage="1" showErrorMessage="1" sqref="AC34">
      <formula1>0</formula1>
      <formula2>NaN</formula2>
    </dataValidation>
    <dataValidation type="whole" allowBlank="1" showInputMessage="1" showErrorMessage="1" sqref="AC35">
      <formula1>0</formula1>
      <formula2>NaN</formula2>
    </dataValidation>
    <dataValidation type="whole" allowBlank="1" showInputMessage="1" showErrorMessage="1" sqref="AC36">
      <formula1>0</formula1>
      <formula2>NaN</formula2>
    </dataValidation>
    <dataValidation type="whole" allowBlank="1" showInputMessage="1" showErrorMessage="1" sqref="AC37">
      <formula1>0</formula1>
      <formula2>NaN</formula2>
    </dataValidation>
    <dataValidation type="whole" allowBlank="1" showInputMessage="1" showErrorMessage="1" sqref="AC38">
      <formula1>0</formula1>
      <formula2>NaN</formula2>
    </dataValidation>
    <dataValidation type="whole" allowBlank="1" showInputMessage="1" showErrorMessage="1" sqref="AC39">
      <formula1>0</formula1>
      <formula2>NaN</formula2>
    </dataValidation>
    <dataValidation type="whole" allowBlank="1" showInputMessage="1" showErrorMessage="1" sqref="AC40">
      <formula1>0</formula1>
      <formula2>NaN</formula2>
    </dataValidation>
    <dataValidation type="whole" allowBlank="1" showInputMessage="1" showErrorMessage="1" sqref="AC41">
      <formula1>0</formula1>
      <formula2>NaN</formula2>
    </dataValidation>
    <dataValidation type="whole" allowBlank="1" showInputMessage="1" showErrorMessage="1" sqref="AC42">
      <formula1>0</formula1>
      <formula2>NaN</formula2>
    </dataValidation>
    <dataValidation type="whole" allowBlank="1" showInputMessage="1" showErrorMessage="1" sqref="AC43">
      <formula1>0</formula1>
      <formula2>NaN</formula2>
    </dataValidation>
    <dataValidation type="whole" allowBlank="1" showInputMessage="1" showErrorMessage="1" sqref="AC44">
      <formula1>0</formula1>
      <formula2>NaN</formula2>
    </dataValidation>
    <dataValidation type="whole" allowBlank="1" showInputMessage="1" showErrorMessage="1" sqref="AC45">
      <formula1>0</formula1>
      <formula2>NaN</formula2>
    </dataValidation>
    <dataValidation type="whole" allowBlank="1" showInputMessage="1" showErrorMessage="1" sqref="AC46">
      <formula1>0</formula1>
      <formula2>NaN</formula2>
    </dataValidation>
    <dataValidation type="whole" allowBlank="1" showInputMessage="1" showErrorMessage="1" sqref="AC47">
      <formula1>0</formula1>
      <formula2>NaN</formula2>
    </dataValidation>
    <dataValidation type="whole" allowBlank="1" showInputMessage="1" showErrorMessage="1" sqref="AC48">
      <formula1>0</formula1>
      <formula2>NaN</formula2>
    </dataValidation>
    <dataValidation type="whole" allowBlank="1" showInputMessage="1" showErrorMessage="1" sqref="AC49">
      <formula1>0</formula1>
      <formula2>NaN</formula2>
    </dataValidation>
    <dataValidation type="whole" allowBlank="1" showInputMessage="1" showErrorMessage="1" sqref="AC50">
      <formula1>0</formula1>
      <formula2>NaN</formula2>
    </dataValidation>
    <dataValidation type="whole" allowBlank="1" showInputMessage="1" showErrorMessage="1" sqref="AC51">
      <formula1>0</formula1>
      <formula2>NaN</formula2>
    </dataValidation>
    <dataValidation type="whole" allowBlank="1" showInputMessage="1" showErrorMessage="1" sqref="AC52">
      <formula1>0</formula1>
      <formula2>NaN</formula2>
    </dataValidation>
    <dataValidation type="whole" allowBlank="1" showInputMessage="1" showErrorMessage="1" sqref="AC53">
      <formula1>0</formula1>
      <formula2>NaN</formula2>
    </dataValidation>
    <dataValidation type="whole" allowBlank="1" showInputMessage="1" showErrorMessage="1" sqref="AC54">
      <formula1>0</formula1>
      <formula2>NaN</formula2>
    </dataValidation>
    <dataValidation type="whole" allowBlank="1" showInputMessage="1" showErrorMessage="1" sqref="AC55">
      <formula1>0</formula1>
      <formula2>NaN</formula2>
    </dataValidation>
    <dataValidation type="whole" allowBlank="1" showInputMessage="1" showErrorMessage="1" sqref="AC56">
      <formula1>0</formula1>
      <formula2>NaN</formula2>
    </dataValidation>
    <dataValidation type="whole" allowBlank="1" showInputMessage="1" showErrorMessage="1" sqref="AC57">
      <formula1>0</formula1>
      <formula2>NaN</formula2>
    </dataValidation>
    <dataValidation type="whole" allowBlank="1" showInputMessage="1" showErrorMessage="1" sqref="AC58">
      <formula1>0</formula1>
      <formula2>NaN</formula2>
    </dataValidation>
    <dataValidation type="whole" allowBlank="1" showInputMessage="1" showErrorMessage="1" sqref="AC59">
      <formula1>0</formula1>
      <formula2>NaN</formula2>
    </dataValidation>
    <dataValidation type="whole" allowBlank="1" showInputMessage="1" showErrorMessage="1" sqref="AC60">
      <formula1>0</formula1>
      <formula2>NaN</formula2>
    </dataValidation>
    <dataValidation type="whole" allowBlank="1" showInputMessage="1" showErrorMessage="1" sqref="AC61">
      <formula1>0</formula1>
      <formula2>NaN</formula2>
    </dataValidation>
    <dataValidation type="whole" allowBlank="1" showInputMessage="1" showErrorMessage="1" sqref="AC62">
      <formula1>0</formula1>
      <formula2>NaN</formula2>
    </dataValidation>
    <dataValidation type="whole" allowBlank="1" showInputMessage="1" showErrorMessage="1" sqref="AC63">
      <formula1>0</formula1>
      <formula2>NaN</formula2>
    </dataValidation>
    <dataValidation type="whole" allowBlank="1" showInputMessage="1" showErrorMessage="1" sqref="AC64">
      <formula1>0</formula1>
      <formula2>NaN</formula2>
    </dataValidation>
    <dataValidation type="whole" allowBlank="1" showInputMessage="1" showErrorMessage="1" sqref="AC65">
      <formula1>0</formula1>
      <formula2>NaN</formula2>
    </dataValidation>
    <dataValidation type="whole" allowBlank="1" showInputMessage="1" showErrorMessage="1" sqref="AC66">
      <formula1>0</formula1>
      <formula2>NaN</formula2>
    </dataValidation>
    <dataValidation type="whole" allowBlank="1" showInputMessage="1" showErrorMessage="1" sqref="AC67">
      <formula1>0</formula1>
      <formula2>NaN</formula2>
    </dataValidation>
    <dataValidation type="whole" allowBlank="1" showInputMessage="1" showErrorMessage="1" sqref="AC68">
      <formula1>0</formula1>
      <formula2>NaN</formula2>
    </dataValidation>
    <dataValidation type="whole" allowBlank="1" showInputMessage="1" showErrorMessage="1" sqref="AC9">
      <formula1>0</formula1>
      <formula2>NaN</formula2>
    </dataValidation>
    <dataValidation type="whole" allowBlank="1" showInputMessage="1" showErrorMessage="1" sqref="AD10">
      <formula1>0</formula1>
      <formula2>NaN</formula2>
    </dataValidation>
    <dataValidation type="whole" allowBlank="1" showInputMessage="1" showErrorMessage="1" sqref="AD11">
      <formula1>0</formula1>
      <formula2>NaN</formula2>
    </dataValidation>
    <dataValidation type="whole" allowBlank="1" showInputMessage="1" showErrorMessage="1" sqref="AD12">
      <formula1>0</formula1>
      <formula2>NaN</formula2>
    </dataValidation>
    <dataValidation type="whole" allowBlank="1" showInputMessage="1" showErrorMessage="1" sqref="AD13">
      <formula1>0</formula1>
      <formula2>NaN</formula2>
    </dataValidation>
    <dataValidation type="whole" allowBlank="1" showInputMessage="1" showErrorMessage="1" sqref="AD14">
      <formula1>0</formula1>
      <formula2>NaN</formula2>
    </dataValidation>
    <dataValidation type="whole" allowBlank="1" showInputMessage="1" showErrorMessage="1" sqref="AD15">
      <formula1>0</formula1>
      <formula2>NaN</formula2>
    </dataValidation>
    <dataValidation type="whole" allowBlank="1" showInputMessage="1" showErrorMessage="1" sqref="AD16">
      <formula1>0</formula1>
      <formula2>NaN</formula2>
    </dataValidation>
    <dataValidation type="whole" allowBlank="1" showInputMessage="1" showErrorMessage="1" sqref="AD17">
      <formula1>0</formula1>
      <formula2>NaN</formula2>
    </dataValidation>
    <dataValidation type="whole" allowBlank="1" showInputMessage="1" showErrorMessage="1" sqref="AD18">
      <formula1>0</formula1>
      <formula2>NaN</formula2>
    </dataValidation>
    <dataValidation type="whole" allowBlank="1" showInputMessage="1" showErrorMessage="1" sqref="AD19">
      <formula1>0</formula1>
      <formula2>NaN</formula2>
    </dataValidation>
    <dataValidation type="whole" allowBlank="1" showInputMessage="1" showErrorMessage="1" sqref="AD20">
      <formula1>0</formula1>
      <formula2>NaN</formula2>
    </dataValidation>
    <dataValidation type="whole" allowBlank="1" showInputMessage="1" showErrorMessage="1" sqref="AD21">
      <formula1>0</formula1>
      <formula2>NaN</formula2>
    </dataValidation>
    <dataValidation type="whole" allowBlank="1" showInputMessage="1" showErrorMessage="1" sqref="AD22">
      <formula1>0</formula1>
      <formula2>NaN</formula2>
    </dataValidation>
    <dataValidation type="whole" allowBlank="1" showInputMessage="1" showErrorMessage="1" sqref="AD23">
      <formula1>0</formula1>
      <formula2>NaN</formula2>
    </dataValidation>
    <dataValidation type="whole" allowBlank="1" showInputMessage="1" showErrorMessage="1" sqref="AD24">
      <formula1>0</formula1>
      <formula2>NaN</formula2>
    </dataValidation>
    <dataValidation type="whole" allowBlank="1" showInputMessage="1" showErrorMessage="1" sqref="AD25">
      <formula1>0</formula1>
      <formula2>NaN</formula2>
    </dataValidation>
    <dataValidation type="whole" allowBlank="1" showInputMessage="1" showErrorMessage="1" sqref="AD26">
      <formula1>0</formula1>
      <formula2>NaN</formula2>
    </dataValidation>
    <dataValidation type="whole" allowBlank="1" showInputMessage="1" showErrorMessage="1" sqref="AD27">
      <formula1>0</formula1>
      <formula2>NaN</formula2>
    </dataValidation>
    <dataValidation type="whole" allowBlank="1" showInputMessage="1" showErrorMessage="1" sqref="AD28">
      <formula1>0</formula1>
      <formula2>NaN</formula2>
    </dataValidation>
    <dataValidation type="whole" allowBlank="1" showInputMessage="1" showErrorMessage="1" sqref="AD29">
      <formula1>0</formula1>
      <formula2>NaN</formula2>
    </dataValidation>
    <dataValidation type="whole" allowBlank="1" showInputMessage="1" showErrorMessage="1" sqref="AD30">
      <formula1>0</formula1>
      <formula2>NaN</formula2>
    </dataValidation>
    <dataValidation type="whole" allowBlank="1" showInputMessage="1" showErrorMessage="1" sqref="AD31">
      <formula1>0</formula1>
      <formula2>NaN</formula2>
    </dataValidation>
    <dataValidation type="whole" allowBlank="1" showInputMessage="1" showErrorMessage="1" sqref="AD32">
      <formula1>0</formula1>
      <formula2>NaN</formula2>
    </dataValidation>
    <dataValidation type="whole" allowBlank="1" showInputMessage="1" showErrorMessage="1" sqref="AD33">
      <formula1>0</formula1>
      <formula2>NaN</formula2>
    </dataValidation>
    <dataValidation type="whole" allowBlank="1" showInputMessage="1" showErrorMessage="1" sqref="AD34">
      <formula1>0</formula1>
      <formula2>NaN</formula2>
    </dataValidation>
    <dataValidation type="whole" allowBlank="1" showInputMessage="1" showErrorMessage="1" sqref="AD35">
      <formula1>0</formula1>
      <formula2>NaN</formula2>
    </dataValidation>
    <dataValidation type="whole" allowBlank="1" showInputMessage="1" showErrorMessage="1" sqref="AD36">
      <formula1>0</formula1>
      <formula2>NaN</formula2>
    </dataValidation>
    <dataValidation type="whole" allowBlank="1" showInputMessage="1" showErrorMessage="1" sqref="AD37">
      <formula1>0</formula1>
      <formula2>NaN</formula2>
    </dataValidation>
    <dataValidation type="whole" allowBlank="1" showInputMessage="1" showErrorMessage="1" sqref="AD38">
      <formula1>0</formula1>
      <formula2>NaN</formula2>
    </dataValidation>
    <dataValidation type="whole" allowBlank="1" showInputMessage="1" showErrorMessage="1" sqref="AD39">
      <formula1>0</formula1>
      <formula2>NaN</formula2>
    </dataValidation>
    <dataValidation type="whole" allowBlank="1" showInputMessage="1" showErrorMessage="1" sqref="AD40">
      <formula1>0</formula1>
      <formula2>NaN</formula2>
    </dataValidation>
    <dataValidation type="whole" allowBlank="1" showInputMessage="1" showErrorMessage="1" sqref="AD41">
      <formula1>0</formula1>
      <formula2>NaN</formula2>
    </dataValidation>
    <dataValidation type="whole" allowBlank="1" showInputMessage="1" showErrorMessage="1" sqref="AD42">
      <formula1>0</formula1>
      <formula2>NaN</formula2>
    </dataValidation>
    <dataValidation type="whole" allowBlank="1" showInputMessage="1" showErrorMessage="1" sqref="AD43">
      <formula1>0</formula1>
      <formula2>NaN</formula2>
    </dataValidation>
    <dataValidation type="whole" allowBlank="1" showInputMessage="1" showErrorMessage="1" sqref="AD44">
      <formula1>0</formula1>
      <formula2>NaN</formula2>
    </dataValidation>
    <dataValidation type="whole" allowBlank="1" showInputMessage="1" showErrorMessage="1" sqref="AD45">
      <formula1>0</formula1>
      <formula2>NaN</formula2>
    </dataValidation>
    <dataValidation type="whole" allowBlank="1" showInputMessage="1" showErrorMessage="1" sqref="AD46">
      <formula1>0</formula1>
      <formula2>NaN</formula2>
    </dataValidation>
    <dataValidation type="whole" allowBlank="1" showInputMessage="1" showErrorMessage="1" sqref="AD47">
      <formula1>0</formula1>
      <formula2>NaN</formula2>
    </dataValidation>
    <dataValidation type="whole" allowBlank="1" showInputMessage="1" showErrorMessage="1" sqref="AD48">
      <formula1>0</formula1>
      <formula2>NaN</formula2>
    </dataValidation>
    <dataValidation type="whole" allowBlank="1" showInputMessage="1" showErrorMessage="1" sqref="AD49">
      <formula1>0</formula1>
      <formula2>NaN</formula2>
    </dataValidation>
    <dataValidation type="whole" allowBlank="1" showInputMessage="1" showErrorMessage="1" sqref="AD50">
      <formula1>0</formula1>
      <formula2>NaN</formula2>
    </dataValidation>
    <dataValidation type="whole" allowBlank="1" showInputMessage="1" showErrorMessage="1" sqref="AD51">
      <formula1>0</formula1>
      <formula2>NaN</formula2>
    </dataValidation>
    <dataValidation type="whole" allowBlank="1" showInputMessage="1" showErrorMessage="1" sqref="AD52">
      <formula1>0</formula1>
      <formula2>NaN</formula2>
    </dataValidation>
    <dataValidation type="whole" allowBlank="1" showInputMessage="1" showErrorMessage="1" sqref="AD53">
      <formula1>0</formula1>
      <formula2>NaN</formula2>
    </dataValidation>
    <dataValidation type="whole" allowBlank="1" showInputMessage="1" showErrorMessage="1" sqref="AD54">
      <formula1>0</formula1>
      <formula2>NaN</formula2>
    </dataValidation>
    <dataValidation type="whole" allowBlank="1" showInputMessage="1" showErrorMessage="1" sqref="AD55">
      <formula1>0</formula1>
      <formula2>NaN</formula2>
    </dataValidation>
    <dataValidation type="whole" allowBlank="1" showInputMessage="1" showErrorMessage="1" sqref="AD56">
      <formula1>0</formula1>
      <formula2>NaN</formula2>
    </dataValidation>
    <dataValidation type="whole" allowBlank="1" showInputMessage="1" showErrorMessage="1" sqref="AD57">
      <formula1>0</formula1>
      <formula2>NaN</formula2>
    </dataValidation>
    <dataValidation type="whole" allowBlank="1" showInputMessage="1" showErrorMessage="1" sqref="AD58">
      <formula1>0</formula1>
      <formula2>NaN</formula2>
    </dataValidation>
    <dataValidation type="whole" allowBlank="1" showInputMessage="1" showErrorMessage="1" sqref="AD59">
      <formula1>0</formula1>
      <formula2>NaN</formula2>
    </dataValidation>
    <dataValidation type="whole" allowBlank="1" showInputMessage="1" showErrorMessage="1" sqref="AD60">
      <formula1>0</formula1>
      <formula2>NaN</formula2>
    </dataValidation>
    <dataValidation type="whole" allowBlank="1" showInputMessage="1" showErrorMessage="1" sqref="AD61">
      <formula1>0</formula1>
      <formula2>NaN</formula2>
    </dataValidation>
    <dataValidation type="whole" allowBlank="1" showInputMessage="1" showErrorMessage="1" sqref="AD62">
      <formula1>0</formula1>
      <formula2>NaN</formula2>
    </dataValidation>
    <dataValidation type="whole" allowBlank="1" showInputMessage="1" showErrorMessage="1" sqref="AD63">
      <formula1>0</formula1>
      <formula2>NaN</formula2>
    </dataValidation>
    <dataValidation type="whole" allowBlank="1" showInputMessage="1" showErrorMessage="1" sqref="AD64">
      <formula1>0</formula1>
      <formula2>NaN</formula2>
    </dataValidation>
    <dataValidation type="whole" allowBlank="1" showInputMessage="1" showErrorMessage="1" sqref="AD65">
      <formula1>0</formula1>
      <formula2>NaN</formula2>
    </dataValidation>
    <dataValidation type="whole" allowBlank="1" showInputMessage="1" showErrorMessage="1" sqref="AD66">
      <formula1>0</formula1>
      <formula2>NaN</formula2>
    </dataValidation>
    <dataValidation type="whole" allowBlank="1" showInputMessage="1" showErrorMessage="1" sqref="AD67">
      <formula1>0</formula1>
      <formula2>NaN</formula2>
    </dataValidation>
    <dataValidation type="whole" allowBlank="1" showInputMessage="1" showErrorMessage="1" sqref="AD68">
      <formula1>0</formula1>
      <formula2>NaN</formula2>
    </dataValidation>
    <dataValidation type="whole" allowBlank="1" showInputMessage="1" showErrorMessage="1" sqref="AD9">
      <formula1>0</formula1>
      <formula2>NaN</formula2>
    </dataValidation>
    <dataValidation type="whole" allowBlank="1" showInputMessage="1" showErrorMessage="1" sqref="AE10">
      <formula1>0</formula1>
      <formula2>NaN</formula2>
    </dataValidation>
    <dataValidation type="whole" allowBlank="1" showInputMessage="1" showErrorMessage="1" sqref="AE11">
      <formula1>0</formula1>
      <formula2>NaN</formula2>
    </dataValidation>
    <dataValidation type="whole" allowBlank="1" showInputMessage="1" showErrorMessage="1" sqref="AE12">
      <formula1>0</formula1>
      <formula2>NaN</formula2>
    </dataValidation>
    <dataValidation type="whole" allowBlank="1" showInputMessage="1" showErrorMessage="1" sqref="AE13">
      <formula1>0</formula1>
      <formula2>NaN</formula2>
    </dataValidation>
    <dataValidation type="whole" allowBlank="1" showInputMessage="1" showErrorMessage="1" sqref="AE14">
      <formula1>0</formula1>
      <formula2>NaN</formula2>
    </dataValidation>
    <dataValidation type="whole" allowBlank="1" showInputMessage="1" showErrorMessage="1" sqref="AE15">
      <formula1>0</formula1>
      <formula2>NaN</formula2>
    </dataValidation>
    <dataValidation type="whole" allowBlank="1" showInputMessage="1" showErrorMessage="1" sqref="AE16">
      <formula1>0</formula1>
      <formula2>NaN</formula2>
    </dataValidation>
    <dataValidation type="whole" allowBlank="1" showInputMessage="1" showErrorMessage="1" sqref="AE17">
      <formula1>0</formula1>
      <formula2>NaN</formula2>
    </dataValidation>
    <dataValidation type="whole" allowBlank="1" showInputMessage="1" showErrorMessage="1" sqref="AE18">
      <formula1>0</formula1>
      <formula2>NaN</formula2>
    </dataValidation>
    <dataValidation type="whole" allowBlank="1" showInputMessage="1" showErrorMessage="1" sqref="AE19">
      <formula1>0</formula1>
      <formula2>NaN</formula2>
    </dataValidation>
    <dataValidation type="whole" allowBlank="1" showInputMessage="1" showErrorMessage="1" sqref="AE20">
      <formula1>0</formula1>
      <formula2>NaN</formula2>
    </dataValidation>
    <dataValidation type="whole" allowBlank="1" showInputMessage="1" showErrorMessage="1" sqref="AE21">
      <formula1>0</formula1>
      <formula2>NaN</formula2>
    </dataValidation>
    <dataValidation type="whole" allowBlank="1" showInputMessage="1" showErrorMessage="1" sqref="AE22">
      <formula1>0</formula1>
      <formula2>NaN</formula2>
    </dataValidation>
    <dataValidation type="whole" allowBlank="1" showInputMessage="1" showErrorMessage="1" sqref="AE23">
      <formula1>0</formula1>
      <formula2>NaN</formula2>
    </dataValidation>
    <dataValidation type="whole" allowBlank="1" showInputMessage="1" showErrorMessage="1" sqref="AE24">
      <formula1>0</formula1>
      <formula2>NaN</formula2>
    </dataValidation>
    <dataValidation type="whole" allowBlank="1" showInputMessage="1" showErrorMessage="1" sqref="AE25">
      <formula1>0</formula1>
      <formula2>NaN</formula2>
    </dataValidation>
    <dataValidation type="whole" allowBlank="1" showInputMessage="1" showErrorMessage="1" sqref="AE26">
      <formula1>0</formula1>
      <formula2>NaN</formula2>
    </dataValidation>
    <dataValidation type="whole" allowBlank="1" showInputMessage="1" showErrorMessage="1" sqref="AE27">
      <formula1>0</formula1>
      <formula2>NaN</formula2>
    </dataValidation>
    <dataValidation type="whole" allowBlank="1" showInputMessage="1" showErrorMessage="1" sqref="AE28">
      <formula1>0</formula1>
      <formula2>NaN</formula2>
    </dataValidation>
    <dataValidation type="whole" allowBlank="1" showInputMessage="1" showErrorMessage="1" sqref="AE29">
      <formula1>0</formula1>
      <formula2>NaN</formula2>
    </dataValidation>
    <dataValidation type="whole" allowBlank="1" showInputMessage="1" showErrorMessage="1" sqref="AE30">
      <formula1>0</formula1>
      <formula2>NaN</formula2>
    </dataValidation>
    <dataValidation type="whole" allowBlank="1" showInputMessage="1" showErrorMessage="1" sqref="AE31">
      <formula1>0</formula1>
      <formula2>NaN</formula2>
    </dataValidation>
    <dataValidation type="whole" allowBlank="1" showInputMessage="1" showErrorMessage="1" sqref="AE32">
      <formula1>0</formula1>
      <formula2>NaN</formula2>
    </dataValidation>
    <dataValidation type="whole" allowBlank="1" showInputMessage="1" showErrorMessage="1" sqref="AE33">
      <formula1>0</formula1>
      <formula2>NaN</formula2>
    </dataValidation>
    <dataValidation type="whole" allowBlank="1" showInputMessage="1" showErrorMessage="1" sqref="AE34">
      <formula1>0</formula1>
      <formula2>NaN</formula2>
    </dataValidation>
    <dataValidation type="whole" allowBlank="1" showInputMessage="1" showErrorMessage="1" sqref="AE35">
      <formula1>0</formula1>
      <formula2>NaN</formula2>
    </dataValidation>
    <dataValidation type="whole" allowBlank="1" showInputMessage="1" showErrorMessage="1" sqref="AE36">
      <formula1>0</formula1>
      <formula2>NaN</formula2>
    </dataValidation>
    <dataValidation type="whole" allowBlank="1" showInputMessage="1" showErrorMessage="1" sqref="AE37">
      <formula1>0</formula1>
      <formula2>NaN</formula2>
    </dataValidation>
    <dataValidation type="whole" allowBlank="1" showInputMessage="1" showErrorMessage="1" sqref="AE38">
      <formula1>0</formula1>
      <formula2>NaN</formula2>
    </dataValidation>
    <dataValidation type="whole" allowBlank="1" showInputMessage="1" showErrorMessage="1" sqref="AE39">
      <formula1>0</formula1>
      <formula2>NaN</formula2>
    </dataValidation>
    <dataValidation type="whole" allowBlank="1" showInputMessage="1" showErrorMessage="1" sqref="AE40">
      <formula1>0</formula1>
      <formula2>NaN</formula2>
    </dataValidation>
    <dataValidation type="whole" allowBlank="1" showInputMessage="1" showErrorMessage="1" sqref="AE41">
      <formula1>0</formula1>
      <formula2>NaN</formula2>
    </dataValidation>
    <dataValidation type="whole" allowBlank="1" showInputMessage="1" showErrorMessage="1" sqref="AE42">
      <formula1>0</formula1>
      <formula2>NaN</formula2>
    </dataValidation>
    <dataValidation type="whole" allowBlank="1" showInputMessage="1" showErrorMessage="1" sqref="AE43">
      <formula1>0</formula1>
      <formula2>NaN</formula2>
    </dataValidation>
    <dataValidation type="whole" allowBlank="1" showInputMessage="1" showErrorMessage="1" sqref="AE44">
      <formula1>0</formula1>
      <formula2>NaN</formula2>
    </dataValidation>
    <dataValidation type="whole" allowBlank="1" showInputMessage="1" showErrorMessage="1" sqref="AE45">
      <formula1>0</formula1>
      <formula2>NaN</formula2>
    </dataValidation>
    <dataValidation type="whole" allowBlank="1" showInputMessage="1" showErrorMessage="1" sqref="AE46">
      <formula1>0</formula1>
      <formula2>NaN</formula2>
    </dataValidation>
    <dataValidation type="whole" allowBlank="1" showInputMessage="1" showErrorMessage="1" sqref="AE47">
      <formula1>0</formula1>
      <formula2>NaN</formula2>
    </dataValidation>
    <dataValidation type="whole" allowBlank="1" showInputMessage="1" showErrorMessage="1" sqref="AE48">
      <formula1>0</formula1>
      <formula2>NaN</formula2>
    </dataValidation>
    <dataValidation type="whole" allowBlank="1" showInputMessage="1" showErrorMessage="1" sqref="AE49">
      <formula1>0</formula1>
      <formula2>NaN</formula2>
    </dataValidation>
    <dataValidation type="whole" allowBlank="1" showInputMessage="1" showErrorMessage="1" sqref="AE50">
      <formula1>0</formula1>
      <formula2>NaN</formula2>
    </dataValidation>
    <dataValidation type="whole" allowBlank="1" showInputMessage="1" showErrorMessage="1" sqref="AE51">
      <formula1>0</formula1>
      <formula2>NaN</formula2>
    </dataValidation>
    <dataValidation type="whole" allowBlank="1" showInputMessage="1" showErrorMessage="1" sqref="AE52">
      <formula1>0</formula1>
      <formula2>NaN</formula2>
    </dataValidation>
    <dataValidation type="whole" allowBlank="1" showInputMessage="1" showErrorMessage="1" sqref="AE53">
      <formula1>0</formula1>
      <formula2>NaN</formula2>
    </dataValidation>
    <dataValidation type="whole" allowBlank="1" showInputMessage="1" showErrorMessage="1" sqref="AE54">
      <formula1>0</formula1>
      <formula2>NaN</formula2>
    </dataValidation>
    <dataValidation type="whole" allowBlank="1" showInputMessage="1" showErrorMessage="1" sqref="AE55">
      <formula1>0</formula1>
      <formula2>NaN</formula2>
    </dataValidation>
    <dataValidation type="whole" allowBlank="1" showInputMessage="1" showErrorMessage="1" sqref="AE56">
      <formula1>0</formula1>
      <formula2>NaN</formula2>
    </dataValidation>
    <dataValidation type="whole" allowBlank="1" showInputMessage="1" showErrorMessage="1" sqref="AE57">
      <formula1>0</formula1>
      <formula2>NaN</formula2>
    </dataValidation>
    <dataValidation type="whole" allowBlank="1" showInputMessage="1" showErrorMessage="1" sqref="AE58">
      <formula1>0</formula1>
      <formula2>NaN</formula2>
    </dataValidation>
    <dataValidation type="whole" allowBlank="1" showInputMessage="1" showErrorMessage="1" sqref="AE59">
      <formula1>0</formula1>
      <formula2>NaN</formula2>
    </dataValidation>
    <dataValidation type="whole" allowBlank="1" showInputMessage="1" showErrorMessage="1" sqref="AE60">
      <formula1>0</formula1>
      <formula2>NaN</formula2>
    </dataValidation>
    <dataValidation type="whole" allowBlank="1" showInputMessage="1" showErrorMessage="1" sqref="AE61">
      <formula1>0</formula1>
      <formula2>NaN</formula2>
    </dataValidation>
    <dataValidation type="whole" allowBlank="1" showInputMessage="1" showErrorMessage="1" sqref="AE62">
      <formula1>0</formula1>
      <formula2>NaN</formula2>
    </dataValidation>
    <dataValidation type="whole" allowBlank="1" showInputMessage="1" showErrorMessage="1" sqref="AE63">
      <formula1>0</formula1>
      <formula2>NaN</formula2>
    </dataValidation>
    <dataValidation type="whole" allowBlank="1" showInputMessage="1" showErrorMessage="1" sqref="AE64">
      <formula1>0</formula1>
      <formula2>NaN</formula2>
    </dataValidation>
    <dataValidation type="whole" allowBlank="1" showInputMessage="1" showErrorMessage="1" sqref="AE65">
      <formula1>0</formula1>
      <formula2>NaN</formula2>
    </dataValidation>
    <dataValidation type="whole" allowBlank="1" showInputMessage="1" showErrorMessage="1" sqref="AE66">
      <formula1>0</formula1>
      <formula2>NaN</formula2>
    </dataValidation>
    <dataValidation type="whole" allowBlank="1" showInputMessage="1" showErrorMessage="1" sqref="AE67">
      <formula1>0</formula1>
      <formula2>NaN</formula2>
    </dataValidation>
    <dataValidation type="whole" allowBlank="1" showInputMessage="1" showErrorMessage="1" sqref="AE68">
      <formula1>0</formula1>
      <formula2>NaN</formula2>
    </dataValidation>
    <dataValidation type="whole" allowBlank="1" showInputMessage="1" showErrorMessage="1" sqref="AE9">
      <formula1>0</formula1>
      <formula2>NaN</formula2>
    </dataValidation>
    <dataValidation type="whole" allowBlank="1" showInputMessage="1" showErrorMessage="1" sqref="AF10">
      <formula1>0</formula1>
      <formula2>NaN</formula2>
    </dataValidation>
    <dataValidation type="whole" allowBlank="1" showInputMessage="1" showErrorMessage="1" sqref="AF11">
      <formula1>0</formula1>
      <formula2>NaN</formula2>
    </dataValidation>
    <dataValidation type="whole" allowBlank="1" showInputMessage="1" showErrorMessage="1" sqref="AF12">
      <formula1>0</formula1>
      <formula2>NaN</formula2>
    </dataValidation>
    <dataValidation type="whole" allowBlank="1" showInputMessage="1" showErrorMessage="1" sqref="AF13">
      <formula1>0</formula1>
      <formula2>NaN</formula2>
    </dataValidation>
    <dataValidation type="whole" allowBlank="1" showInputMessage="1" showErrorMessage="1" sqref="AF14">
      <formula1>0</formula1>
      <formula2>NaN</formula2>
    </dataValidation>
    <dataValidation type="whole" allowBlank="1" showInputMessage="1" showErrorMessage="1" sqref="AF15">
      <formula1>0</formula1>
      <formula2>NaN</formula2>
    </dataValidation>
    <dataValidation type="whole" allowBlank="1" showInputMessage="1" showErrorMessage="1" sqref="AF16">
      <formula1>0</formula1>
      <formula2>NaN</formula2>
    </dataValidation>
    <dataValidation type="whole" allowBlank="1" showInputMessage="1" showErrorMessage="1" sqref="AF17">
      <formula1>0</formula1>
      <formula2>NaN</formula2>
    </dataValidation>
    <dataValidation type="whole" allowBlank="1" showInputMessage="1" showErrorMessage="1" sqref="AF18">
      <formula1>0</formula1>
      <formula2>NaN</formula2>
    </dataValidation>
    <dataValidation type="whole" allowBlank="1" showInputMessage="1" showErrorMessage="1" sqref="AF19">
      <formula1>0</formula1>
      <formula2>NaN</formula2>
    </dataValidation>
    <dataValidation type="whole" allowBlank="1" showInputMessage="1" showErrorMessage="1" sqref="AF20">
      <formula1>0</formula1>
      <formula2>NaN</formula2>
    </dataValidation>
    <dataValidation type="whole" allowBlank="1" showInputMessage="1" showErrorMessage="1" sqref="AF21">
      <formula1>0</formula1>
      <formula2>NaN</formula2>
    </dataValidation>
    <dataValidation type="whole" allowBlank="1" showInputMessage="1" showErrorMessage="1" sqref="AF22">
      <formula1>0</formula1>
      <formula2>NaN</formula2>
    </dataValidation>
    <dataValidation type="whole" allowBlank="1" showInputMessage="1" showErrorMessage="1" sqref="AF23">
      <formula1>0</formula1>
      <formula2>NaN</formula2>
    </dataValidation>
    <dataValidation type="whole" allowBlank="1" showInputMessage="1" showErrorMessage="1" sqref="AF24">
      <formula1>0</formula1>
      <formula2>NaN</formula2>
    </dataValidation>
    <dataValidation type="whole" allowBlank="1" showInputMessage="1" showErrorMessage="1" sqref="AF25">
      <formula1>0</formula1>
      <formula2>NaN</formula2>
    </dataValidation>
    <dataValidation type="whole" allowBlank="1" showInputMessage="1" showErrorMessage="1" sqref="AF26">
      <formula1>0</formula1>
      <formula2>NaN</formula2>
    </dataValidation>
    <dataValidation type="whole" allowBlank="1" showInputMessage="1" showErrorMessage="1" sqref="AF27">
      <formula1>0</formula1>
      <formula2>NaN</formula2>
    </dataValidation>
    <dataValidation type="whole" allowBlank="1" showInputMessage="1" showErrorMessage="1" sqref="AF28">
      <formula1>0</formula1>
      <formula2>NaN</formula2>
    </dataValidation>
    <dataValidation type="whole" allowBlank="1" showInputMessage="1" showErrorMessage="1" sqref="AF29">
      <formula1>0</formula1>
      <formula2>NaN</formula2>
    </dataValidation>
    <dataValidation type="whole" allowBlank="1" showInputMessage="1" showErrorMessage="1" sqref="AF30">
      <formula1>0</formula1>
      <formula2>NaN</formula2>
    </dataValidation>
    <dataValidation type="whole" allowBlank="1" showInputMessage="1" showErrorMessage="1" sqref="AF31">
      <formula1>0</formula1>
      <formula2>NaN</formula2>
    </dataValidation>
    <dataValidation type="whole" allowBlank="1" showInputMessage="1" showErrorMessage="1" sqref="AF32">
      <formula1>0</formula1>
      <formula2>NaN</formula2>
    </dataValidation>
    <dataValidation type="whole" allowBlank="1" showInputMessage="1" showErrorMessage="1" sqref="AF33">
      <formula1>0</formula1>
      <formula2>NaN</formula2>
    </dataValidation>
    <dataValidation type="whole" allowBlank="1" showInputMessage="1" showErrorMessage="1" sqref="AF34">
      <formula1>0</formula1>
      <formula2>NaN</formula2>
    </dataValidation>
    <dataValidation type="whole" allowBlank="1" showInputMessage="1" showErrorMessage="1" sqref="AF35">
      <formula1>0</formula1>
      <formula2>NaN</formula2>
    </dataValidation>
    <dataValidation type="whole" allowBlank="1" showInputMessage="1" showErrorMessage="1" sqref="AF36">
      <formula1>0</formula1>
      <formula2>NaN</formula2>
    </dataValidation>
    <dataValidation type="whole" allowBlank="1" showInputMessage="1" showErrorMessage="1" sqref="AF37">
      <formula1>0</formula1>
      <formula2>NaN</formula2>
    </dataValidation>
    <dataValidation type="whole" allowBlank="1" showInputMessage="1" showErrorMessage="1" sqref="AF38">
      <formula1>0</formula1>
      <formula2>NaN</formula2>
    </dataValidation>
    <dataValidation type="whole" allowBlank="1" showInputMessage="1" showErrorMessage="1" sqref="AF39">
      <formula1>0</formula1>
      <formula2>NaN</formula2>
    </dataValidation>
    <dataValidation type="whole" allowBlank="1" showInputMessage="1" showErrorMessage="1" sqref="AF40">
      <formula1>0</formula1>
      <formula2>NaN</formula2>
    </dataValidation>
    <dataValidation type="whole" allowBlank="1" showInputMessage="1" showErrorMessage="1" sqref="AF41">
      <formula1>0</formula1>
      <formula2>NaN</formula2>
    </dataValidation>
    <dataValidation type="whole" allowBlank="1" showInputMessage="1" showErrorMessage="1" sqref="AF42">
      <formula1>0</formula1>
      <formula2>NaN</formula2>
    </dataValidation>
    <dataValidation type="whole" allowBlank="1" showInputMessage="1" showErrorMessage="1" sqref="AF43">
      <formula1>0</formula1>
      <formula2>NaN</formula2>
    </dataValidation>
    <dataValidation type="whole" allowBlank="1" showInputMessage="1" showErrorMessage="1" sqref="AF44">
      <formula1>0</formula1>
      <formula2>NaN</formula2>
    </dataValidation>
    <dataValidation type="whole" allowBlank="1" showInputMessage="1" showErrorMessage="1" sqref="AF45">
      <formula1>0</formula1>
      <formula2>NaN</formula2>
    </dataValidation>
    <dataValidation type="whole" allowBlank="1" showInputMessage="1" showErrorMessage="1" sqref="AF46">
      <formula1>0</formula1>
      <formula2>NaN</formula2>
    </dataValidation>
    <dataValidation type="whole" allowBlank="1" showInputMessage="1" showErrorMessage="1" sqref="AF47">
      <formula1>0</formula1>
      <formula2>NaN</formula2>
    </dataValidation>
    <dataValidation type="whole" allowBlank="1" showInputMessage="1" showErrorMessage="1" sqref="AF48">
      <formula1>0</formula1>
      <formula2>NaN</formula2>
    </dataValidation>
    <dataValidation type="whole" allowBlank="1" showInputMessage="1" showErrorMessage="1" sqref="AF49">
      <formula1>0</formula1>
      <formula2>NaN</formula2>
    </dataValidation>
    <dataValidation type="whole" allowBlank="1" showInputMessage="1" showErrorMessage="1" sqref="AF50">
      <formula1>0</formula1>
      <formula2>NaN</formula2>
    </dataValidation>
    <dataValidation type="whole" allowBlank="1" showInputMessage="1" showErrorMessage="1" sqref="AF51">
      <formula1>0</formula1>
      <formula2>NaN</formula2>
    </dataValidation>
    <dataValidation type="whole" allowBlank="1" showInputMessage="1" showErrorMessage="1" sqref="AF52">
      <formula1>0</formula1>
      <formula2>NaN</formula2>
    </dataValidation>
    <dataValidation type="whole" allowBlank="1" showInputMessage="1" showErrorMessage="1" sqref="AF53">
      <formula1>0</formula1>
      <formula2>NaN</formula2>
    </dataValidation>
    <dataValidation type="whole" allowBlank="1" showInputMessage="1" showErrorMessage="1" sqref="AF54">
      <formula1>0</formula1>
      <formula2>NaN</formula2>
    </dataValidation>
    <dataValidation type="whole" allowBlank="1" showInputMessage="1" showErrorMessage="1" sqref="AF55">
      <formula1>0</formula1>
      <formula2>NaN</formula2>
    </dataValidation>
    <dataValidation type="whole" allowBlank="1" showInputMessage="1" showErrorMessage="1" sqref="AF56">
      <formula1>0</formula1>
      <formula2>NaN</formula2>
    </dataValidation>
    <dataValidation type="whole" allowBlank="1" showInputMessage="1" showErrorMessage="1" sqref="AF57">
      <formula1>0</formula1>
      <formula2>NaN</formula2>
    </dataValidation>
    <dataValidation type="whole" allowBlank="1" showInputMessage="1" showErrorMessage="1" sqref="AF58">
      <formula1>0</formula1>
      <formula2>NaN</formula2>
    </dataValidation>
    <dataValidation type="whole" allowBlank="1" showInputMessage="1" showErrorMessage="1" sqref="AF59">
      <formula1>0</formula1>
      <formula2>NaN</formula2>
    </dataValidation>
    <dataValidation type="whole" allowBlank="1" showInputMessage="1" showErrorMessage="1" sqref="AF60">
      <formula1>0</formula1>
      <formula2>NaN</formula2>
    </dataValidation>
    <dataValidation type="whole" allowBlank="1" showInputMessage="1" showErrorMessage="1" sqref="AF61">
      <formula1>0</formula1>
      <formula2>NaN</formula2>
    </dataValidation>
    <dataValidation type="whole" allowBlank="1" showInputMessage="1" showErrorMessage="1" sqref="AF62">
      <formula1>0</formula1>
      <formula2>NaN</formula2>
    </dataValidation>
    <dataValidation type="whole" allowBlank="1" showInputMessage="1" showErrorMessage="1" sqref="AF63">
      <formula1>0</formula1>
      <formula2>NaN</formula2>
    </dataValidation>
    <dataValidation type="whole" allowBlank="1" showInputMessage="1" showErrorMessage="1" sqref="AF64">
      <formula1>0</formula1>
      <formula2>NaN</formula2>
    </dataValidation>
    <dataValidation type="whole" allowBlank="1" showInputMessage="1" showErrorMessage="1" sqref="AF65">
      <formula1>0</formula1>
      <formula2>NaN</formula2>
    </dataValidation>
    <dataValidation type="whole" allowBlank="1" showInputMessage="1" showErrorMessage="1" sqref="AF66">
      <formula1>0</formula1>
      <formula2>NaN</formula2>
    </dataValidation>
    <dataValidation type="whole" allowBlank="1" showInputMessage="1" showErrorMessage="1" sqref="AF67">
      <formula1>0</formula1>
      <formula2>NaN</formula2>
    </dataValidation>
    <dataValidation type="whole" allowBlank="1" showInputMessage="1" showErrorMessage="1" sqref="AF68">
      <formula1>0</formula1>
      <formula2>NaN</formula2>
    </dataValidation>
    <dataValidation type="whole" allowBlank="1" showInputMessage="1" showErrorMessage="1" sqref="AF9">
      <formula1>0</formula1>
      <formula2>NaN</formula2>
    </dataValidation>
    <dataValidation type="whole" allowBlank="1" showInputMessage="1" showErrorMessage="1" sqref="AG10">
      <formula1>0</formula1>
      <formula2>NaN</formula2>
    </dataValidation>
    <dataValidation type="whole" allowBlank="1" showInputMessage="1" showErrorMessage="1" sqref="AG11">
      <formula1>0</formula1>
      <formula2>NaN</formula2>
    </dataValidation>
    <dataValidation type="whole" allowBlank="1" showInputMessage="1" showErrorMessage="1" sqref="AG12">
      <formula1>0</formula1>
      <formula2>NaN</formula2>
    </dataValidation>
    <dataValidation type="whole" allowBlank="1" showInputMessage="1" showErrorMessage="1" sqref="AG13">
      <formula1>0</formula1>
      <formula2>NaN</formula2>
    </dataValidation>
    <dataValidation type="whole" allowBlank="1" showInputMessage="1" showErrorMessage="1" sqref="AG14">
      <formula1>0</formula1>
      <formula2>NaN</formula2>
    </dataValidation>
    <dataValidation type="whole" allowBlank="1" showInputMessage="1" showErrorMessage="1" sqref="AG15">
      <formula1>0</formula1>
      <formula2>NaN</formula2>
    </dataValidation>
    <dataValidation type="whole" allowBlank="1" showInputMessage="1" showErrorMessage="1" sqref="AG16">
      <formula1>0</formula1>
      <formula2>NaN</formula2>
    </dataValidation>
    <dataValidation type="whole" allowBlank="1" showInputMessage="1" showErrorMessage="1" sqref="AG17">
      <formula1>0</formula1>
      <formula2>NaN</formula2>
    </dataValidation>
    <dataValidation type="whole" allowBlank="1" showInputMessage="1" showErrorMessage="1" sqref="AG18">
      <formula1>0</formula1>
      <formula2>NaN</formula2>
    </dataValidation>
    <dataValidation type="whole" allowBlank="1" showInputMessage="1" showErrorMessage="1" sqref="AG19">
      <formula1>0</formula1>
      <formula2>NaN</formula2>
    </dataValidation>
    <dataValidation type="whole" allowBlank="1" showInputMessage="1" showErrorMessage="1" sqref="AG20">
      <formula1>0</formula1>
      <formula2>NaN</formula2>
    </dataValidation>
    <dataValidation type="whole" allowBlank="1" showInputMessage="1" showErrorMessage="1" sqref="AG21">
      <formula1>0</formula1>
      <formula2>NaN</formula2>
    </dataValidation>
    <dataValidation type="whole" allowBlank="1" showInputMessage="1" showErrorMessage="1" sqref="AG22">
      <formula1>0</formula1>
      <formula2>NaN</formula2>
    </dataValidation>
    <dataValidation type="whole" allowBlank="1" showInputMessage="1" showErrorMessage="1" sqref="AG23">
      <formula1>0</formula1>
      <formula2>NaN</formula2>
    </dataValidation>
    <dataValidation type="whole" allowBlank="1" showInputMessage="1" showErrorMessage="1" sqref="AG24">
      <formula1>0</formula1>
      <formula2>NaN</formula2>
    </dataValidation>
    <dataValidation type="whole" allowBlank="1" showInputMessage="1" showErrorMessage="1" sqref="AG25">
      <formula1>0</formula1>
      <formula2>NaN</formula2>
    </dataValidation>
    <dataValidation type="whole" allowBlank="1" showInputMessage="1" showErrorMessage="1" sqref="AG26">
      <formula1>0</formula1>
      <formula2>NaN</formula2>
    </dataValidation>
    <dataValidation type="whole" allowBlank="1" showInputMessage="1" showErrorMessage="1" sqref="AG27">
      <formula1>0</formula1>
      <formula2>NaN</formula2>
    </dataValidation>
    <dataValidation type="whole" allowBlank="1" showInputMessage="1" showErrorMessage="1" sqref="AG28">
      <formula1>0</formula1>
      <formula2>NaN</formula2>
    </dataValidation>
    <dataValidation type="whole" allowBlank="1" showInputMessage="1" showErrorMessage="1" sqref="AG29">
      <formula1>0</formula1>
      <formula2>NaN</formula2>
    </dataValidation>
    <dataValidation type="whole" allowBlank="1" showInputMessage="1" showErrorMessage="1" sqref="AG30">
      <formula1>0</formula1>
      <formula2>NaN</formula2>
    </dataValidation>
    <dataValidation type="whole" allowBlank="1" showInputMessage="1" showErrorMessage="1" sqref="AG31">
      <formula1>0</formula1>
      <formula2>NaN</formula2>
    </dataValidation>
    <dataValidation type="whole" allowBlank="1" showInputMessage="1" showErrorMessage="1" sqref="AG32">
      <formula1>0</formula1>
      <formula2>NaN</formula2>
    </dataValidation>
    <dataValidation type="whole" allowBlank="1" showInputMessage="1" showErrorMessage="1" sqref="AG33">
      <formula1>0</formula1>
      <formula2>NaN</formula2>
    </dataValidation>
    <dataValidation type="whole" allowBlank="1" showInputMessage="1" showErrorMessage="1" sqref="AG34">
      <formula1>0</formula1>
      <formula2>NaN</formula2>
    </dataValidation>
    <dataValidation type="whole" allowBlank="1" showInputMessage="1" showErrorMessage="1" sqref="AG35">
      <formula1>0</formula1>
      <formula2>NaN</formula2>
    </dataValidation>
    <dataValidation type="whole" allowBlank="1" showInputMessage="1" showErrorMessage="1" sqref="AG36">
      <formula1>0</formula1>
      <formula2>NaN</formula2>
    </dataValidation>
    <dataValidation type="whole" allowBlank="1" showInputMessage="1" showErrorMessage="1" sqref="AG37">
      <formula1>0</formula1>
      <formula2>NaN</formula2>
    </dataValidation>
    <dataValidation type="whole" allowBlank="1" showInputMessage="1" showErrorMessage="1" sqref="AG38">
      <formula1>0</formula1>
      <formula2>NaN</formula2>
    </dataValidation>
    <dataValidation type="whole" allowBlank="1" showInputMessage="1" showErrorMessage="1" sqref="AG39">
      <formula1>0</formula1>
      <formula2>NaN</formula2>
    </dataValidation>
    <dataValidation type="whole" allowBlank="1" showInputMessage="1" showErrorMessage="1" sqref="AG40">
      <formula1>0</formula1>
      <formula2>NaN</formula2>
    </dataValidation>
    <dataValidation type="whole" allowBlank="1" showInputMessage="1" showErrorMessage="1" sqref="AG41">
      <formula1>0</formula1>
      <formula2>NaN</formula2>
    </dataValidation>
    <dataValidation type="whole" allowBlank="1" showInputMessage="1" showErrorMessage="1" sqref="AG42">
      <formula1>0</formula1>
      <formula2>NaN</formula2>
    </dataValidation>
    <dataValidation type="whole" allowBlank="1" showInputMessage="1" showErrorMessage="1" sqref="AG43">
      <formula1>0</formula1>
      <formula2>NaN</formula2>
    </dataValidation>
    <dataValidation type="whole" allowBlank="1" showInputMessage="1" showErrorMessage="1" sqref="AG44">
      <formula1>0</formula1>
      <formula2>NaN</formula2>
    </dataValidation>
    <dataValidation type="whole" allowBlank="1" showInputMessage="1" showErrorMessage="1" sqref="AG45">
      <formula1>0</formula1>
      <formula2>NaN</formula2>
    </dataValidation>
    <dataValidation type="whole" allowBlank="1" showInputMessage="1" showErrorMessage="1" sqref="AG46">
      <formula1>0</formula1>
      <formula2>NaN</formula2>
    </dataValidation>
    <dataValidation type="whole" allowBlank="1" showInputMessage="1" showErrorMessage="1" sqref="AG47">
      <formula1>0</formula1>
      <formula2>NaN</formula2>
    </dataValidation>
    <dataValidation type="whole" allowBlank="1" showInputMessage="1" showErrorMessage="1" sqref="AG48">
      <formula1>0</formula1>
      <formula2>NaN</formula2>
    </dataValidation>
    <dataValidation type="whole" allowBlank="1" showInputMessage="1" showErrorMessage="1" sqref="AG49">
      <formula1>0</formula1>
      <formula2>NaN</formula2>
    </dataValidation>
    <dataValidation type="whole" allowBlank="1" showInputMessage="1" showErrorMessage="1" sqref="AG50">
      <formula1>0</formula1>
      <formula2>NaN</formula2>
    </dataValidation>
    <dataValidation type="whole" allowBlank="1" showInputMessage="1" showErrorMessage="1" sqref="AG51">
      <formula1>0</formula1>
      <formula2>NaN</formula2>
    </dataValidation>
    <dataValidation type="whole" allowBlank="1" showInputMessage="1" showErrorMessage="1" sqref="AG52">
      <formula1>0</formula1>
      <formula2>NaN</formula2>
    </dataValidation>
    <dataValidation type="whole" allowBlank="1" showInputMessage="1" showErrorMessage="1" sqref="AG53">
      <formula1>0</formula1>
      <formula2>NaN</formula2>
    </dataValidation>
    <dataValidation type="whole" allowBlank="1" showInputMessage="1" showErrorMessage="1" sqref="AG54">
      <formula1>0</formula1>
      <formula2>NaN</formula2>
    </dataValidation>
    <dataValidation type="whole" allowBlank="1" showInputMessage="1" showErrorMessage="1" sqref="AG55">
      <formula1>0</formula1>
      <formula2>NaN</formula2>
    </dataValidation>
    <dataValidation type="whole" allowBlank="1" showInputMessage="1" showErrorMessage="1" sqref="AG56">
      <formula1>0</formula1>
      <formula2>NaN</formula2>
    </dataValidation>
    <dataValidation type="whole" allowBlank="1" showInputMessage="1" showErrorMessage="1" sqref="AG57">
      <formula1>0</formula1>
      <formula2>NaN</formula2>
    </dataValidation>
    <dataValidation type="whole" allowBlank="1" showInputMessage="1" showErrorMessage="1" sqref="AG58">
      <formula1>0</formula1>
      <formula2>NaN</formula2>
    </dataValidation>
    <dataValidation type="whole" allowBlank="1" showInputMessage="1" showErrorMessage="1" sqref="AG59">
      <formula1>0</formula1>
      <formula2>NaN</formula2>
    </dataValidation>
    <dataValidation type="whole" allowBlank="1" showInputMessage="1" showErrorMessage="1" sqref="AG60">
      <formula1>0</formula1>
      <formula2>NaN</formula2>
    </dataValidation>
    <dataValidation type="whole" allowBlank="1" showInputMessage="1" showErrorMessage="1" sqref="AG61">
      <formula1>0</formula1>
      <formula2>NaN</formula2>
    </dataValidation>
    <dataValidation type="whole" allowBlank="1" showInputMessage="1" showErrorMessage="1" sqref="AG62">
      <formula1>0</formula1>
      <formula2>NaN</formula2>
    </dataValidation>
    <dataValidation type="whole" allowBlank="1" showInputMessage="1" showErrorMessage="1" sqref="AG63">
      <formula1>0</formula1>
      <formula2>NaN</formula2>
    </dataValidation>
    <dataValidation type="whole" allowBlank="1" showInputMessage="1" showErrorMessage="1" sqref="AG64">
      <formula1>0</formula1>
      <formula2>NaN</formula2>
    </dataValidation>
    <dataValidation type="whole" allowBlank="1" showInputMessage="1" showErrorMessage="1" sqref="AG65">
      <formula1>0</formula1>
      <formula2>NaN</formula2>
    </dataValidation>
    <dataValidation type="whole" allowBlank="1" showInputMessage="1" showErrorMessage="1" sqref="AG66">
      <formula1>0</formula1>
      <formula2>NaN</formula2>
    </dataValidation>
    <dataValidation type="whole" allowBlank="1" showInputMessage="1" showErrorMessage="1" sqref="AG67">
      <formula1>0</formula1>
      <formula2>NaN</formula2>
    </dataValidation>
    <dataValidation type="whole" allowBlank="1" showInputMessage="1" showErrorMessage="1" sqref="AG68">
      <formula1>0</formula1>
      <formula2>NaN</formula2>
    </dataValidation>
    <dataValidation type="whole" allowBlank="1" showInputMessage="1" showErrorMessage="1" sqref="AG9">
      <formula1>0</formula1>
      <formula2>NaN</formula2>
    </dataValidation>
    <dataValidation type="whole" allowBlank="1" showInputMessage="1" showErrorMessage="1" sqref="AH10">
      <formula1>0</formula1>
      <formula2>NaN</formula2>
    </dataValidation>
    <dataValidation type="whole" allowBlank="1" showInputMessage="1" showErrorMessage="1" sqref="AH11">
      <formula1>0</formula1>
      <formula2>NaN</formula2>
    </dataValidation>
    <dataValidation type="whole" allowBlank="1" showInputMessage="1" showErrorMessage="1" sqref="AH12">
      <formula1>0</formula1>
      <formula2>NaN</formula2>
    </dataValidation>
    <dataValidation type="whole" allowBlank="1" showInputMessage="1" showErrorMessage="1" sqref="AH13">
      <formula1>0</formula1>
      <formula2>NaN</formula2>
    </dataValidation>
    <dataValidation type="whole" allowBlank="1" showInputMessage="1" showErrorMessage="1" sqref="AH14">
      <formula1>0</formula1>
      <formula2>NaN</formula2>
    </dataValidation>
    <dataValidation type="whole" allowBlank="1" showInputMessage="1" showErrorMessage="1" sqref="AH15">
      <formula1>0</formula1>
      <formula2>NaN</formula2>
    </dataValidation>
    <dataValidation type="whole" allowBlank="1" showInputMessage="1" showErrorMessage="1" sqref="AH16">
      <formula1>0</formula1>
      <formula2>NaN</formula2>
    </dataValidation>
    <dataValidation type="whole" allowBlank="1" showInputMessage="1" showErrorMessage="1" sqref="AH17">
      <formula1>0</formula1>
      <formula2>NaN</formula2>
    </dataValidation>
    <dataValidation type="whole" allowBlank="1" showInputMessage="1" showErrorMessage="1" sqref="AH18">
      <formula1>0</formula1>
      <formula2>NaN</formula2>
    </dataValidation>
    <dataValidation type="whole" allowBlank="1" showInputMessage="1" showErrorMessage="1" sqref="AH19">
      <formula1>0</formula1>
      <formula2>NaN</formula2>
    </dataValidation>
    <dataValidation type="whole" allowBlank="1" showInputMessage="1" showErrorMessage="1" sqref="AH20">
      <formula1>0</formula1>
      <formula2>NaN</formula2>
    </dataValidation>
    <dataValidation type="whole" allowBlank="1" showInputMessage="1" showErrorMessage="1" sqref="AH21">
      <formula1>0</formula1>
      <formula2>NaN</formula2>
    </dataValidation>
    <dataValidation type="whole" allowBlank="1" showInputMessage="1" showErrorMessage="1" sqref="AH22">
      <formula1>0</formula1>
      <formula2>NaN</formula2>
    </dataValidation>
    <dataValidation type="whole" allowBlank="1" showInputMessage="1" showErrorMessage="1" sqref="AH23">
      <formula1>0</formula1>
      <formula2>NaN</formula2>
    </dataValidation>
    <dataValidation type="whole" allowBlank="1" showInputMessage="1" showErrorMessage="1" sqref="AH24">
      <formula1>0</formula1>
      <formula2>NaN</formula2>
    </dataValidation>
    <dataValidation type="whole" allowBlank="1" showInputMessage="1" showErrorMessage="1" sqref="AH25">
      <formula1>0</formula1>
      <formula2>NaN</formula2>
    </dataValidation>
    <dataValidation type="whole" allowBlank="1" showInputMessage="1" showErrorMessage="1" sqref="AH26">
      <formula1>0</formula1>
      <formula2>NaN</formula2>
    </dataValidation>
    <dataValidation type="whole" allowBlank="1" showInputMessage="1" showErrorMessage="1" sqref="AH27">
      <formula1>0</formula1>
      <formula2>NaN</formula2>
    </dataValidation>
    <dataValidation type="whole" allowBlank="1" showInputMessage="1" showErrorMessage="1" sqref="AH28">
      <formula1>0</formula1>
      <formula2>NaN</formula2>
    </dataValidation>
    <dataValidation type="whole" allowBlank="1" showInputMessage="1" showErrorMessage="1" sqref="AH29">
      <formula1>0</formula1>
      <formula2>NaN</formula2>
    </dataValidation>
    <dataValidation type="whole" allowBlank="1" showInputMessage="1" showErrorMessage="1" sqref="AH30">
      <formula1>0</formula1>
      <formula2>NaN</formula2>
    </dataValidation>
    <dataValidation type="whole" allowBlank="1" showInputMessage="1" showErrorMessage="1" sqref="AH31">
      <formula1>0</formula1>
      <formula2>NaN</formula2>
    </dataValidation>
    <dataValidation type="whole" allowBlank="1" showInputMessage="1" showErrorMessage="1" sqref="AH32">
      <formula1>0</formula1>
      <formula2>NaN</formula2>
    </dataValidation>
    <dataValidation type="whole" allowBlank="1" showInputMessage="1" showErrorMessage="1" sqref="AH33">
      <formula1>0</formula1>
      <formula2>NaN</formula2>
    </dataValidation>
    <dataValidation type="whole" allowBlank="1" showInputMessage="1" showErrorMessage="1" sqref="AH34">
      <formula1>0</formula1>
      <formula2>NaN</formula2>
    </dataValidation>
    <dataValidation type="whole" allowBlank="1" showInputMessage="1" showErrorMessage="1" sqref="AH35">
      <formula1>0</formula1>
      <formula2>NaN</formula2>
    </dataValidation>
    <dataValidation type="whole" allowBlank="1" showInputMessage="1" showErrorMessage="1" sqref="AH36">
      <formula1>0</formula1>
      <formula2>NaN</formula2>
    </dataValidation>
    <dataValidation type="whole" allowBlank="1" showInputMessage="1" showErrorMessage="1" sqref="AH37">
      <formula1>0</formula1>
      <formula2>NaN</formula2>
    </dataValidation>
    <dataValidation type="whole" allowBlank="1" showInputMessage="1" showErrorMessage="1" sqref="AH38">
      <formula1>0</formula1>
      <formula2>NaN</formula2>
    </dataValidation>
    <dataValidation type="whole" allowBlank="1" showInputMessage="1" showErrorMessage="1" sqref="AH39">
      <formula1>0</formula1>
      <formula2>NaN</formula2>
    </dataValidation>
    <dataValidation type="whole" allowBlank="1" showInputMessage="1" showErrorMessage="1" sqref="AH40">
      <formula1>0</formula1>
      <formula2>NaN</formula2>
    </dataValidation>
    <dataValidation type="whole" allowBlank="1" showInputMessage="1" showErrorMessage="1" sqref="AH41">
      <formula1>0</formula1>
      <formula2>NaN</formula2>
    </dataValidation>
    <dataValidation type="whole" allowBlank="1" showInputMessage="1" showErrorMessage="1" sqref="AH42">
      <formula1>0</formula1>
      <formula2>NaN</formula2>
    </dataValidation>
    <dataValidation type="whole" allowBlank="1" showInputMessage="1" showErrorMessage="1" sqref="AH43">
      <formula1>0</formula1>
      <formula2>NaN</formula2>
    </dataValidation>
    <dataValidation type="whole" allowBlank="1" showInputMessage="1" showErrorMessage="1" sqref="AH44">
      <formula1>0</formula1>
      <formula2>NaN</formula2>
    </dataValidation>
    <dataValidation type="whole" allowBlank="1" showInputMessage="1" showErrorMessage="1" sqref="AH45">
      <formula1>0</formula1>
      <formula2>NaN</formula2>
    </dataValidation>
    <dataValidation type="whole" allowBlank="1" showInputMessage="1" showErrorMessage="1" sqref="AH46">
      <formula1>0</formula1>
      <formula2>NaN</formula2>
    </dataValidation>
    <dataValidation type="whole" allowBlank="1" showInputMessage="1" showErrorMessage="1" sqref="AH47">
      <formula1>0</formula1>
      <formula2>NaN</formula2>
    </dataValidation>
    <dataValidation type="whole" allowBlank="1" showInputMessage="1" showErrorMessage="1" sqref="AH48">
      <formula1>0</formula1>
      <formula2>NaN</formula2>
    </dataValidation>
    <dataValidation type="whole" allowBlank="1" showInputMessage="1" showErrorMessage="1" sqref="AH49">
      <formula1>0</formula1>
      <formula2>NaN</formula2>
    </dataValidation>
    <dataValidation type="whole" allowBlank="1" showInputMessage="1" showErrorMessage="1" sqref="AH50">
      <formula1>0</formula1>
      <formula2>NaN</formula2>
    </dataValidation>
    <dataValidation type="whole" allowBlank="1" showInputMessage="1" showErrorMessage="1" sqref="AH51">
      <formula1>0</formula1>
      <formula2>NaN</formula2>
    </dataValidation>
    <dataValidation type="whole" allowBlank="1" showInputMessage="1" showErrorMessage="1" sqref="AH52">
      <formula1>0</formula1>
      <formula2>NaN</formula2>
    </dataValidation>
    <dataValidation type="whole" allowBlank="1" showInputMessage="1" showErrorMessage="1" sqref="AH53">
      <formula1>0</formula1>
      <formula2>NaN</formula2>
    </dataValidation>
    <dataValidation type="whole" allowBlank="1" showInputMessage="1" showErrorMessage="1" sqref="AH54">
      <formula1>0</formula1>
      <formula2>NaN</formula2>
    </dataValidation>
    <dataValidation type="whole" allowBlank="1" showInputMessage="1" showErrorMessage="1" sqref="AH55">
      <formula1>0</formula1>
      <formula2>NaN</formula2>
    </dataValidation>
    <dataValidation type="whole" allowBlank="1" showInputMessage="1" showErrorMessage="1" sqref="AH56">
      <formula1>0</formula1>
      <formula2>NaN</formula2>
    </dataValidation>
    <dataValidation type="whole" allowBlank="1" showInputMessage="1" showErrorMessage="1" sqref="AH57">
      <formula1>0</formula1>
      <formula2>NaN</formula2>
    </dataValidation>
    <dataValidation type="whole" allowBlank="1" showInputMessage="1" showErrorMessage="1" sqref="AH58">
      <formula1>0</formula1>
      <formula2>NaN</formula2>
    </dataValidation>
    <dataValidation type="whole" allowBlank="1" showInputMessage="1" showErrorMessage="1" sqref="AH59">
      <formula1>0</formula1>
      <formula2>NaN</formula2>
    </dataValidation>
    <dataValidation type="whole" allowBlank="1" showInputMessage="1" showErrorMessage="1" sqref="AH60">
      <formula1>0</formula1>
      <formula2>NaN</formula2>
    </dataValidation>
    <dataValidation type="whole" allowBlank="1" showInputMessage="1" showErrorMessage="1" sqref="AH61">
      <formula1>0</formula1>
      <formula2>NaN</formula2>
    </dataValidation>
    <dataValidation type="whole" allowBlank="1" showInputMessage="1" showErrorMessage="1" sqref="AH62">
      <formula1>0</formula1>
      <formula2>NaN</formula2>
    </dataValidation>
    <dataValidation type="whole" allowBlank="1" showInputMessage="1" showErrorMessage="1" sqref="AH63">
      <formula1>0</formula1>
      <formula2>NaN</formula2>
    </dataValidation>
    <dataValidation type="whole" allowBlank="1" showInputMessage="1" showErrorMessage="1" sqref="AH64">
      <formula1>0</formula1>
      <formula2>NaN</formula2>
    </dataValidation>
    <dataValidation type="whole" allowBlank="1" showInputMessage="1" showErrorMessage="1" sqref="AH65">
      <formula1>0</formula1>
      <formula2>NaN</formula2>
    </dataValidation>
    <dataValidation type="whole" allowBlank="1" showInputMessage="1" showErrorMessage="1" sqref="AH66">
      <formula1>0</formula1>
      <formula2>NaN</formula2>
    </dataValidation>
    <dataValidation type="whole" allowBlank="1" showInputMessage="1" showErrorMessage="1" sqref="AH67">
      <formula1>0</formula1>
      <formula2>NaN</formula2>
    </dataValidation>
    <dataValidation type="whole" allowBlank="1" showInputMessage="1" showErrorMessage="1" sqref="AH68">
      <formula1>0</formula1>
      <formula2>NaN</formula2>
    </dataValidation>
    <dataValidation type="whole" allowBlank="1" showInputMessage="1" showErrorMessage="1" sqref="AH9">
      <formula1>0</formula1>
      <formula2>NaN</formula2>
    </dataValidation>
    <dataValidation type="whole" allowBlank="1" showInputMessage="1" showErrorMessage="1" sqref="AI10">
      <formula1>0</formula1>
      <formula2>NaN</formula2>
    </dataValidation>
    <dataValidation type="whole" allowBlank="1" showInputMessage="1" showErrorMessage="1" sqref="AI11">
      <formula1>0</formula1>
      <formula2>NaN</formula2>
    </dataValidation>
    <dataValidation type="whole" allowBlank="1" showInputMessage="1" showErrorMessage="1" sqref="AI12">
      <formula1>0</formula1>
      <formula2>NaN</formula2>
    </dataValidation>
    <dataValidation type="whole" allowBlank="1" showInputMessage="1" showErrorMessage="1" sqref="AI13">
      <formula1>0</formula1>
      <formula2>NaN</formula2>
    </dataValidation>
    <dataValidation type="whole" allowBlank="1" showInputMessage="1" showErrorMessage="1" sqref="AI14">
      <formula1>0</formula1>
      <formula2>NaN</formula2>
    </dataValidation>
    <dataValidation type="whole" allowBlank="1" showInputMessage="1" showErrorMessage="1" sqref="AI15">
      <formula1>0</formula1>
      <formula2>NaN</formula2>
    </dataValidation>
    <dataValidation type="whole" allowBlank="1" showInputMessage="1" showErrorMessage="1" sqref="AI16">
      <formula1>0</formula1>
      <formula2>NaN</formula2>
    </dataValidation>
    <dataValidation type="whole" allowBlank="1" showInputMessage="1" showErrorMessage="1" sqref="AI17">
      <formula1>0</formula1>
      <formula2>NaN</formula2>
    </dataValidation>
    <dataValidation type="whole" allowBlank="1" showInputMessage="1" showErrorMessage="1" sqref="AI18">
      <formula1>0</formula1>
      <formula2>NaN</formula2>
    </dataValidation>
    <dataValidation type="whole" allowBlank="1" showInputMessage="1" showErrorMessage="1" sqref="AI19">
      <formula1>0</formula1>
      <formula2>NaN</formula2>
    </dataValidation>
    <dataValidation type="whole" allowBlank="1" showInputMessage="1" showErrorMessage="1" sqref="AI20">
      <formula1>0</formula1>
      <formula2>NaN</formula2>
    </dataValidation>
    <dataValidation type="whole" allowBlank="1" showInputMessage="1" showErrorMessage="1" sqref="AI21">
      <formula1>0</formula1>
      <formula2>NaN</formula2>
    </dataValidation>
    <dataValidation type="whole" allowBlank="1" showInputMessage="1" showErrorMessage="1" sqref="AI22">
      <formula1>0</formula1>
      <formula2>NaN</formula2>
    </dataValidation>
    <dataValidation type="whole" allowBlank="1" showInputMessage="1" showErrorMessage="1" sqref="AI23">
      <formula1>0</formula1>
      <formula2>NaN</formula2>
    </dataValidation>
    <dataValidation type="whole" allowBlank="1" showInputMessage="1" showErrorMessage="1" sqref="AI24">
      <formula1>0</formula1>
      <formula2>NaN</formula2>
    </dataValidation>
    <dataValidation type="whole" allowBlank="1" showInputMessage="1" showErrorMessage="1" sqref="AI25">
      <formula1>0</formula1>
      <formula2>NaN</formula2>
    </dataValidation>
    <dataValidation type="whole" allowBlank="1" showInputMessage="1" showErrorMessage="1" sqref="AI26">
      <formula1>0</formula1>
      <formula2>NaN</formula2>
    </dataValidation>
    <dataValidation type="whole" allowBlank="1" showInputMessage="1" showErrorMessage="1" sqref="AI27">
      <formula1>0</formula1>
      <formula2>NaN</formula2>
    </dataValidation>
    <dataValidation type="whole" allowBlank="1" showInputMessage="1" showErrorMessage="1" sqref="AI28">
      <formula1>0</formula1>
      <formula2>NaN</formula2>
    </dataValidation>
    <dataValidation type="whole" allowBlank="1" showInputMessage="1" showErrorMessage="1" sqref="AI29">
      <formula1>0</formula1>
      <formula2>NaN</formula2>
    </dataValidation>
    <dataValidation type="whole" allowBlank="1" showInputMessage="1" showErrorMessage="1" sqref="AI30">
      <formula1>0</formula1>
      <formula2>NaN</formula2>
    </dataValidation>
    <dataValidation type="whole" allowBlank="1" showInputMessage="1" showErrorMessage="1" sqref="AI31">
      <formula1>0</formula1>
      <formula2>NaN</formula2>
    </dataValidation>
    <dataValidation type="whole" allowBlank="1" showInputMessage="1" showErrorMessage="1" sqref="AI32">
      <formula1>0</formula1>
      <formula2>NaN</formula2>
    </dataValidation>
    <dataValidation type="whole" allowBlank="1" showInputMessage="1" showErrorMessage="1" sqref="AI33">
      <formula1>0</formula1>
      <formula2>NaN</formula2>
    </dataValidation>
    <dataValidation type="whole" allowBlank="1" showInputMessage="1" showErrorMessage="1" sqref="AI34">
      <formula1>0</formula1>
      <formula2>NaN</formula2>
    </dataValidation>
    <dataValidation type="whole" allowBlank="1" showInputMessage="1" showErrorMessage="1" sqref="AI35">
      <formula1>0</formula1>
      <formula2>NaN</formula2>
    </dataValidation>
    <dataValidation type="whole" allowBlank="1" showInputMessage="1" showErrorMessage="1" sqref="AI36">
      <formula1>0</formula1>
      <formula2>NaN</formula2>
    </dataValidation>
    <dataValidation type="whole" allowBlank="1" showInputMessage="1" showErrorMessage="1" sqref="AI37">
      <formula1>0</formula1>
      <formula2>NaN</formula2>
    </dataValidation>
    <dataValidation type="whole" allowBlank="1" showInputMessage="1" showErrorMessage="1" sqref="AI38">
      <formula1>0</formula1>
      <formula2>NaN</formula2>
    </dataValidation>
    <dataValidation type="whole" allowBlank="1" showInputMessage="1" showErrorMessage="1" sqref="AI39">
      <formula1>0</formula1>
      <formula2>NaN</formula2>
    </dataValidation>
    <dataValidation type="whole" allowBlank="1" showInputMessage="1" showErrorMessage="1" sqref="AI40">
      <formula1>0</formula1>
      <formula2>NaN</formula2>
    </dataValidation>
    <dataValidation type="whole" allowBlank="1" showInputMessage="1" showErrorMessage="1" sqref="AI41">
      <formula1>0</formula1>
      <formula2>NaN</formula2>
    </dataValidation>
    <dataValidation type="whole" allowBlank="1" showInputMessage="1" showErrorMessage="1" sqref="AI42">
      <formula1>0</formula1>
      <formula2>NaN</formula2>
    </dataValidation>
    <dataValidation type="whole" allowBlank="1" showInputMessage="1" showErrorMessage="1" sqref="AI43">
      <formula1>0</formula1>
      <formula2>NaN</formula2>
    </dataValidation>
    <dataValidation type="whole" allowBlank="1" showInputMessage="1" showErrorMessage="1" sqref="AI44">
      <formula1>0</formula1>
      <formula2>NaN</formula2>
    </dataValidation>
    <dataValidation type="whole" allowBlank="1" showInputMessage="1" showErrorMessage="1" sqref="AI45">
      <formula1>0</formula1>
      <formula2>NaN</formula2>
    </dataValidation>
    <dataValidation type="whole" allowBlank="1" showInputMessage="1" showErrorMessage="1" sqref="AI46">
      <formula1>0</formula1>
      <formula2>NaN</formula2>
    </dataValidation>
    <dataValidation type="whole" allowBlank="1" showInputMessage="1" showErrorMessage="1" sqref="AI47">
      <formula1>0</formula1>
      <formula2>NaN</formula2>
    </dataValidation>
    <dataValidation type="whole" allowBlank="1" showInputMessage="1" showErrorMessage="1" sqref="AI48">
      <formula1>0</formula1>
      <formula2>NaN</formula2>
    </dataValidation>
    <dataValidation type="whole" allowBlank="1" showInputMessage="1" showErrorMessage="1" sqref="AI49">
      <formula1>0</formula1>
      <formula2>NaN</formula2>
    </dataValidation>
    <dataValidation type="whole" allowBlank="1" showInputMessage="1" showErrorMessage="1" sqref="AI50">
      <formula1>0</formula1>
      <formula2>NaN</formula2>
    </dataValidation>
    <dataValidation type="whole" allowBlank="1" showInputMessage="1" showErrorMessage="1" sqref="AI51">
      <formula1>0</formula1>
      <formula2>NaN</formula2>
    </dataValidation>
    <dataValidation type="whole" allowBlank="1" showInputMessage="1" showErrorMessage="1" sqref="AI52">
      <formula1>0</formula1>
      <formula2>NaN</formula2>
    </dataValidation>
    <dataValidation type="whole" allowBlank="1" showInputMessage="1" showErrorMessage="1" sqref="AI53">
      <formula1>0</formula1>
      <formula2>NaN</formula2>
    </dataValidation>
    <dataValidation type="whole" allowBlank="1" showInputMessage="1" showErrorMessage="1" sqref="AI54">
      <formula1>0</formula1>
      <formula2>NaN</formula2>
    </dataValidation>
    <dataValidation type="whole" allowBlank="1" showInputMessage="1" showErrorMessage="1" sqref="AI55">
      <formula1>0</formula1>
      <formula2>NaN</formula2>
    </dataValidation>
    <dataValidation type="whole" allowBlank="1" showInputMessage="1" showErrorMessage="1" sqref="AI56">
      <formula1>0</formula1>
      <formula2>NaN</formula2>
    </dataValidation>
    <dataValidation type="whole" allowBlank="1" showInputMessage="1" showErrorMessage="1" sqref="AI57">
      <formula1>0</formula1>
      <formula2>NaN</formula2>
    </dataValidation>
    <dataValidation type="whole" allowBlank="1" showInputMessage="1" showErrorMessage="1" sqref="AI58">
      <formula1>0</formula1>
      <formula2>NaN</formula2>
    </dataValidation>
    <dataValidation type="whole" allowBlank="1" showInputMessage="1" showErrorMessage="1" sqref="AI59">
      <formula1>0</formula1>
      <formula2>NaN</formula2>
    </dataValidation>
    <dataValidation type="whole" allowBlank="1" showInputMessage="1" showErrorMessage="1" sqref="AI60">
      <formula1>0</formula1>
      <formula2>NaN</formula2>
    </dataValidation>
    <dataValidation type="whole" allowBlank="1" showInputMessage="1" showErrorMessage="1" sqref="AI61">
      <formula1>0</formula1>
      <formula2>NaN</formula2>
    </dataValidation>
    <dataValidation type="whole" allowBlank="1" showInputMessage="1" showErrorMessage="1" sqref="AI62">
      <formula1>0</formula1>
      <formula2>NaN</formula2>
    </dataValidation>
    <dataValidation type="whole" allowBlank="1" showInputMessage="1" showErrorMessage="1" sqref="AI63">
      <formula1>0</formula1>
      <formula2>NaN</formula2>
    </dataValidation>
    <dataValidation type="whole" allowBlank="1" showInputMessage="1" showErrorMessage="1" sqref="AI64">
      <formula1>0</formula1>
      <formula2>NaN</formula2>
    </dataValidation>
    <dataValidation type="whole" allowBlank="1" showInputMessage="1" showErrorMessage="1" sqref="AI65">
      <formula1>0</formula1>
      <formula2>NaN</formula2>
    </dataValidation>
    <dataValidation type="whole" allowBlank="1" showInputMessage="1" showErrorMessage="1" sqref="AI66">
      <formula1>0</formula1>
      <formula2>NaN</formula2>
    </dataValidation>
    <dataValidation type="whole" allowBlank="1" showInputMessage="1" showErrorMessage="1" sqref="AI67">
      <formula1>0</formula1>
      <formula2>NaN</formula2>
    </dataValidation>
    <dataValidation type="whole" allowBlank="1" showInputMessage="1" showErrorMessage="1" sqref="AI68">
      <formula1>0</formula1>
      <formula2>NaN</formula2>
    </dataValidation>
    <dataValidation type="whole" allowBlank="1" showInputMessage="1" showErrorMessage="1" sqref="AI9">
      <formula1>0</formula1>
      <formula2>NaN</formula2>
    </dataValidation>
    <dataValidation type="whole" allowBlank="1" showInputMessage="1" showErrorMessage="1" sqref="AJ10">
      <formula1>0</formula1>
      <formula2>NaN</formula2>
    </dataValidation>
    <dataValidation type="whole" allowBlank="1" showInputMessage="1" showErrorMessage="1" sqref="AJ11">
      <formula1>0</formula1>
      <formula2>NaN</formula2>
    </dataValidation>
    <dataValidation type="whole" allowBlank="1" showInputMessage="1" showErrorMessage="1" sqref="AJ12">
      <formula1>0</formula1>
      <formula2>NaN</formula2>
    </dataValidation>
    <dataValidation type="whole" allowBlank="1" showInputMessage="1" showErrorMessage="1" sqref="AJ13">
      <formula1>0</formula1>
      <formula2>NaN</formula2>
    </dataValidation>
    <dataValidation type="whole" allowBlank="1" showInputMessage="1" showErrorMessage="1" sqref="AJ14">
      <formula1>0</formula1>
      <formula2>NaN</formula2>
    </dataValidation>
    <dataValidation type="whole" allowBlank="1" showInputMessage="1" showErrorMessage="1" sqref="AJ15">
      <formula1>0</formula1>
      <formula2>NaN</formula2>
    </dataValidation>
    <dataValidation type="whole" allowBlank="1" showInputMessage="1" showErrorMessage="1" sqref="AJ16">
      <formula1>0</formula1>
      <formula2>NaN</formula2>
    </dataValidation>
    <dataValidation type="whole" allowBlank="1" showInputMessage="1" showErrorMessage="1" sqref="AJ17">
      <formula1>0</formula1>
      <formula2>NaN</formula2>
    </dataValidation>
    <dataValidation type="whole" allowBlank="1" showInputMessage="1" showErrorMessage="1" sqref="AJ18">
      <formula1>0</formula1>
      <formula2>NaN</formula2>
    </dataValidation>
    <dataValidation type="whole" allowBlank="1" showInputMessage="1" showErrorMessage="1" sqref="AJ19">
      <formula1>0</formula1>
      <formula2>NaN</formula2>
    </dataValidation>
    <dataValidation type="whole" allowBlank="1" showInputMessage="1" showErrorMessage="1" sqref="AJ20">
      <formula1>0</formula1>
      <formula2>NaN</formula2>
    </dataValidation>
    <dataValidation type="whole" allowBlank="1" showInputMessage="1" showErrorMessage="1" sqref="AJ21">
      <formula1>0</formula1>
      <formula2>NaN</formula2>
    </dataValidation>
    <dataValidation type="whole" allowBlank="1" showInputMessage="1" showErrorMessage="1" sqref="AJ22">
      <formula1>0</formula1>
      <formula2>NaN</formula2>
    </dataValidation>
    <dataValidation type="whole" allowBlank="1" showInputMessage="1" showErrorMessage="1" sqref="AJ23">
      <formula1>0</formula1>
      <formula2>NaN</formula2>
    </dataValidation>
    <dataValidation type="whole" allowBlank="1" showInputMessage="1" showErrorMessage="1" sqref="AJ24">
      <formula1>0</formula1>
      <formula2>NaN</formula2>
    </dataValidation>
    <dataValidation type="whole" allowBlank="1" showInputMessage="1" showErrorMessage="1" sqref="AJ25">
      <formula1>0</formula1>
      <formula2>NaN</formula2>
    </dataValidation>
    <dataValidation type="whole" allowBlank="1" showInputMessage="1" showErrorMessage="1" sqref="AJ26">
      <formula1>0</formula1>
      <formula2>NaN</formula2>
    </dataValidation>
    <dataValidation type="whole" allowBlank="1" showInputMessage="1" showErrorMessage="1" sqref="AJ27">
      <formula1>0</formula1>
      <formula2>NaN</formula2>
    </dataValidation>
    <dataValidation type="whole" allowBlank="1" showInputMessage="1" showErrorMessage="1" sqref="AJ28">
      <formula1>0</formula1>
      <formula2>NaN</formula2>
    </dataValidation>
    <dataValidation type="whole" allowBlank="1" showInputMessage="1" showErrorMessage="1" sqref="AJ29">
      <formula1>0</formula1>
      <formula2>NaN</formula2>
    </dataValidation>
    <dataValidation type="whole" allowBlank="1" showInputMessage="1" showErrorMessage="1" sqref="AJ30">
      <formula1>0</formula1>
      <formula2>NaN</formula2>
    </dataValidation>
    <dataValidation type="whole" allowBlank="1" showInputMessage="1" showErrorMessage="1" sqref="AJ31">
      <formula1>0</formula1>
      <formula2>NaN</formula2>
    </dataValidation>
    <dataValidation type="whole" allowBlank="1" showInputMessage="1" showErrorMessage="1" sqref="AJ32">
      <formula1>0</formula1>
      <formula2>NaN</formula2>
    </dataValidation>
    <dataValidation type="whole" allowBlank="1" showInputMessage="1" showErrorMessage="1" sqref="AJ33">
      <formula1>0</formula1>
      <formula2>NaN</formula2>
    </dataValidation>
    <dataValidation type="whole" allowBlank="1" showInputMessage="1" showErrorMessage="1" sqref="AJ34">
      <formula1>0</formula1>
      <formula2>NaN</formula2>
    </dataValidation>
    <dataValidation type="whole" allowBlank="1" showInputMessage="1" showErrorMessage="1" sqref="AJ35">
      <formula1>0</formula1>
      <formula2>NaN</formula2>
    </dataValidation>
    <dataValidation type="whole" allowBlank="1" showInputMessage="1" showErrorMessage="1" sqref="AJ36">
      <formula1>0</formula1>
      <formula2>NaN</formula2>
    </dataValidation>
    <dataValidation type="whole" allowBlank="1" showInputMessage="1" showErrorMessage="1" sqref="AJ37">
      <formula1>0</formula1>
      <formula2>NaN</formula2>
    </dataValidation>
    <dataValidation type="whole" allowBlank="1" showInputMessage="1" showErrorMessage="1" sqref="AJ38">
      <formula1>0</formula1>
      <formula2>NaN</formula2>
    </dataValidation>
    <dataValidation type="whole" allowBlank="1" showInputMessage="1" showErrorMessage="1" sqref="AJ39">
      <formula1>0</formula1>
      <formula2>NaN</formula2>
    </dataValidation>
    <dataValidation type="whole" allowBlank="1" showInputMessage="1" showErrorMessage="1" sqref="AJ40">
      <formula1>0</formula1>
      <formula2>NaN</formula2>
    </dataValidation>
    <dataValidation type="whole" allowBlank="1" showInputMessage="1" showErrorMessage="1" sqref="AJ41">
      <formula1>0</formula1>
      <formula2>NaN</formula2>
    </dataValidation>
    <dataValidation type="whole" allowBlank="1" showInputMessage="1" showErrorMessage="1" sqref="AJ42">
      <formula1>0</formula1>
      <formula2>NaN</formula2>
    </dataValidation>
    <dataValidation type="whole" allowBlank="1" showInputMessage="1" showErrorMessage="1" sqref="AJ43">
      <formula1>0</formula1>
      <formula2>NaN</formula2>
    </dataValidation>
    <dataValidation type="whole" allowBlank="1" showInputMessage="1" showErrorMessage="1" sqref="AJ44">
      <formula1>0</formula1>
      <formula2>NaN</formula2>
    </dataValidation>
    <dataValidation type="whole" allowBlank="1" showInputMessage="1" showErrorMessage="1" sqref="AJ45">
      <formula1>0</formula1>
      <formula2>NaN</formula2>
    </dataValidation>
    <dataValidation type="whole" allowBlank="1" showInputMessage="1" showErrorMessage="1" sqref="AJ46">
      <formula1>0</formula1>
      <formula2>NaN</formula2>
    </dataValidation>
    <dataValidation type="whole" allowBlank="1" showInputMessage="1" showErrorMessage="1" sqref="AJ47">
      <formula1>0</formula1>
      <formula2>NaN</formula2>
    </dataValidation>
    <dataValidation type="whole" allowBlank="1" showInputMessage="1" showErrorMessage="1" sqref="AJ48">
      <formula1>0</formula1>
      <formula2>NaN</formula2>
    </dataValidation>
    <dataValidation type="whole" allowBlank="1" showInputMessage="1" showErrorMessage="1" sqref="AJ49">
      <formula1>0</formula1>
      <formula2>NaN</formula2>
    </dataValidation>
    <dataValidation type="whole" allowBlank="1" showInputMessage="1" showErrorMessage="1" sqref="AJ50">
      <formula1>0</formula1>
      <formula2>NaN</formula2>
    </dataValidation>
    <dataValidation type="whole" allowBlank="1" showInputMessage="1" showErrorMessage="1" sqref="AJ51">
      <formula1>0</formula1>
      <formula2>NaN</formula2>
    </dataValidation>
    <dataValidation type="whole" allowBlank="1" showInputMessage="1" showErrorMessage="1" sqref="AJ52">
      <formula1>0</formula1>
      <formula2>NaN</formula2>
    </dataValidation>
    <dataValidation type="whole" allowBlank="1" showInputMessage="1" showErrorMessage="1" sqref="AJ53">
      <formula1>0</formula1>
      <formula2>NaN</formula2>
    </dataValidation>
    <dataValidation type="whole" allowBlank="1" showInputMessage="1" showErrorMessage="1" sqref="AJ54">
      <formula1>0</formula1>
      <formula2>NaN</formula2>
    </dataValidation>
    <dataValidation type="whole" allowBlank="1" showInputMessage="1" showErrorMessage="1" sqref="AJ55">
      <formula1>0</formula1>
      <formula2>NaN</formula2>
    </dataValidation>
    <dataValidation type="whole" allowBlank="1" showInputMessage="1" showErrorMessage="1" sqref="AJ56">
      <formula1>0</formula1>
      <formula2>NaN</formula2>
    </dataValidation>
    <dataValidation type="whole" allowBlank="1" showInputMessage="1" showErrorMessage="1" sqref="AJ57">
      <formula1>0</formula1>
      <formula2>NaN</formula2>
    </dataValidation>
    <dataValidation type="whole" allowBlank="1" showInputMessage="1" showErrorMessage="1" sqref="AJ58">
      <formula1>0</formula1>
      <formula2>NaN</formula2>
    </dataValidation>
    <dataValidation type="whole" allowBlank="1" showInputMessage="1" showErrorMessage="1" sqref="AJ59">
      <formula1>0</formula1>
      <formula2>NaN</formula2>
    </dataValidation>
    <dataValidation type="whole" allowBlank="1" showInputMessage="1" showErrorMessage="1" sqref="AJ60">
      <formula1>0</formula1>
      <formula2>NaN</formula2>
    </dataValidation>
    <dataValidation type="whole" allowBlank="1" showInputMessage="1" showErrorMessage="1" sqref="AJ61">
      <formula1>0</formula1>
      <formula2>NaN</formula2>
    </dataValidation>
    <dataValidation type="whole" allowBlank="1" showInputMessage="1" showErrorMessage="1" sqref="AJ62">
      <formula1>0</formula1>
      <formula2>NaN</formula2>
    </dataValidation>
    <dataValidation type="whole" allowBlank="1" showInputMessage="1" showErrorMessage="1" sqref="AJ63">
      <formula1>0</formula1>
      <formula2>NaN</formula2>
    </dataValidation>
    <dataValidation type="whole" allowBlank="1" showInputMessage="1" showErrorMessage="1" sqref="AJ64">
      <formula1>0</formula1>
      <formula2>NaN</formula2>
    </dataValidation>
    <dataValidation type="whole" allowBlank="1" showInputMessage="1" showErrorMessage="1" sqref="AJ65">
      <formula1>0</formula1>
      <formula2>NaN</formula2>
    </dataValidation>
    <dataValidation type="whole" allowBlank="1" showInputMessage="1" showErrorMessage="1" sqref="AJ66">
      <formula1>0</formula1>
      <formula2>NaN</formula2>
    </dataValidation>
    <dataValidation type="whole" allowBlank="1" showInputMessage="1" showErrorMessage="1" sqref="AJ67">
      <formula1>0</formula1>
      <formula2>NaN</formula2>
    </dataValidation>
    <dataValidation type="whole" allowBlank="1" showInputMessage="1" showErrorMessage="1" sqref="AJ68">
      <formula1>0</formula1>
      <formula2>NaN</formula2>
    </dataValidation>
    <dataValidation type="whole" allowBlank="1" showInputMessage="1" showErrorMessage="1" sqref="AJ9">
      <formula1>0</formula1>
      <formula2>NaN</formula2>
    </dataValidation>
    <dataValidation type="whole" allowBlank="1" showInputMessage="1" showErrorMessage="1" sqref="AK10">
      <formula1>0</formula1>
      <formula2>NaN</formula2>
    </dataValidation>
    <dataValidation type="whole" allowBlank="1" showInputMessage="1" showErrorMessage="1" sqref="AK11">
      <formula1>0</formula1>
      <formula2>NaN</formula2>
    </dataValidation>
    <dataValidation type="whole" allowBlank="1" showInputMessage="1" showErrorMessage="1" sqref="AK12">
      <formula1>0</formula1>
      <formula2>NaN</formula2>
    </dataValidation>
    <dataValidation type="whole" allowBlank="1" showInputMessage="1" showErrorMessage="1" sqref="AK13">
      <formula1>0</formula1>
      <formula2>NaN</formula2>
    </dataValidation>
    <dataValidation type="whole" allowBlank="1" showInputMessage="1" showErrorMessage="1" sqref="AK14">
      <formula1>0</formula1>
      <formula2>NaN</formula2>
    </dataValidation>
    <dataValidation type="whole" allowBlank="1" showInputMessage="1" showErrorMessage="1" sqref="AK15">
      <formula1>0</formula1>
      <formula2>NaN</formula2>
    </dataValidation>
    <dataValidation type="whole" allowBlank="1" showInputMessage="1" showErrorMessage="1" sqref="AK16">
      <formula1>0</formula1>
      <formula2>NaN</formula2>
    </dataValidation>
    <dataValidation type="whole" allowBlank="1" showInputMessage="1" showErrorMessage="1" sqref="AK17">
      <formula1>0</formula1>
      <formula2>NaN</formula2>
    </dataValidation>
    <dataValidation type="whole" allowBlank="1" showInputMessage="1" showErrorMessage="1" sqref="AK18">
      <formula1>0</formula1>
      <formula2>NaN</formula2>
    </dataValidation>
    <dataValidation type="whole" allowBlank="1" showInputMessage="1" showErrorMessage="1" sqref="AK19">
      <formula1>0</formula1>
      <formula2>NaN</formula2>
    </dataValidation>
    <dataValidation type="whole" allowBlank="1" showInputMessage="1" showErrorMessage="1" sqref="AK20">
      <formula1>0</formula1>
      <formula2>NaN</formula2>
    </dataValidation>
    <dataValidation type="whole" allowBlank="1" showInputMessage="1" showErrorMessage="1" sqref="AK21">
      <formula1>0</formula1>
      <formula2>NaN</formula2>
    </dataValidation>
    <dataValidation type="whole" allowBlank="1" showInputMessage="1" showErrorMessage="1" sqref="AK22">
      <formula1>0</formula1>
      <formula2>NaN</formula2>
    </dataValidation>
    <dataValidation type="whole" allowBlank="1" showInputMessage="1" showErrorMessage="1" sqref="AK23">
      <formula1>0</formula1>
      <formula2>NaN</formula2>
    </dataValidation>
    <dataValidation type="whole" allowBlank="1" showInputMessage="1" showErrorMessage="1" sqref="AK24">
      <formula1>0</formula1>
      <formula2>NaN</formula2>
    </dataValidation>
    <dataValidation type="whole" allowBlank="1" showInputMessage="1" showErrorMessage="1" sqref="AK25">
      <formula1>0</formula1>
      <formula2>NaN</formula2>
    </dataValidation>
    <dataValidation type="whole" allowBlank="1" showInputMessage="1" showErrorMessage="1" sqref="AK26">
      <formula1>0</formula1>
      <formula2>NaN</formula2>
    </dataValidation>
    <dataValidation type="whole" allowBlank="1" showInputMessage="1" showErrorMessage="1" sqref="AK27">
      <formula1>0</formula1>
      <formula2>NaN</formula2>
    </dataValidation>
    <dataValidation type="whole" allowBlank="1" showInputMessage="1" showErrorMessage="1" sqref="AK28">
      <formula1>0</formula1>
      <formula2>NaN</formula2>
    </dataValidation>
    <dataValidation type="whole" allowBlank="1" showInputMessage="1" showErrorMessage="1" sqref="AK29">
      <formula1>0</formula1>
      <formula2>NaN</formula2>
    </dataValidation>
    <dataValidation type="whole" allowBlank="1" showInputMessage="1" showErrorMessage="1" sqref="AK30">
      <formula1>0</formula1>
      <formula2>NaN</formula2>
    </dataValidation>
    <dataValidation type="whole" allowBlank="1" showInputMessage="1" showErrorMessage="1" sqref="AK31">
      <formula1>0</formula1>
      <formula2>NaN</formula2>
    </dataValidation>
    <dataValidation type="whole" allowBlank="1" showInputMessage="1" showErrorMessage="1" sqref="AK32">
      <formula1>0</formula1>
      <formula2>NaN</formula2>
    </dataValidation>
    <dataValidation type="whole" allowBlank="1" showInputMessage="1" showErrorMessage="1" sqref="AK33">
      <formula1>0</formula1>
      <formula2>NaN</formula2>
    </dataValidation>
    <dataValidation type="whole" allowBlank="1" showInputMessage="1" showErrorMessage="1" sqref="AK34">
      <formula1>0</formula1>
      <formula2>NaN</formula2>
    </dataValidation>
    <dataValidation type="whole" allowBlank="1" showInputMessage="1" showErrorMessage="1" sqref="AK35">
      <formula1>0</formula1>
      <formula2>NaN</formula2>
    </dataValidation>
    <dataValidation type="whole" allowBlank="1" showInputMessage="1" showErrorMessage="1" sqref="AK36">
      <formula1>0</formula1>
      <formula2>NaN</formula2>
    </dataValidation>
    <dataValidation type="whole" allowBlank="1" showInputMessage="1" showErrorMessage="1" sqref="AK37">
      <formula1>0</formula1>
      <formula2>NaN</formula2>
    </dataValidation>
    <dataValidation type="whole" allowBlank="1" showInputMessage="1" showErrorMessage="1" sqref="AK38">
      <formula1>0</formula1>
      <formula2>NaN</formula2>
    </dataValidation>
    <dataValidation type="whole" allowBlank="1" showInputMessage="1" showErrorMessage="1" sqref="AK39">
      <formula1>0</formula1>
      <formula2>NaN</formula2>
    </dataValidation>
    <dataValidation type="whole" allowBlank="1" showInputMessage="1" showErrorMessage="1" sqref="AK40">
      <formula1>0</formula1>
      <formula2>NaN</formula2>
    </dataValidation>
    <dataValidation type="whole" allowBlank="1" showInputMessage="1" showErrorMessage="1" sqref="AK41">
      <formula1>0</formula1>
      <formula2>NaN</formula2>
    </dataValidation>
    <dataValidation type="whole" allowBlank="1" showInputMessage="1" showErrorMessage="1" sqref="AK42">
      <formula1>0</formula1>
      <formula2>NaN</formula2>
    </dataValidation>
    <dataValidation type="whole" allowBlank="1" showInputMessage="1" showErrorMessage="1" sqref="AK43">
      <formula1>0</formula1>
      <formula2>NaN</formula2>
    </dataValidation>
    <dataValidation type="whole" allowBlank="1" showInputMessage="1" showErrorMessage="1" sqref="AK44">
      <formula1>0</formula1>
      <formula2>NaN</formula2>
    </dataValidation>
    <dataValidation type="whole" allowBlank="1" showInputMessage="1" showErrorMessage="1" sqref="AK45">
      <formula1>0</formula1>
      <formula2>NaN</formula2>
    </dataValidation>
    <dataValidation type="whole" allowBlank="1" showInputMessage="1" showErrorMessage="1" sqref="AK46">
      <formula1>0</formula1>
      <formula2>NaN</formula2>
    </dataValidation>
    <dataValidation type="whole" allowBlank="1" showInputMessage="1" showErrorMessage="1" sqref="AK47">
      <formula1>0</formula1>
      <formula2>NaN</formula2>
    </dataValidation>
    <dataValidation type="whole" allowBlank="1" showInputMessage="1" showErrorMessage="1" sqref="AK48">
      <formula1>0</formula1>
      <formula2>NaN</formula2>
    </dataValidation>
    <dataValidation type="whole" allowBlank="1" showInputMessage="1" showErrorMessage="1" sqref="AK49">
      <formula1>0</formula1>
      <formula2>NaN</formula2>
    </dataValidation>
    <dataValidation type="whole" allowBlank="1" showInputMessage="1" showErrorMessage="1" sqref="AK50">
      <formula1>0</formula1>
      <formula2>NaN</formula2>
    </dataValidation>
    <dataValidation type="whole" allowBlank="1" showInputMessage="1" showErrorMessage="1" sqref="AK51">
      <formula1>0</formula1>
      <formula2>NaN</formula2>
    </dataValidation>
    <dataValidation type="whole" allowBlank="1" showInputMessage="1" showErrorMessage="1" sqref="AK52">
      <formula1>0</formula1>
      <formula2>NaN</formula2>
    </dataValidation>
    <dataValidation type="whole" allowBlank="1" showInputMessage="1" showErrorMessage="1" sqref="AK53">
      <formula1>0</formula1>
      <formula2>NaN</formula2>
    </dataValidation>
    <dataValidation type="whole" allowBlank="1" showInputMessage="1" showErrorMessage="1" sqref="AK54">
      <formula1>0</formula1>
      <formula2>NaN</formula2>
    </dataValidation>
    <dataValidation type="whole" allowBlank="1" showInputMessage="1" showErrorMessage="1" sqref="AK55">
      <formula1>0</formula1>
      <formula2>NaN</formula2>
    </dataValidation>
    <dataValidation type="whole" allowBlank="1" showInputMessage="1" showErrorMessage="1" sqref="AK56">
      <formula1>0</formula1>
      <formula2>NaN</formula2>
    </dataValidation>
    <dataValidation type="whole" allowBlank="1" showInputMessage="1" showErrorMessage="1" sqref="AK57">
      <formula1>0</formula1>
      <formula2>NaN</formula2>
    </dataValidation>
    <dataValidation type="whole" allowBlank="1" showInputMessage="1" showErrorMessage="1" sqref="AK58">
      <formula1>0</formula1>
      <formula2>NaN</formula2>
    </dataValidation>
    <dataValidation type="whole" allowBlank="1" showInputMessage="1" showErrorMessage="1" sqref="AK59">
      <formula1>0</formula1>
      <formula2>NaN</formula2>
    </dataValidation>
    <dataValidation type="whole" allowBlank="1" showInputMessage="1" showErrorMessage="1" sqref="AK60">
      <formula1>0</formula1>
      <formula2>NaN</formula2>
    </dataValidation>
    <dataValidation type="whole" allowBlank="1" showInputMessage="1" showErrorMessage="1" sqref="AK61">
      <formula1>0</formula1>
      <formula2>NaN</formula2>
    </dataValidation>
    <dataValidation type="whole" allowBlank="1" showInputMessage="1" showErrorMessage="1" sqref="AK62">
      <formula1>0</formula1>
      <formula2>NaN</formula2>
    </dataValidation>
    <dataValidation type="whole" allowBlank="1" showInputMessage="1" showErrorMessage="1" sqref="AK63">
      <formula1>0</formula1>
      <formula2>NaN</formula2>
    </dataValidation>
    <dataValidation type="whole" allowBlank="1" showInputMessage="1" showErrorMessage="1" sqref="AK64">
      <formula1>0</formula1>
      <formula2>NaN</formula2>
    </dataValidation>
    <dataValidation type="whole" allowBlank="1" showInputMessage="1" showErrorMessage="1" sqref="AK65">
      <formula1>0</formula1>
      <formula2>NaN</formula2>
    </dataValidation>
    <dataValidation type="whole" allowBlank="1" showInputMessage="1" showErrorMessage="1" sqref="AK66">
      <formula1>0</formula1>
      <formula2>NaN</formula2>
    </dataValidation>
    <dataValidation type="whole" allowBlank="1" showInputMessage="1" showErrorMessage="1" sqref="AK67">
      <formula1>0</formula1>
      <formula2>NaN</formula2>
    </dataValidation>
    <dataValidation type="whole" allowBlank="1" showInputMessage="1" showErrorMessage="1" sqref="AK68">
      <formula1>0</formula1>
      <formula2>NaN</formula2>
    </dataValidation>
    <dataValidation type="whole" allowBlank="1" showInputMessage="1" showErrorMessage="1" sqref="AK9">
      <formula1>0</formula1>
      <formula2>NaN</formula2>
    </dataValidation>
    <dataValidation type="whole" allowBlank="1" showInputMessage="1" showErrorMessage="1" sqref="AL10">
      <formula1>0</formula1>
      <formula2>NaN</formula2>
    </dataValidation>
    <dataValidation type="whole" allowBlank="1" showInputMessage="1" showErrorMessage="1" sqref="AL11">
      <formula1>0</formula1>
      <formula2>NaN</formula2>
    </dataValidation>
    <dataValidation type="whole" allowBlank="1" showInputMessage="1" showErrorMessage="1" sqref="AL12">
      <formula1>0</formula1>
      <formula2>NaN</formula2>
    </dataValidation>
    <dataValidation type="whole" allowBlank="1" showInputMessage="1" showErrorMessage="1" sqref="AL13">
      <formula1>0</formula1>
      <formula2>NaN</formula2>
    </dataValidation>
    <dataValidation type="whole" allowBlank="1" showInputMessage="1" showErrorMessage="1" sqref="AL14">
      <formula1>0</formula1>
      <formula2>NaN</formula2>
    </dataValidation>
    <dataValidation type="whole" allowBlank="1" showInputMessage="1" showErrorMessage="1" sqref="AL15">
      <formula1>0</formula1>
      <formula2>NaN</formula2>
    </dataValidation>
    <dataValidation type="whole" allowBlank="1" showInputMessage="1" showErrorMessage="1" sqref="AL16">
      <formula1>0</formula1>
      <formula2>NaN</formula2>
    </dataValidation>
    <dataValidation type="whole" allowBlank="1" showInputMessage="1" showErrorMessage="1" sqref="AL17">
      <formula1>0</formula1>
      <formula2>NaN</formula2>
    </dataValidation>
    <dataValidation type="whole" allowBlank="1" showInputMessage="1" showErrorMessage="1" sqref="AL18">
      <formula1>0</formula1>
      <formula2>NaN</formula2>
    </dataValidation>
    <dataValidation type="whole" allowBlank="1" showInputMessage="1" showErrorMessage="1" sqref="AL19">
      <formula1>0</formula1>
      <formula2>NaN</formula2>
    </dataValidation>
    <dataValidation type="whole" allowBlank="1" showInputMessage="1" showErrorMessage="1" sqref="AL20">
      <formula1>0</formula1>
      <formula2>NaN</formula2>
    </dataValidation>
    <dataValidation type="whole" allowBlank="1" showInputMessage="1" showErrorMessage="1" sqref="AL21">
      <formula1>0</formula1>
      <formula2>NaN</formula2>
    </dataValidation>
    <dataValidation type="whole" allowBlank="1" showInputMessage="1" showErrorMessage="1" sqref="AL22">
      <formula1>0</formula1>
      <formula2>NaN</formula2>
    </dataValidation>
    <dataValidation type="whole" allowBlank="1" showInputMessage="1" showErrorMessage="1" sqref="AL23">
      <formula1>0</formula1>
      <formula2>NaN</formula2>
    </dataValidation>
    <dataValidation type="whole" allowBlank="1" showInputMessage="1" showErrorMessage="1" sqref="AL24">
      <formula1>0</formula1>
      <formula2>NaN</formula2>
    </dataValidation>
    <dataValidation type="whole" allowBlank="1" showInputMessage="1" showErrorMessage="1" sqref="AL25">
      <formula1>0</formula1>
      <formula2>NaN</formula2>
    </dataValidation>
    <dataValidation type="whole" allowBlank="1" showInputMessage="1" showErrorMessage="1" sqref="AL26">
      <formula1>0</formula1>
      <formula2>NaN</formula2>
    </dataValidation>
    <dataValidation type="whole" allowBlank="1" showInputMessage="1" showErrorMessage="1" sqref="AL27">
      <formula1>0</formula1>
      <formula2>NaN</formula2>
    </dataValidation>
    <dataValidation type="whole" allowBlank="1" showInputMessage="1" showErrorMessage="1" sqref="AL28">
      <formula1>0</formula1>
      <formula2>NaN</formula2>
    </dataValidation>
    <dataValidation type="whole" allowBlank="1" showInputMessage="1" showErrorMessage="1" sqref="AL29">
      <formula1>0</formula1>
      <formula2>NaN</formula2>
    </dataValidation>
    <dataValidation type="whole" allowBlank="1" showInputMessage="1" showErrorMessage="1" sqref="AL30">
      <formula1>0</formula1>
      <formula2>NaN</formula2>
    </dataValidation>
    <dataValidation type="whole" allowBlank="1" showInputMessage="1" showErrorMessage="1" sqref="AL31">
      <formula1>0</formula1>
      <formula2>NaN</formula2>
    </dataValidation>
    <dataValidation type="whole" allowBlank="1" showInputMessage="1" showErrorMessage="1" sqref="AL32">
      <formula1>0</formula1>
      <formula2>NaN</formula2>
    </dataValidation>
    <dataValidation type="whole" allowBlank="1" showInputMessage="1" showErrorMessage="1" sqref="AL33">
      <formula1>0</formula1>
      <formula2>NaN</formula2>
    </dataValidation>
    <dataValidation type="whole" allowBlank="1" showInputMessage="1" showErrorMessage="1" sqref="AL34">
      <formula1>0</formula1>
      <formula2>NaN</formula2>
    </dataValidation>
    <dataValidation type="whole" allowBlank="1" showInputMessage="1" showErrorMessage="1" sqref="AL35">
      <formula1>0</formula1>
      <formula2>NaN</formula2>
    </dataValidation>
    <dataValidation type="whole" allowBlank="1" showInputMessage="1" showErrorMessage="1" sqref="AL36">
      <formula1>0</formula1>
      <formula2>NaN</formula2>
    </dataValidation>
    <dataValidation type="whole" allowBlank="1" showInputMessage="1" showErrorMessage="1" sqref="AL37">
      <formula1>0</formula1>
      <formula2>NaN</formula2>
    </dataValidation>
    <dataValidation type="whole" allowBlank="1" showInputMessage="1" showErrorMessage="1" sqref="AL38">
      <formula1>0</formula1>
      <formula2>NaN</formula2>
    </dataValidation>
    <dataValidation type="whole" allowBlank="1" showInputMessage="1" showErrorMessage="1" sqref="AL39">
      <formula1>0</formula1>
      <formula2>NaN</formula2>
    </dataValidation>
    <dataValidation type="whole" allowBlank="1" showInputMessage="1" showErrorMessage="1" sqref="AL40">
      <formula1>0</formula1>
      <formula2>NaN</formula2>
    </dataValidation>
    <dataValidation type="whole" allowBlank="1" showInputMessage="1" showErrorMessage="1" sqref="AL41">
      <formula1>0</formula1>
      <formula2>NaN</formula2>
    </dataValidation>
    <dataValidation type="whole" allowBlank="1" showInputMessage="1" showErrorMessage="1" sqref="AL42">
      <formula1>0</formula1>
      <formula2>NaN</formula2>
    </dataValidation>
    <dataValidation type="whole" allowBlank="1" showInputMessage="1" showErrorMessage="1" sqref="AL43">
      <formula1>0</formula1>
      <formula2>NaN</formula2>
    </dataValidation>
    <dataValidation type="whole" allowBlank="1" showInputMessage="1" showErrorMessage="1" sqref="AL44">
      <formula1>0</formula1>
      <formula2>NaN</formula2>
    </dataValidation>
    <dataValidation type="whole" allowBlank="1" showInputMessage="1" showErrorMessage="1" sqref="AL45">
      <formula1>0</formula1>
      <formula2>NaN</formula2>
    </dataValidation>
    <dataValidation type="whole" allowBlank="1" showInputMessage="1" showErrorMessage="1" sqref="AL46">
      <formula1>0</formula1>
      <formula2>NaN</formula2>
    </dataValidation>
    <dataValidation type="whole" allowBlank="1" showInputMessage="1" showErrorMessage="1" sqref="AL47">
      <formula1>0</formula1>
      <formula2>NaN</formula2>
    </dataValidation>
    <dataValidation type="whole" allowBlank="1" showInputMessage="1" showErrorMessage="1" sqref="AL48">
      <formula1>0</formula1>
      <formula2>NaN</formula2>
    </dataValidation>
    <dataValidation type="whole" allowBlank="1" showInputMessage="1" showErrorMessage="1" sqref="AL49">
      <formula1>0</formula1>
      <formula2>NaN</formula2>
    </dataValidation>
    <dataValidation type="whole" allowBlank="1" showInputMessage="1" showErrorMessage="1" sqref="AL50">
      <formula1>0</formula1>
      <formula2>NaN</formula2>
    </dataValidation>
    <dataValidation type="whole" allowBlank="1" showInputMessage="1" showErrorMessage="1" sqref="AL51">
      <formula1>0</formula1>
      <formula2>NaN</formula2>
    </dataValidation>
    <dataValidation type="whole" allowBlank="1" showInputMessage="1" showErrorMessage="1" sqref="AL52">
      <formula1>0</formula1>
      <formula2>NaN</formula2>
    </dataValidation>
    <dataValidation type="whole" allowBlank="1" showInputMessage="1" showErrorMessage="1" sqref="AL53">
      <formula1>0</formula1>
      <formula2>NaN</formula2>
    </dataValidation>
    <dataValidation type="whole" allowBlank="1" showInputMessage="1" showErrorMessage="1" sqref="AL54">
      <formula1>0</formula1>
      <formula2>NaN</formula2>
    </dataValidation>
    <dataValidation type="whole" allowBlank="1" showInputMessage="1" showErrorMessage="1" sqref="AL55">
      <formula1>0</formula1>
      <formula2>NaN</formula2>
    </dataValidation>
    <dataValidation type="whole" allowBlank="1" showInputMessage="1" showErrorMessage="1" sqref="AL56">
      <formula1>0</formula1>
      <formula2>NaN</formula2>
    </dataValidation>
    <dataValidation type="whole" allowBlank="1" showInputMessage="1" showErrorMessage="1" sqref="AL57">
      <formula1>0</formula1>
      <formula2>NaN</formula2>
    </dataValidation>
    <dataValidation type="whole" allowBlank="1" showInputMessage="1" showErrorMessage="1" sqref="AL58">
      <formula1>0</formula1>
      <formula2>NaN</formula2>
    </dataValidation>
    <dataValidation type="whole" allowBlank="1" showInputMessage="1" showErrorMessage="1" sqref="AL59">
      <formula1>0</formula1>
      <formula2>NaN</formula2>
    </dataValidation>
    <dataValidation type="whole" allowBlank="1" showInputMessage="1" showErrorMessage="1" sqref="AL60">
      <formula1>0</formula1>
      <formula2>NaN</formula2>
    </dataValidation>
    <dataValidation type="whole" allowBlank="1" showInputMessage="1" showErrorMessage="1" sqref="AL61">
      <formula1>0</formula1>
      <formula2>NaN</formula2>
    </dataValidation>
    <dataValidation type="whole" allowBlank="1" showInputMessage="1" showErrorMessage="1" sqref="AL62">
      <formula1>0</formula1>
      <formula2>NaN</formula2>
    </dataValidation>
    <dataValidation type="whole" allowBlank="1" showInputMessage="1" showErrorMessage="1" sqref="AL63">
      <formula1>0</formula1>
      <formula2>NaN</formula2>
    </dataValidation>
    <dataValidation type="whole" allowBlank="1" showInputMessage="1" showErrorMessage="1" sqref="AL64">
      <formula1>0</formula1>
      <formula2>NaN</formula2>
    </dataValidation>
    <dataValidation type="whole" allowBlank="1" showInputMessage="1" showErrorMessage="1" sqref="AL65">
      <formula1>0</formula1>
      <formula2>NaN</formula2>
    </dataValidation>
    <dataValidation type="whole" allowBlank="1" showInputMessage="1" showErrorMessage="1" sqref="AL66">
      <formula1>0</formula1>
      <formula2>NaN</formula2>
    </dataValidation>
    <dataValidation type="whole" allowBlank="1" showInputMessage="1" showErrorMessage="1" sqref="AL67">
      <formula1>0</formula1>
      <formula2>NaN</formula2>
    </dataValidation>
    <dataValidation type="whole" allowBlank="1" showInputMessage="1" showErrorMessage="1" sqref="AL68">
      <formula1>0</formula1>
      <formula2>NaN</formula2>
    </dataValidation>
    <dataValidation type="whole" allowBlank="1" showInputMessage="1" showErrorMessage="1" sqref="AL9">
      <formula1>0</formula1>
      <formula2>NaN</formula2>
    </dataValidation>
    <dataValidation type="whole" allowBlank="1" showInputMessage="1" showErrorMessage="1" sqref="AM10">
      <formula1>0</formula1>
      <formula2>NaN</formula2>
    </dataValidation>
    <dataValidation type="whole" allowBlank="1" showInputMessage="1" showErrorMessage="1" sqref="AM11">
      <formula1>0</formula1>
      <formula2>NaN</formula2>
    </dataValidation>
    <dataValidation type="whole" allowBlank="1" showInputMessage="1" showErrorMessage="1" sqref="AM12">
      <formula1>0</formula1>
      <formula2>NaN</formula2>
    </dataValidation>
    <dataValidation type="whole" allowBlank="1" showInputMessage="1" showErrorMessage="1" sqref="AM13">
      <formula1>0</formula1>
      <formula2>NaN</formula2>
    </dataValidation>
    <dataValidation type="whole" allowBlank="1" showInputMessage="1" showErrorMessage="1" sqref="AM14">
      <formula1>0</formula1>
      <formula2>NaN</formula2>
    </dataValidation>
    <dataValidation type="whole" allowBlank="1" showInputMessage="1" showErrorMessage="1" sqref="AM15">
      <formula1>0</formula1>
      <formula2>NaN</formula2>
    </dataValidation>
    <dataValidation type="whole" allowBlank="1" showInputMessage="1" showErrorMessage="1" sqref="AM16">
      <formula1>0</formula1>
      <formula2>NaN</formula2>
    </dataValidation>
    <dataValidation type="whole" allowBlank="1" showInputMessage="1" showErrorMessage="1" sqref="AM17">
      <formula1>0</formula1>
      <formula2>NaN</formula2>
    </dataValidation>
    <dataValidation type="whole" allowBlank="1" showInputMessage="1" showErrorMessage="1" sqref="AM18">
      <formula1>0</formula1>
      <formula2>NaN</formula2>
    </dataValidation>
    <dataValidation type="whole" allowBlank="1" showInputMessage="1" showErrorMessage="1" sqref="AM19">
      <formula1>0</formula1>
      <formula2>NaN</formula2>
    </dataValidation>
    <dataValidation type="whole" allowBlank="1" showInputMessage="1" showErrorMessage="1" sqref="AM20">
      <formula1>0</formula1>
      <formula2>NaN</formula2>
    </dataValidation>
    <dataValidation type="whole" allowBlank="1" showInputMessage="1" showErrorMessage="1" sqref="AM21">
      <formula1>0</formula1>
      <formula2>NaN</formula2>
    </dataValidation>
    <dataValidation type="whole" allowBlank="1" showInputMessage="1" showErrorMessage="1" sqref="AM22">
      <formula1>0</formula1>
      <formula2>NaN</formula2>
    </dataValidation>
    <dataValidation type="whole" allowBlank="1" showInputMessage="1" showErrorMessage="1" sqref="AM23">
      <formula1>0</formula1>
      <formula2>NaN</formula2>
    </dataValidation>
    <dataValidation type="whole" allowBlank="1" showInputMessage="1" showErrorMessage="1" sqref="AM24">
      <formula1>0</formula1>
      <formula2>NaN</formula2>
    </dataValidation>
    <dataValidation type="whole" allowBlank="1" showInputMessage="1" showErrorMessage="1" sqref="AM25">
      <formula1>0</formula1>
      <formula2>NaN</formula2>
    </dataValidation>
    <dataValidation type="whole" allowBlank="1" showInputMessage="1" showErrorMessage="1" sqref="AM26">
      <formula1>0</formula1>
      <formula2>NaN</formula2>
    </dataValidation>
    <dataValidation type="whole" allowBlank="1" showInputMessage="1" showErrorMessage="1" sqref="AM27">
      <formula1>0</formula1>
      <formula2>NaN</formula2>
    </dataValidation>
    <dataValidation type="whole" allowBlank="1" showInputMessage="1" showErrorMessage="1" sqref="AM28">
      <formula1>0</formula1>
      <formula2>NaN</formula2>
    </dataValidation>
    <dataValidation type="whole" allowBlank="1" showInputMessage="1" showErrorMessage="1" sqref="AM29">
      <formula1>0</formula1>
      <formula2>NaN</formula2>
    </dataValidation>
    <dataValidation type="whole" allowBlank="1" showInputMessage="1" showErrorMessage="1" sqref="AM30">
      <formula1>0</formula1>
      <formula2>NaN</formula2>
    </dataValidation>
    <dataValidation type="whole" allowBlank="1" showInputMessage="1" showErrorMessage="1" sqref="AM31">
      <formula1>0</formula1>
      <formula2>NaN</formula2>
    </dataValidation>
    <dataValidation type="whole" allowBlank="1" showInputMessage="1" showErrorMessage="1" sqref="AM32">
      <formula1>0</formula1>
      <formula2>NaN</formula2>
    </dataValidation>
    <dataValidation type="whole" allowBlank="1" showInputMessage="1" showErrorMessage="1" sqref="AM33">
      <formula1>0</formula1>
      <formula2>NaN</formula2>
    </dataValidation>
    <dataValidation type="whole" allowBlank="1" showInputMessage="1" showErrorMessage="1" sqref="AM34">
      <formula1>0</formula1>
      <formula2>NaN</formula2>
    </dataValidation>
    <dataValidation type="whole" allowBlank="1" showInputMessage="1" showErrorMessage="1" sqref="AM35">
      <formula1>0</formula1>
      <formula2>NaN</formula2>
    </dataValidation>
    <dataValidation type="whole" allowBlank="1" showInputMessage="1" showErrorMessage="1" sqref="AM36">
      <formula1>0</formula1>
      <formula2>NaN</formula2>
    </dataValidation>
    <dataValidation type="whole" allowBlank="1" showInputMessage="1" showErrorMessage="1" sqref="AM37">
      <formula1>0</formula1>
      <formula2>NaN</formula2>
    </dataValidation>
    <dataValidation type="whole" allowBlank="1" showInputMessage="1" showErrorMessage="1" sqref="AM38">
      <formula1>0</formula1>
      <formula2>NaN</formula2>
    </dataValidation>
    <dataValidation type="whole" allowBlank="1" showInputMessage="1" showErrorMessage="1" sqref="AM39">
      <formula1>0</formula1>
      <formula2>NaN</formula2>
    </dataValidation>
    <dataValidation type="whole" allowBlank="1" showInputMessage="1" showErrorMessage="1" sqref="AM40">
      <formula1>0</formula1>
      <formula2>NaN</formula2>
    </dataValidation>
    <dataValidation type="whole" allowBlank="1" showInputMessage="1" showErrorMessage="1" sqref="AM41">
      <formula1>0</formula1>
      <formula2>NaN</formula2>
    </dataValidation>
    <dataValidation type="whole" allowBlank="1" showInputMessage="1" showErrorMessage="1" sqref="AM42">
      <formula1>0</formula1>
      <formula2>NaN</formula2>
    </dataValidation>
    <dataValidation type="whole" allowBlank="1" showInputMessage="1" showErrorMessage="1" sqref="AM43">
      <formula1>0</formula1>
      <formula2>NaN</formula2>
    </dataValidation>
    <dataValidation type="whole" allowBlank="1" showInputMessage="1" showErrorMessage="1" sqref="AM44">
      <formula1>0</formula1>
      <formula2>NaN</formula2>
    </dataValidation>
    <dataValidation type="whole" allowBlank="1" showInputMessage="1" showErrorMessage="1" sqref="AM45">
      <formula1>0</formula1>
      <formula2>NaN</formula2>
    </dataValidation>
    <dataValidation type="whole" allowBlank="1" showInputMessage="1" showErrorMessage="1" sqref="AM46">
      <formula1>0</formula1>
      <formula2>NaN</formula2>
    </dataValidation>
    <dataValidation type="whole" allowBlank="1" showInputMessage="1" showErrorMessage="1" sqref="AM47">
      <formula1>0</formula1>
      <formula2>NaN</formula2>
    </dataValidation>
    <dataValidation type="whole" allowBlank="1" showInputMessage="1" showErrorMessage="1" sqref="AM48">
      <formula1>0</formula1>
      <formula2>NaN</formula2>
    </dataValidation>
    <dataValidation type="whole" allowBlank="1" showInputMessage="1" showErrorMessage="1" sqref="AM49">
      <formula1>0</formula1>
      <formula2>NaN</formula2>
    </dataValidation>
    <dataValidation type="whole" allowBlank="1" showInputMessage="1" showErrorMessage="1" sqref="AM50">
      <formula1>0</formula1>
      <formula2>NaN</formula2>
    </dataValidation>
    <dataValidation type="whole" allowBlank="1" showInputMessage="1" showErrorMessage="1" sqref="AM51">
      <formula1>0</formula1>
      <formula2>NaN</formula2>
    </dataValidation>
    <dataValidation type="whole" allowBlank="1" showInputMessage="1" showErrorMessage="1" sqref="AM52">
      <formula1>0</formula1>
      <formula2>NaN</formula2>
    </dataValidation>
    <dataValidation type="whole" allowBlank="1" showInputMessage="1" showErrorMessage="1" sqref="AM53">
      <formula1>0</formula1>
      <formula2>NaN</formula2>
    </dataValidation>
    <dataValidation type="whole" allowBlank="1" showInputMessage="1" showErrorMessage="1" sqref="AM54">
      <formula1>0</formula1>
      <formula2>NaN</formula2>
    </dataValidation>
    <dataValidation type="whole" allowBlank="1" showInputMessage="1" showErrorMessage="1" sqref="AM55">
      <formula1>0</formula1>
      <formula2>NaN</formula2>
    </dataValidation>
    <dataValidation type="whole" allowBlank="1" showInputMessage="1" showErrorMessage="1" sqref="AM56">
      <formula1>0</formula1>
      <formula2>NaN</formula2>
    </dataValidation>
    <dataValidation type="whole" allowBlank="1" showInputMessage="1" showErrorMessage="1" sqref="AM57">
      <formula1>0</formula1>
      <formula2>NaN</formula2>
    </dataValidation>
    <dataValidation type="whole" allowBlank="1" showInputMessage="1" showErrorMessage="1" sqref="AM58">
      <formula1>0</formula1>
      <formula2>NaN</formula2>
    </dataValidation>
    <dataValidation type="whole" allowBlank="1" showInputMessage="1" showErrorMessage="1" sqref="AM59">
      <formula1>0</formula1>
      <formula2>NaN</formula2>
    </dataValidation>
    <dataValidation type="whole" allowBlank="1" showInputMessage="1" showErrorMessage="1" sqref="AM60">
      <formula1>0</formula1>
      <formula2>NaN</formula2>
    </dataValidation>
    <dataValidation type="whole" allowBlank="1" showInputMessage="1" showErrorMessage="1" sqref="AM61">
      <formula1>0</formula1>
      <formula2>NaN</formula2>
    </dataValidation>
    <dataValidation type="whole" allowBlank="1" showInputMessage="1" showErrorMessage="1" sqref="AM62">
      <formula1>0</formula1>
      <formula2>NaN</formula2>
    </dataValidation>
    <dataValidation type="whole" allowBlank="1" showInputMessage="1" showErrorMessage="1" sqref="AM63">
      <formula1>0</formula1>
      <formula2>NaN</formula2>
    </dataValidation>
    <dataValidation type="whole" allowBlank="1" showInputMessage="1" showErrorMessage="1" sqref="AM64">
      <formula1>0</formula1>
      <formula2>NaN</formula2>
    </dataValidation>
    <dataValidation type="whole" allowBlank="1" showInputMessage="1" showErrorMessage="1" sqref="AM65">
      <formula1>0</formula1>
      <formula2>NaN</formula2>
    </dataValidation>
    <dataValidation type="whole" allowBlank="1" showInputMessage="1" showErrorMessage="1" sqref="AM66">
      <formula1>0</formula1>
      <formula2>NaN</formula2>
    </dataValidation>
    <dataValidation type="whole" allowBlank="1" showInputMessage="1" showErrorMessage="1" sqref="AM67">
      <formula1>0</formula1>
      <formula2>NaN</formula2>
    </dataValidation>
    <dataValidation type="whole" allowBlank="1" showInputMessage="1" showErrorMessage="1" sqref="AM68">
      <formula1>0</formula1>
      <formula2>NaN</formula2>
    </dataValidation>
    <dataValidation type="whole" allowBlank="1" showInputMessage="1" showErrorMessage="1" sqref="AM9">
      <formula1>0</formula1>
      <formula2>NaN</formula2>
    </dataValidation>
    <dataValidation type="whole" allowBlank="1" showInputMessage="1" showErrorMessage="1" sqref="AN10">
      <formula1>0</formula1>
      <formula2>NaN</formula2>
    </dataValidation>
    <dataValidation type="whole" allowBlank="1" showInputMessage="1" showErrorMessage="1" sqref="AN11">
      <formula1>0</formula1>
      <formula2>NaN</formula2>
    </dataValidation>
    <dataValidation type="whole" allowBlank="1" showInputMessage="1" showErrorMessage="1" sqref="AN12">
      <formula1>0</formula1>
      <formula2>NaN</formula2>
    </dataValidation>
    <dataValidation type="whole" allowBlank="1" showInputMessage="1" showErrorMessage="1" sqref="AN13">
      <formula1>0</formula1>
      <formula2>NaN</formula2>
    </dataValidation>
    <dataValidation type="whole" allowBlank="1" showInputMessage="1" showErrorMessage="1" sqref="AN14">
      <formula1>0</formula1>
      <formula2>NaN</formula2>
    </dataValidation>
    <dataValidation type="whole" allowBlank="1" showInputMessage="1" showErrorMessage="1" sqref="AN15">
      <formula1>0</formula1>
      <formula2>NaN</formula2>
    </dataValidation>
    <dataValidation type="whole" allowBlank="1" showInputMessage="1" showErrorMessage="1" sqref="AN16">
      <formula1>0</formula1>
      <formula2>NaN</formula2>
    </dataValidation>
    <dataValidation type="whole" allowBlank="1" showInputMessage="1" showErrorMessage="1" sqref="AN17">
      <formula1>0</formula1>
      <formula2>NaN</formula2>
    </dataValidation>
    <dataValidation type="whole" allowBlank="1" showInputMessage="1" showErrorMessage="1" sqref="AN18">
      <formula1>0</formula1>
      <formula2>NaN</formula2>
    </dataValidation>
    <dataValidation type="whole" allowBlank="1" showInputMessage="1" showErrorMessage="1" sqref="AN19">
      <formula1>0</formula1>
      <formula2>NaN</formula2>
    </dataValidation>
    <dataValidation type="whole" allowBlank="1" showInputMessage="1" showErrorMessage="1" sqref="AN20">
      <formula1>0</formula1>
      <formula2>NaN</formula2>
    </dataValidation>
    <dataValidation type="whole" allowBlank="1" showInputMessage="1" showErrorMessage="1" sqref="AN21">
      <formula1>0</formula1>
      <formula2>NaN</formula2>
    </dataValidation>
    <dataValidation type="whole" allowBlank="1" showInputMessage="1" showErrorMessage="1" sqref="AN22">
      <formula1>0</formula1>
      <formula2>NaN</formula2>
    </dataValidation>
    <dataValidation type="whole" allowBlank="1" showInputMessage="1" showErrorMessage="1" sqref="AN23">
      <formula1>0</formula1>
      <formula2>NaN</formula2>
    </dataValidation>
    <dataValidation type="whole" allowBlank="1" showInputMessage="1" showErrorMessage="1" sqref="AN24">
      <formula1>0</formula1>
      <formula2>NaN</formula2>
    </dataValidation>
    <dataValidation type="whole" allowBlank="1" showInputMessage="1" showErrorMessage="1" sqref="AN25">
      <formula1>0</formula1>
      <formula2>NaN</formula2>
    </dataValidation>
    <dataValidation type="whole" allowBlank="1" showInputMessage="1" showErrorMessage="1" sqref="AN26">
      <formula1>0</formula1>
      <formula2>NaN</formula2>
    </dataValidation>
    <dataValidation type="whole" allowBlank="1" showInputMessage="1" showErrorMessage="1" sqref="AN27">
      <formula1>0</formula1>
      <formula2>NaN</formula2>
    </dataValidation>
    <dataValidation type="whole" allowBlank="1" showInputMessage="1" showErrorMessage="1" sqref="AN28">
      <formula1>0</formula1>
      <formula2>NaN</formula2>
    </dataValidation>
    <dataValidation type="whole" allowBlank="1" showInputMessage="1" showErrorMessage="1" sqref="AN29">
      <formula1>0</formula1>
      <formula2>NaN</formula2>
    </dataValidation>
    <dataValidation type="whole" allowBlank="1" showInputMessage="1" showErrorMessage="1" sqref="AN30">
      <formula1>0</formula1>
      <formula2>NaN</formula2>
    </dataValidation>
    <dataValidation type="whole" allowBlank="1" showInputMessage="1" showErrorMessage="1" sqref="AN31">
      <formula1>0</formula1>
      <formula2>NaN</formula2>
    </dataValidation>
    <dataValidation type="whole" allowBlank="1" showInputMessage="1" showErrorMessage="1" sqref="AN32">
      <formula1>0</formula1>
      <formula2>NaN</formula2>
    </dataValidation>
    <dataValidation type="whole" allowBlank="1" showInputMessage="1" showErrorMessage="1" sqref="AN33">
      <formula1>0</formula1>
      <formula2>NaN</formula2>
    </dataValidation>
    <dataValidation type="whole" allowBlank="1" showInputMessage="1" showErrorMessage="1" sqref="AN34">
      <formula1>0</formula1>
      <formula2>NaN</formula2>
    </dataValidation>
    <dataValidation type="whole" allowBlank="1" showInputMessage="1" showErrorMessage="1" sqref="AN35">
      <formula1>0</formula1>
      <formula2>NaN</formula2>
    </dataValidation>
    <dataValidation type="whole" allowBlank="1" showInputMessage="1" showErrorMessage="1" sqref="AN36">
      <formula1>0</formula1>
      <formula2>NaN</formula2>
    </dataValidation>
    <dataValidation type="whole" allowBlank="1" showInputMessage="1" showErrorMessage="1" sqref="AN37">
      <formula1>0</formula1>
      <formula2>NaN</formula2>
    </dataValidation>
    <dataValidation type="whole" allowBlank="1" showInputMessage="1" showErrorMessage="1" sqref="AN38">
      <formula1>0</formula1>
      <formula2>NaN</formula2>
    </dataValidation>
    <dataValidation type="whole" allowBlank="1" showInputMessage="1" showErrorMessage="1" sqref="AN39">
      <formula1>0</formula1>
      <formula2>NaN</formula2>
    </dataValidation>
    <dataValidation type="whole" allowBlank="1" showInputMessage="1" showErrorMessage="1" sqref="AN40">
      <formula1>0</formula1>
      <formula2>NaN</formula2>
    </dataValidation>
    <dataValidation type="whole" allowBlank="1" showInputMessage="1" showErrorMessage="1" sqref="AN41">
      <formula1>0</formula1>
      <formula2>NaN</formula2>
    </dataValidation>
    <dataValidation type="whole" allowBlank="1" showInputMessage="1" showErrorMessage="1" sqref="AN42">
      <formula1>0</formula1>
      <formula2>NaN</formula2>
    </dataValidation>
    <dataValidation type="whole" allowBlank="1" showInputMessage="1" showErrorMessage="1" sqref="AN43">
      <formula1>0</formula1>
      <formula2>NaN</formula2>
    </dataValidation>
    <dataValidation type="whole" allowBlank="1" showInputMessage="1" showErrorMessage="1" sqref="AN44">
      <formula1>0</formula1>
      <formula2>NaN</formula2>
    </dataValidation>
    <dataValidation type="whole" allowBlank="1" showInputMessage="1" showErrorMessage="1" sqref="AN45">
      <formula1>0</formula1>
      <formula2>NaN</formula2>
    </dataValidation>
    <dataValidation type="whole" allowBlank="1" showInputMessage="1" showErrorMessage="1" sqref="AN46">
      <formula1>0</formula1>
      <formula2>NaN</formula2>
    </dataValidation>
    <dataValidation type="whole" allowBlank="1" showInputMessage="1" showErrorMessage="1" sqref="AN47">
      <formula1>0</formula1>
      <formula2>NaN</formula2>
    </dataValidation>
    <dataValidation type="whole" allowBlank="1" showInputMessage="1" showErrorMessage="1" sqref="AN48">
      <formula1>0</formula1>
      <formula2>NaN</formula2>
    </dataValidation>
    <dataValidation type="whole" allowBlank="1" showInputMessage="1" showErrorMessage="1" sqref="AN49">
      <formula1>0</formula1>
      <formula2>NaN</formula2>
    </dataValidation>
    <dataValidation type="whole" allowBlank="1" showInputMessage="1" showErrorMessage="1" sqref="AN50">
      <formula1>0</formula1>
      <formula2>NaN</formula2>
    </dataValidation>
    <dataValidation type="whole" allowBlank="1" showInputMessage="1" showErrorMessage="1" sqref="AN51">
      <formula1>0</formula1>
      <formula2>NaN</formula2>
    </dataValidation>
    <dataValidation type="whole" allowBlank="1" showInputMessage="1" showErrorMessage="1" sqref="AN52">
      <formula1>0</formula1>
      <formula2>NaN</formula2>
    </dataValidation>
    <dataValidation type="whole" allowBlank="1" showInputMessage="1" showErrorMessage="1" sqref="AN53">
      <formula1>0</formula1>
      <formula2>NaN</formula2>
    </dataValidation>
    <dataValidation type="whole" allowBlank="1" showInputMessage="1" showErrorMessage="1" sqref="AN54">
      <formula1>0</formula1>
      <formula2>NaN</formula2>
    </dataValidation>
    <dataValidation type="whole" allowBlank="1" showInputMessage="1" showErrorMessage="1" sqref="AN55">
      <formula1>0</formula1>
      <formula2>NaN</formula2>
    </dataValidation>
    <dataValidation type="whole" allowBlank="1" showInputMessage="1" showErrorMessage="1" sqref="AN56">
      <formula1>0</formula1>
      <formula2>NaN</formula2>
    </dataValidation>
    <dataValidation type="whole" allowBlank="1" showInputMessage="1" showErrorMessage="1" sqref="AN57">
      <formula1>0</formula1>
      <formula2>NaN</formula2>
    </dataValidation>
    <dataValidation type="whole" allowBlank="1" showInputMessage="1" showErrorMessage="1" sqref="AN58">
      <formula1>0</formula1>
      <formula2>NaN</formula2>
    </dataValidation>
    <dataValidation type="whole" allowBlank="1" showInputMessage="1" showErrorMessage="1" sqref="AN59">
      <formula1>0</formula1>
      <formula2>NaN</formula2>
    </dataValidation>
    <dataValidation type="whole" allowBlank="1" showInputMessage="1" showErrorMessage="1" sqref="AN60">
      <formula1>0</formula1>
      <formula2>NaN</formula2>
    </dataValidation>
    <dataValidation type="whole" allowBlank="1" showInputMessage="1" showErrorMessage="1" sqref="AN61">
      <formula1>0</formula1>
      <formula2>NaN</formula2>
    </dataValidation>
    <dataValidation type="whole" allowBlank="1" showInputMessage="1" showErrorMessage="1" sqref="AN62">
      <formula1>0</formula1>
      <formula2>NaN</formula2>
    </dataValidation>
    <dataValidation type="whole" allowBlank="1" showInputMessage="1" showErrorMessage="1" sqref="AN63">
      <formula1>0</formula1>
      <formula2>NaN</formula2>
    </dataValidation>
    <dataValidation type="whole" allowBlank="1" showInputMessage="1" showErrorMessage="1" sqref="AN64">
      <formula1>0</formula1>
      <formula2>NaN</formula2>
    </dataValidation>
    <dataValidation type="whole" allowBlank="1" showInputMessage="1" showErrorMessage="1" sqref="AN65">
      <formula1>0</formula1>
      <formula2>NaN</formula2>
    </dataValidation>
    <dataValidation type="whole" allowBlank="1" showInputMessage="1" showErrorMessage="1" sqref="AN66">
      <formula1>0</formula1>
      <formula2>NaN</formula2>
    </dataValidation>
    <dataValidation type="whole" allowBlank="1" showInputMessage="1" showErrorMessage="1" sqref="AN67">
      <formula1>0</formula1>
      <formula2>NaN</formula2>
    </dataValidation>
    <dataValidation type="whole" allowBlank="1" showInputMessage="1" showErrorMessage="1" sqref="AN68">
      <formula1>0</formula1>
      <formula2>NaN</formula2>
    </dataValidation>
    <dataValidation type="whole" allowBlank="1" showInputMessage="1" showErrorMessage="1" sqref="AN9">
      <formula1>0</formula1>
      <formula2>NaN</formula2>
    </dataValidation>
    <dataValidation type="whole" allowBlank="1" showInputMessage="1" showErrorMessage="1" sqref="AO10">
      <formula1>0</formula1>
      <formula2>NaN</formula2>
    </dataValidation>
    <dataValidation type="whole" allowBlank="1" showInputMessage="1" showErrorMessage="1" sqref="AO11">
      <formula1>0</formula1>
      <formula2>NaN</formula2>
    </dataValidation>
    <dataValidation type="whole" allowBlank="1" showInputMessage="1" showErrorMessage="1" sqref="AO12">
      <formula1>0</formula1>
      <formula2>NaN</formula2>
    </dataValidation>
    <dataValidation type="whole" allowBlank="1" showInputMessage="1" showErrorMessage="1" sqref="AO13">
      <formula1>0</formula1>
      <formula2>NaN</formula2>
    </dataValidation>
    <dataValidation type="whole" allowBlank="1" showInputMessage="1" showErrorMessage="1" sqref="AO14">
      <formula1>0</formula1>
      <formula2>NaN</formula2>
    </dataValidation>
    <dataValidation type="whole" allowBlank="1" showInputMessage="1" showErrorMessage="1" sqref="AO15">
      <formula1>0</formula1>
      <formula2>NaN</formula2>
    </dataValidation>
    <dataValidation type="whole" allowBlank="1" showInputMessage="1" showErrorMessage="1" sqref="AO16">
      <formula1>0</formula1>
      <formula2>NaN</formula2>
    </dataValidation>
    <dataValidation type="whole" allowBlank="1" showInputMessage="1" showErrorMessage="1" sqref="AO17">
      <formula1>0</formula1>
      <formula2>NaN</formula2>
    </dataValidation>
    <dataValidation type="whole" allowBlank="1" showInputMessage="1" showErrorMessage="1" sqref="AO18">
      <formula1>0</formula1>
      <formula2>NaN</formula2>
    </dataValidation>
    <dataValidation type="whole" allowBlank="1" showInputMessage="1" showErrorMessage="1" sqref="AO19">
      <formula1>0</formula1>
      <formula2>NaN</formula2>
    </dataValidation>
    <dataValidation type="whole" allowBlank="1" showInputMessage="1" showErrorMessage="1" sqref="AO20">
      <formula1>0</formula1>
      <formula2>NaN</formula2>
    </dataValidation>
    <dataValidation type="whole" allowBlank="1" showInputMessage="1" showErrorMessage="1" sqref="AO21">
      <formula1>0</formula1>
      <formula2>NaN</formula2>
    </dataValidation>
    <dataValidation type="whole" allowBlank="1" showInputMessage="1" showErrorMessage="1" sqref="AO22">
      <formula1>0</formula1>
      <formula2>NaN</formula2>
    </dataValidation>
    <dataValidation type="whole" allowBlank="1" showInputMessage="1" showErrorMessage="1" sqref="AO23">
      <formula1>0</formula1>
      <formula2>NaN</formula2>
    </dataValidation>
    <dataValidation type="whole" allowBlank="1" showInputMessage="1" showErrorMessage="1" sqref="AO24">
      <formula1>0</formula1>
      <formula2>NaN</formula2>
    </dataValidation>
    <dataValidation type="whole" allowBlank="1" showInputMessage="1" showErrorMessage="1" sqref="AO25">
      <formula1>0</formula1>
      <formula2>NaN</formula2>
    </dataValidation>
    <dataValidation type="whole" allowBlank="1" showInputMessage="1" showErrorMessage="1" sqref="AO26">
      <formula1>0</formula1>
      <formula2>NaN</formula2>
    </dataValidation>
    <dataValidation type="whole" allowBlank="1" showInputMessage="1" showErrorMessage="1" sqref="AO27">
      <formula1>0</formula1>
      <formula2>NaN</formula2>
    </dataValidation>
    <dataValidation type="whole" allowBlank="1" showInputMessage="1" showErrorMessage="1" sqref="AO28">
      <formula1>0</formula1>
      <formula2>NaN</formula2>
    </dataValidation>
    <dataValidation type="whole" allowBlank="1" showInputMessage="1" showErrorMessage="1" sqref="AO29">
      <formula1>0</formula1>
      <formula2>NaN</formula2>
    </dataValidation>
    <dataValidation type="whole" allowBlank="1" showInputMessage="1" showErrorMessage="1" sqref="AO30">
      <formula1>0</formula1>
      <formula2>NaN</formula2>
    </dataValidation>
    <dataValidation type="whole" allowBlank="1" showInputMessage="1" showErrorMessage="1" sqref="AO31">
      <formula1>0</formula1>
      <formula2>NaN</formula2>
    </dataValidation>
    <dataValidation type="whole" allowBlank="1" showInputMessage="1" showErrorMessage="1" sqref="AO32">
      <formula1>0</formula1>
      <formula2>NaN</formula2>
    </dataValidation>
    <dataValidation type="whole" allowBlank="1" showInputMessage="1" showErrorMessage="1" sqref="AO33">
      <formula1>0</formula1>
      <formula2>NaN</formula2>
    </dataValidation>
    <dataValidation type="whole" allowBlank="1" showInputMessage="1" showErrorMessage="1" sqref="AO34">
      <formula1>0</formula1>
      <formula2>NaN</formula2>
    </dataValidation>
    <dataValidation type="whole" allowBlank="1" showInputMessage="1" showErrorMessage="1" sqref="AO35">
      <formula1>0</formula1>
      <formula2>NaN</formula2>
    </dataValidation>
    <dataValidation type="whole" allowBlank="1" showInputMessage="1" showErrorMessage="1" sqref="AO36">
      <formula1>0</formula1>
      <formula2>NaN</formula2>
    </dataValidation>
    <dataValidation type="whole" allowBlank="1" showInputMessage="1" showErrorMessage="1" sqref="AO37">
      <formula1>0</formula1>
      <formula2>NaN</formula2>
    </dataValidation>
    <dataValidation type="whole" allowBlank="1" showInputMessage="1" showErrorMessage="1" sqref="AO38">
      <formula1>0</formula1>
      <formula2>NaN</formula2>
    </dataValidation>
    <dataValidation type="whole" allowBlank="1" showInputMessage="1" showErrorMessage="1" sqref="AO39">
      <formula1>0</formula1>
      <formula2>NaN</formula2>
    </dataValidation>
    <dataValidation type="whole" allowBlank="1" showInputMessage="1" showErrorMessage="1" sqref="AO40">
      <formula1>0</formula1>
      <formula2>NaN</formula2>
    </dataValidation>
    <dataValidation type="whole" allowBlank="1" showInputMessage="1" showErrorMessage="1" sqref="AO41">
      <formula1>0</formula1>
      <formula2>NaN</formula2>
    </dataValidation>
    <dataValidation type="whole" allowBlank="1" showInputMessage="1" showErrorMessage="1" sqref="AO42">
      <formula1>0</formula1>
      <formula2>NaN</formula2>
    </dataValidation>
    <dataValidation type="whole" allowBlank="1" showInputMessage="1" showErrorMessage="1" sqref="AO43">
      <formula1>0</formula1>
      <formula2>NaN</formula2>
    </dataValidation>
    <dataValidation type="whole" allowBlank="1" showInputMessage="1" showErrorMessage="1" sqref="AO44">
      <formula1>0</formula1>
      <formula2>NaN</formula2>
    </dataValidation>
    <dataValidation type="whole" allowBlank="1" showInputMessage="1" showErrorMessage="1" sqref="AO45">
      <formula1>0</formula1>
      <formula2>NaN</formula2>
    </dataValidation>
    <dataValidation type="whole" allowBlank="1" showInputMessage="1" showErrorMessage="1" sqref="AO46">
      <formula1>0</formula1>
      <formula2>NaN</formula2>
    </dataValidation>
    <dataValidation type="whole" allowBlank="1" showInputMessage="1" showErrorMessage="1" sqref="AO47">
      <formula1>0</formula1>
      <formula2>NaN</formula2>
    </dataValidation>
    <dataValidation type="whole" allowBlank="1" showInputMessage="1" showErrorMessage="1" sqref="AO48">
      <formula1>0</formula1>
      <formula2>NaN</formula2>
    </dataValidation>
    <dataValidation type="whole" allowBlank="1" showInputMessage="1" showErrorMessage="1" sqref="AO49">
      <formula1>0</formula1>
      <formula2>NaN</formula2>
    </dataValidation>
    <dataValidation type="whole" allowBlank="1" showInputMessage="1" showErrorMessage="1" sqref="AO50">
      <formula1>0</formula1>
      <formula2>NaN</formula2>
    </dataValidation>
    <dataValidation type="whole" allowBlank="1" showInputMessage="1" showErrorMessage="1" sqref="AO51">
      <formula1>0</formula1>
      <formula2>NaN</formula2>
    </dataValidation>
    <dataValidation type="whole" allowBlank="1" showInputMessage="1" showErrorMessage="1" sqref="AO52">
      <formula1>0</formula1>
      <formula2>NaN</formula2>
    </dataValidation>
    <dataValidation type="whole" allowBlank="1" showInputMessage="1" showErrorMessage="1" sqref="AO53">
      <formula1>0</formula1>
      <formula2>NaN</formula2>
    </dataValidation>
    <dataValidation type="whole" allowBlank="1" showInputMessage="1" showErrorMessage="1" sqref="AO54">
      <formula1>0</formula1>
      <formula2>NaN</formula2>
    </dataValidation>
    <dataValidation type="whole" allowBlank="1" showInputMessage="1" showErrorMessage="1" sqref="AO55">
      <formula1>0</formula1>
      <formula2>NaN</formula2>
    </dataValidation>
    <dataValidation type="whole" allowBlank="1" showInputMessage="1" showErrorMessage="1" sqref="AO56">
      <formula1>0</formula1>
      <formula2>NaN</formula2>
    </dataValidation>
    <dataValidation type="whole" allowBlank="1" showInputMessage="1" showErrorMessage="1" sqref="AO57">
      <formula1>0</formula1>
      <formula2>NaN</formula2>
    </dataValidation>
    <dataValidation type="whole" allowBlank="1" showInputMessage="1" showErrorMessage="1" sqref="AO58">
      <formula1>0</formula1>
      <formula2>NaN</formula2>
    </dataValidation>
    <dataValidation type="whole" allowBlank="1" showInputMessage="1" showErrorMessage="1" sqref="AO59">
      <formula1>0</formula1>
      <formula2>NaN</formula2>
    </dataValidation>
    <dataValidation type="whole" allowBlank="1" showInputMessage="1" showErrorMessage="1" sqref="AO60">
      <formula1>0</formula1>
      <formula2>NaN</formula2>
    </dataValidation>
    <dataValidation type="whole" allowBlank="1" showInputMessage="1" showErrorMessage="1" sqref="AO61">
      <formula1>0</formula1>
      <formula2>NaN</formula2>
    </dataValidation>
    <dataValidation type="whole" allowBlank="1" showInputMessage="1" showErrorMessage="1" sqref="AO62">
      <formula1>0</formula1>
      <formula2>NaN</formula2>
    </dataValidation>
    <dataValidation type="whole" allowBlank="1" showInputMessage="1" showErrorMessage="1" sqref="AO63">
      <formula1>0</formula1>
      <formula2>NaN</formula2>
    </dataValidation>
    <dataValidation type="whole" allowBlank="1" showInputMessage="1" showErrorMessage="1" sqref="AO64">
      <formula1>0</formula1>
      <formula2>NaN</formula2>
    </dataValidation>
    <dataValidation type="whole" allowBlank="1" showInputMessage="1" showErrorMessage="1" sqref="AO65">
      <formula1>0</formula1>
      <formula2>NaN</formula2>
    </dataValidation>
    <dataValidation type="whole" allowBlank="1" showInputMessage="1" showErrorMessage="1" sqref="AO66">
      <formula1>0</formula1>
      <formula2>NaN</formula2>
    </dataValidation>
    <dataValidation type="whole" allowBlank="1" showInputMessage="1" showErrorMessage="1" sqref="AO67">
      <formula1>0</formula1>
      <formula2>NaN</formula2>
    </dataValidation>
    <dataValidation type="whole" allowBlank="1" showInputMessage="1" showErrorMessage="1" sqref="AO68">
      <formula1>0</formula1>
      <formula2>NaN</formula2>
    </dataValidation>
    <dataValidation type="whole" allowBlank="1" showInputMessage="1" showErrorMessage="1" sqref="AO9">
      <formula1>0</formula1>
      <formula2>NaN</formula2>
    </dataValidation>
    <dataValidation type="whole" allowBlank="1" showInputMessage="1" showErrorMessage="1" sqref="AP10">
      <formula1>0</formula1>
      <formula2>NaN</formula2>
    </dataValidation>
    <dataValidation type="whole" allowBlank="1" showInputMessage="1" showErrorMessage="1" sqref="AP11">
      <formula1>0</formula1>
      <formula2>NaN</formula2>
    </dataValidation>
    <dataValidation type="whole" allowBlank="1" showInputMessage="1" showErrorMessage="1" sqref="AP12">
      <formula1>0</formula1>
      <formula2>NaN</formula2>
    </dataValidation>
    <dataValidation type="whole" allowBlank="1" showInputMessage="1" showErrorMessage="1" sqref="AP13">
      <formula1>0</formula1>
      <formula2>NaN</formula2>
    </dataValidation>
    <dataValidation type="whole" allowBlank="1" showInputMessage="1" showErrorMessage="1" sqref="AP14">
      <formula1>0</formula1>
      <formula2>NaN</formula2>
    </dataValidation>
    <dataValidation type="whole" allowBlank="1" showInputMessage="1" showErrorMessage="1" sqref="AP15">
      <formula1>0</formula1>
      <formula2>NaN</formula2>
    </dataValidation>
    <dataValidation type="whole" allowBlank="1" showInputMessage="1" showErrorMessage="1" sqref="AP16">
      <formula1>0</formula1>
      <formula2>NaN</formula2>
    </dataValidation>
    <dataValidation type="whole" allowBlank="1" showInputMessage="1" showErrorMessage="1" sqref="AP17">
      <formula1>0</formula1>
      <formula2>NaN</formula2>
    </dataValidation>
    <dataValidation type="whole" allowBlank="1" showInputMessage="1" showErrorMessage="1" sqref="AP18">
      <formula1>0</formula1>
      <formula2>NaN</formula2>
    </dataValidation>
    <dataValidation type="whole" allowBlank="1" showInputMessage="1" showErrorMessage="1" sqref="AP19">
      <formula1>0</formula1>
      <formula2>NaN</formula2>
    </dataValidation>
    <dataValidation type="whole" allowBlank="1" showInputMessage="1" showErrorMessage="1" sqref="AP20">
      <formula1>0</formula1>
      <formula2>NaN</formula2>
    </dataValidation>
    <dataValidation type="whole" allowBlank="1" showInputMessage="1" showErrorMessage="1" sqref="AP21">
      <formula1>0</formula1>
      <formula2>NaN</formula2>
    </dataValidation>
    <dataValidation type="whole" allowBlank="1" showInputMessage="1" showErrorMessage="1" sqref="AP22">
      <formula1>0</formula1>
      <formula2>NaN</formula2>
    </dataValidation>
    <dataValidation type="whole" allowBlank="1" showInputMessage="1" showErrorMessage="1" sqref="AP23">
      <formula1>0</formula1>
      <formula2>NaN</formula2>
    </dataValidation>
    <dataValidation type="whole" allowBlank="1" showInputMessage="1" showErrorMessage="1" sqref="AP24">
      <formula1>0</formula1>
      <formula2>NaN</formula2>
    </dataValidation>
    <dataValidation type="whole" allowBlank="1" showInputMessage="1" showErrorMessage="1" sqref="AP25">
      <formula1>0</formula1>
      <formula2>NaN</formula2>
    </dataValidation>
    <dataValidation type="whole" allowBlank="1" showInputMessage="1" showErrorMessage="1" sqref="AP26">
      <formula1>0</formula1>
      <formula2>NaN</formula2>
    </dataValidation>
    <dataValidation type="whole" allowBlank="1" showInputMessage="1" showErrorMessage="1" sqref="AP27">
      <formula1>0</formula1>
      <formula2>NaN</formula2>
    </dataValidation>
    <dataValidation type="whole" allowBlank="1" showInputMessage="1" showErrorMessage="1" sqref="AP28">
      <formula1>0</formula1>
      <formula2>NaN</formula2>
    </dataValidation>
    <dataValidation type="whole" allowBlank="1" showInputMessage="1" showErrorMessage="1" sqref="AP29">
      <formula1>0</formula1>
      <formula2>NaN</formula2>
    </dataValidation>
    <dataValidation type="whole" allowBlank="1" showInputMessage="1" showErrorMessage="1" sqref="AP30">
      <formula1>0</formula1>
      <formula2>NaN</formula2>
    </dataValidation>
    <dataValidation type="whole" allowBlank="1" showInputMessage="1" showErrorMessage="1" sqref="AP31">
      <formula1>0</formula1>
      <formula2>NaN</formula2>
    </dataValidation>
    <dataValidation type="whole" allowBlank="1" showInputMessage="1" showErrorMessage="1" sqref="AP32">
      <formula1>0</formula1>
      <formula2>NaN</formula2>
    </dataValidation>
    <dataValidation type="whole" allowBlank="1" showInputMessage="1" showErrorMessage="1" sqref="AP33">
      <formula1>0</formula1>
      <formula2>NaN</formula2>
    </dataValidation>
    <dataValidation type="whole" allowBlank="1" showInputMessage="1" showErrorMessage="1" sqref="AP34">
      <formula1>0</formula1>
      <formula2>NaN</formula2>
    </dataValidation>
    <dataValidation type="whole" allowBlank="1" showInputMessage="1" showErrorMessage="1" sqref="AP35">
      <formula1>0</formula1>
      <formula2>NaN</formula2>
    </dataValidation>
    <dataValidation type="whole" allowBlank="1" showInputMessage="1" showErrorMessage="1" sqref="AP36">
      <formula1>0</formula1>
      <formula2>NaN</formula2>
    </dataValidation>
    <dataValidation type="whole" allowBlank="1" showInputMessage="1" showErrorMessage="1" sqref="AP37">
      <formula1>0</formula1>
      <formula2>NaN</formula2>
    </dataValidation>
    <dataValidation type="whole" allowBlank="1" showInputMessage="1" showErrorMessage="1" sqref="AP38">
      <formula1>0</formula1>
      <formula2>NaN</formula2>
    </dataValidation>
    <dataValidation type="whole" allowBlank="1" showInputMessage="1" showErrorMessage="1" sqref="AP39">
      <formula1>0</formula1>
      <formula2>NaN</formula2>
    </dataValidation>
    <dataValidation type="whole" allowBlank="1" showInputMessage="1" showErrorMessage="1" sqref="AP40">
      <formula1>0</formula1>
      <formula2>NaN</formula2>
    </dataValidation>
    <dataValidation type="whole" allowBlank="1" showInputMessage="1" showErrorMessage="1" sqref="AP41">
      <formula1>0</formula1>
      <formula2>NaN</formula2>
    </dataValidation>
    <dataValidation type="whole" allowBlank="1" showInputMessage="1" showErrorMessage="1" sqref="AP42">
      <formula1>0</formula1>
      <formula2>NaN</formula2>
    </dataValidation>
    <dataValidation type="whole" allowBlank="1" showInputMessage="1" showErrorMessage="1" sqref="AP43">
      <formula1>0</formula1>
      <formula2>NaN</formula2>
    </dataValidation>
    <dataValidation type="whole" allowBlank="1" showInputMessage="1" showErrorMessage="1" sqref="AP44">
      <formula1>0</formula1>
      <formula2>NaN</formula2>
    </dataValidation>
    <dataValidation type="whole" allowBlank="1" showInputMessage="1" showErrorMessage="1" sqref="AP45">
      <formula1>0</formula1>
      <formula2>NaN</formula2>
    </dataValidation>
    <dataValidation type="whole" allowBlank="1" showInputMessage="1" showErrorMessage="1" sqref="AP46">
      <formula1>0</formula1>
      <formula2>NaN</formula2>
    </dataValidation>
    <dataValidation type="whole" allowBlank="1" showInputMessage="1" showErrorMessage="1" sqref="AP47">
      <formula1>0</formula1>
      <formula2>NaN</formula2>
    </dataValidation>
    <dataValidation type="whole" allowBlank="1" showInputMessage="1" showErrorMessage="1" sqref="AP48">
      <formula1>0</formula1>
      <formula2>NaN</formula2>
    </dataValidation>
    <dataValidation type="whole" allowBlank="1" showInputMessage="1" showErrorMessage="1" sqref="AP49">
      <formula1>0</formula1>
      <formula2>NaN</formula2>
    </dataValidation>
    <dataValidation type="whole" allowBlank="1" showInputMessage="1" showErrorMessage="1" sqref="AP50">
      <formula1>0</formula1>
      <formula2>NaN</formula2>
    </dataValidation>
    <dataValidation type="whole" allowBlank="1" showInputMessage="1" showErrorMessage="1" sqref="AP51">
      <formula1>0</formula1>
      <formula2>NaN</formula2>
    </dataValidation>
    <dataValidation type="whole" allowBlank="1" showInputMessage="1" showErrorMessage="1" sqref="AP52">
      <formula1>0</formula1>
      <formula2>NaN</formula2>
    </dataValidation>
    <dataValidation type="whole" allowBlank="1" showInputMessage="1" showErrorMessage="1" sqref="AP53">
      <formula1>0</formula1>
      <formula2>NaN</formula2>
    </dataValidation>
    <dataValidation type="whole" allowBlank="1" showInputMessage="1" showErrorMessage="1" sqref="AP54">
      <formula1>0</formula1>
      <formula2>NaN</formula2>
    </dataValidation>
    <dataValidation type="whole" allowBlank="1" showInputMessage="1" showErrorMessage="1" sqref="AP55">
      <formula1>0</formula1>
      <formula2>NaN</formula2>
    </dataValidation>
    <dataValidation type="whole" allowBlank="1" showInputMessage="1" showErrorMessage="1" sqref="AP56">
      <formula1>0</formula1>
      <formula2>NaN</formula2>
    </dataValidation>
    <dataValidation type="whole" allowBlank="1" showInputMessage="1" showErrorMessage="1" sqref="AP57">
      <formula1>0</formula1>
      <formula2>NaN</formula2>
    </dataValidation>
    <dataValidation type="whole" allowBlank="1" showInputMessage="1" showErrorMessage="1" sqref="AP58">
      <formula1>0</formula1>
      <formula2>NaN</formula2>
    </dataValidation>
    <dataValidation type="whole" allowBlank="1" showInputMessage="1" showErrorMessage="1" sqref="AP59">
      <formula1>0</formula1>
      <formula2>NaN</formula2>
    </dataValidation>
    <dataValidation type="whole" allowBlank="1" showInputMessage="1" showErrorMessage="1" sqref="AP60">
      <formula1>0</formula1>
      <formula2>NaN</formula2>
    </dataValidation>
    <dataValidation type="whole" allowBlank="1" showInputMessage="1" showErrorMessage="1" sqref="AP61">
      <formula1>0</formula1>
      <formula2>NaN</formula2>
    </dataValidation>
    <dataValidation type="whole" allowBlank="1" showInputMessage="1" showErrorMessage="1" sqref="AP62">
      <formula1>0</formula1>
      <formula2>NaN</formula2>
    </dataValidation>
    <dataValidation type="whole" allowBlank="1" showInputMessage="1" showErrorMessage="1" sqref="AP63">
      <formula1>0</formula1>
      <formula2>NaN</formula2>
    </dataValidation>
    <dataValidation type="whole" allowBlank="1" showInputMessage="1" showErrorMessage="1" sqref="AP64">
      <formula1>0</formula1>
      <formula2>NaN</formula2>
    </dataValidation>
    <dataValidation type="whole" allowBlank="1" showInputMessage="1" showErrorMessage="1" sqref="AP65">
      <formula1>0</formula1>
      <formula2>NaN</formula2>
    </dataValidation>
    <dataValidation type="whole" allowBlank="1" showInputMessage="1" showErrorMessage="1" sqref="AP66">
      <formula1>0</formula1>
      <formula2>NaN</formula2>
    </dataValidation>
    <dataValidation type="whole" allowBlank="1" showInputMessage="1" showErrorMessage="1" sqref="AP67">
      <formula1>0</formula1>
      <formula2>NaN</formula2>
    </dataValidation>
    <dataValidation type="whole" allowBlank="1" showInputMessage="1" showErrorMessage="1" sqref="AP68">
      <formula1>0</formula1>
      <formula2>NaN</formula2>
    </dataValidation>
    <dataValidation type="whole" allowBlank="1" showInputMessage="1" showErrorMessage="1" sqref="AP9">
      <formula1>0</formula1>
      <formula2>NaN</formula2>
    </dataValidation>
    <dataValidation showInputMessage="1" prompt="Percentage Score" showErrorMessage="1" sqref="AR5"/>
    <dataValidation showInputMessage="1" prompt="Weighted Score" showErrorMessage="1" sqref="AS5"/>
    <dataValidation type="whole" allowBlank="1" showInputMessage="1" showErrorMessage="1" sqref="AT10">
      <formula1>0</formula1>
      <formula2>NaN</formula2>
    </dataValidation>
    <dataValidation type="whole" allowBlank="1" showInputMessage="1" showErrorMessage="1" sqref="AT11">
      <formula1>0</formula1>
      <formula2>NaN</formula2>
    </dataValidation>
    <dataValidation type="whole" allowBlank="1" showInputMessage="1" showErrorMessage="1" sqref="AT12">
      <formula1>0</formula1>
      <formula2>NaN</formula2>
    </dataValidation>
    <dataValidation type="whole" allowBlank="1" showInputMessage="1" showErrorMessage="1" sqref="AT13">
      <formula1>0</formula1>
      <formula2>NaN</formula2>
    </dataValidation>
    <dataValidation type="whole" allowBlank="1" showInputMessage="1" showErrorMessage="1" sqref="AT14">
      <formula1>0</formula1>
      <formula2>NaN</formula2>
    </dataValidation>
    <dataValidation type="whole" allowBlank="1" showInputMessage="1" showErrorMessage="1" sqref="AT15">
      <formula1>0</formula1>
      <formula2>NaN</formula2>
    </dataValidation>
    <dataValidation type="whole" allowBlank="1" showInputMessage="1" showErrorMessage="1" sqref="AT16">
      <formula1>0</formula1>
      <formula2>NaN</formula2>
    </dataValidation>
    <dataValidation type="whole" allowBlank="1" showInputMessage="1" showErrorMessage="1" sqref="AT17">
      <formula1>0</formula1>
      <formula2>NaN</formula2>
    </dataValidation>
    <dataValidation type="whole" allowBlank="1" showInputMessage="1" showErrorMessage="1" sqref="AT18">
      <formula1>0</formula1>
      <formula2>NaN</formula2>
    </dataValidation>
    <dataValidation type="whole" allowBlank="1" showInputMessage="1" showErrorMessage="1" sqref="AT19">
      <formula1>0</formula1>
      <formula2>NaN</formula2>
    </dataValidation>
    <dataValidation type="whole" allowBlank="1" showInputMessage="1" showErrorMessage="1" sqref="AT20">
      <formula1>0</formula1>
      <formula2>NaN</formula2>
    </dataValidation>
    <dataValidation type="whole" allowBlank="1" showInputMessage="1" showErrorMessage="1" sqref="AT21">
      <formula1>0</formula1>
      <formula2>NaN</formula2>
    </dataValidation>
    <dataValidation type="whole" allowBlank="1" showInputMessage="1" showErrorMessage="1" sqref="AT22">
      <formula1>0</formula1>
      <formula2>NaN</formula2>
    </dataValidation>
    <dataValidation type="whole" allowBlank="1" showInputMessage="1" showErrorMessage="1" sqref="AT23">
      <formula1>0</formula1>
      <formula2>NaN</formula2>
    </dataValidation>
    <dataValidation type="whole" allowBlank="1" showInputMessage="1" showErrorMessage="1" sqref="AT24">
      <formula1>0</formula1>
      <formula2>NaN</formula2>
    </dataValidation>
    <dataValidation type="whole" allowBlank="1" showInputMessage="1" showErrorMessage="1" sqref="AT25">
      <formula1>0</formula1>
      <formula2>NaN</formula2>
    </dataValidation>
    <dataValidation type="whole" allowBlank="1" showInputMessage="1" showErrorMessage="1" sqref="AT26">
      <formula1>0</formula1>
      <formula2>NaN</formula2>
    </dataValidation>
    <dataValidation type="whole" allowBlank="1" showInputMessage="1" showErrorMessage="1" sqref="AT27">
      <formula1>0</formula1>
      <formula2>NaN</formula2>
    </dataValidation>
    <dataValidation type="whole" allowBlank="1" showInputMessage="1" showErrorMessage="1" sqref="AT28">
      <formula1>0</formula1>
      <formula2>NaN</formula2>
    </dataValidation>
    <dataValidation type="whole" allowBlank="1" showInputMessage="1" showErrorMessage="1" sqref="AT29">
      <formula1>0</formula1>
      <formula2>NaN</formula2>
    </dataValidation>
    <dataValidation type="whole" allowBlank="1" showInputMessage="1" showErrorMessage="1" sqref="AT30">
      <formula1>0</formula1>
      <formula2>NaN</formula2>
    </dataValidation>
    <dataValidation type="whole" allowBlank="1" showInputMessage="1" showErrorMessage="1" sqref="AT31">
      <formula1>0</formula1>
      <formula2>NaN</formula2>
    </dataValidation>
    <dataValidation type="whole" allowBlank="1" showInputMessage="1" showErrorMessage="1" sqref="AT32">
      <formula1>0</formula1>
      <formula2>NaN</formula2>
    </dataValidation>
    <dataValidation type="whole" allowBlank="1" showInputMessage="1" showErrorMessage="1" sqref="AT33">
      <formula1>0</formula1>
      <formula2>NaN</formula2>
    </dataValidation>
    <dataValidation type="whole" allowBlank="1" showInputMessage="1" showErrorMessage="1" sqref="AT34">
      <formula1>0</formula1>
      <formula2>NaN</formula2>
    </dataValidation>
    <dataValidation type="whole" allowBlank="1" showInputMessage="1" showErrorMessage="1" sqref="AT35">
      <formula1>0</formula1>
      <formula2>NaN</formula2>
    </dataValidation>
    <dataValidation type="whole" allowBlank="1" showInputMessage="1" showErrorMessage="1" sqref="AT36">
      <formula1>0</formula1>
      <formula2>NaN</formula2>
    </dataValidation>
    <dataValidation type="whole" allowBlank="1" showInputMessage="1" showErrorMessage="1" sqref="AT37">
      <formula1>0</formula1>
      <formula2>NaN</formula2>
    </dataValidation>
    <dataValidation type="whole" allowBlank="1" showInputMessage="1" showErrorMessage="1" sqref="AT38">
      <formula1>0</formula1>
      <formula2>NaN</formula2>
    </dataValidation>
    <dataValidation type="whole" allowBlank="1" showInputMessage="1" showErrorMessage="1" sqref="AT39">
      <formula1>0</formula1>
      <formula2>NaN</formula2>
    </dataValidation>
    <dataValidation type="whole" allowBlank="1" showInputMessage="1" showErrorMessage="1" sqref="AT40">
      <formula1>0</formula1>
      <formula2>NaN</formula2>
    </dataValidation>
    <dataValidation type="whole" allowBlank="1" showInputMessage="1" showErrorMessage="1" sqref="AT41">
      <formula1>0</formula1>
      <formula2>NaN</formula2>
    </dataValidation>
    <dataValidation type="whole" allowBlank="1" showInputMessage="1" showErrorMessage="1" sqref="AT42">
      <formula1>0</formula1>
      <formula2>NaN</formula2>
    </dataValidation>
    <dataValidation type="whole" allowBlank="1" showInputMessage="1" showErrorMessage="1" sqref="AT43">
      <formula1>0</formula1>
      <formula2>NaN</formula2>
    </dataValidation>
    <dataValidation type="whole" allowBlank="1" showInputMessage="1" showErrorMessage="1" sqref="AT44">
      <formula1>0</formula1>
      <formula2>NaN</formula2>
    </dataValidation>
    <dataValidation type="whole" allowBlank="1" showInputMessage="1" showErrorMessage="1" sqref="AT45">
      <formula1>0</formula1>
      <formula2>NaN</formula2>
    </dataValidation>
    <dataValidation type="whole" allowBlank="1" showInputMessage="1" showErrorMessage="1" sqref="AT46">
      <formula1>0</formula1>
      <formula2>NaN</formula2>
    </dataValidation>
    <dataValidation type="whole" allowBlank="1" showInputMessage="1" showErrorMessage="1" sqref="AT47">
      <formula1>0</formula1>
      <formula2>NaN</formula2>
    </dataValidation>
    <dataValidation type="whole" allowBlank="1" showInputMessage="1" showErrorMessage="1" sqref="AT48">
      <formula1>0</formula1>
      <formula2>NaN</formula2>
    </dataValidation>
    <dataValidation type="whole" allowBlank="1" showInputMessage="1" showErrorMessage="1" sqref="AT49">
      <formula1>0</formula1>
      <formula2>NaN</formula2>
    </dataValidation>
    <dataValidation type="whole" allowBlank="1" showInputMessage="1" showErrorMessage="1" sqref="AT50">
      <formula1>0</formula1>
      <formula2>NaN</formula2>
    </dataValidation>
    <dataValidation type="whole" allowBlank="1" showInputMessage="1" showErrorMessage="1" sqref="AT51">
      <formula1>0</formula1>
      <formula2>NaN</formula2>
    </dataValidation>
    <dataValidation type="whole" allowBlank="1" showInputMessage="1" showErrorMessage="1" sqref="AT52">
      <formula1>0</formula1>
      <formula2>NaN</formula2>
    </dataValidation>
    <dataValidation type="whole" allowBlank="1" showInputMessage="1" showErrorMessage="1" sqref="AT53">
      <formula1>0</formula1>
      <formula2>NaN</formula2>
    </dataValidation>
    <dataValidation type="whole" allowBlank="1" showInputMessage="1" showErrorMessage="1" sqref="AT54">
      <formula1>0</formula1>
      <formula2>NaN</formula2>
    </dataValidation>
    <dataValidation type="whole" allowBlank="1" showInputMessage="1" showErrorMessage="1" sqref="AT55">
      <formula1>0</formula1>
      <formula2>NaN</formula2>
    </dataValidation>
    <dataValidation type="whole" allowBlank="1" showInputMessage="1" showErrorMessage="1" sqref="AT56">
      <formula1>0</formula1>
      <formula2>NaN</formula2>
    </dataValidation>
    <dataValidation type="whole" allowBlank="1" showInputMessage="1" showErrorMessage="1" sqref="AT57">
      <formula1>0</formula1>
      <formula2>NaN</formula2>
    </dataValidation>
    <dataValidation type="whole" allowBlank="1" showInputMessage="1" showErrorMessage="1" sqref="AT58">
      <formula1>0</formula1>
      <formula2>NaN</formula2>
    </dataValidation>
    <dataValidation type="whole" allowBlank="1" showInputMessage="1" showErrorMessage="1" sqref="AT59">
      <formula1>0</formula1>
      <formula2>NaN</formula2>
    </dataValidation>
    <dataValidation showInputMessage="1" prompt="Input possible highest score here" showErrorMessage="1" sqref="AT6:AV6"/>
    <dataValidation type="whole" allowBlank="1" showInputMessage="1" showErrorMessage="1" sqref="AT60">
      <formula1>0</formula1>
      <formula2>NaN</formula2>
    </dataValidation>
    <dataValidation type="whole" allowBlank="1" showInputMessage="1" showErrorMessage="1" sqref="AT61">
      <formula1>0</formula1>
      <formula2>NaN</formula2>
    </dataValidation>
    <dataValidation type="whole" allowBlank="1" showInputMessage="1" showErrorMessage="1" sqref="AT62">
      <formula1>0</formula1>
      <formula2>NaN</formula2>
    </dataValidation>
    <dataValidation type="whole" allowBlank="1" showInputMessage="1" showErrorMessage="1" sqref="AT63">
      <formula1>0</formula1>
      <formula2>NaN</formula2>
    </dataValidation>
    <dataValidation type="whole" allowBlank="1" showInputMessage="1" showErrorMessage="1" sqref="AT64">
      <formula1>0</formula1>
      <formula2>NaN</formula2>
    </dataValidation>
    <dataValidation type="whole" allowBlank="1" showInputMessage="1" showErrorMessage="1" sqref="AT65">
      <formula1>0</formula1>
      <formula2>NaN</formula2>
    </dataValidation>
    <dataValidation type="whole" allowBlank="1" showInputMessage="1" showErrorMessage="1" sqref="AT66">
      <formula1>0</formula1>
      <formula2>NaN</formula2>
    </dataValidation>
    <dataValidation type="whole" allowBlank="1" showInputMessage="1" showErrorMessage="1" sqref="AT67">
      <formula1>0</formula1>
      <formula2>NaN</formula2>
    </dataValidation>
    <dataValidation type="whole" allowBlank="1" showInputMessage="1" showErrorMessage="1" sqref="AT68">
      <formula1>0</formula1>
      <formula2>NaN</formula2>
    </dataValidation>
    <dataValidation type="date" allowBlank="1" showInputMessage="1" prompt="Input date here_x000a_" showErrorMessage="1" sqref="AT8:AV8">
      <formula1>1</formula1>
      <formula2>NaN</formula2>
    </dataValidation>
    <dataValidation type="whole" allowBlank="1" showInputMessage="1" showErrorMessage="1" sqref="AT9">
      <formula1>0</formula1>
      <formula2>NaN</formula2>
    </dataValidation>
    <dataValidation type="whole" allowBlank="1" showInputMessage="1" showErrorMessage="1" sqref="AU10">
      <formula1>0</formula1>
      <formula2>NaN</formula2>
    </dataValidation>
    <dataValidation type="whole" allowBlank="1" showInputMessage="1" showErrorMessage="1" sqref="AU11">
      <formula1>0</formula1>
      <formula2>NaN</formula2>
    </dataValidation>
    <dataValidation type="whole" allowBlank="1" showInputMessage="1" showErrorMessage="1" sqref="AU12">
      <formula1>0</formula1>
      <formula2>NaN</formula2>
    </dataValidation>
    <dataValidation type="whole" allowBlank="1" showInputMessage="1" showErrorMessage="1" sqref="AU13">
      <formula1>0</formula1>
      <formula2>NaN</formula2>
    </dataValidation>
    <dataValidation type="whole" allowBlank="1" showInputMessage="1" showErrorMessage="1" sqref="AU14">
      <formula1>0</formula1>
      <formula2>NaN</formula2>
    </dataValidation>
    <dataValidation type="whole" allowBlank="1" showInputMessage="1" showErrorMessage="1" sqref="AU15">
      <formula1>0</formula1>
      <formula2>NaN</formula2>
    </dataValidation>
    <dataValidation type="whole" allowBlank="1" showInputMessage="1" showErrorMessage="1" sqref="AU16">
      <formula1>0</formula1>
      <formula2>NaN</formula2>
    </dataValidation>
    <dataValidation type="whole" allowBlank="1" showInputMessage="1" showErrorMessage="1" sqref="AU17">
      <formula1>0</formula1>
      <formula2>NaN</formula2>
    </dataValidation>
    <dataValidation type="whole" allowBlank="1" showInputMessage="1" showErrorMessage="1" sqref="AU18">
      <formula1>0</formula1>
      <formula2>NaN</formula2>
    </dataValidation>
    <dataValidation type="whole" allowBlank="1" showInputMessage="1" showErrorMessage="1" sqref="AU19">
      <formula1>0</formula1>
      <formula2>NaN</formula2>
    </dataValidation>
    <dataValidation type="whole" allowBlank="1" showInputMessage="1" showErrorMessage="1" sqref="AU20">
      <formula1>0</formula1>
      <formula2>NaN</formula2>
    </dataValidation>
    <dataValidation type="whole" allowBlank="1" showInputMessage="1" showErrorMessage="1" sqref="AU21">
      <formula1>0</formula1>
      <formula2>NaN</formula2>
    </dataValidation>
    <dataValidation type="whole" allowBlank="1" showInputMessage="1" showErrorMessage="1" sqref="AU22">
      <formula1>0</formula1>
      <formula2>NaN</formula2>
    </dataValidation>
    <dataValidation type="whole" allowBlank="1" showInputMessage="1" showErrorMessage="1" sqref="AU23">
      <formula1>0</formula1>
      <formula2>NaN</formula2>
    </dataValidation>
    <dataValidation type="whole" allowBlank="1" showInputMessage="1" showErrorMessage="1" sqref="AU24">
      <formula1>0</formula1>
      <formula2>NaN</formula2>
    </dataValidation>
    <dataValidation type="whole" allowBlank="1" showInputMessage="1" showErrorMessage="1" sqref="AU25">
      <formula1>0</formula1>
      <formula2>NaN</formula2>
    </dataValidation>
    <dataValidation type="whole" allowBlank="1" showInputMessage="1" showErrorMessage="1" sqref="AU26">
      <formula1>0</formula1>
      <formula2>NaN</formula2>
    </dataValidation>
    <dataValidation type="whole" allowBlank="1" showInputMessage="1" showErrorMessage="1" sqref="AU27">
      <formula1>0</formula1>
      <formula2>NaN</formula2>
    </dataValidation>
    <dataValidation type="whole" allowBlank="1" showInputMessage="1" showErrorMessage="1" sqref="AU28">
      <formula1>0</formula1>
      <formula2>NaN</formula2>
    </dataValidation>
    <dataValidation type="whole" allowBlank="1" showInputMessage="1" showErrorMessage="1" sqref="AU29">
      <formula1>0</formula1>
      <formula2>NaN</formula2>
    </dataValidation>
    <dataValidation type="whole" allowBlank="1" showInputMessage="1" showErrorMessage="1" sqref="AU30">
      <formula1>0</formula1>
      <formula2>NaN</formula2>
    </dataValidation>
    <dataValidation type="whole" allowBlank="1" showInputMessage="1" showErrorMessage="1" sqref="AU31">
      <formula1>0</formula1>
      <formula2>NaN</formula2>
    </dataValidation>
    <dataValidation type="whole" allowBlank="1" showInputMessage="1" showErrorMessage="1" sqref="AU32">
      <formula1>0</formula1>
      <formula2>NaN</formula2>
    </dataValidation>
    <dataValidation type="whole" allowBlank="1" showInputMessage="1" showErrorMessage="1" sqref="AU33">
      <formula1>0</formula1>
      <formula2>NaN</formula2>
    </dataValidation>
    <dataValidation type="whole" allowBlank="1" showInputMessage="1" showErrorMessage="1" sqref="AU34">
      <formula1>0</formula1>
      <formula2>NaN</formula2>
    </dataValidation>
    <dataValidation type="whole" allowBlank="1" showInputMessage="1" showErrorMessage="1" sqref="AU35">
      <formula1>0</formula1>
      <formula2>NaN</formula2>
    </dataValidation>
    <dataValidation type="whole" allowBlank="1" showInputMessage="1" showErrorMessage="1" sqref="AU36">
      <formula1>0</formula1>
      <formula2>NaN</formula2>
    </dataValidation>
    <dataValidation type="whole" allowBlank="1" showInputMessage="1" showErrorMessage="1" sqref="AU37">
      <formula1>0</formula1>
      <formula2>NaN</formula2>
    </dataValidation>
    <dataValidation type="whole" allowBlank="1" showInputMessage="1" showErrorMessage="1" sqref="AU38">
      <formula1>0</formula1>
      <formula2>NaN</formula2>
    </dataValidation>
    <dataValidation type="whole" allowBlank="1" showInputMessage="1" showErrorMessage="1" sqref="AU39">
      <formula1>0</formula1>
      <formula2>NaN</formula2>
    </dataValidation>
    <dataValidation type="whole" allowBlank="1" showInputMessage="1" showErrorMessage="1" sqref="AU40">
      <formula1>0</formula1>
      <formula2>NaN</formula2>
    </dataValidation>
    <dataValidation type="whole" allowBlank="1" showInputMessage="1" showErrorMessage="1" sqref="AU41">
      <formula1>0</formula1>
      <formula2>NaN</formula2>
    </dataValidation>
    <dataValidation type="whole" allowBlank="1" showInputMessage="1" showErrorMessage="1" sqref="AU42">
      <formula1>0</formula1>
      <formula2>NaN</formula2>
    </dataValidation>
    <dataValidation type="whole" allowBlank="1" showInputMessage="1" showErrorMessage="1" sqref="AU43">
      <formula1>0</formula1>
      <formula2>NaN</formula2>
    </dataValidation>
    <dataValidation type="whole" allowBlank="1" showInputMessage="1" showErrorMessage="1" sqref="AU44">
      <formula1>0</formula1>
      <formula2>NaN</formula2>
    </dataValidation>
    <dataValidation type="whole" allowBlank="1" showInputMessage="1" showErrorMessage="1" sqref="AU45">
      <formula1>0</formula1>
      <formula2>NaN</formula2>
    </dataValidation>
    <dataValidation type="whole" allowBlank="1" showInputMessage="1" showErrorMessage="1" sqref="AU46">
      <formula1>0</formula1>
      <formula2>NaN</formula2>
    </dataValidation>
    <dataValidation type="whole" allowBlank="1" showInputMessage="1" showErrorMessage="1" sqref="AU47">
      <formula1>0</formula1>
      <formula2>NaN</formula2>
    </dataValidation>
    <dataValidation type="whole" allowBlank="1" showInputMessage="1" showErrorMessage="1" sqref="AU48">
      <formula1>0</formula1>
      <formula2>NaN</formula2>
    </dataValidation>
    <dataValidation type="whole" allowBlank="1" showInputMessage="1" showErrorMessage="1" sqref="AU49">
      <formula1>0</formula1>
      <formula2>NaN</formula2>
    </dataValidation>
    <dataValidation type="whole" allowBlank="1" showInputMessage="1" showErrorMessage="1" sqref="AU50">
      <formula1>0</formula1>
      <formula2>NaN</formula2>
    </dataValidation>
    <dataValidation type="whole" allowBlank="1" showInputMessage="1" showErrorMessage="1" sqref="AU51">
      <formula1>0</formula1>
      <formula2>NaN</formula2>
    </dataValidation>
    <dataValidation type="whole" allowBlank="1" showInputMessage="1" showErrorMessage="1" sqref="AU52">
      <formula1>0</formula1>
      <formula2>NaN</formula2>
    </dataValidation>
    <dataValidation type="whole" allowBlank="1" showInputMessage="1" showErrorMessage="1" sqref="AU53">
      <formula1>0</formula1>
      <formula2>NaN</formula2>
    </dataValidation>
    <dataValidation type="whole" allowBlank="1" showInputMessage="1" showErrorMessage="1" sqref="AU54">
      <formula1>0</formula1>
      <formula2>NaN</formula2>
    </dataValidation>
    <dataValidation type="whole" allowBlank="1" showInputMessage="1" showErrorMessage="1" sqref="AU55">
      <formula1>0</formula1>
      <formula2>NaN</formula2>
    </dataValidation>
    <dataValidation type="whole" allowBlank="1" showInputMessage="1" showErrorMessage="1" sqref="AU56">
      <formula1>0</formula1>
      <formula2>NaN</formula2>
    </dataValidation>
    <dataValidation type="whole" allowBlank="1" showInputMessage="1" showErrorMessage="1" sqref="AU57">
      <formula1>0</formula1>
      <formula2>NaN</formula2>
    </dataValidation>
    <dataValidation type="whole" allowBlank="1" showInputMessage="1" showErrorMessage="1" sqref="AU58">
      <formula1>0</formula1>
      <formula2>NaN</formula2>
    </dataValidation>
    <dataValidation type="whole" allowBlank="1" showInputMessage="1" showErrorMessage="1" sqref="AU59">
      <formula1>0</formula1>
      <formula2>NaN</formula2>
    </dataValidation>
    <dataValidation type="whole" allowBlank="1" showInputMessage="1" showErrorMessage="1" sqref="AU60">
      <formula1>0</formula1>
      <formula2>NaN</formula2>
    </dataValidation>
    <dataValidation type="whole" allowBlank="1" showInputMessage="1" showErrorMessage="1" sqref="AU61">
      <formula1>0</formula1>
      <formula2>NaN</formula2>
    </dataValidation>
    <dataValidation type="whole" allowBlank="1" showInputMessage="1" showErrorMessage="1" sqref="AU62">
      <formula1>0</formula1>
      <formula2>NaN</formula2>
    </dataValidation>
    <dataValidation type="whole" allowBlank="1" showInputMessage="1" showErrorMessage="1" sqref="AU63">
      <formula1>0</formula1>
      <formula2>NaN</formula2>
    </dataValidation>
    <dataValidation type="whole" allowBlank="1" showInputMessage="1" showErrorMessage="1" sqref="AU64">
      <formula1>0</formula1>
      <formula2>NaN</formula2>
    </dataValidation>
    <dataValidation type="whole" allowBlank="1" showInputMessage="1" showErrorMessage="1" sqref="AU65">
      <formula1>0</formula1>
      <formula2>NaN</formula2>
    </dataValidation>
    <dataValidation type="whole" allowBlank="1" showInputMessage="1" showErrorMessage="1" sqref="AU66">
      <formula1>0</formula1>
      <formula2>NaN</formula2>
    </dataValidation>
    <dataValidation type="whole" allowBlank="1" showInputMessage="1" showErrorMessage="1" sqref="AU67">
      <formula1>0</formula1>
      <formula2>NaN</formula2>
    </dataValidation>
    <dataValidation type="whole" allowBlank="1" showInputMessage="1" showErrorMessage="1" sqref="AU68">
      <formula1>0</formula1>
      <formula2>NaN</formula2>
    </dataValidation>
    <dataValidation type="whole" allowBlank="1" showInputMessage="1" showErrorMessage="1" sqref="AU9">
      <formula1>0</formula1>
      <formula2>NaN</formula2>
    </dataValidation>
    <dataValidation type="whole" allowBlank="1" showInputMessage="1" showErrorMessage="1" sqref="AV10">
      <formula1>0</formula1>
      <formula2>NaN</formula2>
    </dataValidation>
    <dataValidation type="whole" allowBlank="1" showInputMessage="1" showErrorMessage="1" sqref="AV11">
      <formula1>0</formula1>
      <formula2>NaN</formula2>
    </dataValidation>
    <dataValidation type="whole" allowBlank="1" showInputMessage="1" showErrorMessage="1" sqref="AV12">
      <formula1>0</formula1>
      <formula2>NaN</formula2>
    </dataValidation>
    <dataValidation type="whole" allowBlank="1" showInputMessage="1" showErrorMessage="1" sqref="AV13">
      <formula1>0</formula1>
      <formula2>NaN</formula2>
    </dataValidation>
    <dataValidation type="whole" allowBlank="1" showInputMessage="1" showErrorMessage="1" sqref="AV14">
      <formula1>0</formula1>
      <formula2>NaN</formula2>
    </dataValidation>
    <dataValidation type="whole" allowBlank="1" showInputMessage="1" showErrorMessage="1" sqref="AV15">
      <formula1>0</formula1>
      <formula2>NaN</formula2>
    </dataValidation>
    <dataValidation type="whole" allowBlank="1" showInputMessage="1" showErrorMessage="1" sqref="AV16">
      <formula1>0</formula1>
      <formula2>NaN</formula2>
    </dataValidation>
    <dataValidation type="whole" allowBlank="1" showInputMessage="1" showErrorMessage="1" sqref="AV17">
      <formula1>0</formula1>
      <formula2>NaN</formula2>
    </dataValidation>
    <dataValidation type="whole" allowBlank="1" showInputMessage="1" showErrorMessage="1" sqref="AV18">
      <formula1>0</formula1>
      <formula2>NaN</formula2>
    </dataValidation>
    <dataValidation type="whole" allowBlank="1" showInputMessage="1" showErrorMessage="1" sqref="AV19">
      <formula1>0</formula1>
      <formula2>NaN</formula2>
    </dataValidation>
    <dataValidation type="whole" allowBlank="1" showInputMessage="1" showErrorMessage="1" sqref="AV20">
      <formula1>0</formula1>
      <formula2>NaN</formula2>
    </dataValidation>
    <dataValidation type="whole" allowBlank="1" showInputMessage="1" showErrorMessage="1" sqref="AV21">
      <formula1>0</formula1>
      <formula2>NaN</formula2>
    </dataValidation>
    <dataValidation type="whole" allowBlank="1" showInputMessage="1" showErrorMessage="1" sqref="AV22">
      <formula1>0</formula1>
      <formula2>NaN</formula2>
    </dataValidation>
    <dataValidation type="whole" allowBlank="1" showInputMessage="1" showErrorMessage="1" sqref="AV23">
      <formula1>0</formula1>
      <formula2>NaN</formula2>
    </dataValidation>
    <dataValidation type="whole" allowBlank="1" showInputMessage="1" showErrorMessage="1" sqref="AV24">
      <formula1>0</formula1>
      <formula2>NaN</formula2>
    </dataValidation>
    <dataValidation type="whole" allowBlank="1" showInputMessage="1" showErrorMessage="1" sqref="AV25">
      <formula1>0</formula1>
      <formula2>NaN</formula2>
    </dataValidation>
    <dataValidation type="whole" allowBlank="1" showInputMessage="1" showErrorMessage="1" sqref="AV26">
      <formula1>0</formula1>
      <formula2>NaN</formula2>
    </dataValidation>
    <dataValidation type="whole" allowBlank="1" showInputMessage="1" showErrorMessage="1" sqref="AV27">
      <formula1>0</formula1>
      <formula2>NaN</formula2>
    </dataValidation>
    <dataValidation type="whole" allowBlank="1" showInputMessage="1" showErrorMessage="1" sqref="AV28">
      <formula1>0</formula1>
      <formula2>NaN</formula2>
    </dataValidation>
    <dataValidation type="whole" allowBlank="1" showInputMessage="1" showErrorMessage="1" sqref="AV29">
      <formula1>0</formula1>
      <formula2>NaN</formula2>
    </dataValidation>
    <dataValidation type="whole" allowBlank="1" showInputMessage="1" showErrorMessage="1" sqref="AV30">
      <formula1>0</formula1>
      <formula2>NaN</formula2>
    </dataValidation>
    <dataValidation type="whole" allowBlank="1" showInputMessage="1" showErrorMessage="1" sqref="AV31">
      <formula1>0</formula1>
      <formula2>NaN</formula2>
    </dataValidation>
    <dataValidation type="whole" allowBlank="1" showInputMessage="1" showErrorMessage="1" sqref="AV32">
      <formula1>0</formula1>
      <formula2>NaN</formula2>
    </dataValidation>
    <dataValidation type="whole" allowBlank="1" showInputMessage="1" showErrorMessage="1" sqref="AV33">
      <formula1>0</formula1>
      <formula2>NaN</formula2>
    </dataValidation>
    <dataValidation type="whole" allowBlank="1" showInputMessage="1" showErrorMessage="1" sqref="AV34">
      <formula1>0</formula1>
      <formula2>NaN</formula2>
    </dataValidation>
    <dataValidation type="whole" allowBlank="1" showInputMessage="1" showErrorMessage="1" sqref="AV35">
      <formula1>0</formula1>
      <formula2>NaN</formula2>
    </dataValidation>
    <dataValidation type="whole" allowBlank="1" showInputMessage="1" showErrorMessage="1" sqref="AV36">
      <formula1>0</formula1>
      <formula2>NaN</formula2>
    </dataValidation>
    <dataValidation type="whole" allowBlank="1" showInputMessage="1" showErrorMessage="1" sqref="AV37">
      <formula1>0</formula1>
      <formula2>NaN</formula2>
    </dataValidation>
    <dataValidation type="whole" allowBlank="1" showInputMessage="1" showErrorMessage="1" sqref="AV38">
      <formula1>0</formula1>
      <formula2>NaN</formula2>
    </dataValidation>
    <dataValidation type="whole" allowBlank="1" showInputMessage="1" showErrorMessage="1" sqref="AV39">
      <formula1>0</formula1>
      <formula2>NaN</formula2>
    </dataValidation>
    <dataValidation type="whole" allowBlank="1" showInputMessage="1" showErrorMessage="1" sqref="AV40">
      <formula1>0</formula1>
      <formula2>NaN</formula2>
    </dataValidation>
    <dataValidation type="whole" allowBlank="1" showInputMessage="1" showErrorMessage="1" sqref="AV41">
      <formula1>0</formula1>
      <formula2>NaN</formula2>
    </dataValidation>
    <dataValidation type="whole" allowBlank="1" showInputMessage="1" showErrorMessage="1" sqref="AV42">
      <formula1>0</formula1>
      <formula2>NaN</formula2>
    </dataValidation>
    <dataValidation type="whole" allowBlank="1" showInputMessage="1" showErrorMessage="1" sqref="AV43">
      <formula1>0</formula1>
      <formula2>NaN</formula2>
    </dataValidation>
    <dataValidation type="whole" allowBlank="1" showInputMessage="1" showErrorMessage="1" sqref="AV44">
      <formula1>0</formula1>
      <formula2>NaN</formula2>
    </dataValidation>
    <dataValidation type="whole" allowBlank="1" showInputMessage="1" showErrorMessage="1" sqref="AV45">
      <formula1>0</formula1>
      <formula2>NaN</formula2>
    </dataValidation>
    <dataValidation type="whole" allowBlank="1" showInputMessage="1" showErrorMessage="1" sqref="AV46">
      <formula1>0</formula1>
      <formula2>NaN</formula2>
    </dataValidation>
    <dataValidation type="whole" allowBlank="1" showInputMessage="1" showErrorMessage="1" sqref="AV47">
      <formula1>0</formula1>
      <formula2>NaN</formula2>
    </dataValidation>
    <dataValidation type="whole" allowBlank="1" showInputMessage="1" showErrorMessage="1" sqref="AV48">
      <formula1>0</formula1>
      <formula2>NaN</formula2>
    </dataValidation>
    <dataValidation type="whole" allowBlank="1" showInputMessage="1" showErrorMessage="1" sqref="AV49">
      <formula1>0</formula1>
      <formula2>NaN</formula2>
    </dataValidation>
    <dataValidation type="whole" allowBlank="1" showInputMessage="1" showErrorMessage="1" sqref="AV50">
      <formula1>0</formula1>
      <formula2>NaN</formula2>
    </dataValidation>
    <dataValidation type="whole" allowBlank="1" showInputMessage="1" showErrorMessage="1" sqref="AV51">
      <formula1>0</formula1>
      <formula2>NaN</formula2>
    </dataValidation>
    <dataValidation type="whole" allowBlank="1" showInputMessage="1" showErrorMessage="1" sqref="AV52">
      <formula1>0</formula1>
      <formula2>NaN</formula2>
    </dataValidation>
    <dataValidation type="whole" allowBlank="1" showInputMessage="1" showErrorMessage="1" sqref="AV53">
      <formula1>0</formula1>
      <formula2>NaN</formula2>
    </dataValidation>
    <dataValidation type="whole" allowBlank="1" showInputMessage="1" showErrorMessage="1" sqref="AV54">
      <formula1>0</formula1>
      <formula2>NaN</formula2>
    </dataValidation>
    <dataValidation type="whole" allowBlank="1" showInputMessage="1" showErrorMessage="1" sqref="AV55">
      <formula1>0</formula1>
      <formula2>NaN</formula2>
    </dataValidation>
    <dataValidation type="whole" allowBlank="1" showInputMessage="1" showErrorMessage="1" sqref="AV56">
      <formula1>0</formula1>
      <formula2>NaN</formula2>
    </dataValidation>
    <dataValidation type="whole" allowBlank="1" showInputMessage="1" showErrorMessage="1" sqref="AV57">
      <formula1>0</formula1>
      <formula2>NaN</formula2>
    </dataValidation>
    <dataValidation type="whole" allowBlank="1" showInputMessage="1" showErrorMessage="1" sqref="AV58">
      <formula1>0</formula1>
      <formula2>NaN</formula2>
    </dataValidation>
    <dataValidation type="whole" allowBlank="1" showInputMessage="1" showErrorMessage="1" sqref="AV59">
      <formula1>0</formula1>
      <formula2>NaN</formula2>
    </dataValidation>
    <dataValidation type="whole" allowBlank="1" showInputMessage="1" showErrorMessage="1" sqref="AV60">
      <formula1>0</formula1>
      <formula2>NaN</formula2>
    </dataValidation>
    <dataValidation type="whole" allowBlank="1" showInputMessage="1" showErrorMessage="1" sqref="AV61">
      <formula1>0</formula1>
      <formula2>NaN</formula2>
    </dataValidation>
    <dataValidation type="whole" allowBlank="1" showInputMessage="1" showErrorMessage="1" sqref="AV62">
      <formula1>0</formula1>
      <formula2>NaN</formula2>
    </dataValidation>
    <dataValidation type="whole" allowBlank="1" showInputMessage="1" showErrorMessage="1" sqref="AV63">
      <formula1>0</formula1>
      <formula2>NaN</formula2>
    </dataValidation>
    <dataValidation type="whole" allowBlank="1" showInputMessage="1" showErrorMessage="1" sqref="AV64">
      <formula1>0</formula1>
      <formula2>NaN</formula2>
    </dataValidation>
    <dataValidation type="whole" allowBlank="1" showInputMessage="1" showErrorMessage="1" sqref="AV65">
      <formula1>0</formula1>
      <formula2>NaN</formula2>
    </dataValidation>
    <dataValidation type="whole" allowBlank="1" showInputMessage="1" showErrorMessage="1" sqref="AV66">
      <formula1>0</formula1>
      <formula2>NaN</formula2>
    </dataValidation>
    <dataValidation type="whole" allowBlank="1" showInputMessage="1" showErrorMessage="1" sqref="AV67">
      <formula1>0</formula1>
      <formula2>NaN</formula2>
    </dataValidation>
    <dataValidation type="whole" allowBlank="1" showInputMessage="1" showErrorMessage="1" sqref="AV68">
      <formula1>0</formula1>
      <formula2>NaN</formula2>
    </dataValidation>
    <dataValidation type="whole" allowBlank="1" showInputMessage="1" showErrorMessage="1" sqref="AV9">
      <formula1>0</formula1>
      <formula2>NaN</formula2>
    </dataValidation>
    <dataValidation showInputMessage="1" prompt="Percentage Score" showErrorMessage="1" sqref="AZ5"/>
    <dataValidation showInputMessage="1" prompt="Weighted Score" showErrorMessage="1" sqref="BA5"/>
    <dataValidation type="custom" allowBlank="1" showInputMessage="1" showErrorMessage="1" sqref="BB10:BB68">
      <formula1>AND($AY9&lt;&gt;"",ROUND(SUM(AA9,AS9,BA9),2)&lt;70,$BB9&lt;=$BB$6)</formula1>
    </dataValidation>
    <dataValidation showInputMessage="1" prompt="Input possible highest score here" showErrorMessage="1" sqref="BB6:BB7"/>
    <dataValidation showInputMessage="1" prompt="Input date here" showErrorMessage="1" sqref="BB8"/>
    <dataValidation type="custom" allowBlank="1" showInputMessage="1" showErrorMessage="1" sqref="BB9:BB68">
      <formula1>AND($AY9&lt;&gt;"",ROUND(SUM(AA9,AS9,BA9),2)&lt;70,$BB9&lt;=$BB$6)</formula1>
    </dataValidation>
    <dataValidation showInputMessage="1" prompt="Percentage Score" showErrorMessage="1" sqref="BC5"/>
    <dataValidation type="whole" allowBlank="1" showInputMessage="1" showErrorMessage="1" sqref="E10">
      <formula1>0</formula1>
      <formula2>NaN</formula2>
    </dataValidation>
    <dataValidation type="whole" allowBlank="1" showInputMessage="1" showErrorMessage="1" sqref="E11">
      <formula1>0</formula1>
      <formula2>NaN</formula2>
    </dataValidation>
    <dataValidation type="whole" allowBlank="1" showInputMessage="1" showErrorMessage="1" sqref="E12">
      <formula1>0</formula1>
      <formula2>NaN</formula2>
    </dataValidation>
    <dataValidation type="whole" allowBlank="1" showInputMessage="1" showErrorMessage="1" sqref="E13">
      <formula1>0</formula1>
      <formula2>NaN</formula2>
    </dataValidation>
    <dataValidation type="whole" allowBlank="1" showInputMessage="1" showErrorMessage="1" sqref="E14">
      <formula1>0</formula1>
      <formula2>NaN</formula2>
    </dataValidation>
    <dataValidation type="whole" allowBlank="1" showInputMessage="1" showErrorMessage="1" sqref="E15">
      <formula1>0</formula1>
      <formula2>NaN</formula2>
    </dataValidation>
    <dataValidation type="whole" allowBlank="1" showInputMessage="1" showErrorMessage="1" sqref="E16">
      <formula1>0</formula1>
      <formula2>NaN</formula2>
    </dataValidation>
    <dataValidation type="whole" allowBlank="1" showInputMessage="1" showErrorMessage="1" sqref="E17">
      <formula1>0</formula1>
      <formula2>NaN</formula2>
    </dataValidation>
    <dataValidation type="whole" allowBlank="1" showInputMessage="1" showErrorMessage="1" sqref="E18">
      <formula1>0</formula1>
      <formula2>NaN</formula2>
    </dataValidation>
    <dataValidation type="whole" allowBlank="1" showInputMessage="1" showErrorMessage="1" sqref="E19">
      <formula1>0</formula1>
      <formula2>NaN</formula2>
    </dataValidation>
    <dataValidation type="whole" allowBlank="1" showInputMessage="1" showErrorMessage="1" sqref="E20">
      <formula1>0</formula1>
      <formula2>NaN</formula2>
    </dataValidation>
    <dataValidation type="whole" allowBlank="1" showInputMessage="1" showErrorMessage="1" sqref="E21">
      <formula1>0</formula1>
      <formula2>NaN</formula2>
    </dataValidation>
    <dataValidation type="whole" allowBlank="1" showInputMessage="1" showErrorMessage="1" sqref="E22">
      <formula1>0</formula1>
      <formula2>NaN</formula2>
    </dataValidation>
    <dataValidation type="whole" allowBlank="1" showInputMessage="1" showErrorMessage="1" sqref="E23">
      <formula1>0</formula1>
      <formula2>NaN</formula2>
    </dataValidation>
    <dataValidation type="whole" allowBlank="1" showInputMessage="1" showErrorMessage="1" sqref="E24">
      <formula1>0</formula1>
      <formula2>NaN</formula2>
    </dataValidation>
    <dataValidation type="whole" allowBlank="1" showInputMessage="1" showErrorMessage="1" sqref="E25">
      <formula1>0</formula1>
      <formula2>NaN</formula2>
    </dataValidation>
    <dataValidation type="whole" allowBlank="1" showInputMessage="1" showErrorMessage="1" sqref="E26">
      <formula1>0</formula1>
      <formula2>NaN</formula2>
    </dataValidation>
    <dataValidation type="whole" allowBlank="1" showInputMessage="1" showErrorMessage="1" sqref="E27">
      <formula1>0</formula1>
      <formula2>NaN</formula2>
    </dataValidation>
    <dataValidation type="whole" allowBlank="1" showInputMessage="1" showErrorMessage="1" sqref="E28">
      <formula1>0</formula1>
      <formula2>NaN</formula2>
    </dataValidation>
    <dataValidation type="whole" allowBlank="1" showInputMessage="1" showErrorMessage="1" sqref="E29">
      <formula1>0</formula1>
      <formula2>NaN</formula2>
    </dataValidation>
    <dataValidation type="whole" allowBlank="1" showInputMessage="1" showErrorMessage="1" sqref="E30">
      <formula1>0</formula1>
      <formula2>NaN</formula2>
    </dataValidation>
    <dataValidation type="whole" allowBlank="1" showInputMessage="1" showErrorMessage="1" sqref="E31">
      <formula1>0</formula1>
      <formula2>NaN</formula2>
    </dataValidation>
    <dataValidation type="whole" allowBlank="1" showInputMessage="1" showErrorMessage="1" sqref="E32">
      <formula1>0</formula1>
      <formula2>NaN</formula2>
    </dataValidation>
    <dataValidation type="whole" allowBlank="1" showInputMessage="1" showErrorMessage="1" sqref="E33">
      <formula1>0</formula1>
      <formula2>NaN</formula2>
    </dataValidation>
    <dataValidation type="whole" allowBlank="1" showInputMessage="1" showErrorMessage="1" sqref="E34">
      <formula1>0</formula1>
      <formula2>NaN</formula2>
    </dataValidation>
    <dataValidation type="whole" allowBlank="1" showInputMessage="1" showErrorMessage="1" sqref="E35">
      <formula1>0</formula1>
      <formula2>NaN</formula2>
    </dataValidation>
    <dataValidation type="whole" allowBlank="1" showInputMessage="1" showErrorMessage="1" sqref="E36">
      <formula1>0</formula1>
      <formula2>NaN</formula2>
    </dataValidation>
    <dataValidation type="whole" allowBlank="1" showInputMessage="1" showErrorMessage="1" sqref="E37">
      <formula1>0</formula1>
      <formula2>NaN</formula2>
    </dataValidation>
    <dataValidation type="whole" allowBlank="1" showInputMessage="1" showErrorMessage="1" sqref="E38">
      <formula1>0</formula1>
      <formula2>NaN</formula2>
    </dataValidation>
    <dataValidation type="whole" allowBlank="1" showInputMessage="1" showErrorMessage="1" sqref="E39">
      <formula1>0</formula1>
      <formula2>NaN</formula2>
    </dataValidation>
    <dataValidation type="whole" allowBlank="1" showInputMessage="1" showErrorMessage="1" sqref="E40">
      <formula1>0</formula1>
      <formula2>NaN</formula2>
    </dataValidation>
    <dataValidation type="whole" allowBlank="1" showInputMessage="1" showErrorMessage="1" sqref="E41">
      <formula1>0</formula1>
      <formula2>NaN</formula2>
    </dataValidation>
    <dataValidation type="whole" allowBlank="1" showInputMessage="1" showErrorMessage="1" sqref="E42">
      <formula1>0</formula1>
      <formula2>NaN</formula2>
    </dataValidation>
    <dataValidation type="whole" allowBlank="1" showInputMessage="1" showErrorMessage="1" sqref="E43">
      <formula1>0</formula1>
      <formula2>NaN</formula2>
    </dataValidation>
    <dataValidation type="whole" allowBlank="1" showInputMessage="1" showErrorMessage="1" sqref="E44">
      <formula1>0</formula1>
      <formula2>NaN</formula2>
    </dataValidation>
    <dataValidation type="whole" allowBlank="1" showInputMessage="1" showErrorMessage="1" sqref="E45">
      <formula1>0</formula1>
      <formula2>NaN</formula2>
    </dataValidation>
    <dataValidation type="whole" allowBlank="1" showInputMessage="1" showErrorMessage="1" sqref="E46">
      <formula1>0</formula1>
      <formula2>NaN</formula2>
    </dataValidation>
    <dataValidation type="whole" allowBlank="1" showInputMessage="1" showErrorMessage="1" sqref="E47">
      <formula1>0</formula1>
      <formula2>NaN</formula2>
    </dataValidation>
    <dataValidation type="whole" allowBlank="1" showInputMessage="1" showErrorMessage="1" sqref="E48">
      <formula1>0</formula1>
      <formula2>NaN</formula2>
    </dataValidation>
    <dataValidation type="whole" allowBlank="1" showInputMessage="1" showErrorMessage="1" sqref="E49">
      <formula1>0</formula1>
      <formula2>NaN</formula2>
    </dataValidation>
    <dataValidation type="whole" allowBlank="1" showInputMessage="1" showErrorMessage="1" sqref="E50">
      <formula1>0</formula1>
      <formula2>NaN</formula2>
    </dataValidation>
    <dataValidation type="whole" allowBlank="1" showInputMessage="1" showErrorMessage="1" sqref="E51">
      <formula1>0</formula1>
      <formula2>NaN</formula2>
    </dataValidation>
    <dataValidation type="whole" allowBlank="1" showInputMessage="1" showErrorMessage="1" sqref="E52">
      <formula1>0</formula1>
      <formula2>NaN</formula2>
    </dataValidation>
    <dataValidation type="whole" allowBlank="1" showInputMessage="1" showErrorMessage="1" sqref="E53">
      <formula1>0</formula1>
      <formula2>NaN</formula2>
    </dataValidation>
    <dataValidation type="whole" allowBlank="1" showInputMessage="1" showErrorMessage="1" sqref="E54">
      <formula1>0</formula1>
      <formula2>NaN</formula2>
    </dataValidation>
    <dataValidation type="whole" allowBlank="1" showInputMessage="1" showErrorMessage="1" sqref="E55">
      <formula1>0</formula1>
      <formula2>NaN</formula2>
    </dataValidation>
    <dataValidation type="whole" allowBlank="1" showInputMessage="1" showErrorMessage="1" sqref="E56">
      <formula1>0</formula1>
      <formula2>NaN</formula2>
    </dataValidation>
    <dataValidation type="whole" allowBlank="1" showInputMessage="1" showErrorMessage="1" sqref="E57">
      <formula1>0</formula1>
      <formula2>NaN</formula2>
    </dataValidation>
    <dataValidation type="whole" allowBlank="1" showInputMessage="1" showErrorMessage="1" sqref="E58">
      <formula1>0</formula1>
      <formula2>NaN</formula2>
    </dataValidation>
    <dataValidation type="whole" allowBlank="1" showInputMessage="1" showErrorMessage="1" sqref="E59">
      <formula1>0</formula1>
      <formula2>NaN</formula2>
    </dataValidation>
    <dataValidation showInputMessage="1" prompt="Input possible highest score here" showErrorMessage="1" sqref="E6:X6"/>
    <dataValidation type="whole" allowBlank="1" showInputMessage="1" showErrorMessage="1" sqref="E60">
      <formula1>0</formula1>
      <formula2>NaN</formula2>
    </dataValidation>
    <dataValidation type="whole" allowBlank="1" showInputMessage="1" showErrorMessage="1" sqref="E61">
      <formula1>0</formula1>
      <formula2>NaN</formula2>
    </dataValidation>
    <dataValidation type="whole" allowBlank="1" showInputMessage="1" showErrorMessage="1" sqref="E62">
      <formula1>0</formula1>
      <formula2>NaN</formula2>
    </dataValidation>
    <dataValidation type="whole" allowBlank="1" showInputMessage="1" showErrorMessage="1" sqref="E63">
      <formula1>0</formula1>
      <formula2>NaN</formula2>
    </dataValidation>
    <dataValidation type="whole" allowBlank="1" showInputMessage="1" showErrorMessage="1" sqref="E64">
      <formula1>0</formula1>
      <formula2>NaN</formula2>
    </dataValidation>
    <dataValidation type="whole" allowBlank="1" showInputMessage="1" showErrorMessage="1" sqref="E65">
      <formula1>0</formula1>
      <formula2>NaN</formula2>
    </dataValidation>
    <dataValidation type="whole" allowBlank="1" showInputMessage="1" showErrorMessage="1" sqref="E66">
      <formula1>0</formula1>
      <formula2>NaN</formula2>
    </dataValidation>
    <dataValidation type="whole" allowBlank="1" showInputMessage="1" showErrorMessage="1" sqref="E67">
      <formula1>0</formula1>
      <formula2>NaN</formula2>
    </dataValidation>
    <dataValidation type="whole" allowBlank="1" showInputMessage="1" showErrorMessage="1" sqref="E68">
      <formula1>0</formula1>
      <formula2>NaN</formula2>
    </dataValidation>
    <dataValidation type="date" allowBlank="1" showInputMessage="1" prompt="Input date here_x000a_" showErrorMessage="1" sqref="E7:X7">
      <formula1>1</formula1>
      <formula2>NaN</formula2>
    </dataValidation>
    <dataValidation showInputMessage="1" prompt="Personal Remarks for FMs – You may enter any remarks here. Sample tags include:_x000a_ _x000a_A1 - Activity 1_x000a_REC1 - Recitation 1_x000a_Q1 - Quiz 1_x000a_1L1 - 01 LMS Activity 1" showErrorMessage="1" sqref="E8:X8"/>
    <dataValidation type="whole" allowBlank="1" showInputMessage="1" showErrorMessage="1" sqref="E9">
      <formula1>0</formula1>
      <formula2>NaN</formula2>
    </dataValidation>
    <dataValidation type="whole" allowBlank="1" showInputMessage="1" showErrorMessage="1" sqref="F10">
      <formula1>0</formula1>
      <formula2>NaN</formula2>
    </dataValidation>
    <dataValidation type="whole" allowBlank="1" showInputMessage="1" showErrorMessage="1" sqref="F11">
      <formula1>0</formula1>
      <formula2>NaN</formula2>
    </dataValidation>
    <dataValidation type="whole" allowBlank="1" showInputMessage="1" showErrorMessage="1" sqref="F12">
      <formula1>0</formula1>
      <formula2>NaN</formula2>
    </dataValidation>
    <dataValidation type="whole" allowBlank="1" showInputMessage="1" showErrorMessage="1" sqref="F13">
      <formula1>0</formula1>
      <formula2>NaN</formula2>
    </dataValidation>
    <dataValidation type="whole" allowBlank="1" showInputMessage="1" showErrorMessage="1" sqref="F14">
      <formula1>0</formula1>
      <formula2>NaN</formula2>
    </dataValidation>
    <dataValidation type="whole" allowBlank="1" showInputMessage="1" showErrorMessage="1" sqref="F15">
      <formula1>0</formula1>
      <formula2>NaN</formula2>
    </dataValidation>
    <dataValidation type="whole" allowBlank="1" showInputMessage="1" showErrorMessage="1" sqref="F16">
      <formula1>0</formula1>
      <formula2>NaN</formula2>
    </dataValidation>
    <dataValidation type="whole" allowBlank="1" showInputMessage="1" showErrorMessage="1" sqref="F17">
      <formula1>0</formula1>
      <formula2>NaN</formula2>
    </dataValidation>
    <dataValidation type="whole" allowBlank="1" showInputMessage="1" showErrorMessage="1" sqref="F18">
      <formula1>0</formula1>
      <formula2>NaN</formula2>
    </dataValidation>
    <dataValidation type="whole" allowBlank="1" showInputMessage="1" showErrorMessage="1" sqref="F19">
      <formula1>0</formula1>
      <formula2>NaN</formula2>
    </dataValidation>
    <dataValidation type="whole" allowBlank="1" showInputMessage="1" showErrorMessage="1" sqref="F20">
      <formula1>0</formula1>
      <formula2>NaN</formula2>
    </dataValidation>
    <dataValidation type="whole" allowBlank="1" showInputMessage="1" showErrorMessage="1" sqref="F21">
      <formula1>0</formula1>
      <formula2>NaN</formula2>
    </dataValidation>
    <dataValidation type="whole" allowBlank="1" showInputMessage="1" showErrorMessage="1" sqref="F22">
      <formula1>0</formula1>
      <formula2>NaN</formula2>
    </dataValidation>
    <dataValidation type="whole" allowBlank="1" showInputMessage="1" showErrorMessage="1" sqref="F23">
      <formula1>0</formula1>
      <formula2>NaN</formula2>
    </dataValidation>
    <dataValidation type="whole" allowBlank="1" showInputMessage="1" showErrorMessage="1" sqref="F24">
      <formula1>0</formula1>
      <formula2>NaN</formula2>
    </dataValidation>
    <dataValidation type="whole" allowBlank="1" showInputMessage="1" showErrorMessage="1" sqref="F25">
      <formula1>0</formula1>
      <formula2>NaN</formula2>
    </dataValidation>
    <dataValidation type="whole" allowBlank="1" showInputMessage="1" showErrorMessage="1" sqref="F26">
      <formula1>0</formula1>
      <formula2>NaN</formula2>
    </dataValidation>
    <dataValidation type="whole" allowBlank="1" showInputMessage="1" showErrorMessage="1" sqref="F27">
      <formula1>0</formula1>
      <formula2>NaN</formula2>
    </dataValidation>
    <dataValidation type="whole" allowBlank="1" showInputMessage="1" showErrorMessage="1" sqref="F28">
      <formula1>0</formula1>
      <formula2>NaN</formula2>
    </dataValidation>
    <dataValidation type="whole" allowBlank="1" showInputMessage="1" showErrorMessage="1" sqref="F29">
      <formula1>0</formula1>
      <formula2>NaN</formula2>
    </dataValidation>
    <dataValidation type="whole" allowBlank="1" showInputMessage="1" showErrorMessage="1" sqref="F30">
      <formula1>0</formula1>
      <formula2>NaN</formula2>
    </dataValidation>
    <dataValidation type="whole" allowBlank="1" showInputMessage="1" showErrorMessage="1" sqref="F31">
      <formula1>0</formula1>
      <formula2>NaN</formula2>
    </dataValidation>
    <dataValidation type="whole" allowBlank="1" showInputMessage="1" showErrorMessage="1" sqref="F32">
      <formula1>0</formula1>
      <formula2>NaN</formula2>
    </dataValidation>
    <dataValidation type="whole" allowBlank="1" showInputMessage="1" showErrorMessage="1" sqref="F33">
      <formula1>0</formula1>
      <formula2>NaN</formula2>
    </dataValidation>
    <dataValidation type="whole" allowBlank="1" showInputMessage="1" showErrorMessage="1" sqref="F34">
      <formula1>0</formula1>
      <formula2>NaN</formula2>
    </dataValidation>
    <dataValidation type="whole" allowBlank="1" showInputMessage="1" showErrorMessage="1" sqref="F35">
      <formula1>0</formula1>
      <formula2>NaN</formula2>
    </dataValidation>
    <dataValidation type="whole" allowBlank="1" showInputMessage="1" showErrorMessage="1" sqref="F36">
      <formula1>0</formula1>
      <formula2>NaN</formula2>
    </dataValidation>
    <dataValidation type="whole" allowBlank="1" showInputMessage="1" showErrorMessage="1" sqref="F37">
      <formula1>0</formula1>
      <formula2>NaN</formula2>
    </dataValidation>
    <dataValidation type="whole" allowBlank="1" showInputMessage="1" showErrorMessage="1" sqref="F38">
      <formula1>0</formula1>
      <formula2>NaN</formula2>
    </dataValidation>
    <dataValidation type="whole" allowBlank="1" showInputMessage="1" showErrorMessage="1" sqref="F39">
      <formula1>0</formula1>
      <formula2>NaN</formula2>
    </dataValidation>
    <dataValidation type="whole" allowBlank="1" showInputMessage="1" showErrorMessage="1" sqref="F40">
      <formula1>0</formula1>
      <formula2>NaN</formula2>
    </dataValidation>
    <dataValidation type="whole" allowBlank="1" showInputMessage="1" showErrorMessage="1" sqref="F41">
      <formula1>0</formula1>
      <formula2>NaN</formula2>
    </dataValidation>
    <dataValidation type="whole" allowBlank="1" showInputMessage="1" showErrorMessage="1" sqref="F42">
      <formula1>0</formula1>
      <formula2>NaN</formula2>
    </dataValidation>
    <dataValidation type="whole" allowBlank="1" showInputMessage="1" showErrorMessage="1" sqref="F43">
      <formula1>0</formula1>
      <formula2>NaN</formula2>
    </dataValidation>
    <dataValidation type="whole" allowBlank="1" showInputMessage="1" showErrorMessage="1" sqref="F44">
      <formula1>0</formula1>
      <formula2>NaN</formula2>
    </dataValidation>
    <dataValidation type="whole" allowBlank="1" showInputMessage="1" showErrorMessage="1" sqref="F45">
      <formula1>0</formula1>
      <formula2>NaN</formula2>
    </dataValidation>
    <dataValidation type="whole" allowBlank="1" showInputMessage="1" showErrorMessage="1" sqref="F46">
      <formula1>0</formula1>
      <formula2>NaN</formula2>
    </dataValidation>
    <dataValidation type="whole" allowBlank="1" showInputMessage="1" showErrorMessage="1" sqref="F47">
      <formula1>0</formula1>
      <formula2>NaN</formula2>
    </dataValidation>
    <dataValidation type="whole" allowBlank="1" showInputMessage="1" showErrorMessage="1" sqref="F48">
      <formula1>0</formula1>
      <formula2>NaN</formula2>
    </dataValidation>
    <dataValidation type="whole" allowBlank="1" showInputMessage="1" showErrorMessage="1" sqref="F49">
      <formula1>0</formula1>
      <formula2>NaN</formula2>
    </dataValidation>
    <dataValidation type="whole" allowBlank="1" showInputMessage="1" showErrorMessage="1" sqref="F50">
      <formula1>0</formula1>
      <formula2>NaN</formula2>
    </dataValidation>
    <dataValidation type="whole" allowBlank="1" showInputMessage="1" showErrorMessage="1" sqref="F51">
      <formula1>0</formula1>
      <formula2>NaN</formula2>
    </dataValidation>
    <dataValidation type="whole" allowBlank="1" showInputMessage="1" showErrorMessage="1" sqref="F52">
      <formula1>0</formula1>
      <formula2>NaN</formula2>
    </dataValidation>
    <dataValidation type="whole" allowBlank="1" showInputMessage="1" showErrorMessage="1" sqref="F53">
      <formula1>0</formula1>
      <formula2>NaN</formula2>
    </dataValidation>
    <dataValidation type="whole" allowBlank="1" showInputMessage="1" showErrorMessage="1" sqref="F54">
      <formula1>0</formula1>
      <formula2>NaN</formula2>
    </dataValidation>
    <dataValidation type="whole" allowBlank="1" showInputMessage="1" showErrorMessage="1" sqref="F55">
      <formula1>0</formula1>
      <formula2>NaN</formula2>
    </dataValidation>
    <dataValidation type="whole" allowBlank="1" showInputMessage="1" showErrorMessage="1" sqref="F56">
      <formula1>0</formula1>
      <formula2>NaN</formula2>
    </dataValidation>
    <dataValidation type="whole" allowBlank="1" showInputMessage="1" showErrorMessage="1" sqref="F57">
      <formula1>0</formula1>
      <formula2>NaN</formula2>
    </dataValidation>
    <dataValidation type="whole" allowBlank="1" showInputMessage="1" showErrorMessage="1" sqref="F58">
      <formula1>0</formula1>
      <formula2>NaN</formula2>
    </dataValidation>
    <dataValidation type="whole" allowBlank="1" showInputMessage="1" showErrorMessage="1" sqref="F59">
      <formula1>0</formula1>
      <formula2>NaN</formula2>
    </dataValidation>
    <dataValidation type="whole" allowBlank="1" showInputMessage="1" showErrorMessage="1" sqref="F60">
      <formula1>0</formula1>
      <formula2>NaN</formula2>
    </dataValidation>
    <dataValidation type="whole" allowBlank="1" showInputMessage="1" showErrorMessage="1" sqref="F61">
      <formula1>0</formula1>
      <formula2>NaN</formula2>
    </dataValidation>
    <dataValidation type="whole" allowBlank="1" showInputMessage="1" showErrorMessage="1" sqref="F62">
      <formula1>0</formula1>
      <formula2>NaN</formula2>
    </dataValidation>
    <dataValidation type="whole" allowBlank="1" showInputMessage="1" showErrorMessage="1" sqref="F63">
      <formula1>0</formula1>
      <formula2>NaN</formula2>
    </dataValidation>
    <dataValidation type="whole" allowBlank="1" showInputMessage="1" showErrorMessage="1" sqref="F64">
      <formula1>0</formula1>
      <formula2>NaN</formula2>
    </dataValidation>
    <dataValidation type="whole" allowBlank="1" showInputMessage="1" showErrorMessage="1" sqref="F65">
      <formula1>0</formula1>
      <formula2>NaN</formula2>
    </dataValidation>
    <dataValidation type="whole" allowBlank="1" showInputMessage="1" showErrorMessage="1" sqref="F66">
      <formula1>0</formula1>
      <formula2>NaN</formula2>
    </dataValidation>
    <dataValidation type="whole" allowBlank="1" showInputMessage="1" showErrorMessage="1" sqref="F67">
      <formula1>0</formula1>
      <formula2>NaN</formula2>
    </dataValidation>
    <dataValidation type="whole" allowBlank="1" showInputMessage="1" showErrorMessage="1" sqref="F68">
      <formula1>0</formula1>
      <formula2>NaN</formula2>
    </dataValidation>
    <dataValidation type="whole" allowBlank="1" showInputMessage="1" showErrorMessage="1" sqref="F9">
      <formula1>0</formula1>
      <formula2>NaN</formula2>
    </dataValidation>
    <dataValidation type="whole" allowBlank="1" showInputMessage="1" showErrorMessage="1" sqref="G10">
      <formula1>0</formula1>
      <formula2>NaN</formula2>
    </dataValidation>
    <dataValidation type="whole" allowBlank="1" showInputMessage="1" showErrorMessage="1" sqref="G11">
      <formula1>0</formula1>
      <formula2>NaN</formula2>
    </dataValidation>
    <dataValidation type="whole" allowBlank="1" showInputMessage="1" showErrorMessage="1" sqref="G12">
      <formula1>0</formula1>
      <formula2>NaN</formula2>
    </dataValidation>
    <dataValidation type="whole" allowBlank="1" showInputMessage="1" showErrorMessage="1" sqref="G13">
      <formula1>0</formula1>
      <formula2>NaN</formula2>
    </dataValidation>
    <dataValidation type="whole" allowBlank="1" showInputMessage="1" showErrorMessage="1" sqref="G14">
      <formula1>0</formula1>
      <formula2>NaN</formula2>
    </dataValidation>
    <dataValidation type="whole" allowBlank="1" showInputMessage="1" showErrorMessage="1" sqref="G15">
      <formula1>0</formula1>
      <formula2>NaN</formula2>
    </dataValidation>
    <dataValidation type="whole" allowBlank="1" showInputMessage="1" showErrorMessage="1" sqref="G16">
      <formula1>0</formula1>
      <formula2>NaN</formula2>
    </dataValidation>
    <dataValidation type="whole" allowBlank="1" showInputMessage="1" showErrorMessage="1" sqref="G17">
      <formula1>0</formula1>
      <formula2>NaN</formula2>
    </dataValidation>
    <dataValidation type="whole" allowBlank="1" showInputMessage="1" showErrorMessage="1" sqref="G18">
      <formula1>0</formula1>
      <formula2>NaN</formula2>
    </dataValidation>
    <dataValidation type="whole" allowBlank="1" showInputMessage="1" showErrorMessage="1" sqref="G19">
      <formula1>0</formula1>
      <formula2>NaN</formula2>
    </dataValidation>
    <dataValidation type="whole" allowBlank="1" showInputMessage="1" showErrorMessage="1" sqref="G20">
      <formula1>0</formula1>
      <formula2>NaN</formula2>
    </dataValidation>
    <dataValidation type="whole" allowBlank="1" showInputMessage="1" showErrorMessage="1" sqref="G21">
      <formula1>0</formula1>
      <formula2>NaN</formula2>
    </dataValidation>
    <dataValidation type="whole" allowBlank="1" showInputMessage="1" showErrorMessage="1" sqref="G22">
      <formula1>0</formula1>
      <formula2>NaN</formula2>
    </dataValidation>
    <dataValidation type="whole" allowBlank="1" showInputMessage="1" showErrorMessage="1" sqref="G23">
      <formula1>0</formula1>
      <formula2>NaN</formula2>
    </dataValidation>
    <dataValidation type="whole" allowBlank="1" showInputMessage="1" showErrorMessage="1" sqref="G24">
      <formula1>0</formula1>
      <formula2>NaN</formula2>
    </dataValidation>
    <dataValidation type="whole" allowBlank="1" showInputMessage="1" showErrorMessage="1" sqref="G25">
      <formula1>0</formula1>
      <formula2>NaN</formula2>
    </dataValidation>
    <dataValidation type="whole" allowBlank="1" showInputMessage="1" showErrorMessage="1" sqref="G26">
      <formula1>0</formula1>
      <formula2>NaN</formula2>
    </dataValidation>
    <dataValidation type="whole" allowBlank="1" showInputMessage="1" showErrorMessage="1" sqref="G27">
      <formula1>0</formula1>
      <formula2>NaN</formula2>
    </dataValidation>
    <dataValidation type="whole" allowBlank="1" showInputMessage="1" showErrorMessage="1" sqref="G28">
      <formula1>0</formula1>
      <formula2>NaN</formula2>
    </dataValidation>
    <dataValidation type="whole" allowBlank="1" showInputMessage="1" showErrorMessage="1" sqref="G29">
      <formula1>0</formula1>
      <formula2>NaN</formula2>
    </dataValidation>
    <dataValidation type="whole" allowBlank="1" showInputMessage="1" showErrorMessage="1" sqref="G30">
      <formula1>0</formula1>
      <formula2>NaN</formula2>
    </dataValidation>
    <dataValidation type="whole" allowBlank="1" showInputMessage="1" showErrorMessage="1" sqref="G31">
      <formula1>0</formula1>
      <formula2>NaN</formula2>
    </dataValidation>
    <dataValidation type="whole" allowBlank="1" showInputMessage="1" showErrorMessage="1" sqref="G32">
      <formula1>0</formula1>
      <formula2>NaN</formula2>
    </dataValidation>
    <dataValidation type="whole" allowBlank="1" showInputMessage="1" showErrorMessage="1" sqref="G33">
      <formula1>0</formula1>
      <formula2>NaN</formula2>
    </dataValidation>
    <dataValidation type="whole" allowBlank="1" showInputMessage="1" showErrorMessage="1" sqref="G34">
      <formula1>0</formula1>
      <formula2>NaN</formula2>
    </dataValidation>
    <dataValidation type="whole" allowBlank="1" showInputMessage="1" showErrorMessage="1" sqref="G35">
      <formula1>0</formula1>
      <formula2>NaN</formula2>
    </dataValidation>
    <dataValidation type="whole" allowBlank="1" showInputMessage="1" showErrorMessage="1" sqref="G36">
      <formula1>0</formula1>
      <formula2>NaN</formula2>
    </dataValidation>
    <dataValidation type="whole" allowBlank="1" showInputMessage="1" showErrorMessage="1" sqref="G37">
      <formula1>0</formula1>
      <formula2>NaN</formula2>
    </dataValidation>
    <dataValidation type="whole" allowBlank="1" showInputMessage="1" showErrorMessage="1" sqref="G38">
      <formula1>0</formula1>
      <formula2>NaN</formula2>
    </dataValidation>
    <dataValidation type="whole" allowBlank="1" showInputMessage="1" showErrorMessage="1" sqref="G39">
      <formula1>0</formula1>
      <formula2>NaN</formula2>
    </dataValidation>
    <dataValidation type="whole" allowBlank="1" showInputMessage="1" showErrorMessage="1" sqref="G40">
      <formula1>0</formula1>
      <formula2>NaN</formula2>
    </dataValidation>
    <dataValidation type="whole" allowBlank="1" showInputMessage="1" showErrorMessage="1" sqref="G41">
      <formula1>0</formula1>
      <formula2>NaN</formula2>
    </dataValidation>
    <dataValidation type="whole" allowBlank="1" showInputMessage="1" showErrorMessage="1" sqref="G42">
      <formula1>0</formula1>
      <formula2>NaN</formula2>
    </dataValidation>
    <dataValidation type="whole" allowBlank="1" showInputMessage="1" showErrorMessage="1" sqref="G43">
      <formula1>0</formula1>
      <formula2>NaN</formula2>
    </dataValidation>
    <dataValidation type="whole" allowBlank="1" showInputMessage="1" showErrorMessage="1" sqref="G44">
      <formula1>0</formula1>
      <formula2>NaN</formula2>
    </dataValidation>
    <dataValidation type="whole" allowBlank="1" showInputMessage="1" showErrorMessage="1" sqref="G45">
      <formula1>0</formula1>
      <formula2>NaN</formula2>
    </dataValidation>
    <dataValidation type="whole" allowBlank="1" showInputMessage="1" showErrorMessage="1" sqref="G46">
      <formula1>0</formula1>
      <formula2>NaN</formula2>
    </dataValidation>
    <dataValidation type="whole" allowBlank="1" showInputMessage="1" showErrorMessage="1" sqref="G47">
      <formula1>0</formula1>
      <formula2>NaN</formula2>
    </dataValidation>
    <dataValidation type="whole" allowBlank="1" showInputMessage="1" showErrorMessage="1" sqref="G48">
      <formula1>0</formula1>
      <formula2>NaN</formula2>
    </dataValidation>
    <dataValidation type="whole" allowBlank="1" showInputMessage="1" showErrorMessage="1" sqref="G49">
      <formula1>0</formula1>
      <formula2>NaN</formula2>
    </dataValidation>
    <dataValidation type="whole" allowBlank="1" showInputMessage="1" showErrorMessage="1" sqref="G50">
      <formula1>0</formula1>
      <formula2>NaN</formula2>
    </dataValidation>
    <dataValidation type="whole" allowBlank="1" showInputMessage="1" showErrorMessage="1" sqref="G51">
      <formula1>0</formula1>
      <formula2>NaN</formula2>
    </dataValidation>
    <dataValidation type="whole" allowBlank="1" showInputMessage="1" showErrorMessage="1" sqref="G52">
      <formula1>0</formula1>
      <formula2>NaN</formula2>
    </dataValidation>
    <dataValidation type="whole" allowBlank="1" showInputMessage="1" showErrorMessage="1" sqref="G53">
      <formula1>0</formula1>
      <formula2>NaN</formula2>
    </dataValidation>
    <dataValidation type="whole" allowBlank="1" showInputMessage="1" showErrorMessage="1" sqref="G54">
      <formula1>0</formula1>
      <formula2>NaN</formula2>
    </dataValidation>
    <dataValidation type="whole" allowBlank="1" showInputMessage="1" showErrorMessage="1" sqref="G55">
      <formula1>0</formula1>
      <formula2>NaN</formula2>
    </dataValidation>
    <dataValidation type="whole" allowBlank="1" showInputMessage="1" showErrorMessage="1" sqref="G56">
      <formula1>0</formula1>
      <formula2>NaN</formula2>
    </dataValidation>
    <dataValidation type="whole" allowBlank="1" showInputMessage="1" showErrorMessage="1" sqref="G57">
      <formula1>0</formula1>
      <formula2>NaN</formula2>
    </dataValidation>
    <dataValidation type="whole" allowBlank="1" showInputMessage="1" showErrorMessage="1" sqref="G58">
      <formula1>0</formula1>
      <formula2>NaN</formula2>
    </dataValidation>
    <dataValidation type="whole" allowBlank="1" showInputMessage="1" showErrorMessage="1" sqref="G59">
      <formula1>0</formula1>
      <formula2>NaN</formula2>
    </dataValidation>
    <dataValidation type="whole" allowBlank="1" showInputMessage="1" showErrorMessage="1" sqref="G60">
      <formula1>0</formula1>
      <formula2>NaN</formula2>
    </dataValidation>
    <dataValidation type="whole" allowBlank="1" showInputMessage="1" showErrorMessage="1" sqref="G61">
      <formula1>0</formula1>
      <formula2>NaN</formula2>
    </dataValidation>
    <dataValidation type="whole" allowBlank="1" showInputMessage="1" showErrorMessage="1" sqref="G62">
      <formula1>0</formula1>
      <formula2>NaN</formula2>
    </dataValidation>
    <dataValidation type="whole" allowBlank="1" showInputMessage="1" showErrorMessage="1" sqref="G63">
      <formula1>0</formula1>
      <formula2>NaN</formula2>
    </dataValidation>
    <dataValidation type="whole" allowBlank="1" showInputMessage="1" showErrorMessage="1" sqref="G64">
      <formula1>0</formula1>
      <formula2>NaN</formula2>
    </dataValidation>
    <dataValidation type="whole" allowBlank="1" showInputMessage="1" showErrorMessage="1" sqref="G65">
      <formula1>0</formula1>
      <formula2>NaN</formula2>
    </dataValidation>
    <dataValidation type="whole" allowBlank="1" showInputMessage="1" showErrorMessage="1" sqref="G66">
      <formula1>0</formula1>
      <formula2>NaN</formula2>
    </dataValidation>
    <dataValidation type="whole" allowBlank="1" showInputMessage="1" showErrorMessage="1" sqref="G67">
      <formula1>0</formula1>
      <formula2>NaN</formula2>
    </dataValidation>
    <dataValidation type="whole" allowBlank="1" showInputMessage="1" showErrorMessage="1" sqref="G68">
      <formula1>0</formula1>
      <formula2>NaN</formula2>
    </dataValidation>
    <dataValidation type="whole" allowBlank="1" showInputMessage="1" showErrorMessage="1" sqref="G9">
      <formula1>0</formula1>
      <formula2>NaN</formula2>
    </dataValidation>
    <dataValidation type="whole" allowBlank="1" showInputMessage="1" showErrorMessage="1" sqref="H10">
      <formula1>0</formula1>
      <formula2>NaN</formula2>
    </dataValidation>
    <dataValidation type="whole" allowBlank="1" showInputMessage="1" showErrorMessage="1" sqref="H11">
      <formula1>0</formula1>
      <formula2>NaN</formula2>
    </dataValidation>
    <dataValidation type="whole" allowBlank="1" showInputMessage="1" showErrorMessage="1" sqref="H12">
      <formula1>0</formula1>
      <formula2>NaN</formula2>
    </dataValidation>
    <dataValidation type="whole" allowBlank="1" showInputMessage="1" showErrorMessage="1" sqref="H13">
      <formula1>0</formula1>
      <formula2>NaN</formula2>
    </dataValidation>
    <dataValidation type="whole" allowBlank="1" showInputMessage="1" showErrorMessage="1" sqref="H14">
      <formula1>0</formula1>
      <formula2>NaN</formula2>
    </dataValidation>
    <dataValidation type="whole" allowBlank="1" showInputMessage="1" showErrorMessage="1" sqref="H15">
      <formula1>0</formula1>
      <formula2>NaN</formula2>
    </dataValidation>
    <dataValidation type="whole" allowBlank="1" showInputMessage="1" showErrorMessage="1" sqref="H16">
      <formula1>0</formula1>
      <formula2>NaN</formula2>
    </dataValidation>
    <dataValidation type="whole" allowBlank="1" showInputMessage="1" showErrorMessage="1" sqref="H17">
      <formula1>0</formula1>
      <formula2>NaN</formula2>
    </dataValidation>
    <dataValidation type="whole" allowBlank="1" showInputMessage="1" showErrorMessage="1" sqref="H18">
      <formula1>0</formula1>
      <formula2>NaN</formula2>
    </dataValidation>
    <dataValidation type="whole" allowBlank="1" showInputMessage="1" showErrorMessage="1" sqref="H19">
      <formula1>0</formula1>
      <formula2>NaN</formula2>
    </dataValidation>
    <dataValidation type="whole" allowBlank="1" showInputMessage="1" showErrorMessage="1" sqref="H20">
      <formula1>0</formula1>
      <formula2>NaN</formula2>
    </dataValidation>
    <dataValidation type="whole" allowBlank="1" showInputMessage="1" showErrorMessage="1" sqref="H21">
      <formula1>0</formula1>
      <formula2>NaN</formula2>
    </dataValidation>
    <dataValidation type="whole" allowBlank="1" showInputMessage="1" showErrorMessage="1" sqref="H22">
      <formula1>0</formula1>
      <formula2>NaN</formula2>
    </dataValidation>
    <dataValidation type="whole" allowBlank="1" showInputMessage="1" showErrorMessage="1" sqref="H23">
      <formula1>0</formula1>
      <formula2>NaN</formula2>
    </dataValidation>
    <dataValidation type="whole" allowBlank="1" showInputMessage="1" showErrorMessage="1" sqref="H24">
      <formula1>0</formula1>
      <formula2>NaN</formula2>
    </dataValidation>
    <dataValidation type="whole" allowBlank="1" showInputMessage="1" showErrorMessage="1" sqref="H25">
      <formula1>0</formula1>
      <formula2>NaN</formula2>
    </dataValidation>
    <dataValidation type="whole" allowBlank="1" showInputMessage="1" showErrorMessage="1" sqref="H26">
      <formula1>0</formula1>
      <formula2>NaN</formula2>
    </dataValidation>
    <dataValidation type="whole" allowBlank="1" showInputMessage="1" showErrorMessage="1" sqref="H27">
      <formula1>0</formula1>
      <formula2>NaN</formula2>
    </dataValidation>
    <dataValidation type="whole" allowBlank="1" showInputMessage="1" showErrorMessage="1" sqref="H28">
      <formula1>0</formula1>
      <formula2>NaN</formula2>
    </dataValidation>
    <dataValidation type="whole" allowBlank="1" showInputMessage="1" showErrorMessage="1" sqref="H29">
      <formula1>0</formula1>
      <formula2>NaN</formula2>
    </dataValidation>
    <dataValidation type="whole" allowBlank="1" showInputMessage="1" showErrorMessage="1" sqref="H30">
      <formula1>0</formula1>
      <formula2>NaN</formula2>
    </dataValidation>
    <dataValidation type="whole" allowBlank="1" showInputMessage="1" showErrorMessage="1" sqref="H31">
      <formula1>0</formula1>
      <formula2>NaN</formula2>
    </dataValidation>
    <dataValidation type="whole" allowBlank="1" showInputMessage="1" showErrorMessage="1" sqref="H32">
      <formula1>0</formula1>
      <formula2>NaN</formula2>
    </dataValidation>
    <dataValidation type="whole" allowBlank="1" showInputMessage="1" showErrorMessage="1" sqref="H33">
      <formula1>0</formula1>
      <formula2>NaN</formula2>
    </dataValidation>
    <dataValidation type="whole" allowBlank="1" showInputMessage="1" showErrorMessage="1" sqref="H34">
      <formula1>0</formula1>
      <formula2>NaN</formula2>
    </dataValidation>
    <dataValidation type="whole" allowBlank="1" showInputMessage="1" showErrorMessage="1" sqref="H35">
      <formula1>0</formula1>
      <formula2>NaN</formula2>
    </dataValidation>
    <dataValidation type="whole" allowBlank="1" showInputMessage="1" showErrorMessage="1" sqref="H36">
      <formula1>0</formula1>
      <formula2>NaN</formula2>
    </dataValidation>
    <dataValidation type="whole" allowBlank="1" showInputMessage="1" showErrorMessage="1" sqref="H37">
      <formula1>0</formula1>
      <formula2>NaN</formula2>
    </dataValidation>
    <dataValidation type="whole" allowBlank="1" showInputMessage="1" showErrorMessage="1" sqref="H38">
      <formula1>0</formula1>
      <formula2>NaN</formula2>
    </dataValidation>
    <dataValidation type="whole" allowBlank="1" showInputMessage="1" showErrorMessage="1" sqref="H39">
      <formula1>0</formula1>
      <formula2>NaN</formula2>
    </dataValidation>
    <dataValidation type="whole" allowBlank="1" showInputMessage="1" showErrorMessage="1" sqref="H40">
      <formula1>0</formula1>
      <formula2>NaN</formula2>
    </dataValidation>
    <dataValidation type="whole" allowBlank="1" showInputMessage="1" showErrorMessage="1" sqref="H41">
      <formula1>0</formula1>
      <formula2>NaN</formula2>
    </dataValidation>
    <dataValidation type="whole" allowBlank="1" showInputMessage="1" showErrorMessage="1" sqref="H42">
      <formula1>0</formula1>
      <formula2>NaN</formula2>
    </dataValidation>
    <dataValidation type="whole" allowBlank="1" showInputMessage="1" showErrorMessage="1" sqref="H43">
      <formula1>0</formula1>
      <formula2>NaN</formula2>
    </dataValidation>
    <dataValidation type="whole" allowBlank="1" showInputMessage="1" showErrorMessage="1" sqref="H44">
      <formula1>0</formula1>
      <formula2>NaN</formula2>
    </dataValidation>
    <dataValidation type="whole" allowBlank="1" showInputMessage="1" showErrorMessage="1" sqref="H45">
      <formula1>0</formula1>
      <formula2>NaN</formula2>
    </dataValidation>
    <dataValidation type="whole" allowBlank="1" showInputMessage="1" showErrorMessage="1" sqref="H46">
      <formula1>0</formula1>
      <formula2>NaN</formula2>
    </dataValidation>
    <dataValidation type="whole" allowBlank="1" showInputMessage="1" showErrorMessage="1" sqref="H47">
      <formula1>0</formula1>
      <formula2>NaN</formula2>
    </dataValidation>
    <dataValidation type="whole" allowBlank="1" showInputMessage="1" showErrorMessage="1" sqref="H48">
      <formula1>0</formula1>
      <formula2>NaN</formula2>
    </dataValidation>
    <dataValidation type="whole" allowBlank="1" showInputMessage="1" showErrorMessage="1" sqref="H49">
      <formula1>0</formula1>
      <formula2>NaN</formula2>
    </dataValidation>
    <dataValidation type="whole" allowBlank="1" showInputMessage="1" showErrorMessage="1" sqref="H50">
      <formula1>0</formula1>
      <formula2>NaN</formula2>
    </dataValidation>
    <dataValidation type="whole" allowBlank="1" showInputMessage="1" showErrorMessage="1" sqref="H51">
      <formula1>0</formula1>
      <formula2>NaN</formula2>
    </dataValidation>
    <dataValidation type="whole" allowBlank="1" showInputMessage="1" showErrorMessage="1" sqref="H52">
      <formula1>0</formula1>
      <formula2>NaN</formula2>
    </dataValidation>
    <dataValidation type="whole" allowBlank="1" showInputMessage="1" showErrorMessage="1" sqref="H53">
      <formula1>0</formula1>
      <formula2>NaN</formula2>
    </dataValidation>
    <dataValidation type="whole" allowBlank="1" showInputMessage="1" showErrorMessage="1" sqref="H54">
      <formula1>0</formula1>
      <formula2>NaN</formula2>
    </dataValidation>
    <dataValidation type="whole" allowBlank="1" showInputMessage="1" showErrorMessage="1" sqref="H55">
      <formula1>0</formula1>
      <formula2>NaN</formula2>
    </dataValidation>
    <dataValidation type="whole" allowBlank="1" showInputMessage="1" showErrorMessage="1" sqref="H56">
      <formula1>0</formula1>
      <formula2>NaN</formula2>
    </dataValidation>
    <dataValidation type="whole" allowBlank="1" showInputMessage="1" showErrorMessage="1" sqref="H57">
      <formula1>0</formula1>
      <formula2>NaN</formula2>
    </dataValidation>
    <dataValidation type="whole" allowBlank="1" showInputMessage="1" showErrorMessage="1" sqref="H58">
      <formula1>0</formula1>
      <formula2>NaN</formula2>
    </dataValidation>
    <dataValidation type="whole" allowBlank="1" showInputMessage="1" showErrorMessage="1" sqref="H59">
      <formula1>0</formula1>
      <formula2>NaN</formula2>
    </dataValidation>
    <dataValidation type="whole" allowBlank="1" showInputMessage="1" showErrorMessage="1" sqref="H60">
      <formula1>0</formula1>
      <formula2>NaN</formula2>
    </dataValidation>
    <dataValidation type="whole" allowBlank="1" showInputMessage="1" showErrorMessage="1" sqref="H61">
      <formula1>0</formula1>
      <formula2>NaN</formula2>
    </dataValidation>
    <dataValidation type="whole" allowBlank="1" showInputMessage="1" showErrorMessage="1" sqref="H62">
      <formula1>0</formula1>
      <formula2>NaN</formula2>
    </dataValidation>
    <dataValidation type="whole" allowBlank="1" showInputMessage="1" showErrorMessage="1" sqref="H63">
      <formula1>0</formula1>
      <formula2>NaN</formula2>
    </dataValidation>
    <dataValidation type="whole" allowBlank="1" showInputMessage="1" showErrorMessage="1" sqref="H64">
      <formula1>0</formula1>
      <formula2>NaN</formula2>
    </dataValidation>
    <dataValidation type="whole" allowBlank="1" showInputMessage="1" showErrorMessage="1" sqref="H65">
      <formula1>0</formula1>
      <formula2>NaN</formula2>
    </dataValidation>
    <dataValidation type="whole" allowBlank="1" showInputMessage="1" showErrorMessage="1" sqref="H66">
      <formula1>0</formula1>
      <formula2>NaN</formula2>
    </dataValidation>
    <dataValidation type="whole" allowBlank="1" showInputMessage="1" showErrorMessage="1" sqref="H67">
      <formula1>0</formula1>
      <formula2>NaN</formula2>
    </dataValidation>
    <dataValidation type="whole" allowBlank="1" showInputMessage="1" showErrorMessage="1" sqref="H68">
      <formula1>0</formula1>
      <formula2>NaN</formula2>
    </dataValidation>
    <dataValidation type="whole" allowBlank="1" showInputMessage="1" showErrorMessage="1" sqref="H9">
      <formula1>0</formula1>
      <formula2>NaN</formula2>
    </dataValidation>
    <dataValidation type="whole" allowBlank="1" showInputMessage="1" showErrorMessage="1" sqref="I10">
      <formula1>0</formula1>
      <formula2>NaN</formula2>
    </dataValidation>
    <dataValidation type="whole" allowBlank="1" showInputMessage="1" showErrorMessage="1" sqref="I11">
      <formula1>0</formula1>
      <formula2>NaN</formula2>
    </dataValidation>
    <dataValidation type="whole" allowBlank="1" showInputMessage="1" showErrorMessage="1" sqref="I12">
      <formula1>0</formula1>
      <formula2>NaN</formula2>
    </dataValidation>
    <dataValidation type="whole" allowBlank="1" showInputMessage="1" showErrorMessage="1" sqref="I13">
      <formula1>0</formula1>
      <formula2>NaN</formula2>
    </dataValidation>
    <dataValidation type="whole" allowBlank="1" showInputMessage="1" showErrorMessage="1" sqref="I14">
      <formula1>0</formula1>
      <formula2>NaN</formula2>
    </dataValidation>
    <dataValidation type="whole" allowBlank="1" showInputMessage="1" showErrorMessage="1" sqref="I15">
      <formula1>0</formula1>
      <formula2>NaN</formula2>
    </dataValidation>
    <dataValidation type="whole" allowBlank="1" showInputMessage="1" showErrorMessage="1" sqref="I16">
      <formula1>0</formula1>
      <formula2>NaN</formula2>
    </dataValidation>
    <dataValidation type="whole" allowBlank="1" showInputMessage="1" showErrorMessage="1" sqref="I17">
      <formula1>0</formula1>
      <formula2>NaN</formula2>
    </dataValidation>
    <dataValidation type="whole" allowBlank="1" showInputMessage="1" showErrorMessage="1" sqref="I18">
      <formula1>0</formula1>
      <formula2>NaN</formula2>
    </dataValidation>
    <dataValidation type="whole" allowBlank="1" showInputMessage="1" showErrorMessage="1" sqref="I19">
      <formula1>0</formula1>
      <formula2>NaN</formula2>
    </dataValidation>
    <dataValidation type="whole" allowBlank="1" showInputMessage="1" showErrorMessage="1" sqref="I20">
      <formula1>0</formula1>
      <formula2>NaN</formula2>
    </dataValidation>
    <dataValidation type="whole" allowBlank="1" showInputMessage="1" showErrorMessage="1" sqref="I21">
      <formula1>0</formula1>
      <formula2>NaN</formula2>
    </dataValidation>
    <dataValidation type="whole" allowBlank="1" showInputMessage="1" showErrorMessage="1" sqref="I22">
      <formula1>0</formula1>
      <formula2>NaN</formula2>
    </dataValidation>
    <dataValidation type="whole" allowBlank="1" showInputMessage="1" showErrorMessage="1" sqref="I23">
      <formula1>0</formula1>
      <formula2>NaN</formula2>
    </dataValidation>
    <dataValidation type="whole" allowBlank="1" showInputMessage="1" showErrorMessage="1" sqref="I24">
      <formula1>0</formula1>
      <formula2>NaN</formula2>
    </dataValidation>
    <dataValidation type="whole" allowBlank="1" showInputMessage="1" showErrorMessage="1" sqref="I25">
      <formula1>0</formula1>
      <formula2>NaN</formula2>
    </dataValidation>
    <dataValidation type="whole" allowBlank="1" showInputMessage="1" showErrorMessage="1" sqref="I26">
      <formula1>0</formula1>
      <formula2>NaN</formula2>
    </dataValidation>
    <dataValidation type="whole" allowBlank="1" showInputMessage="1" showErrorMessage="1" sqref="I27">
      <formula1>0</formula1>
      <formula2>NaN</formula2>
    </dataValidation>
    <dataValidation type="whole" allowBlank="1" showInputMessage="1" showErrorMessage="1" sqref="I28">
      <formula1>0</formula1>
      <formula2>NaN</formula2>
    </dataValidation>
    <dataValidation type="whole" allowBlank="1" showInputMessage="1" showErrorMessage="1" sqref="I29">
      <formula1>0</formula1>
      <formula2>NaN</formula2>
    </dataValidation>
    <dataValidation type="whole" allowBlank="1" showInputMessage="1" showErrorMessage="1" sqref="I30">
      <formula1>0</formula1>
      <formula2>NaN</formula2>
    </dataValidation>
    <dataValidation type="whole" allowBlank="1" showInputMessage="1" showErrorMessage="1" sqref="I31">
      <formula1>0</formula1>
      <formula2>NaN</formula2>
    </dataValidation>
    <dataValidation type="whole" allowBlank="1" showInputMessage="1" showErrorMessage="1" sqref="I32">
      <formula1>0</formula1>
      <formula2>NaN</formula2>
    </dataValidation>
    <dataValidation type="whole" allowBlank="1" showInputMessage="1" showErrorMessage="1" sqref="I33">
      <formula1>0</formula1>
      <formula2>NaN</formula2>
    </dataValidation>
    <dataValidation type="whole" allowBlank="1" showInputMessage="1" showErrorMessage="1" sqref="I34">
      <formula1>0</formula1>
      <formula2>NaN</formula2>
    </dataValidation>
    <dataValidation type="whole" allowBlank="1" showInputMessage="1" showErrorMessage="1" sqref="I35">
      <formula1>0</formula1>
      <formula2>NaN</formula2>
    </dataValidation>
    <dataValidation type="whole" allowBlank="1" showInputMessage="1" showErrorMessage="1" sqref="I36">
      <formula1>0</formula1>
      <formula2>NaN</formula2>
    </dataValidation>
    <dataValidation type="whole" allowBlank="1" showInputMessage="1" showErrorMessage="1" sqref="I37">
      <formula1>0</formula1>
      <formula2>NaN</formula2>
    </dataValidation>
    <dataValidation type="whole" allowBlank="1" showInputMessage="1" showErrorMessage="1" sqref="I38">
      <formula1>0</formula1>
      <formula2>NaN</formula2>
    </dataValidation>
    <dataValidation type="whole" allowBlank="1" showInputMessage="1" showErrorMessage="1" sqref="I39">
      <formula1>0</formula1>
      <formula2>NaN</formula2>
    </dataValidation>
    <dataValidation type="whole" allowBlank="1" showInputMessage="1" showErrorMessage="1" sqref="I40">
      <formula1>0</formula1>
      <formula2>NaN</formula2>
    </dataValidation>
    <dataValidation type="whole" allowBlank="1" showInputMessage="1" showErrorMessage="1" sqref="I41">
      <formula1>0</formula1>
      <formula2>NaN</formula2>
    </dataValidation>
    <dataValidation type="whole" allowBlank="1" showInputMessage="1" showErrorMessage="1" sqref="I42">
      <formula1>0</formula1>
      <formula2>NaN</formula2>
    </dataValidation>
    <dataValidation type="whole" allowBlank="1" showInputMessage="1" showErrorMessage="1" sqref="I43">
      <formula1>0</formula1>
      <formula2>NaN</formula2>
    </dataValidation>
    <dataValidation type="whole" allowBlank="1" showInputMessage="1" showErrorMessage="1" sqref="I44">
      <formula1>0</formula1>
      <formula2>NaN</formula2>
    </dataValidation>
    <dataValidation type="whole" allowBlank="1" showInputMessage="1" showErrorMessage="1" sqref="I45">
      <formula1>0</formula1>
      <formula2>NaN</formula2>
    </dataValidation>
    <dataValidation type="whole" allowBlank="1" showInputMessage="1" showErrorMessage="1" sqref="I46">
      <formula1>0</formula1>
      <formula2>NaN</formula2>
    </dataValidation>
    <dataValidation type="whole" allowBlank="1" showInputMessage="1" showErrorMessage="1" sqref="I47">
      <formula1>0</formula1>
      <formula2>NaN</formula2>
    </dataValidation>
    <dataValidation type="whole" allowBlank="1" showInputMessage="1" showErrorMessage="1" sqref="I48">
      <formula1>0</formula1>
      <formula2>NaN</formula2>
    </dataValidation>
    <dataValidation type="whole" allowBlank="1" showInputMessage="1" showErrorMessage="1" sqref="I49">
      <formula1>0</formula1>
      <formula2>NaN</formula2>
    </dataValidation>
    <dataValidation type="whole" allowBlank="1" showInputMessage="1" showErrorMessage="1" sqref="I50">
      <formula1>0</formula1>
      <formula2>NaN</formula2>
    </dataValidation>
    <dataValidation type="whole" allowBlank="1" showInputMessage="1" showErrorMessage="1" sqref="I51">
      <formula1>0</formula1>
      <formula2>NaN</formula2>
    </dataValidation>
    <dataValidation type="whole" allowBlank="1" showInputMessage="1" showErrorMessage="1" sqref="I52">
      <formula1>0</formula1>
      <formula2>NaN</formula2>
    </dataValidation>
    <dataValidation type="whole" allowBlank="1" showInputMessage="1" showErrorMessage="1" sqref="I53">
      <formula1>0</formula1>
      <formula2>NaN</formula2>
    </dataValidation>
    <dataValidation type="whole" allowBlank="1" showInputMessage="1" showErrorMessage="1" sqref="I54">
      <formula1>0</formula1>
      <formula2>NaN</formula2>
    </dataValidation>
    <dataValidation type="whole" allowBlank="1" showInputMessage="1" showErrorMessage="1" sqref="I55">
      <formula1>0</formula1>
      <formula2>NaN</formula2>
    </dataValidation>
    <dataValidation type="whole" allowBlank="1" showInputMessage="1" showErrorMessage="1" sqref="I56">
      <formula1>0</formula1>
      <formula2>NaN</formula2>
    </dataValidation>
    <dataValidation type="whole" allowBlank="1" showInputMessage="1" showErrorMessage="1" sqref="I57">
      <formula1>0</formula1>
      <formula2>NaN</formula2>
    </dataValidation>
    <dataValidation type="whole" allowBlank="1" showInputMessage="1" showErrorMessage="1" sqref="I58">
      <formula1>0</formula1>
      <formula2>NaN</formula2>
    </dataValidation>
    <dataValidation type="whole" allowBlank="1" showInputMessage="1" showErrorMessage="1" sqref="I59">
      <formula1>0</formula1>
      <formula2>NaN</formula2>
    </dataValidation>
    <dataValidation type="whole" allowBlank="1" showInputMessage="1" showErrorMessage="1" sqref="I60">
      <formula1>0</formula1>
      <formula2>NaN</formula2>
    </dataValidation>
    <dataValidation type="whole" allowBlank="1" showInputMessage="1" showErrorMessage="1" sqref="I61">
      <formula1>0</formula1>
      <formula2>NaN</formula2>
    </dataValidation>
    <dataValidation type="whole" allowBlank="1" showInputMessage="1" showErrorMessage="1" sqref="I62">
      <formula1>0</formula1>
      <formula2>NaN</formula2>
    </dataValidation>
    <dataValidation type="whole" allowBlank="1" showInputMessage="1" showErrorMessage="1" sqref="I63">
      <formula1>0</formula1>
      <formula2>NaN</formula2>
    </dataValidation>
    <dataValidation type="whole" allowBlank="1" showInputMessage="1" showErrorMessage="1" sqref="I64">
      <formula1>0</formula1>
      <formula2>NaN</formula2>
    </dataValidation>
    <dataValidation type="whole" allowBlank="1" showInputMessage="1" showErrorMessage="1" sqref="I65">
      <formula1>0</formula1>
      <formula2>NaN</formula2>
    </dataValidation>
    <dataValidation type="whole" allowBlank="1" showInputMessage="1" showErrorMessage="1" sqref="I66">
      <formula1>0</formula1>
      <formula2>NaN</formula2>
    </dataValidation>
    <dataValidation type="whole" allowBlank="1" showInputMessage="1" showErrorMessage="1" sqref="I67">
      <formula1>0</formula1>
      <formula2>NaN</formula2>
    </dataValidation>
    <dataValidation type="whole" allowBlank="1" showInputMessage="1" showErrorMessage="1" sqref="I68">
      <formula1>0</formula1>
      <formula2>NaN</formula2>
    </dataValidation>
    <dataValidation type="whole" allowBlank="1" showInputMessage="1" showErrorMessage="1" sqref="I9">
      <formula1>0</formula1>
      <formula2>NaN</formula2>
    </dataValidation>
    <dataValidation type="whole" allowBlank="1" showInputMessage="1" showErrorMessage="1" sqref="J10">
      <formula1>0</formula1>
      <formula2>NaN</formula2>
    </dataValidation>
    <dataValidation type="whole" allowBlank="1" showInputMessage="1" showErrorMessage="1" sqref="J11">
      <formula1>0</formula1>
      <formula2>NaN</formula2>
    </dataValidation>
    <dataValidation type="whole" allowBlank="1" showInputMessage="1" showErrorMessage="1" sqref="J12">
      <formula1>0</formula1>
      <formula2>NaN</formula2>
    </dataValidation>
    <dataValidation type="whole" allowBlank="1" showInputMessage="1" showErrorMessage="1" sqref="J13">
      <formula1>0</formula1>
      <formula2>NaN</formula2>
    </dataValidation>
    <dataValidation type="whole" allowBlank="1" showInputMessage="1" showErrorMessage="1" sqref="J14">
      <formula1>0</formula1>
      <formula2>NaN</formula2>
    </dataValidation>
    <dataValidation type="whole" allowBlank="1" showInputMessage="1" showErrorMessage="1" sqref="J15">
      <formula1>0</formula1>
      <formula2>NaN</formula2>
    </dataValidation>
    <dataValidation type="whole" allowBlank="1" showInputMessage="1" showErrorMessage="1" sqref="J16">
      <formula1>0</formula1>
      <formula2>NaN</formula2>
    </dataValidation>
    <dataValidation type="whole" allowBlank="1" showInputMessage="1" showErrorMessage="1" sqref="J17">
      <formula1>0</formula1>
      <formula2>NaN</formula2>
    </dataValidation>
    <dataValidation type="whole" allowBlank="1" showInputMessage="1" showErrorMessage="1" sqref="J18">
      <formula1>0</formula1>
      <formula2>NaN</formula2>
    </dataValidation>
    <dataValidation type="whole" allowBlank="1" showInputMessage="1" showErrorMessage="1" sqref="J19">
      <formula1>0</formula1>
      <formula2>NaN</formula2>
    </dataValidation>
    <dataValidation type="whole" allowBlank="1" showInputMessage="1" showErrorMessage="1" sqref="J20">
      <formula1>0</formula1>
      <formula2>NaN</formula2>
    </dataValidation>
    <dataValidation type="whole" allowBlank="1" showInputMessage="1" showErrorMessage="1" sqref="J21">
      <formula1>0</formula1>
      <formula2>NaN</formula2>
    </dataValidation>
    <dataValidation type="whole" allowBlank="1" showInputMessage="1" showErrorMessage="1" sqref="J22">
      <formula1>0</formula1>
      <formula2>NaN</formula2>
    </dataValidation>
    <dataValidation type="whole" allowBlank="1" showInputMessage="1" showErrorMessage="1" sqref="J23">
      <formula1>0</formula1>
      <formula2>NaN</formula2>
    </dataValidation>
    <dataValidation type="whole" allowBlank="1" showInputMessage="1" showErrorMessage="1" sqref="J24">
      <formula1>0</formula1>
      <formula2>NaN</formula2>
    </dataValidation>
    <dataValidation type="whole" allowBlank="1" showInputMessage="1" showErrorMessage="1" sqref="J25">
      <formula1>0</formula1>
      <formula2>NaN</formula2>
    </dataValidation>
    <dataValidation type="whole" allowBlank="1" showInputMessage="1" showErrorMessage="1" sqref="J26">
      <formula1>0</formula1>
      <formula2>NaN</formula2>
    </dataValidation>
    <dataValidation type="whole" allowBlank="1" showInputMessage="1" showErrorMessage="1" sqref="J27">
      <formula1>0</formula1>
      <formula2>NaN</formula2>
    </dataValidation>
    <dataValidation type="whole" allowBlank="1" showInputMessage="1" showErrorMessage="1" sqref="J28">
      <formula1>0</formula1>
      <formula2>NaN</formula2>
    </dataValidation>
    <dataValidation type="whole" allowBlank="1" showInputMessage="1" showErrorMessage="1" sqref="J29">
      <formula1>0</formula1>
      <formula2>NaN</formula2>
    </dataValidation>
    <dataValidation type="whole" allowBlank="1" showInputMessage="1" showErrorMessage="1" sqref="J30">
      <formula1>0</formula1>
      <formula2>NaN</formula2>
    </dataValidation>
    <dataValidation type="whole" allowBlank="1" showInputMessage="1" showErrorMessage="1" sqref="J31">
      <formula1>0</formula1>
      <formula2>NaN</formula2>
    </dataValidation>
    <dataValidation type="whole" allowBlank="1" showInputMessage="1" showErrorMessage="1" sqref="J32">
      <formula1>0</formula1>
      <formula2>NaN</formula2>
    </dataValidation>
    <dataValidation type="whole" allowBlank="1" showInputMessage="1" showErrorMessage="1" sqref="J33">
      <formula1>0</formula1>
      <formula2>NaN</formula2>
    </dataValidation>
    <dataValidation type="whole" allowBlank="1" showInputMessage="1" showErrorMessage="1" sqref="J34">
      <formula1>0</formula1>
      <formula2>NaN</formula2>
    </dataValidation>
    <dataValidation type="whole" allowBlank="1" showInputMessage="1" showErrorMessage="1" sqref="J35">
      <formula1>0</formula1>
      <formula2>NaN</formula2>
    </dataValidation>
    <dataValidation type="whole" allowBlank="1" showInputMessage="1" showErrorMessage="1" sqref="J36">
      <formula1>0</formula1>
      <formula2>NaN</formula2>
    </dataValidation>
    <dataValidation type="whole" allowBlank="1" showInputMessage="1" showErrorMessage="1" sqref="J37">
      <formula1>0</formula1>
      <formula2>NaN</formula2>
    </dataValidation>
    <dataValidation type="whole" allowBlank="1" showInputMessage="1" showErrorMessage="1" sqref="J38">
      <formula1>0</formula1>
      <formula2>NaN</formula2>
    </dataValidation>
    <dataValidation type="whole" allowBlank="1" showInputMessage="1" showErrorMessage="1" sqref="J39">
      <formula1>0</formula1>
      <formula2>NaN</formula2>
    </dataValidation>
    <dataValidation type="whole" allowBlank="1" showInputMessage="1" showErrorMessage="1" sqref="J40">
      <formula1>0</formula1>
      <formula2>NaN</formula2>
    </dataValidation>
    <dataValidation type="whole" allowBlank="1" showInputMessage="1" showErrorMessage="1" sqref="J41">
      <formula1>0</formula1>
      <formula2>NaN</formula2>
    </dataValidation>
    <dataValidation type="whole" allowBlank="1" showInputMessage="1" showErrorMessage="1" sqref="J42">
      <formula1>0</formula1>
      <formula2>NaN</formula2>
    </dataValidation>
    <dataValidation type="whole" allowBlank="1" showInputMessage="1" showErrorMessage="1" sqref="J43">
      <formula1>0</formula1>
      <formula2>NaN</formula2>
    </dataValidation>
    <dataValidation type="whole" allowBlank="1" showInputMessage="1" showErrorMessage="1" sqref="J44">
      <formula1>0</formula1>
      <formula2>NaN</formula2>
    </dataValidation>
    <dataValidation type="whole" allowBlank="1" showInputMessage="1" showErrorMessage="1" sqref="J45">
      <formula1>0</formula1>
      <formula2>NaN</formula2>
    </dataValidation>
    <dataValidation type="whole" allowBlank="1" showInputMessage="1" showErrorMessage="1" sqref="J46">
      <formula1>0</formula1>
      <formula2>NaN</formula2>
    </dataValidation>
    <dataValidation type="whole" allowBlank="1" showInputMessage="1" showErrorMessage="1" sqref="J47">
      <formula1>0</formula1>
      <formula2>NaN</formula2>
    </dataValidation>
    <dataValidation type="whole" allowBlank="1" showInputMessage="1" showErrorMessage="1" sqref="J48">
      <formula1>0</formula1>
      <formula2>NaN</formula2>
    </dataValidation>
    <dataValidation type="whole" allowBlank="1" showInputMessage="1" showErrorMessage="1" sqref="J49">
      <formula1>0</formula1>
      <formula2>NaN</formula2>
    </dataValidation>
    <dataValidation type="whole" allowBlank="1" showInputMessage="1" showErrorMessage="1" sqref="J50">
      <formula1>0</formula1>
      <formula2>NaN</formula2>
    </dataValidation>
    <dataValidation type="whole" allowBlank="1" showInputMessage="1" showErrorMessage="1" sqref="J51">
      <formula1>0</formula1>
      <formula2>NaN</formula2>
    </dataValidation>
    <dataValidation type="whole" allowBlank="1" showInputMessage="1" showErrorMessage="1" sqref="J52">
      <formula1>0</formula1>
      <formula2>NaN</formula2>
    </dataValidation>
    <dataValidation type="whole" allowBlank="1" showInputMessage="1" showErrorMessage="1" sqref="J53">
      <formula1>0</formula1>
      <formula2>NaN</formula2>
    </dataValidation>
    <dataValidation type="whole" allowBlank="1" showInputMessage="1" showErrorMessage="1" sqref="J54">
      <formula1>0</formula1>
      <formula2>NaN</formula2>
    </dataValidation>
    <dataValidation type="whole" allowBlank="1" showInputMessage="1" showErrorMessage="1" sqref="J55">
      <formula1>0</formula1>
      <formula2>NaN</formula2>
    </dataValidation>
    <dataValidation type="whole" allowBlank="1" showInputMessage="1" showErrorMessage="1" sqref="J56">
      <formula1>0</formula1>
      <formula2>NaN</formula2>
    </dataValidation>
    <dataValidation type="whole" allowBlank="1" showInputMessage="1" showErrorMessage="1" sqref="J57">
      <formula1>0</formula1>
      <formula2>NaN</formula2>
    </dataValidation>
    <dataValidation type="whole" allowBlank="1" showInputMessage="1" showErrorMessage="1" sqref="J58">
      <formula1>0</formula1>
      <formula2>NaN</formula2>
    </dataValidation>
    <dataValidation type="whole" allowBlank="1" showInputMessage="1" showErrorMessage="1" sqref="J59">
      <formula1>0</formula1>
      <formula2>NaN</formula2>
    </dataValidation>
    <dataValidation type="whole" allowBlank="1" showInputMessage="1" showErrorMessage="1" sqref="J60">
      <formula1>0</formula1>
      <formula2>NaN</formula2>
    </dataValidation>
    <dataValidation type="whole" allowBlank="1" showInputMessage="1" showErrorMessage="1" sqref="J61">
      <formula1>0</formula1>
      <formula2>NaN</formula2>
    </dataValidation>
    <dataValidation type="whole" allowBlank="1" showInputMessage="1" showErrorMessage="1" sqref="J62">
      <formula1>0</formula1>
      <formula2>NaN</formula2>
    </dataValidation>
    <dataValidation type="whole" allowBlank="1" showInputMessage="1" showErrorMessage="1" sqref="J63">
      <formula1>0</formula1>
      <formula2>NaN</formula2>
    </dataValidation>
    <dataValidation type="whole" allowBlank="1" showInputMessage="1" showErrorMessage="1" sqref="J64">
      <formula1>0</formula1>
      <formula2>NaN</formula2>
    </dataValidation>
    <dataValidation type="whole" allowBlank="1" showInputMessage="1" showErrorMessage="1" sqref="J65">
      <formula1>0</formula1>
      <formula2>NaN</formula2>
    </dataValidation>
    <dataValidation type="whole" allowBlank="1" showInputMessage="1" showErrorMessage="1" sqref="J66">
      <formula1>0</formula1>
      <formula2>NaN</formula2>
    </dataValidation>
    <dataValidation type="whole" allowBlank="1" showInputMessage="1" showErrorMessage="1" sqref="J67">
      <formula1>0</formula1>
      <formula2>NaN</formula2>
    </dataValidation>
    <dataValidation type="whole" allowBlank="1" showInputMessage="1" showErrorMessage="1" sqref="J68">
      <formula1>0</formula1>
      <formula2>NaN</formula2>
    </dataValidation>
    <dataValidation type="whole" allowBlank="1" showInputMessage="1" showErrorMessage="1" sqref="J9">
      <formula1>0</formula1>
      <formula2>NaN</formula2>
    </dataValidation>
    <dataValidation type="whole" allowBlank="1" showInputMessage="1" showErrorMessage="1" sqref="K10">
      <formula1>0</formula1>
      <formula2>NaN</formula2>
    </dataValidation>
    <dataValidation type="whole" allowBlank="1" showInputMessage="1" showErrorMessage="1" sqref="K11">
      <formula1>0</formula1>
      <formula2>NaN</formula2>
    </dataValidation>
    <dataValidation type="whole" allowBlank="1" showInputMessage="1" showErrorMessage="1" sqref="K12">
      <formula1>0</formula1>
      <formula2>NaN</formula2>
    </dataValidation>
    <dataValidation type="whole" allowBlank="1" showInputMessage="1" showErrorMessage="1" sqref="K13">
      <formula1>0</formula1>
      <formula2>NaN</formula2>
    </dataValidation>
    <dataValidation type="whole" allowBlank="1" showInputMessage="1" showErrorMessage="1" sqref="K14">
      <formula1>0</formula1>
      <formula2>NaN</formula2>
    </dataValidation>
    <dataValidation type="whole" allowBlank="1" showInputMessage="1" showErrorMessage="1" sqref="K15">
      <formula1>0</formula1>
      <formula2>NaN</formula2>
    </dataValidation>
    <dataValidation type="whole" allowBlank="1" showInputMessage="1" showErrorMessage="1" sqref="K16">
      <formula1>0</formula1>
      <formula2>NaN</formula2>
    </dataValidation>
    <dataValidation type="whole" allowBlank="1" showInputMessage="1" showErrorMessage="1" sqref="K17">
      <formula1>0</formula1>
      <formula2>NaN</formula2>
    </dataValidation>
    <dataValidation type="whole" allowBlank="1" showInputMessage="1" showErrorMessage="1" sqref="K18">
      <formula1>0</formula1>
      <formula2>NaN</formula2>
    </dataValidation>
    <dataValidation type="whole" allowBlank="1" showInputMessage="1" showErrorMessage="1" sqref="K19">
      <formula1>0</formula1>
      <formula2>NaN</formula2>
    </dataValidation>
    <dataValidation type="whole" allowBlank="1" showInputMessage="1" showErrorMessage="1" sqref="K20">
      <formula1>0</formula1>
      <formula2>NaN</formula2>
    </dataValidation>
    <dataValidation type="whole" allowBlank="1" showInputMessage="1" showErrorMessage="1" sqref="K21">
      <formula1>0</formula1>
      <formula2>NaN</formula2>
    </dataValidation>
    <dataValidation type="whole" allowBlank="1" showInputMessage="1" showErrorMessage="1" sqref="K22">
      <formula1>0</formula1>
      <formula2>NaN</formula2>
    </dataValidation>
    <dataValidation type="whole" allowBlank="1" showInputMessage="1" showErrorMessage="1" sqref="K23">
      <formula1>0</formula1>
      <formula2>NaN</formula2>
    </dataValidation>
    <dataValidation type="whole" allowBlank="1" showInputMessage="1" showErrorMessage="1" sqref="K24">
      <formula1>0</formula1>
      <formula2>NaN</formula2>
    </dataValidation>
    <dataValidation type="whole" allowBlank="1" showInputMessage="1" showErrorMessage="1" sqref="K25">
      <formula1>0</formula1>
      <formula2>NaN</formula2>
    </dataValidation>
    <dataValidation type="whole" allowBlank="1" showInputMessage="1" showErrorMessage="1" sqref="K26">
      <formula1>0</formula1>
      <formula2>NaN</formula2>
    </dataValidation>
    <dataValidation type="whole" allowBlank="1" showInputMessage="1" showErrorMessage="1" sqref="K27">
      <formula1>0</formula1>
      <formula2>NaN</formula2>
    </dataValidation>
    <dataValidation type="whole" allowBlank="1" showInputMessage="1" showErrorMessage="1" sqref="K28">
      <formula1>0</formula1>
      <formula2>NaN</formula2>
    </dataValidation>
    <dataValidation type="whole" allowBlank="1" showInputMessage="1" showErrorMessage="1" sqref="K29">
      <formula1>0</formula1>
      <formula2>NaN</formula2>
    </dataValidation>
    <dataValidation type="whole" allowBlank="1" showInputMessage="1" showErrorMessage="1" sqref="K30">
      <formula1>0</formula1>
      <formula2>NaN</formula2>
    </dataValidation>
    <dataValidation type="whole" allowBlank="1" showInputMessage="1" showErrorMessage="1" sqref="K31">
      <formula1>0</formula1>
      <formula2>NaN</formula2>
    </dataValidation>
    <dataValidation type="whole" allowBlank="1" showInputMessage="1" showErrorMessage="1" sqref="K32">
      <formula1>0</formula1>
      <formula2>NaN</formula2>
    </dataValidation>
    <dataValidation type="whole" allowBlank="1" showInputMessage="1" showErrorMessage="1" sqref="K33">
      <formula1>0</formula1>
      <formula2>NaN</formula2>
    </dataValidation>
    <dataValidation type="whole" allowBlank="1" showInputMessage="1" showErrorMessage="1" sqref="K34">
      <formula1>0</formula1>
      <formula2>NaN</formula2>
    </dataValidation>
    <dataValidation type="whole" allowBlank="1" showInputMessage="1" showErrorMessage="1" sqref="K35">
      <formula1>0</formula1>
      <formula2>NaN</formula2>
    </dataValidation>
    <dataValidation type="whole" allowBlank="1" showInputMessage="1" showErrorMessage="1" sqref="K36">
      <formula1>0</formula1>
      <formula2>NaN</formula2>
    </dataValidation>
    <dataValidation type="whole" allowBlank="1" showInputMessage="1" showErrorMessage="1" sqref="K37">
      <formula1>0</formula1>
      <formula2>NaN</formula2>
    </dataValidation>
    <dataValidation type="whole" allowBlank="1" showInputMessage="1" showErrorMessage="1" sqref="K38">
      <formula1>0</formula1>
      <formula2>NaN</formula2>
    </dataValidation>
    <dataValidation type="whole" allowBlank="1" showInputMessage="1" showErrorMessage="1" sqref="K39">
      <formula1>0</formula1>
      <formula2>NaN</formula2>
    </dataValidation>
    <dataValidation type="whole" allowBlank="1" showInputMessage="1" showErrorMessage="1" sqref="K40">
      <formula1>0</formula1>
      <formula2>NaN</formula2>
    </dataValidation>
    <dataValidation type="whole" allowBlank="1" showInputMessage="1" showErrorMessage="1" sqref="K41">
      <formula1>0</formula1>
      <formula2>NaN</formula2>
    </dataValidation>
    <dataValidation type="whole" allowBlank="1" showInputMessage="1" showErrorMessage="1" sqref="K42">
      <formula1>0</formula1>
      <formula2>NaN</formula2>
    </dataValidation>
    <dataValidation type="whole" allowBlank="1" showInputMessage="1" showErrorMessage="1" sqref="K43">
      <formula1>0</formula1>
      <formula2>NaN</formula2>
    </dataValidation>
    <dataValidation type="whole" allowBlank="1" showInputMessage="1" showErrorMessage="1" sqref="K44">
      <formula1>0</formula1>
      <formula2>NaN</formula2>
    </dataValidation>
    <dataValidation type="whole" allowBlank="1" showInputMessage="1" showErrorMessage="1" sqref="K45">
      <formula1>0</formula1>
      <formula2>NaN</formula2>
    </dataValidation>
    <dataValidation type="whole" allowBlank="1" showInputMessage="1" showErrorMessage="1" sqref="K46">
      <formula1>0</formula1>
      <formula2>NaN</formula2>
    </dataValidation>
    <dataValidation type="whole" allowBlank="1" showInputMessage="1" showErrorMessage="1" sqref="K47">
      <formula1>0</formula1>
      <formula2>NaN</formula2>
    </dataValidation>
    <dataValidation type="whole" allowBlank="1" showInputMessage="1" showErrorMessage="1" sqref="K48">
      <formula1>0</formula1>
      <formula2>NaN</formula2>
    </dataValidation>
    <dataValidation type="whole" allowBlank="1" showInputMessage="1" showErrorMessage="1" sqref="K49">
      <formula1>0</formula1>
      <formula2>NaN</formula2>
    </dataValidation>
    <dataValidation type="whole" allowBlank="1" showInputMessage="1" showErrorMessage="1" sqref="K50">
      <formula1>0</formula1>
      <formula2>NaN</formula2>
    </dataValidation>
    <dataValidation type="whole" allowBlank="1" showInputMessage="1" showErrorMessage="1" sqref="K51">
      <formula1>0</formula1>
      <formula2>NaN</formula2>
    </dataValidation>
    <dataValidation type="whole" allowBlank="1" showInputMessage="1" showErrorMessage="1" sqref="K52">
      <formula1>0</formula1>
      <formula2>NaN</formula2>
    </dataValidation>
    <dataValidation type="whole" allowBlank="1" showInputMessage="1" showErrorMessage="1" sqref="K53">
      <formula1>0</formula1>
      <formula2>NaN</formula2>
    </dataValidation>
    <dataValidation type="whole" allowBlank="1" showInputMessage="1" showErrorMessage="1" sqref="K54">
      <formula1>0</formula1>
      <formula2>NaN</formula2>
    </dataValidation>
    <dataValidation type="whole" allowBlank="1" showInputMessage="1" showErrorMessage="1" sqref="K55">
      <formula1>0</formula1>
      <formula2>NaN</formula2>
    </dataValidation>
    <dataValidation type="whole" allowBlank="1" showInputMessage="1" showErrorMessage="1" sqref="K56">
      <formula1>0</formula1>
      <formula2>NaN</formula2>
    </dataValidation>
    <dataValidation type="whole" allowBlank="1" showInputMessage="1" showErrorMessage="1" sqref="K57">
      <formula1>0</formula1>
      <formula2>NaN</formula2>
    </dataValidation>
    <dataValidation type="whole" allowBlank="1" showInputMessage="1" showErrorMessage="1" sqref="K58">
      <formula1>0</formula1>
      <formula2>NaN</formula2>
    </dataValidation>
    <dataValidation type="whole" allowBlank="1" showInputMessage="1" showErrorMessage="1" sqref="K59">
      <formula1>0</formula1>
      <formula2>NaN</formula2>
    </dataValidation>
    <dataValidation type="whole" allowBlank="1" showInputMessage="1" showErrorMessage="1" sqref="K60">
      <formula1>0</formula1>
      <formula2>NaN</formula2>
    </dataValidation>
    <dataValidation type="whole" allowBlank="1" showInputMessage="1" showErrorMessage="1" sqref="K61">
      <formula1>0</formula1>
      <formula2>NaN</formula2>
    </dataValidation>
    <dataValidation type="whole" allowBlank="1" showInputMessage="1" showErrorMessage="1" sqref="K62">
      <formula1>0</formula1>
      <formula2>NaN</formula2>
    </dataValidation>
    <dataValidation type="whole" allowBlank="1" showInputMessage="1" showErrorMessage="1" sqref="K63">
      <formula1>0</formula1>
      <formula2>NaN</formula2>
    </dataValidation>
    <dataValidation type="whole" allowBlank="1" showInputMessage="1" showErrorMessage="1" sqref="K64">
      <formula1>0</formula1>
      <formula2>NaN</formula2>
    </dataValidation>
    <dataValidation type="whole" allowBlank="1" showInputMessage="1" showErrorMessage="1" sqref="K65">
      <formula1>0</formula1>
      <formula2>NaN</formula2>
    </dataValidation>
    <dataValidation type="whole" allowBlank="1" showInputMessage="1" showErrorMessage="1" sqref="K66">
      <formula1>0</formula1>
      <formula2>NaN</formula2>
    </dataValidation>
    <dataValidation type="whole" allowBlank="1" showInputMessage="1" showErrorMessage="1" sqref="K67">
      <formula1>0</formula1>
      <formula2>NaN</formula2>
    </dataValidation>
    <dataValidation type="whole" allowBlank="1" showInputMessage="1" showErrorMessage="1" sqref="K68">
      <formula1>0</formula1>
      <formula2>NaN</formula2>
    </dataValidation>
    <dataValidation type="whole" allowBlank="1" showInputMessage="1" showErrorMessage="1" sqref="K9">
      <formula1>0</formula1>
      <formula2>NaN</formula2>
    </dataValidation>
    <dataValidation type="whole" allowBlank="1" showInputMessage="1" showErrorMessage="1" sqref="L10">
      <formula1>0</formula1>
      <formula2>NaN</formula2>
    </dataValidation>
    <dataValidation type="whole" allowBlank="1" showInputMessage="1" showErrorMessage="1" sqref="L11">
      <formula1>0</formula1>
      <formula2>NaN</formula2>
    </dataValidation>
    <dataValidation type="whole" allowBlank="1" showInputMessage="1" showErrorMessage="1" sqref="L12">
      <formula1>0</formula1>
      <formula2>NaN</formula2>
    </dataValidation>
    <dataValidation type="whole" allowBlank="1" showInputMessage="1" showErrorMessage="1" sqref="L13">
      <formula1>0</formula1>
      <formula2>NaN</formula2>
    </dataValidation>
    <dataValidation type="whole" allowBlank="1" showInputMessage="1" showErrorMessage="1" sqref="L14">
      <formula1>0</formula1>
      <formula2>NaN</formula2>
    </dataValidation>
    <dataValidation type="whole" allowBlank="1" showInputMessage="1" showErrorMessage="1" sqref="L15">
      <formula1>0</formula1>
      <formula2>NaN</formula2>
    </dataValidation>
    <dataValidation type="whole" allowBlank="1" showInputMessage="1" showErrorMessage="1" sqref="L16">
      <formula1>0</formula1>
      <formula2>NaN</formula2>
    </dataValidation>
    <dataValidation type="whole" allowBlank="1" showInputMessage="1" showErrorMessage="1" sqref="L17">
      <formula1>0</formula1>
      <formula2>NaN</formula2>
    </dataValidation>
    <dataValidation type="whole" allowBlank="1" showInputMessage="1" showErrorMessage="1" sqref="L18">
      <formula1>0</formula1>
      <formula2>NaN</formula2>
    </dataValidation>
    <dataValidation type="whole" allowBlank="1" showInputMessage="1" showErrorMessage="1" sqref="L19">
      <formula1>0</formula1>
      <formula2>NaN</formula2>
    </dataValidation>
    <dataValidation type="whole" allowBlank="1" showInputMessage="1" showErrorMessage="1" sqref="L20">
      <formula1>0</formula1>
      <formula2>NaN</formula2>
    </dataValidation>
    <dataValidation type="whole" allowBlank="1" showInputMessage="1" showErrorMessage="1" sqref="L21">
      <formula1>0</formula1>
      <formula2>NaN</formula2>
    </dataValidation>
    <dataValidation type="whole" allowBlank="1" showInputMessage="1" showErrorMessage="1" sqref="L22">
      <formula1>0</formula1>
      <formula2>NaN</formula2>
    </dataValidation>
    <dataValidation type="whole" allowBlank="1" showInputMessage="1" showErrorMessage="1" sqref="L23">
      <formula1>0</formula1>
      <formula2>NaN</formula2>
    </dataValidation>
    <dataValidation type="whole" allowBlank="1" showInputMessage="1" showErrorMessage="1" sqref="L24">
      <formula1>0</formula1>
      <formula2>NaN</formula2>
    </dataValidation>
    <dataValidation type="whole" allowBlank="1" showInputMessage="1" showErrorMessage="1" sqref="L25">
      <formula1>0</formula1>
      <formula2>NaN</formula2>
    </dataValidation>
    <dataValidation type="whole" allowBlank="1" showInputMessage="1" showErrorMessage="1" sqref="L26">
      <formula1>0</formula1>
      <formula2>NaN</formula2>
    </dataValidation>
    <dataValidation type="whole" allowBlank="1" showInputMessage="1" showErrorMessage="1" sqref="L27">
      <formula1>0</formula1>
      <formula2>NaN</formula2>
    </dataValidation>
    <dataValidation type="whole" allowBlank="1" showInputMessage="1" showErrorMessage="1" sqref="L28">
      <formula1>0</formula1>
      <formula2>NaN</formula2>
    </dataValidation>
    <dataValidation type="whole" allowBlank="1" showInputMessage="1" showErrorMessage="1" sqref="L29">
      <formula1>0</formula1>
      <formula2>NaN</formula2>
    </dataValidation>
    <dataValidation type="whole" allowBlank="1" showInputMessage="1" showErrorMessage="1" sqref="L30">
      <formula1>0</formula1>
      <formula2>NaN</formula2>
    </dataValidation>
    <dataValidation type="whole" allowBlank="1" showInputMessage="1" showErrorMessage="1" sqref="L31">
      <formula1>0</formula1>
      <formula2>NaN</formula2>
    </dataValidation>
    <dataValidation type="whole" allowBlank="1" showInputMessage="1" showErrorMessage="1" sqref="L32">
      <formula1>0</formula1>
      <formula2>NaN</formula2>
    </dataValidation>
    <dataValidation type="whole" allowBlank="1" showInputMessage="1" showErrorMessage="1" sqref="L33">
      <formula1>0</formula1>
      <formula2>NaN</formula2>
    </dataValidation>
    <dataValidation type="whole" allowBlank="1" showInputMessage="1" showErrorMessage="1" sqref="L34">
      <formula1>0</formula1>
      <formula2>NaN</formula2>
    </dataValidation>
    <dataValidation type="whole" allowBlank="1" showInputMessage="1" showErrorMessage="1" sqref="L35">
      <formula1>0</formula1>
      <formula2>NaN</formula2>
    </dataValidation>
    <dataValidation type="whole" allowBlank="1" showInputMessage="1" showErrorMessage="1" sqref="L36">
      <formula1>0</formula1>
      <formula2>NaN</formula2>
    </dataValidation>
    <dataValidation type="whole" allowBlank="1" showInputMessage="1" showErrorMessage="1" sqref="L37">
      <formula1>0</formula1>
      <formula2>NaN</formula2>
    </dataValidation>
    <dataValidation type="whole" allowBlank="1" showInputMessage="1" showErrorMessage="1" sqref="L38">
      <formula1>0</formula1>
      <formula2>NaN</formula2>
    </dataValidation>
    <dataValidation type="whole" allowBlank="1" showInputMessage="1" showErrorMessage="1" sqref="L39">
      <formula1>0</formula1>
      <formula2>NaN</formula2>
    </dataValidation>
    <dataValidation type="whole" allowBlank="1" showInputMessage="1" showErrorMessage="1" sqref="L40">
      <formula1>0</formula1>
      <formula2>NaN</formula2>
    </dataValidation>
    <dataValidation type="whole" allowBlank="1" showInputMessage="1" showErrorMessage="1" sqref="L41">
      <formula1>0</formula1>
      <formula2>NaN</formula2>
    </dataValidation>
    <dataValidation type="whole" allowBlank="1" showInputMessage="1" showErrorMessage="1" sqref="L42">
      <formula1>0</formula1>
      <formula2>NaN</formula2>
    </dataValidation>
    <dataValidation type="whole" allowBlank="1" showInputMessage="1" showErrorMessage="1" sqref="L43">
      <formula1>0</formula1>
      <formula2>NaN</formula2>
    </dataValidation>
    <dataValidation type="whole" allowBlank="1" showInputMessage="1" showErrorMessage="1" sqref="L44">
      <formula1>0</formula1>
      <formula2>NaN</formula2>
    </dataValidation>
    <dataValidation type="whole" allowBlank="1" showInputMessage="1" showErrorMessage="1" sqref="L45">
      <formula1>0</formula1>
      <formula2>NaN</formula2>
    </dataValidation>
    <dataValidation type="whole" allowBlank="1" showInputMessage="1" showErrorMessage="1" sqref="L46">
      <formula1>0</formula1>
      <formula2>NaN</formula2>
    </dataValidation>
    <dataValidation type="whole" allowBlank="1" showInputMessage="1" showErrorMessage="1" sqref="L47">
      <formula1>0</formula1>
      <formula2>NaN</formula2>
    </dataValidation>
    <dataValidation type="whole" allowBlank="1" showInputMessage="1" showErrorMessage="1" sqref="L48">
      <formula1>0</formula1>
      <formula2>NaN</formula2>
    </dataValidation>
    <dataValidation type="whole" allowBlank="1" showInputMessage="1" showErrorMessage="1" sqref="L49">
      <formula1>0</formula1>
      <formula2>NaN</formula2>
    </dataValidation>
    <dataValidation type="whole" allowBlank="1" showInputMessage="1" showErrorMessage="1" sqref="L50">
      <formula1>0</formula1>
      <formula2>NaN</formula2>
    </dataValidation>
    <dataValidation type="whole" allowBlank="1" showInputMessage="1" showErrorMessage="1" sqref="L51">
      <formula1>0</formula1>
      <formula2>NaN</formula2>
    </dataValidation>
    <dataValidation type="whole" allowBlank="1" showInputMessage="1" showErrorMessage="1" sqref="L52">
      <formula1>0</formula1>
      <formula2>NaN</formula2>
    </dataValidation>
    <dataValidation type="whole" allowBlank="1" showInputMessage="1" showErrorMessage="1" sqref="L53">
      <formula1>0</formula1>
      <formula2>NaN</formula2>
    </dataValidation>
    <dataValidation type="whole" allowBlank="1" showInputMessage="1" showErrorMessage="1" sqref="L54">
      <formula1>0</formula1>
      <formula2>NaN</formula2>
    </dataValidation>
    <dataValidation type="whole" allowBlank="1" showInputMessage="1" showErrorMessage="1" sqref="L55">
      <formula1>0</formula1>
      <formula2>NaN</formula2>
    </dataValidation>
    <dataValidation type="whole" allowBlank="1" showInputMessage="1" showErrorMessage="1" sqref="L56">
      <formula1>0</formula1>
      <formula2>NaN</formula2>
    </dataValidation>
    <dataValidation type="whole" allowBlank="1" showInputMessage="1" showErrorMessage="1" sqref="L57">
      <formula1>0</formula1>
      <formula2>NaN</formula2>
    </dataValidation>
    <dataValidation type="whole" allowBlank="1" showInputMessage="1" showErrorMessage="1" sqref="L58">
      <formula1>0</formula1>
      <formula2>NaN</formula2>
    </dataValidation>
    <dataValidation type="whole" allowBlank="1" showInputMessage="1" showErrorMessage="1" sqref="L59">
      <formula1>0</formula1>
      <formula2>NaN</formula2>
    </dataValidation>
    <dataValidation type="whole" allowBlank="1" showInputMessage="1" showErrorMessage="1" sqref="L60">
      <formula1>0</formula1>
      <formula2>NaN</formula2>
    </dataValidation>
    <dataValidation type="whole" allowBlank="1" showInputMessage="1" showErrorMessage="1" sqref="L61">
      <formula1>0</formula1>
      <formula2>NaN</formula2>
    </dataValidation>
    <dataValidation type="whole" allowBlank="1" showInputMessage="1" showErrorMessage="1" sqref="L62">
      <formula1>0</formula1>
      <formula2>NaN</formula2>
    </dataValidation>
    <dataValidation type="whole" allowBlank="1" showInputMessage="1" showErrorMessage="1" sqref="L63">
      <formula1>0</formula1>
      <formula2>NaN</formula2>
    </dataValidation>
    <dataValidation type="whole" allowBlank="1" showInputMessage="1" showErrorMessage="1" sqref="L64">
      <formula1>0</formula1>
      <formula2>NaN</formula2>
    </dataValidation>
    <dataValidation type="whole" allowBlank="1" showInputMessage="1" showErrorMessage="1" sqref="L65">
      <formula1>0</formula1>
      <formula2>NaN</formula2>
    </dataValidation>
    <dataValidation type="whole" allowBlank="1" showInputMessage="1" showErrorMessage="1" sqref="L66">
      <formula1>0</formula1>
      <formula2>NaN</formula2>
    </dataValidation>
    <dataValidation type="whole" allowBlank="1" showInputMessage="1" showErrorMessage="1" sqref="L67">
      <formula1>0</formula1>
      <formula2>NaN</formula2>
    </dataValidation>
    <dataValidation type="whole" allowBlank="1" showInputMessage="1" showErrorMessage="1" sqref="L68">
      <formula1>0</formula1>
      <formula2>NaN</formula2>
    </dataValidation>
    <dataValidation type="whole" allowBlank="1" showInputMessage="1" showErrorMessage="1" sqref="L9">
      <formula1>0</formula1>
      <formula2>NaN</formula2>
    </dataValidation>
    <dataValidation type="whole" allowBlank="1" showInputMessage="1" showErrorMessage="1" sqref="M10">
      <formula1>0</formula1>
      <formula2>NaN</formula2>
    </dataValidation>
    <dataValidation type="whole" allowBlank="1" showInputMessage="1" showErrorMessage="1" sqref="M11">
      <formula1>0</formula1>
      <formula2>NaN</formula2>
    </dataValidation>
    <dataValidation type="whole" allowBlank="1" showInputMessage="1" showErrorMessage="1" sqref="M12">
      <formula1>0</formula1>
      <formula2>NaN</formula2>
    </dataValidation>
    <dataValidation type="whole" allowBlank="1" showInputMessage="1" showErrorMessage="1" sqref="M13">
      <formula1>0</formula1>
      <formula2>NaN</formula2>
    </dataValidation>
    <dataValidation type="whole" allowBlank="1" showInputMessage="1" showErrorMessage="1" sqref="M14">
      <formula1>0</formula1>
      <formula2>NaN</formula2>
    </dataValidation>
    <dataValidation type="whole" allowBlank="1" showInputMessage="1" showErrorMessage="1" sqref="M15">
      <formula1>0</formula1>
      <formula2>NaN</formula2>
    </dataValidation>
    <dataValidation type="whole" allowBlank="1" showInputMessage="1" showErrorMessage="1" sqref="M16">
      <formula1>0</formula1>
      <formula2>NaN</formula2>
    </dataValidation>
    <dataValidation type="whole" allowBlank="1" showInputMessage="1" showErrorMessage="1" sqref="M17">
      <formula1>0</formula1>
      <formula2>NaN</formula2>
    </dataValidation>
    <dataValidation type="whole" allowBlank="1" showInputMessage="1" showErrorMessage="1" sqref="M18">
      <formula1>0</formula1>
      <formula2>NaN</formula2>
    </dataValidation>
    <dataValidation type="whole" allowBlank="1" showInputMessage="1" showErrorMessage="1" sqref="M19">
      <formula1>0</formula1>
      <formula2>NaN</formula2>
    </dataValidation>
    <dataValidation type="whole" allowBlank="1" showInputMessage="1" showErrorMessage="1" sqref="M20">
      <formula1>0</formula1>
      <formula2>NaN</formula2>
    </dataValidation>
    <dataValidation type="whole" allowBlank="1" showInputMessage="1" showErrorMessage="1" sqref="M21">
      <formula1>0</formula1>
      <formula2>NaN</formula2>
    </dataValidation>
    <dataValidation type="whole" allowBlank="1" showInputMessage="1" showErrorMessage="1" sqref="M22">
      <formula1>0</formula1>
      <formula2>NaN</formula2>
    </dataValidation>
    <dataValidation type="whole" allowBlank="1" showInputMessage="1" showErrorMessage="1" sqref="M23">
      <formula1>0</formula1>
      <formula2>NaN</formula2>
    </dataValidation>
    <dataValidation type="whole" allowBlank="1" showInputMessage="1" showErrorMessage="1" sqref="M24">
      <formula1>0</formula1>
      <formula2>NaN</formula2>
    </dataValidation>
    <dataValidation type="whole" allowBlank="1" showInputMessage="1" showErrorMessage="1" sqref="M25">
      <formula1>0</formula1>
      <formula2>NaN</formula2>
    </dataValidation>
    <dataValidation type="whole" allowBlank="1" showInputMessage="1" showErrorMessage="1" sqref="M26">
      <formula1>0</formula1>
      <formula2>NaN</formula2>
    </dataValidation>
    <dataValidation type="whole" allowBlank="1" showInputMessage="1" showErrorMessage="1" sqref="M27">
      <formula1>0</formula1>
      <formula2>NaN</formula2>
    </dataValidation>
    <dataValidation type="whole" allowBlank="1" showInputMessage="1" showErrorMessage="1" sqref="M28">
      <formula1>0</formula1>
      <formula2>NaN</formula2>
    </dataValidation>
    <dataValidation type="whole" allowBlank="1" showInputMessage="1" showErrorMessage="1" sqref="M29">
      <formula1>0</formula1>
      <formula2>NaN</formula2>
    </dataValidation>
    <dataValidation type="whole" allowBlank="1" showInputMessage="1" showErrorMessage="1" sqref="M30">
      <formula1>0</formula1>
      <formula2>NaN</formula2>
    </dataValidation>
    <dataValidation type="whole" allowBlank="1" showInputMessage="1" showErrorMessage="1" sqref="M31">
      <formula1>0</formula1>
      <formula2>NaN</formula2>
    </dataValidation>
    <dataValidation type="whole" allowBlank="1" showInputMessage="1" showErrorMessage="1" sqref="M32">
      <formula1>0</formula1>
      <formula2>NaN</formula2>
    </dataValidation>
    <dataValidation type="whole" allowBlank="1" showInputMessage="1" showErrorMessage="1" sqref="M33">
      <formula1>0</formula1>
      <formula2>NaN</formula2>
    </dataValidation>
    <dataValidation type="whole" allowBlank="1" showInputMessage="1" showErrorMessage="1" sqref="M34">
      <formula1>0</formula1>
      <formula2>NaN</formula2>
    </dataValidation>
    <dataValidation type="whole" allowBlank="1" showInputMessage="1" showErrorMessage="1" sqref="M35">
      <formula1>0</formula1>
      <formula2>NaN</formula2>
    </dataValidation>
    <dataValidation type="whole" allowBlank="1" showInputMessage="1" showErrorMessage="1" sqref="M36">
      <formula1>0</formula1>
      <formula2>NaN</formula2>
    </dataValidation>
    <dataValidation type="whole" allowBlank="1" showInputMessage="1" showErrorMessage="1" sqref="M37">
      <formula1>0</formula1>
      <formula2>NaN</formula2>
    </dataValidation>
    <dataValidation type="whole" allowBlank="1" showInputMessage="1" showErrorMessage="1" sqref="M38">
      <formula1>0</formula1>
      <formula2>NaN</formula2>
    </dataValidation>
    <dataValidation type="whole" allowBlank="1" showInputMessage="1" showErrorMessage="1" sqref="M39">
      <formula1>0</formula1>
      <formula2>NaN</formula2>
    </dataValidation>
    <dataValidation type="whole" allowBlank="1" showInputMessage="1" showErrorMessage="1" sqref="M40">
      <formula1>0</formula1>
      <formula2>NaN</formula2>
    </dataValidation>
    <dataValidation type="whole" allowBlank="1" showInputMessage="1" showErrorMessage="1" sqref="M41">
      <formula1>0</formula1>
      <formula2>NaN</formula2>
    </dataValidation>
    <dataValidation type="whole" allowBlank="1" showInputMessage="1" showErrorMessage="1" sqref="M42">
      <formula1>0</formula1>
      <formula2>NaN</formula2>
    </dataValidation>
    <dataValidation type="whole" allowBlank="1" showInputMessage="1" showErrorMessage="1" sqref="M43">
      <formula1>0</formula1>
      <formula2>NaN</formula2>
    </dataValidation>
    <dataValidation type="whole" allowBlank="1" showInputMessage="1" showErrorMessage="1" sqref="M44">
      <formula1>0</formula1>
      <formula2>NaN</formula2>
    </dataValidation>
    <dataValidation type="whole" allowBlank="1" showInputMessage="1" showErrorMessage="1" sqref="M45">
      <formula1>0</formula1>
      <formula2>NaN</formula2>
    </dataValidation>
    <dataValidation type="whole" allowBlank="1" showInputMessage="1" showErrorMessage="1" sqref="M46">
      <formula1>0</formula1>
      <formula2>NaN</formula2>
    </dataValidation>
    <dataValidation type="whole" allowBlank="1" showInputMessage="1" showErrorMessage="1" sqref="M47">
      <formula1>0</formula1>
      <formula2>NaN</formula2>
    </dataValidation>
    <dataValidation type="whole" allowBlank="1" showInputMessage="1" showErrorMessage="1" sqref="M48">
      <formula1>0</formula1>
      <formula2>NaN</formula2>
    </dataValidation>
    <dataValidation type="whole" allowBlank="1" showInputMessage="1" showErrorMessage="1" sqref="M49">
      <formula1>0</formula1>
      <formula2>NaN</formula2>
    </dataValidation>
    <dataValidation type="whole" allowBlank="1" showInputMessage="1" showErrorMessage="1" sqref="M50">
      <formula1>0</formula1>
      <formula2>NaN</formula2>
    </dataValidation>
    <dataValidation type="whole" allowBlank="1" showInputMessage="1" showErrorMessage="1" sqref="M51">
      <formula1>0</formula1>
      <formula2>NaN</formula2>
    </dataValidation>
    <dataValidation type="whole" allowBlank="1" showInputMessage="1" showErrorMessage="1" sqref="M52">
      <formula1>0</formula1>
      <formula2>NaN</formula2>
    </dataValidation>
    <dataValidation type="whole" allowBlank="1" showInputMessage="1" showErrorMessage="1" sqref="M53">
      <formula1>0</formula1>
      <formula2>NaN</formula2>
    </dataValidation>
    <dataValidation type="whole" allowBlank="1" showInputMessage="1" showErrorMessage="1" sqref="M54">
      <formula1>0</formula1>
      <formula2>NaN</formula2>
    </dataValidation>
    <dataValidation type="whole" allowBlank="1" showInputMessage="1" showErrorMessage="1" sqref="M55">
      <formula1>0</formula1>
      <formula2>NaN</formula2>
    </dataValidation>
    <dataValidation type="whole" allowBlank="1" showInputMessage="1" showErrorMessage="1" sqref="M56">
      <formula1>0</formula1>
      <formula2>NaN</formula2>
    </dataValidation>
    <dataValidation type="whole" allowBlank="1" showInputMessage="1" showErrorMessage="1" sqref="M57">
      <formula1>0</formula1>
      <formula2>NaN</formula2>
    </dataValidation>
    <dataValidation type="whole" allowBlank="1" showInputMessage="1" showErrorMessage="1" sqref="M58">
      <formula1>0</formula1>
      <formula2>NaN</formula2>
    </dataValidation>
    <dataValidation type="whole" allowBlank="1" showInputMessage="1" showErrorMessage="1" sqref="M59">
      <formula1>0</formula1>
      <formula2>NaN</formula2>
    </dataValidation>
    <dataValidation type="whole" allowBlank="1" showInputMessage="1" showErrorMessage="1" sqref="M60">
      <formula1>0</formula1>
      <formula2>NaN</formula2>
    </dataValidation>
    <dataValidation type="whole" allowBlank="1" showInputMessage="1" showErrorMessage="1" sqref="M61">
      <formula1>0</formula1>
      <formula2>NaN</formula2>
    </dataValidation>
    <dataValidation type="whole" allowBlank="1" showInputMessage="1" showErrorMessage="1" sqref="M62">
      <formula1>0</formula1>
      <formula2>NaN</formula2>
    </dataValidation>
    <dataValidation type="whole" allowBlank="1" showInputMessage="1" showErrorMessage="1" sqref="M63">
      <formula1>0</formula1>
      <formula2>NaN</formula2>
    </dataValidation>
    <dataValidation type="whole" allowBlank="1" showInputMessage="1" showErrorMessage="1" sqref="M64">
      <formula1>0</formula1>
      <formula2>NaN</formula2>
    </dataValidation>
    <dataValidation type="whole" allowBlank="1" showInputMessage="1" showErrorMessage="1" sqref="M65">
      <formula1>0</formula1>
      <formula2>NaN</formula2>
    </dataValidation>
    <dataValidation type="whole" allowBlank="1" showInputMessage="1" showErrorMessage="1" sqref="M66">
      <formula1>0</formula1>
      <formula2>NaN</formula2>
    </dataValidation>
    <dataValidation type="whole" allowBlank="1" showInputMessage="1" showErrorMessage="1" sqref="M67">
      <formula1>0</formula1>
      <formula2>NaN</formula2>
    </dataValidation>
    <dataValidation type="whole" allowBlank="1" showInputMessage="1" showErrorMessage="1" sqref="M68">
      <formula1>0</formula1>
      <formula2>NaN</formula2>
    </dataValidation>
    <dataValidation type="whole" allowBlank="1" showInputMessage="1" showErrorMessage="1" sqref="M9">
      <formula1>0</formula1>
      <formula2>NaN</formula2>
    </dataValidation>
    <dataValidation type="whole" allowBlank="1" showInputMessage="1" showErrorMessage="1" sqref="N10">
      <formula1>0</formula1>
      <formula2>NaN</formula2>
    </dataValidation>
    <dataValidation type="whole" allowBlank="1" showInputMessage="1" showErrorMessage="1" sqref="N11">
      <formula1>0</formula1>
      <formula2>NaN</formula2>
    </dataValidation>
    <dataValidation type="whole" allowBlank="1" showInputMessage="1" showErrorMessage="1" sqref="N12">
      <formula1>0</formula1>
      <formula2>NaN</formula2>
    </dataValidation>
    <dataValidation type="whole" allowBlank="1" showInputMessage="1" showErrorMessage="1" sqref="N13">
      <formula1>0</formula1>
      <formula2>NaN</formula2>
    </dataValidation>
    <dataValidation type="whole" allowBlank="1" showInputMessage="1" showErrorMessage="1" sqref="N14">
      <formula1>0</formula1>
      <formula2>NaN</formula2>
    </dataValidation>
    <dataValidation type="whole" allowBlank="1" showInputMessage="1" showErrorMessage="1" sqref="N15">
      <formula1>0</formula1>
      <formula2>NaN</formula2>
    </dataValidation>
    <dataValidation type="whole" allowBlank="1" showInputMessage="1" showErrorMessage="1" sqref="N16">
      <formula1>0</formula1>
      <formula2>NaN</formula2>
    </dataValidation>
    <dataValidation type="whole" allowBlank="1" showInputMessage="1" showErrorMessage="1" sqref="N17">
      <formula1>0</formula1>
      <formula2>NaN</formula2>
    </dataValidation>
    <dataValidation type="whole" allowBlank="1" showInputMessage="1" showErrorMessage="1" sqref="N18">
      <formula1>0</formula1>
      <formula2>NaN</formula2>
    </dataValidation>
    <dataValidation type="whole" allowBlank="1" showInputMessage="1" showErrorMessage="1" sqref="N19">
      <formula1>0</formula1>
      <formula2>NaN</formula2>
    </dataValidation>
    <dataValidation type="whole" allowBlank="1" showInputMessage="1" showErrorMessage="1" sqref="N20">
      <formula1>0</formula1>
      <formula2>NaN</formula2>
    </dataValidation>
    <dataValidation type="whole" allowBlank="1" showInputMessage="1" showErrorMessage="1" sqref="N21">
      <formula1>0</formula1>
      <formula2>NaN</formula2>
    </dataValidation>
    <dataValidation type="whole" allowBlank="1" showInputMessage="1" showErrorMessage="1" sqref="N22">
      <formula1>0</formula1>
      <formula2>NaN</formula2>
    </dataValidation>
    <dataValidation type="whole" allowBlank="1" showInputMessage="1" showErrorMessage="1" sqref="N23">
      <formula1>0</formula1>
      <formula2>NaN</formula2>
    </dataValidation>
    <dataValidation type="whole" allowBlank="1" showInputMessage="1" showErrorMessage="1" sqref="N24">
      <formula1>0</formula1>
      <formula2>NaN</formula2>
    </dataValidation>
    <dataValidation type="whole" allowBlank="1" showInputMessage="1" showErrorMessage="1" sqref="N25">
      <formula1>0</formula1>
      <formula2>NaN</formula2>
    </dataValidation>
    <dataValidation type="whole" allowBlank="1" showInputMessage="1" showErrorMessage="1" sqref="N26">
      <formula1>0</formula1>
      <formula2>NaN</formula2>
    </dataValidation>
    <dataValidation type="whole" allowBlank="1" showInputMessage="1" showErrorMessage="1" sqref="N27">
      <formula1>0</formula1>
      <formula2>NaN</formula2>
    </dataValidation>
    <dataValidation type="whole" allowBlank="1" showInputMessage="1" showErrorMessage="1" sqref="N28">
      <formula1>0</formula1>
      <formula2>NaN</formula2>
    </dataValidation>
    <dataValidation type="whole" allowBlank="1" showInputMessage="1" showErrorMessage="1" sqref="N29">
      <formula1>0</formula1>
      <formula2>NaN</formula2>
    </dataValidation>
    <dataValidation type="whole" allowBlank="1" showInputMessage="1" showErrorMessage="1" sqref="N30">
      <formula1>0</formula1>
      <formula2>NaN</formula2>
    </dataValidation>
    <dataValidation type="whole" allowBlank="1" showInputMessage="1" showErrorMessage="1" sqref="N31">
      <formula1>0</formula1>
      <formula2>NaN</formula2>
    </dataValidation>
    <dataValidation type="whole" allowBlank="1" showInputMessage="1" showErrorMessage="1" sqref="N32">
      <formula1>0</formula1>
      <formula2>NaN</formula2>
    </dataValidation>
    <dataValidation type="whole" allowBlank="1" showInputMessage="1" showErrorMessage="1" sqref="N33">
      <formula1>0</formula1>
      <formula2>NaN</formula2>
    </dataValidation>
    <dataValidation type="whole" allowBlank="1" showInputMessage="1" showErrorMessage="1" sqref="N34">
      <formula1>0</formula1>
      <formula2>NaN</formula2>
    </dataValidation>
    <dataValidation type="whole" allowBlank="1" showInputMessage="1" showErrorMessage="1" sqref="N35">
      <formula1>0</formula1>
      <formula2>NaN</formula2>
    </dataValidation>
    <dataValidation type="whole" allowBlank="1" showInputMessage="1" showErrorMessage="1" sqref="N36">
      <formula1>0</formula1>
      <formula2>NaN</formula2>
    </dataValidation>
    <dataValidation type="whole" allowBlank="1" showInputMessage="1" showErrorMessage="1" sqref="N37">
      <formula1>0</formula1>
      <formula2>NaN</formula2>
    </dataValidation>
    <dataValidation type="whole" allowBlank="1" showInputMessage="1" showErrorMessage="1" sqref="N38">
      <formula1>0</formula1>
      <formula2>NaN</formula2>
    </dataValidation>
    <dataValidation type="whole" allowBlank="1" showInputMessage="1" showErrorMessage="1" sqref="N39">
      <formula1>0</formula1>
      <formula2>NaN</formula2>
    </dataValidation>
    <dataValidation type="whole" allowBlank="1" showInputMessage="1" showErrorMessage="1" sqref="N40">
      <formula1>0</formula1>
      <formula2>NaN</formula2>
    </dataValidation>
    <dataValidation type="whole" allowBlank="1" showInputMessage="1" showErrorMessage="1" sqref="N41">
      <formula1>0</formula1>
      <formula2>NaN</formula2>
    </dataValidation>
    <dataValidation type="whole" allowBlank="1" showInputMessage="1" showErrorMessage="1" sqref="N42">
      <formula1>0</formula1>
      <formula2>NaN</formula2>
    </dataValidation>
    <dataValidation type="whole" allowBlank="1" showInputMessage="1" showErrorMessage="1" sqref="N43">
      <formula1>0</formula1>
      <formula2>NaN</formula2>
    </dataValidation>
    <dataValidation type="whole" allowBlank="1" showInputMessage="1" showErrorMessage="1" sqref="N44">
      <formula1>0</formula1>
      <formula2>NaN</formula2>
    </dataValidation>
    <dataValidation type="whole" allowBlank="1" showInputMessage="1" showErrorMessage="1" sqref="N45">
      <formula1>0</formula1>
      <formula2>NaN</formula2>
    </dataValidation>
    <dataValidation type="whole" allowBlank="1" showInputMessage="1" showErrorMessage="1" sqref="N46">
      <formula1>0</formula1>
      <formula2>NaN</formula2>
    </dataValidation>
    <dataValidation type="whole" allowBlank="1" showInputMessage="1" showErrorMessage="1" sqref="N47">
      <formula1>0</formula1>
      <formula2>NaN</formula2>
    </dataValidation>
    <dataValidation type="whole" allowBlank="1" showInputMessage="1" showErrorMessage="1" sqref="N48">
      <formula1>0</formula1>
      <formula2>NaN</formula2>
    </dataValidation>
    <dataValidation type="whole" allowBlank="1" showInputMessage="1" showErrorMessage="1" sqref="N49">
      <formula1>0</formula1>
      <formula2>NaN</formula2>
    </dataValidation>
    <dataValidation type="whole" allowBlank="1" showInputMessage="1" showErrorMessage="1" sqref="N50">
      <formula1>0</formula1>
      <formula2>NaN</formula2>
    </dataValidation>
    <dataValidation type="whole" allowBlank="1" showInputMessage="1" showErrorMessage="1" sqref="N51">
      <formula1>0</formula1>
      <formula2>NaN</formula2>
    </dataValidation>
    <dataValidation type="whole" allowBlank="1" showInputMessage="1" showErrorMessage="1" sqref="N52">
      <formula1>0</formula1>
      <formula2>NaN</formula2>
    </dataValidation>
    <dataValidation type="whole" allowBlank="1" showInputMessage="1" showErrorMessage="1" sqref="N53">
      <formula1>0</formula1>
      <formula2>NaN</formula2>
    </dataValidation>
    <dataValidation type="whole" allowBlank="1" showInputMessage="1" showErrorMessage="1" sqref="N54">
      <formula1>0</formula1>
      <formula2>NaN</formula2>
    </dataValidation>
    <dataValidation type="whole" allowBlank="1" showInputMessage="1" showErrorMessage="1" sqref="N55">
      <formula1>0</formula1>
      <formula2>NaN</formula2>
    </dataValidation>
    <dataValidation type="whole" allowBlank="1" showInputMessage="1" showErrorMessage="1" sqref="N56">
      <formula1>0</formula1>
      <formula2>NaN</formula2>
    </dataValidation>
    <dataValidation type="whole" allowBlank="1" showInputMessage="1" showErrorMessage="1" sqref="N57">
      <formula1>0</formula1>
      <formula2>NaN</formula2>
    </dataValidation>
    <dataValidation type="whole" allowBlank="1" showInputMessage="1" showErrorMessage="1" sqref="N58">
      <formula1>0</formula1>
      <formula2>NaN</formula2>
    </dataValidation>
    <dataValidation type="whole" allowBlank="1" showInputMessage="1" showErrorMessage="1" sqref="N59">
      <formula1>0</formula1>
      <formula2>NaN</formula2>
    </dataValidation>
    <dataValidation type="whole" allowBlank="1" showInputMessage="1" showErrorMessage="1" sqref="N60">
      <formula1>0</formula1>
      <formula2>NaN</formula2>
    </dataValidation>
    <dataValidation type="whole" allowBlank="1" showInputMessage="1" showErrorMessage="1" sqref="N61">
      <formula1>0</formula1>
      <formula2>NaN</formula2>
    </dataValidation>
    <dataValidation type="whole" allowBlank="1" showInputMessage="1" showErrorMessage="1" sqref="N62">
      <formula1>0</formula1>
      <formula2>NaN</formula2>
    </dataValidation>
    <dataValidation type="whole" allowBlank="1" showInputMessage="1" showErrorMessage="1" sqref="N63">
      <formula1>0</formula1>
      <formula2>NaN</formula2>
    </dataValidation>
    <dataValidation type="whole" allowBlank="1" showInputMessage="1" showErrorMessage="1" sqref="N64">
      <formula1>0</formula1>
      <formula2>NaN</formula2>
    </dataValidation>
    <dataValidation type="whole" allowBlank="1" showInputMessage="1" showErrorMessage="1" sqref="N65">
      <formula1>0</formula1>
      <formula2>NaN</formula2>
    </dataValidation>
    <dataValidation type="whole" allowBlank="1" showInputMessage="1" showErrorMessage="1" sqref="N66">
      <formula1>0</formula1>
      <formula2>NaN</formula2>
    </dataValidation>
    <dataValidation type="whole" allowBlank="1" showInputMessage="1" showErrorMessage="1" sqref="N67">
      <formula1>0</formula1>
      <formula2>NaN</formula2>
    </dataValidation>
    <dataValidation type="whole" allowBlank="1" showInputMessage="1" showErrorMessage="1" sqref="N68">
      <formula1>0</formula1>
      <formula2>NaN</formula2>
    </dataValidation>
    <dataValidation type="whole" allowBlank="1" showInputMessage="1" showErrorMessage="1" sqref="N9">
      <formula1>0</formula1>
      <formula2>NaN</formula2>
    </dataValidation>
    <dataValidation type="whole" allowBlank="1" showInputMessage="1" showErrorMessage="1" sqref="O10">
      <formula1>0</formula1>
      <formula2>NaN</formula2>
    </dataValidation>
    <dataValidation type="whole" allowBlank="1" showInputMessage="1" showErrorMessage="1" sqref="O11">
      <formula1>0</formula1>
      <formula2>NaN</formula2>
    </dataValidation>
    <dataValidation type="whole" allowBlank="1" showInputMessage="1" showErrorMessage="1" sqref="O12">
      <formula1>0</formula1>
      <formula2>NaN</formula2>
    </dataValidation>
    <dataValidation type="whole" allowBlank="1" showInputMessage="1" showErrorMessage="1" sqref="O13">
      <formula1>0</formula1>
      <formula2>NaN</formula2>
    </dataValidation>
    <dataValidation type="whole" allowBlank="1" showInputMessage="1" showErrorMessage="1" sqref="O14">
      <formula1>0</formula1>
      <formula2>NaN</formula2>
    </dataValidation>
    <dataValidation type="whole" allowBlank="1" showInputMessage="1" showErrorMessage="1" sqref="O15">
      <formula1>0</formula1>
      <formula2>NaN</formula2>
    </dataValidation>
    <dataValidation type="whole" allowBlank="1" showInputMessage="1" showErrorMessage="1" sqref="O16">
      <formula1>0</formula1>
      <formula2>NaN</formula2>
    </dataValidation>
    <dataValidation type="whole" allowBlank="1" showInputMessage="1" showErrorMessage="1" sqref="O17">
      <formula1>0</formula1>
      <formula2>NaN</formula2>
    </dataValidation>
    <dataValidation type="whole" allowBlank="1" showInputMessage="1" showErrorMessage="1" sqref="O18">
      <formula1>0</formula1>
      <formula2>NaN</formula2>
    </dataValidation>
    <dataValidation type="whole" allowBlank="1" showInputMessage="1" showErrorMessage="1" sqref="O19">
      <formula1>0</formula1>
      <formula2>NaN</formula2>
    </dataValidation>
    <dataValidation type="whole" allowBlank="1" showInputMessage="1" showErrorMessage="1" sqref="O20">
      <formula1>0</formula1>
      <formula2>NaN</formula2>
    </dataValidation>
    <dataValidation type="whole" allowBlank="1" showInputMessage="1" showErrorMessage="1" sqref="O21">
      <formula1>0</formula1>
      <formula2>NaN</formula2>
    </dataValidation>
    <dataValidation type="whole" allowBlank="1" showInputMessage="1" showErrorMessage="1" sqref="O22">
      <formula1>0</formula1>
      <formula2>NaN</formula2>
    </dataValidation>
    <dataValidation type="whole" allowBlank="1" showInputMessage="1" showErrorMessage="1" sqref="O23">
      <formula1>0</formula1>
      <formula2>NaN</formula2>
    </dataValidation>
    <dataValidation type="whole" allowBlank="1" showInputMessage="1" showErrorMessage="1" sqref="O24">
      <formula1>0</formula1>
      <formula2>NaN</formula2>
    </dataValidation>
    <dataValidation type="whole" allowBlank="1" showInputMessage="1" showErrorMessage="1" sqref="O25">
      <formula1>0</formula1>
      <formula2>NaN</formula2>
    </dataValidation>
    <dataValidation type="whole" allowBlank="1" showInputMessage="1" showErrorMessage="1" sqref="O26">
      <formula1>0</formula1>
      <formula2>NaN</formula2>
    </dataValidation>
    <dataValidation type="whole" allowBlank="1" showInputMessage="1" showErrorMessage="1" sqref="O27">
      <formula1>0</formula1>
      <formula2>NaN</formula2>
    </dataValidation>
    <dataValidation type="whole" allowBlank="1" showInputMessage="1" showErrorMessage="1" sqref="O28">
      <formula1>0</formula1>
      <formula2>NaN</formula2>
    </dataValidation>
    <dataValidation type="whole" allowBlank="1" showInputMessage="1" showErrorMessage="1" sqref="O29">
      <formula1>0</formula1>
      <formula2>NaN</formula2>
    </dataValidation>
    <dataValidation type="whole" allowBlank="1" showInputMessage="1" showErrorMessage="1" sqref="O30">
      <formula1>0</formula1>
      <formula2>NaN</formula2>
    </dataValidation>
    <dataValidation type="whole" allowBlank="1" showInputMessage="1" showErrorMessage="1" sqref="O31">
      <formula1>0</formula1>
      <formula2>NaN</formula2>
    </dataValidation>
    <dataValidation type="whole" allowBlank="1" showInputMessage="1" showErrorMessage="1" sqref="O32">
      <formula1>0</formula1>
      <formula2>NaN</formula2>
    </dataValidation>
    <dataValidation type="whole" allowBlank="1" showInputMessage="1" showErrorMessage="1" sqref="O33">
      <formula1>0</formula1>
      <formula2>NaN</formula2>
    </dataValidation>
    <dataValidation type="whole" allowBlank="1" showInputMessage="1" showErrorMessage="1" sqref="O34">
      <formula1>0</formula1>
      <formula2>NaN</formula2>
    </dataValidation>
    <dataValidation type="whole" allowBlank="1" showInputMessage="1" showErrorMessage="1" sqref="O35">
      <formula1>0</formula1>
      <formula2>NaN</formula2>
    </dataValidation>
    <dataValidation type="whole" allowBlank="1" showInputMessage="1" showErrorMessage="1" sqref="O36">
      <formula1>0</formula1>
      <formula2>NaN</formula2>
    </dataValidation>
    <dataValidation type="whole" allowBlank="1" showInputMessage="1" showErrorMessage="1" sqref="O37">
      <formula1>0</formula1>
      <formula2>NaN</formula2>
    </dataValidation>
    <dataValidation type="whole" allowBlank="1" showInputMessage="1" showErrorMessage="1" sqref="O38">
      <formula1>0</formula1>
      <formula2>NaN</formula2>
    </dataValidation>
    <dataValidation type="whole" allowBlank="1" showInputMessage="1" showErrorMessage="1" sqref="O39">
      <formula1>0</formula1>
      <formula2>NaN</formula2>
    </dataValidation>
    <dataValidation type="whole" allowBlank="1" showInputMessage="1" showErrorMessage="1" sqref="O40">
      <formula1>0</formula1>
      <formula2>NaN</formula2>
    </dataValidation>
    <dataValidation type="whole" allowBlank="1" showInputMessage="1" showErrorMessage="1" sqref="O41">
      <formula1>0</formula1>
      <formula2>NaN</formula2>
    </dataValidation>
    <dataValidation type="whole" allowBlank="1" showInputMessage="1" showErrorMessage="1" sqref="O42">
      <formula1>0</formula1>
      <formula2>NaN</formula2>
    </dataValidation>
    <dataValidation type="whole" allowBlank="1" showInputMessage="1" showErrorMessage="1" sqref="O43">
      <formula1>0</formula1>
      <formula2>NaN</formula2>
    </dataValidation>
    <dataValidation type="whole" allowBlank="1" showInputMessage="1" showErrorMessage="1" sqref="O44">
      <formula1>0</formula1>
      <formula2>NaN</formula2>
    </dataValidation>
    <dataValidation type="whole" allowBlank="1" showInputMessage="1" showErrorMessage="1" sqref="O45">
      <formula1>0</formula1>
      <formula2>NaN</formula2>
    </dataValidation>
    <dataValidation type="whole" allowBlank="1" showInputMessage="1" showErrorMessage="1" sqref="O46">
      <formula1>0</formula1>
      <formula2>NaN</formula2>
    </dataValidation>
    <dataValidation type="whole" allowBlank="1" showInputMessage="1" showErrorMessage="1" sqref="O47">
      <formula1>0</formula1>
      <formula2>NaN</formula2>
    </dataValidation>
    <dataValidation type="whole" allowBlank="1" showInputMessage="1" showErrorMessage="1" sqref="O48">
      <formula1>0</formula1>
      <formula2>NaN</formula2>
    </dataValidation>
    <dataValidation type="whole" allowBlank="1" showInputMessage="1" showErrorMessage="1" sqref="O49">
      <formula1>0</formula1>
      <formula2>NaN</formula2>
    </dataValidation>
    <dataValidation type="whole" allowBlank="1" showInputMessage="1" showErrorMessage="1" sqref="O50">
      <formula1>0</formula1>
      <formula2>NaN</formula2>
    </dataValidation>
    <dataValidation type="whole" allowBlank="1" showInputMessage="1" showErrorMessage="1" sqref="O51">
      <formula1>0</formula1>
      <formula2>NaN</formula2>
    </dataValidation>
    <dataValidation type="whole" allowBlank="1" showInputMessage="1" showErrorMessage="1" sqref="O52">
      <formula1>0</formula1>
      <formula2>NaN</formula2>
    </dataValidation>
    <dataValidation type="whole" allowBlank="1" showInputMessage="1" showErrorMessage="1" sqref="O53">
      <formula1>0</formula1>
      <formula2>NaN</formula2>
    </dataValidation>
    <dataValidation type="whole" allowBlank="1" showInputMessage="1" showErrorMessage="1" sqref="O54">
      <formula1>0</formula1>
      <formula2>NaN</formula2>
    </dataValidation>
    <dataValidation type="whole" allowBlank="1" showInputMessage="1" showErrorMessage="1" sqref="O55">
      <formula1>0</formula1>
      <formula2>NaN</formula2>
    </dataValidation>
    <dataValidation type="whole" allowBlank="1" showInputMessage="1" showErrorMessage="1" sqref="O56">
      <formula1>0</formula1>
      <formula2>NaN</formula2>
    </dataValidation>
    <dataValidation type="whole" allowBlank="1" showInputMessage="1" showErrorMessage="1" sqref="O57">
      <formula1>0</formula1>
      <formula2>NaN</formula2>
    </dataValidation>
    <dataValidation type="whole" allowBlank="1" showInputMessage="1" showErrorMessage="1" sqref="O58">
      <formula1>0</formula1>
      <formula2>NaN</formula2>
    </dataValidation>
    <dataValidation type="whole" allowBlank="1" showInputMessage="1" showErrorMessage="1" sqref="O59">
      <formula1>0</formula1>
      <formula2>NaN</formula2>
    </dataValidation>
    <dataValidation type="whole" allowBlank="1" showInputMessage="1" showErrorMessage="1" sqref="O60">
      <formula1>0</formula1>
      <formula2>NaN</formula2>
    </dataValidation>
    <dataValidation type="whole" allowBlank="1" showInputMessage="1" showErrorMessage="1" sqref="O61">
      <formula1>0</formula1>
      <formula2>NaN</formula2>
    </dataValidation>
    <dataValidation type="whole" allowBlank="1" showInputMessage="1" showErrorMessage="1" sqref="O62">
      <formula1>0</formula1>
      <formula2>NaN</formula2>
    </dataValidation>
    <dataValidation type="whole" allowBlank="1" showInputMessage="1" showErrorMessage="1" sqref="O63">
      <formula1>0</formula1>
      <formula2>NaN</formula2>
    </dataValidation>
    <dataValidation type="whole" allowBlank="1" showInputMessage="1" showErrorMessage="1" sqref="O64">
      <formula1>0</formula1>
      <formula2>NaN</formula2>
    </dataValidation>
    <dataValidation type="whole" allowBlank="1" showInputMessage="1" showErrorMessage="1" sqref="O65">
      <formula1>0</formula1>
      <formula2>NaN</formula2>
    </dataValidation>
    <dataValidation type="whole" allowBlank="1" showInputMessage="1" showErrorMessage="1" sqref="O66">
      <formula1>0</formula1>
      <formula2>NaN</formula2>
    </dataValidation>
    <dataValidation type="whole" allowBlank="1" showInputMessage="1" showErrorMessage="1" sqref="O67">
      <formula1>0</formula1>
      <formula2>NaN</formula2>
    </dataValidation>
    <dataValidation type="whole" allowBlank="1" showInputMessage="1" showErrorMessage="1" sqref="O68">
      <formula1>0</formula1>
      <formula2>NaN</formula2>
    </dataValidation>
    <dataValidation type="whole" allowBlank="1" showInputMessage="1" showErrorMessage="1" sqref="O9">
      <formula1>0</formula1>
      <formula2>NaN</formula2>
    </dataValidation>
    <dataValidation type="whole" allowBlank="1" showInputMessage="1" showErrorMessage="1" sqref="P10">
      <formula1>0</formula1>
      <formula2>NaN</formula2>
    </dataValidation>
    <dataValidation type="whole" allowBlank="1" showInputMessage="1" showErrorMessage="1" sqref="P11">
      <formula1>0</formula1>
      <formula2>NaN</formula2>
    </dataValidation>
    <dataValidation type="whole" allowBlank="1" showInputMessage="1" showErrorMessage="1" sqref="P12">
      <formula1>0</formula1>
      <formula2>NaN</formula2>
    </dataValidation>
    <dataValidation type="whole" allowBlank="1" showInputMessage="1" showErrorMessage="1" sqref="P13">
      <formula1>0</formula1>
      <formula2>NaN</formula2>
    </dataValidation>
    <dataValidation type="whole" allowBlank="1" showInputMessage="1" showErrorMessage="1" sqref="P14">
      <formula1>0</formula1>
      <formula2>NaN</formula2>
    </dataValidation>
    <dataValidation type="whole" allowBlank="1" showInputMessage="1" showErrorMessage="1" sqref="P15">
      <formula1>0</formula1>
      <formula2>NaN</formula2>
    </dataValidation>
    <dataValidation type="whole" allowBlank="1" showInputMessage="1" showErrorMessage="1" sqref="P16">
      <formula1>0</formula1>
      <formula2>NaN</formula2>
    </dataValidation>
    <dataValidation type="whole" allowBlank="1" showInputMessage="1" showErrorMessage="1" sqref="P17">
      <formula1>0</formula1>
      <formula2>NaN</formula2>
    </dataValidation>
    <dataValidation type="whole" allowBlank="1" showInputMessage="1" showErrorMessage="1" sqref="P18">
      <formula1>0</formula1>
      <formula2>NaN</formula2>
    </dataValidation>
    <dataValidation type="whole" allowBlank="1" showInputMessage="1" showErrorMessage="1" sqref="P19">
      <formula1>0</formula1>
      <formula2>NaN</formula2>
    </dataValidation>
    <dataValidation type="whole" allowBlank="1" showInputMessage="1" showErrorMessage="1" sqref="P20">
      <formula1>0</formula1>
      <formula2>NaN</formula2>
    </dataValidation>
    <dataValidation type="whole" allowBlank="1" showInputMessage="1" showErrorMessage="1" sqref="P21">
      <formula1>0</formula1>
      <formula2>NaN</formula2>
    </dataValidation>
    <dataValidation type="whole" allowBlank="1" showInputMessage="1" showErrorMessage="1" sqref="P22">
      <formula1>0</formula1>
      <formula2>NaN</formula2>
    </dataValidation>
    <dataValidation type="whole" allowBlank="1" showInputMessage="1" showErrorMessage="1" sqref="P23">
      <formula1>0</formula1>
      <formula2>NaN</formula2>
    </dataValidation>
    <dataValidation type="whole" allowBlank="1" showInputMessage="1" showErrorMessage="1" sqref="P24">
      <formula1>0</formula1>
      <formula2>NaN</formula2>
    </dataValidation>
    <dataValidation type="whole" allowBlank="1" showInputMessage="1" showErrorMessage="1" sqref="P25">
      <formula1>0</formula1>
      <formula2>NaN</formula2>
    </dataValidation>
    <dataValidation type="whole" allowBlank="1" showInputMessage="1" showErrorMessage="1" sqref="P26">
      <formula1>0</formula1>
      <formula2>NaN</formula2>
    </dataValidation>
    <dataValidation type="whole" allowBlank="1" showInputMessage="1" showErrorMessage="1" sqref="P27">
      <formula1>0</formula1>
      <formula2>NaN</formula2>
    </dataValidation>
    <dataValidation type="whole" allowBlank="1" showInputMessage="1" showErrorMessage="1" sqref="P28">
      <formula1>0</formula1>
      <formula2>NaN</formula2>
    </dataValidation>
    <dataValidation type="whole" allowBlank="1" showInputMessage="1" showErrorMessage="1" sqref="P29">
      <formula1>0</formula1>
      <formula2>NaN</formula2>
    </dataValidation>
    <dataValidation type="whole" allowBlank="1" showInputMessage="1" showErrorMessage="1" sqref="P30">
      <formula1>0</formula1>
      <formula2>NaN</formula2>
    </dataValidation>
    <dataValidation type="whole" allowBlank="1" showInputMessage="1" showErrorMessage="1" sqref="P31">
      <formula1>0</formula1>
      <formula2>NaN</formula2>
    </dataValidation>
    <dataValidation type="whole" allowBlank="1" showInputMessage="1" showErrorMessage="1" sqref="P32">
      <formula1>0</formula1>
      <formula2>NaN</formula2>
    </dataValidation>
    <dataValidation type="whole" allowBlank="1" showInputMessage="1" showErrorMessage="1" sqref="P33">
      <formula1>0</formula1>
      <formula2>NaN</formula2>
    </dataValidation>
    <dataValidation type="whole" allowBlank="1" showInputMessage="1" showErrorMessage="1" sqref="P34">
      <formula1>0</formula1>
      <formula2>NaN</formula2>
    </dataValidation>
    <dataValidation type="whole" allowBlank="1" showInputMessage="1" showErrorMessage="1" sqref="P35">
      <formula1>0</formula1>
      <formula2>NaN</formula2>
    </dataValidation>
    <dataValidation type="whole" allowBlank="1" showInputMessage="1" showErrorMessage="1" sqref="P36">
      <formula1>0</formula1>
      <formula2>NaN</formula2>
    </dataValidation>
    <dataValidation type="whole" allowBlank="1" showInputMessage="1" showErrorMessage="1" sqref="P37">
      <formula1>0</formula1>
      <formula2>NaN</formula2>
    </dataValidation>
    <dataValidation type="whole" allowBlank="1" showInputMessage="1" showErrorMessage="1" sqref="P38">
      <formula1>0</formula1>
      <formula2>NaN</formula2>
    </dataValidation>
    <dataValidation type="whole" allowBlank="1" showInputMessage="1" showErrorMessage="1" sqref="P39">
      <formula1>0</formula1>
      <formula2>NaN</formula2>
    </dataValidation>
    <dataValidation type="whole" allowBlank="1" showInputMessage="1" showErrorMessage="1" sqref="P40">
      <formula1>0</formula1>
      <formula2>NaN</formula2>
    </dataValidation>
    <dataValidation type="whole" allowBlank="1" showInputMessage="1" showErrorMessage="1" sqref="P41">
      <formula1>0</formula1>
      <formula2>NaN</formula2>
    </dataValidation>
    <dataValidation type="whole" allowBlank="1" showInputMessage="1" showErrorMessage="1" sqref="P42">
      <formula1>0</formula1>
      <formula2>NaN</formula2>
    </dataValidation>
    <dataValidation type="whole" allowBlank="1" showInputMessage="1" showErrorMessage="1" sqref="P43">
      <formula1>0</formula1>
      <formula2>NaN</formula2>
    </dataValidation>
    <dataValidation type="whole" allowBlank="1" showInputMessage="1" showErrorMessage="1" sqref="P44">
      <formula1>0</formula1>
      <formula2>NaN</formula2>
    </dataValidation>
    <dataValidation type="whole" allowBlank="1" showInputMessage="1" showErrorMessage="1" sqref="P45">
      <formula1>0</formula1>
      <formula2>NaN</formula2>
    </dataValidation>
    <dataValidation type="whole" allowBlank="1" showInputMessage="1" showErrorMessage="1" sqref="P46">
      <formula1>0</formula1>
      <formula2>NaN</formula2>
    </dataValidation>
    <dataValidation type="whole" allowBlank="1" showInputMessage="1" showErrorMessage="1" sqref="P47">
      <formula1>0</formula1>
      <formula2>NaN</formula2>
    </dataValidation>
    <dataValidation type="whole" allowBlank="1" showInputMessage="1" showErrorMessage="1" sqref="P48">
      <formula1>0</formula1>
      <formula2>NaN</formula2>
    </dataValidation>
    <dataValidation type="whole" allowBlank="1" showInputMessage="1" showErrorMessage="1" sqref="P49">
      <formula1>0</formula1>
      <formula2>NaN</formula2>
    </dataValidation>
    <dataValidation type="whole" allowBlank="1" showInputMessage="1" showErrorMessage="1" sqref="P50">
      <formula1>0</formula1>
      <formula2>NaN</formula2>
    </dataValidation>
    <dataValidation type="whole" allowBlank="1" showInputMessage="1" showErrorMessage="1" sqref="P51">
      <formula1>0</formula1>
      <formula2>NaN</formula2>
    </dataValidation>
    <dataValidation type="whole" allowBlank="1" showInputMessage="1" showErrorMessage="1" sqref="P52">
      <formula1>0</formula1>
      <formula2>NaN</formula2>
    </dataValidation>
    <dataValidation type="whole" allowBlank="1" showInputMessage="1" showErrorMessage="1" sqref="P53">
      <formula1>0</formula1>
      <formula2>NaN</formula2>
    </dataValidation>
    <dataValidation type="whole" allowBlank="1" showInputMessage="1" showErrorMessage="1" sqref="P54">
      <formula1>0</formula1>
      <formula2>NaN</formula2>
    </dataValidation>
    <dataValidation type="whole" allowBlank="1" showInputMessage="1" showErrorMessage="1" sqref="P55">
      <formula1>0</formula1>
      <formula2>NaN</formula2>
    </dataValidation>
    <dataValidation type="whole" allowBlank="1" showInputMessage="1" showErrorMessage="1" sqref="P56">
      <formula1>0</formula1>
      <formula2>NaN</formula2>
    </dataValidation>
    <dataValidation type="whole" allowBlank="1" showInputMessage="1" showErrorMessage="1" sqref="P57">
      <formula1>0</formula1>
      <formula2>NaN</formula2>
    </dataValidation>
    <dataValidation type="whole" allowBlank="1" showInputMessage="1" showErrorMessage="1" sqref="P58">
      <formula1>0</formula1>
      <formula2>NaN</formula2>
    </dataValidation>
    <dataValidation type="whole" allowBlank="1" showInputMessage="1" showErrorMessage="1" sqref="P59">
      <formula1>0</formula1>
      <formula2>NaN</formula2>
    </dataValidation>
    <dataValidation type="whole" allowBlank="1" showInputMessage="1" showErrorMessage="1" sqref="P60">
      <formula1>0</formula1>
      <formula2>NaN</formula2>
    </dataValidation>
    <dataValidation type="whole" allowBlank="1" showInputMessage="1" showErrorMessage="1" sqref="P61">
      <formula1>0</formula1>
      <formula2>NaN</formula2>
    </dataValidation>
    <dataValidation type="whole" allowBlank="1" showInputMessage="1" showErrorMessage="1" sqref="P62">
      <formula1>0</formula1>
      <formula2>NaN</formula2>
    </dataValidation>
    <dataValidation type="whole" allowBlank="1" showInputMessage="1" showErrorMessage="1" sqref="P63">
      <formula1>0</formula1>
      <formula2>NaN</formula2>
    </dataValidation>
    <dataValidation type="whole" allowBlank="1" showInputMessage="1" showErrorMessage="1" sqref="P64">
      <formula1>0</formula1>
      <formula2>NaN</formula2>
    </dataValidation>
    <dataValidation type="whole" allowBlank="1" showInputMessage="1" showErrorMessage="1" sqref="P65">
      <formula1>0</formula1>
      <formula2>NaN</formula2>
    </dataValidation>
    <dataValidation type="whole" allowBlank="1" showInputMessage="1" showErrorMessage="1" sqref="P66">
      <formula1>0</formula1>
      <formula2>NaN</formula2>
    </dataValidation>
    <dataValidation type="whole" allowBlank="1" showInputMessage="1" showErrorMessage="1" sqref="P67">
      <formula1>0</formula1>
      <formula2>NaN</formula2>
    </dataValidation>
    <dataValidation type="whole" allowBlank="1" showInputMessage="1" showErrorMessage="1" sqref="P68">
      <formula1>0</formula1>
      <formula2>NaN</formula2>
    </dataValidation>
    <dataValidation type="whole" allowBlank="1" showInputMessage="1" showErrorMessage="1" sqref="P9">
      <formula1>0</formula1>
      <formula2>NaN</formula2>
    </dataValidation>
    <dataValidation type="whole" allowBlank="1" showInputMessage="1" showErrorMessage="1" sqref="Q10">
      <formula1>0</formula1>
      <formula2>NaN</formula2>
    </dataValidation>
    <dataValidation type="whole" allowBlank="1" showInputMessage="1" showErrorMessage="1" sqref="Q11">
      <formula1>0</formula1>
      <formula2>NaN</formula2>
    </dataValidation>
    <dataValidation type="whole" allowBlank="1" showInputMessage="1" showErrorMessage="1" sqref="Q12">
      <formula1>0</formula1>
      <formula2>NaN</formula2>
    </dataValidation>
    <dataValidation type="whole" allowBlank="1" showInputMessage="1" showErrorMessage="1" sqref="Q13">
      <formula1>0</formula1>
      <formula2>NaN</formula2>
    </dataValidation>
    <dataValidation type="whole" allowBlank="1" showInputMessage="1" showErrorMessage="1" sqref="Q14">
      <formula1>0</formula1>
      <formula2>NaN</formula2>
    </dataValidation>
    <dataValidation type="whole" allowBlank="1" showInputMessage="1" showErrorMessage="1" sqref="Q15">
      <formula1>0</formula1>
      <formula2>NaN</formula2>
    </dataValidation>
    <dataValidation type="whole" allowBlank="1" showInputMessage="1" showErrorMessage="1" sqref="Q16">
      <formula1>0</formula1>
      <formula2>NaN</formula2>
    </dataValidation>
    <dataValidation type="whole" allowBlank="1" showInputMessage="1" showErrorMessage="1" sqref="Q17">
      <formula1>0</formula1>
      <formula2>NaN</formula2>
    </dataValidation>
    <dataValidation type="whole" allowBlank="1" showInputMessage="1" showErrorMessage="1" sqref="Q18">
      <formula1>0</formula1>
      <formula2>NaN</formula2>
    </dataValidation>
    <dataValidation type="whole" allowBlank="1" showInputMessage="1" showErrorMessage="1" sqref="Q19">
      <formula1>0</formula1>
      <formula2>NaN</formula2>
    </dataValidation>
    <dataValidation type="whole" allowBlank="1" showInputMessage="1" showErrorMessage="1" sqref="Q20">
      <formula1>0</formula1>
      <formula2>NaN</formula2>
    </dataValidation>
    <dataValidation type="whole" allowBlank="1" showInputMessage="1" showErrorMessage="1" sqref="Q21">
      <formula1>0</formula1>
      <formula2>NaN</formula2>
    </dataValidation>
    <dataValidation type="whole" allowBlank="1" showInputMessage="1" showErrorMessage="1" sqref="Q22">
      <formula1>0</formula1>
      <formula2>NaN</formula2>
    </dataValidation>
    <dataValidation type="whole" allowBlank="1" showInputMessage="1" showErrorMessage="1" sqref="Q23">
      <formula1>0</formula1>
      <formula2>NaN</formula2>
    </dataValidation>
    <dataValidation type="whole" allowBlank="1" showInputMessage="1" showErrorMessage="1" sqref="Q24">
      <formula1>0</formula1>
      <formula2>NaN</formula2>
    </dataValidation>
    <dataValidation type="whole" allowBlank="1" showInputMessage="1" showErrorMessage="1" sqref="Q25">
      <formula1>0</formula1>
      <formula2>NaN</formula2>
    </dataValidation>
    <dataValidation type="whole" allowBlank="1" showInputMessage="1" showErrorMessage="1" sqref="Q26">
      <formula1>0</formula1>
      <formula2>NaN</formula2>
    </dataValidation>
    <dataValidation type="whole" allowBlank="1" showInputMessage="1" showErrorMessage="1" sqref="Q27">
      <formula1>0</formula1>
      <formula2>NaN</formula2>
    </dataValidation>
    <dataValidation type="whole" allowBlank="1" showInputMessage="1" showErrorMessage="1" sqref="Q28">
      <formula1>0</formula1>
      <formula2>NaN</formula2>
    </dataValidation>
    <dataValidation type="whole" allowBlank="1" showInputMessage="1" showErrorMessage="1" sqref="Q29">
      <formula1>0</formula1>
      <formula2>NaN</formula2>
    </dataValidation>
    <dataValidation type="whole" allowBlank="1" showInputMessage="1" showErrorMessage="1" sqref="Q30">
      <formula1>0</formula1>
      <formula2>NaN</formula2>
    </dataValidation>
    <dataValidation type="whole" allowBlank="1" showInputMessage="1" showErrorMessage="1" sqref="Q31">
      <formula1>0</formula1>
      <formula2>NaN</formula2>
    </dataValidation>
    <dataValidation type="whole" allowBlank="1" showInputMessage="1" showErrorMessage="1" sqref="Q32">
      <formula1>0</formula1>
      <formula2>NaN</formula2>
    </dataValidation>
    <dataValidation type="whole" allowBlank="1" showInputMessage="1" showErrorMessage="1" sqref="Q33">
      <formula1>0</formula1>
      <formula2>NaN</formula2>
    </dataValidation>
    <dataValidation type="whole" allowBlank="1" showInputMessage="1" showErrorMessage="1" sqref="Q34">
      <formula1>0</formula1>
      <formula2>NaN</formula2>
    </dataValidation>
    <dataValidation type="whole" allowBlank="1" showInputMessage="1" showErrorMessage="1" sqref="Q35">
      <formula1>0</formula1>
      <formula2>NaN</formula2>
    </dataValidation>
    <dataValidation type="whole" allowBlank="1" showInputMessage="1" showErrorMessage="1" sqref="Q36">
      <formula1>0</formula1>
      <formula2>NaN</formula2>
    </dataValidation>
    <dataValidation type="whole" allowBlank="1" showInputMessage="1" showErrorMessage="1" sqref="Q37">
      <formula1>0</formula1>
      <formula2>NaN</formula2>
    </dataValidation>
    <dataValidation type="whole" allowBlank="1" showInputMessage="1" showErrorMessage="1" sqref="Q38">
      <formula1>0</formula1>
      <formula2>NaN</formula2>
    </dataValidation>
    <dataValidation type="whole" allowBlank="1" showInputMessage="1" showErrorMessage="1" sqref="Q39">
      <formula1>0</formula1>
      <formula2>NaN</formula2>
    </dataValidation>
    <dataValidation type="whole" allowBlank="1" showInputMessage="1" showErrorMessage="1" sqref="Q40">
      <formula1>0</formula1>
      <formula2>NaN</formula2>
    </dataValidation>
    <dataValidation type="whole" allowBlank="1" showInputMessage="1" showErrorMessage="1" sqref="Q41">
      <formula1>0</formula1>
      <formula2>NaN</formula2>
    </dataValidation>
    <dataValidation type="whole" allowBlank="1" showInputMessage="1" showErrorMessage="1" sqref="Q42">
      <formula1>0</formula1>
      <formula2>NaN</formula2>
    </dataValidation>
    <dataValidation type="whole" allowBlank="1" showInputMessage="1" showErrorMessage="1" sqref="Q43">
      <formula1>0</formula1>
      <formula2>NaN</formula2>
    </dataValidation>
    <dataValidation type="whole" allowBlank="1" showInputMessage="1" showErrorMessage="1" sqref="Q44">
      <formula1>0</formula1>
      <formula2>NaN</formula2>
    </dataValidation>
    <dataValidation type="whole" allowBlank="1" showInputMessage="1" showErrorMessage="1" sqref="Q45">
      <formula1>0</formula1>
      <formula2>NaN</formula2>
    </dataValidation>
    <dataValidation type="whole" allowBlank="1" showInputMessage="1" showErrorMessage="1" sqref="Q46">
      <formula1>0</formula1>
      <formula2>NaN</formula2>
    </dataValidation>
    <dataValidation type="whole" allowBlank="1" showInputMessage="1" showErrorMessage="1" sqref="Q47">
      <formula1>0</formula1>
      <formula2>NaN</formula2>
    </dataValidation>
    <dataValidation type="whole" allowBlank="1" showInputMessage="1" showErrorMessage="1" sqref="Q48">
      <formula1>0</formula1>
      <formula2>NaN</formula2>
    </dataValidation>
    <dataValidation type="whole" allowBlank="1" showInputMessage="1" showErrorMessage="1" sqref="Q49">
      <formula1>0</formula1>
      <formula2>NaN</formula2>
    </dataValidation>
    <dataValidation type="whole" allowBlank="1" showInputMessage="1" showErrorMessage="1" sqref="Q50">
      <formula1>0</formula1>
      <formula2>NaN</formula2>
    </dataValidation>
    <dataValidation type="whole" allowBlank="1" showInputMessage="1" showErrorMessage="1" sqref="Q51">
      <formula1>0</formula1>
      <formula2>NaN</formula2>
    </dataValidation>
    <dataValidation type="whole" allowBlank="1" showInputMessage="1" showErrorMessage="1" sqref="Q52">
      <formula1>0</formula1>
      <formula2>NaN</formula2>
    </dataValidation>
    <dataValidation type="whole" allowBlank="1" showInputMessage="1" showErrorMessage="1" sqref="Q53">
      <formula1>0</formula1>
      <formula2>NaN</formula2>
    </dataValidation>
    <dataValidation type="whole" allowBlank="1" showInputMessage="1" showErrorMessage="1" sqref="Q54">
      <formula1>0</formula1>
      <formula2>NaN</formula2>
    </dataValidation>
    <dataValidation type="whole" allowBlank="1" showInputMessage="1" showErrorMessage="1" sqref="Q55">
      <formula1>0</formula1>
      <formula2>NaN</formula2>
    </dataValidation>
    <dataValidation type="whole" allowBlank="1" showInputMessage="1" showErrorMessage="1" sqref="Q56">
      <formula1>0</formula1>
      <formula2>NaN</formula2>
    </dataValidation>
    <dataValidation type="whole" allowBlank="1" showInputMessage="1" showErrorMessage="1" sqref="Q57">
      <formula1>0</formula1>
      <formula2>NaN</formula2>
    </dataValidation>
    <dataValidation type="whole" allowBlank="1" showInputMessage="1" showErrorMessage="1" sqref="Q58">
      <formula1>0</formula1>
      <formula2>NaN</formula2>
    </dataValidation>
    <dataValidation type="whole" allowBlank="1" showInputMessage="1" showErrorMessage="1" sqref="Q59">
      <formula1>0</formula1>
      <formula2>NaN</formula2>
    </dataValidation>
    <dataValidation type="whole" allowBlank="1" showInputMessage="1" showErrorMessage="1" sqref="Q60">
      <formula1>0</formula1>
      <formula2>NaN</formula2>
    </dataValidation>
    <dataValidation type="whole" allowBlank="1" showInputMessage="1" showErrorMessage="1" sqref="Q61">
      <formula1>0</formula1>
      <formula2>NaN</formula2>
    </dataValidation>
    <dataValidation type="whole" allowBlank="1" showInputMessage="1" showErrorMessage="1" sqref="Q62">
      <formula1>0</formula1>
      <formula2>NaN</formula2>
    </dataValidation>
    <dataValidation type="whole" allowBlank="1" showInputMessage="1" showErrorMessage="1" sqref="Q63">
      <formula1>0</formula1>
      <formula2>NaN</formula2>
    </dataValidation>
    <dataValidation type="whole" allowBlank="1" showInputMessage="1" showErrorMessage="1" sqref="Q64">
      <formula1>0</formula1>
      <formula2>NaN</formula2>
    </dataValidation>
    <dataValidation type="whole" allowBlank="1" showInputMessage="1" showErrorMessage="1" sqref="Q65">
      <formula1>0</formula1>
      <formula2>NaN</formula2>
    </dataValidation>
    <dataValidation type="whole" allowBlank="1" showInputMessage="1" showErrorMessage="1" sqref="Q66">
      <formula1>0</formula1>
      <formula2>NaN</formula2>
    </dataValidation>
    <dataValidation type="whole" allowBlank="1" showInputMessage="1" showErrorMessage="1" sqref="Q67">
      <formula1>0</formula1>
      <formula2>NaN</formula2>
    </dataValidation>
    <dataValidation type="whole" allowBlank="1" showInputMessage="1" showErrorMessage="1" sqref="Q68">
      <formula1>0</formula1>
      <formula2>NaN</formula2>
    </dataValidation>
    <dataValidation type="whole" allowBlank="1" showInputMessage="1" showErrorMessage="1" sqref="Q9">
      <formula1>0</formula1>
      <formula2>NaN</formula2>
    </dataValidation>
    <dataValidation type="whole" allowBlank="1" showInputMessage="1" showErrorMessage="1" sqref="R10">
      <formula1>0</formula1>
      <formula2>NaN</formula2>
    </dataValidation>
    <dataValidation type="whole" allowBlank="1" showInputMessage="1" showErrorMessage="1" sqref="R11">
      <formula1>0</formula1>
      <formula2>NaN</formula2>
    </dataValidation>
    <dataValidation type="whole" allowBlank="1" showInputMessage="1" showErrorMessage="1" sqref="R12">
      <formula1>0</formula1>
      <formula2>NaN</formula2>
    </dataValidation>
    <dataValidation type="whole" allowBlank="1" showInputMessage="1" showErrorMessage="1" sqref="R13">
      <formula1>0</formula1>
      <formula2>NaN</formula2>
    </dataValidation>
    <dataValidation type="whole" allowBlank="1" showInputMessage="1" showErrorMessage="1" sqref="R14">
      <formula1>0</formula1>
      <formula2>NaN</formula2>
    </dataValidation>
    <dataValidation type="whole" allowBlank="1" showInputMessage="1" showErrorMessage="1" sqref="R15">
      <formula1>0</formula1>
      <formula2>NaN</formula2>
    </dataValidation>
    <dataValidation type="whole" allowBlank="1" showInputMessage="1" showErrorMessage="1" sqref="R16">
      <formula1>0</formula1>
      <formula2>NaN</formula2>
    </dataValidation>
    <dataValidation type="whole" allowBlank="1" showInputMessage="1" showErrorMessage="1" sqref="R17">
      <formula1>0</formula1>
      <formula2>NaN</formula2>
    </dataValidation>
    <dataValidation type="whole" allowBlank="1" showInputMessage="1" showErrorMessage="1" sqref="R18">
      <formula1>0</formula1>
      <formula2>NaN</formula2>
    </dataValidation>
    <dataValidation type="whole" allowBlank="1" showInputMessage="1" showErrorMessage="1" sqref="R19">
      <formula1>0</formula1>
      <formula2>NaN</formula2>
    </dataValidation>
    <dataValidation type="whole" allowBlank="1" showInputMessage="1" showErrorMessage="1" sqref="R20">
      <formula1>0</formula1>
      <formula2>NaN</formula2>
    </dataValidation>
    <dataValidation type="whole" allowBlank="1" showInputMessage="1" showErrorMessage="1" sqref="R21">
      <formula1>0</formula1>
      <formula2>NaN</formula2>
    </dataValidation>
    <dataValidation type="whole" allowBlank="1" showInputMessage="1" showErrorMessage="1" sqref="R22">
      <formula1>0</formula1>
      <formula2>NaN</formula2>
    </dataValidation>
    <dataValidation type="whole" allowBlank="1" showInputMessage="1" showErrorMessage="1" sqref="R23">
      <formula1>0</formula1>
      <formula2>NaN</formula2>
    </dataValidation>
    <dataValidation type="whole" allowBlank="1" showInputMessage="1" showErrorMessage="1" sqref="R24">
      <formula1>0</formula1>
      <formula2>NaN</formula2>
    </dataValidation>
    <dataValidation type="whole" allowBlank="1" showInputMessage="1" showErrorMessage="1" sqref="R25">
      <formula1>0</formula1>
      <formula2>NaN</formula2>
    </dataValidation>
    <dataValidation type="whole" allowBlank="1" showInputMessage="1" showErrorMessage="1" sqref="R26">
      <formula1>0</formula1>
      <formula2>NaN</formula2>
    </dataValidation>
    <dataValidation type="whole" allowBlank="1" showInputMessage="1" showErrorMessage="1" sqref="R27">
      <formula1>0</formula1>
      <formula2>NaN</formula2>
    </dataValidation>
    <dataValidation type="whole" allowBlank="1" showInputMessage="1" showErrorMessage="1" sqref="R28">
      <formula1>0</formula1>
      <formula2>NaN</formula2>
    </dataValidation>
    <dataValidation type="whole" allowBlank="1" showInputMessage="1" showErrorMessage="1" sqref="R29">
      <formula1>0</formula1>
      <formula2>NaN</formula2>
    </dataValidation>
    <dataValidation type="whole" allowBlank="1" showInputMessage="1" showErrorMessage="1" sqref="R30">
      <formula1>0</formula1>
      <formula2>NaN</formula2>
    </dataValidation>
    <dataValidation type="whole" allowBlank="1" showInputMessage="1" showErrorMessage="1" sqref="R31">
      <formula1>0</formula1>
      <formula2>NaN</formula2>
    </dataValidation>
    <dataValidation type="whole" allowBlank="1" showInputMessage="1" showErrorMessage="1" sqref="R32">
      <formula1>0</formula1>
      <formula2>NaN</formula2>
    </dataValidation>
    <dataValidation type="whole" allowBlank="1" showInputMessage="1" showErrorMessage="1" sqref="R33">
      <formula1>0</formula1>
      <formula2>NaN</formula2>
    </dataValidation>
    <dataValidation type="whole" allowBlank="1" showInputMessage="1" showErrorMessage="1" sqref="R34">
      <formula1>0</formula1>
      <formula2>NaN</formula2>
    </dataValidation>
    <dataValidation type="whole" allowBlank="1" showInputMessage="1" showErrorMessage="1" sqref="R35">
      <formula1>0</formula1>
      <formula2>NaN</formula2>
    </dataValidation>
    <dataValidation type="whole" allowBlank="1" showInputMessage="1" showErrorMessage="1" sqref="R36">
      <formula1>0</formula1>
      <formula2>NaN</formula2>
    </dataValidation>
    <dataValidation type="whole" allowBlank="1" showInputMessage="1" showErrorMessage="1" sqref="R37">
      <formula1>0</formula1>
      <formula2>NaN</formula2>
    </dataValidation>
    <dataValidation type="whole" allowBlank="1" showInputMessage="1" showErrorMessage="1" sqref="R38">
      <formula1>0</formula1>
      <formula2>NaN</formula2>
    </dataValidation>
    <dataValidation type="whole" allowBlank="1" showInputMessage="1" showErrorMessage="1" sqref="R39">
      <formula1>0</formula1>
      <formula2>NaN</formula2>
    </dataValidation>
    <dataValidation type="whole" allowBlank="1" showInputMessage="1" showErrorMessage="1" sqref="R40">
      <formula1>0</formula1>
      <formula2>NaN</formula2>
    </dataValidation>
    <dataValidation type="whole" allowBlank="1" showInputMessage="1" showErrorMessage="1" sqref="R41">
      <formula1>0</formula1>
      <formula2>NaN</formula2>
    </dataValidation>
    <dataValidation type="whole" allowBlank="1" showInputMessage="1" showErrorMessage="1" sqref="R42">
      <formula1>0</formula1>
      <formula2>NaN</formula2>
    </dataValidation>
    <dataValidation type="whole" allowBlank="1" showInputMessage="1" showErrorMessage="1" sqref="R43">
      <formula1>0</formula1>
      <formula2>NaN</formula2>
    </dataValidation>
    <dataValidation type="whole" allowBlank="1" showInputMessage="1" showErrorMessage="1" sqref="R44">
      <formula1>0</formula1>
      <formula2>NaN</formula2>
    </dataValidation>
    <dataValidation type="whole" allowBlank="1" showInputMessage="1" showErrorMessage="1" sqref="R45">
      <formula1>0</formula1>
      <formula2>NaN</formula2>
    </dataValidation>
    <dataValidation type="whole" allowBlank="1" showInputMessage="1" showErrorMessage="1" sqref="R46">
      <formula1>0</formula1>
      <formula2>NaN</formula2>
    </dataValidation>
    <dataValidation type="whole" allowBlank="1" showInputMessage="1" showErrorMessage="1" sqref="R47">
      <formula1>0</formula1>
      <formula2>NaN</formula2>
    </dataValidation>
    <dataValidation type="whole" allowBlank="1" showInputMessage="1" showErrorMessage="1" sqref="R48">
      <formula1>0</formula1>
      <formula2>NaN</formula2>
    </dataValidation>
    <dataValidation type="whole" allowBlank="1" showInputMessage="1" showErrorMessage="1" sqref="R49">
      <formula1>0</formula1>
      <formula2>NaN</formula2>
    </dataValidation>
    <dataValidation type="whole" allowBlank="1" showInputMessage="1" showErrorMessage="1" sqref="R50">
      <formula1>0</formula1>
      <formula2>NaN</formula2>
    </dataValidation>
    <dataValidation type="whole" allowBlank="1" showInputMessage="1" showErrorMessage="1" sqref="R51">
      <formula1>0</formula1>
      <formula2>NaN</formula2>
    </dataValidation>
    <dataValidation type="whole" allowBlank="1" showInputMessage="1" showErrorMessage="1" sqref="R52">
      <formula1>0</formula1>
      <formula2>NaN</formula2>
    </dataValidation>
    <dataValidation type="whole" allowBlank="1" showInputMessage="1" showErrorMessage="1" sqref="R53">
      <formula1>0</formula1>
      <formula2>NaN</formula2>
    </dataValidation>
    <dataValidation type="whole" allowBlank="1" showInputMessage="1" showErrorMessage="1" sqref="R54">
      <formula1>0</formula1>
      <formula2>NaN</formula2>
    </dataValidation>
    <dataValidation type="whole" allowBlank="1" showInputMessage="1" showErrorMessage="1" sqref="R55">
      <formula1>0</formula1>
      <formula2>NaN</formula2>
    </dataValidation>
    <dataValidation type="whole" allowBlank="1" showInputMessage="1" showErrorMessage="1" sqref="R56">
      <formula1>0</formula1>
      <formula2>NaN</formula2>
    </dataValidation>
    <dataValidation type="whole" allowBlank="1" showInputMessage="1" showErrorMessage="1" sqref="R57">
      <formula1>0</formula1>
      <formula2>NaN</formula2>
    </dataValidation>
    <dataValidation type="whole" allowBlank="1" showInputMessage="1" showErrorMessage="1" sqref="R58">
      <formula1>0</formula1>
      <formula2>NaN</formula2>
    </dataValidation>
    <dataValidation type="whole" allowBlank="1" showInputMessage="1" showErrorMessage="1" sqref="R59">
      <formula1>0</formula1>
      <formula2>NaN</formula2>
    </dataValidation>
    <dataValidation type="whole" allowBlank="1" showInputMessage="1" showErrorMessage="1" sqref="R60">
      <formula1>0</formula1>
      <formula2>NaN</formula2>
    </dataValidation>
    <dataValidation type="whole" allowBlank="1" showInputMessage="1" showErrorMessage="1" sqref="R61">
      <formula1>0</formula1>
      <formula2>NaN</formula2>
    </dataValidation>
    <dataValidation type="whole" allowBlank="1" showInputMessage="1" showErrorMessage="1" sqref="R62">
      <formula1>0</formula1>
      <formula2>NaN</formula2>
    </dataValidation>
    <dataValidation type="whole" allowBlank="1" showInputMessage="1" showErrorMessage="1" sqref="R63">
      <formula1>0</formula1>
      <formula2>NaN</formula2>
    </dataValidation>
    <dataValidation type="whole" allowBlank="1" showInputMessage="1" showErrorMessage="1" sqref="R64">
      <formula1>0</formula1>
      <formula2>NaN</formula2>
    </dataValidation>
    <dataValidation type="whole" allowBlank="1" showInputMessage="1" showErrorMessage="1" sqref="R65">
      <formula1>0</formula1>
      <formula2>NaN</formula2>
    </dataValidation>
    <dataValidation type="whole" allowBlank="1" showInputMessage="1" showErrorMessage="1" sqref="R66">
      <formula1>0</formula1>
      <formula2>NaN</formula2>
    </dataValidation>
    <dataValidation type="whole" allowBlank="1" showInputMessage="1" showErrorMessage="1" sqref="R67">
      <formula1>0</formula1>
      <formula2>NaN</formula2>
    </dataValidation>
    <dataValidation type="whole" allowBlank="1" showInputMessage="1" showErrorMessage="1" sqref="R68">
      <formula1>0</formula1>
      <formula2>NaN</formula2>
    </dataValidation>
    <dataValidation type="whole" allowBlank="1" showInputMessage="1" showErrorMessage="1" sqref="R9">
      <formula1>0</formula1>
      <formula2>NaN</formula2>
    </dataValidation>
    <dataValidation type="whole" allowBlank="1" showInputMessage="1" showErrorMessage="1" sqref="S10">
      <formula1>0</formula1>
      <formula2>NaN</formula2>
    </dataValidation>
    <dataValidation type="whole" allowBlank="1" showInputMessage="1" showErrorMessage="1" sqref="S11">
      <formula1>0</formula1>
      <formula2>NaN</formula2>
    </dataValidation>
    <dataValidation type="whole" allowBlank="1" showInputMessage="1" showErrorMessage="1" sqref="S12">
      <formula1>0</formula1>
      <formula2>NaN</formula2>
    </dataValidation>
    <dataValidation type="whole" allowBlank="1" showInputMessage="1" showErrorMessage="1" sqref="S13">
      <formula1>0</formula1>
      <formula2>NaN</formula2>
    </dataValidation>
    <dataValidation type="whole" allowBlank="1" showInputMessage="1" showErrorMessage="1" sqref="S14">
      <formula1>0</formula1>
      <formula2>NaN</formula2>
    </dataValidation>
    <dataValidation type="whole" allowBlank="1" showInputMessage="1" showErrorMessage="1" sqref="S15">
      <formula1>0</formula1>
      <formula2>NaN</formula2>
    </dataValidation>
    <dataValidation type="whole" allowBlank="1" showInputMessage="1" showErrorMessage="1" sqref="S16">
      <formula1>0</formula1>
      <formula2>NaN</formula2>
    </dataValidation>
    <dataValidation type="whole" allowBlank="1" showInputMessage="1" showErrorMessage="1" sqref="S17">
      <formula1>0</formula1>
      <formula2>NaN</formula2>
    </dataValidation>
    <dataValidation type="whole" allowBlank="1" showInputMessage="1" showErrorMessage="1" sqref="S18">
      <formula1>0</formula1>
      <formula2>NaN</formula2>
    </dataValidation>
    <dataValidation type="whole" allowBlank="1" showInputMessage="1" showErrorMessage="1" sqref="S19">
      <formula1>0</formula1>
      <formula2>NaN</formula2>
    </dataValidation>
    <dataValidation type="whole" allowBlank="1" showInputMessage="1" showErrorMessage="1" sqref="S20">
      <formula1>0</formula1>
      <formula2>NaN</formula2>
    </dataValidation>
    <dataValidation type="whole" allowBlank="1" showInputMessage="1" showErrorMessage="1" sqref="S21">
      <formula1>0</formula1>
      <formula2>NaN</formula2>
    </dataValidation>
    <dataValidation type="whole" allowBlank="1" showInputMessage="1" showErrorMessage="1" sqref="S22">
      <formula1>0</formula1>
      <formula2>NaN</formula2>
    </dataValidation>
    <dataValidation type="whole" allowBlank="1" showInputMessage="1" showErrorMessage="1" sqref="S23">
      <formula1>0</formula1>
      <formula2>NaN</formula2>
    </dataValidation>
    <dataValidation type="whole" allowBlank="1" showInputMessage="1" showErrorMessage="1" sqref="S24">
      <formula1>0</formula1>
      <formula2>NaN</formula2>
    </dataValidation>
    <dataValidation type="whole" allowBlank="1" showInputMessage="1" showErrorMessage="1" sqref="S25">
      <formula1>0</formula1>
      <formula2>NaN</formula2>
    </dataValidation>
    <dataValidation type="whole" allowBlank="1" showInputMessage="1" showErrorMessage="1" sqref="S26">
      <formula1>0</formula1>
      <formula2>NaN</formula2>
    </dataValidation>
    <dataValidation type="whole" allowBlank="1" showInputMessage="1" showErrorMessage="1" sqref="S27">
      <formula1>0</formula1>
      <formula2>NaN</formula2>
    </dataValidation>
    <dataValidation type="whole" allowBlank="1" showInputMessage="1" showErrorMessage="1" sqref="S28">
      <formula1>0</formula1>
      <formula2>NaN</formula2>
    </dataValidation>
    <dataValidation type="whole" allowBlank="1" showInputMessage="1" showErrorMessage="1" sqref="S29">
      <formula1>0</formula1>
      <formula2>NaN</formula2>
    </dataValidation>
    <dataValidation type="whole" allowBlank="1" showInputMessage="1" showErrorMessage="1" sqref="S30">
      <formula1>0</formula1>
      <formula2>NaN</formula2>
    </dataValidation>
    <dataValidation type="whole" allowBlank="1" showInputMessage="1" showErrorMessage="1" sqref="S31">
      <formula1>0</formula1>
      <formula2>NaN</formula2>
    </dataValidation>
    <dataValidation type="whole" allowBlank="1" showInputMessage="1" showErrorMessage="1" sqref="S32">
      <formula1>0</formula1>
      <formula2>NaN</formula2>
    </dataValidation>
    <dataValidation type="whole" allowBlank="1" showInputMessage="1" showErrorMessage="1" sqref="S33">
      <formula1>0</formula1>
      <formula2>NaN</formula2>
    </dataValidation>
    <dataValidation type="whole" allowBlank="1" showInputMessage="1" showErrorMessage="1" sqref="S34">
      <formula1>0</formula1>
      <formula2>NaN</formula2>
    </dataValidation>
    <dataValidation type="whole" allowBlank="1" showInputMessage="1" showErrorMessage="1" sqref="S35">
      <formula1>0</formula1>
      <formula2>NaN</formula2>
    </dataValidation>
    <dataValidation type="whole" allowBlank="1" showInputMessage="1" showErrorMessage="1" sqref="S36">
      <formula1>0</formula1>
      <formula2>NaN</formula2>
    </dataValidation>
    <dataValidation type="whole" allowBlank="1" showInputMessage="1" showErrorMessage="1" sqref="S37">
      <formula1>0</formula1>
      <formula2>NaN</formula2>
    </dataValidation>
    <dataValidation type="whole" allowBlank="1" showInputMessage="1" showErrorMessage="1" sqref="S38">
      <formula1>0</formula1>
      <formula2>NaN</formula2>
    </dataValidation>
    <dataValidation type="whole" allowBlank="1" showInputMessage="1" showErrorMessage="1" sqref="S39">
      <formula1>0</formula1>
      <formula2>NaN</formula2>
    </dataValidation>
    <dataValidation type="whole" allowBlank="1" showInputMessage="1" showErrorMessage="1" sqref="S40">
      <formula1>0</formula1>
      <formula2>NaN</formula2>
    </dataValidation>
    <dataValidation type="whole" allowBlank="1" showInputMessage="1" showErrorMessage="1" sqref="S41">
      <formula1>0</formula1>
      <formula2>NaN</formula2>
    </dataValidation>
    <dataValidation type="whole" allowBlank="1" showInputMessage="1" showErrorMessage="1" sqref="S42">
      <formula1>0</formula1>
      <formula2>NaN</formula2>
    </dataValidation>
    <dataValidation type="whole" allowBlank="1" showInputMessage="1" showErrorMessage="1" sqref="S43">
      <formula1>0</formula1>
      <formula2>NaN</formula2>
    </dataValidation>
    <dataValidation type="whole" allowBlank="1" showInputMessage="1" showErrorMessage="1" sqref="S44">
      <formula1>0</formula1>
      <formula2>NaN</formula2>
    </dataValidation>
    <dataValidation type="whole" allowBlank="1" showInputMessage="1" showErrorMessage="1" sqref="S45">
      <formula1>0</formula1>
      <formula2>NaN</formula2>
    </dataValidation>
    <dataValidation type="whole" allowBlank="1" showInputMessage="1" showErrorMessage="1" sqref="S46">
      <formula1>0</formula1>
      <formula2>NaN</formula2>
    </dataValidation>
    <dataValidation type="whole" allowBlank="1" showInputMessage="1" showErrorMessage="1" sqref="S47">
      <formula1>0</formula1>
      <formula2>NaN</formula2>
    </dataValidation>
    <dataValidation type="whole" allowBlank="1" showInputMessage="1" showErrorMessage="1" sqref="S48">
      <formula1>0</formula1>
      <formula2>NaN</formula2>
    </dataValidation>
    <dataValidation type="whole" allowBlank="1" showInputMessage="1" showErrorMessage="1" sqref="S49">
      <formula1>0</formula1>
      <formula2>NaN</formula2>
    </dataValidation>
    <dataValidation type="whole" allowBlank="1" showInputMessage="1" showErrorMessage="1" sqref="S50">
      <formula1>0</formula1>
      <formula2>NaN</formula2>
    </dataValidation>
    <dataValidation type="whole" allowBlank="1" showInputMessage="1" showErrorMessage="1" sqref="S51">
      <formula1>0</formula1>
      <formula2>NaN</formula2>
    </dataValidation>
    <dataValidation type="whole" allowBlank="1" showInputMessage="1" showErrorMessage="1" sqref="S52">
      <formula1>0</formula1>
      <formula2>NaN</formula2>
    </dataValidation>
    <dataValidation type="whole" allowBlank="1" showInputMessage="1" showErrorMessage="1" sqref="S53">
      <formula1>0</formula1>
      <formula2>NaN</formula2>
    </dataValidation>
    <dataValidation type="whole" allowBlank="1" showInputMessage="1" showErrorMessage="1" sqref="S54">
      <formula1>0</formula1>
      <formula2>NaN</formula2>
    </dataValidation>
    <dataValidation type="whole" allowBlank="1" showInputMessage="1" showErrorMessage="1" sqref="S55">
      <formula1>0</formula1>
      <formula2>NaN</formula2>
    </dataValidation>
    <dataValidation type="whole" allowBlank="1" showInputMessage="1" showErrorMessage="1" sqref="S56">
      <formula1>0</formula1>
      <formula2>NaN</formula2>
    </dataValidation>
    <dataValidation type="whole" allowBlank="1" showInputMessage="1" showErrorMessage="1" sqref="S57">
      <formula1>0</formula1>
      <formula2>NaN</formula2>
    </dataValidation>
    <dataValidation type="whole" allowBlank="1" showInputMessage="1" showErrorMessage="1" sqref="S58">
      <formula1>0</formula1>
      <formula2>NaN</formula2>
    </dataValidation>
    <dataValidation type="whole" allowBlank="1" showInputMessage="1" showErrorMessage="1" sqref="S59">
      <formula1>0</formula1>
      <formula2>NaN</formula2>
    </dataValidation>
    <dataValidation type="whole" allowBlank="1" showInputMessage="1" showErrorMessage="1" sqref="S60">
      <formula1>0</formula1>
      <formula2>NaN</formula2>
    </dataValidation>
    <dataValidation type="whole" allowBlank="1" showInputMessage="1" showErrorMessage="1" sqref="S61">
      <formula1>0</formula1>
      <formula2>NaN</formula2>
    </dataValidation>
    <dataValidation type="whole" allowBlank="1" showInputMessage="1" showErrorMessage="1" sqref="S62">
      <formula1>0</formula1>
      <formula2>NaN</formula2>
    </dataValidation>
    <dataValidation type="whole" allowBlank="1" showInputMessage="1" showErrorMessage="1" sqref="S63">
      <formula1>0</formula1>
      <formula2>NaN</formula2>
    </dataValidation>
    <dataValidation type="whole" allowBlank="1" showInputMessage="1" showErrorMessage="1" sqref="S64">
      <formula1>0</formula1>
      <formula2>NaN</formula2>
    </dataValidation>
    <dataValidation type="whole" allowBlank="1" showInputMessage="1" showErrorMessage="1" sqref="S65">
      <formula1>0</formula1>
      <formula2>NaN</formula2>
    </dataValidation>
    <dataValidation type="whole" allowBlank="1" showInputMessage="1" showErrorMessage="1" sqref="S66">
      <formula1>0</formula1>
      <formula2>NaN</formula2>
    </dataValidation>
    <dataValidation type="whole" allowBlank="1" showInputMessage="1" showErrorMessage="1" sqref="S67">
      <formula1>0</formula1>
      <formula2>NaN</formula2>
    </dataValidation>
    <dataValidation type="whole" allowBlank="1" showInputMessage="1" showErrorMessage="1" sqref="S68">
      <formula1>0</formula1>
      <formula2>NaN</formula2>
    </dataValidation>
    <dataValidation type="whole" allowBlank="1" showInputMessage="1" showErrorMessage="1" sqref="S9">
      <formula1>0</formula1>
      <formula2>NaN</formula2>
    </dataValidation>
    <dataValidation type="whole" allowBlank="1" showInputMessage="1" showErrorMessage="1" sqref="T10">
      <formula1>0</formula1>
      <formula2>NaN</formula2>
    </dataValidation>
    <dataValidation type="whole" allowBlank="1" showInputMessage="1" showErrorMessage="1" sqref="T11">
      <formula1>0</formula1>
      <formula2>NaN</formula2>
    </dataValidation>
    <dataValidation type="whole" allowBlank="1" showInputMessage="1" showErrorMessage="1" sqref="T12">
      <formula1>0</formula1>
      <formula2>NaN</formula2>
    </dataValidation>
    <dataValidation type="whole" allowBlank="1" showInputMessage="1" showErrorMessage="1" sqref="T13">
      <formula1>0</formula1>
      <formula2>NaN</formula2>
    </dataValidation>
    <dataValidation type="whole" allowBlank="1" showInputMessage="1" showErrorMessage="1" sqref="T14">
      <formula1>0</formula1>
      <formula2>NaN</formula2>
    </dataValidation>
    <dataValidation type="whole" allowBlank="1" showInputMessage="1" showErrorMessage="1" sqref="T15">
      <formula1>0</formula1>
      <formula2>NaN</formula2>
    </dataValidation>
    <dataValidation type="whole" allowBlank="1" showInputMessage="1" showErrorMessage="1" sqref="T16">
      <formula1>0</formula1>
      <formula2>NaN</formula2>
    </dataValidation>
    <dataValidation type="whole" allowBlank="1" showInputMessage="1" showErrorMessage="1" sqref="T17">
      <formula1>0</formula1>
      <formula2>NaN</formula2>
    </dataValidation>
    <dataValidation type="whole" allowBlank="1" showInputMessage="1" showErrorMessage="1" sqref="T18">
      <formula1>0</formula1>
      <formula2>NaN</formula2>
    </dataValidation>
    <dataValidation type="whole" allowBlank="1" showInputMessage="1" showErrorMessage="1" sqref="T19">
      <formula1>0</formula1>
      <formula2>NaN</formula2>
    </dataValidation>
    <dataValidation type="whole" allowBlank="1" showInputMessage="1" showErrorMessage="1" sqref="T20">
      <formula1>0</formula1>
      <formula2>NaN</formula2>
    </dataValidation>
    <dataValidation type="whole" allowBlank="1" showInputMessage="1" showErrorMessage="1" sqref="T21">
      <formula1>0</formula1>
      <formula2>NaN</formula2>
    </dataValidation>
    <dataValidation type="whole" allowBlank="1" showInputMessage="1" showErrorMessage="1" sqref="T22">
      <formula1>0</formula1>
      <formula2>NaN</formula2>
    </dataValidation>
    <dataValidation type="whole" allowBlank="1" showInputMessage="1" showErrorMessage="1" sqref="T23">
      <formula1>0</formula1>
      <formula2>NaN</formula2>
    </dataValidation>
    <dataValidation type="whole" allowBlank="1" showInputMessage="1" showErrorMessage="1" sqref="T24">
      <formula1>0</formula1>
      <formula2>NaN</formula2>
    </dataValidation>
    <dataValidation type="whole" allowBlank="1" showInputMessage="1" showErrorMessage="1" sqref="T25">
      <formula1>0</formula1>
      <formula2>NaN</formula2>
    </dataValidation>
    <dataValidation type="whole" allowBlank="1" showInputMessage="1" showErrorMessage="1" sqref="T26">
      <formula1>0</formula1>
      <formula2>NaN</formula2>
    </dataValidation>
    <dataValidation type="whole" allowBlank="1" showInputMessage="1" showErrorMessage="1" sqref="T27">
      <formula1>0</formula1>
      <formula2>NaN</formula2>
    </dataValidation>
    <dataValidation type="whole" allowBlank="1" showInputMessage="1" showErrorMessage="1" sqref="T28">
      <formula1>0</formula1>
      <formula2>NaN</formula2>
    </dataValidation>
    <dataValidation type="whole" allowBlank="1" showInputMessage="1" showErrorMessage="1" sqref="T29">
      <formula1>0</formula1>
      <formula2>NaN</formula2>
    </dataValidation>
    <dataValidation type="whole" allowBlank="1" showInputMessage="1" showErrorMessage="1" sqref="T30">
      <formula1>0</formula1>
      <formula2>NaN</formula2>
    </dataValidation>
    <dataValidation type="whole" allowBlank="1" showInputMessage="1" showErrorMessage="1" sqref="T31">
      <formula1>0</formula1>
      <formula2>NaN</formula2>
    </dataValidation>
    <dataValidation type="whole" allowBlank="1" showInputMessage="1" showErrorMessage="1" sqref="T32">
      <formula1>0</formula1>
      <formula2>NaN</formula2>
    </dataValidation>
    <dataValidation type="whole" allowBlank="1" showInputMessage="1" showErrorMessage="1" sqref="T33">
      <formula1>0</formula1>
      <formula2>NaN</formula2>
    </dataValidation>
    <dataValidation type="whole" allowBlank="1" showInputMessage="1" showErrorMessage="1" sqref="T34">
      <formula1>0</formula1>
      <formula2>NaN</formula2>
    </dataValidation>
    <dataValidation type="whole" allowBlank="1" showInputMessage="1" showErrorMessage="1" sqref="T35">
      <formula1>0</formula1>
      <formula2>NaN</formula2>
    </dataValidation>
    <dataValidation type="whole" allowBlank="1" showInputMessage="1" showErrorMessage="1" sqref="T36">
      <formula1>0</formula1>
      <formula2>NaN</formula2>
    </dataValidation>
    <dataValidation type="whole" allowBlank="1" showInputMessage="1" showErrorMessage="1" sqref="T37">
      <formula1>0</formula1>
      <formula2>NaN</formula2>
    </dataValidation>
    <dataValidation type="whole" allowBlank="1" showInputMessage="1" showErrorMessage="1" sqref="T38">
      <formula1>0</formula1>
      <formula2>NaN</formula2>
    </dataValidation>
    <dataValidation type="whole" allowBlank="1" showInputMessage="1" showErrorMessage="1" sqref="T39">
      <formula1>0</formula1>
      <formula2>NaN</formula2>
    </dataValidation>
    <dataValidation type="whole" allowBlank="1" showInputMessage="1" showErrorMessage="1" sqref="T40">
      <formula1>0</formula1>
      <formula2>NaN</formula2>
    </dataValidation>
    <dataValidation type="whole" allowBlank="1" showInputMessage="1" showErrorMessage="1" sqref="T41">
      <formula1>0</formula1>
      <formula2>NaN</formula2>
    </dataValidation>
    <dataValidation type="whole" allowBlank="1" showInputMessage="1" showErrorMessage="1" sqref="T42">
      <formula1>0</formula1>
      <formula2>NaN</formula2>
    </dataValidation>
    <dataValidation type="whole" allowBlank="1" showInputMessage="1" showErrorMessage="1" sqref="T43">
      <formula1>0</formula1>
      <formula2>NaN</formula2>
    </dataValidation>
    <dataValidation type="whole" allowBlank="1" showInputMessage="1" showErrorMessage="1" sqref="T44">
      <formula1>0</formula1>
      <formula2>NaN</formula2>
    </dataValidation>
    <dataValidation type="whole" allowBlank="1" showInputMessage="1" showErrorMessage="1" sqref="T45">
      <formula1>0</formula1>
      <formula2>NaN</formula2>
    </dataValidation>
    <dataValidation type="whole" allowBlank="1" showInputMessage="1" showErrorMessage="1" sqref="T46">
      <formula1>0</formula1>
      <formula2>NaN</formula2>
    </dataValidation>
    <dataValidation type="whole" allowBlank="1" showInputMessage="1" showErrorMessage="1" sqref="T47">
      <formula1>0</formula1>
      <formula2>NaN</formula2>
    </dataValidation>
    <dataValidation type="whole" allowBlank="1" showInputMessage="1" showErrorMessage="1" sqref="T48">
      <formula1>0</formula1>
      <formula2>NaN</formula2>
    </dataValidation>
    <dataValidation type="whole" allowBlank="1" showInputMessage="1" showErrorMessage="1" sqref="T49">
      <formula1>0</formula1>
      <formula2>NaN</formula2>
    </dataValidation>
    <dataValidation type="whole" allowBlank="1" showInputMessage="1" showErrorMessage="1" sqref="T50">
      <formula1>0</formula1>
      <formula2>NaN</formula2>
    </dataValidation>
    <dataValidation type="whole" allowBlank="1" showInputMessage="1" showErrorMessage="1" sqref="T51">
      <formula1>0</formula1>
      <formula2>NaN</formula2>
    </dataValidation>
    <dataValidation type="whole" allowBlank="1" showInputMessage="1" showErrorMessage="1" sqref="T52">
      <formula1>0</formula1>
      <formula2>NaN</formula2>
    </dataValidation>
    <dataValidation type="whole" allowBlank="1" showInputMessage="1" showErrorMessage="1" sqref="T53">
      <formula1>0</formula1>
      <formula2>NaN</formula2>
    </dataValidation>
    <dataValidation type="whole" allowBlank="1" showInputMessage="1" showErrorMessage="1" sqref="T54">
      <formula1>0</formula1>
      <formula2>NaN</formula2>
    </dataValidation>
    <dataValidation type="whole" allowBlank="1" showInputMessage="1" showErrorMessage="1" sqref="T55">
      <formula1>0</formula1>
      <formula2>NaN</formula2>
    </dataValidation>
    <dataValidation type="whole" allowBlank="1" showInputMessage="1" showErrorMessage="1" sqref="T56">
      <formula1>0</formula1>
      <formula2>NaN</formula2>
    </dataValidation>
    <dataValidation type="whole" allowBlank="1" showInputMessage="1" showErrorMessage="1" sqref="T57">
      <formula1>0</formula1>
      <formula2>NaN</formula2>
    </dataValidation>
    <dataValidation type="whole" allowBlank="1" showInputMessage="1" showErrorMessage="1" sqref="T58">
      <formula1>0</formula1>
      <formula2>NaN</formula2>
    </dataValidation>
    <dataValidation type="whole" allowBlank="1" showInputMessage="1" showErrorMessage="1" sqref="T59">
      <formula1>0</formula1>
      <formula2>NaN</formula2>
    </dataValidation>
    <dataValidation type="whole" allowBlank="1" showInputMessage="1" showErrorMessage="1" sqref="T60">
      <formula1>0</formula1>
      <formula2>NaN</formula2>
    </dataValidation>
    <dataValidation type="whole" allowBlank="1" showInputMessage="1" showErrorMessage="1" sqref="T61">
      <formula1>0</formula1>
      <formula2>NaN</formula2>
    </dataValidation>
    <dataValidation type="whole" allowBlank="1" showInputMessage="1" showErrorMessage="1" sqref="T62">
      <formula1>0</formula1>
      <formula2>NaN</formula2>
    </dataValidation>
    <dataValidation type="whole" allowBlank="1" showInputMessage="1" showErrorMessage="1" sqref="T63">
      <formula1>0</formula1>
      <formula2>NaN</formula2>
    </dataValidation>
    <dataValidation type="whole" allowBlank="1" showInputMessage="1" showErrorMessage="1" sqref="T64">
      <formula1>0</formula1>
      <formula2>NaN</formula2>
    </dataValidation>
    <dataValidation type="whole" allowBlank="1" showInputMessage="1" showErrorMessage="1" sqref="T65">
      <formula1>0</formula1>
      <formula2>NaN</formula2>
    </dataValidation>
    <dataValidation type="whole" allowBlank="1" showInputMessage="1" showErrorMessage="1" sqref="T66">
      <formula1>0</formula1>
      <formula2>NaN</formula2>
    </dataValidation>
    <dataValidation type="whole" allowBlank="1" showInputMessage="1" showErrorMessage="1" sqref="T67">
      <formula1>0</formula1>
      <formula2>NaN</formula2>
    </dataValidation>
    <dataValidation type="whole" allowBlank="1" showInputMessage="1" showErrorMessage="1" sqref="T68">
      <formula1>0</formula1>
      <formula2>NaN</formula2>
    </dataValidation>
    <dataValidation type="whole" allowBlank="1" showInputMessage="1" showErrorMessage="1" sqref="T9">
      <formula1>0</formula1>
      <formula2>NaN</formula2>
    </dataValidation>
    <dataValidation type="whole" allowBlank="1" showInputMessage="1" showErrorMessage="1" sqref="U10">
      <formula1>0</formula1>
      <formula2>NaN</formula2>
    </dataValidation>
    <dataValidation type="whole" allowBlank="1" showInputMessage="1" showErrorMessage="1" sqref="U11">
      <formula1>0</formula1>
      <formula2>NaN</formula2>
    </dataValidation>
    <dataValidation type="whole" allowBlank="1" showInputMessage="1" showErrorMessage="1" sqref="U12">
      <formula1>0</formula1>
      <formula2>NaN</formula2>
    </dataValidation>
    <dataValidation type="whole" allowBlank="1" showInputMessage="1" showErrorMessage="1" sqref="U13">
      <formula1>0</formula1>
      <formula2>NaN</formula2>
    </dataValidation>
    <dataValidation type="whole" allowBlank="1" showInputMessage="1" showErrorMessage="1" sqref="U14">
      <formula1>0</formula1>
      <formula2>NaN</formula2>
    </dataValidation>
    <dataValidation type="whole" allowBlank="1" showInputMessage="1" showErrorMessage="1" sqref="U15">
      <formula1>0</formula1>
      <formula2>NaN</formula2>
    </dataValidation>
    <dataValidation type="whole" allowBlank="1" showInputMessage="1" showErrorMessage="1" sqref="U16">
      <formula1>0</formula1>
      <formula2>NaN</formula2>
    </dataValidation>
    <dataValidation type="whole" allowBlank="1" showInputMessage="1" showErrorMessage="1" sqref="U17">
      <formula1>0</formula1>
      <formula2>NaN</formula2>
    </dataValidation>
    <dataValidation type="whole" allowBlank="1" showInputMessage="1" showErrorMessage="1" sqref="U18">
      <formula1>0</formula1>
      <formula2>NaN</formula2>
    </dataValidation>
    <dataValidation type="whole" allowBlank="1" showInputMessage="1" showErrorMessage="1" sqref="U19">
      <formula1>0</formula1>
      <formula2>NaN</formula2>
    </dataValidation>
    <dataValidation type="whole" allowBlank="1" showInputMessage="1" showErrorMessage="1" sqref="U20">
      <formula1>0</formula1>
      <formula2>NaN</formula2>
    </dataValidation>
    <dataValidation type="whole" allowBlank="1" showInputMessage="1" showErrorMessage="1" sqref="U21">
      <formula1>0</formula1>
      <formula2>NaN</formula2>
    </dataValidation>
    <dataValidation type="whole" allowBlank="1" showInputMessage="1" showErrorMessage="1" sqref="U22">
      <formula1>0</formula1>
      <formula2>NaN</formula2>
    </dataValidation>
    <dataValidation type="whole" allowBlank="1" showInputMessage="1" showErrorMessage="1" sqref="U23">
      <formula1>0</formula1>
      <formula2>NaN</formula2>
    </dataValidation>
    <dataValidation type="whole" allowBlank="1" showInputMessage="1" showErrorMessage="1" sqref="U24">
      <formula1>0</formula1>
      <formula2>NaN</formula2>
    </dataValidation>
    <dataValidation type="whole" allowBlank="1" showInputMessage="1" showErrorMessage="1" sqref="U25">
      <formula1>0</formula1>
      <formula2>NaN</formula2>
    </dataValidation>
    <dataValidation type="whole" allowBlank="1" showInputMessage="1" showErrorMessage="1" sqref="U26">
      <formula1>0</formula1>
      <formula2>NaN</formula2>
    </dataValidation>
    <dataValidation type="whole" allowBlank="1" showInputMessage="1" showErrorMessage="1" sqref="U27">
      <formula1>0</formula1>
      <formula2>NaN</formula2>
    </dataValidation>
    <dataValidation type="whole" allowBlank="1" showInputMessage="1" showErrorMessage="1" sqref="U28">
      <formula1>0</formula1>
      <formula2>NaN</formula2>
    </dataValidation>
    <dataValidation type="whole" allowBlank="1" showInputMessage="1" showErrorMessage="1" sqref="U29">
      <formula1>0</formula1>
      <formula2>NaN</formula2>
    </dataValidation>
    <dataValidation type="whole" allowBlank="1" showInputMessage="1" showErrorMessage="1" sqref="U30">
      <formula1>0</formula1>
      <formula2>NaN</formula2>
    </dataValidation>
    <dataValidation type="whole" allowBlank="1" showInputMessage="1" showErrorMessage="1" sqref="U31">
      <formula1>0</formula1>
      <formula2>NaN</formula2>
    </dataValidation>
    <dataValidation type="whole" allowBlank="1" showInputMessage="1" showErrorMessage="1" sqref="U32">
      <formula1>0</formula1>
      <formula2>NaN</formula2>
    </dataValidation>
    <dataValidation type="whole" allowBlank="1" showInputMessage="1" showErrorMessage="1" sqref="U33">
      <formula1>0</formula1>
      <formula2>NaN</formula2>
    </dataValidation>
    <dataValidation type="whole" allowBlank="1" showInputMessage="1" showErrorMessage="1" sqref="U34">
      <formula1>0</formula1>
      <formula2>NaN</formula2>
    </dataValidation>
    <dataValidation type="whole" allowBlank="1" showInputMessage="1" showErrorMessage="1" sqref="U35">
      <formula1>0</formula1>
      <formula2>NaN</formula2>
    </dataValidation>
    <dataValidation type="whole" allowBlank="1" showInputMessage="1" showErrorMessage="1" sqref="U36">
      <formula1>0</formula1>
      <formula2>NaN</formula2>
    </dataValidation>
    <dataValidation type="whole" allowBlank="1" showInputMessage="1" showErrorMessage="1" sqref="U37">
      <formula1>0</formula1>
      <formula2>NaN</formula2>
    </dataValidation>
    <dataValidation type="whole" allowBlank="1" showInputMessage="1" showErrorMessage="1" sqref="U38">
      <formula1>0</formula1>
      <formula2>NaN</formula2>
    </dataValidation>
    <dataValidation type="whole" allowBlank="1" showInputMessage="1" showErrorMessage="1" sqref="U39">
      <formula1>0</formula1>
      <formula2>NaN</formula2>
    </dataValidation>
    <dataValidation type="whole" allowBlank="1" showInputMessage="1" showErrorMessage="1" sqref="U40">
      <formula1>0</formula1>
      <formula2>NaN</formula2>
    </dataValidation>
    <dataValidation type="whole" allowBlank="1" showInputMessage="1" showErrorMessage="1" sqref="U41">
      <formula1>0</formula1>
      <formula2>NaN</formula2>
    </dataValidation>
    <dataValidation type="whole" allowBlank="1" showInputMessage="1" showErrorMessage="1" sqref="U42">
      <formula1>0</formula1>
      <formula2>NaN</formula2>
    </dataValidation>
    <dataValidation type="whole" allowBlank="1" showInputMessage="1" showErrorMessage="1" sqref="U43">
      <formula1>0</formula1>
      <formula2>NaN</formula2>
    </dataValidation>
    <dataValidation type="whole" allowBlank="1" showInputMessage="1" showErrorMessage="1" sqref="U44">
      <formula1>0</formula1>
      <formula2>NaN</formula2>
    </dataValidation>
    <dataValidation type="whole" allowBlank="1" showInputMessage="1" showErrorMessage="1" sqref="U45">
      <formula1>0</formula1>
      <formula2>NaN</formula2>
    </dataValidation>
    <dataValidation type="whole" allowBlank="1" showInputMessage="1" showErrorMessage="1" sqref="U46">
      <formula1>0</formula1>
      <formula2>NaN</formula2>
    </dataValidation>
    <dataValidation type="whole" allowBlank="1" showInputMessage="1" showErrorMessage="1" sqref="U47">
      <formula1>0</formula1>
      <formula2>NaN</formula2>
    </dataValidation>
    <dataValidation type="whole" allowBlank="1" showInputMessage="1" showErrorMessage="1" sqref="U48">
      <formula1>0</formula1>
      <formula2>NaN</formula2>
    </dataValidation>
    <dataValidation type="whole" allowBlank="1" showInputMessage="1" showErrorMessage="1" sqref="U49">
      <formula1>0</formula1>
      <formula2>NaN</formula2>
    </dataValidation>
    <dataValidation type="whole" allowBlank="1" showInputMessage="1" showErrorMessage="1" sqref="U50">
      <formula1>0</formula1>
      <formula2>NaN</formula2>
    </dataValidation>
    <dataValidation type="whole" allowBlank="1" showInputMessage="1" showErrorMessage="1" sqref="U51">
      <formula1>0</formula1>
      <formula2>NaN</formula2>
    </dataValidation>
    <dataValidation type="whole" allowBlank="1" showInputMessage="1" showErrorMessage="1" sqref="U52">
      <formula1>0</formula1>
      <formula2>NaN</formula2>
    </dataValidation>
    <dataValidation type="whole" allowBlank="1" showInputMessage="1" showErrorMessage="1" sqref="U53">
      <formula1>0</formula1>
      <formula2>NaN</formula2>
    </dataValidation>
    <dataValidation type="whole" allowBlank="1" showInputMessage="1" showErrorMessage="1" sqref="U54">
      <formula1>0</formula1>
      <formula2>NaN</formula2>
    </dataValidation>
    <dataValidation type="whole" allowBlank="1" showInputMessage="1" showErrorMessage="1" sqref="U55">
      <formula1>0</formula1>
      <formula2>NaN</formula2>
    </dataValidation>
    <dataValidation type="whole" allowBlank="1" showInputMessage="1" showErrorMessage="1" sqref="U56">
      <formula1>0</formula1>
      <formula2>NaN</formula2>
    </dataValidation>
    <dataValidation type="whole" allowBlank="1" showInputMessage="1" showErrorMessage="1" sqref="U57">
      <formula1>0</formula1>
      <formula2>NaN</formula2>
    </dataValidation>
    <dataValidation type="whole" allowBlank="1" showInputMessage="1" showErrorMessage="1" sqref="U58">
      <formula1>0</formula1>
      <formula2>NaN</formula2>
    </dataValidation>
    <dataValidation type="whole" allowBlank="1" showInputMessage="1" showErrorMessage="1" sqref="U59">
      <formula1>0</formula1>
      <formula2>NaN</formula2>
    </dataValidation>
    <dataValidation type="whole" allowBlank="1" showInputMessage="1" showErrorMessage="1" sqref="U60">
      <formula1>0</formula1>
      <formula2>NaN</formula2>
    </dataValidation>
    <dataValidation type="whole" allowBlank="1" showInputMessage="1" showErrorMessage="1" sqref="U61">
      <formula1>0</formula1>
      <formula2>NaN</formula2>
    </dataValidation>
    <dataValidation type="whole" allowBlank="1" showInputMessage="1" showErrorMessage="1" sqref="U62">
      <formula1>0</formula1>
      <formula2>NaN</formula2>
    </dataValidation>
    <dataValidation type="whole" allowBlank="1" showInputMessage="1" showErrorMessage="1" sqref="U63">
      <formula1>0</formula1>
      <formula2>NaN</formula2>
    </dataValidation>
    <dataValidation type="whole" allowBlank="1" showInputMessage="1" showErrorMessage="1" sqref="U64">
      <formula1>0</formula1>
      <formula2>NaN</formula2>
    </dataValidation>
    <dataValidation type="whole" allowBlank="1" showInputMessage="1" showErrorMessage="1" sqref="U65">
      <formula1>0</formula1>
      <formula2>NaN</formula2>
    </dataValidation>
    <dataValidation type="whole" allowBlank="1" showInputMessage="1" showErrorMessage="1" sqref="U66">
      <formula1>0</formula1>
      <formula2>NaN</formula2>
    </dataValidation>
    <dataValidation type="whole" allowBlank="1" showInputMessage="1" showErrorMessage="1" sqref="U67">
      <formula1>0</formula1>
      <formula2>NaN</formula2>
    </dataValidation>
    <dataValidation type="whole" allowBlank="1" showInputMessage="1" showErrorMessage="1" sqref="U68">
      <formula1>0</formula1>
      <formula2>NaN</formula2>
    </dataValidation>
    <dataValidation type="whole" allowBlank="1" showInputMessage="1" showErrorMessage="1" sqref="U9">
      <formula1>0</formula1>
      <formula2>NaN</formula2>
    </dataValidation>
    <dataValidation type="whole" allowBlank="1" showInputMessage="1" showErrorMessage="1" sqref="V10">
      <formula1>0</formula1>
      <formula2>NaN</formula2>
    </dataValidation>
    <dataValidation type="whole" allowBlank="1" showInputMessage="1" showErrorMessage="1" sqref="V11">
      <formula1>0</formula1>
      <formula2>NaN</formula2>
    </dataValidation>
    <dataValidation type="whole" allowBlank="1" showInputMessage="1" showErrorMessage="1" sqref="V12">
      <formula1>0</formula1>
      <formula2>NaN</formula2>
    </dataValidation>
    <dataValidation type="whole" allowBlank="1" showInputMessage="1" showErrorMessage="1" sqref="V13">
      <formula1>0</formula1>
      <formula2>NaN</formula2>
    </dataValidation>
    <dataValidation type="whole" allowBlank="1" showInputMessage="1" showErrorMessage="1" sqref="V14">
      <formula1>0</formula1>
      <formula2>NaN</formula2>
    </dataValidation>
    <dataValidation type="whole" allowBlank="1" showInputMessage="1" showErrorMessage="1" sqref="V15">
      <formula1>0</formula1>
      <formula2>NaN</formula2>
    </dataValidation>
    <dataValidation type="whole" allowBlank="1" showInputMessage="1" showErrorMessage="1" sqref="V16">
      <formula1>0</formula1>
      <formula2>NaN</formula2>
    </dataValidation>
    <dataValidation type="whole" allowBlank="1" showInputMessage="1" showErrorMessage="1" sqref="V17">
      <formula1>0</formula1>
      <formula2>NaN</formula2>
    </dataValidation>
    <dataValidation type="whole" allowBlank="1" showInputMessage="1" showErrorMessage="1" sqref="V18">
      <formula1>0</formula1>
      <formula2>NaN</formula2>
    </dataValidation>
    <dataValidation type="whole" allowBlank="1" showInputMessage="1" showErrorMessage="1" sqref="V19">
      <formula1>0</formula1>
      <formula2>NaN</formula2>
    </dataValidation>
    <dataValidation type="whole" allowBlank="1" showInputMessage="1" showErrorMessage="1" sqref="V20">
      <formula1>0</formula1>
      <formula2>NaN</formula2>
    </dataValidation>
    <dataValidation type="whole" allowBlank="1" showInputMessage="1" showErrorMessage="1" sqref="V21">
      <formula1>0</formula1>
      <formula2>NaN</formula2>
    </dataValidation>
    <dataValidation type="whole" allowBlank="1" showInputMessage="1" showErrorMessage="1" sqref="V22">
      <formula1>0</formula1>
      <formula2>NaN</formula2>
    </dataValidation>
    <dataValidation type="whole" allowBlank="1" showInputMessage="1" showErrorMessage="1" sqref="V23">
      <formula1>0</formula1>
      <formula2>NaN</formula2>
    </dataValidation>
    <dataValidation type="whole" allowBlank="1" showInputMessage="1" showErrorMessage="1" sqref="V24">
      <formula1>0</formula1>
      <formula2>NaN</formula2>
    </dataValidation>
    <dataValidation type="whole" allowBlank="1" showInputMessage="1" showErrorMessage="1" sqref="V25">
      <formula1>0</formula1>
      <formula2>NaN</formula2>
    </dataValidation>
    <dataValidation type="whole" allowBlank="1" showInputMessage="1" showErrorMessage="1" sqref="V26">
      <formula1>0</formula1>
      <formula2>NaN</formula2>
    </dataValidation>
    <dataValidation type="whole" allowBlank="1" showInputMessage="1" showErrorMessage="1" sqref="V27">
      <formula1>0</formula1>
      <formula2>NaN</formula2>
    </dataValidation>
    <dataValidation type="whole" allowBlank="1" showInputMessage="1" showErrorMessage="1" sqref="V28">
      <formula1>0</formula1>
      <formula2>NaN</formula2>
    </dataValidation>
    <dataValidation type="whole" allowBlank="1" showInputMessage="1" showErrorMessage="1" sqref="V29">
      <formula1>0</formula1>
      <formula2>NaN</formula2>
    </dataValidation>
    <dataValidation type="whole" allowBlank="1" showInputMessage="1" showErrorMessage="1" sqref="V30">
      <formula1>0</formula1>
      <formula2>NaN</formula2>
    </dataValidation>
    <dataValidation type="whole" allowBlank="1" showInputMessage="1" showErrorMessage="1" sqref="V31">
      <formula1>0</formula1>
      <formula2>NaN</formula2>
    </dataValidation>
    <dataValidation type="whole" allowBlank="1" showInputMessage="1" showErrorMessage="1" sqref="V32">
      <formula1>0</formula1>
      <formula2>NaN</formula2>
    </dataValidation>
    <dataValidation type="whole" allowBlank="1" showInputMessage="1" showErrorMessage="1" sqref="V33">
      <formula1>0</formula1>
      <formula2>NaN</formula2>
    </dataValidation>
    <dataValidation type="whole" allowBlank="1" showInputMessage="1" showErrorMessage="1" sqref="V34">
      <formula1>0</formula1>
      <formula2>NaN</formula2>
    </dataValidation>
    <dataValidation type="whole" allowBlank="1" showInputMessage="1" showErrorMessage="1" sqref="V35">
      <formula1>0</formula1>
      <formula2>NaN</formula2>
    </dataValidation>
    <dataValidation type="whole" allowBlank="1" showInputMessage="1" showErrorMessage="1" sqref="V36">
      <formula1>0</formula1>
      <formula2>NaN</formula2>
    </dataValidation>
    <dataValidation type="whole" allowBlank="1" showInputMessage="1" showErrorMessage="1" sqref="V37">
      <formula1>0</formula1>
      <formula2>NaN</formula2>
    </dataValidation>
    <dataValidation type="whole" allowBlank="1" showInputMessage="1" showErrorMessage="1" sqref="V38">
      <formula1>0</formula1>
      <formula2>NaN</formula2>
    </dataValidation>
    <dataValidation type="whole" allowBlank="1" showInputMessage="1" showErrorMessage="1" sqref="V39">
      <formula1>0</formula1>
      <formula2>NaN</formula2>
    </dataValidation>
    <dataValidation type="whole" allowBlank="1" showInputMessage="1" showErrorMessage="1" sqref="V40">
      <formula1>0</formula1>
      <formula2>NaN</formula2>
    </dataValidation>
    <dataValidation type="whole" allowBlank="1" showInputMessage="1" showErrorMessage="1" sqref="V41">
      <formula1>0</formula1>
      <formula2>NaN</formula2>
    </dataValidation>
    <dataValidation type="whole" allowBlank="1" showInputMessage="1" showErrorMessage="1" sqref="V42">
      <formula1>0</formula1>
      <formula2>NaN</formula2>
    </dataValidation>
    <dataValidation type="whole" allowBlank="1" showInputMessage="1" showErrorMessage="1" sqref="V43">
      <formula1>0</formula1>
      <formula2>NaN</formula2>
    </dataValidation>
    <dataValidation type="whole" allowBlank="1" showInputMessage="1" showErrorMessage="1" sqref="V44">
      <formula1>0</formula1>
      <formula2>NaN</formula2>
    </dataValidation>
    <dataValidation type="whole" allowBlank="1" showInputMessage="1" showErrorMessage="1" sqref="V45">
      <formula1>0</formula1>
      <formula2>NaN</formula2>
    </dataValidation>
    <dataValidation type="whole" allowBlank="1" showInputMessage="1" showErrorMessage="1" sqref="V46">
      <formula1>0</formula1>
      <formula2>NaN</formula2>
    </dataValidation>
    <dataValidation type="whole" allowBlank="1" showInputMessage="1" showErrorMessage="1" sqref="V47">
      <formula1>0</formula1>
      <formula2>NaN</formula2>
    </dataValidation>
    <dataValidation type="whole" allowBlank="1" showInputMessage="1" showErrorMessage="1" sqref="V48">
      <formula1>0</formula1>
      <formula2>NaN</formula2>
    </dataValidation>
    <dataValidation type="whole" allowBlank="1" showInputMessage="1" showErrorMessage="1" sqref="V49">
      <formula1>0</formula1>
      <formula2>NaN</formula2>
    </dataValidation>
    <dataValidation type="whole" allowBlank="1" showInputMessage="1" showErrorMessage="1" sqref="V50">
      <formula1>0</formula1>
      <formula2>NaN</formula2>
    </dataValidation>
    <dataValidation type="whole" allowBlank="1" showInputMessage="1" showErrorMessage="1" sqref="V51">
      <formula1>0</formula1>
      <formula2>NaN</formula2>
    </dataValidation>
    <dataValidation type="whole" allowBlank="1" showInputMessage="1" showErrorMessage="1" sqref="V52">
      <formula1>0</formula1>
      <formula2>NaN</formula2>
    </dataValidation>
    <dataValidation type="whole" allowBlank="1" showInputMessage="1" showErrorMessage="1" sqref="V53">
      <formula1>0</formula1>
      <formula2>NaN</formula2>
    </dataValidation>
    <dataValidation type="whole" allowBlank="1" showInputMessage="1" showErrorMessage="1" sqref="V54">
      <formula1>0</formula1>
      <formula2>NaN</formula2>
    </dataValidation>
    <dataValidation type="whole" allowBlank="1" showInputMessage="1" showErrorMessage="1" sqref="V55">
      <formula1>0</formula1>
      <formula2>NaN</formula2>
    </dataValidation>
    <dataValidation type="whole" allowBlank="1" showInputMessage="1" showErrorMessage="1" sqref="V56">
      <formula1>0</formula1>
      <formula2>NaN</formula2>
    </dataValidation>
    <dataValidation type="whole" allowBlank="1" showInputMessage="1" showErrorMessage="1" sqref="V57">
      <formula1>0</formula1>
      <formula2>NaN</formula2>
    </dataValidation>
    <dataValidation type="whole" allowBlank="1" showInputMessage="1" showErrorMessage="1" sqref="V58">
      <formula1>0</formula1>
      <formula2>NaN</formula2>
    </dataValidation>
    <dataValidation type="whole" allowBlank="1" showInputMessage="1" showErrorMessage="1" sqref="V59">
      <formula1>0</formula1>
      <formula2>NaN</formula2>
    </dataValidation>
    <dataValidation type="whole" allowBlank="1" showInputMessage="1" showErrorMessage="1" sqref="V60">
      <formula1>0</formula1>
      <formula2>NaN</formula2>
    </dataValidation>
    <dataValidation type="whole" allowBlank="1" showInputMessage="1" showErrorMessage="1" sqref="V61">
      <formula1>0</formula1>
      <formula2>NaN</formula2>
    </dataValidation>
    <dataValidation type="whole" allowBlank="1" showInputMessage="1" showErrorMessage="1" sqref="V62">
      <formula1>0</formula1>
      <formula2>NaN</formula2>
    </dataValidation>
    <dataValidation type="whole" allowBlank="1" showInputMessage="1" showErrorMessage="1" sqref="V63">
      <formula1>0</formula1>
      <formula2>NaN</formula2>
    </dataValidation>
    <dataValidation type="whole" allowBlank="1" showInputMessage="1" showErrorMessage="1" sqref="V64">
      <formula1>0</formula1>
      <formula2>NaN</formula2>
    </dataValidation>
    <dataValidation type="whole" allowBlank="1" showInputMessage="1" showErrorMessage="1" sqref="V65">
      <formula1>0</formula1>
      <formula2>NaN</formula2>
    </dataValidation>
    <dataValidation type="whole" allowBlank="1" showInputMessage="1" showErrorMessage="1" sqref="V66">
      <formula1>0</formula1>
      <formula2>NaN</formula2>
    </dataValidation>
    <dataValidation type="whole" allowBlank="1" showInputMessage="1" showErrorMessage="1" sqref="V67">
      <formula1>0</formula1>
      <formula2>NaN</formula2>
    </dataValidation>
    <dataValidation type="whole" allowBlank="1" showInputMessage="1" showErrorMessage="1" sqref="V68">
      <formula1>0</formula1>
      <formula2>NaN</formula2>
    </dataValidation>
    <dataValidation type="whole" allowBlank="1" showInputMessage="1" showErrorMessage="1" sqref="V9">
      <formula1>0</formula1>
      <formula2>NaN</formula2>
    </dataValidation>
    <dataValidation type="whole" allowBlank="1" showInputMessage="1" showErrorMessage="1" sqref="W10">
      <formula1>0</formula1>
      <formula2>NaN</formula2>
    </dataValidation>
    <dataValidation type="whole" allowBlank="1" showInputMessage="1" showErrorMessage="1" sqref="W11">
      <formula1>0</formula1>
      <formula2>NaN</formula2>
    </dataValidation>
    <dataValidation type="whole" allowBlank="1" showInputMessage="1" showErrorMessage="1" sqref="W12">
      <formula1>0</formula1>
      <formula2>NaN</formula2>
    </dataValidation>
    <dataValidation type="whole" allowBlank="1" showInputMessage="1" showErrorMessage="1" sqref="W13">
      <formula1>0</formula1>
      <formula2>NaN</formula2>
    </dataValidation>
    <dataValidation type="whole" allowBlank="1" showInputMessage="1" showErrorMessage="1" sqref="W14">
      <formula1>0</formula1>
      <formula2>NaN</formula2>
    </dataValidation>
    <dataValidation type="whole" allowBlank="1" showInputMessage="1" showErrorMessage="1" sqref="W15">
      <formula1>0</formula1>
      <formula2>NaN</formula2>
    </dataValidation>
    <dataValidation type="whole" allowBlank="1" showInputMessage="1" showErrorMessage="1" sqref="W16">
      <formula1>0</formula1>
      <formula2>NaN</formula2>
    </dataValidation>
    <dataValidation type="whole" allowBlank="1" showInputMessage="1" showErrorMessage="1" sqref="W17">
      <formula1>0</formula1>
      <formula2>NaN</formula2>
    </dataValidation>
    <dataValidation type="whole" allowBlank="1" showInputMessage="1" showErrorMessage="1" sqref="W18">
      <formula1>0</formula1>
      <formula2>NaN</formula2>
    </dataValidation>
    <dataValidation type="whole" allowBlank="1" showInputMessage="1" showErrorMessage="1" sqref="W19">
      <formula1>0</formula1>
      <formula2>NaN</formula2>
    </dataValidation>
    <dataValidation type="whole" allowBlank="1" showInputMessage="1" showErrorMessage="1" sqref="W20">
      <formula1>0</formula1>
      <formula2>NaN</formula2>
    </dataValidation>
    <dataValidation type="whole" allowBlank="1" showInputMessage="1" showErrorMessage="1" sqref="W21">
      <formula1>0</formula1>
      <formula2>NaN</formula2>
    </dataValidation>
    <dataValidation type="whole" allowBlank="1" showInputMessage="1" showErrorMessage="1" sqref="W22">
      <formula1>0</formula1>
      <formula2>NaN</formula2>
    </dataValidation>
    <dataValidation type="whole" allowBlank="1" showInputMessage="1" showErrorMessage="1" sqref="W23">
      <formula1>0</formula1>
      <formula2>NaN</formula2>
    </dataValidation>
    <dataValidation type="whole" allowBlank="1" showInputMessage="1" showErrorMessage="1" sqref="W24">
      <formula1>0</formula1>
      <formula2>NaN</formula2>
    </dataValidation>
    <dataValidation type="whole" allowBlank="1" showInputMessage="1" showErrorMessage="1" sqref="W25">
      <formula1>0</formula1>
      <formula2>NaN</formula2>
    </dataValidation>
    <dataValidation type="whole" allowBlank="1" showInputMessage="1" showErrorMessage="1" sqref="W26">
      <formula1>0</formula1>
      <formula2>NaN</formula2>
    </dataValidation>
    <dataValidation type="whole" allowBlank="1" showInputMessage="1" showErrorMessage="1" sqref="W27">
      <formula1>0</formula1>
      <formula2>NaN</formula2>
    </dataValidation>
    <dataValidation type="whole" allowBlank="1" showInputMessage="1" showErrorMessage="1" sqref="W28">
      <formula1>0</formula1>
      <formula2>NaN</formula2>
    </dataValidation>
    <dataValidation type="whole" allowBlank="1" showInputMessage="1" showErrorMessage="1" sqref="W29">
      <formula1>0</formula1>
      <formula2>NaN</formula2>
    </dataValidation>
    <dataValidation type="whole" allowBlank="1" showInputMessage="1" showErrorMessage="1" sqref="W30">
      <formula1>0</formula1>
      <formula2>NaN</formula2>
    </dataValidation>
    <dataValidation type="whole" allowBlank="1" showInputMessage="1" showErrorMessage="1" sqref="W31">
      <formula1>0</formula1>
      <formula2>NaN</formula2>
    </dataValidation>
    <dataValidation type="whole" allowBlank="1" showInputMessage="1" showErrorMessage="1" sqref="W32">
      <formula1>0</formula1>
      <formula2>NaN</formula2>
    </dataValidation>
    <dataValidation type="whole" allowBlank="1" showInputMessage="1" showErrorMessage="1" sqref="W33">
      <formula1>0</formula1>
      <formula2>NaN</formula2>
    </dataValidation>
    <dataValidation type="whole" allowBlank="1" showInputMessage="1" showErrorMessage="1" sqref="W34">
      <formula1>0</formula1>
      <formula2>NaN</formula2>
    </dataValidation>
    <dataValidation type="whole" allowBlank="1" showInputMessage="1" showErrorMessage="1" sqref="W35">
      <formula1>0</formula1>
      <formula2>NaN</formula2>
    </dataValidation>
    <dataValidation type="whole" allowBlank="1" showInputMessage="1" showErrorMessage="1" sqref="W36">
      <formula1>0</formula1>
      <formula2>NaN</formula2>
    </dataValidation>
    <dataValidation type="whole" allowBlank="1" showInputMessage="1" showErrorMessage="1" sqref="W37">
      <formula1>0</formula1>
      <formula2>NaN</formula2>
    </dataValidation>
    <dataValidation type="whole" allowBlank="1" showInputMessage="1" showErrorMessage="1" sqref="W38">
      <formula1>0</formula1>
      <formula2>NaN</formula2>
    </dataValidation>
    <dataValidation type="whole" allowBlank="1" showInputMessage="1" showErrorMessage="1" sqref="W39">
      <formula1>0</formula1>
      <formula2>NaN</formula2>
    </dataValidation>
    <dataValidation type="whole" allowBlank="1" showInputMessage="1" showErrorMessage="1" sqref="W40">
      <formula1>0</formula1>
      <formula2>NaN</formula2>
    </dataValidation>
    <dataValidation type="whole" allowBlank="1" showInputMessage="1" showErrorMessage="1" sqref="W41">
      <formula1>0</formula1>
      <formula2>NaN</formula2>
    </dataValidation>
    <dataValidation type="whole" allowBlank="1" showInputMessage="1" showErrorMessage="1" sqref="W42">
      <formula1>0</formula1>
      <formula2>NaN</formula2>
    </dataValidation>
    <dataValidation type="whole" allowBlank="1" showInputMessage="1" showErrorMessage="1" sqref="W43">
      <formula1>0</formula1>
      <formula2>NaN</formula2>
    </dataValidation>
    <dataValidation type="whole" allowBlank="1" showInputMessage="1" showErrorMessage="1" sqref="W44">
      <formula1>0</formula1>
      <formula2>NaN</formula2>
    </dataValidation>
    <dataValidation type="whole" allowBlank="1" showInputMessage="1" showErrorMessage="1" sqref="W45">
      <formula1>0</formula1>
      <formula2>NaN</formula2>
    </dataValidation>
    <dataValidation type="whole" allowBlank="1" showInputMessage="1" showErrorMessage="1" sqref="W46">
      <formula1>0</formula1>
      <formula2>NaN</formula2>
    </dataValidation>
    <dataValidation type="whole" allowBlank="1" showInputMessage="1" showErrorMessage="1" sqref="W47">
      <formula1>0</formula1>
      <formula2>NaN</formula2>
    </dataValidation>
    <dataValidation type="whole" allowBlank="1" showInputMessage="1" showErrorMessage="1" sqref="W48">
      <formula1>0</formula1>
      <formula2>NaN</formula2>
    </dataValidation>
    <dataValidation type="whole" allowBlank="1" showInputMessage="1" showErrorMessage="1" sqref="W49">
      <formula1>0</formula1>
      <formula2>NaN</formula2>
    </dataValidation>
    <dataValidation type="whole" allowBlank="1" showInputMessage="1" showErrorMessage="1" sqref="W50">
      <formula1>0</formula1>
      <formula2>NaN</formula2>
    </dataValidation>
    <dataValidation type="whole" allowBlank="1" showInputMessage="1" showErrorMessage="1" sqref="W51">
      <formula1>0</formula1>
      <formula2>NaN</formula2>
    </dataValidation>
    <dataValidation type="whole" allowBlank="1" showInputMessage="1" showErrorMessage="1" sqref="W52">
      <formula1>0</formula1>
      <formula2>NaN</formula2>
    </dataValidation>
    <dataValidation type="whole" allowBlank="1" showInputMessage="1" showErrorMessage="1" sqref="W53">
      <formula1>0</formula1>
      <formula2>NaN</formula2>
    </dataValidation>
    <dataValidation type="whole" allowBlank="1" showInputMessage="1" showErrorMessage="1" sqref="W54">
      <formula1>0</formula1>
      <formula2>NaN</formula2>
    </dataValidation>
    <dataValidation type="whole" allowBlank="1" showInputMessage="1" showErrorMessage="1" sqref="W55">
      <formula1>0</formula1>
      <formula2>NaN</formula2>
    </dataValidation>
    <dataValidation type="whole" allowBlank="1" showInputMessage="1" showErrorMessage="1" sqref="W56">
      <formula1>0</formula1>
      <formula2>NaN</formula2>
    </dataValidation>
    <dataValidation type="whole" allowBlank="1" showInputMessage="1" showErrorMessage="1" sqref="W57">
      <formula1>0</formula1>
      <formula2>NaN</formula2>
    </dataValidation>
    <dataValidation type="whole" allowBlank="1" showInputMessage="1" showErrorMessage="1" sqref="W58">
      <formula1>0</formula1>
      <formula2>NaN</formula2>
    </dataValidation>
    <dataValidation type="whole" allowBlank="1" showInputMessage="1" showErrorMessage="1" sqref="W59">
      <formula1>0</formula1>
      <formula2>NaN</formula2>
    </dataValidation>
    <dataValidation type="whole" allowBlank="1" showInputMessage="1" showErrorMessage="1" sqref="W60">
      <formula1>0</formula1>
      <formula2>NaN</formula2>
    </dataValidation>
    <dataValidation type="whole" allowBlank="1" showInputMessage="1" showErrorMessage="1" sqref="W61">
      <formula1>0</formula1>
      <formula2>NaN</formula2>
    </dataValidation>
    <dataValidation type="whole" allowBlank="1" showInputMessage="1" showErrorMessage="1" sqref="W62">
      <formula1>0</formula1>
      <formula2>NaN</formula2>
    </dataValidation>
    <dataValidation type="whole" allowBlank="1" showInputMessage="1" showErrorMessage="1" sqref="W63">
      <formula1>0</formula1>
      <formula2>NaN</formula2>
    </dataValidation>
    <dataValidation type="whole" allowBlank="1" showInputMessage="1" showErrorMessage="1" sqref="W64">
      <formula1>0</formula1>
      <formula2>NaN</formula2>
    </dataValidation>
    <dataValidation type="whole" allowBlank="1" showInputMessage="1" showErrorMessage="1" sqref="W65">
      <formula1>0</formula1>
      <formula2>NaN</formula2>
    </dataValidation>
    <dataValidation type="whole" allowBlank="1" showInputMessage="1" showErrorMessage="1" sqref="W66">
      <formula1>0</formula1>
      <formula2>NaN</formula2>
    </dataValidation>
    <dataValidation type="whole" allowBlank="1" showInputMessage="1" showErrorMessage="1" sqref="W67">
      <formula1>0</formula1>
      <formula2>NaN</formula2>
    </dataValidation>
    <dataValidation type="whole" allowBlank="1" showInputMessage="1" showErrorMessage="1" sqref="W68">
      <formula1>0</formula1>
      <formula2>NaN</formula2>
    </dataValidation>
    <dataValidation type="whole" allowBlank="1" showInputMessage="1" showErrorMessage="1" sqref="W9">
      <formula1>0</formula1>
      <formula2>NaN</formula2>
    </dataValidation>
    <dataValidation type="whole" allowBlank="1" showInputMessage="1" showErrorMessage="1" sqref="X10">
      <formula1>0</formula1>
      <formula2>NaN</formula2>
    </dataValidation>
    <dataValidation type="whole" allowBlank="1" showInputMessage="1" showErrorMessage="1" sqref="X11">
      <formula1>0</formula1>
      <formula2>NaN</formula2>
    </dataValidation>
    <dataValidation type="whole" allowBlank="1" showInputMessage="1" showErrorMessage="1" sqref="X12">
      <formula1>0</formula1>
      <formula2>NaN</formula2>
    </dataValidation>
    <dataValidation type="whole" allowBlank="1" showInputMessage="1" showErrorMessage="1" sqref="X13">
      <formula1>0</formula1>
      <formula2>NaN</formula2>
    </dataValidation>
    <dataValidation type="whole" allowBlank="1" showInputMessage="1" showErrorMessage="1" sqref="X14">
      <formula1>0</formula1>
      <formula2>NaN</formula2>
    </dataValidation>
    <dataValidation type="whole" allowBlank="1" showInputMessage="1" showErrorMessage="1" sqref="X15">
      <formula1>0</formula1>
      <formula2>NaN</formula2>
    </dataValidation>
    <dataValidation type="whole" allowBlank="1" showInputMessage="1" showErrorMessage="1" sqref="X16">
      <formula1>0</formula1>
      <formula2>NaN</formula2>
    </dataValidation>
    <dataValidation type="whole" allowBlank="1" showInputMessage="1" showErrorMessage="1" sqref="X17">
      <formula1>0</formula1>
      <formula2>NaN</formula2>
    </dataValidation>
    <dataValidation type="whole" allowBlank="1" showInputMessage="1" showErrorMessage="1" sqref="X18">
      <formula1>0</formula1>
      <formula2>NaN</formula2>
    </dataValidation>
    <dataValidation type="whole" allowBlank="1" showInputMessage="1" showErrorMessage="1" sqref="X19">
      <formula1>0</formula1>
      <formula2>NaN</formula2>
    </dataValidation>
    <dataValidation type="whole" allowBlank="1" showInputMessage="1" showErrorMessage="1" sqref="X20">
      <formula1>0</formula1>
      <formula2>NaN</formula2>
    </dataValidation>
    <dataValidation type="whole" allowBlank="1" showInputMessage="1" showErrorMessage="1" sqref="X21">
      <formula1>0</formula1>
      <formula2>NaN</formula2>
    </dataValidation>
    <dataValidation type="whole" allowBlank="1" showInputMessage="1" showErrorMessage="1" sqref="X22">
      <formula1>0</formula1>
      <formula2>NaN</formula2>
    </dataValidation>
    <dataValidation type="whole" allowBlank="1" showInputMessage="1" showErrorMessage="1" sqref="X23">
      <formula1>0</formula1>
      <formula2>NaN</formula2>
    </dataValidation>
    <dataValidation type="whole" allowBlank="1" showInputMessage="1" showErrorMessage="1" sqref="X24">
      <formula1>0</formula1>
      <formula2>NaN</formula2>
    </dataValidation>
    <dataValidation type="whole" allowBlank="1" showInputMessage="1" showErrorMessage="1" sqref="X25">
      <formula1>0</formula1>
      <formula2>NaN</formula2>
    </dataValidation>
    <dataValidation type="whole" allowBlank="1" showInputMessage="1" showErrorMessage="1" sqref="X26">
      <formula1>0</formula1>
      <formula2>NaN</formula2>
    </dataValidation>
    <dataValidation type="whole" allowBlank="1" showInputMessage="1" showErrorMessage="1" sqref="X27">
      <formula1>0</formula1>
      <formula2>NaN</formula2>
    </dataValidation>
    <dataValidation type="whole" allowBlank="1" showInputMessage="1" showErrorMessage="1" sqref="X28">
      <formula1>0</formula1>
      <formula2>NaN</formula2>
    </dataValidation>
    <dataValidation type="whole" allowBlank="1" showInputMessage="1" showErrorMessage="1" sqref="X29">
      <formula1>0</formula1>
      <formula2>NaN</formula2>
    </dataValidation>
    <dataValidation type="whole" allowBlank="1" showInputMessage="1" showErrorMessage="1" sqref="X30">
      <formula1>0</formula1>
      <formula2>NaN</formula2>
    </dataValidation>
    <dataValidation type="whole" allowBlank="1" showInputMessage="1" showErrorMessage="1" sqref="X31">
      <formula1>0</formula1>
      <formula2>NaN</formula2>
    </dataValidation>
    <dataValidation type="whole" allowBlank="1" showInputMessage="1" showErrorMessage="1" sqref="X32">
      <formula1>0</formula1>
      <formula2>NaN</formula2>
    </dataValidation>
    <dataValidation type="whole" allowBlank="1" showInputMessage="1" showErrorMessage="1" sqref="X33">
      <formula1>0</formula1>
      <formula2>NaN</formula2>
    </dataValidation>
    <dataValidation type="whole" allowBlank="1" showInputMessage="1" showErrorMessage="1" sqref="X34">
      <formula1>0</formula1>
      <formula2>NaN</formula2>
    </dataValidation>
    <dataValidation type="whole" allowBlank="1" showInputMessage="1" showErrorMessage="1" sqref="X35">
      <formula1>0</formula1>
      <formula2>NaN</formula2>
    </dataValidation>
    <dataValidation type="whole" allowBlank="1" showInputMessage="1" showErrorMessage="1" sqref="X36">
      <formula1>0</formula1>
      <formula2>NaN</formula2>
    </dataValidation>
    <dataValidation type="whole" allowBlank="1" showInputMessage="1" showErrorMessage="1" sqref="X37">
      <formula1>0</formula1>
      <formula2>NaN</formula2>
    </dataValidation>
    <dataValidation type="whole" allowBlank="1" showInputMessage="1" showErrorMessage="1" sqref="X38">
      <formula1>0</formula1>
      <formula2>NaN</formula2>
    </dataValidation>
    <dataValidation type="whole" allowBlank="1" showInputMessage="1" showErrorMessage="1" sqref="X39">
      <formula1>0</formula1>
      <formula2>NaN</formula2>
    </dataValidation>
    <dataValidation type="whole" allowBlank="1" showInputMessage="1" showErrorMessage="1" sqref="X40">
      <formula1>0</formula1>
      <formula2>NaN</formula2>
    </dataValidation>
    <dataValidation type="whole" allowBlank="1" showInputMessage="1" showErrorMessage="1" sqref="X41">
      <formula1>0</formula1>
      <formula2>NaN</formula2>
    </dataValidation>
    <dataValidation type="whole" allowBlank="1" showInputMessage="1" showErrorMessage="1" sqref="X42">
      <formula1>0</formula1>
      <formula2>NaN</formula2>
    </dataValidation>
    <dataValidation type="whole" allowBlank="1" showInputMessage="1" showErrorMessage="1" sqref="X43">
      <formula1>0</formula1>
      <formula2>NaN</formula2>
    </dataValidation>
    <dataValidation type="whole" allowBlank="1" showInputMessage="1" showErrorMessage="1" sqref="X44">
      <formula1>0</formula1>
      <formula2>NaN</formula2>
    </dataValidation>
    <dataValidation type="whole" allowBlank="1" showInputMessage="1" showErrorMessage="1" sqref="X45">
      <formula1>0</formula1>
      <formula2>NaN</formula2>
    </dataValidation>
    <dataValidation type="whole" allowBlank="1" showInputMessage="1" showErrorMessage="1" sqref="X46">
      <formula1>0</formula1>
      <formula2>NaN</formula2>
    </dataValidation>
    <dataValidation type="whole" allowBlank="1" showInputMessage="1" showErrorMessage="1" sqref="X47">
      <formula1>0</formula1>
      <formula2>NaN</formula2>
    </dataValidation>
    <dataValidation type="whole" allowBlank="1" showInputMessage="1" showErrorMessage="1" sqref="X48">
      <formula1>0</formula1>
      <formula2>NaN</formula2>
    </dataValidation>
    <dataValidation type="whole" allowBlank="1" showInputMessage="1" showErrorMessage="1" sqref="X49">
      <formula1>0</formula1>
      <formula2>NaN</formula2>
    </dataValidation>
    <dataValidation type="whole" allowBlank="1" showInputMessage="1" showErrorMessage="1" sqref="X50">
      <formula1>0</formula1>
      <formula2>NaN</formula2>
    </dataValidation>
    <dataValidation type="whole" allowBlank="1" showInputMessage="1" showErrorMessage="1" sqref="X51">
      <formula1>0</formula1>
      <formula2>NaN</formula2>
    </dataValidation>
    <dataValidation type="whole" allowBlank="1" showInputMessage="1" showErrorMessage="1" sqref="X52">
      <formula1>0</formula1>
      <formula2>NaN</formula2>
    </dataValidation>
    <dataValidation type="whole" allowBlank="1" showInputMessage="1" showErrorMessage="1" sqref="X53">
      <formula1>0</formula1>
      <formula2>NaN</formula2>
    </dataValidation>
    <dataValidation type="whole" allowBlank="1" showInputMessage="1" showErrorMessage="1" sqref="X54">
      <formula1>0</formula1>
      <formula2>NaN</formula2>
    </dataValidation>
    <dataValidation type="whole" allowBlank="1" showInputMessage="1" showErrorMessage="1" sqref="X55">
      <formula1>0</formula1>
      <formula2>NaN</formula2>
    </dataValidation>
    <dataValidation type="whole" allowBlank="1" showInputMessage="1" showErrorMessage="1" sqref="X56">
      <formula1>0</formula1>
      <formula2>NaN</formula2>
    </dataValidation>
    <dataValidation type="whole" allowBlank="1" showInputMessage="1" showErrorMessage="1" sqref="X57">
      <formula1>0</formula1>
      <formula2>NaN</formula2>
    </dataValidation>
    <dataValidation type="whole" allowBlank="1" showInputMessage="1" showErrorMessage="1" sqref="X58">
      <formula1>0</formula1>
      <formula2>NaN</formula2>
    </dataValidation>
    <dataValidation type="whole" allowBlank="1" showInputMessage="1" showErrorMessage="1" sqref="X59">
      <formula1>0</formula1>
      <formula2>NaN</formula2>
    </dataValidation>
    <dataValidation type="whole" allowBlank="1" showInputMessage="1" showErrorMessage="1" sqref="X60">
      <formula1>0</formula1>
      <formula2>NaN</formula2>
    </dataValidation>
    <dataValidation type="whole" allowBlank="1" showInputMessage="1" showErrorMessage="1" sqref="X61">
      <formula1>0</formula1>
      <formula2>NaN</formula2>
    </dataValidation>
    <dataValidation type="whole" allowBlank="1" showInputMessage="1" showErrorMessage="1" sqref="X62">
      <formula1>0</formula1>
      <formula2>NaN</formula2>
    </dataValidation>
    <dataValidation type="whole" allowBlank="1" showInputMessage="1" showErrorMessage="1" sqref="X63">
      <formula1>0</formula1>
      <formula2>NaN</formula2>
    </dataValidation>
    <dataValidation type="whole" allowBlank="1" showInputMessage="1" showErrorMessage="1" sqref="X64">
      <formula1>0</formula1>
      <formula2>NaN</formula2>
    </dataValidation>
    <dataValidation type="whole" allowBlank="1" showInputMessage="1" showErrorMessage="1" sqref="X65">
      <formula1>0</formula1>
      <formula2>NaN</formula2>
    </dataValidation>
    <dataValidation type="whole" allowBlank="1" showInputMessage="1" showErrorMessage="1" sqref="X66">
      <formula1>0</formula1>
      <formula2>NaN</formula2>
    </dataValidation>
    <dataValidation type="whole" allowBlank="1" showInputMessage="1" showErrorMessage="1" sqref="X67">
      <formula1>0</formula1>
      <formula2>NaN</formula2>
    </dataValidation>
    <dataValidation type="whole" allowBlank="1" showInputMessage="1" showErrorMessage="1" sqref="X68">
      <formula1>0</formula1>
      <formula2>NaN</formula2>
    </dataValidation>
    <dataValidation type="whole" allowBlank="1" showInputMessage="1" showErrorMessage="1" sqref="X9">
      <formula1>0</formula1>
      <formula2>NaN</formula2>
    </dataValidation>
    <dataValidation showInputMessage="1" prompt="Percentage Score" showErrorMessage="1" sqref="Z5"/>
  </dataValidations>
  <printOptions horizontalCentered="1" verticalCentered="1"/>
  <pageMargins left="0.25" right="0.25" top="0.75" bottom="0.75" header="0.3" footer="0.3"/>
  <pageSetup paperSize="9" orientation="landscape" horizontalDpi="0" verticalDpi="0" scale="37"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G69"/>
  <sheetViews>
    <sheetView workbookViewId="0" showGridLines="0" zoomScale="100" zoomScaleNormal="100">
      <pane xSplit="4" ySplit="8" topLeftCell="E9" activePane="bottomRight" state="frozen"/>
      <selection pane="bottomRight" activeCell="H5" sqref="H5"/>
    </sheetView>
  </sheetViews>
  <sheetFormatPr defaultRowHeight="15" outlineLevelRow="0" outlineLevelCol="0" x14ac:dyDescent="0.25" defaultColWidth="8.85546875"/>
  <cols>
    <col min="1" max="1" width="2.140625" style="167" customWidth="1"/>
    <col min="2" max="2" width="3.85546875" style="167" customWidth="1"/>
    <col min="3" max="3" width="15.85546875" style="167" customWidth="1"/>
    <col min="4" max="4" width="35.85546875" style="167" customWidth="1"/>
    <col min="5" max="24" width="5.42578125" style="167" customWidth="1"/>
    <col min="25" max="27" width="7.42578125" style="167" customWidth="1"/>
    <col min="28" max="42" width="5.42578125" style="167" customWidth="1"/>
    <col min="43" max="45" width="7.42578125" style="167" customWidth="1"/>
    <col min="46" max="48" width="5.85546875" style="167" customWidth="1"/>
    <col min="49" max="51" width="6.85546875" style="167" customWidth="1"/>
    <col min="52" max="53" width="8.42578125" style="167" customWidth="1"/>
    <col min="54" max="54" width="5.85546875" style="167" customWidth="1"/>
    <col min="55" max="55" width="7.85546875" style="167" customWidth="1"/>
    <col min="56" max="59" width="12.85546875" style="167" customWidth="1"/>
    <col min="60" max="60" width="2.140625" style="167" customWidth="1"/>
    <col min="61" max="16384" width="8.85546875" style="167" customWidth="1"/>
  </cols>
  <sheetData>
    <row r="1" ht="9.95" customHeight="1" x14ac:dyDescent="0.25"/>
    <row r="2" ht="27.95" customHeight="1" spans="2:59" x14ac:dyDescent="0.25">
      <c r="B2" s="260" t="str">
        <f>IF('Data Input'!$G$6="","",'Data Input'!$G$6)</f>
        <v>Naga</v>
      </c>
      <c r="C2" s="261"/>
      <c r="D2" s="262" t="str">
        <f>IF('Data Input'!$G$7="","",('Data Input'!$G$7))</f>
        <v>Senior High School (SHS)</v>
      </c>
      <c r="E2" s="263" t="str">
        <f>IF('Data Input'!$G$12="","",PROPER('Data Input'!$G$12))</f>
        <v>General Mathematics</v>
      </c>
      <c r="F2" s="264"/>
      <c r="G2" s="264"/>
      <c r="H2" s="264"/>
      <c r="I2" s="264"/>
      <c r="J2" s="264"/>
      <c r="K2" s="264"/>
      <c r="L2" s="264"/>
      <c r="M2" s="264"/>
      <c r="N2" s="264"/>
      <c r="O2" s="264"/>
      <c r="P2" s="264"/>
      <c r="Q2" s="264"/>
      <c r="R2" s="264"/>
      <c r="S2" s="264"/>
      <c r="T2" s="264"/>
      <c r="U2" s="264"/>
      <c r="V2" s="264"/>
      <c r="W2" s="264"/>
      <c r="X2" s="265"/>
      <c r="Y2" s="266">
        <f>IF('Data Input'!$G$14="","",UPPER('Data Input'!$G$14))</f>
      </c>
      <c r="Z2" s="264"/>
      <c r="AA2" s="267"/>
      <c r="AB2" s="260" t="str">
        <f>IF('Data Input'!$G$8="","",'Data Input'!$G$8)</f>
        <v>2026 - 2027</v>
      </c>
      <c r="AC2" s="261"/>
      <c r="AD2" s="261"/>
      <c r="AE2" s="268" t="str">
        <f>IF(OR('Data Input'!$G$11="",'Data Input'!$G$16=""),"",UPPER('Data Input'!$G$11&amp;" - "&amp;'Data Input'!$G$16))</f>
        <v>11 - BE/ICT</v>
      </c>
      <c r="AF2" s="261"/>
      <c r="AG2" s="261"/>
      <c r="AH2" s="269"/>
      <c r="AI2" s="268" t="str">
        <f>IF('Data Input'!$G$10="","",PROPER('Data Input'!$G$10))</f>
        <v>John Marq E. Ramos</v>
      </c>
      <c r="AJ2" s="261"/>
      <c r="AK2" s="261"/>
      <c r="AL2" s="261"/>
      <c r="AM2" s="261"/>
      <c r="AN2" s="261"/>
      <c r="AO2" s="261"/>
      <c r="AP2" s="261"/>
      <c r="AQ2" s="269"/>
      <c r="AR2" s="266">
        <f>IF('Data Input'!$G$17="","",'Data Input'!$G$17)</f>
        <v>201</v>
      </c>
      <c r="AS2" s="267"/>
      <c r="AT2" s="263" t="str">
        <f>IF('Data Input'!$G$18="","",PROPER('Data Input'!$G$18))</f>
        <v>Mon &amp; Fri</v>
      </c>
      <c r="AU2" s="264"/>
      <c r="AV2" s="264"/>
      <c r="AW2" s="264"/>
      <c r="AX2" s="266" t="str">
        <f>IF('Data Input'!$G$19="","",'Data Input'!$G$19)</f>
        <v>09:00 to 10:30 AM</v>
      </c>
      <c r="AY2" s="264"/>
      <c r="AZ2" s="264"/>
      <c r="BA2" s="264"/>
      <c r="BB2" s="402" t="s">
        <v>199</v>
      </c>
      <c r="BC2" s="403"/>
      <c r="BD2" s="404"/>
      <c r="BE2" s="402" t="s">
        <v>200</v>
      </c>
      <c r="BF2" s="403"/>
      <c r="BG2" s="405"/>
    </row>
    <row r="3" ht="15" customHeight="1" spans="2:59" x14ac:dyDescent="0.25">
      <c r="B3" s="274" t="s">
        <v>145</v>
      </c>
      <c r="C3" s="275"/>
      <c r="D3" s="276" t="s">
        <v>149</v>
      </c>
      <c r="E3" s="274" t="s">
        <v>161</v>
      </c>
      <c r="F3" s="275"/>
      <c r="G3" s="275"/>
      <c r="H3" s="275"/>
      <c r="I3" s="275"/>
      <c r="J3" s="275"/>
      <c r="K3" s="275"/>
      <c r="L3" s="275"/>
      <c r="M3" s="275"/>
      <c r="N3" s="275"/>
      <c r="O3" s="275"/>
      <c r="P3" s="275"/>
      <c r="Q3" s="275"/>
      <c r="R3" s="275"/>
      <c r="S3" s="275"/>
      <c r="T3" s="275"/>
      <c r="U3" s="275"/>
      <c r="V3" s="275"/>
      <c r="W3" s="275"/>
      <c r="X3" s="277"/>
      <c r="Y3" s="278" t="s">
        <v>165</v>
      </c>
      <c r="Z3" s="275"/>
      <c r="AA3" s="279"/>
      <c r="AB3" s="274" t="s">
        <v>152</v>
      </c>
      <c r="AC3" s="275"/>
      <c r="AD3" s="275"/>
      <c r="AE3" s="278" t="s">
        <v>201</v>
      </c>
      <c r="AF3" s="275"/>
      <c r="AG3" s="275"/>
      <c r="AH3" s="277"/>
      <c r="AI3" s="278" t="s">
        <v>156</v>
      </c>
      <c r="AJ3" s="275"/>
      <c r="AK3" s="275"/>
      <c r="AL3" s="275"/>
      <c r="AM3" s="275"/>
      <c r="AN3" s="275"/>
      <c r="AO3" s="275"/>
      <c r="AP3" s="275"/>
      <c r="AQ3" s="277"/>
      <c r="AR3" s="278" t="s">
        <v>171</v>
      </c>
      <c r="AS3" s="279"/>
      <c r="AT3" s="406" t="s">
        <v>173</v>
      </c>
      <c r="AU3" s="407"/>
      <c r="AV3" s="407"/>
      <c r="AW3" s="407"/>
      <c r="AX3" s="278" t="s">
        <v>176</v>
      </c>
      <c r="AY3" s="275"/>
      <c r="AZ3" s="275"/>
      <c r="BA3" s="275"/>
      <c r="BB3" s="408"/>
      <c r="BC3" s="409"/>
      <c r="BD3" s="410"/>
      <c r="BE3" s="411"/>
      <c r="BF3" s="412"/>
      <c r="BG3" s="413"/>
    </row>
    <row r="4" ht="30" customHeight="1" spans="2:59" x14ac:dyDescent="0.25">
      <c r="B4" s="285" t="s">
        <v>71</v>
      </c>
      <c r="C4" s="286"/>
      <c r="D4" s="287"/>
      <c r="E4" s="289" t="s">
        <v>28</v>
      </c>
      <c r="F4" s="288"/>
      <c r="G4" s="288"/>
      <c r="H4" s="288"/>
      <c r="I4" s="288"/>
      <c r="J4" s="288"/>
      <c r="K4" s="288"/>
      <c r="L4" s="288"/>
      <c r="M4" s="288"/>
      <c r="N4" s="288"/>
      <c r="O4" s="288"/>
      <c r="P4" s="288"/>
      <c r="Q4" s="288"/>
      <c r="R4" s="288"/>
      <c r="S4" s="288"/>
      <c r="T4" s="288"/>
      <c r="U4" s="289"/>
      <c r="V4" s="289"/>
      <c r="W4" s="289"/>
      <c r="X4" s="289"/>
      <c r="Y4" s="289"/>
      <c r="Z4" s="289"/>
      <c r="AA4" s="289"/>
      <c r="AB4" s="290" t="s">
        <v>202</v>
      </c>
      <c r="AC4" s="291"/>
      <c r="AD4" s="291"/>
      <c r="AE4" s="291"/>
      <c r="AF4" s="291"/>
      <c r="AG4" s="291"/>
      <c r="AH4" s="291"/>
      <c r="AI4" s="291"/>
      <c r="AJ4" s="291"/>
      <c r="AK4" s="291"/>
      <c r="AL4" s="291"/>
      <c r="AM4" s="291"/>
      <c r="AN4" s="291"/>
      <c r="AO4" s="289"/>
      <c r="AP4" s="289"/>
      <c r="AQ4" s="289"/>
      <c r="AR4" s="289"/>
      <c r="AS4" s="289"/>
      <c r="AT4" s="291" t="s">
        <v>203</v>
      </c>
      <c r="AU4" s="289"/>
      <c r="AV4" s="289"/>
      <c r="AW4" s="289"/>
      <c r="AX4" s="289"/>
      <c r="AY4" s="289"/>
      <c r="AZ4" s="289"/>
      <c r="BA4" s="292"/>
      <c r="BB4" s="414"/>
      <c r="BC4" s="415"/>
      <c r="BD4" s="416"/>
      <c r="BE4" s="417" t="s">
        <v>35</v>
      </c>
      <c r="BF4" s="418" t="s">
        <v>61</v>
      </c>
      <c r="BG4" s="298" t="s">
        <v>62</v>
      </c>
    </row>
    <row r="5" ht="18" customHeight="1" spans="2:59" x14ac:dyDescent="0.25">
      <c r="B5" s="299" t="s">
        <v>148</v>
      </c>
      <c r="C5" s="300"/>
      <c r="D5" s="301" t="s">
        <v>8</v>
      </c>
      <c r="E5" s="305">
        <v>1</v>
      </c>
      <c r="F5" s="303">
        <v>2</v>
      </c>
      <c r="G5" s="303">
        <v>3</v>
      </c>
      <c r="H5" s="303">
        <v>4</v>
      </c>
      <c r="I5" s="303">
        <v>5</v>
      </c>
      <c r="J5" s="303">
        <v>6</v>
      </c>
      <c r="K5" s="303">
        <v>7</v>
      </c>
      <c r="L5" s="303">
        <v>8</v>
      </c>
      <c r="M5" s="303">
        <v>9</v>
      </c>
      <c r="N5" s="303">
        <v>10</v>
      </c>
      <c r="O5" s="303">
        <v>11</v>
      </c>
      <c r="P5" s="303">
        <v>12</v>
      </c>
      <c r="Q5" s="303">
        <v>13</v>
      </c>
      <c r="R5" s="303">
        <v>14</v>
      </c>
      <c r="S5" s="303">
        <v>15</v>
      </c>
      <c r="T5" s="303">
        <v>16</v>
      </c>
      <c r="U5" s="303">
        <v>17</v>
      </c>
      <c r="V5" s="303">
        <v>18</v>
      </c>
      <c r="W5" s="303">
        <v>19</v>
      </c>
      <c r="X5" s="303">
        <v>20</v>
      </c>
      <c r="Y5" s="303" t="s">
        <v>29</v>
      </c>
      <c r="Z5" s="303" t="s">
        <v>30</v>
      </c>
      <c r="AA5" s="304" t="s">
        <v>31</v>
      </c>
      <c r="AB5" s="305">
        <v>1</v>
      </c>
      <c r="AC5" s="302">
        <v>2</v>
      </c>
      <c r="AD5" s="302">
        <v>3</v>
      </c>
      <c r="AE5" s="302">
        <v>4</v>
      </c>
      <c r="AF5" s="302">
        <v>5</v>
      </c>
      <c r="AG5" s="302">
        <v>6</v>
      </c>
      <c r="AH5" s="302">
        <v>7</v>
      </c>
      <c r="AI5" s="302">
        <v>8</v>
      </c>
      <c r="AJ5" s="302">
        <v>9</v>
      </c>
      <c r="AK5" s="302">
        <v>10</v>
      </c>
      <c r="AL5" s="302">
        <v>11</v>
      </c>
      <c r="AM5" s="302">
        <v>12</v>
      </c>
      <c r="AN5" s="302">
        <v>13</v>
      </c>
      <c r="AO5" s="303">
        <v>14</v>
      </c>
      <c r="AP5" s="303">
        <v>15</v>
      </c>
      <c r="AQ5" s="303" t="s">
        <v>29</v>
      </c>
      <c r="AR5" s="303" t="s">
        <v>30</v>
      </c>
      <c r="AS5" s="304" t="s">
        <v>31</v>
      </c>
      <c r="AT5" s="302" t="s">
        <v>204</v>
      </c>
      <c r="AU5" s="303" t="s">
        <v>205</v>
      </c>
      <c r="AV5" s="306" t="s">
        <v>206</v>
      </c>
      <c r="AW5" s="307" t="s">
        <v>207</v>
      </c>
      <c r="AX5" s="307" t="s">
        <v>208</v>
      </c>
      <c r="AY5" s="307" t="s">
        <v>209</v>
      </c>
      <c r="AZ5" s="307" t="s">
        <v>210</v>
      </c>
      <c r="BA5" s="308" t="s">
        <v>211</v>
      </c>
      <c r="BB5" s="419" t="s">
        <v>212</v>
      </c>
      <c r="BC5" s="310" t="s">
        <v>30</v>
      </c>
      <c r="BD5" s="420" t="s">
        <v>213</v>
      </c>
      <c r="BE5" s="421"/>
      <c r="BF5" s="422"/>
      <c r="BG5" s="314"/>
    </row>
    <row r="6" ht="18" customHeight="1" spans="2:59" x14ac:dyDescent="0.25">
      <c r="B6" s="315"/>
      <c r="C6" s="316"/>
      <c r="D6" s="317"/>
      <c r="E6" s="322">
        <v>30</v>
      </c>
      <c r="F6" s="319">
        <v>30</v>
      </c>
      <c r="G6" s="319">
        <v>30</v>
      </c>
      <c r="H6" s="319">
        <v>30</v>
      </c>
      <c r="I6" s="319">
        <v>30</v>
      </c>
      <c r="J6" s="319"/>
      <c r="K6" s="319"/>
      <c r="L6" s="319"/>
      <c r="M6" s="319"/>
      <c r="N6" s="319"/>
      <c r="O6" s="319"/>
      <c r="P6" s="319"/>
      <c r="Q6" s="319"/>
      <c r="R6" s="319"/>
      <c r="S6" s="319"/>
      <c r="T6" s="319"/>
      <c r="U6" s="319"/>
      <c r="V6" s="319"/>
      <c r="W6" s="319"/>
      <c r="X6" s="319"/>
      <c r="Y6" s="320">
        <f>IF(COUNT($E6:$X6)=0,"",SUM($E6:$X6))</f>
        <v>150</v>
      </c>
      <c r="Z6" s="320">
        <v>100</v>
      </c>
      <c r="AA6" s="321">
        <f>IF(OR('Data Input'!$H$25="",'Data Input'!$H$25=0%),"--",
 IF('Data Input'!$H$28&lt;&gt;100%,"Error",'Data Input'!$H$25))</f>
        <v>0.2</v>
      </c>
      <c r="AB6" s="322">
        <v>50</v>
      </c>
      <c r="AC6" s="318">
        <v>50</v>
      </c>
      <c r="AD6" s="318">
        <v>50</v>
      </c>
      <c r="AE6" s="318">
        <v>50</v>
      </c>
      <c r="AF6" s="318">
        <v>50</v>
      </c>
      <c r="AG6" s="318"/>
      <c r="AH6" s="318"/>
      <c r="AI6" s="318"/>
      <c r="AJ6" s="318"/>
      <c r="AK6" s="318"/>
      <c r="AL6" s="318"/>
      <c r="AM6" s="318"/>
      <c r="AN6" s="318"/>
      <c r="AO6" s="319"/>
      <c r="AP6" s="319"/>
      <c r="AQ6" s="320">
        <f>IF(COUNT($AB6:$AP6)=0,"",SUM($AB6:$AP6))</f>
        <v>250</v>
      </c>
      <c r="AR6" s="320">
        <v>100</v>
      </c>
      <c r="AS6" s="321">
        <f>IF(OR('Data Input'!$H$26="",'Data Input'!$H$26=0%),"--",
 IF('Data Input'!$H$28&lt;&gt;100%,"Error",'Data Input'!$H$26))</f>
        <v>0.5</v>
      </c>
      <c r="AT6" s="323">
        <v>30</v>
      </c>
      <c r="AU6" s="319">
        <v>30</v>
      </c>
      <c r="AV6" s="323">
        <v>60</v>
      </c>
      <c r="AW6" s="324"/>
      <c r="AX6" s="324"/>
      <c r="AY6" s="324"/>
      <c r="AZ6" s="324"/>
      <c r="BA6" s="325"/>
      <c r="BB6" s="326">
        <v>100</v>
      </c>
      <c r="BC6" s="217">
        <v>100</v>
      </c>
      <c r="BD6" s="420"/>
      <c r="BE6" s="421"/>
      <c r="BF6" s="422"/>
      <c r="BG6" s="314"/>
    </row>
    <row r="7" ht="18" customHeight="1" spans="2:59" x14ac:dyDescent="0.25">
      <c r="B7" s="315"/>
      <c r="C7" s="316"/>
      <c r="D7" s="317"/>
      <c r="E7" s="332">
        <v>46237</v>
      </c>
      <c r="F7" s="329">
        <v>46238</v>
      </c>
      <c r="G7" s="329">
        <v>46239</v>
      </c>
      <c r="H7" s="329">
        <v>46240</v>
      </c>
      <c r="I7" s="329">
        <v>46241</v>
      </c>
      <c r="J7" s="329"/>
      <c r="K7" s="329"/>
      <c r="L7" s="329"/>
      <c r="M7" s="329"/>
      <c r="N7" s="329"/>
      <c r="O7" s="329"/>
      <c r="P7" s="329"/>
      <c r="Q7" s="329"/>
      <c r="R7" s="329"/>
      <c r="S7" s="329"/>
      <c r="T7" s="329"/>
      <c r="U7" s="329"/>
      <c r="V7" s="329"/>
      <c r="W7" s="329"/>
      <c r="X7" s="329"/>
      <c r="Y7" s="330"/>
      <c r="Z7" s="330"/>
      <c r="AA7" s="331"/>
      <c r="AB7" s="332">
        <v>46242</v>
      </c>
      <c r="AC7" s="329">
        <v>46243</v>
      </c>
      <c r="AD7" s="329">
        <v>46244</v>
      </c>
      <c r="AE7" s="329">
        <v>46245</v>
      </c>
      <c r="AF7" s="329">
        <v>46246</v>
      </c>
      <c r="AG7" s="329"/>
      <c r="AH7" s="329"/>
      <c r="AI7" s="329"/>
      <c r="AJ7" s="329"/>
      <c r="AK7" s="329"/>
      <c r="AL7" s="329"/>
      <c r="AM7" s="329"/>
      <c r="AN7" s="329"/>
      <c r="AO7" s="329"/>
      <c r="AP7" s="329"/>
      <c r="AQ7" s="330"/>
      <c r="AR7" s="330"/>
      <c r="AS7" s="331"/>
      <c r="AT7" s="335"/>
      <c r="AU7" s="334"/>
      <c r="AV7" s="335"/>
      <c r="AW7" s="336">
        <v>0.3</v>
      </c>
      <c r="AX7" s="336">
        <v>0.3</v>
      </c>
      <c r="AY7" s="336">
        <v>0.4</v>
      </c>
      <c r="AZ7" s="337">
        <v>100</v>
      </c>
      <c r="BA7" s="338">
        <f>IF(OR('Data Input'!$H$27="",'Data Input'!$H$27=0%),"--",
 IF('Data Input'!$H$28&lt;&gt;100%,"Error",'Data Input'!$H$27))</f>
        <v>0.3</v>
      </c>
      <c r="BB7" s="326"/>
      <c r="BC7" s="217"/>
      <c r="BD7" s="420"/>
      <c r="BE7" s="421"/>
      <c r="BF7" s="422"/>
      <c r="BG7" s="314"/>
    </row>
    <row r="8" ht="18" customHeight="1" spans="2:59" x14ac:dyDescent="0.25">
      <c r="B8" s="339"/>
      <c r="C8" s="340"/>
      <c r="D8" s="341"/>
      <c r="E8" s="346" t="s">
        <v>12</v>
      </c>
      <c r="F8" s="343" t="s">
        <v>12</v>
      </c>
      <c r="G8" s="343" t="s">
        <v>12</v>
      </c>
      <c r="H8" s="343" t="s">
        <v>12</v>
      </c>
      <c r="I8" s="343" t="s">
        <v>12</v>
      </c>
      <c r="J8" s="343"/>
      <c r="K8" s="343"/>
      <c r="L8" s="343"/>
      <c r="M8" s="343"/>
      <c r="N8" s="343"/>
      <c r="O8" s="343"/>
      <c r="P8" s="343"/>
      <c r="Q8" s="343"/>
      <c r="R8" s="343"/>
      <c r="S8" s="343"/>
      <c r="T8" s="343"/>
      <c r="U8" s="343"/>
      <c r="V8" s="343"/>
      <c r="W8" s="343"/>
      <c r="X8" s="343"/>
      <c r="Y8" s="344"/>
      <c r="Z8" s="344"/>
      <c r="AA8" s="345"/>
      <c r="AB8" s="346" t="s">
        <v>214</v>
      </c>
      <c r="AC8" s="343" t="s">
        <v>215</v>
      </c>
      <c r="AD8" s="343" t="s">
        <v>216</v>
      </c>
      <c r="AE8" s="343" t="s">
        <v>217</v>
      </c>
      <c r="AF8" s="343" t="s">
        <v>218</v>
      </c>
      <c r="AG8" s="343"/>
      <c r="AH8" s="343"/>
      <c r="AI8" s="343"/>
      <c r="AJ8" s="343"/>
      <c r="AK8" s="343"/>
      <c r="AL8" s="343"/>
      <c r="AM8" s="343"/>
      <c r="AN8" s="343"/>
      <c r="AO8" s="343"/>
      <c r="AP8" s="343"/>
      <c r="AQ8" s="344"/>
      <c r="AR8" s="344"/>
      <c r="AS8" s="345"/>
      <c r="AT8" s="342">
        <v>46247</v>
      </c>
      <c r="AU8" s="343">
        <v>46248</v>
      </c>
      <c r="AV8" s="347">
        <v>46249</v>
      </c>
      <c r="AW8" s="348"/>
      <c r="AX8" s="348"/>
      <c r="AY8" s="348"/>
      <c r="AZ8" s="349"/>
      <c r="BA8" s="350"/>
      <c r="BB8" s="423">
        <v>46250</v>
      </c>
      <c r="BC8" s="424"/>
      <c r="BD8" s="425"/>
      <c r="BE8" s="426"/>
      <c r="BF8" s="427"/>
      <c r="BG8" s="355"/>
    </row>
    <row r="9" ht="15.95" customHeight="1" spans="2:59" x14ac:dyDescent="0.25">
      <c r="B9" s="356">
        <v>1</v>
      </c>
      <c r="C9" s="357">
        <f>IF('Data Input'!M7="","",'Data Input'!M7)</f>
        <v>2000498439</v>
      </c>
      <c r="D9" s="358" t="str">
        <f>IF(ISBLANK('Data Input'!N7),"",PROPER('Data Input'!N7))</f>
        <v>Abendante, Carl Yuan</v>
      </c>
      <c r="E9" s="428">
        <v>18</v>
      </c>
      <c r="F9" s="359">
        <v>15</v>
      </c>
      <c r="G9" s="359">
        <v>24</v>
      </c>
      <c r="H9" s="359">
        <v>16</v>
      </c>
      <c r="I9" s="359">
        <v>21</v>
      </c>
      <c r="J9" s="359"/>
      <c r="K9" s="359"/>
      <c r="L9" s="359"/>
      <c r="M9" s="359"/>
      <c r="N9" s="359"/>
      <c r="O9" s="359"/>
      <c r="P9" s="359"/>
      <c r="Q9" s="359"/>
      <c r="R9" s="359"/>
      <c r="S9" s="359"/>
      <c r="T9" s="359"/>
      <c r="U9" s="360"/>
      <c r="V9" s="360"/>
      <c r="W9" s="360"/>
      <c r="X9" s="360"/>
      <c r="Y9" s="36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94</v>
      </c>
      <c r="Z9" s="362">
        <f>IF(D9="","",IF(Y9="Error","Error",IFERROR((Y9/$Y$6*$Z$6),"")))</f>
        <v>62.66666666666667</v>
      </c>
      <c r="AA9" s="363">
        <f>IFERROR(IF(D9="","",IF(Z9="Error","Error",(Z9*$AA$6))),"")</f>
        <v>12.533333333333335</v>
      </c>
      <c r="AB9" s="364"/>
      <c r="AC9" s="359"/>
      <c r="AD9" s="359"/>
      <c r="AE9" s="359"/>
      <c r="AF9" s="359"/>
      <c r="AG9" s="359"/>
      <c r="AH9" s="359"/>
      <c r="AI9" s="359"/>
      <c r="AJ9" s="359"/>
      <c r="AK9" s="359"/>
      <c r="AL9" s="359"/>
      <c r="AM9" s="359"/>
      <c r="AN9" s="359"/>
      <c r="AO9" s="360"/>
      <c r="AP9" s="360"/>
      <c r="AQ9" s="36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183</v>
      </c>
      <c r="AR9" s="362">
        <f>IF(D9="","",IF(AQ9="Error","Error",IFERROR((AQ9/$AQ$6*$AR$6),"")))</f>
        <v>73.2</v>
      </c>
      <c r="AS9" s="363">
        <f>IFERROR(IF(D9="","",IF(AR9="Error","Error",(AR9*$AS$6))),"")</f>
        <v>36.6</v>
      </c>
      <c r="AT9" s="359">
        <v>21</v>
      </c>
      <c r="AU9" s="360">
        <v>25</v>
      </c>
      <c r="AV9" s="367">
        <v>39</v>
      </c>
      <c r="AW9" s="362">
        <f>IF(OR(D9="",AT9=""),"",
 IF($AT$6=0,"Error",
 IF(OR(AND($AT$6="",AT9&lt;&gt;""),
 ISTEXT($AT$6),
 ISTEXT(AT9),
 ISLOGICAL($AT$6),
 ISLOGICAL(AT9),
 ISERROR($AT$6),
 ISERROR(AT9)),"Error",
 IF(AT9&gt;$AT$6,"Error",
 IF($AT$6=0,"",AT9/$AT$6*$AZ$7*$AW$7)))))</f>
        <v>21</v>
      </c>
      <c r="AX9" s="362">
        <f>IF(OR(D9="",AU9=""),"",
 IF($AU$6=0,"Error",
 IF(OR(AND($AU$6="",AU9&lt;&gt;""),
 ISTEXT($AU$6),
 ISTEXT(AU9),
 ISLOGICAL($AU$6),
 ISLOGICAL(AU9),
 ISERROR($AU$6),
 ISERROR(AU9)),"Error",
 IF(AU9&gt;$AU$6,"Error",
 IF($AU$6=0,"",AU9/$AU$6*$AZ$7*$AX$7)))))</f>
        <v>25.000000000000004</v>
      </c>
      <c r="AY9" s="362">
        <f>IF(OR(D9="",AV9=""),"",
 IF($AV$6=0,"Error",
 IF(OR(AND($AV$6="",AV9&lt;&gt;""),
 ISTEXT($AV$6),
 ISTEXT(AV9),
 ISLOGICAL($AV$6),
 ISLOGICAL(AV9),
 ISERROR($AV$6),
 ISERROR(AV9)),"Error",
 IF(AV9&gt;$AV$6,"Error",
 IF($AV$6=0,"",AV9/$AV$6*$AZ$7*$AY$7)))))</f>
        <v>26</v>
      </c>
      <c r="AZ9" s="362">
        <f>IF(D9="","",IF(COUNTIF(AW9:AY9,"Error")&gt;0,"Error",IFERROR(IF(COUNT(AW9:AY9)=0,"",SUM(AW9:AY9)),"")))</f>
        <v>72</v>
      </c>
      <c r="BA9" s="368">
        <f>IFERROR(IF(D9="","",IF(AZ9="Error","Error",(AZ9*$BA$7))),"")</f>
        <v>21.599999999999998</v>
      </c>
      <c r="BB9" s="429"/>
      <c r="BC9" s="362">
        <f>IF(OR(D9="",BB9=""),"",IF(BB9="Error","Error",IFERROR((BB9/$BB$6*$BC$6),"")))</f>
      </c>
      <c r="BD9" s="430">
        <f>IF(AND(AY9="",BB9&lt;&gt;""),"Error",IF(BB9="","",IF(BB9&gt;$BB$6,"Error",IF(BC9&gt;=75,"Passed","Failed"))))</f>
      </c>
      <c r="BE9" s="372">
        <f>_xlfn.LET(
_xlpm.total,ROUND((N(AA9)+N(AS9)+N(BA9)),2),
IF(OR(AA9="Error",AS9="Error",BA9="Error",BD9="Error"),"Error",
IF(AND(AA9="",AS9="",BA9=""),"",
IF(_xlpm.total&gt;=70,_xlpm.total,IF(BD9="Passed",70,_xlpm.total)))))</f>
        <v>70.73</v>
      </c>
      <c r="BF9" s="373">
        <f>IF(OR(AA9="Error",AS9="Error",BA9="Error",BD9="Error"),"Error",
 IF(D9="","",
 IF(AND(N($AA$6)+N($AS$6)+N($BA$7)=100%,
 OR(N($AA$6)=0,AA9&lt;&gt;""),OR(N($AS$6)=0,AS9&lt;&gt;""),OR(N($BA$7)=0,BA9&lt;&gt;""),BE9&lt;&gt;""),
 _xlfn.XLOOKUP(BE9,'Helper 1'!$B$3:$B$43,'Helper 1'!$D$3:$D$43,,-1),"")))</f>
        <v>75</v>
      </c>
      <c r="BG9" s="374" t="str">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0" ht="15.95" customHeight="1" spans="2:59" x14ac:dyDescent="0.25">
      <c r="B10" s="305">
        <v>2</v>
      </c>
      <c r="C10" s="375">
        <f>IF('Data Input'!M8="","",'Data Input'!M8)</f>
        <v>2000483599</v>
      </c>
      <c r="D10" s="376" t="str">
        <f>IF(ISBLANK('Data Input'!N8),"",PROPER('Data Input'!N8))</f>
        <v>Acala, Aji Rheyacelle</v>
      </c>
      <c r="E10" s="377"/>
      <c r="F10" s="377"/>
      <c r="G10" s="377"/>
      <c r="H10" s="377"/>
      <c r="I10" s="377"/>
      <c r="J10" s="377"/>
      <c r="K10" s="377"/>
      <c r="L10" s="377"/>
      <c r="M10" s="377"/>
      <c r="N10" s="377"/>
      <c r="O10" s="377"/>
      <c r="P10" s="377"/>
      <c r="Q10" s="377"/>
      <c r="R10" s="377"/>
      <c r="S10" s="377"/>
      <c r="T10" s="377"/>
      <c r="U10" s="378"/>
      <c r="V10" s="378"/>
      <c r="W10" s="378"/>
      <c r="X10" s="378"/>
      <c r="Y10" s="216">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0" s="381">
        <f t="shared" ref="Z10:Z68" si="0">IF(D10="","",IF(Y10="Error","Error",IFERROR((Y10/$Y$6*$Z$6),"")))</f>
      </c>
      <c r="AA10" s="382">
        <f t="shared" ref="AA10:AA68" si="1">IFERROR(IF(D10="","",IF(Z10="Error","Error",(Z10*$AA$6))),"")</f>
      </c>
      <c r="AB10" s="379"/>
      <c r="AC10" s="377"/>
      <c r="AD10" s="377"/>
      <c r="AE10" s="377"/>
      <c r="AF10" s="377"/>
      <c r="AG10" s="377"/>
      <c r="AH10" s="377"/>
      <c r="AI10" s="377"/>
      <c r="AJ10" s="377"/>
      <c r="AK10" s="377"/>
      <c r="AL10" s="377"/>
      <c r="AM10" s="377"/>
      <c r="AN10" s="377"/>
      <c r="AO10" s="378"/>
      <c r="AP10" s="378"/>
      <c r="AQ10" s="216">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0" s="381">
        <f t="shared" ref="AR10:AR68" si="2">IF(D10="","",IF(AQ10="Error","Error",IFERROR((AQ10/$AQ$6*$AR$6),"")))</f>
      </c>
      <c r="AS10" s="382">
        <f t="shared" ref="AS10:AS68" si="3">IFERROR(IF(D10="","",IF(AR10="Error","Error",(AR10*$AS$6))),"")</f>
      </c>
      <c r="AT10" s="377"/>
      <c r="AU10" s="378"/>
      <c r="AV10" s="383"/>
      <c r="AW10" s="362">
        <f t="shared" ref="AW10:AW68" si="4">IF(OR(D10="",AT10=""),"",
 IF($AT$6=0,"Error",
 IF(OR(AND($AT$6="",AT10&lt;&gt;""),
 ISTEXT($AT$6),
 ISTEXT(AT10),
 ISLOGICAL($AT$6),
 ISLOGICAL(AT10),
 ISERROR($AT$6),
 ISERROR(AT10)),"Error",
 IF(AT10&gt;$AT$6,"Error",
 IF($AT$6=0,"",AT10/$AT$6*$AZ$7*$AW$7)))))</f>
      </c>
      <c r="AX10" s="362">
        <f t="shared" ref="AX10:AX68" si="5">IF(OR(D10="",AU10=""),"",
 IF($AU$6=0,"Error",
 IF(OR(AND($AU$6="",AU10&lt;&gt;""),
 ISTEXT($AU$6),
 ISTEXT(AU10),
 ISLOGICAL($AU$6),
 ISLOGICAL(AU10),
 ISERROR($AU$6),
 ISERROR(AU10)),"Error",
 IF(AU10&gt;$AU$6,"Error",
 IF($AU$6=0,"",AU10/$AU$6*$AZ$7*$AX$7)))))</f>
      </c>
      <c r="AY10" s="362">
        <f t="shared" ref="AY10:AY68" si="6">IF(OR(D10="",AV10=""),"",
 IF($AV$6=0,"Error",
 IF(OR(AND($AV$6="",AV10&lt;&gt;""),
 ISTEXT($AV$6),
 ISTEXT(AV10),
 ISLOGICAL($AV$6),
 ISLOGICAL(AV10),
 ISERROR($AV$6),
 ISERROR(AV10)),"Error",
 IF(AV10&gt;$AV$6,"Error",
 IF($AV$6=0,"",AV10/$AV$6*$AZ$7*$AY$7)))))</f>
      </c>
      <c r="AZ10" s="381">
        <f t="shared" ref="AZ10:AZ68" si="7">IF(D10="","",IF(COUNTIF(AW10:AY10,"Error")&gt;0,"Error",IFERROR(IF(COUNT(AW10:AY10)=0,"",SUM(AW10:AY10)),"")))</f>
      </c>
      <c r="BA10" s="384">
        <f t="shared" ref="BA10:BA68" si="8">IFERROR(IF(D10="","",IF(AZ10="Error","Error",(AZ10*$BA$7))),"")</f>
      </c>
      <c r="BB10" s="429"/>
      <c r="BC10" s="362">
        <f t="shared" ref="BC10:BC68" si="9">IF(OR(D10="",BB10=""),"",IF(BB10="Error","Error",IFERROR((BB10/$BB$6*$BC$6),"")))</f>
      </c>
      <c r="BD10" s="430">
        <f t="shared" ref="BD10:BD68" si="10">IF(AND(AY10="",BB10&lt;&gt;""),"Error",IF(BB10="","",IF(BB10&gt;$BB$6,"Error",IF(BC10&gt;=75,"Passed","Failed"))))</f>
      </c>
      <c r="BE10" s="372">
        <f t="shared" ref="BE10:BE68" si="11">_xlfn.LET(
_xlpm.total,ROUND((N(AA10)+N(AS10)+N(BA10)),2),
IF(OR(AA10="Error",AS10="Error",BA10="Error",BD10="Error"),"Error",
IF(AND(AA10="",AS10="",BA10=""),"",
IF(_xlpm.total&gt;=70,_xlpm.total,IF(BD10="Passed",70,_xlpm.total)))))</f>
      </c>
      <c r="BF10" s="373">
        <f>IF(OR(AA10="Error",AS10="Error",BA10="Error",BD10="Error"),"Error",
 IF(D10="","",
 IF(AND(N($AA$6)+N($AS$6)+N($BA$7)=100%,
 OR(N($AA$6)=0,AA10&lt;&gt;""),OR(N($AS$6)=0,AS10&lt;&gt;""),OR(N($BA$7)=0,BA10&lt;&gt;""),BE10&lt;&gt;""),
 _xlfn.XLOOKUP(BE10,'Helper 1'!$B$3:$B$43,'Helper 1'!$D$3:$D$43,,-1),"")))</f>
      </c>
      <c r="BG10" s="374">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1" ht="15.95" customHeight="1" spans="2:59" x14ac:dyDescent="0.25">
      <c r="B11" s="305">
        <v>3</v>
      </c>
      <c r="C11" s="375">
        <f>IF('Data Input'!M9="","",'Data Input'!M9)</f>
        <v>2000480423</v>
      </c>
      <c r="D11" s="376" t="str">
        <f>IF(ISBLANK('Data Input'!N9),"",PROPER('Data Input'!N9))</f>
        <v>Baer, Shania Pearl</v>
      </c>
      <c r="E11" s="377"/>
      <c r="F11" s="377"/>
      <c r="G11" s="377"/>
      <c r="H11" s="377"/>
      <c r="I11" s="377"/>
      <c r="J11" s="377"/>
      <c r="K11" s="377"/>
      <c r="L11" s="377"/>
      <c r="M11" s="377"/>
      <c r="N11" s="377"/>
      <c r="O11" s="377"/>
      <c r="P11" s="377"/>
      <c r="Q11" s="377"/>
      <c r="R11" s="377"/>
      <c r="S11" s="377"/>
      <c r="T11" s="377"/>
      <c r="U11" s="378"/>
      <c r="V11" s="378"/>
      <c r="W11" s="378"/>
      <c r="X11" s="378"/>
      <c r="Y11" s="216">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1" s="381">
        <f t="shared" si="0"/>
      </c>
      <c r="AA11" s="382">
        <f t="shared" si="1"/>
      </c>
      <c r="AB11" s="379"/>
      <c r="AC11" s="377"/>
      <c r="AD11" s="377"/>
      <c r="AE11" s="377"/>
      <c r="AF11" s="377"/>
      <c r="AG11" s="377"/>
      <c r="AH11" s="377"/>
      <c r="AI11" s="377"/>
      <c r="AJ11" s="377"/>
      <c r="AK11" s="377"/>
      <c r="AL11" s="377"/>
      <c r="AM11" s="377"/>
      <c r="AN11" s="377"/>
      <c r="AO11" s="378"/>
      <c r="AP11" s="378"/>
      <c r="AQ11" s="216">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1" s="381">
        <f t="shared" si="2"/>
      </c>
      <c r="AS11" s="382">
        <f t="shared" si="3"/>
      </c>
      <c r="AT11" s="377"/>
      <c r="AU11" s="378"/>
      <c r="AV11" s="383"/>
      <c r="AW11" s="362">
        <f t="shared" si="4"/>
      </c>
      <c r="AX11" s="362">
        <f t="shared" si="5"/>
      </c>
      <c r="AY11" s="362">
        <f t="shared" si="6"/>
      </c>
      <c r="AZ11" s="381">
        <f t="shared" si="7"/>
      </c>
      <c r="BA11" s="384">
        <f t="shared" si="8"/>
      </c>
      <c r="BB11" s="429"/>
      <c r="BC11" s="362">
        <f t="shared" si="9"/>
      </c>
      <c r="BD11" s="430">
        <f t="shared" si="10"/>
      </c>
      <c r="BE11" s="372">
        <f t="shared" si="11"/>
      </c>
      <c r="BF11" s="373">
        <f>IF(OR(AA11="Error",AS11="Error",BA11="Error",BD11="Error"),"Error",
 IF(D11="","",
 IF(AND(N($AA$6)+N($AS$6)+N($BA$7)=100%,
 OR(N($AA$6)=0,AA11&lt;&gt;""),OR(N($AS$6)=0,AS11&lt;&gt;""),OR(N($BA$7)=0,BA11&lt;&gt;""),BE11&lt;&gt;""),
 _xlfn.XLOOKUP(BE11,'Helper 1'!$B$3:$B$43,'Helper 1'!$D$3:$D$43,,-1),"")))</f>
      </c>
      <c r="BG11" s="374">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2" ht="15.95" customHeight="1" spans="2:59" x14ac:dyDescent="0.25">
      <c r="B12" s="305">
        <v>4</v>
      </c>
      <c r="C12" s="375">
        <f>IF('Data Input'!M10="","",'Data Input'!M10)</f>
        <v>2000487858</v>
      </c>
      <c r="D12" s="376" t="str">
        <f>IF(ISBLANK('Data Input'!N10),"",PROPER('Data Input'!N10))</f>
        <v>Bagaporo, Ryeanna Mheryl</v>
      </c>
      <c r="E12" s="377"/>
      <c r="F12" s="377"/>
      <c r="G12" s="377"/>
      <c r="H12" s="377"/>
      <c r="I12" s="377"/>
      <c r="J12" s="377"/>
      <c r="K12" s="377"/>
      <c r="L12" s="377"/>
      <c r="M12" s="377"/>
      <c r="N12" s="377"/>
      <c r="O12" s="377"/>
      <c r="P12" s="377"/>
      <c r="Q12" s="377"/>
      <c r="R12" s="377"/>
      <c r="S12" s="377"/>
      <c r="T12" s="377"/>
      <c r="U12" s="378"/>
      <c r="V12" s="378"/>
      <c r="W12" s="378"/>
      <c r="X12" s="378"/>
      <c r="Y12" s="216">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2" s="381">
        <f t="shared" si="0"/>
      </c>
      <c r="AA12" s="382">
        <f t="shared" si="1"/>
      </c>
      <c r="AB12" s="379"/>
      <c r="AC12" s="377"/>
      <c r="AD12" s="377"/>
      <c r="AE12" s="377"/>
      <c r="AF12" s="377"/>
      <c r="AG12" s="377"/>
      <c r="AH12" s="377"/>
      <c r="AI12" s="377"/>
      <c r="AJ12" s="377"/>
      <c r="AK12" s="377"/>
      <c r="AL12" s="377"/>
      <c r="AM12" s="377"/>
      <c r="AN12" s="377"/>
      <c r="AO12" s="378"/>
      <c r="AP12" s="378"/>
      <c r="AQ12" s="216">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2" s="381">
        <f t="shared" si="2"/>
      </c>
      <c r="AS12" s="382">
        <f t="shared" si="3"/>
      </c>
      <c r="AT12" s="377"/>
      <c r="AU12" s="378"/>
      <c r="AV12" s="383"/>
      <c r="AW12" s="362">
        <f t="shared" si="4"/>
      </c>
      <c r="AX12" s="362">
        <f t="shared" si="5"/>
      </c>
      <c r="AY12" s="362">
        <f t="shared" si="6"/>
      </c>
      <c r="AZ12" s="381">
        <f t="shared" si="7"/>
      </c>
      <c r="BA12" s="384">
        <f t="shared" si="8"/>
      </c>
      <c r="BB12" s="429"/>
      <c r="BC12" s="362">
        <f t="shared" si="9"/>
      </c>
      <c r="BD12" s="430">
        <f t="shared" si="10"/>
      </c>
      <c r="BE12" s="372">
        <f t="shared" si="11"/>
      </c>
      <c r="BF12" s="373">
        <f>IF(OR(AA12="Error",AS12="Error",BA12="Error",BD12="Error"),"Error",
 IF(D12="","",
 IF(AND(N($AA$6)+N($AS$6)+N($BA$7)=100%,
 OR(N($AA$6)=0,AA12&lt;&gt;""),OR(N($AS$6)=0,AS12&lt;&gt;""),OR(N($BA$7)=0,BA12&lt;&gt;""),BE12&lt;&gt;""),
 _xlfn.XLOOKUP(BE12,'Helper 1'!$B$3:$B$43,'Helper 1'!$D$3:$D$43,,-1),"")))</f>
      </c>
      <c r="BG12" s="374">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3" ht="15.95" customHeight="1" spans="2:59" x14ac:dyDescent="0.25">
      <c r="B13" s="305">
        <v>5</v>
      </c>
      <c r="C13" s="375">
        <f>IF('Data Input'!M11="","",'Data Input'!M11)</f>
        <v>2000497598</v>
      </c>
      <c r="D13" s="376" t="str">
        <f>IF(ISBLANK('Data Input'!N11),"",PROPER('Data Input'!N11))</f>
        <v>Belarmino, Easean</v>
      </c>
      <c r="E13" s="377"/>
      <c r="F13" s="377"/>
      <c r="G13" s="377"/>
      <c r="H13" s="377"/>
      <c r="I13" s="377"/>
      <c r="J13" s="377"/>
      <c r="K13" s="377"/>
      <c r="L13" s="377"/>
      <c r="M13" s="377"/>
      <c r="N13" s="377"/>
      <c r="O13" s="377"/>
      <c r="P13" s="377"/>
      <c r="Q13" s="377"/>
      <c r="R13" s="377"/>
      <c r="S13" s="377"/>
      <c r="T13" s="377"/>
      <c r="U13" s="378"/>
      <c r="V13" s="378"/>
      <c r="W13" s="378"/>
      <c r="X13" s="378"/>
      <c r="Y13" s="216">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3" s="381">
        <f t="shared" si="0"/>
      </c>
      <c r="AA13" s="382">
        <f t="shared" si="1"/>
      </c>
      <c r="AB13" s="379"/>
      <c r="AC13" s="377"/>
      <c r="AD13" s="377"/>
      <c r="AE13" s="377"/>
      <c r="AF13" s="377"/>
      <c r="AG13" s="377"/>
      <c r="AH13" s="377"/>
      <c r="AI13" s="377"/>
      <c r="AJ13" s="377"/>
      <c r="AK13" s="377"/>
      <c r="AL13" s="377"/>
      <c r="AM13" s="377"/>
      <c r="AN13" s="377"/>
      <c r="AO13" s="378"/>
      <c r="AP13" s="378"/>
      <c r="AQ13" s="216">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3" s="381">
        <f t="shared" si="2"/>
      </c>
      <c r="AS13" s="382">
        <f t="shared" si="3"/>
      </c>
      <c r="AT13" s="377"/>
      <c r="AU13" s="378"/>
      <c r="AV13" s="383"/>
      <c r="AW13" s="362">
        <f t="shared" si="4"/>
      </c>
      <c r="AX13" s="362">
        <f t="shared" si="5"/>
      </c>
      <c r="AY13" s="362">
        <f t="shared" si="6"/>
      </c>
      <c r="AZ13" s="381">
        <f t="shared" si="7"/>
      </c>
      <c r="BA13" s="384">
        <f t="shared" si="8"/>
      </c>
      <c r="BB13" s="429"/>
      <c r="BC13" s="362">
        <f t="shared" si="9"/>
      </c>
      <c r="BD13" s="430">
        <f t="shared" si="10"/>
      </c>
      <c r="BE13" s="372">
        <f t="shared" si="11"/>
      </c>
      <c r="BF13" s="373">
        <f>IF(OR(AA13="Error",AS13="Error",BA13="Error",BD13="Error"),"Error",
 IF(D13="","",
 IF(AND(N($AA$6)+N($AS$6)+N($BA$7)=100%,
 OR(N($AA$6)=0,AA13&lt;&gt;""),OR(N($AS$6)=0,AS13&lt;&gt;""),OR(N($BA$7)=0,BA13&lt;&gt;""),BE13&lt;&gt;""),
 _xlfn.XLOOKUP(BE13,'Helper 1'!$B$3:$B$43,'Helper 1'!$D$3:$D$43,,-1),"")))</f>
      </c>
      <c r="BG13" s="374">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4" ht="15.95" customHeight="1" spans="2:59" x14ac:dyDescent="0.25">
      <c r="B14" s="305">
        <v>6</v>
      </c>
      <c r="C14" s="375">
        <f>IF('Data Input'!M12="","",'Data Input'!M12)</f>
        <v>2000504370</v>
      </c>
      <c r="D14" s="376" t="str">
        <f>IF(ISBLANK('Data Input'!N12),"",PROPER('Data Input'!N12))</f>
        <v>Borja, Greedy</v>
      </c>
      <c r="E14" s="377"/>
      <c r="F14" s="377"/>
      <c r="G14" s="377"/>
      <c r="H14" s="377"/>
      <c r="I14" s="377"/>
      <c r="J14" s="377"/>
      <c r="K14" s="377"/>
      <c r="L14" s="377"/>
      <c r="M14" s="377"/>
      <c r="N14" s="377"/>
      <c r="O14" s="377"/>
      <c r="P14" s="377"/>
      <c r="Q14" s="377"/>
      <c r="R14" s="377"/>
      <c r="S14" s="377"/>
      <c r="T14" s="377"/>
      <c r="U14" s="378"/>
      <c r="V14" s="378"/>
      <c r="W14" s="378"/>
      <c r="X14" s="378"/>
      <c r="Y14" s="216">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4" s="381">
        <f t="shared" si="0"/>
      </c>
      <c r="AA14" s="382">
        <f t="shared" si="1"/>
      </c>
      <c r="AB14" s="379"/>
      <c r="AC14" s="377"/>
      <c r="AD14" s="377"/>
      <c r="AE14" s="377"/>
      <c r="AF14" s="377"/>
      <c r="AG14" s="377"/>
      <c r="AH14" s="377"/>
      <c r="AI14" s="377"/>
      <c r="AJ14" s="377"/>
      <c r="AK14" s="377"/>
      <c r="AL14" s="377"/>
      <c r="AM14" s="377"/>
      <c r="AN14" s="377"/>
      <c r="AO14" s="378"/>
      <c r="AP14" s="378"/>
      <c r="AQ14" s="216">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4" s="381">
        <f t="shared" si="2"/>
      </c>
      <c r="AS14" s="382">
        <f t="shared" si="3"/>
      </c>
      <c r="AT14" s="377"/>
      <c r="AU14" s="378"/>
      <c r="AV14" s="383"/>
      <c r="AW14" s="362">
        <f t="shared" si="4"/>
      </c>
      <c r="AX14" s="362">
        <f t="shared" si="5"/>
      </c>
      <c r="AY14" s="362">
        <f t="shared" si="6"/>
      </c>
      <c r="AZ14" s="381">
        <f t="shared" si="7"/>
      </c>
      <c r="BA14" s="384">
        <f t="shared" si="8"/>
      </c>
      <c r="BB14" s="429"/>
      <c r="BC14" s="362">
        <f t="shared" si="9"/>
      </c>
      <c r="BD14" s="430">
        <f t="shared" si="10"/>
      </c>
      <c r="BE14" s="372">
        <f t="shared" si="11"/>
      </c>
      <c r="BF14" s="373">
        <f>IF(OR(AA14="Error",AS14="Error",BA14="Error",BD14="Error"),"Error",
 IF(D14="","",
 IF(AND(N($AA$6)+N($AS$6)+N($BA$7)=100%,
 OR(N($AA$6)=0,AA14&lt;&gt;""),OR(N($AS$6)=0,AS14&lt;&gt;""),OR(N($BA$7)=0,BA14&lt;&gt;""),BE14&lt;&gt;""),
 _xlfn.XLOOKUP(BE14,'Helper 1'!$B$3:$B$43,'Helper 1'!$D$3:$D$43,,-1),"")))</f>
      </c>
      <c r="BG14" s="374">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5" ht="15.95" customHeight="1" spans="2:59" x14ac:dyDescent="0.25">
      <c r="B15" s="305">
        <v>7</v>
      </c>
      <c r="C15" s="375">
        <f>IF('Data Input'!M13="","",'Data Input'!M13)</f>
        <v>2000480420</v>
      </c>
      <c r="D15" s="376" t="str">
        <f>IF(ISBLANK('Data Input'!N13),"",PROPER('Data Input'!N13))</f>
        <v>Cabalquinto, Juvy</v>
      </c>
      <c r="E15" s="377"/>
      <c r="F15" s="377"/>
      <c r="G15" s="377"/>
      <c r="H15" s="377"/>
      <c r="I15" s="377"/>
      <c r="J15" s="377"/>
      <c r="K15" s="377"/>
      <c r="L15" s="377"/>
      <c r="M15" s="377"/>
      <c r="N15" s="377"/>
      <c r="O15" s="377"/>
      <c r="P15" s="377"/>
      <c r="Q15" s="377"/>
      <c r="R15" s="377"/>
      <c r="S15" s="377"/>
      <c r="T15" s="377"/>
      <c r="U15" s="378"/>
      <c r="V15" s="378"/>
      <c r="W15" s="378"/>
      <c r="X15" s="378"/>
      <c r="Y15" s="216">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5" s="381">
        <f t="shared" si="0"/>
      </c>
      <c r="AA15" s="382">
        <f t="shared" si="1"/>
      </c>
      <c r="AB15" s="379"/>
      <c r="AC15" s="377"/>
      <c r="AD15" s="377"/>
      <c r="AE15" s="377"/>
      <c r="AF15" s="377"/>
      <c r="AG15" s="377"/>
      <c r="AH15" s="377"/>
      <c r="AI15" s="377"/>
      <c r="AJ15" s="377"/>
      <c r="AK15" s="377"/>
      <c r="AL15" s="377"/>
      <c r="AM15" s="377"/>
      <c r="AN15" s="377"/>
      <c r="AO15" s="378"/>
      <c r="AP15" s="378"/>
      <c r="AQ15" s="216">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5" s="381">
        <f t="shared" si="2"/>
      </c>
      <c r="AS15" s="382">
        <f t="shared" si="3"/>
      </c>
      <c r="AT15" s="377"/>
      <c r="AU15" s="378"/>
      <c r="AV15" s="383"/>
      <c r="AW15" s="362">
        <f t="shared" si="4"/>
      </c>
      <c r="AX15" s="362">
        <f t="shared" si="5"/>
      </c>
      <c r="AY15" s="362">
        <f t="shared" si="6"/>
      </c>
      <c r="AZ15" s="381">
        <f t="shared" si="7"/>
      </c>
      <c r="BA15" s="384">
        <f t="shared" si="8"/>
      </c>
      <c r="BB15" s="429"/>
      <c r="BC15" s="362">
        <f t="shared" si="9"/>
      </c>
      <c r="BD15" s="430">
        <f t="shared" si="10"/>
      </c>
      <c r="BE15" s="372">
        <f t="shared" si="11"/>
      </c>
      <c r="BF15" s="373">
        <f>IF(OR(AA15="Error",AS15="Error",BA15="Error",BD15="Error"),"Error",
 IF(D15="","",
 IF(AND(N($AA$6)+N($AS$6)+N($BA$7)=100%,
 OR(N($AA$6)=0,AA15&lt;&gt;""),OR(N($AS$6)=0,AS15&lt;&gt;""),OR(N($BA$7)=0,BA15&lt;&gt;""),BE15&lt;&gt;""),
 _xlfn.XLOOKUP(BE15,'Helper 1'!$B$3:$B$43,'Helper 1'!$D$3:$D$43,,-1),"")))</f>
      </c>
      <c r="BG15" s="374">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6" ht="15.95" customHeight="1" spans="2:59" x14ac:dyDescent="0.25">
      <c r="B16" s="305">
        <v>8</v>
      </c>
      <c r="C16" s="375">
        <f>IF('Data Input'!M14="","",'Data Input'!M14)</f>
        <v>2000487004</v>
      </c>
      <c r="D16" s="376" t="str">
        <f>IF(ISBLANK('Data Input'!N14),"",PROPER('Data Input'!N14))</f>
        <v>Conlu, Marc Jeffrey</v>
      </c>
      <c r="E16" s="377"/>
      <c r="F16" s="377"/>
      <c r="G16" s="377"/>
      <c r="H16" s="377"/>
      <c r="I16" s="377"/>
      <c r="J16" s="377"/>
      <c r="K16" s="377"/>
      <c r="L16" s="377"/>
      <c r="M16" s="377"/>
      <c r="N16" s="377"/>
      <c r="O16" s="377"/>
      <c r="P16" s="377"/>
      <c r="Q16" s="377"/>
      <c r="R16" s="377"/>
      <c r="S16" s="377"/>
      <c r="T16" s="377"/>
      <c r="U16" s="378"/>
      <c r="V16" s="378"/>
      <c r="W16" s="378"/>
      <c r="X16" s="378"/>
      <c r="Y16" s="216">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6" s="381">
        <f t="shared" si="0"/>
      </c>
      <c r="AA16" s="382">
        <f t="shared" si="1"/>
      </c>
      <c r="AB16" s="379"/>
      <c r="AC16" s="377"/>
      <c r="AD16" s="377"/>
      <c r="AE16" s="377"/>
      <c r="AF16" s="377"/>
      <c r="AG16" s="377"/>
      <c r="AH16" s="377"/>
      <c r="AI16" s="377"/>
      <c r="AJ16" s="377"/>
      <c r="AK16" s="377"/>
      <c r="AL16" s="377"/>
      <c r="AM16" s="377"/>
      <c r="AN16" s="377"/>
      <c r="AO16" s="378"/>
      <c r="AP16" s="378"/>
      <c r="AQ16" s="216">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6" s="381">
        <f t="shared" si="2"/>
      </c>
      <c r="AS16" s="382">
        <f t="shared" si="3"/>
      </c>
      <c r="AT16" s="377"/>
      <c r="AU16" s="378"/>
      <c r="AV16" s="383"/>
      <c r="AW16" s="362">
        <f t="shared" si="4"/>
      </c>
      <c r="AX16" s="362">
        <f t="shared" si="5"/>
      </c>
      <c r="AY16" s="362">
        <f t="shared" si="6"/>
      </c>
      <c r="AZ16" s="381">
        <f t="shared" si="7"/>
      </c>
      <c r="BA16" s="384">
        <f t="shared" si="8"/>
      </c>
      <c r="BB16" s="429"/>
      <c r="BC16" s="362">
        <f t="shared" si="9"/>
      </c>
      <c r="BD16" s="430">
        <f t="shared" si="10"/>
      </c>
      <c r="BE16" s="372">
        <f t="shared" si="11"/>
      </c>
      <c r="BF16" s="373">
        <f>IF(OR(AA16="Error",AS16="Error",BA16="Error",BD16="Error"),"Error",
 IF(D16="","",
 IF(AND(N($AA$6)+N($AS$6)+N($BA$7)=100%,
 OR(N($AA$6)=0,AA16&lt;&gt;""),OR(N($AS$6)=0,AS16&lt;&gt;""),OR(N($BA$7)=0,BA16&lt;&gt;""),BE16&lt;&gt;""),
 _xlfn.XLOOKUP(BE16,'Helper 1'!$B$3:$B$43,'Helper 1'!$D$3:$D$43,,-1),"")))</f>
      </c>
      <c r="BG16" s="374">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7" ht="15.95" customHeight="1" spans="2:59" x14ac:dyDescent="0.25">
      <c r="B17" s="305">
        <v>9</v>
      </c>
      <c r="C17" s="375">
        <f>IF('Data Input'!M15="","",'Data Input'!M15)</f>
        <v>2000488434</v>
      </c>
      <c r="D17" s="376" t="str">
        <f>IF(ISBLANK('Data Input'!N15),"",PROPER('Data Input'!N15))</f>
        <v>De Luna, Felicity Ryne</v>
      </c>
      <c r="E17" s="377"/>
      <c r="F17" s="377"/>
      <c r="G17" s="377"/>
      <c r="H17" s="377"/>
      <c r="I17" s="377"/>
      <c r="J17" s="377"/>
      <c r="K17" s="377"/>
      <c r="L17" s="377"/>
      <c r="M17" s="377"/>
      <c r="N17" s="377"/>
      <c r="O17" s="377"/>
      <c r="P17" s="377"/>
      <c r="Q17" s="377"/>
      <c r="R17" s="377"/>
      <c r="S17" s="377"/>
      <c r="T17" s="377"/>
      <c r="U17" s="378"/>
      <c r="V17" s="378"/>
      <c r="W17" s="378"/>
      <c r="X17" s="378"/>
      <c r="Y17" s="216">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7" s="381">
        <f t="shared" si="0"/>
      </c>
      <c r="AA17" s="382">
        <f t="shared" si="1"/>
      </c>
      <c r="AB17" s="379"/>
      <c r="AC17" s="377"/>
      <c r="AD17" s="377"/>
      <c r="AE17" s="377"/>
      <c r="AF17" s="377"/>
      <c r="AG17" s="377"/>
      <c r="AH17" s="377"/>
      <c r="AI17" s="377"/>
      <c r="AJ17" s="377"/>
      <c r="AK17" s="377"/>
      <c r="AL17" s="377"/>
      <c r="AM17" s="377"/>
      <c r="AN17" s="377"/>
      <c r="AO17" s="378"/>
      <c r="AP17" s="378"/>
      <c r="AQ17" s="216">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7" s="381">
        <f t="shared" si="2"/>
      </c>
      <c r="AS17" s="382">
        <f t="shared" si="3"/>
      </c>
      <c r="AT17" s="377"/>
      <c r="AU17" s="378"/>
      <c r="AV17" s="383"/>
      <c r="AW17" s="362">
        <f t="shared" si="4"/>
      </c>
      <c r="AX17" s="362">
        <f t="shared" si="5"/>
      </c>
      <c r="AY17" s="362">
        <f t="shared" si="6"/>
      </c>
      <c r="AZ17" s="381">
        <f t="shared" si="7"/>
      </c>
      <c r="BA17" s="384">
        <f t="shared" si="8"/>
      </c>
      <c r="BB17" s="429"/>
      <c r="BC17" s="362">
        <f t="shared" si="9"/>
      </c>
      <c r="BD17" s="430">
        <f t="shared" si="10"/>
      </c>
      <c r="BE17" s="372">
        <f t="shared" si="11"/>
      </c>
      <c r="BF17" s="373">
        <f>IF(OR(AA17="Error",AS17="Error",BA17="Error",BD17="Error"),"Error",
 IF(D17="","",
 IF(AND(N($AA$6)+N($AS$6)+N($BA$7)=100%,
 OR(N($AA$6)=0,AA17&lt;&gt;""),OR(N($AS$6)=0,AS17&lt;&gt;""),OR(N($BA$7)=0,BA17&lt;&gt;""),BE17&lt;&gt;""),
 _xlfn.XLOOKUP(BE17,'Helper 1'!$B$3:$B$43,'Helper 1'!$D$3:$D$43,,-1),"")))</f>
      </c>
      <c r="BG17" s="374">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8" ht="15.95" customHeight="1" spans="2:59" x14ac:dyDescent="0.25">
      <c r="B18" s="305">
        <v>10</v>
      </c>
      <c r="C18" s="375">
        <f>IF('Data Input'!M16="","",'Data Input'!M16)</f>
        <v>2000485973</v>
      </c>
      <c r="D18" s="376" t="str">
        <f>IF(ISBLANK('Data Input'!N16),"",PROPER('Data Input'!N16))</f>
        <v>Delos Reyes, Gavin Zue</v>
      </c>
      <c r="E18" s="377"/>
      <c r="F18" s="377"/>
      <c r="G18" s="377"/>
      <c r="H18" s="377"/>
      <c r="I18" s="377"/>
      <c r="J18" s="377"/>
      <c r="K18" s="377"/>
      <c r="L18" s="377"/>
      <c r="M18" s="377"/>
      <c r="N18" s="377"/>
      <c r="O18" s="377"/>
      <c r="P18" s="377"/>
      <c r="Q18" s="377"/>
      <c r="R18" s="377"/>
      <c r="S18" s="377"/>
      <c r="T18" s="377"/>
      <c r="U18" s="378"/>
      <c r="V18" s="378"/>
      <c r="W18" s="378"/>
      <c r="X18" s="378"/>
      <c r="Y18" s="216">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8" s="381">
        <f t="shared" si="0"/>
      </c>
      <c r="AA18" s="382">
        <f t="shared" si="1"/>
      </c>
      <c r="AB18" s="379"/>
      <c r="AC18" s="377"/>
      <c r="AD18" s="377"/>
      <c r="AE18" s="377"/>
      <c r="AF18" s="377"/>
      <c r="AG18" s="377"/>
      <c r="AH18" s="377"/>
      <c r="AI18" s="377"/>
      <c r="AJ18" s="377"/>
      <c r="AK18" s="377"/>
      <c r="AL18" s="377"/>
      <c r="AM18" s="377"/>
      <c r="AN18" s="377"/>
      <c r="AO18" s="378"/>
      <c r="AP18" s="378"/>
      <c r="AQ18" s="216">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8" s="381">
        <f t="shared" si="2"/>
      </c>
      <c r="AS18" s="382">
        <f t="shared" si="3"/>
      </c>
      <c r="AT18" s="377"/>
      <c r="AU18" s="378"/>
      <c r="AV18" s="383"/>
      <c r="AW18" s="362">
        <f t="shared" si="4"/>
      </c>
      <c r="AX18" s="362">
        <f t="shared" si="5"/>
      </c>
      <c r="AY18" s="362">
        <f t="shared" si="6"/>
      </c>
      <c r="AZ18" s="381">
        <f t="shared" si="7"/>
      </c>
      <c r="BA18" s="384">
        <f t="shared" si="8"/>
      </c>
      <c r="BB18" s="429"/>
      <c r="BC18" s="362">
        <f t="shared" si="9"/>
      </c>
      <c r="BD18" s="430">
        <f t="shared" si="10"/>
      </c>
      <c r="BE18" s="372">
        <f t="shared" si="11"/>
      </c>
      <c r="BF18" s="373">
        <f>IF(OR(AA18="Error",AS18="Error",BA18="Error",BD18="Error"),"Error",
 IF(D18="","",
 IF(AND(N($AA$6)+N($AS$6)+N($BA$7)=100%,
 OR(N($AA$6)=0,AA18&lt;&gt;""),OR(N($AS$6)=0,AS18&lt;&gt;""),OR(N($BA$7)=0,BA18&lt;&gt;""),BE18&lt;&gt;""),
 _xlfn.XLOOKUP(BE18,'Helper 1'!$B$3:$B$43,'Helper 1'!$D$3:$D$43,,-1),"")))</f>
      </c>
      <c r="BG18" s="374">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9" ht="15.95" customHeight="1" spans="2:59" x14ac:dyDescent="0.25">
      <c r="B19" s="305">
        <v>11</v>
      </c>
      <c r="C19" s="375">
        <f>IF('Data Input'!M17="","",'Data Input'!M17)</f>
        <v>2000486374</v>
      </c>
      <c r="D19" s="376" t="str">
        <f>IF(ISBLANK('Data Input'!N17),"",PROPER('Data Input'!N17))</f>
        <v>Dianela, Mary Diane</v>
      </c>
      <c r="E19" s="377"/>
      <c r="F19" s="377"/>
      <c r="G19" s="377"/>
      <c r="H19" s="377"/>
      <c r="I19" s="377"/>
      <c r="J19" s="377"/>
      <c r="K19" s="377"/>
      <c r="L19" s="377"/>
      <c r="M19" s="377"/>
      <c r="N19" s="377"/>
      <c r="O19" s="377"/>
      <c r="P19" s="377"/>
      <c r="Q19" s="377"/>
      <c r="R19" s="377"/>
      <c r="S19" s="377"/>
      <c r="T19" s="377"/>
      <c r="U19" s="378"/>
      <c r="V19" s="378"/>
      <c r="W19" s="378"/>
      <c r="X19" s="378"/>
      <c r="Y19" s="216">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9" s="381">
        <f t="shared" si="0"/>
      </c>
      <c r="AA19" s="382">
        <f t="shared" si="1"/>
      </c>
      <c r="AB19" s="379"/>
      <c r="AC19" s="377"/>
      <c r="AD19" s="377"/>
      <c r="AE19" s="377"/>
      <c r="AF19" s="377"/>
      <c r="AG19" s="377"/>
      <c r="AH19" s="377"/>
      <c r="AI19" s="377"/>
      <c r="AJ19" s="377"/>
      <c r="AK19" s="377"/>
      <c r="AL19" s="377"/>
      <c r="AM19" s="377"/>
      <c r="AN19" s="377"/>
      <c r="AO19" s="378"/>
      <c r="AP19" s="378"/>
      <c r="AQ19" s="216">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9" s="381">
        <f t="shared" si="2"/>
      </c>
      <c r="AS19" s="382">
        <f t="shared" si="3"/>
      </c>
      <c r="AT19" s="377"/>
      <c r="AU19" s="378"/>
      <c r="AV19" s="383"/>
      <c r="AW19" s="362">
        <f t="shared" si="4"/>
      </c>
      <c r="AX19" s="362">
        <f t="shared" si="5"/>
      </c>
      <c r="AY19" s="362">
        <f t="shared" si="6"/>
      </c>
      <c r="AZ19" s="381">
        <f t="shared" si="7"/>
      </c>
      <c r="BA19" s="384">
        <f t="shared" si="8"/>
      </c>
      <c r="BB19" s="429"/>
      <c r="BC19" s="362">
        <f t="shared" si="9"/>
      </c>
      <c r="BD19" s="430">
        <f t="shared" si="10"/>
      </c>
      <c r="BE19" s="372">
        <f t="shared" si="11"/>
      </c>
      <c r="BF19" s="373">
        <f>IF(OR(AA19="Error",AS19="Error",BA19="Error",BD19="Error"),"Error",
 IF(D19="","",
 IF(AND(N($AA$6)+N($AS$6)+N($BA$7)=100%,
 OR(N($AA$6)=0,AA19&lt;&gt;""),OR(N($AS$6)=0,AS19&lt;&gt;""),OR(N($BA$7)=0,BA19&lt;&gt;""),BE19&lt;&gt;""),
 _xlfn.XLOOKUP(BE19,'Helper 1'!$B$3:$B$43,'Helper 1'!$D$3:$D$43,,-1),"")))</f>
      </c>
      <c r="BG19" s="374">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0" ht="15.95" customHeight="1" spans="2:59" x14ac:dyDescent="0.25">
      <c r="B20" s="305">
        <v>12</v>
      </c>
      <c r="C20" s="375">
        <f>IF('Data Input'!M18="","",'Data Input'!M18)</f>
        <v>2000486376</v>
      </c>
      <c r="D20" s="376" t="str">
        <f>IF(ISBLANK('Data Input'!N18),"",PROPER('Data Input'!N18))</f>
        <v>Dikit, Jon Juin</v>
      </c>
      <c r="E20" s="377"/>
      <c r="F20" s="377"/>
      <c r="G20" s="377"/>
      <c r="H20" s="377"/>
      <c r="I20" s="377"/>
      <c r="J20" s="377"/>
      <c r="K20" s="377"/>
      <c r="L20" s="377"/>
      <c r="M20" s="377"/>
      <c r="N20" s="377"/>
      <c r="O20" s="377"/>
      <c r="P20" s="377"/>
      <c r="Q20" s="377"/>
      <c r="R20" s="377"/>
      <c r="S20" s="377"/>
      <c r="T20" s="377"/>
      <c r="U20" s="378"/>
      <c r="V20" s="378"/>
      <c r="W20" s="378"/>
      <c r="X20" s="378"/>
      <c r="Y20" s="216">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0" s="381">
        <f t="shared" si="0"/>
      </c>
      <c r="AA20" s="382">
        <f t="shared" si="1"/>
      </c>
      <c r="AB20" s="379"/>
      <c r="AC20" s="377"/>
      <c r="AD20" s="377"/>
      <c r="AE20" s="377"/>
      <c r="AF20" s="377"/>
      <c r="AG20" s="377"/>
      <c r="AH20" s="377"/>
      <c r="AI20" s="377"/>
      <c r="AJ20" s="377"/>
      <c r="AK20" s="377"/>
      <c r="AL20" s="377"/>
      <c r="AM20" s="377"/>
      <c r="AN20" s="377"/>
      <c r="AO20" s="378"/>
      <c r="AP20" s="378"/>
      <c r="AQ20" s="216">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0" s="381">
        <f t="shared" si="2"/>
      </c>
      <c r="AS20" s="382">
        <f t="shared" si="3"/>
      </c>
      <c r="AT20" s="377"/>
      <c r="AU20" s="378"/>
      <c r="AV20" s="383"/>
      <c r="AW20" s="362">
        <f t="shared" si="4"/>
      </c>
      <c r="AX20" s="362">
        <f t="shared" si="5"/>
      </c>
      <c r="AY20" s="362">
        <f t="shared" si="6"/>
      </c>
      <c r="AZ20" s="381">
        <f t="shared" si="7"/>
      </c>
      <c r="BA20" s="384">
        <f t="shared" si="8"/>
      </c>
      <c r="BB20" s="429"/>
      <c r="BC20" s="362">
        <f t="shared" si="9"/>
      </c>
      <c r="BD20" s="430">
        <f t="shared" si="10"/>
      </c>
      <c r="BE20" s="372">
        <f t="shared" si="11"/>
      </c>
      <c r="BF20" s="373">
        <f>IF(OR(AA20="Error",AS20="Error",BA20="Error",BD20="Error"),"Error",
 IF(D20="","",
 IF(AND(N($AA$6)+N($AS$6)+N($BA$7)=100%,
 OR(N($AA$6)=0,AA20&lt;&gt;""),OR(N($AS$6)=0,AS20&lt;&gt;""),OR(N($BA$7)=0,BA20&lt;&gt;""),BE20&lt;&gt;""),
 _xlfn.XLOOKUP(BE20,'Helper 1'!$B$3:$B$43,'Helper 1'!$D$3:$D$43,,-1),"")))</f>
      </c>
      <c r="BG20" s="374">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1" ht="15.95" customHeight="1" spans="2:59" x14ac:dyDescent="0.25">
      <c r="B21" s="305">
        <v>13</v>
      </c>
      <c r="C21" s="375">
        <f>IF('Data Input'!M19="","",'Data Input'!M19)</f>
        <v>2000490030</v>
      </c>
      <c r="D21" s="376" t="str">
        <f>IF(ISBLANK('Data Input'!N19),"",PROPER('Data Input'!N19))</f>
        <v>Estor, Phoeb Remedios</v>
      </c>
      <c r="E21" s="377"/>
      <c r="F21" s="377"/>
      <c r="G21" s="377"/>
      <c r="H21" s="377"/>
      <c r="I21" s="377"/>
      <c r="J21" s="377"/>
      <c r="K21" s="377"/>
      <c r="L21" s="377"/>
      <c r="M21" s="377"/>
      <c r="N21" s="377"/>
      <c r="O21" s="377"/>
      <c r="P21" s="377"/>
      <c r="Q21" s="377"/>
      <c r="R21" s="377"/>
      <c r="S21" s="377"/>
      <c r="T21" s="377"/>
      <c r="U21" s="378"/>
      <c r="V21" s="378"/>
      <c r="W21" s="378"/>
      <c r="X21" s="378"/>
      <c r="Y21" s="216">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1" s="381">
        <f t="shared" si="0"/>
      </c>
      <c r="AA21" s="382">
        <f t="shared" si="1"/>
      </c>
      <c r="AB21" s="379"/>
      <c r="AC21" s="377"/>
      <c r="AD21" s="377"/>
      <c r="AE21" s="377"/>
      <c r="AF21" s="377"/>
      <c r="AG21" s="377"/>
      <c r="AH21" s="377"/>
      <c r="AI21" s="377"/>
      <c r="AJ21" s="377"/>
      <c r="AK21" s="377"/>
      <c r="AL21" s="377"/>
      <c r="AM21" s="377"/>
      <c r="AN21" s="377"/>
      <c r="AO21" s="378"/>
      <c r="AP21" s="378"/>
      <c r="AQ21" s="216">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1" s="381">
        <f t="shared" si="2"/>
      </c>
      <c r="AS21" s="382">
        <f t="shared" si="3"/>
      </c>
      <c r="AT21" s="377"/>
      <c r="AU21" s="378"/>
      <c r="AV21" s="383"/>
      <c r="AW21" s="362">
        <f t="shared" si="4"/>
      </c>
      <c r="AX21" s="362">
        <f t="shared" si="5"/>
      </c>
      <c r="AY21" s="362">
        <f t="shared" si="6"/>
      </c>
      <c r="AZ21" s="381">
        <f t="shared" si="7"/>
      </c>
      <c r="BA21" s="384">
        <f t="shared" si="8"/>
      </c>
      <c r="BB21" s="429"/>
      <c r="BC21" s="362">
        <f t="shared" si="9"/>
      </c>
      <c r="BD21" s="430">
        <f t="shared" si="10"/>
      </c>
      <c r="BE21" s="372">
        <f t="shared" si="11"/>
      </c>
      <c r="BF21" s="373">
        <f>IF(OR(AA21="Error",AS21="Error",BA21="Error",BD21="Error"),"Error",
 IF(D21="","",
 IF(AND(N($AA$6)+N($AS$6)+N($BA$7)=100%,
 OR(N($AA$6)=0,AA21&lt;&gt;""),OR(N($AS$6)=0,AS21&lt;&gt;""),OR(N($BA$7)=0,BA21&lt;&gt;""),BE21&lt;&gt;""),
 _xlfn.XLOOKUP(BE21,'Helper 1'!$B$3:$B$43,'Helper 1'!$D$3:$D$43,,-1),"")))</f>
      </c>
      <c r="BG21" s="374">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2" ht="15.95" customHeight="1" spans="2:59" x14ac:dyDescent="0.25">
      <c r="B22" s="305">
        <v>14</v>
      </c>
      <c r="C22" s="375">
        <f>IF('Data Input'!M20="","",'Data Input'!M20)</f>
        <v>2000498660</v>
      </c>
      <c r="D22" s="376" t="str">
        <f>IF(ISBLANK('Data Input'!N20),"",PROPER('Data Input'!N20))</f>
        <v>Estoria, John Kyle Timothy</v>
      </c>
      <c r="E22" s="377"/>
      <c r="F22" s="377"/>
      <c r="G22" s="377"/>
      <c r="H22" s="377"/>
      <c r="I22" s="377"/>
      <c r="J22" s="377"/>
      <c r="K22" s="377"/>
      <c r="L22" s="377"/>
      <c r="M22" s="377"/>
      <c r="N22" s="377"/>
      <c r="O22" s="377"/>
      <c r="P22" s="377"/>
      <c r="Q22" s="377"/>
      <c r="R22" s="377"/>
      <c r="S22" s="377"/>
      <c r="T22" s="377"/>
      <c r="U22" s="378"/>
      <c r="V22" s="378"/>
      <c r="W22" s="378"/>
      <c r="X22" s="378"/>
      <c r="Y22" s="216">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2" s="381">
        <f t="shared" si="0"/>
      </c>
      <c r="AA22" s="382">
        <f t="shared" si="1"/>
      </c>
      <c r="AB22" s="379"/>
      <c r="AC22" s="377"/>
      <c r="AD22" s="377"/>
      <c r="AE22" s="377"/>
      <c r="AF22" s="377"/>
      <c r="AG22" s="377"/>
      <c r="AH22" s="377"/>
      <c r="AI22" s="377"/>
      <c r="AJ22" s="377"/>
      <c r="AK22" s="377"/>
      <c r="AL22" s="377"/>
      <c r="AM22" s="377"/>
      <c r="AN22" s="377"/>
      <c r="AO22" s="378"/>
      <c r="AP22" s="378"/>
      <c r="AQ22" s="216">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2" s="381">
        <f t="shared" si="2"/>
      </c>
      <c r="AS22" s="382">
        <f t="shared" si="3"/>
      </c>
      <c r="AT22" s="377"/>
      <c r="AU22" s="378"/>
      <c r="AV22" s="383"/>
      <c r="AW22" s="362">
        <f t="shared" si="4"/>
      </c>
      <c r="AX22" s="362">
        <f t="shared" si="5"/>
      </c>
      <c r="AY22" s="362">
        <f t="shared" si="6"/>
      </c>
      <c r="AZ22" s="381">
        <f t="shared" si="7"/>
      </c>
      <c r="BA22" s="384">
        <f t="shared" si="8"/>
      </c>
      <c r="BB22" s="429"/>
      <c r="BC22" s="362">
        <f t="shared" si="9"/>
      </c>
      <c r="BD22" s="430">
        <f t="shared" si="10"/>
      </c>
      <c r="BE22" s="372">
        <f t="shared" si="11"/>
      </c>
      <c r="BF22" s="373">
        <f>IF(OR(AA22="Error",AS22="Error",BA22="Error",BD22="Error"),"Error",
 IF(D22="","",
 IF(AND(N($AA$6)+N($AS$6)+N($BA$7)=100%,
 OR(N($AA$6)=0,AA22&lt;&gt;""),OR(N($AS$6)=0,AS22&lt;&gt;""),OR(N($BA$7)=0,BA22&lt;&gt;""),BE22&lt;&gt;""),
 _xlfn.XLOOKUP(BE22,'Helper 1'!$B$3:$B$43,'Helper 1'!$D$3:$D$43,,-1),"")))</f>
      </c>
      <c r="BG22" s="374">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3" ht="15.95" customHeight="1" spans="2:59" x14ac:dyDescent="0.25">
      <c r="B23" s="305">
        <v>15</v>
      </c>
      <c r="C23" s="375">
        <f>IF('Data Input'!M21="","",'Data Input'!M21)</f>
        <v>2000485981</v>
      </c>
      <c r="D23" s="376" t="str">
        <f>IF(ISBLANK('Data Input'!N21),"",PROPER('Data Input'!N21))</f>
        <v>Garcia, Ariorie Ven Amher</v>
      </c>
      <c r="E23" s="377"/>
      <c r="F23" s="377"/>
      <c r="G23" s="377"/>
      <c r="H23" s="377"/>
      <c r="I23" s="377"/>
      <c r="J23" s="377"/>
      <c r="K23" s="377"/>
      <c r="L23" s="377"/>
      <c r="M23" s="377"/>
      <c r="N23" s="377"/>
      <c r="O23" s="377"/>
      <c r="P23" s="377"/>
      <c r="Q23" s="377"/>
      <c r="R23" s="377"/>
      <c r="S23" s="377"/>
      <c r="T23" s="377"/>
      <c r="U23" s="378"/>
      <c r="V23" s="378"/>
      <c r="W23" s="378"/>
      <c r="X23" s="378"/>
      <c r="Y23" s="216">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3" s="381">
        <f t="shared" si="0"/>
      </c>
      <c r="AA23" s="382">
        <f t="shared" si="1"/>
      </c>
      <c r="AB23" s="379"/>
      <c r="AC23" s="377"/>
      <c r="AD23" s="377"/>
      <c r="AE23" s="377"/>
      <c r="AF23" s="377"/>
      <c r="AG23" s="377"/>
      <c r="AH23" s="377"/>
      <c r="AI23" s="377"/>
      <c r="AJ23" s="377"/>
      <c r="AK23" s="377"/>
      <c r="AL23" s="377"/>
      <c r="AM23" s="377"/>
      <c r="AN23" s="377"/>
      <c r="AO23" s="378"/>
      <c r="AP23" s="378"/>
      <c r="AQ23" s="216">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3" s="381">
        <f t="shared" si="2"/>
      </c>
      <c r="AS23" s="382">
        <f t="shared" si="3"/>
      </c>
      <c r="AT23" s="377"/>
      <c r="AU23" s="378"/>
      <c r="AV23" s="383"/>
      <c r="AW23" s="362">
        <f t="shared" si="4"/>
      </c>
      <c r="AX23" s="362">
        <f t="shared" si="5"/>
      </c>
      <c r="AY23" s="362">
        <f t="shared" si="6"/>
      </c>
      <c r="AZ23" s="381">
        <f t="shared" si="7"/>
      </c>
      <c r="BA23" s="384">
        <f t="shared" si="8"/>
      </c>
      <c r="BB23" s="429"/>
      <c r="BC23" s="362">
        <f t="shared" si="9"/>
      </c>
      <c r="BD23" s="430">
        <f t="shared" si="10"/>
      </c>
      <c r="BE23" s="372">
        <f t="shared" si="11"/>
      </c>
      <c r="BF23" s="373">
        <f>IF(OR(AA23="Error",AS23="Error",BA23="Error",BD23="Error"),"Error",
 IF(D23="","",
 IF(AND(N($AA$6)+N($AS$6)+N($BA$7)=100%,
 OR(N($AA$6)=0,AA23&lt;&gt;""),OR(N($AS$6)=0,AS23&lt;&gt;""),OR(N($BA$7)=0,BA23&lt;&gt;""),BE23&lt;&gt;""),
 _xlfn.XLOOKUP(BE23,'Helper 1'!$B$3:$B$43,'Helper 1'!$D$3:$D$43,,-1),"")))</f>
      </c>
      <c r="BG23" s="374">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4" ht="15.95" customHeight="1" spans="2:59" x14ac:dyDescent="0.25">
      <c r="B24" s="305">
        <v>16</v>
      </c>
      <c r="C24" s="375">
        <f>IF('Data Input'!M22="","",'Data Input'!M22)</f>
        <v>2000499229</v>
      </c>
      <c r="D24" s="376" t="str">
        <f>IF(ISBLANK('Data Input'!N22),"",PROPER('Data Input'!N22))</f>
        <v>Gavino, Reisha Lorriane</v>
      </c>
      <c r="E24" s="377"/>
      <c r="F24" s="377"/>
      <c r="G24" s="377"/>
      <c r="H24" s="377"/>
      <c r="I24" s="377"/>
      <c r="J24" s="377"/>
      <c r="K24" s="377"/>
      <c r="L24" s="377"/>
      <c r="M24" s="377"/>
      <c r="N24" s="377"/>
      <c r="O24" s="377"/>
      <c r="P24" s="377"/>
      <c r="Q24" s="377"/>
      <c r="R24" s="377"/>
      <c r="S24" s="377"/>
      <c r="T24" s="377"/>
      <c r="U24" s="378"/>
      <c r="V24" s="378"/>
      <c r="W24" s="378"/>
      <c r="X24" s="378"/>
      <c r="Y24" s="216">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4" s="381">
        <f t="shared" si="0"/>
      </c>
      <c r="AA24" s="382">
        <f t="shared" si="1"/>
      </c>
      <c r="AB24" s="379"/>
      <c r="AC24" s="377"/>
      <c r="AD24" s="377"/>
      <c r="AE24" s="377"/>
      <c r="AF24" s="377"/>
      <c r="AG24" s="377"/>
      <c r="AH24" s="377"/>
      <c r="AI24" s="377"/>
      <c r="AJ24" s="377"/>
      <c r="AK24" s="377"/>
      <c r="AL24" s="377"/>
      <c r="AM24" s="377"/>
      <c r="AN24" s="377"/>
      <c r="AO24" s="378"/>
      <c r="AP24" s="378"/>
      <c r="AQ24" s="216">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4" s="381">
        <f t="shared" si="2"/>
      </c>
      <c r="AS24" s="382">
        <f t="shared" si="3"/>
      </c>
      <c r="AT24" s="377"/>
      <c r="AU24" s="378"/>
      <c r="AV24" s="383"/>
      <c r="AW24" s="362">
        <f t="shared" si="4"/>
      </c>
      <c r="AX24" s="362">
        <f t="shared" si="5"/>
      </c>
      <c r="AY24" s="362">
        <f t="shared" si="6"/>
      </c>
      <c r="AZ24" s="381">
        <f t="shared" si="7"/>
      </c>
      <c r="BA24" s="384">
        <f t="shared" si="8"/>
      </c>
      <c r="BB24" s="429"/>
      <c r="BC24" s="362">
        <f t="shared" si="9"/>
      </c>
      <c r="BD24" s="430">
        <f t="shared" si="10"/>
      </c>
      <c r="BE24" s="372">
        <f t="shared" si="11"/>
      </c>
      <c r="BF24" s="373">
        <f>IF(OR(AA24="Error",AS24="Error",BA24="Error",BD24="Error"),"Error",
 IF(D24="","",
 IF(AND(N($AA$6)+N($AS$6)+N($BA$7)=100%,
 OR(N($AA$6)=0,AA24&lt;&gt;""),OR(N($AS$6)=0,AS24&lt;&gt;""),OR(N($BA$7)=0,BA24&lt;&gt;""),BE24&lt;&gt;""),
 _xlfn.XLOOKUP(BE24,'Helper 1'!$B$3:$B$43,'Helper 1'!$D$3:$D$43,,-1),"")))</f>
      </c>
      <c r="BG24" s="374">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5" ht="15.95" customHeight="1" spans="2:59" x14ac:dyDescent="0.25">
      <c r="B25" s="305">
        <v>17</v>
      </c>
      <c r="C25" s="375">
        <f>IF('Data Input'!M23="","",'Data Input'!M23)</f>
        <v>2000481947</v>
      </c>
      <c r="D25" s="376" t="str">
        <f>IF(ISBLANK('Data Input'!N23),"",PROPER('Data Input'!N23))</f>
        <v>Jacobo, Ezra</v>
      </c>
      <c r="E25" s="377"/>
      <c r="F25" s="377"/>
      <c r="G25" s="377"/>
      <c r="H25" s="377"/>
      <c r="I25" s="377"/>
      <c r="J25" s="377"/>
      <c r="K25" s="377"/>
      <c r="L25" s="377"/>
      <c r="M25" s="377"/>
      <c r="N25" s="377"/>
      <c r="O25" s="377"/>
      <c r="P25" s="377"/>
      <c r="Q25" s="377"/>
      <c r="R25" s="377"/>
      <c r="S25" s="377"/>
      <c r="T25" s="377"/>
      <c r="U25" s="378"/>
      <c r="V25" s="378"/>
      <c r="W25" s="378"/>
      <c r="X25" s="378"/>
      <c r="Y25" s="216">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5" s="381">
        <f t="shared" si="0"/>
      </c>
      <c r="AA25" s="382">
        <f t="shared" si="1"/>
      </c>
      <c r="AB25" s="379"/>
      <c r="AC25" s="377"/>
      <c r="AD25" s="377"/>
      <c r="AE25" s="377"/>
      <c r="AF25" s="377"/>
      <c r="AG25" s="377"/>
      <c r="AH25" s="377"/>
      <c r="AI25" s="377"/>
      <c r="AJ25" s="377"/>
      <c r="AK25" s="377"/>
      <c r="AL25" s="377"/>
      <c r="AM25" s="377"/>
      <c r="AN25" s="377"/>
      <c r="AO25" s="378"/>
      <c r="AP25" s="378"/>
      <c r="AQ25" s="216">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5" s="381">
        <f t="shared" si="2"/>
      </c>
      <c r="AS25" s="382">
        <f t="shared" si="3"/>
      </c>
      <c r="AT25" s="377"/>
      <c r="AU25" s="378"/>
      <c r="AV25" s="383"/>
      <c r="AW25" s="362">
        <f t="shared" si="4"/>
      </c>
      <c r="AX25" s="362">
        <f t="shared" si="5"/>
      </c>
      <c r="AY25" s="362">
        <f t="shared" si="6"/>
      </c>
      <c r="AZ25" s="381">
        <f t="shared" si="7"/>
      </c>
      <c r="BA25" s="384">
        <f t="shared" si="8"/>
      </c>
      <c r="BB25" s="429"/>
      <c r="BC25" s="362">
        <f t="shared" si="9"/>
      </c>
      <c r="BD25" s="430">
        <f t="shared" si="10"/>
      </c>
      <c r="BE25" s="372">
        <f t="shared" si="11"/>
      </c>
      <c r="BF25" s="373">
        <f>IF(OR(AA25="Error",AS25="Error",BA25="Error",BD25="Error"),"Error",
 IF(D25="","",
 IF(AND(N($AA$6)+N($AS$6)+N($BA$7)=100%,
 OR(N($AA$6)=0,AA25&lt;&gt;""),OR(N($AS$6)=0,AS25&lt;&gt;""),OR(N($BA$7)=0,BA25&lt;&gt;""),BE25&lt;&gt;""),
 _xlfn.XLOOKUP(BE25,'Helper 1'!$B$3:$B$43,'Helper 1'!$D$3:$D$43,,-1),"")))</f>
      </c>
      <c r="BG25" s="374">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6" ht="15.95" customHeight="1" spans="2:59" x14ac:dyDescent="0.25">
      <c r="B26" s="305">
        <v>18</v>
      </c>
      <c r="C26" s="375">
        <f>IF('Data Input'!M24="","",'Data Input'!M24)</f>
        <v>2000488472</v>
      </c>
      <c r="D26" s="376" t="str">
        <f>IF(ISBLANK('Data Input'!N24),"",PROPER('Data Input'!N24))</f>
        <v>Jani, Joseph Louie</v>
      </c>
      <c r="E26" s="377"/>
      <c r="F26" s="377"/>
      <c r="G26" s="377"/>
      <c r="H26" s="377"/>
      <c r="I26" s="377"/>
      <c r="J26" s="377"/>
      <c r="K26" s="377"/>
      <c r="L26" s="377"/>
      <c r="M26" s="377"/>
      <c r="N26" s="377"/>
      <c r="O26" s="377"/>
      <c r="P26" s="377"/>
      <c r="Q26" s="377"/>
      <c r="R26" s="377"/>
      <c r="S26" s="377"/>
      <c r="T26" s="377"/>
      <c r="U26" s="378"/>
      <c r="V26" s="378"/>
      <c r="W26" s="378"/>
      <c r="X26" s="378"/>
      <c r="Y26" s="216">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6" s="381">
        <f t="shared" si="0"/>
      </c>
      <c r="AA26" s="382">
        <f t="shared" si="1"/>
      </c>
      <c r="AB26" s="379"/>
      <c r="AC26" s="377"/>
      <c r="AD26" s="377"/>
      <c r="AE26" s="377"/>
      <c r="AF26" s="377"/>
      <c r="AG26" s="377"/>
      <c r="AH26" s="377"/>
      <c r="AI26" s="377"/>
      <c r="AJ26" s="377"/>
      <c r="AK26" s="377"/>
      <c r="AL26" s="377"/>
      <c r="AM26" s="377"/>
      <c r="AN26" s="377"/>
      <c r="AO26" s="378"/>
      <c r="AP26" s="378"/>
      <c r="AQ26" s="216">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6" s="381">
        <f t="shared" si="2"/>
      </c>
      <c r="AS26" s="382">
        <f t="shared" si="3"/>
      </c>
      <c r="AT26" s="377"/>
      <c r="AU26" s="378"/>
      <c r="AV26" s="383"/>
      <c r="AW26" s="362">
        <f t="shared" si="4"/>
      </c>
      <c r="AX26" s="362">
        <f t="shared" si="5"/>
      </c>
      <c r="AY26" s="362">
        <f t="shared" si="6"/>
      </c>
      <c r="AZ26" s="381">
        <f t="shared" si="7"/>
      </c>
      <c r="BA26" s="384">
        <f t="shared" si="8"/>
      </c>
      <c r="BB26" s="429"/>
      <c r="BC26" s="362">
        <f t="shared" si="9"/>
      </c>
      <c r="BD26" s="430">
        <f t="shared" si="10"/>
      </c>
      <c r="BE26" s="372">
        <f t="shared" si="11"/>
      </c>
      <c r="BF26" s="373">
        <f>IF(OR(AA26="Error",AS26="Error",BA26="Error",BD26="Error"),"Error",
 IF(D26="","",
 IF(AND(N($AA$6)+N($AS$6)+N($BA$7)=100%,
 OR(N($AA$6)=0,AA26&lt;&gt;""),OR(N($AS$6)=0,AS26&lt;&gt;""),OR(N($BA$7)=0,BA26&lt;&gt;""),BE26&lt;&gt;""),
 _xlfn.XLOOKUP(BE26,'Helper 1'!$B$3:$B$43,'Helper 1'!$D$3:$D$43,,-1),"")))</f>
      </c>
      <c r="BG26" s="374">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7" ht="15.95" customHeight="1" spans="2:59" x14ac:dyDescent="0.25">
      <c r="B27" s="305">
        <v>19</v>
      </c>
      <c r="C27" s="375">
        <f>IF('Data Input'!M25="","",'Data Input'!M25)</f>
        <v>2000494958</v>
      </c>
      <c r="D27" s="376" t="str">
        <f>IF(ISBLANK('Data Input'!N25),"",PROPER('Data Input'!N25))</f>
        <v>Ledesma, Carl Austin</v>
      </c>
      <c r="E27" s="377"/>
      <c r="F27" s="377"/>
      <c r="G27" s="377"/>
      <c r="H27" s="377"/>
      <c r="I27" s="377"/>
      <c r="J27" s="377"/>
      <c r="K27" s="377"/>
      <c r="L27" s="377"/>
      <c r="M27" s="377"/>
      <c r="N27" s="377"/>
      <c r="O27" s="377"/>
      <c r="P27" s="377"/>
      <c r="Q27" s="377"/>
      <c r="R27" s="377"/>
      <c r="S27" s="377"/>
      <c r="T27" s="377"/>
      <c r="U27" s="378"/>
      <c r="V27" s="378"/>
      <c r="W27" s="378"/>
      <c r="X27" s="378"/>
      <c r="Y27" s="216">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7" s="381">
        <f t="shared" si="0"/>
      </c>
      <c r="AA27" s="382">
        <f t="shared" si="1"/>
      </c>
      <c r="AB27" s="379"/>
      <c r="AC27" s="377"/>
      <c r="AD27" s="377"/>
      <c r="AE27" s="377"/>
      <c r="AF27" s="377"/>
      <c r="AG27" s="377"/>
      <c r="AH27" s="377"/>
      <c r="AI27" s="377"/>
      <c r="AJ27" s="377"/>
      <c r="AK27" s="377"/>
      <c r="AL27" s="377"/>
      <c r="AM27" s="377"/>
      <c r="AN27" s="377"/>
      <c r="AO27" s="378"/>
      <c r="AP27" s="378"/>
      <c r="AQ27" s="216">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7" s="381">
        <f t="shared" si="2"/>
      </c>
      <c r="AS27" s="382">
        <f t="shared" si="3"/>
      </c>
      <c r="AT27" s="377"/>
      <c r="AU27" s="378"/>
      <c r="AV27" s="383"/>
      <c r="AW27" s="362">
        <f t="shared" si="4"/>
      </c>
      <c r="AX27" s="362">
        <f t="shared" si="5"/>
      </c>
      <c r="AY27" s="362">
        <f t="shared" si="6"/>
      </c>
      <c r="AZ27" s="381">
        <f t="shared" si="7"/>
      </c>
      <c r="BA27" s="384">
        <f t="shared" si="8"/>
      </c>
      <c r="BB27" s="429"/>
      <c r="BC27" s="362">
        <f t="shared" si="9"/>
      </c>
      <c r="BD27" s="430">
        <f t="shared" si="10"/>
      </c>
      <c r="BE27" s="372">
        <f t="shared" si="11"/>
      </c>
      <c r="BF27" s="373">
        <f>IF(OR(AA27="Error",AS27="Error",BA27="Error",BD27="Error"),"Error",
 IF(D27="","",
 IF(AND(N($AA$6)+N($AS$6)+N($BA$7)=100%,
 OR(N($AA$6)=0,AA27&lt;&gt;""),OR(N($AS$6)=0,AS27&lt;&gt;""),OR(N($BA$7)=0,BA27&lt;&gt;""),BE27&lt;&gt;""),
 _xlfn.XLOOKUP(BE27,'Helper 1'!$B$3:$B$43,'Helper 1'!$D$3:$D$43,,-1),"")))</f>
      </c>
      <c r="BG27" s="374">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8" ht="15.95" customHeight="1" spans="2:59" x14ac:dyDescent="0.25">
      <c r="B28" s="305">
        <v>20</v>
      </c>
      <c r="C28" s="375">
        <f>IF('Data Input'!M26="","",'Data Input'!M26)</f>
        <v>2000498659</v>
      </c>
      <c r="D28" s="376" t="str">
        <f>IF(ISBLANK('Data Input'!N26),"",PROPER('Data Input'!N26))</f>
        <v>Llamado, John Jerome</v>
      </c>
      <c r="E28" s="377"/>
      <c r="F28" s="377"/>
      <c r="G28" s="377"/>
      <c r="H28" s="377"/>
      <c r="I28" s="377"/>
      <c r="J28" s="377"/>
      <c r="K28" s="377"/>
      <c r="L28" s="377"/>
      <c r="M28" s="377"/>
      <c r="N28" s="377"/>
      <c r="O28" s="377"/>
      <c r="P28" s="377"/>
      <c r="Q28" s="377"/>
      <c r="R28" s="377"/>
      <c r="S28" s="377"/>
      <c r="T28" s="377"/>
      <c r="U28" s="378"/>
      <c r="V28" s="378"/>
      <c r="W28" s="378"/>
      <c r="X28" s="378"/>
      <c r="Y28" s="216">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8" s="381">
        <f t="shared" si="0"/>
      </c>
      <c r="AA28" s="382">
        <f t="shared" si="1"/>
      </c>
      <c r="AB28" s="379"/>
      <c r="AC28" s="377"/>
      <c r="AD28" s="377"/>
      <c r="AE28" s="377"/>
      <c r="AF28" s="377"/>
      <c r="AG28" s="377"/>
      <c r="AH28" s="377"/>
      <c r="AI28" s="377"/>
      <c r="AJ28" s="377"/>
      <c r="AK28" s="377"/>
      <c r="AL28" s="377"/>
      <c r="AM28" s="377"/>
      <c r="AN28" s="377"/>
      <c r="AO28" s="378"/>
      <c r="AP28" s="378"/>
      <c r="AQ28" s="216">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8" s="381">
        <f t="shared" si="2"/>
      </c>
      <c r="AS28" s="382">
        <f t="shared" si="3"/>
      </c>
      <c r="AT28" s="377"/>
      <c r="AU28" s="378"/>
      <c r="AV28" s="383"/>
      <c r="AW28" s="362">
        <f t="shared" si="4"/>
      </c>
      <c r="AX28" s="362">
        <f t="shared" si="5"/>
      </c>
      <c r="AY28" s="362">
        <f t="shared" si="6"/>
      </c>
      <c r="AZ28" s="381">
        <f t="shared" si="7"/>
      </c>
      <c r="BA28" s="384">
        <f t="shared" si="8"/>
      </c>
      <c r="BB28" s="429"/>
      <c r="BC28" s="362">
        <f t="shared" si="9"/>
      </c>
      <c r="BD28" s="430">
        <f t="shared" si="10"/>
      </c>
      <c r="BE28" s="372">
        <f t="shared" si="11"/>
      </c>
      <c r="BF28" s="373">
        <f>IF(OR(AA28="Error",AS28="Error",BA28="Error",BD28="Error"),"Error",
 IF(D28="","",
 IF(AND(N($AA$6)+N($AS$6)+N($BA$7)=100%,
 OR(N($AA$6)=0,AA28&lt;&gt;""),OR(N($AS$6)=0,AS28&lt;&gt;""),OR(N($BA$7)=0,BA28&lt;&gt;""),BE28&lt;&gt;""),
 _xlfn.XLOOKUP(BE28,'Helper 1'!$B$3:$B$43,'Helper 1'!$D$3:$D$43,,-1),"")))</f>
      </c>
      <c r="BG28" s="374">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9" ht="15.95" customHeight="1" spans="2:59" x14ac:dyDescent="0.25">
      <c r="B29" s="305">
        <v>21</v>
      </c>
      <c r="C29" s="375">
        <f>IF('Data Input'!M27="","",'Data Input'!M27)</f>
        <v>2000496341</v>
      </c>
      <c r="D29" s="376" t="str">
        <f>IF(ISBLANK('Data Input'!N27),"",PROPER('Data Input'!N27))</f>
        <v>Maquite, John Michael</v>
      </c>
      <c r="E29" s="377"/>
      <c r="F29" s="377"/>
      <c r="G29" s="377"/>
      <c r="H29" s="377"/>
      <c r="I29" s="377"/>
      <c r="J29" s="377"/>
      <c r="K29" s="377"/>
      <c r="L29" s="377"/>
      <c r="M29" s="377"/>
      <c r="N29" s="377"/>
      <c r="O29" s="377"/>
      <c r="P29" s="377"/>
      <c r="Q29" s="377"/>
      <c r="R29" s="377"/>
      <c r="S29" s="377"/>
      <c r="T29" s="377"/>
      <c r="U29" s="378"/>
      <c r="V29" s="378"/>
      <c r="W29" s="378"/>
      <c r="X29" s="378"/>
      <c r="Y29" s="216">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9" s="381">
        <f t="shared" si="0"/>
      </c>
      <c r="AA29" s="382">
        <f t="shared" si="1"/>
      </c>
      <c r="AB29" s="379"/>
      <c r="AC29" s="377"/>
      <c r="AD29" s="377"/>
      <c r="AE29" s="377"/>
      <c r="AF29" s="377"/>
      <c r="AG29" s="377"/>
      <c r="AH29" s="377"/>
      <c r="AI29" s="377"/>
      <c r="AJ29" s="377"/>
      <c r="AK29" s="377"/>
      <c r="AL29" s="377"/>
      <c r="AM29" s="377"/>
      <c r="AN29" s="377"/>
      <c r="AO29" s="378"/>
      <c r="AP29" s="378"/>
      <c r="AQ29" s="216">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9" s="381">
        <f t="shared" si="2"/>
      </c>
      <c r="AS29" s="382">
        <f t="shared" si="3"/>
      </c>
      <c r="AT29" s="377"/>
      <c r="AU29" s="378"/>
      <c r="AV29" s="383"/>
      <c r="AW29" s="362">
        <f t="shared" si="4"/>
      </c>
      <c r="AX29" s="362">
        <f t="shared" si="5"/>
      </c>
      <c r="AY29" s="362">
        <f t="shared" si="6"/>
      </c>
      <c r="AZ29" s="381">
        <f t="shared" si="7"/>
      </c>
      <c r="BA29" s="384">
        <f t="shared" si="8"/>
      </c>
      <c r="BB29" s="429"/>
      <c r="BC29" s="362">
        <f t="shared" si="9"/>
      </c>
      <c r="BD29" s="430">
        <f t="shared" si="10"/>
      </c>
      <c r="BE29" s="372">
        <f t="shared" si="11"/>
      </c>
      <c r="BF29" s="373">
        <f>IF(OR(AA29="Error",AS29="Error",BA29="Error",BD29="Error"),"Error",
 IF(D29="","",
 IF(AND(N($AA$6)+N($AS$6)+N($BA$7)=100%,
 OR(N($AA$6)=0,AA29&lt;&gt;""),OR(N($AS$6)=0,AS29&lt;&gt;""),OR(N($BA$7)=0,BA29&lt;&gt;""),BE29&lt;&gt;""),
 _xlfn.XLOOKUP(BE29,'Helper 1'!$B$3:$B$43,'Helper 1'!$D$3:$D$43,,-1),"")))</f>
      </c>
      <c r="BG29" s="374">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0" ht="15.95" customHeight="1" spans="2:59" x14ac:dyDescent="0.25">
      <c r="B30" s="305">
        <v>22</v>
      </c>
      <c r="C30" s="375">
        <f>IF('Data Input'!M28="","",'Data Input'!M28)</f>
        <v>2000494490</v>
      </c>
      <c r="D30" s="376" t="str">
        <f>IF(ISBLANK('Data Input'!N28),"",PROPER('Data Input'!N28))</f>
        <v>Melgar, Niza Jade</v>
      </c>
      <c r="E30" s="377"/>
      <c r="F30" s="377"/>
      <c r="G30" s="377"/>
      <c r="H30" s="377"/>
      <c r="I30" s="377"/>
      <c r="J30" s="377"/>
      <c r="K30" s="377"/>
      <c r="L30" s="377"/>
      <c r="M30" s="377"/>
      <c r="N30" s="377"/>
      <c r="O30" s="377"/>
      <c r="P30" s="377"/>
      <c r="Q30" s="377"/>
      <c r="R30" s="377"/>
      <c r="S30" s="377"/>
      <c r="T30" s="377"/>
      <c r="U30" s="378"/>
      <c r="V30" s="378"/>
      <c r="W30" s="378"/>
      <c r="X30" s="378"/>
      <c r="Y30" s="216">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0" s="381">
        <f t="shared" si="0"/>
      </c>
      <c r="AA30" s="382">
        <f t="shared" si="1"/>
      </c>
      <c r="AB30" s="379"/>
      <c r="AC30" s="377"/>
      <c r="AD30" s="377"/>
      <c r="AE30" s="377"/>
      <c r="AF30" s="377"/>
      <c r="AG30" s="377"/>
      <c r="AH30" s="377"/>
      <c r="AI30" s="377"/>
      <c r="AJ30" s="377"/>
      <c r="AK30" s="377"/>
      <c r="AL30" s="377"/>
      <c r="AM30" s="377"/>
      <c r="AN30" s="377"/>
      <c r="AO30" s="378"/>
      <c r="AP30" s="378"/>
      <c r="AQ30" s="216">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0" s="381">
        <f t="shared" si="2"/>
      </c>
      <c r="AS30" s="382">
        <f t="shared" si="3"/>
      </c>
      <c r="AT30" s="377"/>
      <c r="AU30" s="378"/>
      <c r="AV30" s="383"/>
      <c r="AW30" s="362">
        <f t="shared" si="4"/>
      </c>
      <c r="AX30" s="362">
        <f t="shared" si="5"/>
      </c>
      <c r="AY30" s="362">
        <f t="shared" si="6"/>
      </c>
      <c r="AZ30" s="381">
        <f t="shared" si="7"/>
      </c>
      <c r="BA30" s="384">
        <f t="shared" si="8"/>
      </c>
      <c r="BB30" s="429"/>
      <c r="BC30" s="362">
        <f t="shared" si="9"/>
      </c>
      <c r="BD30" s="430">
        <f t="shared" si="10"/>
      </c>
      <c r="BE30" s="372">
        <f t="shared" si="11"/>
      </c>
      <c r="BF30" s="373">
        <f>IF(OR(AA30="Error",AS30="Error",BA30="Error",BD30="Error"),"Error",
 IF(D30="","",
 IF(AND(N($AA$6)+N($AS$6)+N($BA$7)=100%,
 OR(N($AA$6)=0,AA30&lt;&gt;""),OR(N($AS$6)=0,AS30&lt;&gt;""),OR(N($BA$7)=0,BA30&lt;&gt;""),BE30&lt;&gt;""),
 _xlfn.XLOOKUP(BE30,'Helper 1'!$B$3:$B$43,'Helper 1'!$D$3:$D$43,,-1),"")))</f>
      </c>
      <c r="BG30" s="374">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1" ht="15.95" customHeight="1" spans="2:59" x14ac:dyDescent="0.25">
      <c r="B31" s="305">
        <v>23</v>
      </c>
      <c r="C31" s="375">
        <f>IF('Data Input'!M29="","",'Data Input'!M29)</f>
        <v>2000492883</v>
      </c>
      <c r="D31" s="376" t="str">
        <f>IF(ISBLANK('Data Input'!N29),"",PROPER('Data Input'!N29))</f>
        <v>Morada, Carl Ely</v>
      </c>
      <c r="E31" s="377"/>
      <c r="F31" s="377"/>
      <c r="G31" s="377"/>
      <c r="H31" s="377"/>
      <c r="I31" s="377"/>
      <c r="J31" s="377"/>
      <c r="K31" s="377"/>
      <c r="L31" s="377"/>
      <c r="M31" s="377"/>
      <c r="N31" s="377"/>
      <c r="O31" s="377"/>
      <c r="P31" s="377"/>
      <c r="Q31" s="377"/>
      <c r="R31" s="377"/>
      <c r="S31" s="377"/>
      <c r="T31" s="377"/>
      <c r="U31" s="378"/>
      <c r="V31" s="378"/>
      <c r="W31" s="378"/>
      <c r="X31" s="378"/>
      <c r="Y31" s="216">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1" s="381">
        <f t="shared" si="0"/>
      </c>
      <c r="AA31" s="382">
        <f t="shared" si="1"/>
      </c>
      <c r="AB31" s="379"/>
      <c r="AC31" s="377"/>
      <c r="AD31" s="377"/>
      <c r="AE31" s="377"/>
      <c r="AF31" s="377"/>
      <c r="AG31" s="377"/>
      <c r="AH31" s="377"/>
      <c r="AI31" s="377"/>
      <c r="AJ31" s="377"/>
      <c r="AK31" s="377"/>
      <c r="AL31" s="377"/>
      <c r="AM31" s="377"/>
      <c r="AN31" s="377"/>
      <c r="AO31" s="378"/>
      <c r="AP31" s="378"/>
      <c r="AQ31" s="216">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1" s="381">
        <f t="shared" si="2"/>
      </c>
      <c r="AS31" s="382">
        <f t="shared" si="3"/>
      </c>
      <c r="AT31" s="377"/>
      <c r="AU31" s="378"/>
      <c r="AV31" s="383"/>
      <c r="AW31" s="362">
        <f t="shared" si="4"/>
      </c>
      <c r="AX31" s="362">
        <f t="shared" si="5"/>
      </c>
      <c r="AY31" s="362">
        <f t="shared" si="6"/>
      </c>
      <c r="AZ31" s="381">
        <f t="shared" si="7"/>
      </c>
      <c r="BA31" s="384">
        <f t="shared" si="8"/>
      </c>
      <c r="BB31" s="429"/>
      <c r="BC31" s="362">
        <f t="shared" si="9"/>
      </c>
      <c r="BD31" s="430">
        <f t="shared" si="10"/>
      </c>
      <c r="BE31" s="372">
        <f t="shared" si="11"/>
      </c>
      <c r="BF31" s="373">
        <f>IF(OR(AA31="Error",AS31="Error",BA31="Error",BD31="Error"),"Error",
 IF(D31="","",
 IF(AND(N($AA$6)+N($AS$6)+N($BA$7)=100%,
 OR(N($AA$6)=0,AA31&lt;&gt;""),OR(N($AS$6)=0,AS31&lt;&gt;""),OR(N($BA$7)=0,BA31&lt;&gt;""),BE31&lt;&gt;""),
 _xlfn.XLOOKUP(BE31,'Helper 1'!$B$3:$B$43,'Helper 1'!$D$3:$D$43,,-1),"")))</f>
      </c>
      <c r="BG31" s="374">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2" ht="15.95" customHeight="1" spans="2:59" x14ac:dyDescent="0.25">
      <c r="B32" s="305">
        <v>24</v>
      </c>
      <c r="C32" s="375">
        <f>IF('Data Input'!M30="","",'Data Input'!M30)</f>
        <v>2000493062</v>
      </c>
      <c r="D32" s="376" t="str">
        <f>IF(ISBLANK('Data Input'!N30),"",PROPER('Data Input'!N30))</f>
        <v>Olores, Frecious Natalie</v>
      </c>
      <c r="E32" s="377"/>
      <c r="F32" s="377"/>
      <c r="G32" s="377"/>
      <c r="H32" s="377"/>
      <c r="I32" s="377"/>
      <c r="J32" s="377"/>
      <c r="K32" s="377"/>
      <c r="L32" s="377"/>
      <c r="M32" s="377"/>
      <c r="N32" s="377"/>
      <c r="O32" s="377"/>
      <c r="P32" s="377"/>
      <c r="Q32" s="377"/>
      <c r="R32" s="377"/>
      <c r="S32" s="377"/>
      <c r="T32" s="377"/>
      <c r="U32" s="378"/>
      <c r="V32" s="378"/>
      <c r="W32" s="378"/>
      <c r="X32" s="378"/>
      <c r="Y32" s="216">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2" s="381">
        <f t="shared" si="0"/>
      </c>
      <c r="AA32" s="382">
        <f t="shared" si="1"/>
      </c>
      <c r="AB32" s="379"/>
      <c r="AC32" s="377"/>
      <c r="AD32" s="377"/>
      <c r="AE32" s="377"/>
      <c r="AF32" s="377"/>
      <c r="AG32" s="377"/>
      <c r="AH32" s="377"/>
      <c r="AI32" s="377"/>
      <c r="AJ32" s="377"/>
      <c r="AK32" s="377"/>
      <c r="AL32" s="377"/>
      <c r="AM32" s="377"/>
      <c r="AN32" s="377"/>
      <c r="AO32" s="378"/>
      <c r="AP32" s="378"/>
      <c r="AQ32" s="216">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2" s="381">
        <f t="shared" si="2"/>
      </c>
      <c r="AS32" s="382">
        <f t="shared" si="3"/>
      </c>
      <c r="AT32" s="377"/>
      <c r="AU32" s="378"/>
      <c r="AV32" s="383"/>
      <c r="AW32" s="362">
        <f t="shared" si="4"/>
      </c>
      <c r="AX32" s="362">
        <f t="shared" si="5"/>
      </c>
      <c r="AY32" s="362">
        <f t="shared" si="6"/>
      </c>
      <c r="AZ32" s="381">
        <f t="shared" si="7"/>
      </c>
      <c r="BA32" s="384">
        <f t="shared" si="8"/>
      </c>
      <c r="BB32" s="429"/>
      <c r="BC32" s="362">
        <f t="shared" si="9"/>
      </c>
      <c r="BD32" s="430">
        <f t="shared" si="10"/>
      </c>
      <c r="BE32" s="372">
        <f t="shared" si="11"/>
      </c>
      <c r="BF32" s="373">
        <f>IF(OR(AA32="Error",AS32="Error",BA32="Error",BD32="Error"),"Error",
 IF(D32="","",
 IF(AND(N($AA$6)+N($AS$6)+N($BA$7)=100%,
 OR(N($AA$6)=0,AA32&lt;&gt;""),OR(N($AS$6)=0,AS32&lt;&gt;""),OR(N($BA$7)=0,BA32&lt;&gt;""),BE32&lt;&gt;""),
 _xlfn.XLOOKUP(BE32,'Helper 1'!$B$3:$B$43,'Helper 1'!$D$3:$D$43,,-1),"")))</f>
      </c>
      <c r="BG32" s="374">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3" ht="15.95" customHeight="1" spans="2:59" x14ac:dyDescent="0.25">
      <c r="B33" s="305">
        <v>25</v>
      </c>
      <c r="C33" s="375">
        <f>IF('Data Input'!M31="","",'Data Input'!M31)</f>
        <v>2000499699</v>
      </c>
      <c r="D33" s="376" t="str">
        <f>IF(ISBLANK('Data Input'!N31),"",PROPER('Data Input'!N31))</f>
        <v>Ortinero, Christel Ace</v>
      </c>
      <c r="E33" s="377"/>
      <c r="F33" s="377"/>
      <c r="G33" s="377"/>
      <c r="H33" s="377"/>
      <c r="I33" s="377"/>
      <c r="J33" s="377"/>
      <c r="K33" s="377"/>
      <c r="L33" s="377"/>
      <c r="M33" s="377"/>
      <c r="N33" s="377"/>
      <c r="O33" s="377"/>
      <c r="P33" s="377"/>
      <c r="Q33" s="377"/>
      <c r="R33" s="377"/>
      <c r="S33" s="377"/>
      <c r="T33" s="377"/>
      <c r="U33" s="378"/>
      <c r="V33" s="378"/>
      <c r="W33" s="378"/>
      <c r="X33" s="378"/>
      <c r="Y33" s="216">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3" s="381">
        <f t="shared" si="0"/>
      </c>
      <c r="AA33" s="382">
        <f t="shared" si="1"/>
      </c>
      <c r="AB33" s="379"/>
      <c r="AC33" s="377"/>
      <c r="AD33" s="377"/>
      <c r="AE33" s="377"/>
      <c r="AF33" s="377"/>
      <c r="AG33" s="377"/>
      <c r="AH33" s="377"/>
      <c r="AI33" s="377"/>
      <c r="AJ33" s="377"/>
      <c r="AK33" s="377"/>
      <c r="AL33" s="377"/>
      <c r="AM33" s="377"/>
      <c r="AN33" s="377"/>
      <c r="AO33" s="378"/>
      <c r="AP33" s="378"/>
      <c r="AQ33" s="216">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3" s="381">
        <f t="shared" si="2"/>
      </c>
      <c r="AS33" s="382">
        <f t="shared" si="3"/>
      </c>
      <c r="AT33" s="377"/>
      <c r="AU33" s="378"/>
      <c r="AV33" s="383"/>
      <c r="AW33" s="362">
        <f t="shared" si="4"/>
      </c>
      <c r="AX33" s="362">
        <f t="shared" si="5"/>
      </c>
      <c r="AY33" s="362">
        <f t="shared" si="6"/>
      </c>
      <c r="AZ33" s="381">
        <f t="shared" si="7"/>
      </c>
      <c r="BA33" s="384">
        <f t="shared" si="8"/>
      </c>
      <c r="BB33" s="429"/>
      <c r="BC33" s="362">
        <f t="shared" si="9"/>
      </c>
      <c r="BD33" s="430">
        <f t="shared" si="10"/>
      </c>
      <c r="BE33" s="372">
        <f t="shared" si="11"/>
      </c>
      <c r="BF33" s="373">
        <f>IF(OR(AA33="Error",AS33="Error",BA33="Error",BD33="Error"),"Error",
 IF(D33="","",
 IF(AND(N($AA$6)+N($AS$6)+N($BA$7)=100%,
 OR(N($AA$6)=0,AA33&lt;&gt;""),OR(N($AS$6)=0,AS33&lt;&gt;""),OR(N($BA$7)=0,BA33&lt;&gt;""),BE33&lt;&gt;""),
 _xlfn.XLOOKUP(BE33,'Helper 1'!$B$3:$B$43,'Helper 1'!$D$3:$D$43,,-1),"")))</f>
      </c>
      <c r="BG33" s="374">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4" ht="15.95" customHeight="1" spans="2:59" x14ac:dyDescent="0.25">
      <c r="B34" s="305">
        <v>26</v>
      </c>
      <c r="C34" s="375">
        <f>IF('Data Input'!M32="","",'Data Input'!M32)</f>
        <v>2000481841</v>
      </c>
      <c r="D34" s="376" t="str">
        <f>IF(ISBLANK('Data Input'!N32),"",PROPER('Data Input'!N32))</f>
        <v>Pascua, Jhon Gavriel</v>
      </c>
      <c r="E34" s="377"/>
      <c r="F34" s="377"/>
      <c r="G34" s="377"/>
      <c r="H34" s="377"/>
      <c r="I34" s="377"/>
      <c r="J34" s="377"/>
      <c r="K34" s="377"/>
      <c r="L34" s="377"/>
      <c r="M34" s="377"/>
      <c r="N34" s="377"/>
      <c r="O34" s="377"/>
      <c r="P34" s="377"/>
      <c r="Q34" s="377"/>
      <c r="R34" s="377"/>
      <c r="S34" s="377"/>
      <c r="T34" s="377"/>
      <c r="U34" s="378"/>
      <c r="V34" s="378"/>
      <c r="W34" s="378"/>
      <c r="X34" s="378"/>
      <c r="Y34" s="216">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4" s="381">
        <f t="shared" si="0"/>
      </c>
      <c r="AA34" s="382">
        <f t="shared" si="1"/>
      </c>
      <c r="AB34" s="379"/>
      <c r="AC34" s="377"/>
      <c r="AD34" s="377"/>
      <c r="AE34" s="377"/>
      <c r="AF34" s="377"/>
      <c r="AG34" s="377"/>
      <c r="AH34" s="377"/>
      <c r="AI34" s="377"/>
      <c r="AJ34" s="377"/>
      <c r="AK34" s="377"/>
      <c r="AL34" s="377"/>
      <c r="AM34" s="377"/>
      <c r="AN34" s="377"/>
      <c r="AO34" s="378"/>
      <c r="AP34" s="378"/>
      <c r="AQ34" s="216">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4" s="381">
        <f t="shared" si="2"/>
      </c>
      <c r="AS34" s="382">
        <f t="shared" si="3"/>
      </c>
      <c r="AT34" s="377"/>
      <c r="AU34" s="378"/>
      <c r="AV34" s="383"/>
      <c r="AW34" s="362">
        <f t="shared" si="4"/>
      </c>
      <c r="AX34" s="362">
        <f t="shared" si="5"/>
      </c>
      <c r="AY34" s="362">
        <f t="shared" si="6"/>
      </c>
      <c r="AZ34" s="381">
        <f t="shared" si="7"/>
      </c>
      <c r="BA34" s="384">
        <f t="shared" si="8"/>
      </c>
      <c r="BB34" s="429"/>
      <c r="BC34" s="362">
        <f t="shared" si="9"/>
      </c>
      <c r="BD34" s="430">
        <f t="shared" si="10"/>
      </c>
      <c r="BE34" s="372">
        <f t="shared" si="11"/>
      </c>
      <c r="BF34" s="373">
        <f>IF(OR(AA34="Error",AS34="Error",BA34="Error",BD34="Error"),"Error",
 IF(D34="","",
 IF(AND(N($AA$6)+N($AS$6)+N($BA$7)=100%,
 OR(N($AA$6)=0,AA34&lt;&gt;""),OR(N($AS$6)=0,AS34&lt;&gt;""),OR(N($BA$7)=0,BA34&lt;&gt;""),BE34&lt;&gt;""),
 _xlfn.XLOOKUP(BE34,'Helper 1'!$B$3:$B$43,'Helper 1'!$D$3:$D$43,,-1),"")))</f>
      </c>
      <c r="BG34" s="374">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5" ht="15.95" customHeight="1" spans="2:59" x14ac:dyDescent="0.25">
      <c r="B35" s="305">
        <v>27</v>
      </c>
      <c r="C35" s="375">
        <f>IF('Data Input'!M33="","",'Data Input'!M33)</f>
        <v>2000492838</v>
      </c>
      <c r="D35" s="376" t="str">
        <f>IF(ISBLANK('Data Input'!N33),"",PROPER('Data Input'!N33))</f>
        <v>Pastor, Jaydhen</v>
      </c>
      <c r="E35" s="377"/>
      <c r="F35" s="377"/>
      <c r="G35" s="377"/>
      <c r="H35" s="377"/>
      <c r="I35" s="377"/>
      <c r="J35" s="377"/>
      <c r="K35" s="377"/>
      <c r="L35" s="377"/>
      <c r="M35" s="377"/>
      <c r="N35" s="377"/>
      <c r="O35" s="377"/>
      <c r="P35" s="377"/>
      <c r="Q35" s="377"/>
      <c r="R35" s="377"/>
      <c r="S35" s="377"/>
      <c r="T35" s="377"/>
      <c r="U35" s="378"/>
      <c r="V35" s="378"/>
      <c r="W35" s="378"/>
      <c r="X35" s="378"/>
      <c r="Y35" s="216">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5" s="381">
        <f t="shared" si="0"/>
      </c>
      <c r="AA35" s="382">
        <f t="shared" si="1"/>
      </c>
      <c r="AB35" s="379"/>
      <c r="AC35" s="377"/>
      <c r="AD35" s="377"/>
      <c r="AE35" s="377"/>
      <c r="AF35" s="377"/>
      <c r="AG35" s="377"/>
      <c r="AH35" s="377"/>
      <c r="AI35" s="377"/>
      <c r="AJ35" s="377"/>
      <c r="AK35" s="377"/>
      <c r="AL35" s="377"/>
      <c r="AM35" s="377"/>
      <c r="AN35" s="377"/>
      <c r="AO35" s="378"/>
      <c r="AP35" s="378"/>
      <c r="AQ35" s="216">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5" s="381">
        <f t="shared" si="2"/>
      </c>
      <c r="AS35" s="382">
        <f t="shared" si="3"/>
      </c>
      <c r="AT35" s="377"/>
      <c r="AU35" s="378"/>
      <c r="AV35" s="383"/>
      <c r="AW35" s="362">
        <f t="shared" si="4"/>
      </c>
      <c r="AX35" s="362">
        <f t="shared" si="5"/>
      </c>
      <c r="AY35" s="362">
        <f t="shared" si="6"/>
      </c>
      <c r="AZ35" s="381">
        <f t="shared" si="7"/>
      </c>
      <c r="BA35" s="384">
        <f t="shared" si="8"/>
      </c>
      <c r="BB35" s="429"/>
      <c r="BC35" s="362">
        <f t="shared" si="9"/>
      </c>
      <c r="BD35" s="430">
        <f t="shared" si="10"/>
      </c>
      <c r="BE35" s="372">
        <f t="shared" si="11"/>
      </c>
      <c r="BF35" s="373">
        <f>IF(OR(AA35="Error",AS35="Error",BA35="Error",BD35="Error"),"Error",
 IF(D35="","",
 IF(AND(N($AA$6)+N($AS$6)+N($BA$7)=100%,
 OR(N($AA$6)=0,AA35&lt;&gt;""),OR(N($AS$6)=0,AS35&lt;&gt;""),OR(N($BA$7)=0,BA35&lt;&gt;""),BE35&lt;&gt;""),
 _xlfn.XLOOKUP(BE35,'Helper 1'!$B$3:$B$43,'Helper 1'!$D$3:$D$43,,-1),"")))</f>
      </c>
      <c r="BG35" s="374">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6" ht="15.95" customHeight="1" spans="2:59" x14ac:dyDescent="0.25">
      <c r="B36" s="305">
        <v>28</v>
      </c>
      <c r="C36" s="375">
        <f>IF('Data Input'!M34="","",'Data Input'!M34)</f>
        <v>2000485198</v>
      </c>
      <c r="D36" s="376" t="str">
        <f>IF(ISBLANK('Data Input'!N34),"",PROPER('Data Input'!N34))</f>
        <v>Placente, Rhian</v>
      </c>
      <c r="E36" s="377"/>
      <c r="F36" s="377"/>
      <c r="G36" s="377"/>
      <c r="H36" s="377"/>
      <c r="I36" s="377"/>
      <c r="J36" s="377"/>
      <c r="K36" s="377"/>
      <c r="L36" s="377"/>
      <c r="M36" s="377"/>
      <c r="N36" s="377"/>
      <c r="O36" s="377"/>
      <c r="P36" s="377"/>
      <c r="Q36" s="377"/>
      <c r="R36" s="377"/>
      <c r="S36" s="377"/>
      <c r="T36" s="377"/>
      <c r="U36" s="378"/>
      <c r="V36" s="378"/>
      <c r="W36" s="378"/>
      <c r="X36" s="378"/>
      <c r="Y36" s="216">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6" s="381">
        <f t="shared" si="0"/>
      </c>
      <c r="AA36" s="382">
        <f t="shared" si="1"/>
      </c>
      <c r="AB36" s="379"/>
      <c r="AC36" s="377"/>
      <c r="AD36" s="377"/>
      <c r="AE36" s="377"/>
      <c r="AF36" s="377"/>
      <c r="AG36" s="377"/>
      <c r="AH36" s="377"/>
      <c r="AI36" s="377"/>
      <c r="AJ36" s="377"/>
      <c r="AK36" s="377"/>
      <c r="AL36" s="377"/>
      <c r="AM36" s="377"/>
      <c r="AN36" s="377"/>
      <c r="AO36" s="378"/>
      <c r="AP36" s="378"/>
      <c r="AQ36" s="216">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6" s="381">
        <f t="shared" si="2"/>
      </c>
      <c r="AS36" s="382">
        <f t="shared" si="3"/>
      </c>
      <c r="AT36" s="377"/>
      <c r="AU36" s="378"/>
      <c r="AV36" s="383"/>
      <c r="AW36" s="362">
        <f t="shared" si="4"/>
      </c>
      <c r="AX36" s="362">
        <f t="shared" si="5"/>
      </c>
      <c r="AY36" s="362">
        <f t="shared" si="6"/>
      </c>
      <c r="AZ36" s="381">
        <f t="shared" si="7"/>
      </c>
      <c r="BA36" s="384">
        <f t="shared" si="8"/>
      </c>
      <c r="BB36" s="429"/>
      <c r="BC36" s="362">
        <f t="shared" si="9"/>
      </c>
      <c r="BD36" s="430">
        <f t="shared" si="10"/>
      </c>
      <c r="BE36" s="372">
        <f t="shared" si="11"/>
      </c>
      <c r="BF36" s="373">
        <f>IF(OR(AA36="Error",AS36="Error",BA36="Error",BD36="Error"),"Error",
 IF(D36="","",
 IF(AND(N($AA$6)+N($AS$6)+N($BA$7)=100%,
 OR(N($AA$6)=0,AA36&lt;&gt;""),OR(N($AS$6)=0,AS36&lt;&gt;""),OR(N($BA$7)=0,BA36&lt;&gt;""),BE36&lt;&gt;""),
 _xlfn.XLOOKUP(BE36,'Helper 1'!$B$3:$B$43,'Helper 1'!$D$3:$D$43,,-1),"")))</f>
      </c>
      <c r="BG36" s="374">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7" ht="15.95" customHeight="1" spans="2:59" x14ac:dyDescent="0.25">
      <c r="B37" s="305">
        <v>29</v>
      </c>
      <c r="C37" s="375">
        <f>IF('Data Input'!M35="","",'Data Input'!M35)</f>
      </c>
      <c r="D37" s="376">
        <f>IF(ISBLANK('Data Input'!N35),"",PROPER('Data Input'!N35))</f>
      </c>
      <c r="E37" s="377"/>
      <c r="F37" s="377"/>
      <c r="G37" s="377"/>
      <c r="H37" s="377"/>
      <c r="I37" s="377"/>
      <c r="J37" s="377"/>
      <c r="K37" s="377"/>
      <c r="L37" s="377"/>
      <c r="M37" s="377"/>
      <c r="N37" s="377"/>
      <c r="O37" s="377"/>
      <c r="P37" s="377"/>
      <c r="Q37" s="377"/>
      <c r="R37" s="377"/>
      <c r="S37" s="377"/>
      <c r="T37" s="377"/>
      <c r="U37" s="378"/>
      <c r="V37" s="378"/>
      <c r="W37" s="378"/>
      <c r="X37" s="378"/>
      <c r="Y37" s="216">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7" s="381">
        <f t="shared" si="0"/>
      </c>
      <c r="AA37" s="382">
        <f t="shared" si="1"/>
      </c>
      <c r="AB37" s="379"/>
      <c r="AC37" s="377"/>
      <c r="AD37" s="377"/>
      <c r="AE37" s="377"/>
      <c r="AF37" s="377"/>
      <c r="AG37" s="377"/>
      <c r="AH37" s="377"/>
      <c r="AI37" s="377"/>
      <c r="AJ37" s="377"/>
      <c r="AK37" s="377"/>
      <c r="AL37" s="377"/>
      <c r="AM37" s="377"/>
      <c r="AN37" s="377"/>
      <c r="AO37" s="378"/>
      <c r="AP37" s="378"/>
      <c r="AQ37" s="216">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7" s="381">
        <f t="shared" si="2"/>
      </c>
      <c r="AS37" s="382">
        <f t="shared" si="3"/>
      </c>
      <c r="AT37" s="377"/>
      <c r="AU37" s="378"/>
      <c r="AV37" s="383"/>
      <c r="AW37" s="362">
        <f t="shared" si="4"/>
      </c>
      <c r="AX37" s="362">
        <f t="shared" si="5"/>
      </c>
      <c r="AY37" s="362">
        <f t="shared" si="6"/>
      </c>
      <c r="AZ37" s="381">
        <f t="shared" si="7"/>
      </c>
      <c r="BA37" s="384">
        <f t="shared" si="8"/>
      </c>
      <c r="BB37" s="429"/>
      <c r="BC37" s="362">
        <f t="shared" si="9"/>
      </c>
      <c r="BD37" s="430">
        <f t="shared" si="10"/>
      </c>
      <c r="BE37" s="372">
        <f t="shared" si="11"/>
      </c>
      <c r="BF37" s="373">
        <f>IF(OR(AA37="Error",AS37="Error",BA37="Error",BD37="Error"),"Error",
 IF(D37="","",
 IF(AND(N($AA$6)+N($AS$6)+N($BA$7)=100%,
 OR(N($AA$6)=0,AA37&lt;&gt;""),OR(N($AS$6)=0,AS37&lt;&gt;""),OR(N($BA$7)=0,BA37&lt;&gt;""),BE37&lt;&gt;""),
 _xlfn.XLOOKUP(BE37,'Helper 1'!$B$3:$B$43,'Helper 1'!$D$3:$D$43,,-1),"")))</f>
      </c>
      <c r="BG37" s="374">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8" ht="15.95" customHeight="1" spans="2:59" x14ac:dyDescent="0.25">
      <c r="B38" s="305">
        <v>30</v>
      </c>
      <c r="C38" s="375">
        <f>IF('Data Input'!M36="","",'Data Input'!M36)</f>
      </c>
      <c r="D38" s="376">
        <f>IF(ISBLANK('Data Input'!N36),"",PROPER('Data Input'!N36))</f>
      </c>
      <c r="E38" s="377"/>
      <c r="F38" s="377"/>
      <c r="G38" s="377"/>
      <c r="H38" s="377"/>
      <c r="I38" s="377"/>
      <c r="J38" s="377"/>
      <c r="K38" s="377"/>
      <c r="L38" s="377"/>
      <c r="M38" s="377"/>
      <c r="N38" s="377"/>
      <c r="O38" s="377"/>
      <c r="P38" s="377"/>
      <c r="Q38" s="377"/>
      <c r="R38" s="377"/>
      <c r="S38" s="377"/>
      <c r="T38" s="377"/>
      <c r="U38" s="378"/>
      <c r="V38" s="378"/>
      <c r="W38" s="378"/>
      <c r="X38" s="378"/>
      <c r="Y38" s="216">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8" s="381">
        <f t="shared" si="0"/>
      </c>
      <c r="AA38" s="382">
        <f t="shared" si="1"/>
      </c>
      <c r="AB38" s="379"/>
      <c r="AC38" s="377"/>
      <c r="AD38" s="377"/>
      <c r="AE38" s="377"/>
      <c r="AF38" s="377"/>
      <c r="AG38" s="377"/>
      <c r="AH38" s="377"/>
      <c r="AI38" s="377"/>
      <c r="AJ38" s="377"/>
      <c r="AK38" s="377"/>
      <c r="AL38" s="377"/>
      <c r="AM38" s="377"/>
      <c r="AN38" s="377"/>
      <c r="AO38" s="378"/>
      <c r="AP38" s="378"/>
      <c r="AQ38" s="216">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8" s="381">
        <f t="shared" si="2"/>
      </c>
      <c r="AS38" s="382">
        <f t="shared" si="3"/>
      </c>
      <c r="AT38" s="377"/>
      <c r="AU38" s="378"/>
      <c r="AV38" s="383"/>
      <c r="AW38" s="362">
        <f t="shared" si="4"/>
      </c>
      <c r="AX38" s="362">
        <f t="shared" si="5"/>
      </c>
      <c r="AY38" s="362">
        <f t="shared" si="6"/>
      </c>
      <c r="AZ38" s="381">
        <f t="shared" si="7"/>
      </c>
      <c r="BA38" s="384">
        <f t="shared" si="8"/>
      </c>
      <c r="BB38" s="429"/>
      <c r="BC38" s="362">
        <f t="shared" si="9"/>
      </c>
      <c r="BD38" s="430">
        <f t="shared" si="10"/>
      </c>
      <c r="BE38" s="372">
        <f t="shared" si="11"/>
      </c>
      <c r="BF38" s="373">
        <f>IF(OR(AA38="Error",AS38="Error",BA38="Error",BD38="Error"),"Error",
 IF(D38="","",
 IF(AND(N($AA$6)+N($AS$6)+N($BA$7)=100%,
 OR(N($AA$6)=0,AA38&lt;&gt;""),OR(N($AS$6)=0,AS38&lt;&gt;""),OR(N($BA$7)=0,BA38&lt;&gt;""),BE38&lt;&gt;""),
 _xlfn.XLOOKUP(BE38,'Helper 1'!$B$3:$B$43,'Helper 1'!$D$3:$D$43,,-1),"")))</f>
      </c>
      <c r="BG38" s="374">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9" ht="15.95" customHeight="1" spans="2:59" x14ac:dyDescent="0.25">
      <c r="B39" s="305">
        <v>31</v>
      </c>
      <c r="C39" s="375">
        <f>IF('Data Input'!M37="","",'Data Input'!M37)</f>
      </c>
      <c r="D39" s="376">
        <f>IF(ISBLANK('Data Input'!N37),"",PROPER('Data Input'!N37))</f>
      </c>
      <c r="E39" s="377"/>
      <c r="F39" s="377"/>
      <c r="G39" s="377"/>
      <c r="H39" s="377"/>
      <c r="I39" s="377"/>
      <c r="J39" s="377"/>
      <c r="K39" s="377"/>
      <c r="L39" s="377"/>
      <c r="M39" s="377"/>
      <c r="N39" s="377"/>
      <c r="O39" s="377"/>
      <c r="P39" s="377"/>
      <c r="Q39" s="377"/>
      <c r="R39" s="377"/>
      <c r="S39" s="377"/>
      <c r="T39" s="377"/>
      <c r="U39" s="378"/>
      <c r="V39" s="378"/>
      <c r="W39" s="378"/>
      <c r="X39" s="378"/>
      <c r="Y39" s="216">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9" s="381">
        <f t="shared" si="0"/>
      </c>
      <c r="AA39" s="382">
        <f t="shared" si="1"/>
      </c>
      <c r="AB39" s="379"/>
      <c r="AC39" s="377"/>
      <c r="AD39" s="377"/>
      <c r="AE39" s="377"/>
      <c r="AF39" s="377"/>
      <c r="AG39" s="377"/>
      <c r="AH39" s="377"/>
      <c r="AI39" s="377"/>
      <c r="AJ39" s="377"/>
      <c r="AK39" s="377"/>
      <c r="AL39" s="377"/>
      <c r="AM39" s="377"/>
      <c r="AN39" s="377"/>
      <c r="AO39" s="378"/>
      <c r="AP39" s="378"/>
      <c r="AQ39" s="216">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9" s="381">
        <f t="shared" si="2"/>
      </c>
      <c r="AS39" s="382">
        <f t="shared" si="3"/>
      </c>
      <c r="AT39" s="377"/>
      <c r="AU39" s="378"/>
      <c r="AV39" s="383"/>
      <c r="AW39" s="362">
        <f t="shared" si="4"/>
      </c>
      <c r="AX39" s="362">
        <f t="shared" si="5"/>
      </c>
      <c r="AY39" s="362">
        <f t="shared" si="6"/>
      </c>
      <c r="AZ39" s="381">
        <f t="shared" si="7"/>
      </c>
      <c r="BA39" s="384">
        <f t="shared" si="8"/>
      </c>
      <c r="BB39" s="429"/>
      <c r="BC39" s="362">
        <f t="shared" si="9"/>
      </c>
      <c r="BD39" s="430">
        <f t="shared" si="10"/>
      </c>
      <c r="BE39" s="372">
        <f t="shared" si="11"/>
      </c>
      <c r="BF39" s="373">
        <f>IF(OR(AA39="Error",AS39="Error",BA39="Error",BD39="Error"),"Error",
 IF(D39="","",
 IF(AND(N($AA$6)+N($AS$6)+N($BA$7)=100%,
 OR(N($AA$6)=0,AA39&lt;&gt;""),OR(N($AS$6)=0,AS39&lt;&gt;""),OR(N($BA$7)=0,BA39&lt;&gt;""),BE39&lt;&gt;""),
 _xlfn.XLOOKUP(BE39,'Helper 1'!$B$3:$B$43,'Helper 1'!$D$3:$D$43,,-1),"")))</f>
      </c>
      <c r="BG39" s="374">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0" ht="15.95" customHeight="1" spans="2:59" x14ac:dyDescent="0.25">
      <c r="B40" s="305">
        <v>32</v>
      </c>
      <c r="C40" s="375">
        <f>IF('Data Input'!M38="","",'Data Input'!M38)</f>
      </c>
      <c r="D40" s="376">
        <f>IF(ISBLANK('Data Input'!N38),"",PROPER('Data Input'!N38))</f>
      </c>
      <c r="E40" s="377"/>
      <c r="F40" s="377"/>
      <c r="G40" s="377"/>
      <c r="H40" s="377"/>
      <c r="I40" s="377"/>
      <c r="J40" s="377"/>
      <c r="K40" s="377"/>
      <c r="L40" s="377"/>
      <c r="M40" s="377"/>
      <c r="N40" s="377"/>
      <c r="O40" s="377"/>
      <c r="P40" s="377"/>
      <c r="Q40" s="377"/>
      <c r="R40" s="377"/>
      <c r="S40" s="377"/>
      <c r="T40" s="377"/>
      <c r="U40" s="378"/>
      <c r="V40" s="378"/>
      <c r="W40" s="378"/>
      <c r="X40" s="378"/>
      <c r="Y40" s="216">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0" s="381">
        <f t="shared" si="0"/>
      </c>
      <c r="AA40" s="382">
        <f t="shared" si="1"/>
      </c>
      <c r="AB40" s="379"/>
      <c r="AC40" s="377"/>
      <c r="AD40" s="377"/>
      <c r="AE40" s="377"/>
      <c r="AF40" s="377"/>
      <c r="AG40" s="377"/>
      <c r="AH40" s="377"/>
      <c r="AI40" s="377"/>
      <c r="AJ40" s="377"/>
      <c r="AK40" s="377"/>
      <c r="AL40" s="377"/>
      <c r="AM40" s="377"/>
      <c r="AN40" s="377"/>
      <c r="AO40" s="378"/>
      <c r="AP40" s="378"/>
      <c r="AQ40" s="216">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0" s="381">
        <f t="shared" si="2"/>
      </c>
      <c r="AS40" s="382">
        <f t="shared" si="3"/>
      </c>
      <c r="AT40" s="377"/>
      <c r="AU40" s="378"/>
      <c r="AV40" s="383"/>
      <c r="AW40" s="362">
        <f t="shared" si="4"/>
      </c>
      <c r="AX40" s="362">
        <f t="shared" si="5"/>
      </c>
      <c r="AY40" s="362">
        <f t="shared" si="6"/>
      </c>
      <c r="AZ40" s="381">
        <f t="shared" si="7"/>
      </c>
      <c r="BA40" s="384">
        <f t="shared" si="8"/>
      </c>
      <c r="BB40" s="429"/>
      <c r="BC40" s="362">
        <f t="shared" si="9"/>
      </c>
      <c r="BD40" s="430">
        <f t="shared" si="10"/>
      </c>
      <c r="BE40" s="372">
        <f t="shared" si="11"/>
      </c>
      <c r="BF40" s="373">
        <f>IF(OR(AA40="Error",AS40="Error",BA40="Error",BD40="Error"),"Error",
 IF(D40="","",
 IF(AND(N($AA$6)+N($AS$6)+N($BA$7)=100%,
 OR(N($AA$6)=0,AA40&lt;&gt;""),OR(N($AS$6)=0,AS40&lt;&gt;""),OR(N($BA$7)=0,BA40&lt;&gt;""),BE40&lt;&gt;""),
 _xlfn.XLOOKUP(BE40,'Helper 1'!$B$3:$B$43,'Helper 1'!$D$3:$D$43,,-1),"")))</f>
      </c>
      <c r="BG40" s="374">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1" ht="15.95" customHeight="1" spans="2:59" x14ac:dyDescent="0.25">
      <c r="B41" s="305">
        <v>33</v>
      </c>
      <c r="C41" s="375">
        <f>IF('Data Input'!M39="","",'Data Input'!M39)</f>
      </c>
      <c r="D41" s="376">
        <f>IF(ISBLANK('Data Input'!N39),"",PROPER('Data Input'!N39))</f>
      </c>
      <c r="E41" s="377"/>
      <c r="F41" s="377"/>
      <c r="G41" s="377"/>
      <c r="H41" s="377"/>
      <c r="I41" s="377"/>
      <c r="J41" s="377"/>
      <c r="K41" s="377"/>
      <c r="L41" s="377"/>
      <c r="M41" s="377"/>
      <c r="N41" s="377"/>
      <c r="O41" s="377"/>
      <c r="P41" s="377"/>
      <c r="Q41" s="377"/>
      <c r="R41" s="377"/>
      <c r="S41" s="377"/>
      <c r="T41" s="377"/>
      <c r="U41" s="378"/>
      <c r="V41" s="378"/>
      <c r="W41" s="378"/>
      <c r="X41" s="378"/>
      <c r="Y41" s="216">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1" s="381">
        <f t="shared" si="0"/>
      </c>
      <c r="AA41" s="382">
        <f t="shared" si="1"/>
      </c>
      <c r="AB41" s="379"/>
      <c r="AC41" s="377"/>
      <c r="AD41" s="377"/>
      <c r="AE41" s="377"/>
      <c r="AF41" s="377"/>
      <c r="AG41" s="377"/>
      <c r="AH41" s="377"/>
      <c r="AI41" s="377"/>
      <c r="AJ41" s="377"/>
      <c r="AK41" s="377"/>
      <c r="AL41" s="377"/>
      <c r="AM41" s="377"/>
      <c r="AN41" s="377"/>
      <c r="AO41" s="378"/>
      <c r="AP41" s="378"/>
      <c r="AQ41" s="216">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1" s="381">
        <f t="shared" si="2"/>
      </c>
      <c r="AS41" s="382">
        <f t="shared" si="3"/>
      </c>
      <c r="AT41" s="377"/>
      <c r="AU41" s="378"/>
      <c r="AV41" s="383"/>
      <c r="AW41" s="362">
        <f t="shared" si="4"/>
      </c>
      <c r="AX41" s="362">
        <f t="shared" si="5"/>
      </c>
      <c r="AY41" s="362">
        <f t="shared" si="6"/>
      </c>
      <c r="AZ41" s="381">
        <f t="shared" si="7"/>
      </c>
      <c r="BA41" s="384">
        <f t="shared" si="8"/>
      </c>
      <c r="BB41" s="429"/>
      <c r="BC41" s="362">
        <f t="shared" si="9"/>
      </c>
      <c r="BD41" s="430">
        <f t="shared" si="10"/>
      </c>
      <c r="BE41" s="372">
        <f t="shared" si="11"/>
      </c>
      <c r="BF41" s="373">
        <f>IF(OR(AA41="Error",AS41="Error",BA41="Error",BD41="Error"),"Error",
 IF(D41="","",
 IF(AND(N($AA$6)+N($AS$6)+N($BA$7)=100%,
 OR(N($AA$6)=0,AA41&lt;&gt;""),OR(N($AS$6)=0,AS41&lt;&gt;""),OR(N($BA$7)=0,BA41&lt;&gt;""),BE41&lt;&gt;""),
 _xlfn.XLOOKUP(BE41,'Helper 1'!$B$3:$B$43,'Helper 1'!$D$3:$D$43,,-1),"")))</f>
      </c>
      <c r="BG41" s="374">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2" ht="15.95" customHeight="1" spans="2:59" x14ac:dyDescent="0.25">
      <c r="B42" s="305">
        <v>34</v>
      </c>
      <c r="C42" s="375">
        <f>IF('Data Input'!M40="","",'Data Input'!M40)</f>
      </c>
      <c r="D42" s="376">
        <f>IF(ISBLANK('Data Input'!N40),"",PROPER('Data Input'!N40))</f>
      </c>
      <c r="E42" s="377"/>
      <c r="F42" s="377"/>
      <c r="G42" s="377"/>
      <c r="H42" s="377"/>
      <c r="I42" s="377"/>
      <c r="J42" s="377"/>
      <c r="K42" s="377"/>
      <c r="L42" s="377"/>
      <c r="M42" s="377"/>
      <c r="N42" s="377"/>
      <c r="O42" s="377"/>
      <c r="P42" s="377"/>
      <c r="Q42" s="377"/>
      <c r="R42" s="377"/>
      <c r="S42" s="377"/>
      <c r="T42" s="377"/>
      <c r="U42" s="378"/>
      <c r="V42" s="378"/>
      <c r="W42" s="378"/>
      <c r="X42" s="378"/>
      <c r="Y42" s="216">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2" s="381">
        <f t="shared" si="0"/>
      </c>
      <c r="AA42" s="382">
        <f t="shared" si="1"/>
      </c>
      <c r="AB42" s="379"/>
      <c r="AC42" s="377"/>
      <c r="AD42" s="377"/>
      <c r="AE42" s="377"/>
      <c r="AF42" s="377"/>
      <c r="AG42" s="377"/>
      <c r="AH42" s="377"/>
      <c r="AI42" s="377"/>
      <c r="AJ42" s="377"/>
      <c r="AK42" s="377"/>
      <c r="AL42" s="377"/>
      <c r="AM42" s="377"/>
      <c r="AN42" s="377"/>
      <c r="AO42" s="378"/>
      <c r="AP42" s="378"/>
      <c r="AQ42" s="216">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2" s="381">
        <f t="shared" si="2"/>
      </c>
      <c r="AS42" s="382">
        <f t="shared" si="3"/>
      </c>
      <c r="AT42" s="377"/>
      <c r="AU42" s="378"/>
      <c r="AV42" s="383"/>
      <c r="AW42" s="362">
        <f t="shared" si="4"/>
      </c>
      <c r="AX42" s="362">
        <f t="shared" si="5"/>
      </c>
      <c r="AY42" s="362">
        <f t="shared" si="6"/>
      </c>
      <c r="AZ42" s="381">
        <f t="shared" si="7"/>
      </c>
      <c r="BA42" s="384">
        <f t="shared" si="8"/>
      </c>
      <c r="BB42" s="429"/>
      <c r="BC42" s="362">
        <f t="shared" si="9"/>
      </c>
      <c r="BD42" s="430">
        <f t="shared" si="10"/>
      </c>
      <c r="BE42" s="372">
        <f t="shared" si="11"/>
      </c>
      <c r="BF42" s="373">
        <f>IF(OR(AA42="Error",AS42="Error",BA42="Error",BD42="Error"),"Error",
 IF(D42="","",
 IF(AND(N($AA$6)+N($AS$6)+N($BA$7)=100%,
 OR(N($AA$6)=0,AA42&lt;&gt;""),OR(N($AS$6)=0,AS42&lt;&gt;""),OR(N($BA$7)=0,BA42&lt;&gt;""),BE42&lt;&gt;""),
 _xlfn.XLOOKUP(BE42,'Helper 1'!$B$3:$B$43,'Helper 1'!$D$3:$D$43,,-1),"")))</f>
      </c>
      <c r="BG42" s="374">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3" ht="15.95" customHeight="1" spans="2:59" x14ac:dyDescent="0.25">
      <c r="B43" s="305">
        <v>35</v>
      </c>
      <c r="C43" s="375">
        <f>IF('Data Input'!M41="","",'Data Input'!M41)</f>
      </c>
      <c r="D43" s="376">
        <f>IF(ISBLANK('Data Input'!N41),"",PROPER('Data Input'!N41))</f>
      </c>
      <c r="E43" s="377"/>
      <c r="F43" s="377"/>
      <c r="G43" s="377"/>
      <c r="H43" s="377"/>
      <c r="I43" s="377"/>
      <c r="J43" s="377"/>
      <c r="K43" s="377"/>
      <c r="L43" s="377"/>
      <c r="M43" s="377"/>
      <c r="N43" s="377"/>
      <c r="O43" s="377"/>
      <c r="P43" s="377"/>
      <c r="Q43" s="377"/>
      <c r="R43" s="377"/>
      <c r="S43" s="377"/>
      <c r="T43" s="377"/>
      <c r="U43" s="378"/>
      <c r="V43" s="378"/>
      <c r="W43" s="378"/>
      <c r="X43" s="378"/>
      <c r="Y43" s="216">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3" s="381">
        <f t="shared" si="0"/>
      </c>
      <c r="AA43" s="382">
        <f t="shared" si="1"/>
      </c>
      <c r="AB43" s="379"/>
      <c r="AC43" s="377"/>
      <c r="AD43" s="377"/>
      <c r="AE43" s="377"/>
      <c r="AF43" s="377"/>
      <c r="AG43" s="377"/>
      <c r="AH43" s="377"/>
      <c r="AI43" s="377"/>
      <c r="AJ43" s="377"/>
      <c r="AK43" s="377"/>
      <c r="AL43" s="377"/>
      <c r="AM43" s="377"/>
      <c r="AN43" s="377"/>
      <c r="AO43" s="378"/>
      <c r="AP43" s="378"/>
      <c r="AQ43" s="216">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3" s="381">
        <f t="shared" si="2"/>
      </c>
      <c r="AS43" s="382">
        <f t="shared" si="3"/>
      </c>
      <c r="AT43" s="377"/>
      <c r="AU43" s="378"/>
      <c r="AV43" s="383"/>
      <c r="AW43" s="362">
        <f t="shared" si="4"/>
      </c>
      <c r="AX43" s="362">
        <f t="shared" si="5"/>
      </c>
      <c r="AY43" s="362">
        <f t="shared" si="6"/>
      </c>
      <c r="AZ43" s="381">
        <f t="shared" si="7"/>
      </c>
      <c r="BA43" s="384">
        <f t="shared" si="8"/>
      </c>
      <c r="BB43" s="429"/>
      <c r="BC43" s="362">
        <f t="shared" si="9"/>
      </c>
      <c r="BD43" s="430">
        <f t="shared" si="10"/>
      </c>
      <c r="BE43" s="372">
        <f t="shared" si="11"/>
      </c>
      <c r="BF43" s="373">
        <f>IF(OR(AA43="Error",AS43="Error",BA43="Error",BD43="Error"),"Error",
 IF(D43="","",
 IF(AND(N($AA$6)+N($AS$6)+N($BA$7)=100%,
 OR(N($AA$6)=0,AA43&lt;&gt;""),OR(N($AS$6)=0,AS43&lt;&gt;""),OR(N($BA$7)=0,BA43&lt;&gt;""),BE43&lt;&gt;""),
 _xlfn.XLOOKUP(BE43,'Helper 1'!$B$3:$B$43,'Helper 1'!$D$3:$D$43,,-1),"")))</f>
      </c>
      <c r="BG43" s="374">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4" ht="15.95" customHeight="1" spans="2:59" x14ac:dyDescent="0.25">
      <c r="B44" s="305">
        <v>36</v>
      </c>
      <c r="C44" s="375">
        <f>IF('Data Input'!M42="","",'Data Input'!M42)</f>
      </c>
      <c r="D44" s="376">
        <f>IF(ISBLANK('Data Input'!N42),"",PROPER('Data Input'!N42))</f>
      </c>
      <c r="E44" s="377"/>
      <c r="F44" s="377"/>
      <c r="G44" s="377"/>
      <c r="H44" s="377"/>
      <c r="I44" s="377"/>
      <c r="J44" s="377"/>
      <c r="K44" s="377"/>
      <c r="L44" s="377"/>
      <c r="M44" s="377"/>
      <c r="N44" s="377"/>
      <c r="O44" s="377"/>
      <c r="P44" s="377"/>
      <c r="Q44" s="377"/>
      <c r="R44" s="377"/>
      <c r="S44" s="377"/>
      <c r="T44" s="377"/>
      <c r="U44" s="378"/>
      <c r="V44" s="378"/>
      <c r="W44" s="378"/>
      <c r="X44" s="378"/>
      <c r="Y44" s="216">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4" s="381">
        <f t="shared" si="0"/>
      </c>
      <c r="AA44" s="382">
        <f t="shared" si="1"/>
      </c>
      <c r="AB44" s="379"/>
      <c r="AC44" s="377"/>
      <c r="AD44" s="377"/>
      <c r="AE44" s="377"/>
      <c r="AF44" s="377"/>
      <c r="AG44" s="377"/>
      <c r="AH44" s="377"/>
      <c r="AI44" s="377"/>
      <c r="AJ44" s="377"/>
      <c r="AK44" s="377"/>
      <c r="AL44" s="377"/>
      <c r="AM44" s="377"/>
      <c r="AN44" s="377"/>
      <c r="AO44" s="378"/>
      <c r="AP44" s="378"/>
      <c r="AQ44" s="216">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4" s="381">
        <f t="shared" si="2"/>
      </c>
      <c r="AS44" s="382">
        <f t="shared" si="3"/>
      </c>
      <c r="AT44" s="377"/>
      <c r="AU44" s="378"/>
      <c r="AV44" s="383"/>
      <c r="AW44" s="362">
        <f t="shared" si="4"/>
      </c>
      <c r="AX44" s="362">
        <f t="shared" si="5"/>
      </c>
      <c r="AY44" s="362">
        <f t="shared" si="6"/>
      </c>
      <c r="AZ44" s="381">
        <f t="shared" si="7"/>
      </c>
      <c r="BA44" s="384">
        <f t="shared" si="8"/>
      </c>
      <c r="BB44" s="429"/>
      <c r="BC44" s="362">
        <f t="shared" si="9"/>
      </c>
      <c r="BD44" s="430">
        <f t="shared" si="10"/>
      </c>
      <c r="BE44" s="372">
        <f t="shared" si="11"/>
      </c>
      <c r="BF44" s="373">
        <f>IF(OR(AA44="Error",AS44="Error",BA44="Error",BD44="Error"),"Error",
 IF(D44="","",
 IF(AND(N($AA$6)+N($AS$6)+N($BA$7)=100%,
 OR(N($AA$6)=0,AA44&lt;&gt;""),OR(N($AS$6)=0,AS44&lt;&gt;""),OR(N($BA$7)=0,BA44&lt;&gt;""),BE44&lt;&gt;""),
 _xlfn.XLOOKUP(BE44,'Helper 1'!$B$3:$B$43,'Helper 1'!$D$3:$D$43,,-1),"")))</f>
      </c>
      <c r="BG44" s="374">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5" ht="15.95" customHeight="1" spans="2:59" x14ac:dyDescent="0.25">
      <c r="B45" s="305">
        <v>37</v>
      </c>
      <c r="C45" s="375">
        <f>IF('Data Input'!M43="","",'Data Input'!M43)</f>
      </c>
      <c r="D45" s="376">
        <f>IF(ISBLANK('Data Input'!N43),"",PROPER('Data Input'!N43))</f>
      </c>
      <c r="E45" s="377"/>
      <c r="F45" s="377"/>
      <c r="G45" s="377"/>
      <c r="H45" s="377"/>
      <c r="I45" s="377"/>
      <c r="J45" s="377"/>
      <c r="K45" s="377"/>
      <c r="L45" s="377"/>
      <c r="M45" s="377"/>
      <c r="N45" s="377"/>
      <c r="O45" s="377"/>
      <c r="P45" s="377"/>
      <c r="Q45" s="377"/>
      <c r="R45" s="377"/>
      <c r="S45" s="377"/>
      <c r="T45" s="377"/>
      <c r="U45" s="378"/>
      <c r="V45" s="378"/>
      <c r="W45" s="378"/>
      <c r="X45" s="378"/>
      <c r="Y45" s="216">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5" s="381">
        <f t="shared" si="0"/>
      </c>
      <c r="AA45" s="382">
        <f t="shared" si="1"/>
      </c>
      <c r="AB45" s="379"/>
      <c r="AC45" s="377"/>
      <c r="AD45" s="377"/>
      <c r="AE45" s="377"/>
      <c r="AF45" s="377"/>
      <c r="AG45" s="377"/>
      <c r="AH45" s="377"/>
      <c r="AI45" s="377"/>
      <c r="AJ45" s="377"/>
      <c r="AK45" s="377"/>
      <c r="AL45" s="377"/>
      <c r="AM45" s="377"/>
      <c r="AN45" s="377"/>
      <c r="AO45" s="378"/>
      <c r="AP45" s="378"/>
      <c r="AQ45" s="216">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5" s="381">
        <f t="shared" si="2"/>
      </c>
      <c r="AS45" s="382">
        <f t="shared" si="3"/>
      </c>
      <c r="AT45" s="377"/>
      <c r="AU45" s="378"/>
      <c r="AV45" s="383"/>
      <c r="AW45" s="362">
        <f t="shared" si="4"/>
      </c>
      <c r="AX45" s="362">
        <f t="shared" si="5"/>
      </c>
      <c r="AY45" s="362">
        <f t="shared" si="6"/>
      </c>
      <c r="AZ45" s="381">
        <f t="shared" si="7"/>
      </c>
      <c r="BA45" s="384">
        <f t="shared" si="8"/>
      </c>
      <c r="BB45" s="429"/>
      <c r="BC45" s="362">
        <f t="shared" si="9"/>
      </c>
      <c r="BD45" s="430">
        <f t="shared" si="10"/>
      </c>
      <c r="BE45" s="372">
        <f t="shared" si="11"/>
      </c>
      <c r="BF45" s="373">
        <f>IF(OR(AA45="Error",AS45="Error",BA45="Error",BD45="Error"),"Error",
 IF(D45="","",
 IF(AND(N($AA$6)+N($AS$6)+N($BA$7)=100%,
 OR(N($AA$6)=0,AA45&lt;&gt;""),OR(N($AS$6)=0,AS45&lt;&gt;""),OR(N($BA$7)=0,BA45&lt;&gt;""),BE45&lt;&gt;""),
 _xlfn.XLOOKUP(BE45,'Helper 1'!$B$3:$B$43,'Helper 1'!$D$3:$D$43,,-1),"")))</f>
      </c>
      <c r="BG45" s="374">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6" ht="15.95" customHeight="1" spans="2:59" x14ac:dyDescent="0.25">
      <c r="B46" s="305">
        <v>38</v>
      </c>
      <c r="C46" s="375">
        <f>IF('Data Input'!M44="","",'Data Input'!M44)</f>
      </c>
      <c r="D46" s="376">
        <f>IF(ISBLANK('Data Input'!N44),"",PROPER('Data Input'!N44))</f>
      </c>
      <c r="E46" s="377"/>
      <c r="F46" s="377"/>
      <c r="G46" s="377"/>
      <c r="H46" s="377"/>
      <c r="I46" s="377"/>
      <c r="J46" s="377"/>
      <c r="K46" s="377"/>
      <c r="L46" s="377"/>
      <c r="M46" s="377"/>
      <c r="N46" s="377"/>
      <c r="O46" s="377"/>
      <c r="P46" s="377"/>
      <c r="Q46" s="377"/>
      <c r="R46" s="377"/>
      <c r="S46" s="377"/>
      <c r="T46" s="377"/>
      <c r="U46" s="378"/>
      <c r="V46" s="378"/>
      <c r="W46" s="378"/>
      <c r="X46" s="378"/>
      <c r="Y46" s="216">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6" s="381">
        <f t="shared" si="0"/>
      </c>
      <c r="AA46" s="382">
        <f t="shared" si="1"/>
      </c>
      <c r="AB46" s="379"/>
      <c r="AC46" s="377"/>
      <c r="AD46" s="377"/>
      <c r="AE46" s="377"/>
      <c r="AF46" s="377"/>
      <c r="AG46" s="377"/>
      <c r="AH46" s="377"/>
      <c r="AI46" s="377"/>
      <c r="AJ46" s="377"/>
      <c r="AK46" s="377"/>
      <c r="AL46" s="377"/>
      <c r="AM46" s="377"/>
      <c r="AN46" s="377"/>
      <c r="AO46" s="378"/>
      <c r="AP46" s="378"/>
      <c r="AQ46" s="216">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6" s="381">
        <f t="shared" si="2"/>
      </c>
      <c r="AS46" s="382">
        <f t="shared" si="3"/>
      </c>
      <c r="AT46" s="377"/>
      <c r="AU46" s="378"/>
      <c r="AV46" s="383"/>
      <c r="AW46" s="362">
        <f t="shared" si="4"/>
      </c>
      <c r="AX46" s="362">
        <f t="shared" si="5"/>
      </c>
      <c r="AY46" s="362">
        <f t="shared" si="6"/>
      </c>
      <c r="AZ46" s="381">
        <f t="shared" si="7"/>
      </c>
      <c r="BA46" s="384">
        <f t="shared" si="8"/>
      </c>
      <c r="BB46" s="429"/>
      <c r="BC46" s="362">
        <f t="shared" si="9"/>
      </c>
      <c r="BD46" s="430">
        <f t="shared" si="10"/>
      </c>
      <c r="BE46" s="372">
        <f t="shared" si="11"/>
      </c>
      <c r="BF46" s="373">
        <f>IF(OR(AA46="Error",AS46="Error",BA46="Error",BD46="Error"),"Error",
 IF(D46="","",
 IF(AND(N($AA$6)+N($AS$6)+N($BA$7)=100%,
 OR(N($AA$6)=0,AA46&lt;&gt;""),OR(N($AS$6)=0,AS46&lt;&gt;""),OR(N($BA$7)=0,BA46&lt;&gt;""),BE46&lt;&gt;""),
 _xlfn.XLOOKUP(BE46,'Helper 1'!$B$3:$B$43,'Helper 1'!$D$3:$D$43,,-1),"")))</f>
      </c>
      <c r="BG46" s="374">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7" ht="15.95" customHeight="1" spans="2:59" x14ac:dyDescent="0.25">
      <c r="B47" s="305">
        <v>39</v>
      </c>
      <c r="C47" s="375">
        <f>IF('Data Input'!M45="","",'Data Input'!M45)</f>
      </c>
      <c r="D47" s="376">
        <f>IF(ISBLANK('Data Input'!N45),"",PROPER('Data Input'!N45))</f>
      </c>
      <c r="E47" s="377"/>
      <c r="F47" s="377"/>
      <c r="G47" s="377"/>
      <c r="H47" s="377"/>
      <c r="I47" s="377"/>
      <c r="J47" s="377"/>
      <c r="K47" s="377"/>
      <c r="L47" s="377"/>
      <c r="M47" s="377"/>
      <c r="N47" s="377"/>
      <c r="O47" s="377"/>
      <c r="P47" s="377"/>
      <c r="Q47" s="377"/>
      <c r="R47" s="377"/>
      <c r="S47" s="377"/>
      <c r="T47" s="377"/>
      <c r="U47" s="378"/>
      <c r="V47" s="378"/>
      <c r="W47" s="378"/>
      <c r="X47" s="378"/>
      <c r="Y47" s="216">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7" s="381">
        <f t="shared" si="0"/>
      </c>
      <c r="AA47" s="382">
        <f t="shared" si="1"/>
      </c>
      <c r="AB47" s="379"/>
      <c r="AC47" s="377"/>
      <c r="AD47" s="377"/>
      <c r="AE47" s="377"/>
      <c r="AF47" s="377"/>
      <c r="AG47" s="377"/>
      <c r="AH47" s="377"/>
      <c r="AI47" s="377"/>
      <c r="AJ47" s="377"/>
      <c r="AK47" s="377"/>
      <c r="AL47" s="377"/>
      <c r="AM47" s="377"/>
      <c r="AN47" s="377"/>
      <c r="AO47" s="378"/>
      <c r="AP47" s="378"/>
      <c r="AQ47" s="216">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7" s="381">
        <f t="shared" si="2"/>
      </c>
      <c r="AS47" s="382">
        <f t="shared" si="3"/>
      </c>
      <c r="AT47" s="377"/>
      <c r="AU47" s="378"/>
      <c r="AV47" s="383"/>
      <c r="AW47" s="362">
        <f t="shared" si="4"/>
      </c>
      <c r="AX47" s="362">
        <f t="shared" si="5"/>
      </c>
      <c r="AY47" s="362">
        <f t="shared" si="6"/>
      </c>
      <c r="AZ47" s="381">
        <f t="shared" si="7"/>
      </c>
      <c r="BA47" s="384">
        <f t="shared" si="8"/>
      </c>
      <c r="BB47" s="429"/>
      <c r="BC47" s="362">
        <f t="shared" si="9"/>
      </c>
      <c r="BD47" s="430">
        <f t="shared" si="10"/>
      </c>
      <c r="BE47" s="372">
        <f t="shared" si="11"/>
      </c>
      <c r="BF47" s="373">
        <f>IF(OR(AA47="Error",AS47="Error",BA47="Error",BD47="Error"),"Error",
 IF(D47="","",
 IF(AND(N($AA$6)+N($AS$6)+N($BA$7)=100%,
 OR(N($AA$6)=0,AA47&lt;&gt;""),OR(N($AS$6)=0,AS47&lt;&gt;""),OR(N($BA$7)=0,BA47&lt;&gt;""),BE47&lt;&gt;""),
 _xlfn.XLOOKUP(BE47,'Helper 1'!$B$3:$B$43,'Helper 1'!$D$3:$D$43,,-1),"")))</f>
      </c>
      <c r="BG47" s="374">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8" ht="15.95" customHeight="1" spans="2:59" x14ac:dyDescent="0.25">
      <c r="B48" s="305">
        <v>40</v>
      </c>
      <c r="C48" s="375">
        <f>IF('Data Input'!M46="","",'Data Input'!M46)</f>
      </c>
      <c r="D48" s="376">
        <f>IF(ISBLANK('Data Input'!N46),"",PROPER('Data Input'!N46))</f>
      </c>
      <c r="E48" s="377"/>
      <c r="F48" s="377"/>
      <c r="G48" s="377"/>
      <c r="H48" s="377"/>
      <c r="I48" s="377"/>
      <c r="J48" s="377"/>
      <c r="K48" s="377"/>
      <c r="L48" s="377"/>
      <c r="M48" s="377"/>
      <c r="N48" s="377"/>
      <c r="O48" s="377"/>
      <c r="P48" s="377"/>
      <c r="Q48" s="377"/>
      <c r="R48" s="377"/>
      <c r="S48" s="377"/>
      <c r="T48" s="377"/>
      <c r="U48" s="378"/>
      <c r="V48" s="378"/>
      <c r="W48" s="378"/>
      <c r="X48" s="378"/>
      <c r="Y48" s="216">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8" s="381">
        <f t="shared" si="0"/>
      </c>
      <c r="AA48" s="382">
        <f t="shared" si="1"/>
      </c>
      <c r="AB48" s="379"/>
      <c r="AC48" s="377"/>
      <c r="AD48" s="377"/>
      <c r="AE48" s="377"/>
      <c r="AF48" s="377"/>
      <c r="AG48" s="377"/>
      <c r="AH48" s="377"/>
      <c r="AI48" s="377"/>
      <c r="AJ48" s="377"/>
      <c r="AK48" s="377"/>
      <c r="AL48" s="377"/>
      <c r="AM48" s="377"/>
      <c r="AN48" s="377"/>
      <c r="AO48" s="378"/>
      <c r="AP48" s="378"/>
      <c r="AQ48" s="216">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8" s="381">
        <f t="shared" si="2"/>
      </c>
      <c r="AS48" s="382">
        <f t="shared" si="3"/>
      </c>
      <c r="AT48" s="377"/>
      <c r="AU48" s="378"/>
      <c r="AV48" s="383"/>
      <c r="AW48" s="362">
        <f t="shared" si="4"/>
      </c>
      <c r="AX48" s="362">
        <f t="shared" si="5"/>
      </c>
      <c r="AY48" s="362">
        <f t="shared" si="6"/>
      </c>
      <c r="AZ48" s="381">
        <f t="shared" si="7"/>
      </c>
      <c r="BA48" s="384">
        <f t="shared" si="8"/>
      </c>
      <c r="BB48" s="429"/>
      <c r="BC48" s="362">
        <f t="shared" si="9"/>
      </c>
      <c r="BD48" s="430">
        <f t="shared" si="10"/>
      </c>
      <c r="BE48" s="372">
        <f t="shared" si="11"/>
      </c>
      <c r="BF48" s="373">
        <f>IF(OR(AA48="Error",AS48="Error",BA48="Error",BD48="Error"),"Error",
 IF(D48="","",
 IF(AND(N($AA$6)+N($AS$6)+N($BA$7)=100%,
 OR(N($AA$6)=0,AA48&lt;&gt;""),OR(N($AS$6)=0,AS48&lt;&gt;""),OR(N($BA$7)=0,BA48&lt;&gt;""),BE48&lt;&gt;""),
 _xlfn.XLOOKUP(BE48,'Helper 1'!$B$3:$B$43,'Helper 1'!$D$3:$D$43,,-1),"")))</f>
      </c>
      <c r="BG48" s="374">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9" ht="15.95" customHeight="1" spans="2:59" x14ac:dyDescent="0.25">
      <c r="B49" s="305">
        <v>41</v>
      </c>
      <c r="C49" s="375">
        <f>IF('Data Input'!M47="","",'Data Input'!M47)</f>
      </c>
      <c r="D49" s="376">
        <f>IF(ISBLANK('Data Input'!N47),"",PROPER('Data Input'!N47))</f>
      </c>
      <c r="E49" s="377"/>
      <c r="F49" s="377"/>
      <c r="G49" s="377"/>
      <c r="H49" s="377"/>
      <c r="I49" s="377"/>
      <c r="J49" s="377"/>
      <c r="K49" s="377"/>
      <c r="L49" s="377"/>
      <c r="M49" s="377"/>
      <c r="N49" s="377"/>
      <c r="O49" s="377"/>
      <c r="P49" s="377"/>
      <c r="Q49" s="377"/>
      <c r="R49" s="377"/>
      <c r="S49" s="377"/>
      <c r="T49" s="377"/>
      <c r="U49" s="378"/>
      <c r="V49" s="378"/>
      <c r="W49" s="378"/>
      <c r="X49" s="378"/>
      <c r="Y49" s="216">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9" s="381">
        <f t="shared" si="0"/>
      </c>
      <c r="AA49" s="382">
        <f t="shared" si="1"/>
      </c>
      <c r="AB49" s="379"/>
      <c r="AC49" s="377"/>
      <c r="AD49" s="377"/>
      <c r="AE49" s="377"/>
      <c r="AF49" s="377"/>
      <c r="AG49" s="377"/>
      <c r="AH49" s="377"/>
      <c r="AI49" s="377"/>
      <c r="AJ49" s="377"/>
      <c r="AK49" s="377"/>
      <c r="AL49" s="377"/>
      <c r="AM49" s="377"/>
      <c r="AN49" s="377"/>
      <c r="AO49" s="378"/>
      <c r="AP49" s="378"/>
      <c r="AQ49" s="216">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9" s="381">
        <f t="shared" si="2"/>
      </c>
      <c r="AS49" s="382">
        <f t="shared" si="3"/>
      </c>
      <c r="AT49" s="377"/>
      <c r="AU49" s="378"/>
      <c r="AV49" s="383"/>
      <c r="AW49" s="362">
        <f t="shared" si="4"/>
      </c>
      <c r="AX49" s="362">
        <f t="shared" si="5"/>
      </c>
      <c r="AY49" s="362">
        <f t="shared" si="6"/>
      </c>
      <c r="AZ49" s="381">
        <f t="shared" si="7"/>
      </c>
      <c r="BA49" s="384">
        <f t="shared" si="8"/>
      </c>
      <c r="BB49" s="429"/>
      <c r="BC49" s="362">
        <f t="shared" si="9"/>
      </c>
      <c r="BD49" s="430">
        <f t="shared" si="10"/>
      </c>
      <c r="BE49" s="372">
        <f t="shared" si="11"/>
      </c>
      <c r="BF49" s="373">
        <f>IF(OR(AA49="Error",AS49="Error",BA49="Error",BD49="Error"),"Error",
 IF(D49="","",
 IF(AND(N($AA$6)+N($AS$6)+N($BA$7)=100%,
 OR(N($AA$6)=0,AA49&lt;&gt;""),OR(N($AS$6)=0,AS49&lt;&gt;""),OR(N($BA$7)=0,BA49&lt;&gt;""),BE49&lt;&gt;""),
 _xlfn.XLOOKUP(BE49,'Helper 1'!$B$3:$B$43,'Helper 1'!$D$3:$D$43,,-1),"")))</f>
      </c>
      <c r="BG49" s="374">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0" ht="15.95" customHeight="1" spans="2:59" x14ac:dyDescent="0.25">
      <c r="B50" s="305">
        <v>42</v>
      </c>
      <c r="C50" s="375">
        <f>IF('Data Input'!M48="","",'Data Input'!M48)</f>
      </c>
      <c r="D50" s="376">
        <f>IF(ISBLANK('Data Input'!N48),"",PROPER('Data Input'!N48))</f>
      </c>
      <c r="E50" s="377"/>
      <c r="F50" s="377"/>
      <c r="G50" s="377"/>
      <c r="H50" s="377"/>
      <c r="I50" s="377"/>
      <c r="J50" s="377"/>
      <c r="K50" s="377"/>
      <c r="L50" s="377"/>
      <c r="M50" s="377"/>
      <c r="N50" s="377"/>
      <c r="O50" s="377"/>
      <c r="P50" s="377"/>
      <c r="Q50" s="377"/>
      <c r="R50" s="377"/>
      <c r="S50" s="377"/>
      <c r="T50" s="377"/>
      <c r="U50" s="378"/>
      <c r="V50" s="378"/>
      <c r="W50" s="378"/>
      <c r="X50" s="378"/>
      <c r="Y50" s="216">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0" s="381">
        <f t="shared" si="0"/>
      </c>
      <c r="AA50" s="382">
        <f t="shared" si="1"/>
      </c>
      <c r="AB50" s="379"/>
      <c r="AC50" s="377"/>
      <c r="AD50" s="377"/>
      <c r="AE50" s="377"/>
      <c r="AF50" s="377"/>
      <c r="AG50" s="377"/>
      <c r="AH50" s="377"/>
      <c r="AI50" s="377"/>
      <c r="AJ50" s="377"/>
      <c r="AK50" s="377"/>
      <c r="AL50" s="377"/>
      <c r="AM50" s="377"/>
      <c r="AN50" s="377"/>
      <c r="AO50" s="378"/>
      <c r="AP50" s="378"/>
      <c r="AQ50" s="216">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0" s="381">
        <f t="shared" si="2"/>
      </c>
      <c r="AS50" s="382">
        <f t="shared" si="3"/>
      </c>
      <c r="AT50" s="377"/>
      <c r="AU50" s="378"/>
      <c r="AV50" s="383"/>
      <c r="AW50" s="362">
        <f t="shared" si="4"/>
      </c>
      <c r="AX50" s="362">
        <f t="shared" si="5"/>
      </c>
      <c r="AY50" s="362">
        <f t="shared" si="6"/>
      </c>
      <c r="AZ50" s="381">
        <f t="shared" si="7"/>
      </c>
      <c r="BA50" s="384">
        <f t="shared" si="8"/>
      </c>
      <c r="BB50" s="429"/>
      <c r="BC50" s="362">
        <f t="shared" si="9"/>
      </c>
      <c r="BD50" s="430">
        <f t="shared" si="10"/>
      </c>
      <c r="BE50" s="372">
        <f t="shared" si="11"/>
      </c>
      <c r="BF50" s="373">
        <f>IF(OR(AA50="Error",AS50="Error",BA50="Error",BD50="Error"),"Error",
 IF(D50="","",
 IF(AND(N($AA$6)+N($AS$6)+N($BA$7)=100%,
 OR(N($AA$6)=0,AA50&lt;&gt;""),OR(N($AS$6)=0,AS50&lt;&gt;""),OR(N($BA$7)=0,BA50&lt;&gt;""),BE50&lt;&gt;""),
 _xlfn.XLOOKUP(BE50,'Helper 1'!$B$3:$B$43,'Helper 1'!$D$3:$D$43,,-1),"")))</f>
      </c>
      <c r="BG50" s="374">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1" ht="15.95" customHeight="1" spans="2:59" x14ac:dyDescent="0.25">
      <c r="B51" s="305">
        <v>43</v>
      </c>
      <c r="C51" s="375">
        <f>IF('Data Input'!M49="","",'Data Input'!M49)</f>
      </c>
      <c r="D51" s="376">
        <f>IF(ISBLANK('Data Input'!N49),"",PROPER('Data Input'!N49))</f>
      </c>
      <c r="E51" s="377"/>
      <c r="F51" s="377"/>
      <c r="G51" s="377"/>
      <c r="H51" s="377"/>
      <c r="I51" s="377"/>
      <c r="J51" s="377"/>
      <c r="K51" s="377"/>
      <c r="L51" s="377"/>
      <c r="M51" s="377"/>
      <c r="N51" s="377"/>
      <c r="O51" s="377"/>
      <c r="P51" s="377"/>
      <c r="Q51" s="377"/>
      <c r="R51" s="377"/>
      <c r="S51" s="377"/>
      <c r="T51" s="377"/>
      <c r="U51" s="378"/>
      <c r="V51" s="378"/>
      <c r="W51" s="378"/>
      <c r="X51" s="378"/>
      <c r="Y51" s="216">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1" s="381">
        <f t="shared" si="0"/>
      </c>
      <c r="AA51" s="382">
        <f t="shared" si="1"/>
      </c>
      <c r="AB51" s="379"/>
      <c r="AC51" s="377"/>
      <c r="AD51" s="377"/>
      <c r="AE51" s="377"/>
      <c r="AF51" s="377"/>
      <c r="AG51" s="377"/>
      <c r="AH51" s="377"/>
      <c r="AI51" s="377"/>
      <c r="AJ51" s="377"/>
      <c r="AK51" s="377"/>
      <c r="AL51" s="377"/>
      <c r="AM51" s="377"/>
      <c r="AN51" s="377"/>
      <c r="AO51" s="378"/>
      <c r="AP51" s="378"/>
      <c r="AQ51" s="216">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1" s="381">
        <f t="shared" si="2"/>
      </c>
      <c r="AS51" s="382">
        <f t="shared" si="3"/>
      </c>
      <c r="AT51" s="377"/>
      <c r="AU51" s="378"/>
      <c r="AV51" s="383"/>
      <c r="AW51" s="362">
        <f t="shared" si="4"/>
      </c>
      <c r="AX51" s="362">
        <f t="shared" si="5"/>
      </c>
      <c r="AY51" s="362">
        <f t="shared" si="6"/>
      </c>
      <c r="AZ51" s="381">
        <f t="shared" si="7"/>
      </c>
      <c r="BA51" s="384">
        <f t="shared" si="8"/>
      </c>
      <c r="BB51" s="429"/>
      <c r="BC51" s="362">
        <f t="shared" si="9"/>
      </c>
      <c r="BD51" s="430">
        <f t="shared" si="10"/>
      </c>
      <c r="BE51" s="372">
        <f t="shared" si="11"/>
      </c>
      <c r="BF51" s="373">
        <f>IF(OR(AA51="Error",AS51="Error",BA51="Error",BD51="Error"),"Error",
 IF(D51="","",
 IF(AND(N($AA$6)+N($AS$6)+N($BA$7)=100%,
 OR(N($AA$6)=0,AA51&lt;&gt;""),OR(N($AS$6)=0,AS51&lt;&gt;""),OR(N($BA$7)=0,BA51&lt;&gt;""),BE51&lt;&gt;""),
 _xlfn.XLOOKUP(BE51,'Helper 1'!$B$3:$B$43,'Helper 1'!$D$3:$D$43,,-1),"")))</f>
      </c>
      <c r="BG51" s="374">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2" ht="15.95" customHeight="1" spans="2:59" x14ac:dyDescent="0.25">
      <c r="B52" s="305">
        <v>44</v>
      </c>
      <c r="C52" s="375">
        <f>IF('Data Input'!M50="","",'Data Input'!M50)</f>
      </c>
      <c r="D52" s="376">
        <f>IF(ISBLANK('Data Input'!N50),"",PROPER('Data Input'!N50))</f>
      </c>
      <c r="E52" s="377"/>
      <c r="F52" s="377"/>
      <c r="G52" s="377"/>
      <c r="H52" s="377"/>
      <c r="I52" s="377"/>
      <c r="J52" s="377"/>
      <c r="K52" s="377"/>
      <c r="L52" s="377"/>
      <c r="M52" s="377"/>
      <c r="N52" s="377"/>
      <c r="O52" s="377"/>
      <c r="P52" s="377"/>
      <c r="Q52" s="377"/>
      <c r="R52" s="377"/>
      <c r="S52" s="377"/>
      <c r="T52" s="377"/>
      <c r="U52" s="378"/>
      <c r="V52" s="378"/>
      <c r="W52" s="378"/>
      <c r="X52" s="378"/>
      <c r="Y52" s="216">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2" s="381">
        <f t="shared" si="0"/>
      </c>
      <c r="AA52" s="382">
        <f t="shared" si="1"/>
      </c>
      <c r="AB52" s="379"/>
      <c r="AC52" s="377"/>
      <c r="AD52" s="377"/>
      <c r="AE52" s="377"/>
      <c r="AF52" s="377"/>
      <c r="AG52" s="377"/>
      <c r="AH52" s="377"/>
      <c r="AI52" s="377"/>
      <c r="AJ52" s="377"/>
      <c r="AK52" s="377"/>
      <c r="AL52" s="377"/>
      <c r="AM52" s="377"/>
      <c r="AN52" s="377"/>
      <c r="AO52" s="378"/>
      <c r="AP52" s="378"/>
      <c r="AQ52" s="216">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2" s="381">
        <f t="shared" si="2"/>
      </c>
      <c r="AS52" s="382">
        <f t="shared" si="3"/>
      </c>
      <c r="AT52" s="377"/>
      <c r="AU52" s="378"/>
      <c r="AV52" s="383"/>
      <c r="AW52" s="362">
        <f t="shared" si="4"/>
      </c>
      <c r="AX52" s="362">
        <f t="shared" si="5"/>
      </c>
      <c r="AY52" s="362">
        <f t="shared" si="6"/>
      </c>
      <c r="AZ52" s="381">
        <f t="shared" si="7"/>
      </c>
      <c r="BA52" s="384">
        <f t="shared" si="8"/>
      </c>
      <c r="BB52" s="429"/>
      <c r="BC52" s="362">
        <f t="shared" si="9"/>
      </c>
      <c r="BD52" s="430">
        <f t="shared" si="10"/>
      </c>
      <c r="BE52" s="372">
        <f t="shared" si="11"/>
      </c>
      <c r="BF52" s="373">
        <f>IF(OR(AA52="Error",AS52="Error",BA52="Error",BD52="Error"),"Error",
 IF(D52="","",
 IF(AND(N($AA$6)+N($AS$6)+N($BA$7)=100%,
 OR(N($AA$6)=0,AA52&lt;&gt;""),OR(N($AS$6)=0,AS52&lt;&gt;""),OR(N($BA$7)=0,BA52&lt;&gt;""),BE52&lt;&gt;""),
 _xlfn.XLOOKUP(BE52,'Helper 1'!$B$3:$B$43,'Helper 1'!$D$3:$D$43,,-1),"")))</f>
      </c>
      <c r="BG52" s="374">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3" ht="15.95" customHeight="1" spans="2:59" x14ac:dyDescent="0.25">
      <c r="B53" s="305">
        <v>45</v>
      </c>
      <c r="C53" s="375">
        <f>IF('Data Input'!M51="","",'Data Input'!M51)</f>
      </c>
      <c r="D53" s="376">
        <f>IF(ISBLANK('Data Input'!N51),"",PROPER('Data Input'!N51))</f>
      </c>
      <c r="E53" s="377"/>
      <c r="F53" s="377"/>
      <c r="G53" s="377"/>
      <c r="H53" s="377"/>
      <c r="I53" s="377"/>
      <c r="J53" s="377"/>
      <c r="K53" s="377"/>
      <c r="L53" s="377"/>
      <c r="M53" s="377"/>
      <c r="N53" s="377"/>
      <c r="O53" s="377"/>
      <c r="P53" s="377"/>
      <c r="Q53" s="377"/>
      <c r="R53" s="377"/>
      <c r="S53" s="377"/>
      <c r="T53" s="377"/>
      <c r="U53" s="378"/>
      <c r="V53" s="378"/>
      <c r="W53" s="378"/>
      <c r="X53" s="378"/>
      <c r="Y53" s="216">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3" s="381">
        <f t="shared" si="0"/>
      </c>
      <c r="AA53" s="382">
        <f t="shared" si="1"/>
      </c>
      <c r="AB53" s="379"/>
      <c r="AC53" s="377"/>
      <c r="AD53" s="377"/>
      <c r="AE53" s="377"/>
      <c r="AF53" s="377"/>
      <c r="AG53" s="377"/>
      <c r="AH53" s="377"/>
      <c r="AI53" s="377"/>
      <c r="AJ53" s="377"/>
      <c r="AK53" s="377"/>
      <c r="AL53" s="377"/>
      <c r="AM53" s="377"/>
      <c r="AN53" s="377"/>
      <c r="AO53" s="378"/>
      <c r="AP53" s="378"/>
      <c r="AQ53" s="216">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3" s="381">
        <f t="shared" si="2"/>
      </c>
      <c r="AS53" s="382">
        <f t="shared" si="3"/>
      </c>
      <c r="AT53" s="377"/>
      <c r="AU53" s="378"/>
      <c r="AV53" s="383"/>
      <c r="AW53" s="362">
        <f t="shared" si="4"/>
      </c>
      <c r="AX53" s="362">
        <f t="shared" si="5"/>
      </c>
      <c r="AY53" s="362">
        <f t="shared" si="6"/>
      </c>
      <c r="AZ53" s="381">
        <f t="shared" si="7"/>
      </c>
      <c r="BA53" s="384">
        <f t="shared" si="8"/>
      </c>
      <c r="BB53" s="429"/>
      <c r="BC53" s="362">
        <f t="shared" si="9"/>
      </c>
      <c r="BD53" s="430">
        <f t="shared" si="10"/>
      </c>
      <c r="BE53" s="372">
        <f t="shared" si="11"/>
      </c>
      <c r="BF53" s="373">
        <f>IF(OR(AA53="Error",AS53="Error",BA53="Error",BD53="Error"),"Error",
 IF(D53="","",
 IF(AND(N($AA$6)+N($AS$6)+N($BA$7)=100%,
 OR(N($AA$6)=0,AA53&lt;&gt;""),OR(N($AS$6)=0,AS53&lt;&gt;""),OR(N($BA$7)=0,BA53&lt;&gt;""),BE53&lt;&gt;""),
 _xlfn.XLOOKUP(BE53,'Helper 1'!$B$3:$B$43,'Helper 1'!$D$3:$D$43,,-1),"")))</f>
      </c>
      <c r="BG53" s="374">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4" ht="15.95" customHeight="1" spans="2:59" x14ac:dyDescent="0.25">
      <c r="B54" s="305">
        <v>46</v>
      </c>
      <c r="C54" s="375">
        <f>IF('Data Input'!M52="","",'Data Input'!M52)</f>
      </c>
      <c r="D54" s="376">
        <f>IF(ISBLANK('Data Input'!N52),"",PROPER('Data Input'!N52))</f>
      </c>
      <c r="E54" s="377"/>
      <c r="F54" s="377"/>
      <c r="G54" s="377"/>
      <c r="H54" s="377"/>
      <c r="I54" s="377"/>
      <c r="J54" s="377"/>
      <c r="K54" s="377"/>
      <c r="L54" s="377"/>
      <c r="M54" s="377"/>
      <c r="N54" s="377"/>
      <c r="O54" s="377"/>
      <c r="P54" s="377"/>
      <c r="Q54" s="377"/>
      <c r="R54" s="377"/>
      <c r="S54" s="377"/>
      <c r="T54" s="377"/>
      <c r="U54" s="378"/>
      <c r="V54" s="378"/>
      <c r="W54" s="378"/>
      <c r="X54" s="378"/>
      <c r="Y54" s="216">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4" s="381">
        <f t="shared" si="0"/>
      </c>
      <c r="AA54" s="382">
        <f t="shared" si="1"/>
      </c>
      <c r="AB54" s="379"/>
      <c r="AC54" s="377"/>
      <c r="AD54" s="377"/>
      <c r="AE54" s="377"/>
      <c r="AF54" s="377"/>
      <c r="AG54" s="377"/>
      <c r="AH54" s="377"/>
      <c r="AI54" s="377"/>
      <c r="AJ54" s="377"/>
      <c r="AK54" s="377"/>
      <c r="AL54" s="377"/>
      <c r="AM54" s="377"/>
      <c r="AN54" s="377"/>
      <c r="AO54" s="378"/>
      <c r="AP54" s="378"/>
      <c r="AQ54" s="216">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4" s="381">
        <f t="shared" si="2"/>
      </c>
      <c r="AS54" s="382">
        <f t="shared" si="3"/>
      </c>
      <c r="AT54" s="377"/>
      <c r="AU54" s="378"/>
      <c r="AV54" s="383"/>
      <c r="AW54" s="362">
        <f t="shared" si="4"/>
      </c>
      <c r="AX54" s="362">
        <f t="shared" si="5"/>
      </c>
      <c r="AY54" s="362">
        <f t="shared" si="6"/>
      </c>
      <c r="AZ54" s="381">
        <f t="shared" si="7"/>
      </c>
      <c r="BA54" s="384">
        <f t="shared" si="8"/>
      </c>
      <c r="BB54" s="429"/>
      <c r="BC54" s="362">
        <f t="shared" si="9"/>
      </c>
      <c r="BD54" s="430">
        <f t="shared" si="10"/>
      </c>
      <c r="BE54" s="372">
        <f t="shared" si="11"/>
      </c>
      <c r="BF54" s="373">
        <f>IF(OR(AA54="Error",AS54="Error",BA54="Error",BD54="Error"),"Error",
 IF(D54="","",
 IF(AND(N($AA$6)+N($AS$6)+N($BA$7)=100%,
 OR(N($AA$6)=0,AA54&lt;&gt;""),OR(N($AS$6)=0,AS54&lt;&gt;""),OR(N($BA$7)=0,BA54&lt;&gt;""),BE54&lt;&gt;""),
 _xlfn.XLOOKUP(BE54,'Helper 1'!$B$3:$B$43,'Helper 1'!$D$3:$D$43,,-1),"")))</f>
      </c>
      <c r="BG54" s="374">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5" ht="15.95" customHeight="1" spans="2:59" x14ac:dyDescent="0.25">
      <c r="B55" s="305">
        <v>47</v>
      </c>
      <c r="C55" s="375">
        <f>IF('Data Input'!M53="","",'Data Input'!M53)</f>
      </c>
      <c r="D55" s="376">
        <f>IF(ISBLANK('Data Input'!N53),"",PROPER('Data Input'!N53))</f>
      </c>
      <c r="E55" s="377"/>
      <c r="F55" s="377"/>
      <c r="G55" s="377"/>
      <c r="H55" s="377"/>
      <c r="I55" s="377"/>
      <c r="J55" s="377"/>
      <c r="K55" s="377"/>
      <c r="L55" s="377"/>
      <c r="M55" s="377"/>
      <c r="N55" s="377"/>
      <c r="O55" s="377"/>
      <c r="P55" s="377"/>
      <c r="Q55" s="377"/>
      <c r="R55" s="377"/>
      <c r="S55" s="377"/>
      <c r="T55" s="377"/>
      <c r="U55" s="378"/>
      <c r="V55" s="378"/>
      <c r="W55" s="378"/>
      <c r="X55" s="378"/>
      <c r="Y55" s="216">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5" s="381">
        <f t="shared" si="0"/>
      </c>
      <c r="AA55" s="382">
        <f t="shared" si="1"/>
      </c>
      <c r="AB55" s="379"/>
      <c r="AC55" s="377"/>
      <c r="AD55" s="377"/>
      <c r="AE55" s="377"/>
      <c r="AF55" s="377"/>
      <c r="AG55" s="377"/>
      <c r="AH55" s="377"/>
      <c r="AI55" s="377"/>
      <c r="AJ55" s="377"/>
      <c r="AK55" s="377"/>
      <c r="AL55" s="377"/>
      <c r="AM55" s="377"/>
      <c r="AN55" s="377"/>
      <c r="AO55" s="378"/>
      <c r="AP55" s="378"/>
      <c r="AQ55" s="216">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5" s="381">
        <f t="shared" si="2"/>
      </c>
      <c r="AS55" s="382">
        <f t="shared" si="3"/>
      </c>
      <c r="AT55" s="377"/>
      <c r="AU55" s="378"/>
      <c r="AV55" s="383"/>
      <c r="AW55" s="362">
        <f t="shared" si="4"/>
      </c>
      <c r="AX55" s="362">
        <f t="shared" si="5"/>
      </c>
      <c r="AY55" s="362">
        <f t="shared" si="6"/>
      </c>
      <c r="AZ55" s="381">
        <f t="shared" si="7"/>
      </c>
      <c r="BA55" s="384">
        <f t="shared" si="8"/>
      </c>
      <c r="BB55" s="429"/>
      <c r="BC55" s="362">
        <f t="shared" si="9"/>
      </c>
      <c r="BD55" s="430">
        <f t="shared" si="10"/>
      </c>
      <c r="BE55" s="372">
        <f t="shared" si="11"/>
      </c>
      <c r="BF55" s="373">
        <f>IF(OR(AA55="Error",AS55="Error",BA55="Error",BD55="Error"),"Error",
 IF(D55="","",
 IF(AND(N($AA$6)+N($AS$6)+N($BA$7)=100%,
 OR(N($AA$6)=0,AA55&lt;&gt;""),OR(N($AS$6)=0,AS55&lt;&gt;""),OR(N($BA$7)=0,BA55&lt;&gt;""),BE55&lt;&gt;""),
 _xlfn.XLOOKUP(BE55,'Helper 1'!$B$3:$B$43,'Helper 1'!$D$3:$D$43,,-1),"")))</f>
      </c>
      <c r="BG55" s="374">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6" ht="15.95" customHeight="1" spans="2:59" x14ac:dyDescent="0.25">
      <c r="B56" s="305">
        <v>48</v>
      </c>
      <c r="C56" s="375">
        <f>IF('Data Input'!M54="","",'Data Input'!M54)</f>
      </c>
      <c r="D56" s="376">
        <f>IF(ISBLANK('Data Input'!N54),"",PROPER('Data Input'!N54))</f>
      </c>
      <c r="E56" s="377"/>
      <c r="F56" s="377"/>
      <c r="G56" s="377"/>
      <c r="H56" s="377"/>
      <c r="I56" s="377"/>
      <c r="J56" s="377"/>
      <c r="K56" s="377"/>
      <c r="L56" s="377"/>
      <c r="M56" s="377"/>
      <c r="N56" s="377"/>
      <c r="O56" s="377"/>
      <c r="P56" s="377"/>
      <c r="Q56" s="377"/>
      <c r="R56" s="377"/>
      <c r="S56" s="377"/>
      <c r="T56" s="377"/>
      <c r="U56" s="378"/>
      <c r="V56" s="378"/>
      <c r="W56" s="378"/>
      <c r="X56" s="378"/>
      <c r="Y56" s="216">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6" s="381">
        <f t="shared" si="0"/>
      </c>
      <c r="AA56" s="382">
        <f t="shared" si="1"/>
      </c>
      <c r="AB56" s="379"/>
      <c r="AC56" s="377"/>
      <c r="AD56" s="377"/>
      <c r="AE56" s="377"/>
      <c r="AF56" s="377"/>
      <c r="AG56" s="377"/>
      <c r="AH56" s="377"/>
      <c r="AI56" s="377"/>
      <c r="AJ56" s="377"/>
      <c r="AK56" s="377"/>
      <c r="AL56" s="377"/>
      <c r="AM56" s="377"/>
      <c r="AN56" s="377"/>
      <c r="AO56" s="378"/>
      <c r="AP56" s="378"/>
      <c r="AQ56" s="216">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6" s="381">
        <f t="shared" si="2"/>
      </c>
      <c r="AS56" s="382">
        <f t="shared" si="3"/>
      </c>
      <c r="AT56" s="377"/>
      <c r="AU56" s="378"/>
      <c r="AV56" s="383"/>
      <c r="AW56" s="362">
        <f t="shared" si="4"/>
      </c>
      <c r="AX56" s="362">
        <f t="shared" si="5"/>
      </c>
      <c r="AY56" s="362">
        <f t="shared" si="6"/>
      </c>
      <c r="AZ56" s="381">
        <f t="shared" si="7"/>
      </c>
      <c r="BA56" s="384">
        <f t="shared" si="8"/>
      </c>
      <c r="BB56" s="429"/>
      <c r="BC56" s="362">
        <f t="shared" si="9"/>
      </c>
      <c r="BD56" s="430">
        <f t="shared" si="10"/>
      </c>
      <c r="BE56" s="372">
        <f t="shared" si="11"/>
      </c>
      <c r="BF56" s="373">
        <f>IF(OR(AA56="Error",AS56="Error",BA56="Error",BD56="Error"),"Error",
 IF(D56="","",
 IF(AND(N($AA$6)+N($AS$6)+N($BA$7)=100%,
 OR(N($AA$6)=0,AA56&lt;&gt;""),OR(N($AS$6)=0,AS56&lt;&gt;""),OR(N($BA$7)=0,BA56&lt;&gt;""),BE56&lt;&gt;""),
 _xlfn.XLOOKUP(BE56,'Helper 1'!$B$3:$B$43,'Helper 1'!$D$3:$D$43,,-1),"")))</f>
      </c>
      <c r="BG56" s="374">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7" ht="15.95" customHeight="1" spans="2:59" x14ac:dyDescent="0.25">
      <c r="B57" s="305">
        <v>49</v>
      </c>
      <c r="C57" s="375">
        <f>IF('Data Input'!M55="","",'Data Input'!M55)</f>
      </c>
      <c r="D57" s="376">
        <f>IF(ISBLANK('Data Input'!N55),"",PROPER('Data Input'!N55))</f>
      </c>
      <c r="E57" s="377"/>
      <c r="F57" s="377"/>
      <c r="G57" s="377"/>
      <c r="H57" s="377"/>
      <c r="I57" s="377"/>
      <c r="J57" s="377"/>
      <c r="K57" s="377"/>
      <c r="L57" s="377"/>
      <c r="M57" s="377"/>
      <c r="N57" s="377"/>
      <c r="O57" s="377"/>
      <c r="P57" s="377"/>
      <c r="Q57" s="377"/>
      <c r="R57" s="377"/>
      <c r="S57" s="377"/>
      <c r="T57" s="377"/>
      <c r="U57" s="378"/>
      <c r="V57" s="378"/>
      <c r="W57" s="378"/>
      <c r="X57" s="378"/>
      <c r="Y57" s="216">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7" s="381">
        <f t="shared" si="0"/>
      </c>
      <c r="AA57" s="382">
        <f t="shared" si="1"/>
      </c>
      <c r="AB57" s="379"/>
      <c r="AC57" s="377"/>
      <c r="AD57" s="377"/>
      <c r="AE57" s="377"/>
      <c r="AF57" s="377"/>
      <c r="AG57" s="377"/>
      <c r="AH57" s="377"/>
      <c r="AI57" s="377"/>
      <c r="AJ57" s="377"/>
      <c r="AK57" s="377"/>
      <c r="AL57" s="377"/>
      <c r="AM57" s="377"/>
      <c r="AN57" s="377"/>
      <c r="AO57" s="378"/>
      <c r="AP57" s="378"/>
      <c r="AQ57" s="216">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7" s="381">
        <f t="shared" si="2"/>
      </c>
      <c r="AS57" s="382">
        <f t="shared" si="3"/>
      </c>
      <c r="AT57" s="377"/>
      <c r="AU57" s="378"/>
      <c r="AV57" s="383"/>
      <c r="AW57" s="362">
        <f t="shared" si="4"/>
      </c>
      <c r="AX57" s="362">
        <f t="shared" si="5"/>
      </c>
      <c r="AY57" s="362">
        <f t="shared" si="6"/>
      </c>
      <c r="AZ57" s="381">
        <f t="shared" si="7"/>
      </c>
      <c r="BA57" s="384">
        <f t="shared" si="8"/>
      </c>
      <c r="BB57" s="429"/>
      <c r="BC57" s="362">
        <f t="shared" si="9"/>
      </c>
      <c r="BD57" s="430">
        <f t="shared" si="10"/>
      </c>
      <c r="BE57" s="372">
        <f t="shared" si="11"/>
      </c>
      <c r="BF57" s="373">
        <f>IF(OR(AA57="Error",AS57="Error",BA57="Error",BD57="Error"),"Error",
 IF(D57="","",
 IF(AND(N($AA$6)+N($AS$6)+N($BA$7)=100%,
 OR(N($AA$6)=0,AA57&lt;&gt;""),OR(N($AS$6)=0,AS57&lt;&gt;""),OR(N($BA$7)=0,BA57&lt;&gt;""),BE57&lt;&gt;""),
 _xlfn.XLOOKUP(BE57,'Helper 1'!$B$3:$B$43,'Helper 1'!$D$3:$D$43,,-1),"")))</f>
      </c>
      <c r="BG57" s="374">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8" ht="15.95" customHeight="1" spans="2:59" x14ac:dyDescent="0.25">
      <c r="B58" s="305">
        <v>50</v>
      </c>
      <c r="C58" s="375">
        <f>IF('Data Input'!M56="","",'Data Input'!M56)</f>
      </c>
      <c r="D58" s="376">
        <f>IF(ISBLANK('Data Input'!N56),"",PROPER('Data Input'!N56))</f>
      </c>
      <c r="E58" s="377"/>
      <c r="F58" s="377"/>
      <c r="G58" s="377"/>
      <c r="H58" s="377"/>
      <c r="I58" s="377"/>
      <c r="J58" s="377"/>
      <c r="K58" s="377"/>
      <c r="L58" s="377"/>
      <c r="M58" s="377"/>
      <c r="N58" s="377"/>
      <c r="O58" s="377"/>
      <c r="P58" s="377"/>
      <c r="Q58" s="377"/>
      <c r="R58" s="377"/>
      <c r="S58" s="377"/>
      <c r="T58" s="377"/>
      <c r="U58" s="378"/>
      <c r="V58" s="378"/>
      <c r="W58" s="378"/>
      <c r="X58" s="378"/>
      <c r="Y58" s="216">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8" s="381">
        <f t="shared" si="0"/>
      </c>
      <c r="AA58" s="382">
        <f t="shared" si="1"/>
      </c>
      <c r="AB58" s="379"/>
      <c r="AC58" s="377"/>
      <c r="AD58" s="377"/>
      <c r="AE58" s="377"/>
      <c r="AF58" s="377"/>
      <c r="AG58" s="377"/>
      <c r="AH58" s="377"/>
      <c r="AI58" s="377"/>
      <c r="AJ58" s="377"/>
      <c r="AK58" s="377"/>
      <c r="AL58" s="377"/>
      <c r="AM58" s="377"/>
      <c r="AN58" s="377"/>
      <c r="AO58" s="378"/>
      <c r="AP58" s="378"/>
      <c r="AQ58" s="216">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8" s="381">
        <f t="shared" si="2"/>
      </c>
      <c r="AS58" s="382">
        <f t="shared" si="3"/>
      </c>
      <c r="AT58" s="377"/>
      <c r="AU58" s="378"/>
      <c r="AV58" s="383"/>
      <c r="AW58" s="362">
        <f t="shared" si="4"/>
      </c>
      <c r="AX58" s="362">
        <f t="shared" si="5"/>
      </c>
      <c r="AY58" s="362">
        <f t="shared" si="6"/>
      </c>
      <c r="AZ58" s="381">
        <f t="shared" si="7"/>
      </c>
      <c r="BA58" s="384">
        <f t="shared" si="8"/>
      </c>
      <c r="BB58" s="429"/>
      <c r="BC58" s="362">
        <f t="shared" si="9"/>
      </c>
      <c r="BD58" s="430">
        <f t="shared" si="10"/>
      </c>
      <c r="BE58" s="372">
        <f t="shared" si="11"/>
      </c>
      <c r="BF58" s="373">
        <f>IF(OR(AA58="Error",AS58="Error",BA58="Error",BD58="Error"),"Error",
 IF(D58="","",
 IF(AND(N($AA$6)+N($AS$6)+N($BA$7)=100%,
 OR(N($AA$6)=0,AA58&lt;&gt;""),OR(N($AS$6)=0,AS58&lt;&gt;""),OR(N($BA$7)=0,BA58&lt;&gt;""),BE58&lt;&gt;""),
 _xlfn.XLOOKUP(BE58,'Helper 1'!$B$3:$B$43,'Helper 1'!$D$3:$D$43,,-1),"")))</f>
      </c>
      <c r="BG58" s="374">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9" ht="15.95" customHeight="1" spans="2:59" x14ac:dyDescent="0.25">
      <c r="B59" s="305">
        <v>51</v>
      </c>
      <c r="C59" s="375">
        <f>IF('Data Input'!M57="","",'Data Input'!M57)</f>
      </c>
      <c r="D59" s="376">
        <f>IF(ISBLANK('Data Input'!N57),"",PROPER('Data Input'!N57))</f>
      </c>
      <c r="E59" s="377"/>
      <c r="F59" s="377"/>
      <c r="G59" s="377"/>
      <c r="H59" s="377"/>
      <c r="I59" s="377"/>
      <c r="J59" s="377"/>
      <c r="K59" s="377"/>
      <c r="L59" s="377"/>
      <c r="M59" s="377"/>
      <c r="N59" s="377"/>
      <c r="O59" s="377"/>
      <c r="P59" s="377"/>
      <c r="Q59" s="377"/>
      <c r="R59" s="377"/>
      <c r="S59" s="377"/>
      <c r="T59" s="377"/>
      <c r="U59" s="378"/>
      <c r="V59" s="378"/>
      <c r="W59" s="378"/>
      <c r="X59" s="378"/>
      <c r="Y59" s="216">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9" s="381">
        <f t="shared" si="0"/>
      </c>
      <c r="AA59" s="382">
        <f t="shared" si="1"/>
      </c>
      <c r="AB59" s="379"/>
      <c r="AC59" s="377"/>
      <c r="AD59" s="377"/>
      <c r="AE59" s="377"/>
      <c r="AF59" s="377"/>
      <c r="AG59" s="377"/>
      <c r="AH59" s="377"/>
      <c r="AI59" s="377"/>
      <c r="AJ59" s="377"/>
      <c r="AK59" s="377"/>
      <c r="AL59" s="377"/>
      <c r="AM59" s="377"/>
      <c r="AN59" s="377"/>
      <c r="AO59" s="378"/>
      <c r="AP59" s="378"/>
      <c r="AQ59" s="216">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9" s="381">
        <f t="shared" si="2"/>
      </c>
      <c r="AS59" s="382">
        <f t="shared" si="3"/>
      </c>
      <c r="AT59" s="377"/>
      <c r="AU59" s="378"/>
      <c r="AV59" s="383"/>
      <c r="AW59" s="362">
        <f t="shared" si="4"/>
      </c>
      <c r="AX59" s="362">
        <f t="shared" si="5"/>
      </c>
      <c r="AY59" s="362">
        <f t="shared" si="6"/>
      </c>
      <c r="AZ59" s="381">
        <f t="shared" si="7"/>
      </c>
      <c r="BA59" s="384">
        <f t="shared" si="8"/>
      </c>
      <c r="BB59" s="429"/>
      <c r="BC59" s="362">
        <f t="shared" si="9"/>
      </c>
      <c r="BD59" s="430">
        <f t="shared" si="10"/>
      </c>
      <c r="BE59" s="372">
        <f t="shared" si="11"/>
      </c>
      <c r="BF59" s="373">
        <f>IF(OR(AA59="Error",AS59="Error",BA59="Error",BD59="Error"),"Error",
 IF(D59="","",
 IF(AND(N($AA$6)+N($AS$6)+N($BA$7)=100%,
 OR(N($AA$6)=0,AA59&lt;&gt;""),OR(N($AS$6)=0,AS59&lt;&gt;""),OR(N($BA$7)=0,BA59&lt;&gt;""),BE59&lt;&gt;""),
 _xlfn.XLOOKUP(BE59,'Helper 1'!$B$3:$B$43,'Helper 1'!$D$3:$D$43,,-1),"")))</f>
      </c>
      <c r="BG59" s="374">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0" ht="15.95" customHeight="1" spans="2:59" x14ac:dyDescent="0.25">
      <c r="B60" s="305">
        <v>52</v>
      </c>
      <c r="C60" s="375">
        <f>IF('Data Input'!M58="","",'Data Input'!M58)</f>
      </c>
      <c r="D60" s="376">
        <f>IF(ISBLANK('Data Input'!N58),"",PROPER('Data Input'!N58))</f>
      </c>
      <c r="E60" s="377"/>
      <c r="F60" s="377"/>
      <c r="G60" s="377"/>
      <c r="H60" s="377"/>
      <c r="I60" s="377"/>
      <c r="J60" s="377"/>
      <c r="K60" s="377"/>
      <c r="L60" s="377"/>
      <c r="M60" s="377"/>
      <c r="N60" s="377"/>
      <c r="O60" s="377"/>
      <c r="P60" s="377"/>
      <c r="Q60" s="377"/>
      <c r="R60" s="377"/>
      <c r="S60" s="377"/>
      <c r="T60" s="377"/>
      <c r="U60" s="378"/>
      <c r="V60" s="378"/>
      <c r="W60" s="378"/>
      <c r="X60" s="378"/>
      <c r="Y60" s="216">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0" s="381">
        <f t="shared" si="0"/>
      </c>
      <c r="AA60" s="382">
        <f t="shared" si="1"/>
      </c>
      <c r="AB60" s="379"/>
      <c r="AC60" s="377"/>
      <c r="AD60" s="377"/>
      <c r="AE60" s="377"/>
      <c r="AF60" s="377"/>
      <c r="AG60" s="377"/>
      <c r="AH60" s="377"/>
      <c r="AI60" s="377"/>
      <c r="AJ60" s="377"/>
      <c r="AK60" s="377"/>
      <c r="AL60" s="377"/>
      <c r="AM60" s="377"/>
      <c r="AN60" s="377"/>
      <c r="AO60" s="378"/>
      <c r="AP60" s="378"/>
      <c r="AQ60" s="216">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0" s="381">
        <f t="shared" si="2"/>
      </c>
      <c r="AS60" s="382">
        <f t="shared" si="3"/>
      </c>
      <c r="AT60" s="377"/>
      <c r="AU60" s="378"/>
      <c r="AV60" s="383"/>
      <c r="AW60" s="362">
        <f t="shared" si="4"/>
      </c>
      <c r="AX60" s="362">
        <f t="shared" si="5"/>
      </c>
      <c r="AY60" s="362">
        <f t="shared" si="6"/>
      </c>
      <c r="AZ60" s="381">
        <f t="shared" si="7"/>
      </c>
      <c r="BA60" s="384">
        <f t="shared" si="8"/>
      </c>
      <c r="BB60" s="429"/>
      <c r="BC60" s="362">
        <f t="shared" si="9"/>
      </c>
      <c r="BD60" s="430">
        <f t="shared" si="10"/>
      </c>
      <c r="BE60" s="372">
        <f t="shared" si="11"/>
      </c>
      <c r="BF60" s="373">
        <f>IF(OR(AA60="Error",AS60="Error",BA60="Error",BD60="Error"),"Error",
 IF(D60="","",
 IF(AND(N($AA$6)+N($AS$6)+N($BA$7)=100%,
 OR(N($AA$6)=0,AA60&lt;&gt;""),OR(N($AS$6)=0,AS60&lt;&gt;""),OR(N($BA$7)=0,BA60&lt;&gt;""),BE60&lt;&gt;""),
 _xlfn.XLOOKUP(BE60,'Helper 1'!$B$3:$B$43,'Helper 1'!$D$3:$D$43,,-1),"")))</f>
      </c>
      <c r="BG60" s="374">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1" ht="15.95" customHeight="1" spans="2:59" x14ac:dyDescent="0.25">
      <c r="B61" s="305">
        <v>53</v>
      </c>
      <c r="C61" s="375">
        <f>IF('Data Input'!M59="","",'Data Input'!M59)</f>
      </c>
      <c r="D61" s="376">
        <f>IF(ISBLANK('Data Input'!N59),"",PROPER('Data Input'!N59))</f>
      </c>
      <c r="E61" s="377"/>
      <c r="F61" s="377"/>
      <c r="G61" s="377"/>
      <c r="H61" s="377"/>
      <c r="I61" s="377"/>
      <c r="J61" s="377"/>
      <c r="K61" s="377"/>
      <c r="L61" s="377"/>
      <c r="M61" s="377"/>
      <c r="N61" s="377"/>
      <c r="O61" s="377"/>
      <c r="P61" s="377"/>
      <c r="Q61" s="377"/>
      <c r="R61" s="377"/>
      <c r="S61" s="377"/>
      <c r="T61" s="377"/>
      <c r="U61" s="378"/>
      <c r="V61" s="378"/>
      <c r="W61" s="378"/>
      <c r="X61" s="378"/>
      <c r="Y61" s="216">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1" s="381">
        <f t="shared" si="0"/>
      </c>
      <c r="AA61" s="382">
        <f t="shared" si="1"/>
      </c>
      <c r="AB61" s="379"/>
      <c r="AC61" s="377"/>
      <c r="AD61" s="377"/>
      <c r="AE61" s="377"/>
      <c r="AF61" s="377"/>
      <c r="AG61" s="377"/>
      <c r="AH61" s="377"/>
      <c r="AI61" s="377"/>
      <c r="AJ61" s="377"/>
      <c r="AK61" s="377"/>
      <c r="AL61" s="377"/>
      <c r="AM61" s="377"/>
      <c r="AN61" s="377"/>
      <c r="AO61" s="378"/>
      <c r="AP61" s="378"/>
      <c r="AQ61" s="216">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1" s="381">
        <f t="shared" si="2"/>
      </c>
      <c r="AS61" s="382">
        <f t="shared" si="3"/>
      </c>
      <c r="AT61" s="377"/>
      <c r="AU61" s="378"/>
      <c r="AV61" s="383"/>
      <c r="AW61" s="362">
        <f t="shared" si="4"/>
      </c>
      <c r="AX61" s="362">
        <f t="shared" si="5"/>
      </c>
      <c r="AY61" s="362">
        <f t="shared" si="6"/>
      </c>
      <c r="AZ61" s="381">
        <f t="shared" si="7"/>
      </c>
      <c r="BA61" s="384">
        <f t="shared" si="8"/>
      </c>
      <c r="BB61" s="429"/>
      <c r="BC61" s="362">
        <f t="shared" si="9"/>
      </c>
      <c r="BD61" s="430">
        <f t="shared" si="10"/>
      </c>
      <c r="BE61" s="372">
        <f t="shared" si="11"/>
      </c>
      <c r="BF61" s="373">
        <f>IF(OR(AA61="Error",AS61="Error",BA61="Error",BD61="Error"),"Error",
 IF(D61="","",
 IF(AND(N($AA$6)+N($AS$6)+N($BA$7)=100%,
 OR(N($AA$6)=0,AA61&lt;&gt;""),OR(N($AS$6)=0,AS61&lt;&gt;""),OR(N($BA$7)=0,BA61&lt;&gt;""),BE61&lt;&gt;""),
 _xlfn.XLOOKUP(BE61,'Helper 1'!$B$3:$B$43,'Helper 1'!$D$3:$D$43,,-1),"")))</f>
      </c>
      <c r="BG61" s="374">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2" ht="15.95" customHeight="1" spans="2:59" x14ac:dyDescent="0.25">
      <c r="B62" s="305">
        <v>54</v>
      </c>
      <c r="C62" s="375">
        <f>IF('Data Input'!M60="","",'Data Input'!M60)</f>
      </c>
      <c r="D62" s="376">
        <f>IF(ISBLANK('Data Input'!N60),"",PROPER('Data Input'!N60))</f>
      </c>
      <c r="E62" s="377"/>
      <c r="F62" s="377"/>
      <c r="G62" s="377"/>
      <c r="H62" s="377"/>
      <c r="I62" s="377"/>
      <c r="J62" s="377"/>
      <c r="K62" s="377"/>
      <c r="L62" s="377"/>
      <c r="M62" s="377"/>
      <c r="N62" s="377"/>
      <c r="O62" s="377"/>
      <c r="P62" s="377"/>
      <c r="Q62" s="377"/>
      <c r="R62" s="377"/>
      <c r="S62" s="377"/>
      <c r="T62" s="377"/>
      <c r="U62" s="378"/>
      <c r="V62" s="378"/>
      <c r="W62" s="378"/>
      <c r="X62" s="378"/>
      <c r="Y62" s="216">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2" s="381">
        <f t="shared" si="0"/>
      </c>
      <c r="AA62" s="382">
        <f t="shared" si="1"/>
      </c>
      <c r="AB62" s="379"/>
      <c r="AC62" s="377"/>
      <c r="AD62" s="377"/>
      <c r="AE62" s="377"/>
      <c r="AF62" s="377"/>
      <c r="AG62" s="377"/>
      <c r="AH62" s="377"/>
      <c r="AI62" s="377"/>
      <c r="AJ62" s="377"/>
      <c r="AK62" s="377"/>
      <c r="AL62" s="377"/>
      <c r="AM62" s="377"/>
      <c r="AN62" s="377"/>
      <c r="AO62" s="378"/>
      <c r="AP62" s="378"/>
      <c r="AQ62" s="216">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2" s="381">
        <f t="shared" si="2"/>
      </c>
      <c r="AS62" s="382">
        <f t="shared" si="3"/>
      </c>
      <c r="AT62" s="377"/>
      <c r="AU62" s="378"/>
      <c r="AV62" s="383"/>
      <c r="AW62" s="362">
        <f t="shared" si="4"/>
      </c>
      <c r="AX62" s="362">
        <f t="shared" si="5"/>
      </c>
      <c r="AY62" s="362">
        <f t="shared" si="6"/>
      </c>
      <c r="AZ62" s="381">
        <f t="shared" si="7"/>
      </c>
      <c r="BA62" s="384">
        <f t="shared" si="8"/>
      </c>
      <c r="BB62" s="429"/>
      <c r="BC62" s="362">
        <f t="shared" si="9"/>
      </c>
      <c r="BD62" s="430">
        <f t="shared" si="10"/>
      </c>
      <c r="BE62" s="372">
        <f t="shared" si="11"/>
      </c>
      <c r="BF62" s="373">
        <f>IF(OR(AA62="Error",AS62="Error",BA62="Error",BD62="Error"),"Error",
 IF(D62="","",
 IF(AND(N($AA$6)+N($AS$6)+N($BA$7)=100%,
 OR(N($AA$6)=0,AA62&lt;&gt;""),OR(N($AS$6)=0,AS62&lt;&gt;""),OR(N($BA$7)=0,BA62&lt;&gt;""),BE62&lt;&gt;""),
 _xlfn.XLOOKUP(BE62,'Helper 1'!$B$3:$B$43,'Helper 1'!$D$3:$D$43,,-1),"")))</f>
      </c>
      <c r="BG62" s="374">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3" ht="15.95" customHeight="1" spans="2:59" x14ac:dyDescent="0.25">
      <c r="B63" s="305">
        <v>55</v>
      </c>
      <c r="C63" s="375">
        <f>IF('Data Input'!M61="","",'Data Input'!M61)</f>
      </c>
      <c r="D63" s="376">
        <f>IF(ISBLANK('Data Input'!N61),"",PROPER('Data Input'!N61))</f>
      </c>
      <c r="E63" s="377"/>
      <c r="F63" s="377"/>
      <c r="G63" s="377"/>
      <c r="H63" s="377"/>
      <c r="I63" s="377"/>
      <c r="J63" s="377"/>
      <c r="K63" s="377"/>
      <c r="L63" s="377"/>
      <c r="M63" s="377"/>
      <c r="N63" s="377"/>
      <c r="O63" s="377"/>
      <c r="P63" s="377"/>
      <c r="Q63" s="377"/>
      <c r="R63" s="377"/>
      <c r="S63" s="377"/>
      <c r="T63" s="377"/>
      <c r="U63" s="378"/>
      <c r="V63" s="378"/>
      <c r="W63" s="378"/>
      <c r="X63" s="378"/>
      <c r="Y63" s="216">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3" s="381">
        <f t="shared" si="0"/>
      </c>
      <c r="AA63" s="382">
        <f t="shared" si="1"/>
      </c>
      <c r="AB63" s="379"/>
      <c r="AC63" s="377"/>
      <c r="AD63" s="377"/>
      <c r="AE63" s="377"/>
      <c r="AF63" s="377"/>
      <c r="AG63" s="377"/>
      <c r="AH63" s="377"/>
      <c r="AI63" s="377"/>
      <c r="AJ63" s="377"/>
      <c r="AK63" s="377"/>
      <c r="AL63" s="377"/>
      <c r="AM63" s="377"/>
      <c r="AN63" s="377"/>
      <c r="AO63" s="378"/>
      <c r="AP63" s="378"/>
      <c r="AQ63" s="216">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3" s="381">
        <f t="shared" si="2"/>
      </c>
      <c r="AS63" s="382">
        <f t="shared" si="3"/>
      </c>
      <c r="AT63" s="377"/>
      <c r="AU63" s="378"/>
      <c r="AV63" s="383"/>
      <c r="AW63" s="362">
        <f t="shared" si="4"/>
      </c>
      <c r="AX63" s="362">
        <f t="shared" si="5"/>
      </c>
      <c r="AY63" s="362">
        <f t="shared" si="6"/>
      </c>
      <c r="AZ63" s="381">
        <f t="shared" si="7"/>
      </c>
      <c r="BA63" s="384">
        <f t="shared" si="8"/>
      </c>
      <c r="BB63" s="429"/>
      <c r="BC63" s="362">
        <f t="shared" si="9"/>
      </c>
      <c r="BD63" s="430">
        <f t="shared" si="10"/>
      </c>
      <c r="BE63" s="372">
        <f t="shared" si="11"/>
      </c>
      <c r="BF63" s="373">
        <f>IF(OR(AA63="Error",AS63="Error",BA63="Error",BD63="Error"),"Error",
 IF(D63="","",
 IF(AND(N($AA$6)+N($AS$6)+N($BA$7)=100%,
 OR(N($AA$6)=0,AA63&lt;&gt;""),OR(N($AS$6)=0,AS63&lt;&gt;""),OR(N($BA$7)=0,BA63&lt;&gt;""),BE63&lt;&gt;""),
 _xlfn.XLOOKUP(BE63,'Helper 1'!$B$3:$B$43,'Helper 1'!$D$3:$D$43,,-1),"")))</f>
      </c>
      <c r="BG63" s="374">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4" ht="15.95" customHeight="1" spans="2:59" x14ac:dyDescent="0.25">
      <c r="B64" s="305">
        <v>56</v>
      </c>
      <c r="C64" s="375">
        <f>IF('Data Input'!M62="","",'Data Input'!M62)</f>
      </c>
      <c r="D64" s="376">
        <f>IF(ISBLANK('Data Input'!N62),"",PROPER('Data Input'!N62))</f>
      </c>
      <c r="E64" s="377"/>
      <c r="F64" s="377"/>
      <c r="G64" s="377"/>
      <c r="H64" s="377"/>
      <c r="I64" s="377"/>
      <c r="J64" s="377"/>
      <c r="K64" s="377"/>
      <c r="L64" s="377"/>
      <c r="M64" s="377"/>
      <c r="N64" s="377"/>
      <c r="O64" s="377"/>
      <c r="P64" s="377"/>
      <c r="Q64" s="377"/>
      <c r="R64" s="377"/>
      <c r="S64" s="377"/>
      <c r="T64" s="377"/>
      <c r="U64" s="378"/>
      <c r="V64" s="378"/>
      <c r="W64" s="378"/>
      <c r="X64" s="378"/>
      <c r="Y64" s="216">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4" s="381">
        <f t="shared" si="0"/>
      </c>
      <c r="AA64" s="382">
        <f t="shared" si="1"/>
      </c>
      <c r="AB64" s="379"/>
      <c r="AC64" s="377"/>
      <c r="AD64" s="377"/>
      <c r="AE64" s="377"/>
      <c r="AF64" s="377"/>
      <c r="AG64" s="377"/>
      <c r="AH64" s="377"/>
      <c r="AI64" s="377"/>
      <c r="AJ64" s="377"/>
      <c r="AK64" s="377"/>
      <c r="AL64" s="377"/>
      <c r="AM64" s="377"/>
      <c r="AN64" s="377"/>
      <c r="AO64" s="378"/>
      <c r="AP64" s="378"/>
      <c r="AQ64" s="216">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4" s="381">
        <f t="shared" si="2"/>
      </c>
      <c r="AS64" s="382">
        <f t="shared" si="3"/>
      </c>
      <c r="AT64" s="377"/>
      <c r="AU64" s="378"/>
      <c r="AV64" s="383"/>
      <c r="AW64" s="362">
        <f t="shared" si="4"/>
      </c>
      <c r="AX64" s="362">
        <f t="shared" si="5"/>
      </c>
      <c r="AY64" s="362">
        <f t="shared" si="6"/>
      </c>
      <c r="AZ64" s="381">
        <f t="shared" si="7"/>
      </c>
      <c r="BA64" s="384">
        <f t="shared" si="8"/>
      </c>
      <c r="BB64" s="429"/>
      <c r="BC64" s="362">
        <f t="shared" si="9"/>
      </c>
      <c r="BD64" s="430">
        <f t="shared" si="10"/>
      </c>
      <c r="BE64" s="372">
        <f t="shared" si="11"/>
      </c>
      <c r="BF64" s="373">
        <f>IF(OR(AA64="Error",AS64="Error",BA64="Error",BD64="Error"),"Error",
 IF(D64="","",
 IF(AND(N($AA$6)+N($AS$6)+N($BA$7)=100%,
 OR(N($AA$6)=0,AA64&lt;&gt;""),OR(N($AS$6)=0,AS64&lt;&gt;""),OR(N($BA$7)=0,BA64&lt;&gt;""),BE64&lt;&gt;""),
 _xlfn.XLOOKUP(BE64,'Helper 1'!$B$3:$B$43,'Helper 1'!$D$3:$D$43,,-1),"")))</f>
      </c>
      <c r="BG64" s="374">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5" ht="15.95" customHeight="1" spans="2:59" x14ac:dyDescent="0.25">
      <c r="B65" s="305">
        <v>57</v>
      </c>
      <c r="C65" s="375">
        <f>IF('Data Input'!M63="","",'Data Input'!M63)</f>
      </c>
      <c r="D65" s="376">
        <f>IF(ISBLANK('Data Input'!N63),"",PROPER('Data Input'!N63))</f>
      </c>
      <c r="E65" s="377"/>
      <c r="F65" s="377"/>
      <c r="G65" s="377"/>
      <c r="H65" s="377"/>
      <c r="I65" s="377"/>
      <c r="J65" s="377"/>
      <c r="K65" s="377"/>
      <c r="L65" s="377"/>
      <c r="M65" s="377"/>
      <c r="N65" s="377"/>
      <c r="O65" s="377"/>
      <c r="P65" s="377"/>
      <c r="Q65" s="377"/>
      <c r="R65" s="377"/>
      <c r="S65" s="377"/>
      <c r="T65" s="377"/>
      <c r="U65" s="378"/>
      <c r="V65" s="378"/>
      <c r="W65" s="378"/>
      <c r="X65" s="378"/>
      <c r="Y65" s="216">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5" s="381">
        <f t="shared" si="0"/>
      </c>
      <c r="AA65" s="382">
        <f t="shared" si="1"/>
      </c>
      <c r="AB65" s="379"/>
      <c r="AC65" s="377"/>
      <c r="AD65" s="377"/>
      <c r="AE65" s="377"/>
      <c r="AF65" s="377"/>
      <c r="AG65" s="377"/>
      <c r="AH65" s="377"/>
      <c r="AI65" s="377"/>
      <c r="AJ65" s="377"/>
      <c r="AK65" s="377"/>
      <c r="AL65" s="377"/>
      <c r="AM65" s="377"/>
      <c r="AN65" s="377"/>
      <c r="AO65" s="378"/>
      <c r="AP65" s="378"/>
      <c r="AQ65" s="216">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5" s="381">
        <f t="shared" si="2"/>
      </c>
      <c r="AS65" s="382">
        <f t="shared" si="3"/>
      </c>
      <c r="AT65" s="377"/>
      <c r="AU65" s="378"/>
      <c r="AV65" s="383"/>
      <c r="AW65" s="362">
        <f t="shared" si="4"/>
      </c>
      <c r="AX65" s="362">
        <f t="shared" si="5"/>
      </c>
      <c r="AY65" s="362">
        <f t="shared" si="6"/>
      </c>
      <c r="AZ65" s="381">
        <f t="shared" si="7"/>
      </c>
      <c r="BA65" s="384">
        <f t="shared" si="8"/>
      </c>
      <c r="BB65" s="429"/>
      <c r="BC65" s="362">
        <f t="shared" si="9"/>
      </c>
      <c r="BD65" s="430">
        <f t="shared" si="10"/>
      </c>
      <c r="BE65" s="372">
        <f t="shared" si="11"/>
      </c>
      <c r="BF65" s="373">
        <f>IF(OR(AA65="Error",AS65="Error",BA65="Error",BD65="Error"),"Error",
 IF(D65="","",
 IF(AND(N($AA$6)+N($AS$6)+N($BA$7)=100%,
 OR(N($AA$6)=0,AA65&lt;&gt;""),OR(N($AS$6)=0,AS65&lt;&gt;""),OR(N($BA$7)=0,BA65&lt;&gt;""),BE65&lt;&gt;""),
 _xlfn.XLOOKUP(BE65,'Helper 1'!$B$3:$B$43,'Helper 1'!$D$3:$D$43,,-1),"")))</f>
      </c>
      <c r="BG65" s="374">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6" ht="15.95" customHeight="1" spans="2:59" x14ac:dyDescent="0.25">
      <c r="B66" s="305">
        <v>58</v>
      </c>
      <c r="C66" s="375">
        <f>IF('Data Input'!M64="","",'Data Input'!M64)</f>
      </c>
      <c r="D66" s="376">
        <f>IF(ISBLANK('Data Input'!N64),"",PROPER('Data Input'!N64))</f>
      </c>
      <c r="E66" s="377"/>
      <c r="F66" s="377"/>
      <c r="G66" s="377"/>
      <c r="H66" s="377"/>
      <c r="I66" s="377"/>
      <c r="J66" s="377"/>
      <c r="K66" s="377"/>
      <c r="L66" s="377"/>
      <c r="M66" s="377"/>
      <c r="N66" s="377"/>
      <c r="O66" s="377"/>
      <c r="P66" s="377"/>
      <c r="Q66" s="377"/>
      <c r="R66" s="377"/>
      <c r="S66" s="377"/>
      <c r="T66" s="377"/>
      <c r="U66" s="378"/>
      <c r="V66" s="378"/>
      <c r="W66" s="378"/>
      <c r="X66" s="378"/>
      <c r="Y66" s="216">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6" s="381">
        <f t="shared" si="0"/>
      </c>
      <c r="AA66" s="382">
        <f t="shared" si="1"/>
      </c>
      <c r="AB66" s="379"/>
      <c r="AC66" s="377"/>
      <c r="AD66" s="377"/>
      <c r="AE66" s="377"/>
      <c r="AF66" s="377"/>
      <c r="AG66" s="377"/>
      <c r="AH66" s="377"/>
      <c r="AI66" s="377"/>
      <c r="AJ66" s="377"/>
      <c r="AK66" s="377"/>
      <c r="AL66" s="377"/>
      <c r="AM66" s="377"/>
      <c r="AN66" s="377"/>
      <c r="AO66" s="378"/>
      <c r="AP66" s="378"/>
      <c r="AQ66" s="216">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6" s="381">
        <f t="shared" si="2"/>
      </c>
      <c r="AS66" s="382">
        <f t="shared" si="3"/>
      </c>
      <c r="AT66" s="377"/>
      <c r="AU66" s="378"/>
      <c r="AV66" s="383"/>
      <c r="AW66" s="362">
        <f t="shared" si="4"/>
      </c>
      <c r="AX66" s="362">
        <f t="shared" si="5"/>
      </c>
      <c r="AY66" s="362">
        <f t="shared" si="6"/>
      </c>
      <c r="AZ66" s="381">
        <f t="shared" si="7"/>
      </c>
      <c r="BA66" s="384">
        <f t="shared" si="8"/>
      </c>
      <c r="BB66" s="429"/>
      <c r="BC66" s="362">
        <f t="shared" si="9"/>
      </c>
      <c r="BD66" s="430">
        <f t="shared" si="10"/>
      </c>
      <c r="BE66" s="372">
        <f t="shared" si="11"/>
      </c>
      <c r="BF66" s="373">
        <f>IF(OR(AA66="Error",AS66="Error",BA66="Error",BD66="Error"),"Error",
 IF(D66="","",
 IF(AND(N($AA$6)+N($AS$6)+N($BA$7)=100%,
 OR(N($AA$6)=0,AA66&lt;&gt;""),OR(N($AS$6)=0,AS66&lt;&gt;""),OR(N($BA$7)=0,BA66&lt;&gt;""),BE66&lt;&gt;""),
 _xlfn.XLOOKUP(BE66,'Helper 1'!$B$3:$B$43,'Helper 1'!$D$3:$D$43,,-1),"")))</f>
      </c>
      <c r="BG66" s="374">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7" ht="15.95" customHeight="1" spans="2:59" x14ac:dyDescent="0.25">
      <c r="B67" s="305">
        <v>59</v>
      </c>
      <c r="C67" s="375">
        <f>IF('Data Input'!M65="","",'Data Input'!M65)</f>
      </c>
      <c r="D67" s="376">
        <f>IF(ISBLANK('Data Input'!N65),"",PROPER('Data Input'!N65))</f>
      </c>
      <c r="E67" s="377"/>
      <c r="F67" s="377"/>
      <c r="G67" s="377"/>
      <c r="H67" s="377"/>
      <c r="I67" s="377"/>
      <c r="J67" s="377"/>
      <c r="K67" s="377"/>
      <c r="L67" s="377"/>
      <c r="M67" s="377"/>
      <c r="N67" s="377"/>
      <c r="O67" s="377"/>
      <c r="P67" s="377"/>
      <c r="Q67" s="377"/>
      <c r="R67" s="377"/>
      <c r="S67" s="377"/>
      <c r="T67" s="377"/>
      <c r="U67" s="378"/>
      <c r="V67" s="378"/>
      <c r="W67" s="378"/>
      <c r="X67" s="378"/>
      <c r="Y67" s="216">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7" s="381">
        <f t="shared" si="0"/>
      </c>
      <c r="AA67" s="382">
        <f t="shared" si="1"/>
      </c>
      <c r="AB67" s="379"/>
      <c r="AC67" s="377"/>
      <c r="AD67" s="377"/>
      <c r="AE67" s="377"/>
      <c r="AF67" s="377"/>
      <c r="AG67" s="377"/>
      <c r="AH67" s="377"/>
      <c r="AI67" s="377"/>
      <c r="AJ67" s="377"/>
      <c r="AK67" s="377"/>
      <c r="AL67" s="377"/>
      <c r="AM67" s="377"/>
      <c r="AN67" s="377"/>
      <c r="AO67" s="378"/>
      <c r="AP67" s="378"/>
      <c r="AQ67" s="216">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7" s="381">
        <f t="shared" si="2"/>
      </c>
      <c r="AS67" s="382">
        <f t="shared" si="3"/>
      </c>
      <c r="AT67" s="377"/>
      <c r="AU67" s="378"/>
      <c r="AV67" s="383"/>
      <c r="AW67" s="362">
        <f t="shared" si="4"/>
      </c>
      <c r="AX67" s="362">
        <f t="shared" si="5"/>
      </c>
      <c r="AY67" s="362">
        <f t="shared" si="6"/>
      </c>
      <c r="AZ67" s="381">
        <f t="shared" si="7"/>
      </c>
      <c r="BA67" s="384">
        <f t="shared" si="8"/>
      </c>
      <c r="BB67" s="429"/>
      <c r="BC67" s="362">
        <f t="shared" si="9"/>
      </c>
      <c r="BD67" s="430">
        <f t="shared" si="10"/>
      </c>
      <c r="BE67" s="372">
        <f t="shared" si="11"/>
      </c>
      <c r="BF67" s="373">
        <f>IF(OR(AA67="Error",AS67="Error",BA67="Error",BD67="Error"),"Error",
 IF(D67="","",
 IF(AND(N($AA$6)+N($AS$6)+N($BA$7)=100%,
 OR(N($AA$6)=0,AA67&lt;&gt;""),OR(N($AS$6)=0,AS67&lt;&gt;""),OR(N($BA$7)=0,BA67&lt;&gt;""),BE67&lt;&gt;""),
 _xlfn.XLOOKUP(BE67,'Helper 1'!$B$3:$B$43,'Helper 1'!$D$3:$D$43,,-1),"")))</f>
      </c>
      <c r="BG67" s="374">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8" ht="15.95" customHeight="1" spans="2:59" x14ac:dyDescent="0.25">
      <c r="B68" s="387">
        <v>60</v>
      </c>
      <c r="C68" s="162">
        <f>IF('Data Input'!M66="","",'Data Input'!M66)</f>
      </c>
      <c r="D68" s="388">
        <f>IF(ISBLANK('Data Input'!N66),"",PROPER('Data Input'!N66))</f>
      </c>
      <c r="E68" s="389"/>
      <c r="F68" s="389"/>
      <c r="G68" s="389"/>
      <c r="H68" s="389"/>
      <c r="I68" s="389"/>
      <c r="J68" s="389"/>
      <c r="K68" s="389"/>
      <c r="L68" s="389"/>
      <c r="M68" s="389"/>
      <c r="N68" s="389"/>
      <c r="O68" s="389"/>
      <c r="P68" s="389"/>
      <c r="Q68" s="389"/>
      <c r="R68" s="389"/>
      <c r="S68" s="389"/>
      <c r="T68" s="389"/>
      <c r="U68" s="390"/>
      <c r="V68" s="390"/>
      <c r="W68" s="390"/>
      <c r="X68" s="390"/>
      <c r="Y68" s="393">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8" s="394">
        <f t="shared" si="0"/>
      </c>
      <c r="AA68" s="395">
        <f t="shared" si="1"/>
      </c>
      <c r="AB68" s="391"/>
      <c r="AC68" s="389"/>
      <c r="AD68" s="389"/>
      <c r="AE68" s="389"/>
      <c r="AF68" s="389"/>
      <c r="AG68" s="389"/>
      <c r="AH68" s="389"/>
      <c r="AI68" s="389"/>
      <c r="AJ68" s="389"/>
      <c r="AK68" s="389"/>
      <c r="AL68" s="389"/>
      <c r="AM68" s="389"/>
      <c r="AN68" s="389"/>
      <c r="AO68" s="390"/>
      <c r="AP68" s="390"/>
      <c r="AQ68" s="393">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8" s="394">
        <f t="shared" si="2"/>
      </c>
      <c r="AS68" s="395">
        <f t="shared" si="3"/>
      </c>
      <c r="AT68" s="389"/>
      <c r="AU68" s="390"/>
      <c r="AV68" s="396"/>
      <c r="AW68" s="397">
        <f t="shared" si="4"/>
      </c>
      <c r="AX68" s="397">
        <f t="shared" si="5"/>
      </c>
      <c r="AY68" s="397">
        <f t="shared" si="6"/>
      </c>
      <c r="AZ68" s="394">
        <f t="shared" si="7"/>
      </c>
      <c r="BA68" s="398">
        <f t="shared" si="8"/>
      </c>
      <c r="BB68" s="431"/>
      <c r="BC68" s="397">
        <f t="shared" si="9"/>
      </c>
      <c r="BD68" s="432">
        <f t="shared" si="10"/>
      </c>
      <c r="BE68" s="372">
        <f t="shared" si="11"/>
      </c>
      <c r="BF68" s="373">
        <f>IF(OR(AA68="Error",AS68="Error",BA68="Error",BD68="Error"),"Error",
 IF(D68="","",
 IF(AND(N($AA$6)+N($AS$6)+N($BA$7)=100%,
 OR(N($AA$6)=0,AA68&lt;&gt;""),OR(N($AS$6)=0,AS68&lt;&gt;""),OR(N($BA$7)=0,BA68&lt;&gt;""),BE68&lt;&gt;""),
 _xlfn.XLOOKUP(BE68,'Helper 1'!$B$3:$B$43,'Helper 1'!$D$3:$D$43,,-1),"")))</f>
      </c>
      <c r="BG68" s="374">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9" spans="2:59" x14ac:dyDescent="0.25">
      <c r="B69" s="401"/>
      <c r="C69" s="401"/>
      <c r="D69" s="401"/>
      <c r="E69" s="401"/>
      <c r="F69" s="401"/>
      <c r="G69" s="401"/>
      <c r="H69" s="401"/>
      <c r="I69" s="401"/>
      <c r="J69" s="401"/>
      <c r="K69" s="401"/>
      <c r="L69" s="401"/>
      <c r="M69" s="401"/>
      <c r="N69" s="401"/>
      <c r="O69" s="401"/>
      <c r="P69" s="401"/>
      <c r="Q69" s="401"/>
      <c r="R69" s="401"/>
      <c r="S69" s="401"/>
      <c r="T69" s="401"/>
      <c r="U69" s="401"/>
      <c r="V69" s="401"/>
      <c r="W69" s="401"/>
      <c r="X69" s="401"/>
      <c r="Y69" s="401"/>
      <c r="Z69" s="401"/>
      <c r="AA69" s="401"/>
      <c r="AB69" s="401"/>
      <c r="AC69" s="401"/>
      <c r="AD69" s="401"/>
      <c r="AE69" s="401"/>
      <c r="AF69" s="401"/>
      <c r="AG69" s="401"/>
      <c r="AH69" s="401"/>
      <c r="AI69" s="401"/>
      <c r="AJ69" s="401"/>
      <c r="AK69" s="401"/>
      <c r="AL69" s="401"/>
      <c r="AM69" s="401"/>
      <c r="AN69" s="401"/>
      <c r="AO69" s="401"/>
      <c r="AP69" s="401"/>
      <c r="AQ69" s="401"/>
      <c r="AR69" s="401"/>
      <c r="AS69" s="401"/>
      <c r="AT69" s="401"/>
      <c r="AU69" s="401"/>
      <c r="AV69" s="401"/>
      <c r="AW69" s="401"/>
      <c r="AX69" s="401"/>
      <c r="AY69" s="401"/>
      <c r="AZ69" s="401"/>
      <c r="BA69" s="401"/>
      <c r="BB69" s="401"/>
      <c r="BC69" s="401"/>
      <c r="BD69" s="401"/>
      <c r="BE69" s="401"/>
      <c r="BF69" s="401"/>
      <c r="BG69" s="401"/>
    </row>
  </sheetData>
  <sheetProtection sheet="1" algorithmName="SHA-512" hashValue="vg/e4nKnvjsfan4AcSLe4QEXiP+jCX98zBQeTAIRtGlTpOQW1C+bjhG5lON/OQkyWzb/bKCH+GwpW5IR3Yc6rg==" saltValue="GAHCd1FwFyM1XlWzRAklUg==" spinCount="100000" objects="1" scenarios="1"/>
  <mergeCells count="51">
    <mergeCell ref="B2:C2"/>
    <mergeCell ref="E2:X2"/>
    <mergeCell ref="Y2:AA2"/>
    <mergeCell ref="AB2:AD2"/>
    <mergeCell ref="AE2:AH2"/>
    <mergeCell ref="AI2:AQ2"/>
    <mergeCell ref="AR2:AS2"/>
    <mergeCell ref="AT2:AW2"/>
    <mergeCell ref="AX2:BA2"/>
    <mergeCell ref="BB2:BD4"/>
    <mergeCell ref="BE2:BG3"/>
    <mergeCell ref="B3:C3"/>
    <mergeCell ref="E3:X3"/>
    <mergeCell ref="Y3:AA3"/>
    <mergeCell ref="AB3:AD3"/>
    <mergeCell ref="AE3:AH3"/>
    <mergeCell ref="AI3:AQ3"/>
    <mergeCell ref="AR3:AS3"/>
    <mergeCell ref="AT3:AW3"/>
    <mergeCell ref="AX3:BA3"/>
    <mergeCell ref="B4:D4"/>
    <mergeCell ref="E4:AA4"/>
    <mergeCell ref="AB4:AS4"/>
    <mergeCell ref="AT4:BA4"/>
    <mergeCell ref="B5:C8"/>
    <mergeCell ref="BE4:BE8"/>
    <mergeCell ref="BF4:BF8"/>
    <mergeCell ref="BG4:BG8"/>
    <mergeCell ref="D5:D8"/>
    <mergeCell ref="AW5:AW6"/>
    <mergeCell ref="AX5:AX6"/>
    <mergeCell ref="AY5:AY6"/>
    <mergeCell ref="AZ5:AZ6"/>
    <mergeCell ref="BA5:BA6"/>
    <mergeCell ref="BD5:BD8"/>
    <mergeCell ref="Y6:Y8"/>
    <mergeCell ref="Z6:Z8"/>
    <mergeCell ref="AA6:AA8"/>
    <mergeCell ref="AQ6:AQ8"/>
    <mergeCell ref="AR6:AR8"/>
    <mergeCell ref="AS6:AS8"/>
    <mergeCell ref="AT6:AT7"/>
    <mergeCell ref="AU6:AU7"/>
    <mergeCell ref="AV6:AV7"/>
    <mergeCell ref="BB6:BB7"/>
    <mergeCell ref="BC6:BC8"/>
    <mergeCell ref="AW7:AW8"/>
    <mergeCell ref="AX7:AX8"/>
    <mergeCell ref="AY7:AY8"/>
    <mergeCell ref="AZ7:AZ8"/>
    <mergeCell ref="BA7:BA8"/>
  </mergeCells>
  <conditionalFormatting sqref="E6:X6">
    <cfRule type="expression" dxfId="14" priority="11">
      <formula>AND(ISTEXT(E$6),(E$6&lt;&gt;""))</formula>
    </cfRule>
  </conditionalFormatting>
  <conditionalFormatting sqref="E9:X68">
    <cfRule type="expression" dxfId="15" priority="3">
      <formula>AND($D9&lt;&gt;"",E$6&lt;&gt;"",E9="")</formula>
    </cfRule>
    <cfRule type="expression" dxfId="16" priority="14">
      <formula>OR(ISTEXT(E9),E9&gt;E$6)</formula>
    </cfRule>
  </conditionalFormatting>
  <conditionalFormatting sqref="AB6:AP6">
    <cfRule type="expression" dxfId="17" priority="12">
      <formula>AND(ISTEXT(AB$6),(AB$6&lt;&gt;""))</formula>
    </cfRule>
  </conditionalFormatting>
  <conditionalFormatting sqref="AB9:AP68">
    <cfRule type="expression" dxfId="18" priority="2">
      <formula>AND($D9&lt;&gt;"",AB$6&lt;&gt;"",AB9="")</formula>
    </cfRule>
    <cfRule type="expression" dxfId="19" priority="15">
      <formula>OR(ISTEXT(AB9),AB9&gt;AB$6)</formula>
    </cfRule>
  </conditionalFormatting>
  <conditionalFormatting sqref="AT6:AV6">
    <cfRule type="expression" dxfId="20" priority="13">
      <formula>AND(ISTEXT(AT$6),(AT$6&lt;&gt;""))</formula>
    </cfRule>
  </conditionalFormatting>
  <conditionalFormatting sqref="AT9:AV68">
    <cfRule type="expression" dxfId="21" priority="1">
      <formula>AND($D9&lt;&gt;"",AT$6&lt;&gt;"",AT9="")</formula>
    </cfRule>
    <cfRule type="expression" dxfId="22" priority="16">
      <formula>OR(ISTEXT(AT9),AT9&gt;AT$6)</formula>
    </cfRule>
  </conditionalFormatting>
  <conditionalFormatting sqref="BB9:BB68">
    <cfRule type="expression" dxfId="23" priority="7">
      <formula>BB9&gt;$BB$6</formula>
    </cfRule>
  </conditionalFormatting>
  <conditionalFormatting sqref="BF9:BF68">
    <cfRule type="cellIs" dxfId="24" priority="8" operator="lessThan">
      <formula>75</formula>
    </cfRule>
  </conditionalFormatting>
  <conditionalFormatting sqref="BD9:BD68">
    <cfRule priority="5"/>
  </conditionalFormatting>
  <conditionalFormatting sqref="BG9:BG68">
    <cfRule priority="4"/>
  </conditionalFormatting>
  <conditionalFormatting sqref="BG9:BG68">
    <cfRule priority="9"/>
  </conditionalFormatting>
  <conditionalFormatting sqref="BG9:BG68">
    <cfRule priority="10"/>
  </conditionalFormatting>
  <dataValidations count="2299">
    <dataValidation showInputMessage="1" prompt="Weighted Score" showErrorMessage="1" sqref="AA5"/>
    <dataValidation type="whole" allowBlank="1" showInputMessage="1" showErrorMessage="1" sqref="AB10">
      <formula1>0</formula1>
      <formula2>NaN</formula2>
    </dataValidation>
    <dataValidation type="whole" allowBlank="1" showInputMessage="1" showErrorMessage="1" sqref="AB11">
      <formula1>0</formula1>
      <formula2>NaN</formula2>
    </dataValidation>
    <dataValidation type="whole" allowBlank="1" showInputMessage="1" showErrorMessage="1" sqref="AB12">
      <formula1>0</formula1>
      <formula2>NaN</formula2>
    </dataValidation>
    <dataValidation type="whole" allowBlank="1" showInputMessage="1" showErrorMessage="1" sqref="AB13">
      <formula1>0</formula1>
      <formula2>NaN</formula2>
    </dataValidation>
    <dataValidation type="whole" allowBlank="1" showInputMessage="1" showErrorMessage="1" sqref="AB14">
      <formula1>0</formula1>
      <formula2>NaN</formula2>
    </dataValidation>
    <dataValidation type="whole" allowBlank="1" showInputMessage="1" showErrorMessage="1" sqref="AB15">
      <formula1>0</formula1>
      <formula2>NaN</formula2>
    </dataValidation>
    <dataValidation type="whole" allowBlank="1" showInputMessage="1" showErrorMessage="1" sqref="AB16">
      <formula1>0</formula1>
      <formula2>NaN</formula2>
    </dataValidation>
    <dataValidation type="whole" allowBlank="1" showInputMessage="1" showErrorMessage="1" sqref="AB17">
      <formula1>0</formula1>
      <formula2>NaN</formula2>
    </dataValidation>
    <dataValidation type="whole" allowBlank="1" showInputMessage="1" showErrorMessage="1" sqref="AB18">
      <formula1>0</formula1>
      <formula2>NaN</formula2>
    </dataValidation>
    <dataValidation type="whole" allowBlank="1" showInputMessage="1" showErrorMessage="1" sqref="AB19">
      <formula1>0</formula1>
      <formula2>NaN</formula2>
    </dataValidation>
    <dataValidation type="whole" allowBlank="1" showInputMessage="1" showErrorMessage="1" sqref="AB20">
      <formula1>0</formula1>
      <formula2>NaN</formula2>
    </dataValidation>
    <dataValidation type="whole" allowBlank="1" showInputMessage="1" showErrorMessage="1" sqref="AB21">
      <formula1>0</formula1>
      <formula2>NaN</formula2>
    </dataValidation>
    <dataValidation type="whole" allowBlank="1" showInputMessage="1" showErrorMessage="1" sqref="AB22">
      <formula1>0</formula1>
      <formula2>NaN</formula2>
    </dataValidation>
    <dataValidation type="whole" allowBlank="1" showInputMessage="1" showErrorMessage="1" sqref="AB23">
      <formula1>0</formula1>
      <formula2>NaN</formula2>
    </dataValidation>
    <dataValidation type="whole" allowBlank="1" showInputMessage="1" showErrorMessage="1" sqref="AB24">
      <formula1>0</formula1>
      <formula2>NaN</formula2>
    </dataValidation>
    <dataValidation type="whole" allowBlank="1" showInputMessage="1" showErrorMessage="1" sqref="AB25">
      <formula1>0</formula1>
      <formula2>NaN</formula2>
    </dataValidation>
    <dataValidation type="whole" allowBlank="1" showInputMessage="1" showErrorMessage="1" sqref="AB26">
      <formula1>0</formula1>
      <formula2>NaN</formula2>
    </dataValidation>
    <dataValidation type="whole" allowBlank="1" showInputMessage="1" showErrorMessage="1" sqref="AB27">
      <formula1>0</formula1>
      <formula2>NaN</formula2>
    </dataValidation>
    <dataValidation type="whole" allowBlank="1" showInputMessage="1" showErrorMessage="1" sqref="AB28">
      <formula1>0</formula1>
      <formula2>NaN</formula2>
    </dataValidation>
    <dataValidation type="whole" allowBlank="1" showInputMessage="1" showErrorMessage="1" sqref="AB29">
      <formula1>0</formula1>
      <formula2>NaN</formula2>
    </dataValidation>
    <dataValidation type="whole" allowBlank="1" showInputMessage="1" showErrorMessage="1" sqref="AB30">
      <formula1>0</formula1>
      <formula2>NaN</formula2>
    </dataValidation>
    <dataValidation type="whole" allowBlank="1" showInputMessage="1" showErrorMessage="1" sqref="AB31">
      <formula1>0</formula1>
      <formula2>NaN</formula2>
    </dataValidation>
    <dataValidation type="whole" allowBlank="1" showInputMessage="1" showErrorMessage="1" sqref="AB32">
      <formula1>0</formula1>
      <formula2>NaN</formula2>
    </dataValidation>
    <dataValidation type="whole" allowBlank="1" showInputMessage="1" showErrorMessage="1" sqref="AB33">
      <formula1>0</formula1>
      <formula2>NaN</formula2>
    </dataValidation>
    <dataValidation type="whole" allowBlank="1" showInputMessage="1" showErrorMessage="1" sqref="AB34">
      <formula1>0</formula1>
      <formula2>NaN</formula2>
    </dataValidation>
    <dataValidation type="whole" allowBlank="1" showInputMessage="1" showErrorMessage="1" sqref="AB35">
      <formula1>0</formula1>
      <formula2>NaN</formula2>
    </dataValidation>
    <dataValidation type="whole" allowBlank="1" showInputMessage="1" showErrorMessage="1" sqref="AB36">
      <formula1>0</formula1>
      <formula2>NaN</formula2>
    </dataValidation>
    <dataValidation type="whole" allowBlank="1" showInputMessage="1" showErrorMessage="1" sqref="AB37">
      <formula1>0</formula1>
      <formula2>NaN</formula2>
    </dataValidation>
    <dataValidation type="whole" allowBlank="1" showInputMessage="1" showErrorMessage="1" sqref="AB38">
      <formula1>0</formula1>
      <formula2>NaN</formula2>
    </dataValidation>
    <dataValidation type="whole" allowBlank="1" showInputMessage="1" showErrorMessage="1" sqref="AB39">
      <formula1>0</formula1>
      <formula2>NaN</formula2>
    </dataValidation>
    <dataValidation type="whole" allowBlank="1" showInputMessage="1" showErrorMessage="1" sqref="AB40">
      <formula1>0</formula1>
      <formula2>NaN</formula2>
    </dataValidation>
    <dataValidation type="whole" allowBlank="1" showInputMessage="1" showErrorMessage="1" sqref="AB41">
      <formula1>0</formula1>
      <formula2>NaN</formula2>
    </dataValidation>
    <dataValidation type="whole" allowBlank="1" showInputMessage="1" showErrorMessage="1" sqref="AB42">
      <formula1>0</formula1>
      <formula2>NaN</formula2>
    </dataValidation>
    <dataValidation type="whole" allowBlank="1" showInputMessage="1" showErrorMessage="1" sqref="AB43">
      <formula1>0</formula1>
      <formula2>NaN</formula2>
    </dataValidation>
    <dataValidation type="whole" allowBlank="1" showInputMessage="1" showErrorMessage="1" sqref="AB44">
      <formula1>0</formula1>
      <formula2>NaN</formula2>
    </dataValidation>
    <dataValidation type="whole" allowBlank="1" showInputMessage="1" showErrorMessage="1" sqref="AB45">
      <formula1>0</formula1>
      <formula2>NaN</formula2>
    </dataValidation>
    <dataValidation type="whole" allowBlank="1" showInputMessage="1" showErrorMessage="1" sqref="AB46">
      <formula1>0</formula1>
      <formula2>NaN</formula2>
    </dataValidation>
    <dataValidation type="whole" allowBlank="1" showInputMessage="1" showErrorMessage="1" sqref="AB47">
      <formula1>0</formula1>
      <formula2>NaN</formula2>
    </dataValidation>
    <dataValidation type="whole" allowBlank="1" showInputMessage="1" showErrorMessage="1" sqref="AB48">
      <formula1>0</formula1>
      <formula2>NaN</formula2>
    </dataValidation>
    <dataValidation type="whole" allowBlank="1" showInputMessage="1" showErrorMessage="1" sqref="AB49">
      <formula1>0</formula1>
      <formula2>NaN</formula2>
    </dataValidation>
    <dataValidation type="whole" allowBlank="1" showInputMessage="1" showErrorMessage="1" sqref="AB50">
      <formula1>0</formula1>
      <formula2>NaN</formula2>
    </dataValidation>
    <dataValidation type="whole" allowBlank="1" showInputMessage="1" showErrorMessage="1" sqref="AB51">
      <formula1>0</formula1>
      <formula2>NaN</formula2>
    </dataValidation>
    <dataValidation type="whole" allowBlank="1" showInputMessage="1" showErrorMessage="1" sqref="AB52">
      <formula1>0</formula1>
      <formula2>NaN</formula2>
    </dataValidation>
    <dataValidation type="whole" allowBlank="1" showInputMessage="1" showErrorMessage="1" sqref="AB53">
      <formula1>0</formula1>
      <formula2>NaN</formula2>
    </dataValidation>
    <dataValidation type="whole" allowBlank="1" showInputMessage="1" showErrorMessage="1" sqref="AB54">
      <formula1>0</formula1>
      <formula2>NaN</formula2>
    </dataValidation>
    <dataValidation type="whole" allowBlank="1" showInputMessage="1" showErrorMessage="1" sqref="AB55">
      <formula1>0</formula1>
      <formula2>NaN</formula2>
    </dataValidation>
    <dataValidation type="whole" allowBlank="1" showInputMessage="1" showErrorMessage="1" sqref="AB56">
      <formula1>0</formula1>
      <formula2>NaN</formula2>
    </dataValidation>
    <dataValidation type="whole" allowBlank="1" showInputMessage="1" showErrorMessage="1" sqref="AB57">
      <formula1>0</formula1>
      <formula2>NaN</formula2>
    </dataValidation>
    <dataValidation type="whole" allowBlank="1" showInputMessage="1" showErrorMessage="1" sqref="AB58">
      <formula1>0</formula1>
      <formula2>NaN</formula2>
    </dataValidation>
    <dataValidation type="whole" allowBlank="1" showInputMessage="1" showErrorMessage="1" sqref="AB59">
      <formula1>0</formula1>
      <formula2>NaN</formula2>
    </dataValidation>
    <dataValidation showInputMessage="1" prompt="Input possible highest score here" showErrorMessage="1" sqref="AB6:AP6"/>
    <dataValidation type="whole" allowBlank="1" showInputMessage="1" showErrorMessage="1" sqref="AB60">
      <formula1>0</formula1>
      <formula2>NaN</formula2>
    </dataValidation>
    <dataValidation type="whole" allowBlank="1" showInputMessage="1" showErrorMessage="1" sqref="AB61">
      <formula1>0</formula1>
      <formula2>NaN</formula2>
    </dataValidation>
    <dataValidation type="whole" allowBlank="1" showInputMessage="1" showErrorMessage="1" sqref="AB62">
      <formula1>0</formula1>
      <formula2>NaN</formula2>
    </dataValidation>
    <dataValidation type="whole" allowBlank="1" showInputMessage="1" showErrorMessage="1" sqref="AB63">
      <formula1>0</formula1>
      <formula2>NaN</formula2>
    </dataValidation>
    <dataValidation type="whole" allowBlank="1" showInputMessage="1" showErrorMessage="1" sqref="AB64">
      <formula1>0</formula1>
      <formula2>NaN</formula2>
    </dataValidation>
    <dataValidation type="whole" allowBlank="1" showInputMessage="1" showErrorMessage="1" sqref="AB65">
      <formula1>0</formula1>
      <formula2>NaN</formula2>
    </dataValidation>
    <dataValidation type="whole" allowBlank="1" showInputMessage="1" showErrorMessage="1" sqref="AB66">
      <formula1>0</formula1>
      <formula2>NaN</formula2>
    </dataValidation>
    <dataValidation type="whole" allowBlank="1" showInputMessage="1" showErrorMessage="1" sqref="AB67">
      <formula1>0</formula1>
      <formula2>NaN</formula2>
    </dataValidation>
    <dataValidation type="whole" allowBlank="1" showInputMessage="1" showErrorMessage="1" sqref="AB68">
      <formula1>0</formula1>
      <formula2>NaN</formula2>
    </dataValidation>
    <dataValidation type="date" allowBlank="1" showInputMessage="1" prompt="Input date here_x000a_" showErrorMessage="1" sqref="AB7:AP7">
      <formula1>1</formula1>
      <formula2>NaN</formula2>
    </dataValidation>
    <dataValidation showInputMessage="1" prompt="Personal Remarks for FMs – You may enter any remarks here. Sample tags include:_x000a_ _x000a_A1 - Activity 1_x000a_REC1 - Recitation 1_x000a_Q1 - Quiz 1_x000a_1L1 - 01 LMS Activity 1" showErrorMessage="1" sqref="AB8:AP8"/>
    <dataValidation type="whole" allowBlank="1" showInputMessage="1" showErrorMessage="1" sqref="AB9">
      <formula1>0</formula1>
      <formula2>NaN</formula2>
    </dataValidation>
    <dataValidation type="whole" allowBlank="1" showInputMessage="1" showErrorMessage="1" sqref="AC10">
      <formula1>0</formula1>
      <formula2>NaN</formula2>
    </dataValidation>
    <dataValidation type="whole" allowBlank="1" showInputMessage="1" showErrorMessage="1" sqref="AC11">
      <formula1>0</formula1>
      <formula2>NaN</formula2>
    </dataValidation>
    <dataValidation type="whole" allowBlank="1" showInputMessage="1" showErrorMessage="1" sqref="AC12">
      <formula1>0</formula1>
      <formula2>NaN</formula2>
    </dataValidation>
    <dataValidation type="whole" allowBlank="1" showInputMessage="1" showErrorMessage="1" sqref="AC13">
      <formula1>0</formula1>
      <formula2>NaN</formula2>
    </dataValidation>
    <dataValidation type="whole" allowBlank="1" showInputMessage="1" showErrorMessage="1" sqref="AC14">
      <formula1>0</formula1>
      <formula2>NaN</formula2>
    </dataValidation>
    <dataValidation type="whole" allowBlank="1" showInputMessage="1" showErrorMessage="1" sqref="AC15">
      <formula1>0</formula1>
      <formula2>NaN</formula2>
    </dataValidation>
    <dataValidation type="whole" allowBlank="1" showInputMessage="1" showErrorMessage="1" sqref="AC16">
      <formula1>0</formula1>
      <formula2>NaN</formula2>
    </dataValidation>
    <dataValidation type="whole" allowBlank="1" showInputMessage="1" showErrorMessage="1" sqref="AC17">
      <formula1>0</formula1>
      <formula2>NaN</formula2>
    </dataValidation>
    <dataValidation type="whole" allowBlank="1" showInputMessage="1" showErrorMessage="1" sqref="AC18">
      <formula1>0</formula1>
      <formula2>NaN</formula2>
    </dataValidation>
    <dataValidation type="whole" allowBlank="1" showInputMessage="1" showErrorMessage="1" sqref="AC19">
      <formula1>0</formula1>
      <formula2>NaN</formula2>
    </dataValidation>
    <dataValidation type="whole" allowBlank="1" showInputMessage="1" showErrorMessage="1" sqref="AC20">
      <formula1>0</formula1>
      <formula2>NaN</formula2>
    </dataValidation>
    <dataValidation type="whole" allowBlank="1" showInputMessage="1" showErrorMessage="1" sqref="AC21">
      <formula1>0</formula1>
      <formula2>NaN</formula2>
    </dataValidation>
    <dataValidation type="whole" allowBlank="1" showInputMessage="1" showErrorMessage="1" sqref="AC22">
      <formula1>0</formula1>
      <formula2>NaN</formula2>
    </dataValidation>
    <dataValidation type="whole" allowBlank="1" showInputMessage="1" showErrorMessage="1" sqref="AC23">
      <formula1>0</formula1>
      <formula2>NaN</formula2>
    </dataValidation>
    <dataValidation type="whole" allowBlank="1" showInputMessage="1" showErrorMessage="1" sqref="AC24">
      <formula1>0</formula1>
      <formula2>NaN</formula2>
    </dataValidation>
    <dataValidation type="whole" allowBlank="1" showInputMessage="1" showErrorMessage="1" sqref="AC25">
      <formula1>0</formula1>
      <formula2>NaN</formula2>
    </dataValidation>
    <dataValidation type="whole" allowBlank="1" showInputMessage="1" showErrorMessage="1" sqref="AC26">
      <formula1>0</formula1>
      <formula2>NaN</formula2>
    </dataValidation>
    <dataValidation type="whole" allowBlank="1" showInputMessage="1" showErrorMessage="1" sqref="AC27">
      <formula1>0</formula1>
      <formula2>NaN</formula2>
    </dataValidation>
    <dataValidation type="whole" allowBlank="1" showInputMessage="1" showErrorMessage="1" sqref="AC28">
      <formula1>0</formula1>
      <formula2>NaN</formula2>
    </dataValidation>
    <dataValidation type="whole" allowBlank="1" showInputMessage="1" showErrorMessage="1" sqref="AC29">
      <formula1>0</formula1>
      <formula2>NaN</formula2>
    </dataValidation>
    <dataValidation type="whole" allowBlank="1" showInputMessage="1" showErrorMessage="1" sqref="AC30">
      <formula1>0</formula1>
      <formula2>NaN</formula2>
    </dataValidation>
    <dataValidation type="whole" allowBlank="1" showInputMessage="1" showErrorMessage="1" sqref="AC31">
      <formula1>0</formula1>
      <formula2>NaN</formula2>
    </dataValidation>
    <dataValidation type="whole" allowBlank="1" showInputMessage="1" showErrorMessage="1" sqref="AC32">
      <formula1>0</formula1>
      <formula2>NaN</formula2>
    </dataValidation>
    <dataValidation type="whole" allowBlank="1" showInputMessage="1" showErrorMessage="1" sqref="AC33">
      <formula1>0</formula1>
      <formula2>NaN</formula2>
    </dataValidation>
    <dataValidation type="whole" allowBlank="1" showInputMessage="1" showErrorMessage="1" sqref="AC34">
      <formula1>0</formula1>
      <formula2>NaN</formula2>
    </dataValidation>
    <dataValidation type="whole" allowBlank="1" showInputMessage="1" showErrorMessage="1" sqref="AC35">
      <formula1>0</formula1>
      <formula2>NaN</formula2>
    </dataValidation>
    <dataValidation type="whole" allowBlank="1" showInputMessage="1" showErrorMessage="1" sqref="AC36">
      <formula1>0</formula1>
      <formula2>NaN</formula2>
    </dataValidation>
    <dataValidation type="whole" allowBlank="1" showInputMessage="1" showErrorMessage="1" sqref="AC37">
      <formula1>0</formula1>
      <formula2>NaN</formula2>
    </dataValidation>
    <dataValidation type="whole" allowBlank="1" showInputMessage="1" showErrorMessage="1" sqref="AC38">
      <formula1>0</formula1>
      <formula2>NaN</formula2>
    </dataValidation>
    <dataValidation type="whole" allowBlank="1" showInputMessage="1" showErrorMessage="1" sqref="AC39">
      <formula1>0</formula1>
      <formula2>NaN</formula2>
    </dataValidation>
    <dataValidation type="whole" allowBlank="1" showInputMessage="1" showErrorMessage="1" sqref="AC40">
      <formula1>0</formula1>
      <formula2>NaN</formula2>
    </dataValidation>
    <dataValidation type="whole" allowBlank="1" showInputMessage="1" showErrorMessage="1" sqref="AC41">
      <formula1>0</formula1>
      <formula2>NaN</formula2>
    </dataValidation>
    <dataValidation type="whole" allowBlank="1" showInputMessage="1" showErrorMessage="1" sqref="AC42">
      <formula1>0</formula1>
      <formula2>NaN</formula2>
    </dataValidation>
    <dataValidation type="whole" allowBlank="1" showInputMessage="1" showErrorMessage="1" sqref="AC43">
      <formula1>0</formula1>
      <formula2>NaN</formula2>
    </dataValidation>
    <dataValidation type="whole" allowBlank="1" showInputMessage="1" showErrorMessage="1" sqref="AC44">
      <formula1>0</formula1>
      <formula2>NaN</formula2>
    </dataValidation>
    <dataValidation type="whole" allowBlank="1" showInputMessage="1" showErrorMessage="1" sqref="AC45">
      <formula1>0</formula1>
      <formula2>NaN</formula2>
    </dataValidation>
    <dataValidation type="whole" allowBlank="1" showInputMessage="1" showErrorMessage="1" sqref="AC46">
      <formula1>0</formula1>
      <formula2>NaN</formula2>
    </dataValidation>
    <dataValidation type="whole" allowBlank="1" showInputMessage="1" showErrorMessage="1" sqref="AC47">
      <formula1>0</formula1>
      <formula2>NaN</formula2>
    </dataValidation>
    <dataValidation type="whole" allowBlank="1" showInputMessage="1" showErrorMessage="1" sqref="AC48">
      <formula1>0</formula1>
      <formula2>NaN</formula2>
    </dataValidation>
    <dataValidation type="whole" allowBlank="1" showInputMessage="1" showErrorMessage="1" sqref="AC49">
      <formula1>0</formula1>
      <formula2>NaN</formula2>
    </dataValidation>
    <dataValidation type="whole" allowBlank="1" showInputMessage="1" showErrorMessage="1" sqref="AC50">
      <formula1>0</formula1>
      <formula2>NaN</formula2>
    </dataValidation>
    <dataValidation type="whole" allowBlank="1" showInputMessage="1" showErrorMessage="1" sqref="AC51">
      <formula1>0</formula1>
      <formula2>NaN</formula2>
    </dataValidation>
    <dataValidation type="whole" allowBlank="1" showInputMessage="1" showErrorMessage="1" sqref="AC52">
      <formula1>0</formula1>
      <formula2>NaN</formula2>
    </dataValidation>
    <dataValidation type="whole" allowBlank="1" showInputMessage="1" showErrorMessage="1" sqref="AC53">
      <formula1>0</formula1>
      <formula2>NaN</formula2>
    </dataValidation>
    <dataValidation type="whole" allowBlank="1" showInputMessage="1" showErrorMessage="1" sqref="AC54">
      <formula1>0</formula1>
      <formula2>NaN</formula2>
    </dataValidation>
    <dataValidation type="whole" allowBlank="1" showInputMessage="1" showErrorMessage="1" sqref="AC55">
      <formula1>0</formula1>
      <formula2>NaN</formula2>
    </dataValidation>
    <dataValidation type="whole" allowBlank="1" showInputMessage="1" showErrorMessage="1" sqref="AC56">
      <formula1>0</formula1>
      <formula2>NaN</formula2>
    </dataValidation>
    <dataValidation type="whole" allowBlank="1" showInputMessage="1" showErrorMessage="1" sqref="AC57">
      <formula1>0</formula1>
      <formula2>NaN</formula2>
    </dataValidation>
    <dataValidation type="whole" allowBlank="1" showInputMessage="1" showErrorMessage="1" sqref="AC58">
      <formula1>0</formula1>
      <formula2>NaN</formula2>
    </dataValidation>
    <dataValidation type="whole" allowBlank="1" showInputMessage="1" showErrorMessage="1" sqref="AC59">
      <formula1>0</formula1>
      <formula2>NaN</formula2>
    </dataValidation>
    <dataValidation type="whole" allowBlank="1" showInputMessage="1" showErrorMessage="1" sqref="AC60">
      <formula1>0</formula1>
      <formula2>NaN</formula2>
    </dataValidation>
    <dataValidation type="whole" allowBlank="1" showInputMessage="1" showErrorMessage="1" sqref="AC61">
      <formula1>0</formula1>
      <formula2>NaN</formula2>
    </dataValidation>
    <dataValidation type="whole" allowBlank="1" showInputMessage="1" showErrorMessage="1" sqref="AC62">
      <formula1>0</formula1>
      <formula2>NaN</formula2>
    </dataValidation>
    <dataValidation type="whole" allowBlank="1" showInputMessage="1" showErrorMessage="1" sqref="AC63">
      <formula1>0</formula1>
      <formula2>NaN</formula2>
    </dataValidation>
    <dataValidation type="whole" allowBlank="1" showInputMessage="1" showErrorMessage="1" sqref="AC64">
      <formula1>0</formula1>
      <formula2>NaN</formula2>
    </dataValidation>
    <dataValidation type="whole" allowBlank="1" showInputMessage="1" showErrorMessage="1" sqref="AC65">
      <formula1>0</formula1>
      <formula2>NaN</formula2>
    </dataValidation>
    <dataValidation type="whole" allowBlank="1" showInputMessage="1" showErrorMessage="1" sqref="AC66">
      <formula1>0</formula1>
      <formula2>NaN</formula2>
    </dataValidation>
    <dataValidation type="whole" allowBlank="1" showInputMessage="1" showErrorMessage="1" sqref="AC67">
      <formula1>0</formula1>
      <formula2>NaN</formula2>
    </dataValidation>
    <dataValidation type="whole" allowBlank="1" showInputMessage="1" showErrorMessage="1" sqref="AC68">
      <formula1>0</formula1>
      <formula2>NaN</formula2>
    </dataValidation>
    <dataValidation type="whole" allowBlank="1" showInputMessage="1" showErrorMessage="1" sqref="AC9">
      <formula1>0</formula1>
      <formula2>NaN</formula2>
    </dataValidation>
    <dataValidation type="whole" allowBlank="1" showInputMessage="1" showErrorMessage="1" sqref="AD10">
      <formula1>0</formula1>
      <formula2>NaN</formula2>
    </dataValidation>
    <dataValidation type="whole" allowBlank="1" showInputMessage="1" showErrorMessage="1" sqref="AD11">
      <formula1>0</formula1>
      <formula2>NaN</formula2>
    </dataValidation>
    <dataValidation type="whole" allowBlank="1" showInputMessage="1" showErrorMessage="1" sqref="AD12">
      <formula1>0</formula1>
      <formula2>NaN</formula2>
    </dataValidation>
    <dataValidation type="whole" allowBlank="1" showInputMessage="1" showErrorMessage="1" sqref="AD13">
      <formula1>0</formula1>
      <formula2>NaN</formula2>
    </dataValidation>
    <dataValidation type="whole" allowBlank="1" showInputMessage="1" showErrorMessage="1" sqref="AD14">
      <formula1>0</formula1>
      <formula2>NaN</formula2>
    </dataValidation>
    <dataValidation type="whole" allowBlank="1" showInputMessage="1" showErrorMessage="1" sqref="AD15">
      <formula1>0</formula1>
      <formula2>NaN</formula2>
    </dataValidation>
    <dataValidation type="whole" allowBlank="1" showInputMessage="1" showErrorMessage="1" sqref="AD16">
      <formula1>0</formula1>
      <formula2>NaN</formula2>
    </dataValidation>
    <dataValidation type="whole" allowBlank="1" showInputMessage="1" showErrorMessage="1" sqref="AD17">
      <formula1>0</formula1>
      <formula2>NaN</formula2>
    </dataValidation>
    <dataValidation type="whole" allowBlank="1" showInputMessage="1" showErrorMessage="1" sqref="AD18">
      <formula1>0</formula1>
      <formula2>NaN</formula2>
    </dataValidation>
    <dataValidation type="whole" allowBlank="1" showInputMessage="1" showErrorMessage="1" sqref="AD19">
      <formula1>0</formula1>
      <formula2>NaN</formula2>
    </dataValidation>
    <dataValidation type="whole" allowBlank="1" showInputMessage="1" showErrorMessage="1" sqref="AD20">
      <formula1>0</formula1>
      <formula2>NaN</formula2>
    </dataValidation>
    <dataValidation type="whole" allowBlank="1" showInputMessage="1" showErrorMessage="1" sqref="AD21">
      <formula1>0</formula1>
      <formula2>NaN</formula2>
    </dataValidation>
    <dataValidation type="whole" allowBlank="1" showInputMessage="1" showErrorMessage="1" sqref="AD22">
      <formula1>0</formula1>
      <formula2>NaN</formula2>
    </dataValidation>
    <dataValidation type="whole" allowBlank="1" showInputMessage="1" showErrorMessage="1" sqref="AD23">
      <formula1>0</formula1>
      <formula2>NaN</formula2>
    </dataValidation>
    <dataValidation type="whole" allowBlank="1" showInputMessage="1" showErrorMessage="1" sqref="AD24">
      <formula1>0</formula1>
      <formula2>NaN</formula2>
    </dataValidation>
    <dataValidation type="whole" allowBlank="1" showInputMessage="1" showErrorMessage="1" sqref="AD25">
      <formula1>0</formula1>
      <formula2>NaN</formula2>
    </dataValidation>
    <dataValidation type="whole" allowBlank="1" showInputMessage="1" showErrorMessage="1" sqref="AD26">
      <formula1>0</formula1>
      <formula2>NaN</formula2>
    </dataValidation>
    <dataValidation type="whole" allowBlank="1" showInputMessage="1" showErrorMessage="1" sqref="AD27">
      <formula1>0</formula1>
      <formula2>NaN</formula2>
    </dataValidation>
    <dataValidation type="whole" allowBlank="1" showInputMessage="1" showErrorMessage="1" sqref="AD28">
      <formula1>0</formula1>
      <formula2>NaN</formula2>
    </dataValidation>
    <dataValidation type="whole" allowBlank="1" showInputMessage="1" showErrorMessage="1" sqref="AD29">
      <formula1>0</formula1>
      <formula2>NaN</formula2>
    </dataValidation>
    <dataValidation type="whole" allowBlank="1" showInputMessage="1" showErrorMessage="1" sqref="AD30">
      <formula1>0</formula1>
      <formula2>NaN</formula2>
    </dataValidation>
    <dataValidation type="whole" allowBlank="1" showInputMessage="1" showErrorMessage="1" sqref="AD31">
      <formula1>0</formula1>
      <formula2>NaN</formula2>
    </dataValidation>
    <dataValidation type="whole" allowBlank="1" showInputMessage="1" showErrorMessage="1" sqref="AD32">
      <formula1>0</formula1>
      <formula2>NaN</formula2>
    </dataValidation>
    <dataValidation type="whole" allowBlank="1" showInputMessage="1" showErrorMessage="1" sqref="AD33">
      <formula1>0</formula1>
      <formula2>NaN</formula2>
    </dataValidation>
    <dataValidation type="whole" allowBlank="1" showInputMessage="1" showErrorMessage="1" sqref="AD34">
      <formula1>0</formula1>
      <formula2>NaN</formula2>
    </dataValidation>
    <dataValidation type="whole" allowBlank="1" showInputMessage="1" showErrorMessage="1" sqref="AD35">
      <formula1>0</formula1>
      <formula2>NaN</formula2>
    </dataValidation>
    <dataValidation type="whole" allowBlank="1" showInputMessage="1" showErrorMessage="1" sqref="AD36">
      <formula1>0</formula1>
      <formula2>NaN</formula2>
    </dataValidation>
    <dataValidation type="whole" allowBlank="1" showInputMessage="1" showErrorMessage="1" sqref="AD37">
      <formula1>0</formula1>
      <formula2>NaN</formula2>
    </dataValidation>
    <dataValidation type="whole" allowBlank="1" showInputMessage="1" showErrorMessage="1" sqref="AD38">
      <formula1>0</formula1>
      <formula2>NaN</formula2>
    </dataValidation>
    <dataValidation type="whole" allowBlank="1" showInputMessage="1" showErrorMessage="1" sqref="AD39">
      <formula1>0</formula1>
      <formula2>NaN</formula2>
    </dataValidation>
    <dataValidation type="whole" allowBlank="1" showInputMessage="1" showErrorMessage="1" sqref="AD40">
      <formula1>0</formula1>
      <formula2>NaN</formula2>
    </dataValidation>
    <dataValidation type="whole" allowBlank="1" showInputMessage="1" showErrorMessage="1" sqref="AD41">
      <formula1>0</formula1>
      <formula2>NaN</formula2>
    </dataValidation>
    <dataValidation type="whole" allowBlank="1" showInputMessage="1" showErrorMessage="1" sqref="AD42">
      <formula1>0</formula1>
      <formula2>NaN</formula2>
    </dataValidation>
    <dataValidation type="whole" allowBlank="1" showInputMessage="1" showErrorMessage="1" sqref="AD43">
      <formula1>0</formula1>
      <formula2>NaN</formula2>
    </dataValidation>
    <dataValidation type="whole" allowBlank="1" showInputMessage="1" showErrorMessage="1" sqref="AD44">
      <formula1>0</formula1>
      <formula2>NaN</formula2>
    </dataValidation>
    <dataValidation type="whole" allowBlank="1" showInputMessage="1" showErrorMessage="1" sqref="AD45">
      <formula1>0</formula1>
      <formula2>NaN</formula2>
    </dataValidation>
    <dataValidation type="whole" allowBlank="1" showInputMessage="1" showErrorMessage="1" sqref="AD46">
      <formula1>0</formula1>
      <formula2>NaN</formula2>
    </dataValidation>
    <dataValidation type="whole" allowBlank="1" showInputMessage="1" showErrorMessage="1" sqref="AD47">
      <formula1>0</formula1>
      <formula2>NaN</formula2>
    </dataValidation>
    <dataValidation type="whole" allowBlank="1" showInputMessage="1" showErrorMessage="1" sqref="AD48">
      <formula1>0</formula1>
      <formula2>NaN</formula2>
    </dataValidation>
    <dataValidation type="whole" allowBlank="1" showInputMessage="1" showErrorMessage="1" sqref="AD49">
      <formula1>0</formula1>
      <formula2>NaN</formula2>
    </dataValidation>
    <dataValidation type="whole" allowBlank="1" showInputMessage="1" showErrorMessage="1" sqref="AD50">
      <formula1>0</formula1>
      <formula2>NaN</formula2>
    </dataValidation>
    <dataValidation type="whole" allowBlank="1" showInputMessage="1" showErrorMessage="1" sqref="AD51">
      <formula1>0</formula1>
      <formula2>NaN</formula2>
    </dataValidation>
    <dataValidation type="whole" allowBlank="1" showInputMessage="1" showErrorMessage="1" sqref="AD52">
      <formula1>0</formula1>
      <formula2>NaN</formula2>
    </dataValidation>
    <dataValidation type="whole" allowBlank="1" showInputMessage="1" showErrorMessage="1" sqref="AD53">
      <formula1>0</formula1>
      <formula2>NaN</formula2>
    </dataValidation>
    <dataValidation type="whole" allowBlank="1" showInputMessage="1" showErrorMessage="1" sqref="AD54">
      <formula1>0</formula1>
      <formula2>NaN</formula2>
    </dataValidation>
    <dataValidation type="whole" allowBlank="1" showInputMessage="1" showErrorMessage="1" sqref="AD55">
      <formula1>0</formula1>
      <formula2>NaN</formula2>
    </dataValidation>
    <dataValidation type="whole" allowBlank="1" showInputMessage="1" showErrorMessage="1" sqref="AD56">
      <formula1>0</formula1>
      <formula2>NaN</formula2>
    </dataValidation>
    <dataValidation type="whole" allowBlank="1" showInputMessage="1" showErrorMessage="1" sqref="AD57">
      <formula1>0</formula1>
      <formula2>NaN</formula2>
    </dataValidation>
    <dataValidation type="whole" allowBlank="1" showInputMessage="1" showErrorMessage="1" sqref="AD58">
      <formula1>0</formula1>
      <formula2>NaN</formula2>
    </dataValidation>
    <dataValidation type="whole" allowBlank="1" showInputMessage="1" showErrorMessage="1" sqref="AD59">
      <formula1>0</formula1>
      <formula2>NaN</formula2>
    </dataValidation>
    <dataValidation type="whole" allowBlank="1" showInputMessage="1" showErrorMessage="1" sqref="AD60">
      <formula1>0</formula1>
      <formula2>NaN</formula2>
    </dataValidation>
    <dataValidation type="whole" allowBlank="1" showInputMessage="1" showErrorMessage="1" sqref="AD61">
      <formula1>0</formula1>
      <formula2>NaN</formula2>
    </dataValidation>
    <dataValidation type="whole" allowBlank="1" showInputMessage="1" showErrorMessage="1" sqref="AD62">
      <formula1>0</formula1>
      <formula2>NaN</formula2>
    </dataValidation>
    <dataValidation type="whole" allowBlank="1" showInputMessage="1" showErrorMessage="1" sqref="AD63">
      <formula1>0</formula1>
      <formula2>NaN</formula2>
    </dataValidation>
    <dataValidation type="whole" allowBlank="1" showInputMessage="1" showErrorMessage="1" sqref="AD64">
      <formula1>0</formula1>
      <formula2>NaN</formula2>
    </dataValidation>
    <dataValidation type="whole" allowBlank="1" showInputMessage="1" showErrorMessage="1" sqref="AD65">
      <formula1>0</formula1>
      <formula2>NaN</formula2>
    </dataValidation>
    <dataValidation type="whole" allowBlank="1" showInputMessage="1" showErrorMessage="1" sqref="AD66">
      <formula1>0</formula1>
      <formula2>NaN</formula2>
    </dataValidation>
    <dataValidation type="whole" allowBlank="1" showInputMessage="1" showErrorMessage="1" sqref="AD67">
      <formula1>0</formula1>
      <formula2>NaN</formula2>
    </dataValidation>
    <dataValidation type="whole" allowBlank="1" showInputMessage="1" showErrorMessage="1" sqref="AD68">
      <formula1>0</formula1>
      <formula2>NaN</formula2>
    </dataValidation>
    <dataValidation type="whole" allowBlank="1" showInputMessage="1" showErrorMessage="1" sqref="AD9">
      <formula1>0</formula1>
      <formula2>NaN</formula2>
    </dataValidation>
    <dataValidation type="whole" allowBlank="1" showInputMessage="1" showErrorMessage="1" sqref="AE10">
      <formula1>0</formula1>
      <formula2>NaN</formula2>
    </dataValidation>
    <dataValidation type="whole" allowBlank="1" showInputMessage="1" showErrorMessage="1" sqref="AE11">
      <formula1>0</formula1>
      <formula2>NaN</formula2>
    </dataValidation>
    <dataValidation type="whole" allowBlank="1" showInputMessage="1" showErrorMessage="1" sqref="AE12">
      <formula1>0</formula1>
      <formula2>NaN</formula2>
    </dataValidation>
    <dataValidation type="whole" allowBlank="1" showInputMessage="1" showErrorMessage="1" sqref="AE13">
      <formula1>0</formula1>
      <formula2>NaN</formula2>
    </dataValidation>
    <dataValidation type="whole" allowBlank="1" showInputMessage="1" showErrorMessage="1" sqref="AE14">
      <formula1>0</formula1>
      <formula2>NaN</formula2>
    </dataValidation>
    <dataValidation type="whole" allowBlank="1" showInputMessage="1" showErrorMessage="1" sqref="AE15">
      <formula1>0</formula1>
      <formula2>NaN</formula2>
    </dataValidation>
    <dataValidation type="whole" allowBlank="1" showInputMessage="1" showErrorMessage="1" sqref="AE16">
      <formula1>0</formula1>
      <formula2>NaN</formula2>
    </dataValidation>
    <dataValidation type="whole" allowBlank="1" showInputMessage="1" showErrorMessage="1" sqref="AE17">
      <formula1>0</formula1>
      <formula2>NaN</formula2>
    </dataValidation>
    <dataValidation type="whole" allowBlank="1" showInputMessage="1" showErrorMessage="1" sqref="AE18">
      <formula1>0</formula1>
      <formula2>NaN</formula2>
    </dataValidation>
    <dataValidation type="whole" allowBlank="1" showInputMessage="1" showErrorMessage="1" sqref="AE19">
      <formula1>0</formula1>
      <formula2>NaN</formula2>
    </dataValidation>
    <dataValidation type="whole" allowBlank="1" showInputMessage="1" showErrorMessage="1" sqref="AE20">
      <formula1>0</formula1>
      <formula2>NaN</formula2>
    </dataValidation>
    <dataValidation type="whole" allowBlank="1" showInputMessage="1" showErrorMessage="1" sqref="AE21">
      <formula1>0</formula1>
      <formula2>NaN</formula2>
    </dataValidation>
    <dataValidation type="whole" allowBlank="1" showInputMessage="1" showErrorMessage="1" sqref="AE22">
      <formula1>0</formula1>
      <formula2>NaN</formula2>
    </dataValidation>
    <dataValidation type="whole" allowBlank="1" showInputMessage="1" showErrorMessage="1" sqref="AE23">
      <formula1>0</formula1>
      <formula2>NaN</formula2>
    </dataValidation>
    <dataValidation type="whole" allowBlank="1" showInputMessage="1" showErrorMessage="1" sqref="AE24">
      <formula1>0</formula1>
      <formula2>NaN</formula2>
    </dataValidation>
    <dataValidation type="whole" allowBlank="1" showInputMessage="1" showErrorMessage="1" sqref="AE25">
      <formula1>0</formula1>
      <formula2>NaN</formula2>
    </dataValidation>
    <dataValidation type="whole" allowBlank="1" showInputMessage="1" showErrorMessage="1" sqref="AE26">
      <formula1>0</formula1>
      <formula2>NaN</formula2>
    </dataValidation>
    <dataValidation type="whole" allowBlank="1" showInputMessage="1" showErrorMessage="1" sqref="AE27">
      <formula1>0</formula1>
      <formula2>NaN</formula2>
    </dataValidation>
    <dataValidation type="whole" allowBlank="1" showInputMessage="1" showErrorMessage="1" sqref="AE28">
      <formula1>0</formula1>
      <formula2>NaN</formula2>
    </dataValidation>
    <dataValidation type="whole" allowBlank="1" showInputMessage="1" showErrorMessage="1" sqref="AE29">
      <formula1>0</formula1>
      <formula2>NaN</formula2>
    </dataValidation>
    <dataValidation type="whole" allowBlank="1" showInputMessage="1" showErrorMessage="1" sqref="AE30">
      <formula1>0</formula1>
      <formula2>NaN</formula2>
    </dataValidation>
    <dataValidation type="whole" allowBlank="1" showInputMessage="1" showErrorMessage="1" sqref="AE31">
      <formula1>0</formula1>
      <formula2>NaN</formula2>
    </dataValidation>
    <dataValidation type="whole" allowBlank="1" showInputMessage="1" showErrorMessage="1" sqref="AE32">
      <formula1>0</formula1>
      <formula2>NaN</formula2>
    </dataValidation>
    <dataValidation type="whole" allowBlank="1" showInputMessage="1" showErrorMessage="1" sqref="AE33">
      <formula1>0</formula1>
      <formula2>NaN</formula2>
    </dataValidation>
    <dataValidation type="whole" allowBlank="1" showInputMessage="1" showErrorMessage="1" sqref="AE34">
      <formula1>0</formula1>
      <formula2>NaN</formula2>
    </dataValidation>
    <dataValidation type="whole" allowBlank="1" showInputMessage="1" showErrorMessage="1" sqref="AE35">
      <formula1>0</formula1>
      <formula2>NaN</formula2>
    </dataValidation>
    <dataValidation type="whole" allowBlank="1" showInputMessage="1" showErrorMessage="1" sqref="AE36">
      <formula1>0</formula1>
      <formula2>NaN</formula2>
    </dataValidation>
    <dataValidation type="whole" allowBlank="1" showInputMessage="1" showErrorMessage="1" sqref="AE37">
      <formula1>0</formula1>
      <formula2>NaN</formula2>
    </dataValidation>
    <dataValidation type="whole" allowBlank="1" showInputMessage="1" showErrorMessage="1" sqref="AE38">
      <formula1>0</formula1>
      <formula2>NaN</formula2>
    </dataValidation>
    <dataValidation type="whole" allowBlank="1" showInputMessage="1" showErrorMessage="1" sqref="AE39">
      <formula1>0</formula1>
      <formula2>NaN</formula2>
    </dataValidation>
    <dataValidation type="whole" allowBlank="1" showInputMessage="1" showErrorMessage="1" sqref="AE40">
      <formula1>0</formula1>
      <formula2>NaN</formula2>
    </dataValidation>
    <dataValidation type="whole" allowBlank="1" showInputMessage="1" showErrorMessage="1" sqref="AE41">
      <formula1>0</formula1>
      <formula2>NaN</formula2>
    </dataValidation>
    <dataValidation type="whole" allowBlank="1" showInputMessage="1" showErrorMessage="1" sqref="AE42">
      <formula1>0</formula1>
      <formula2>NaN</formula2>
    </dataValidation>
    <dataValidation type="whole" allowBlank="1" showInputMessage="1" showErrorMessage="1" sqref="AE43">
      <formula1>0</formula1>
      <formula2>NaN</formula2>
    </dataValidation>
    <dataValidation type="whole" allowBlank="1" showInputMessage="1" showErrorMessage="1" sqref="AE44">
      <formula1>0</formula1>
      <formula2>NaN</formula2>
    </dataValidation>
    <dataValidation type="whole" allowBlank="1" showInputMessage="1" showErrorMessage="1" sqref="AE45">
      <formula1>0</formula1>
      <formula2>NaN</formula2>
    </dataValidation>
    <dataValidation type="whole" allowBlank="1" showInputMessage="1" showErrorMessage="1" sqref="AE46">
      <formula1>0</formula1>
      <formula2>NaN</formula2>
    </dataValidation>
    <dataValidation type="whole" allowBlank="1" showInputMessage="1" showErrorMessage="1" sqref="AE47">
      <formula1>0</formula1>
      <formula2>NaN</formula2>
    </dataValidation>
    <dataValidation type="whole" allowBlank="1" showInputMessage="1" showErrorMessage="1" sqref="AE48">
      <formula1>0</formula1>
      <formula2>NaN</formula2>
    </dataValidation>
    <dataValidation type="whole" allowBlank="1" showInputMessage="1" showErrorMessage="1" sqref="AE49">
      <formula1>0</formula1>
      <formula2>NaN</formula2>
    </dataValidation>
    <dataValidation type="whole" allowBlank="1" showInputMessage="1" showErrorMessage="1" sqref="AE50">
      <formula1>0</formula1>
      <formula2>NaN</formula2>
    </dataValidation>
    <dataValidation type="whole" allowBlank="1" showInputMessage="1" showErrorMessage="1" sqref="AE51">
      <formula1>0</formula1>
      <formula2>NaN</formula2>
    </dataValidation>
    <dataValidation type="whole" allowBlank="1" showInputMessage="1" showErrorMessage="1" sqref="AE52">
      <formula1>0</formula1>
      <formula2>NaN</formula2>
    </dataValidation>
    <dataValidation type="whole" allowBlank="1" showInputMessage="1" showErrorMessage="1" sqref="AE53">
      <formula1>0</formula1>
      <formula2>NaN</formula2>
    </dataValidation>
    <dataValidation type="whole" allowBlank="1" showInputMessage="1" showErrorMessage="1" sqref="AE54">
      <formula1>0</formula1>
      <formula2>NaN</formula2>
    </dataValidation>
    <dataValidation type="whole" allowBlank="1" showInputMessage="1" showErrorMessage="1" sqref="AE55">
      <formula1>0</formula1>
      <formula2>NaN</formula2>
    </dataValidation>
    <dataValidation type="whole" allowBlank="1" showInputMessage="1" showErrorMessage="1" sqref="AE56">
      <formula1>0</formula1>
      <formula2>NaN</formula2>
    </dataValidation>
    <dataValidation type="whole" allowBlank="1" showInputMessage="1" showErrorMessage="1" sqref="AE57">
      <formula1>0</formula1>
      <formula2>NaN</formula2>
    </dataValidation>
    <dataValidation type="whole" allowBlank="1" showInputMessage="1" showErrorMessage="1" sqref="AE58">
      <formula1>0</formula1>
      <formula2>NaN</formula2>
    </dataValidation>
    <dataValidation type="whole" allowBlank="1" showInputMessage="1" showErrorMessage="1" sqref="AE59">
      <formula1>0</formula1>
      <formula2>NaN</formula2>
    </dataValidation>
    <dataValidation type="whole" allowBlank="1" showInputMessage="1" showErrorMessage="1" sqref="AE60">
      <formula1>0</formula1>
      <formula2>NaN</formula2>
    </dataValidation>
    <dataValidation type="whole" allowBlank="1" showInputMessage="1" showErrorMessage="1" sqref="AE61">
      <formula1>0</formula1>
      <formula2>NaN</formula2>
    </dataValidation>
    <dataValidation type="whole" allowBlank="1" showInputMessage="1" showErrorMessage="1" sqref="AE62">
      <formula1>0</formula1>
      <formula2>NaN</formula2>
    </dataValidation>
    <dataValidation type="whole" allowBlank="1" showInputMessage="1" showErrorMessage="1" sqref="AE63">
      <formula1>0</formula1>
      <formula2>NaN</formula2>
    </dataValidation>
    <dataValidation type="whole" allowBlank="1" showInputMessage="1" showErrorMessage="1" sqref="AE64">
      <formula1>0</formula1>
      <formula2>NaN</formula2>
    </dataValidation>
    <dataValidation type="whole" allowBlank="1" showInputMessage="1" showErrorMessage="1" sqref="AE65">
      <formula1>0</formula1>
      <formula2>NaN</formula2>
    </dataValidation>
    <dataValidation type="whole" allowBlank="1" showInputMessage="1" showErrorMessage="1" sqref="AE66">
      <formula1>0</formula1>
      <formula2>NaN</formula2>
    </dataValidation>
    <dataValidation type="whole" allowBlank="1" showInputMessage="1" showErrorMessage="1" sqref="AE67">
      <formula1>0</formula1>
      <formula2>NaN</formula2>
    </dataValidation>
    <dataValidation type="whole" allowBlank="1" showInputMessage="1" showErrorMessage="1" sqref="AE68">
      <formula1>0</formula1>
      <formula2>NaN</formula2>
    </dataValidation>
    <dataValidation type="whole" allowBlank="1" showInputMessage="1" showErrorMessage="1" sqref="AE9">
      <formula1>0</formula1>
      <formula2>NaN</formula2>
    </dataValidation>
    <dataValidation type="whole" allowBlank="1" showInputMessage="1" showErrorMessage="1" sqref="AF10">
      <formula1>0</formula1>
      <formula2>NaN</formula2>
    </dataValidation>
    <dataValidation type="whole" allowBlank="1" showInputMessage="1" showErrorMessage="1" sqref="AF11">
      <formula1>0</formula1>
      <formula2>NaN</formula2>
    </dataValidation>
    <dataValidation type="whole" allowBlank="1" showInputMessage="1" showErrorMessage="1" sqref="AF12">
      <formula1>0</formula1>
      <formula2>NaN</formula2>
    </dataValidation>
    <dataValidation type="whole" allowBlank="1" showInputMessage="1" showErrorMessage="1" sqref="AF13">
      <formula1>0</formula1>
      <formula2>NaN</formula2>
    </dataValidation>
    <dataValidation type="whole" allowBlank="1" showInputMessage="1" showErrorMessage="1" sqref="AF14">
      <formula1>0</formula1>
      <formula2>NaN</formula2>
    </dataValidation>
    <dataValidation type="whole" allowBlank="1" showInputMessage="1" showErrorMessage="1" sqref="AF15">
      <formula1>0</formula1>
      <formula2>NaN</formula2>
    </dataValidation>
    <dataValidation type="whole" allowBlank="1" showInputMessage="1" showErrorMessage="1" sqref="AF16">
      <formula1>0</formula1>
      <formula2>NaN</formula2>
    </dataValidation>
    <dataValidation type="whole" allowBlank="1" showInputMessage="1" showErrorMessage="1" sqref="AF17">
      <formula1>0</formula1>
      <formula2>NaN</formula2>
    </dataValidation>
    <dataValidation type="whole" allowBlank="1" showInputMessage="1" showErrorMessage="1" sqref="AF18">
      <formula1>0</formula1>
      <formula2>NaN</formula2>
    </dataValidation>
    <dataValidation type="whole" allowBlank="1" showInputMessage="1" showErrorMessage="1" sqref="AF19">
      <formula1>0</formula1>
      <formula2>NaN</formula2>
    </dataValidation>
    <dataValidation type="whole" allowBlank="1" showInputMessage="1" showErrorMessage="1" sqref="AF20">
      <formula1>0</formula1>
      <formula2>NaN</formula2>
    </dataValidation>
    <dataValidation type="whole" allowBlank="1" showInputMessage="1" showErrorMessage="1" sqref="AF21">
      <formula1>0</formula1>
      <formula2>NaN</formula2>
    </dataValidation>
    <dataValidation type="whole" allowBlank="1" showInputMessage="1" showErrorMessage="1" sqref="AF22">
      <formula1>0</formula1>
      <formula2>NaN</formula2>
    </dataValidation>
    <dataValidation type="whole" allowBlank="1" showInputMessage="1" showErrorMessage="1" sqref="AF23">
      <formula1>0</formula1>
      <formula2>NaN</formula2>
    </dataValidation>
    <dataValidation type="whole" allowBlank="1" showInputMessage="1" showErrorMessage="1" sqref="AF24">
      <formula1>0</formula1>
      <formula2>NaN</formula2>
    </dataValidation>
    <dataValidation type="whole" allowBlank="1" showInputMessage="1" showErrorMessage="1" sqref="AF25">
      <formula1>0</formula1>
      <formula2>NaN</formula2>
    </dataValidation>
    <dataValidation type="whole" allowBlank="1" showInputMessage="1" showErrorMessage="1" sqref="AF26">
      <formula1>0</formula1>
      <formula2>NaN</formula2>
    </dataValidation>
    <dataValidation type="whole" allowBlank="1" showInputMessage="1" showErrorMessage="1" sqref="AF27">
      <formula1>0</formula1>
      <formula2>NaN</formula2>
    </dataValidation>
    <dataValidation type="whole" allowBlank="1" showInputMessage="1" showErrorMessage="1" sqref="AF28">
      <formula1>0</formula1>
      <formula2>NaN</formula2>
    </dataValidation>
    <dataValidation type="whole" allowBlank="1" showInputMessage="1" showErrorMessage="1" sqref="AF29">
      <formula1>0</formula1>
      <formula2>NaN</formula2>
    </dataValidation>
    <dataValidation type="whole" allowBlank="1" showInputMessage="1" showErrorMessage="1" sqref="AF30">
      <formula1>0</formula1>
      <formula2>NaN</formula2>
    </dataValidation>
    <dataValidation type="whole" allowBlank="1" showInputMessage="1" showErrorMessage="1" sqref="AF31">
      <formula1>0</formula1>
      <formula2>NaN</formula2>
    </dataValidation>
    <dataValidation type="whole" allowBlank="1" showInputMessage="1" showErrorMessage="1" sqref="AF32">
      <formula1>0</formula1>
      <formula2>NaN</formula2>
    </dataValidation>
    <dataValidation type="whole" allowBlank="1" showInputMessage="1" showErrorMessage="1" sqref="AF33">
      <formula1>0</formula1>
      <formula2>NaN</formula2>
    </dataValidation>
    <dataValidation type="whole" allowBlank="1" showInputMessage="1" showErrorMessage="1" sqref="AF34">
      <formula1>0</formula1>
      <formula2>NaN</formula2>
    </dataValidation>
    <dataValidation type="whole" allowBlank="1" showInputMessage="1" showErrorMessage="1" sqref="AF35">
      <formula1>0</formula1>
      <formula2>NaN</formula2>
    </dataValidation>
    <dataValidation type="whole" allowBlank="1" showInputMessage="1" showErrorMessage="1" sqref="AF36">
      <formula1>0</formula1>
      <formula2>NaN</formula2>
    </dataValidation>
    <dataValidation type="whole" allowBlank="1" showInputMessage="1" showErrorMessage="1" sqref="AF37">
      <formula1>0</formula1>
      <formula2>NaN</formula2>
    </dataValidation>
    <dataValidation type="whole" allowBlank="1" showInputMessage="1" showErrorMessage="1" sqref="AF38">
      <formula1>0</formula1>
      <formula2>NaN</formula2>
    </dataValidation>
    <dataValidation type="whole" allowBlank="1" showInputMessage="1" showErrorMessage="1" sqref="AF39">
      <formula1>0</formula1>
      <formula2>NaN</formula2>
    </dataValidation>
    <dataValidation type="whole" allowBlank="1" showInputMessage="1" showErrorMessage="1" sqref="AF40">
      <formula1>0</formula1>
      <formula2>NaN</formula2>
    </dataValidation>
    <dataValidation type="whole" allowBlank="1" showInputMessage="1" showErrorMessage="1" sqref="AF41">
      <formula1>0</formula1>
      <formula2>NaN</formula2>
    </dataValidation>
    <dataValidation type="whole" allowBlank="1" showInputMessage="1" showErrorMessage="1" sqref="AF42">
      <formula1>0</formula1>
      <formula2>NaN</formula2>
    </dataValidation>
    <dataValidation type="whole" allowBlank="1" showInputMessage="1" showErrorMessage="1" sqref="AF43">
      <formula1>0</formula1>
      <formula2>NaN</formula2>
    </dataValidation>
    <dataValidation type="whole" allowBlank="1" showInputMessage="1" showErrorMessage="1" sqref="AF44">
      <formula1>0</formula1>
      <formula2>NaN</formula2>
    </dataValidation>
    <dataValidation type="whole" allowBlank="1" showInputMessage="1" showErrorMessage="1" sqref="AF45">
      <formula1>0</formula1>
      <formula2>NaN</formula2>
    </dataValidation>
    <dataValidation type="whole" allowBlank="1" showInputMessage="1" showErrorMessage="1" sqref="AF46">
      <formula1>0</formula1>
      <formula2>NaN</formula2>
    </dataValidation>
    <dataValidation type="whole" allowBlank="1" showInputMessage="1" showErrorMessage="1" sqref="AF47">
      <formula1>0</formula1>
      <formula2>NaN</formula2>
    </dataValidation>
    <dataValidation type="whole" allowBlank="1" showInputMessage="1" showErrorMessage="1" sqref="AF48">
      <formula1>0</formula1>
      <formula2>NaN</formula2>
    </dataValidation>
    <dataValidation type="whole" allowBlank="1" showInputMessage="1" showErrorMessage="1" sqref="AF49">
      <formula1>0</formula1>
      <formula2>NaN</formula2>
    </dataValidation>
    <dataValidation type="whole" allowBlank="1" showInputMessage="1" showErrorMessage="1" sqref="AF50">
      <formula1>0</formula1>
      <formula2>NaN</formula2>
    </dataValidation>
    <dataValidation type="whole" allowBlank="1" showInputMessage="1" showErrorMessage="1" sqref="AF51">
      <formula1>0</formula1>
      <formula2>NaN</formula2>
    </dataValidation>
    <dataValidation type="whole" allowBlank="1" showInputMessage="1" showErrorMessage="1" sqref="AF52">
      <formula1>0</formula1>
      <formula2>NaN</formula2>
    </dataValidation>
    <dataValidation type="whole" allowBlank="1" showInputMessage="1" showErrorMessage="1" sqref="AF53">
      <formula1>0</formula1>
      <formula2>NaN</formula2>
    </dataValidation>
    <dataValidation type="whole" allowBlank="1" showInputMessage="1" showErrorMessage="1" sqref="AF54">
      <formula1>0</formula1>
      <formula2>NaN</formula2>
    </dataValidation>
    <dataValidation type="whole" allowBlank="1" showInputMessage="1" showErrorMessage="1" sqref="AF55">
      <formula1>0</formula1>
      <formula2>NaN</formula2>
    </dataValidation>
    <dataValidation type="whole" allowBlank="1" showInputMessage="1" showErrorMessage="1" sqref="AF56">
      <formula1>0</formula1>
      <formula2>NaN</formula2>
    </dataValidation>
    <dataValidation type="whole" allowBlank="1" showInputMessage="1" showErrorMessage="1" sqref="AF57">
      <formula1>0</formula1>
      <formula2>NaN</formula2>
    </dataValidation>
    <dataValidation type="whole" allowBlank="1" showInputMessage="1" showErrorMessage="1" sqref="AF58">
      <formula1>0</formula1>
      <formula2>NaN</formula2>
    </dataValidation>
    <dataValidation type="whole" allowBlank="1" showInputMessage="1" showErrorMessage="1" sqref="AF59">
      <formula1>0</formula1>
      <formula2>NaN</formula2>
    </dataValidation>
    <dataValidation type="whole" allowBlank="1" showInputMessage="1" showErrorMessage="1" sqref="AF60">
      <formula1>0</formula1>
      <formula2>NaN</formula2>
    </dataValidation>
    <dataValidation type="whole" allowBlank="1" showInputMessage="1" showErrorMessage="1" sqref="AF61">
      <formula1>0</formula1>
      <formula2>NaN</formula2>
    </dataValidation>
    <dataValidation type="whole" allowBlank="1" showInputMessage="1" showErrorMessage="1" sqref="AF62">
      <formula1>0</formula1>
      <formula2>NaN</formula2>
    </dataValidation>
    <dataValidation type="whole" allowBlank="1" showInputMessage="1" showErrorMessage="1" sqref="AF63">
      <formula1>0</formula1>
      <formula2>NaN</formula2>
    </dataValidation>
    <dataValidation type="whole" allowBlank="1" showInputMessage="1" showErrorMessage="1" sqref="AF64">
      <formula1>0</formula1>
      <formula2>NaN</formula2>
    </dataValidation>
    <dataValidation type="whole" allowBlank="1" showInputMessage="1" showErrorMessage="1" sqref="AF65">
      <formula1>0</formula1>
      <formula2>NaN</formula2>
    </dataValidation>
    <dataValidation type="whole" allowBlank="1" showInputMessage="1" showErrorMessage="1" sqref="AF66">
      <formula1>0</formula1>
      <formula2>NaN</formula2>
    </dataValidation>
    <dataValidation type="whole" allowBlank="1" showInputMessage="1" showErrorMessage="1" sqref="AF67">
      <formula1>0</formula1>
      <formula2>NaN</formula2>
    </dataValidation>
    <dataValidation type="whole" allowBlank="1" showInputMessage="1" showErrorMessage="1" sqref="AF68">
      <formula1>0</formula1>
      <formula2>NaN</formula2>
    </dataValidation>
    <dataValidation type="whole" allowBlank="1" showInputMessage="1" showErrorMessage="1" sqref="AF9">
      <formula1>0</formula1>
      <formula2>NaN</formula2>
    </dataValidation>
    <dataValidation type="whole" allowBlank="1" showInputMessage="1" showErrorMessage="1" sqref="AG10">
      <formula1>0</formula1>
      <formula2>NaN</formula2>
    </dataValidation>
    <dataValidation type="whole" allowBlank="1" showInputMessage="1" showErrorMessage="1" sqref="AG11">
      <formula1>0</formula1>
      <formula2>NaN</formula2>
    </dataValidation>
    <dataValidation type="whole" allowBlank="1" showInputMessage="1" showErrorMessage="1" sqref="AG12">
      <formula1>0</formula1>
      <formula2>NaN</formula2>
    </dataValidation>
    <dataValidation type="whole" allowBlank="1" showInputMessage="1" showErrorMessage="1" sqref="AG13">
      <formula1>0</formula1>
      <formula2>NaN</formula2>
    </dataValidation>
    <dataValidation type="whole" allowBlank="1" showInputMessage="1" showErrorMessage="1" sqref="AG14">
      <formula1>0</formula1>
      <formula2>NaN</formula2>
    </dataValidation>
    <dataValidation type="whole" allowBlank="1" showInputMessage="1" showErrorMessage="1" sqref="AG15">
      <formula1>0</formula1>
      <formula2>NaN</formula2>
    </dataValidation>
    <dataValidation type="whole" allowBlank="1" showInputMessage="1" showErrorMessage="1" sqref="AG16">
      <formula1>0</formula1>
      <formula2>NaN</formula2>
    </dataValidation>
    <dataValidation type="whole" allowBlank="1" showInputMessage="1" showErrorMessage="1" sqref="AG17">
      <formula1>0</formula1>
      <formula2>NaN</formula2>
    </dataValidation>
    <dataValidation type="whole" allowBlank="1" showInputMessage="1" showErrorMessage="1" sqref="AG18">
      <formula1>0</formula1>
      <formula2>NaN</formula2>
    </dataValidation>
    <dataValidation type="whole" allowBlank="1" showInputMessage="1" showErrorMessage="1" sqref="AG19">
      <formula1>0</formula1>
      <formula2>NaN</formula2>
    </dataValidation>
    <dataValidation type="whole" allowBlank="1" showInputMessage="1" showErrorMessage="1" sqref="AG20">
      <formula1>0</formula1>
      <formula2>NaN</formula2>
    </dataValidation>
    <dataValidation type="whole" allowBlank="1" showInputMessage="1" showErrorMessage="1" sqref="AG21">
      <formula1>0</formula1>
      <formula2>NaN</formula2>
    </dataValidation>
    <dataValidation type="whole" allowBlank="1" showInputMessage="1" showErrorMessage="1" sqref="AG22">
      <formula1>0</formula1>
      <formula2>NaN</formula2>
    </dataValidation>
    <dataValidation type="whole" allowBlank="1" showInputMessage="1" showErrorMessage="1" sqref="AG23">
      <formula1>0</formula1>
      <formula2>NaN</formula2>
    </dataValidation>
    <dataValidation type="whole" allowBlank="1" showInputMessage="1" showErrorMessage="1" sqref="AG24">
      <formula1>0</formula1>
      <formula2>NaN</formula2>
    </dataValidation>
    <dataValidation type="whole" allowBlank="1" showInputMessage="1" showErrorMessage="1" sqref="AG25">
      <formula1>0</formula1>
      <formula2>NaN</formula2>
    </dataValidation>
    <dataValidation type="whole" allowBlank="1" showInputMessage="1" showErrorMessage="1" sqref="AG26">
      <formula1>0</formula1>
      <formula2>NaN</formula2>
    </dataValidation>
    <dataValidation type="whole" allowBlank="1" showInputMessage="1" showErrorMessage="1" sqref="AG27">
      <formula1>0</formula1>
      <formula2>NaN</formula2>
    </dataValidation>
    <dataValidation type="whole" allowBlank="1" showInputMessage="1" showErrorMessage="1" sqref="AG28">
      <formula1>0</formula1>
      <formula2>NaN</formula2>
    </dataValidation>
    <dataValidation type="whole" allowBlank="1" showInputMessage="1" showErrorMessage="1" sqref="AG29">
      <formula1>0</formula1>
      <formula2>NaN</formula2>
    </dataValidation>
    <dataValidation type="whole" allowBlank="1" showInputMessage="1" showErrorMessage="1" sqref="AG30">
      <formula1>0</formula1>
      <formula2>NaN</formula2>
    </dataValidation>
    <dataValidation type="whole" allowBlank="1" showInputMessage="1" showErrorMessage="1" sqref="AG31">
      <formula1>0</formula1>
      <formula2>NaN</formula2>
    </dataValidation>
    <dataValidation type="whole" allowBlank="1" showInputMessage="1" showErrorMessage="1" sqref="AG32">
      <formula1>0</formula1>
      <formula2>NaN</formula2>
    </dataValidation>
    <dataValidation type="whole" allowBlank="1" showInputMessage="1" showErrorMessage="1" sqref="AG33">
      <formula1>0</formula1>
      <formula2>NaN</formula2>
    </dataValidation>
    <dataValidation type="whole" allowBlank="1" showInputMessage="1" showErrorMessage="1" sqref="AG34">
      <formula1>0</formula1>
      <formula2>NaN</formula2>
    </dataValidation>
    <dataValidation type="whole" allowBlank="1" showInputMessage="1" showErrorMessage="1" sqref="AG35">
      <formula1>0</formula1>
      <formula2>NaN</formula2>
    </dataValidation>
    <dataValidation type="whole" allowBlank="1" showInputMessage="1" showErrorMessage="1" sqref="AG36">
      <formula1>0</formula1>
      <formula2>NaN</formula2>
    </dataValidation>
    <dataValidation type="whole" allowBlank="1" showInputMessage="1" showErrorMessage="1" sqref="AG37">
      <formula1>0</formula1>
      <formula2>NaN</formula2>
    </dataValidation>
    <dataValidation type="whole" allowBlank="1" showInputMessage="1" showErrorMessage="1" sqref="AG38">
      <formula1>0</formula1>
      <formula2>NaN</formula2>
    </dataValidation>
    <dataValidation type="whole" allowBlank="1" showInputMessage="1" showErrorMessage="1" sqref="AG39">
      <formula1>0</formula1>
      <formula2>NaN</formula2>
    </dataValidation>
    <dataValidation type="whole" allowBlank="1" showInputMessage="1" showErrorMessage="1" sqref="AG40">
      <formula1>0</formula1>
      <formula2>NaN</formula2>
    </dataValidation>
    <dataValidation type="whole" allowBlank="1" showInputMessage="1" showErrorMessage="1" sqref="AG41">
      <formula1>0</formula1>
      <formula2>NaN</formula2>
    </dataValidation>
    <dataValidation type="whole" allowBlank="1" showInputMessage="1" showErrorMessage="1" sqref="AG42">
      <formula1>0</formula1>
      <formula2>NaN</formula2>
    </dataValidation>
    <dataValidation type="whole" allowBlank="1" showInputMessage="1" showErrorMessage="1" sqref="AG43">
      <formula1>0</formula1>
      <formula2>NaN</formula2>
    </dataValidation>
    <dataValidation type="whole" allowBlank="1" showInputMessage="1" showErrorMessage="1" sqref="AG44">
      <formula1>0</formula1>
      <formula2>NaN</formula2>
    </dataValidation>
    <dataValidation type="whole" allowBlank="1" showInputMessage="1" showErrorMessage="1" sqref="AG45">
      <formula1>0</formula1>
      <formula2>NaN</formula2>
    </dataValidation>
    <dataValidation type="whole" allowBlank="1" showInputMessage="1" showErrorMessage="1" sqref="AG46">
      <formula1>0</formula1>
      <formula2>NaN</formula2>
    </dataValidation>
    <dataValidation type="whole" allowBlank="1" showInputMessage="1" showErrorMessage="1" sqref="AG47">
      <formula1>0</formula1>
      <formula2>NaN</formula2>
    </dataValidation>
    <dataValidation type="whole" allowBlank="1" showInputMessage="1" showErrorMessage="1" sqref="AG48">
      <formula1>0</formula1>
      <formula2>NaN</formula2>
    </dataValidation>
    <dataValidation type="whole" allowBlank="1" showInputMessage="1" showErrorMessage="1" sqref="AG49">
      <formula1>0</formula1>
      <formula2>NaN</formula2>
    </dataValidation>
    <dataValidation type="whole" allowBlank="1" showInputMessage="1" showErrorMessage="1" sqref="AG50">
      <formula1>0</formula1>
      <formula2>NaN</formula2>
    </dataValidation>
    <dataValidation type="whole" allowBlank="1" showInputMessage="1" showErrorMessage="1" sqref="AG51">
      <formula1>0</formula1>
      <formula2>NaN</formula2>
    </dataValidation>
    <dataValidation type="whole" allowBlank="1" showInputMessage="1" showErrorMessage="1" sqref="AG52">
      <formula1>0</formula1>
      <formula2>NaN</formula2>
    </dataValidation>
    <dataValidation type="whole" allowBlank="1" showInputMessage="1" showErrorMessage="1" sqref="AG53">
      <formula1>0</formula1>
      <formula2>NaN</formula2>
    </dataValidation>
    <dataValidation type="whole" allowBlank="1" showInputMessage="1" showErrorMessage="1" sqref="AG54">
      <formula1>0</formula1>
      <formula2>NaN</formula2>
    </dataValidation>
    <dataValidation type="whole" allowBlank="1" showInputMessage="1" showErrorMessage="1" sqref="AG55">
      <formula1>0</formula1>
      <formula2>NaN</formula2>
    </dataValidation>
    <dataValidation type="whole" allowBlank="1" showInputMessage="1" showErrorMessage="1" sqref="AG56">
      <formula1>0</formula1>
      <formula2>NaN</formula2>
    </dataValidation>
    <dataValidation type="whole" allowBlank="1" showInputMessage="1" showErrorMessage="1" sqref="AG57">
      <formula1>0</formula1>
      <formula2>NaN</formula2>
    </dataValidation>
    <dataValidation type="whole" allowBlank="1" showInputMessage="1" showErrorMessage="1" sqref="AG58">
      <formula1>0</formula1>
      <formula2>NaN</formula2>
    </dataValidation>
    <dataValidation type="whole" allowBlank="1" showInputMessage="1" showErrorMessage="1" sqref="AG59">
      <formula1>0</formula1>
      <formula2>NaN</formula2>
    </dataValidation>
    <dataValidation type="whole" allowBlank="1" showInputMessage="1" showErrorMessage="1" sqref="AG60">
      <formula1>0</formula1>
      <formula2>NaN</formula2>
    </dataValidation>
    <dataValidation type="whole" allowBlank="1" showInputMessage="1" showErrorMessage="1" sqref="AG61">
      <formula1>0</formula1>
      <formula2>NaN</formula2>
    </dataValidation>
    <dataValidation type="whole" allowBlank="1" showInputMessage="1" showErrorMessage="1" sqref="AG62">
      <formula1>0</formula1>
      <formula2>NaN</formula2>
    </dataValidation>
    <dataValidation type="whole" allowBlank="1" showInputMessage="1" showErrorMessage="1" sqref="AG63">
      <formula1>0</formula1>
      <formula2>NaN</formula2>
    </dataValidation>
    <dataValidation type="whole" allowBlank="1" showInputMessage="1" showErrorMessage="1" sqref="AG64">
      <formula1>0</formula1>
      <formula2>NaN</formula2>
    </dataValidation>
    <dataValidation type="whole" allowBlank="1" showInputMessage="1" showErrorMessage="1" sqref="AG65">
      <formula1>0</formula1>
      <formula2>NaN</formula2>
    </dataValidation>
    <dataValidation type="whole" allowBlank="1" showInputMessage="1" showErrorMessage="1" sqref="AG66">
      <formula1>0</formula1>
      <formula2>NaN</formula2>
    </dataValidation>
    <dataValidation type="whole" allowBlank="1" showInputMessage="1" showErrorMessage="1" sqref="AG67">
      <formula1>0</formula1>
      <formula2>NaN</formula2>
    </dataValidation>
    <dataValidation type="whole" allowBlank="1" showInputMessage="1" showErrorMessage="1" sqref="AG68">
      <formula1>0</formula1>
      <formula2>NaN</formula2>
    </dataValidation>
    <dataValidation type="whole" allowBlank="1" showInputMessage="1" showErrorMessage="1" sqref="AG9">
      <formula1>0</formula1>
      <formula2>NaN</formula2>
    </dataValidation>
    <dataValidation type="whole" allowBlank="1" showInputMessage="1" showErrorMessage="1" sqref="AH10">
      <formula1>0</formula1>
      <formula2>NaN</formula2>
    </dataValidation>
    <dataValidation type="whole" allowBlank="1" showInputMessage="1" showErrorMessage="1" sqref="AH11">
      <formula1>0</formula1>
      <formula2>NaN</formula2>
    </dataValidation>
    <dataValidation type="whole" allowBlank="1" showInputMessage="1" showErrorMessage="1" sqref="AH12">
      <formula1>0</formula1>
      <formula2>NaN</formula2>
    </dataValidation>
    <dataValidation type="whole" allowBlank="1" showInputMessage="1" showErrorMessage="1" sqref="AH13">
      <formula1>0</formula1>
      <formula2>NaN</formula2>
    </dataValidation>
    <dataValidation type="whole" allowBlank="1" showInputMessage="1" showErrorMessage="1" sqref="AH14">
      <formula1>0</formula1>
      <formula2>NaN</formula2>
    </dataValidation>
    <dataValidation type="whole" allowBlank="1" showInputMessage="1" showErrorMessage="1" sqref="AH15">
      <formula1>0</formula1>
      <formula2>NaN</formula2>
    </dataValidation>
    <dataValidation type="whole" allowBlank="1" showInputMessage="1" showErrorMessage="1" sqref="AH16">
      <formula1>0</formula1>
      <formula2>NaN</formula2>
    </dataValidation>
    <dataValidation type="whole" allowBlank="1" showInputMessage="1" showErrorMessage="1" sqref="AH17">
      <formula1>0</formula1>
      <formula2>NaN</formula2>
    </dataValidation>
    <dataValidation type="whole" allowBlank="1" showInputMessage="1" showErrorMessage="1" sqref="AH18">
      <formula1>0</formula1>
      <formula2>NaN</formula2>
    </dataValidation>
    <dataValidation type="whole" allowBlank="1" showInputMessage="1" showErrorMessage="1" sqref="AH19">
      <formula1>0</formula1>
      <formula2>NaN</formula2>
    </dataValidation>
    <dataValidation type="whole" allowBlank="1" showInputMessage="1" showErrorMessage="1" sqref="AH20">
      <formula1>0</formula1>
      <formula2>NaN</formula2>
    </dataValidation>
    <dataValidation type="whole" allowBlank="1" showInputMessage="1" showErrorMessage="1" sqref="AH21">
      <formula1>0</formula1>
      <formula2>NaN</formula2>
    </dataValidation>
    <dataValidation type="whole" allowBlank="1" showInputMessage="1" showErrorMessage="1" sqref="AH22">
      <formula1>0</formula1>
      <formula2>NaN</formula2>
    </dataValidation>
    <dataValidation type="whole" allowBlank="1" showInputMessage="1" showErrorMessage="1" sqref="AH23">
      <formula1>0</formula1>
      <formula2>NaN</formula2>
    </dataValidation>
    <dataValidation type="whole" allowBlank="1" showInputMessage="1" showErrorMessage="1" sqref="AH24">
      <formula1>0</formula1>
      <formula2>NaN</formula2>
    </dataValidation>
    <dataValidation type="whole" allowBlank="1" showInputMessage="1" showErrorMessage="1" sqref="AH25">
      <formula1>0</formula1>
      <formula2>NaN</formula2>
    </dataValidation>
    <dataValidation type="whole" allowBlank="1" showInputMessage="1" showErrorMessage="1" sqref="AH26">
      <formula1>0</formula1>
      <formula2>NaN</formula2>
    </dataValidation>
    <dataValidation type="whole" allowBlank="1" showInputMessage="1" showErrorMessage="1" sqref="AH27">
      <formula1>0</formula1>
      <formula2>NaN</formula2>
    </dataValidation>
    <dataValidation type="whole" allowBlank="1" showInputMessage="1" showErrorMessage="1" sqref="AH28">
      <formula1>0</formula1>
      <formula2>NaN</formula2>
    </dataValidation>
    <dataValidation type="whole" allowBlank="1" showInputMessage="1" showErrorMessage="1" sqref="AH29">
      <formula1>0</formula1>
      <formula2>NaN</formula2>
    </dataValidation>
    <dataValidation type="whole" allowBlank="1" showInputMessage="1" showErrorMessage="1" sqref="AH30">
      <formula1>0</formula1>
      <formula2>NaN</formula2>
    </dataValidation>
    <dataValidation type="whole" allowBlank="1" showInputMessage="1" showErrorMessage="1" sqref="AH31">
      <formula1>0</formula1>
      <formula2>NaN</formula2>
    </dataValidation>
    <dataValidation type="whole" allowBlank="1" showInputMessage="1" showErrorMessage="1" sqref="AH32">
      <formula1>0</formula1>
      <formula2>NaN</formula2>
    </dataValidation>
    <dataValidation type="whole" allowBlank="1" showInputMessage="1" showErrorMessage="1" sqref="AH33">
      <formula1>0</formula1>
      <formula2>NaN</formula2>
    </dataValidation>
    <dataValidation type="whole" allowBlank="1" showInputMessage="1" showErrorMessage="1" sqref="AH34">
      <formula1>0</formula1>
      <formula2>NaN</formula2>
    </dataValidation>
    <dataValidation type="whole" allowBlank="1" showInputMessage="1" showErrorMessage="1" sqref="AH35">
      <formula1>0</formula1>
      <formula2>NaN</formula2>
    </dataValidation>
    <dataValidation type="whole" allowBlank="1" showInputMessage="1" showErrorMessage="1" sqref="AH36">
      <formula1>0</formula1>
      <formula2>NaN</formula2>
    </dataValidation>
    <dataValidation type="whole" allowBlank="1" showInputMessage="1" showErrorMessage="1" sqref="AH37">
      <formula1>0</formula1>
      <formula2>NaN</formula2>
    </dataValidation>
    <dataValidation type="whole" allowBlank="1" showInputMessage="1" showErrorMessage="1" sqref="AH38">
      <formula1>0</formula1>
      <formula2>NaN</formula2>
    </dataValidation>
    <dataValidation type="whole" allowBlank="1" showInputMessage="1" showErrorMessage="1" sqref="AH39">
      <formula1>0</formula1>
      <formula2>NaN</formula2>
    </dataValidation>
    <dataValidation type="whole" allowBlank="1" showInputMessage="1" showErrorMessage="1" sqref="AH40">
      <formula1>0</formula1>
      <formula2>NaN</formula2>
    </dataValidation>
    <dataValidation type="whole" allowBlank="1" showInputMessage="1" showErrorMessage="1" sqref="AH41">
      <formula1>0</formula1>
      <formula2>NaN</formula2>
    </dataValidation>
    <dataValidation type="whole" allowBlank="1" showInputMessage="1" showErrorMessage="1" sqref="AH42">
      <formula1>0</formula1>
      <formula2>NaN</formula2>
    </dataValidation>
    <dataValidation type="whole" allowBlank="1" showInputMessage="1" showErrorMessage="1" sqref="AH43">
      <formula1>0</formula1>
      <formula2>NaN</formula2>
    </dataValidation>
    <dataValidation type="whole" allowBlank="1" showInputMessage="1" showErrorMessage="1" sqref="AH44">
      <formula1>0</formula1>
      <formula2>NaN</formula2>
    </dataValidation>
    <dataValidation type="whole" allowBlank="1" showInputMessage="1" showErrorMessage="1" sqref="AH45">
      <formula1>0</formula1>
      <formula2>NaN</formula2>
    </dataValidation>
    <dataValidation type="whole" allowBlank="1" showInputMessage="1" showErrorMessage="1" sqref="AH46">
      <formula1>0</formula1>
      <formula2>NaN</formula2>
    </dataValidation>
    <dataValidation type="whole" allowBlank="1" showInputMessage="1" showErrorMessage="1" sqref="AH47">
      <formula1>0</formula1>
      <formula2>NaN</formula2>
    </dataValidation>
    <dataValidation type="whole" allowBlank="1" showInputMessage="1" showErrorMessage="1" sqref="AH48">
      <formula1>0</formula1>
      <formula2>NaN</formula2>
    </dataValidation>
    <dataValidation type="whole" allowBlank="1" showInputMessage="1" showErrorMessage="1" sqref="AH49">
      <formula1>0</formula1>
      <formula2>NaN</formula2>
    </dataValidation>
    <dataValidation type="whole" allowBlank="1" showInputMessage="1" showErrorMessage="1" sqref="AH50">
      <formula1>0</formula1>
      <formula2>NaN</formula2>
    </dataValidation>
    <dataValidation type="whole" allowBlank="1" showInputMessage="1" showErrorMessage="1" sqref="AH51">
      <formula1>0</formula1>
      <formula2>NaN</formula2>
    </dataValidation>
    <dataValidation type="whole" allowBlank="1" showInputMessage="1" showErrorMessage="1" sqref="AH52">
      <formula1>0</formula1>
      <formula2>NaN</formula2>
    </dataValidation>
    <dataValidation type="whole" allowBlank="1" showInputMessage="1" showErrorMessage="1" sqref="AH53">
      <formula1>0</formula1>
      <formula2>NaN</formula2>
    </dataValidation>
    <dataValidation type="whole" allowBlank="1" showInputMessage="1" showErrorMessage="1" sqref="AH54">
      <formula1>0</formula1>
      <formula2>NaN</formula2>
    </dataValidation>
    <dataValidation type="whole" allowBlank="1" showInputMessage="1" showErrorMessage="1" sqref="AH55">
      <formula1>0</formula1>
      <formula2>NaN</formula2>
    </dataValidation>
    <dataValidation type="whole" allowBlank="1" showInputMessage="1" showErrorMessage="1" sqref="AH56">
      <formula1>0</formula1>
      <formula2>NaN</formula2>
    </dataValidation>
    <dataValidation type="whole" allowBlank="1" showInputMessage="1" showErrorMessage="1" sqref="AH57">
      <formula1>0</formula1>
      <formula2>NaN</formula2>
    </dataValidation>
    <dataValidation type="whole" allowBlank="1" showInputMessage="1" showErrorMessage="1" sqref="AH58">
      <formula1>0</formula1>
      <formula2>NaN</formula2>
    </dataValidation>
    <dataValidation type="whole" allowBlank="1" showInputMessage="1" showErrorMessage="1" sqref="AH59">
      <formula1>0</formula1>
      <formula2>NaN</formula2>
    </dataValidation>
    <dataValidation type="whole" allowBlank="1" showInputMessage="1" showErrorMessage="1" sqref="AH60">
      <formula1>0</formula1>
      <formula2>NaN</formula2>
    </dataValidation>
    <dataValidation type="whole" allowBlank="1" showInputMessage="1" showErrorMessage="1" sqref="AH61">
      <formula1>0</formula1>
      <formula2>NaN</formula2>
    </dataValidation>
    <dataValidation type="whole" allowBlank="1" showInputMessage="1" showErrorMessage="1" sqref="AH62">
      <formula1>0</formula1>
      <formula2>NaN</formula2>
    </dataValidation>
    <dataValidation type="whole" allowBlank="1" showInputMessage="1" showErrorMessage="1" sqref="AH63">
      <formula1>0</formula1>
      <formula2>NaN</formula2>
    </dataValidation>
    <dataValidation type="whole" allowBlank="1" showInputMessage="1" showErrorMessage="1" sqref="AH64">
      <formula1>0</formula1>
      <formula2>NaN</formula2>
    </dataValidation>
    <dataValidation type="whole" allowBlank="1" showInputMessage="1" showErrorMessage="1" sqref="AH65">
      <formula1>0</formula1>
      <formula2>NaN</formula2>
    </dataValidation>
    <dataValidation type="whole" allowBlank="1" showInputMessage="1" showErrorMessage="1" sqref="AH66">
      <formula1>0</formula1>
      <formula2>NaN</formula2>
    </dataValidation>
    <dataValidation type="whole" allowBlank="1" showInputMessage="1" showErrorMessage="1" sqref="AH67">
      <formula1>0</formula1>
      <formula2>NaN</formula2>
    </dataValidation>
    <dataValidation type="whole" allowBlank="1" showInputMessage="1" showErrorMessage="1" sqref="AH68">
      <formula1>0</formula1>
      <formula2>NaN</formula2>
    </dataValidation>
    <dataValidation type="whole" allowBlank="1" showInputMessage="1" showErrorMessage="1" sqref="AH9">
      <formula1>0</formula1>
      <formula2>NaN</formula2>
    </dataValidation>
    <dataValidation type="whole" allowBlank="1" showInputMessage="1" showErrorMessage="1" sqref="AI10">
      <formula1>0</formula1>
      <formula2>NaN</formula2>
    </dataValidation>
    <dataValidation type="whole" allowBlank="1" showInputMessage="1" showErrorMessage="1" sqref="AI11">
      <formula1>0</formula1>
      <formula2>NaN</formula2>
    </dataValidation>
    <dataValidation type="whole" allowBlank="1" showInputMessage="1" showErrorMessage="1" sqref="AI12">
      <formula1>0</formula1>
      <formula2>NaN</formula2>
    </dataValidation>
    <dataValidation type="whole" allowBlank="1" showInputMessage="1" showErrorMessage="1" sqref="AI13">
      <formula1>0</formula1>
      <formula2>NaN</formula2>
    </dataValidation>
    <dataValidation type="whole" allowBlank="1" showInputMessage="1" showErrorMessage="1" sqref="AI14">
      <formula1>0</formula1>
      <formula2>NaN</formula2>
    </dataValidation>
    <dataValidation type="whole" allowBlank="1" showInputMessage="1" showErrorMessage="1" sqref="AI15">
      <formula1>0</formula1>
      <formula2>NaN</formula2>
    </dataValidation>
    <dataValidation type="whole" allowBlank="1" showInputMessage="1" showErrorMessage="1" sqref="AI16">
      <formula1>0</formula1>
      <formula2>NaN</formula2>
    </dataValidation>
    <dataValidation type="whole" allowBlank="1" showInputMessage="1" showErrorMessage="1" sqref="AI17">
      <formula1>0</formula1>
      <formula2>NaN</formula2>
    </dataValidation>
    <dataValidation type="whole" allowBlank="1" showInputMessage="1" showErrorMessage="1" sqref="AI18">
      <formula1>0</formula1>
      <formula2>NaN</formula2>
    </dataValidation>
    <dataValidation type="whole" allowBlank="1" showInputMessage="1" showErrorMessage="1" sqref="AI19">
      <formula1>0</formula1>
      <formula2>NaN</formula2>
    </dataValidation>
    <dataValidation type="whole" allowBlank="1" showInputMessage="1" showErrorMessage="1" sqref="AI20">
      <formula1>0</formula1>
      <formula2>NaN</formula2>
    </dataValidation>
    <dataValidation type="whole" allowBlank="1" showInputMessage="1" showErrorMessage="1" sqref="AI21">
      <formula1>0</formula1>
      <formula2>NaN</formula2>
    </dataValidation>
    <dataValidation type="whole" allowBlank="1" showInputMessage="1" showErrorMessage="1" sqref="AI22">
      <formula1>0</formula1>
      <formula2>NaN</formula2>
    </dataValidation>
    <dataValidation type="whole" allowBlank="1" showInputMessage="1" showErrorMessage="1" sqref="AI23">
      <formula1>0</formula1>
      <formula2>NaN</formula2>
    </dataValidation>
    <dataValidation type="whole" allowBlank="1" showInputMessage="1" showErrorMessage="1" sqref="AI24">
      <formula1>0</formula1>
      <formula2>NaN</formula2>
    </dataValidation>
    <dataValidation type="whole" allowBlank="1" showInputMessage="1" showErrorMessage="1" sqref="AI25">
      <formula1>0</formula1>
      <formula2>NaN</formula2>
    </dataValidation>
    <dataValidation type="whole" allowBlank="1" showInputMessage="1" showErrorMessage="1" sqref="AI26">
      <formula1>0</formula1>
      <formula2>NaN</formula2>
    </dataValidation>
    <dataValidation type="whole" allowBlank="1" showInputMessage="1" showErrorMessage="1" sqref="AI27">
      <formula1>0</formula1>
      <formula2>NaN</formula2>
    </dataValidation>
    <dataValidation type="whole" allowBlank="1" showInputMessage="1" showErrorMessage="1" sqref="AI28">
      <formula1>0</formula1>
      <formula2>NaN</formula2>
    </dataValidation>
    <dataValidation type="whole" allowBlank="1" showInputMessage="1" showErrorMessage="1" sqref="AI29">
      <formula1>0</formula1>
      <formula2>NaN</formula2>
    </dataValidation>
    <dataValidation type="whole" allowBlank="1" showInputMessage="1" showErrorMessage="1" sqref="AI30">
      <formula1>0</formula1>
      <formula2>NaN</formula2>
    </dataValidation>
    <dataValidation type="whole" allowBlank="1" showInputMessage="1" showErrorMessage="1" sqref="AI31">
      <formula1>0</formula1>
      <formula2>NaN</formula2>
    </dataValidation>
    <dataValidation type="whole" allowBlank="1" showInputMessage="1" showErrorMessage="1" sqref="AI32">
      <formula1>0</formula1>
      <formula2>NaN</formula2>
    </dataValidation>
    <dataValidation type="whole" allowBlank="1" showInputMessage="1" showErrorMessage="1" sqref="AI33">
      <formula1>0</formula1>
      <formula2>NaN</formula2>
    </dataValidation>
    <dataValidation type="whole" allowBlank="1" showInputMessage="1" showErrorMessage="1" sqref="AI34">
      <formula1>0</formula1>
      <formula2>NaN</formula2>
    </dataValidation>
    <dataValidation type="whole" allowBlank="1" showInputMessage="1" showErrorMessage="1" sqref="AI35">
      <formula1>0</formula1>
      <formula2>NaN</formula2>
    </dataValidation>
    <dataValidation type="whole" allowBlank="1" showInputMessage="1" showErrorMessage="1" sqref="AI36">
      <formula1>0</formula1>
      <formula2>NaN</formula2>
    </dataValidation>
    <dataValidation type="whole" allowBlank="1" showInputMessage="1" showErrorMessage="1" sqref="AI37">
      <formula1>0</formula1>
      <formula2>NaN</formula2>
    </dataValidation>
    <dataValidation type="whole" allowBlank="1" showInputMessage="1" showErrorMessage="1" sqref="AI38">
      <formula1>0</formula1>
      <formula2>NaN</formula2>
    </dataValidation>
    <dataValidation type="whole" allowBlank="1" showInputMessage="1" showErrorMessage="1" sqref="AI39">
      <formula1>0</formula1>
      <formula2>NaN</formula2>
    </dataValidation>
    <dataValidation type="whole" allowBlank="1" showInputMessage="1" showErrorMessage="1" sqref="AI40">
      <formula1>0</formula1>
      <formula2>NaN</formula2>
    </dataValidation>
    <dataValidation type="whole" allowBlank="1" showInputMessage="1" showErrorMessage="1" sqref="AI41">
      <formula1>0</formula1>
      <formula2>NaN</formula2>
    </dataValidation>
    <dataValidation type="whole" allowBlank="1" showInputMessage="1" showErrorMessage="1" sqref="AI42">
      <formula1>0</formula1>
      <formula2>NaN</formula2>
    </dataValidation>
    <dataValidation type="whole" allowBlank="1" showInputMessage="1" showErrorMessage="1" sqref="AI43">
      <formula1>0</formula1>
      <formula2>NaN</formula2>
    </dataValidation>
    <dataValidation type="whole" allowBlank="1" showInputMessage="1" showErrorMessage="1" sqref="AI44">
      <formula1>0</formula1>
      <formula2>NaN</formula2>
    </dataValidation>
    <dataValidation type="whole" allowBlank="1" showInputMessage="1" showErrorMessage="1" sqref="AI45">
      <formula1>0</formula1>
      <formula2>NaN</formula2>
    </dataValidation>
    <dataValidation type="whole" allowBlank="1" showInputMessage="1" showErrorMessage="1" sqref="AI46">
      <formula1>0</formula1>
      <formula2>NaN</formula2>
    </dataValidation>
    <dataValidation type="whole" allowBlank="1" showInputMessage="1" showErrorMessage="1" sqref="AI47">
      <formula1>0</formula1>
      <formula2>NaN</formula2>
    </dataValidation>
    <dataValidation type="whole" allowBlank="1" showInputMessage="1" showErrorMessage="1" sqref="AI48">
      <formula1>0</formula1>
      <formula2>NaN</formula2>
    </dataValidation>
    <dataValidation type="whole" allowBlank="1" showInputMessage="1" showErrorMessage="1" sqref="AI49">
      <formula1>0</formula1>
      <formula2>NaN</formula2>
    </dataValidation>
    <dataValidation type="whole" allowBlank="1" showInputMessage="1" showErrorMessage="1" sqref="AI50">
      <formula1>0</formula1>
      <formula2>NaN</formula2>
    </dataValidation>
    <dataValidation type="whole" allowBlank="1" showInputMessage="1" showErrorMessage="1" sqref="AI51">
      <formula1>0</formula1>
      <formula2>NaN</formula2>
    </dataValidation>
    <dataValidation type="whole" allowBlank="1" showInputMessage="1" showErrorMessage="1" sqref="AI52">
      <formula1>0</formula1>
      <formula2>NaN</formula2>
    </dataValidation>
    <dataValidation type="whole" allowBlank="1" showInputMessage="1" showErrorMessage="1" sqref="AI53">
      <formula1>0</formula1>
      <formula2>NaN</formula2>
    </dataValidation>
    <dataValidation type="whole" allowBlank="1" showInputMessage="1" showErrorMessage="1" sqref="AI54">
      <formula1>0</formula1>
      <formula2>NaN</formula2>
    </dataValidation>
    <dataValidation type="whole" allowBlank="1" showInputMessage="1" showErrorMessage="1" sqref="AI55">
      <formula1>0</formula1>
      <formula2>NaN</formula2>
    </dataValidation>
    <dataValidation type="whole" allowBlank="1" showInputMessage="1" showErrorMessage="1" sqref="AI56">
      <formula1>0</formula1>
      <formula2>NaN</formula2>
    </dataValidation>
    <dataValidation type="whole" allowBlank="1" showInputMessage="1" showErrorMessage="1" sqref="AI57">
      <formula1>0</formula1>
      <formula2>NaN</formula2>
    </dataValidation>
    <dataValidation type="whole" allowBlank="1" showInputMessage="1" showErrorMessage="1" sqref="AI58">
      <formula1>0</formula1>
      <formula2>NaN</formula2>
    </dataValidation>
    <dataValidation type="whole" allowBlank="1" showInputMessage="1" showErrorMessage="1" sqref="AI59">
      <formula1>0</formula1>
      <formula2>NaN</formula2>
    </dataValidation>
    <dataValidation type="whole" allowBlank="1" showInputMessage="1" showErrorMessage="1" sqref="AI60">
      <formula1>0</formula1>
      <formula2>NaN</formula2>
    </dataValidation>
    <dataValidation type="whole" allowBlank="1" showInputMessage="1" showErrorMessage="1" sqref="AI61">
      <formula1>0</formula1>
      <formula2>NaN</formula2>
    </dataValidation>
    <dataValidation type="whole" allowBlank="1" showInputMessage="1" showErrorMessage="1" sqref="AI62">
      <formula1>0</formula1>
      <formula2>NaN</formula2>
    </dataValidation>
    <dataValidation type="whole" allowBlank="1" showInputMessage="1" showErrorMessage="1" sqref="AI63">
      <formula1>0</formula1>
      <formula2>NaN</formula2>
    </dataValidation>
    <dataValidation type="whole" allowBlank="1" showInputMessage="1" showErrorMessage="1" sqref="AI64">
      <formula1>0</formula1>
      <formula2>NaN</formula2>
    </dataValidation>
    <dataValidation type="whole" allowBlank="1" showInputMessage="1" showErrorMessage="1" sqref="AI65">
      <formula1>0</formula1>
      <formula2>NaN</formula2>
    </dataValidation>
    <dataValidation type="whole" allowBlank="1" showInputMessage="1" showErrorMessage="1" sqref="AI66">
      <formula1>0</formula1>
      <formula2>NaN</formula2>
    </dataValidation>
    <dataValidation type="whole" allowBlank="1" showInputMessage="1" showErrorMessage="1" sqref="AI67">
      <formula1>0</formula1>
      <formula2>NaN</formula2>
    </dataValidation>
    <dataValidation type="whole" allowBlank="1" showInputMessage="1" showErrorMessage="1" sqref="AI68">
      <formula1>0</formula1>
      <formula2>NaN</formula2>
    </dataValidation>
    <dataValidation type="whole" allowBlank="1" showInputMessage="1" showErrorMessage="1" sqref="AI9">
      <formula1>0</formula1>
      <formula2>NaN</formula2>
    </dataValidation>
    <dataValidation type="whole" allowBlank="1" showInputMessage="1" showErrorMessage="1" sqref="AJ10">
      <formula1>0</formula1>
      <formula2>NaN</formula2>
    </dataValidation>
    <dataValidation type="whole" allowBlank="1" showInputMessage="1" showErrorMessage="1" sqref="AJ11">
      <formula1>0</formula1>
      <formula2>NaN</formula2>
    </dataValidation>
    <dataValidation type="whole" allowBlank="1" showInputMessage="1" showErrorMessage="1" sqref="AJ12">
      <formula1>0</formula1>
      <formula2>NaN</formula2>
    </dataValidation>
    <dataValidation type="whole" allowBlank="1" showInputMessage="1" showErrorMessage="1" sqref="AJ13">
      <formula1>0</formula1>
      <formula2>NaN</formula2>
    </dataValidation>
    <dataValidation type="whole" allowBlank="1" showInputMessage="1" showErrorMessage="1" sqref="AJ14">
      <formula1>0</formula1>
      <formula2>NaN</formula2>
    </dataValidation>
    <dataValidation type="whole" allowBlank="1" showInputMessage="1" showErrorMessage="1" sqref="AJ15">
      <formula1>0</formula1>
      <formula2>NaN</formula2>
    </dataValidation>
    <dataValidation type="whole" allowBlank="1" showInputMessage="1" showErrorMessage="1" sqref="AJ16">
      <formula1>0</formula1>
      <formula2>NaN</formula2>
    </dataValidation>
    <dataValidation type="whole" allowBlank="1" showInputMessage="1" showErrorMessage="1" sqref="AJ17">
      <formula1>0</formula1>
      <formula2>NaN</formula2>
    </dataValidation>
    <dataValidation type="whole" allowBlank="1" showInputMessage="1" showErrorMessage="1" sqref="AJ18">
      <formula1>0</formula1>
      <formula2>NaN</formula2>
    </dataValidation>
    <dataValidation type="whole" allowBlank="1" showInputMessage="1" showErrorMessage="1" sqref="AJ19">
      <formula1>0</formula1>
      <formula2>NaN</formula2>
    </dataValidation>
    <dataValidation type="whole" allowBlank="1" showInputMessage="1" showErrorMessage="1" sqref="AJ20">
      <formula1>0</formula1>
      <formula2>NaN</formula2>
    </dataValidation>
    <dataValidation type="whole" allowBlank="1" showInputMessage="1" showErrorMessage="1" sqref="AJ21">
      <formula1>0</formula1>
      <formula2>NaN</formula2>
    </dataValidation>
    <dataValidation type="whole" allowBlank="1" showInputMessage="1" showErrorMessage="1" sqref="AJ22">
      <formula1>0</formula1>
      <formula2>NaN</formula2>
    </dataValidation>
    <dataValidation type="whole" allowBlank="1" showInputMessage="1" showErrorMessage="1" sqref="AJ23">
      <formula1>0</formula1>
      <formula2>NaN</formula2>
    </dataValidation>
    <dataValidation type="whole" allowBlank="1" showInputMessage="1" showErrorMessage="1" sqref="AJ24">
      <formula1>0</formula1>
      <formula2>NaN</formula2>
    </dataValidation>
    <dataValidation type="whole" allowBlank="1" showInputMessage="1" showErrorMessage="1" sqref="AJ25">
      <formula1>0</formula1>
      <formula2>NaN</formula2>
    </dataValidation>
    <dataValidation type="whole" allowBlank="1" showInputMessage="1" showErrorMessage="1" sqref="AJ26">
      <formula1>0</formula1>
      <formula2>NaN</formula2>
    </dataValidation>
    <dataValidation type="whole" allowBlank="1" showInputMessage="1" showErrorMessage="1" sqref="AJ27">
      <formula1>0</formula1>
      <formula2>NaN</formula2>
    </dataValidation>
    <dataValidation type="whole" allowBlank="1" showInputMessage="1" showErrorMessage="1" sqref="AJ28">
      <formula1>0</formula1>
      <formula2>NaN</formula2>
    </dataValidation>
    <dataValidation type="whole" allowBlank="1" showInputMessage="1" showErrorMessage="1" sqref="AJ29">
      <formula1>0</formula1>
      <formula2>NaN</formula2>
    </dataValidation>
    <dataValidation type="whole" allowBlank="1" showInputMessage="1" showErrorMessage="1" sqref="AJ30">
      <formula1>0</formula1>
      <formula2>NaN</formula2>
    </dataValidation>
    <dataValidation type="whole" allowBlank="1" showInputMessage="1" showErrorMessage="1" sqref="AJ31">
      <formula1>0</formula1>
      <formula2>NaN</formula2>
    </dataValidation>
    <dataValidation type="whole" allowBlank="1" showInputMessage="1" showErrorMessage="1" sqref="AJ32">
      <formula1>0</formula1>
      <formula2>NaN</formula2>
    </dataValidation>
    <dataValidation type="whole" allowBlank="1" showInputMessage="1" showErrorMessage="1" sqref="AJ33">
      <formula1>0</formula1>
      <formula2>NaN</formula2>
    </dataValidation>
    <dataValidation type="whole" allowBlank="1" showInputMessage="1" showErrorMessage="1" sqref="AJ34">
      <formula1>0</formula1>
      <formula2>NaN</formula2>
    </dataValidation>
    <dataValidation type="whole" allowBlank="1" showInputMessage="1" showErrorMessage="1" sqref="AJ35">
      <formula1>0</formula1>
      <formula2>NaN</formula2>
    </dataValidation>
    <dataValidation type="whole" allowBlank="1" showInputMessage="1" showErrorMessage="1" sqref="AJ36">
      <formula1>0</formula1>
      <formula2>NaN</formula2>
    </dataValidation>
    <dataValidation type="whole" allowBlank="1" showInputMessage="1" showErrorMessage="1" sqref="AJ37">
      <formula1>0</formula1>
      <formula2>NaN</formula2>
    </dataValidation>
    <dataValidation type="whole" allowBlank="1" showInputMessage="1" showErrorMessage="1" sqref="AJ38">
      <formula1>0</formula1>
      <formula2>NaN</formula2>
    </dataValidation>
    <dataValidation type="whole" allowBlank="1" showInputMessage="1" showErrorMessage="1" sqref="AJ39">
      <formula1>0</formula1>
      <formula2>NaN</formula2>
    </dataValidation>
    <dataValidation type="whole" allowBlank="1" showInputMessage="1" showErrorMessage="1" sqref="AJ40">
      <formula1>0</formula1>
      <formula2>NaN</formula2>
    </dataValidation>
    <dataValidation type="whole" allowBlank="1" showInputMessage="1" showErrorMessage="1" sqref="AJ41">
      <formula1>0</formula1>
      <formula2>NaN</formula2>
    </dataValidation>
    <dataValidation type="whole" allowBlank="1" showInputMessage="1" showErrorMessage="1" sqref="AJ42">
      <formula1>0</formula1>
      <formula2>NaN</formula2>
    </dataValidation>
    <dataValidation type="whole" allowBlank="1" showInputMessage="1" showErrorMessage="1" sqref="AJ43">
      <formula1>0</formula1>
      <formula2>NaN</formula2>
    </dataValidation>
    <dataValidation type="whole" allowBlank="1" showInputMessage="1" showErrorMessage="1" sqref="AJ44">
      <formula1>0</formula1>
      <formula2>NaN</formula2>
    </dataValidation>
    <dataValidation type="whole" allowBlank="1" showInputMessage="1" showErrorMessage="1" sqref="AJ45">
      <formula1>0</formula1>
      <formula2>NaN</formula2>
    </dataValidation>
    <dataValidation type="whole" allowBlank="1" showInputMessage="1" showErrorMessage="1" sqref="AJ46">
      <formula1>0</formula1>
      <formula2>NaN</formula2>
    </dataValidation>
    <dataValidation type="whole" allowBlank="1" showInputMessage="1" showErrorMessage="1" sqref="AJ47">
      <formula1>0</formula1>
      <formula2>NaN</formula2>
    </dataValidation>
    <dataValidation type="whole" allowBlank="1" showInputMessage="1" showErrorMessage="1" sqref="AJ48">
      <formula1>0</formula1>
      <formula2>NaN</formula2>
    </dataValidation>
    <dataValidation type="whole" allowBlank="1" showInputMessage="1" showErrorMessage="1" sqref="AJ49">
      <formula1>0</formula1>
      <formula2>NaN</formula2>
    </dataValidation>
    <dataValidation type="whole" allowBlank="1" showInputMessage="1" showErrorMessage="1" sqref="AJ50">
      <formula1>0</formula1>
      <formula2>NaN</formula2>
    </dataValidation>
    <dataValidation type="whole" allowBlank="1" showInputMessage="1" showErrorMessage="1" sqref="AJ51">
      <formula1>0</formula1>
      <formula2>NaN</formula2>
    </dataValidation>
    <dataValidation type="whole" allowBlank="1" showInputMessage="1" showErrorMessage="1" sqref="AJ52">
      <formula1>0</formula1>
      <formula2>NaN</formula2>
    </dataValidation>
    <dataValidation type="whole" allowBlank="1" showInputMessage="1" showErrorMessage="1" sqref="AJ53">
      <formula1>0</formula1>
      <formula2>NaN</formula2>
    </dataValidation>
    <dataValidation type="whole" allowBlank="1" showInputMessage="1" showErrorMessage="1" sqref="AJ54">
      <formula1>0</formula1>
      <formula2>NaN</formula2>
    </dataValidation>
    <dataValidation type="whole" allowBlank="1" showInputMessage="1" showErrorMessage="1" sqref="AJ55">
      <formula1>0</formula1>
      <formula2>NaN</formula2>
    </dataValidation>
    <dataValidation type="whole" allowBlank="1" showInputMessage="1" showErrorMessage="1" sqref="AJ56">
      <formula1>0</formula1>
      <formula2>NaN</formula2>
    </dataValidation>
    <dataValidation type="whole" allowBlank="1" showInputMessage="1" showErrorMessage="1" sqref="AJ57">
      <formula1>0</formula1>
      <formula2>NaN</formula2>
    </dataValidation>
    <dataValidation type="whole" allowBlank="1" showInputMessage="1" showErrorMessage="1" sqref="AJ58">
      <formula1>0</formula1>
      <formula2>NaN</formula2>
    </dataValidation>
    <dataValidation type="whole" allowBlank="1" showInputMessage="1" showErrorMessage="1" sqref="AJ59">
      <formula1>0</formula1>
      <formula2>NaN</formula2>
    </dataValidation>
    <dataValidation type="whole" allowBlank="1" showInputMessage="1" showErrorMessage="1" sqref="AJ60">
      <formula1>0</formula1>
      <formula2>NaN</formula2>
    </dataValidation>
    <dataValidation type="whole" allowBlank="1" showInputMessage="1" showErrorMessage="1" sqref="AJ61">
      <formula1>0</formula1>
      <formula2>NaN</formula2>
    </dataValidation>
    <dataValidation type="whole" allowBlank="1" showInputMessage="1" showErrorMessage="1" sqref="AJ62">
      <formula1>0</formula1>
      <formula2>NaN</formula2>
    </dataValidation>
    <dataValidation type="whole" allowBlank="1" showInputMessage="1" showErrorMessage="1" sqref="AJ63">
      <formula1>0</formula1>
      <formula2>NaN</formula2>
    </dataValidation>
    <dataValidation type="whole" allowBlank="1" showInputMessage="1" showErrorMessage="1" sqref="AJ64">
      <formula1>0</formula1>
      <formula2>NaN</formula2>
    </dataValidation>
    <dataValidation type="whole" allowBlank="1" showInputMessage="1" showErrorMessage="1" sqref="AJ65">
      <formula1>0</formula1>
      <formula2>NaN</formula2>
    </dataValidation>
    <dataValidation type="whole" allowBlank="1" showInputMessage="1" showErrorMessage="1" sqref="AJ66">
      <formula1>0</formula1>
      <formula2>NaN</formula2>
    </dataValidation>
    <dataValidation type="whole" allowBlank="1" showInputMessage="1" showErrorMessage="1" sqref="AJ67">
      <formula1>0</formula1>
      <formula2>NaN</formula2>
    </dataValidation>
    <dataValidation type="whole" allowBlank="1" showInputMessage="1" showErrorMessage="1" sqref="AJ68">
      <formula1>0</formula1>
      <formula2>NaN</formula2>
    </dataValidation>
    <dataValidation type="whole" allowBlank="1" showInputMessage="1" showErrorMessage="1" sqref="AJ9">
      <formula1>0</formula1>
      <formula2>NaN</formula2>
    </dataValidation>
    <dataValidation type="whole" allowBlank="1" showInputMessage="1" showErrorMessage="1" sqref="AK10">
      <formula1>0</formula1>
      <formula2>NaN</formula2>
    </dataValidation>
    <dataValidation type="whole" allowBlank="1" showInputMessage="1" showErrorMessage="1" sqref="AK11">
      <formula1>0</formula1>
      <formula2>NaN</formula2>
    </dataValidation>
    <dataValidation type="whole" allowBlank="1" showInputMessage="1" showErrorMessage="1" sqref="AK12">
      <formula1>0</formula1>
      <formula2>NaN</formula2>
    </dataValidation>
    <dataValidation type="whole" allowBlank="1" showInputMessage="1" showErrorMessage="1" sqref="AK13">
      <formula1>0</formula1>
      <formula2>NaN</formula2>
    </dataValidation>
    <dataValidation type="whole" allowBlank="1" showInputMessage="1" showErrorMessage="1" sqref="AK14">
      <formula1>0</formula1>
      <formula2>NaN</formula2>
    </dataValidation>
    <dataValidation type="whole" allowBlank="1" showInputMessage="1" showErrorMessage="1" sqref="AK15">
      <formula1>0</formula1>
      <formula2>NaN</formula2>
    </dataValidation>
    <dataValidation type="whole" allowBlank="1" showInputMessage="1" showErrorMessage="1" sqref="AK16">
      <formula1>0</formula1>
      <formula2>NaN</formula2>
    </dataValidation>
    <dataValidation type="whole" allowBlank="1" showInputMessage="1" showErrorMessage="1" sqref="AK17">
      <formula1>0</formula1>
      <formula2>NaN</formula2>
    </dataValidation>
    <dataValidation type="whole" allowBlank="1" showInputMessage="1" showErrorMessage="1" sqref="AK18">
      <formula1>0</formula1>
      <formula2>NaN</formula2>
    </dataValidation>
    <dataValidation type="whole" allowBlank="1" showInputMessage="1" showErrorMessage="1" sqref="AK19">
      <formula1>0</formula1>
      <formula2>NaN</formula2>
    </dataValidation>
    <dataValidation type="whole" allowBlank="1" showInputMessage="1" showErrorMessage="1" sqref="AK20">
      <formula1>0</formula1>
      <formula2>NaN</formula2>
    </dataValidation>
    <dataValidation type="whole" allowBlank="1" showInputMessage="1" showErrorMessage="1" sqref="AK21">
      <formula1>0</formula1>
      <formula2>NaN</formula2>
    </dataValidation>
    <dataValidation type="whole" allowBlank="1" showInputMessage="1" showErrorMessage="1" sqref="AK22">
      <formula1>0</formula1>
      <formula2>NaN</formula2>
    </dataValidation>
    <dataValidation type="whole" allowBlank="1" showInputMessage="1" showErrorMessage="1" sqref="AK23">
      <formula1>0</formula1>
      <formula2>NaN</formula2>
    </dataValidation>
    <dataValidation type="whole" allowBlank="1" showInputMessage="1" showErrorMessage="1" sqref="AK24">
      <formula1>0</formula1>
      <formula2>NaN</formula2>
    </dataValidation>
    <dataValidation type="whole" allowBlank="1" showInputMessage="1" showErrorMessage="1" sqref="AK25">
      <formula1>0</formula1>
      <formula2>NaN</formula2>
    </dataValidation>
    <dataValidation type="whole" allowBlank="1" showInputMessage="1" showErrorMessage="1" sqref="AK26">
      <formula1>0</formula1>
      <formula2>NaN</formula2>
    </dataValidation>
    <dataValidation type="whole" allowBlank="1" showInputMessage="1" showErrorMessage="1" sqref="AK27">
      <formula1>0</formula1>
      <formula2>NaN</formula2>
    </dataValidation>
    <dataValidation type="whole" allowBlank="1" showInputMessage="1" showErrorMessage="1" sqref="AK28">
      <formula1>0</formula1>
      <formula2>NaN</formula2>
    </dataValidation>
    <dataValidation type="whole" allowBlank="1" showInputMessage="1" showErrorMessage="1" sqref="AK29">
      <formula1>0</formula1>
      <formula2>NaN</formula2>
    </dataValidation>
    <dataValidation type="whole" allowBlank="1" showInputMessage="1" showErrorMessage="1" sqref="AK30">
      <formula1>0</formula1>
      <formula2>NaN</formula2>
    </dataValidation>
    <dataValidation type="whole" allowBlank="1" showInputMessage="1" showErrorMessage="1" sqref="AK31">
      <formula1>0</formula1>
      <formula2>NaN</formula2>
    </dataValidation>
    <dataValidation type="whole" allowBlank="1" showInputMessage="1" showErrorMessage="1" sqref="AK32">
      <formula1>0</formula1>
      <formula2>NaN</formula2>
    </dataValidation>
    <dataValidation type="whole" allowBlank="1" showInputMessage="1" showErrorMessage="1" sqref="AK33">
      <formula1>0</formula1>
      <formula2>NaN</formula2>
    </dataValidation>
    <dataValidation type="whole" allowBlank="1" showInputMessage="1" showErrorMessage="1" sqref="AK34">
      <formula1>0</formula1>
      <formula2>NaN</formula2>
    </dataValidation>
    <dataValidation type="whole" allowBlank="1" showInputMessage="1" showErrorMessage="1" sqref="AK35">
      <formula1>0</formula1>
      <formula2>NaN</formula2>
    </dataValidation>
    <dataValidation type="whole" allowBlank="1" showInputMessage="1" showErrorMessage="1" sqref="AK36">
      <formula1>0</formula1>
      <formula2>NaN</formula2>
    </dataValidation>
    <dataValidation type="whole" allowBlank="1" showInputMessage="1" showErrorMessage="1" sqref="AK37">
      <formula1>0</formula1>
      <formula2>NaN</formula2>
    </dataValidation>
    <dataValidation type="whole" allowBlank="1" showInputMessage="1" showErrorMessage="1" sqref="AK38">
      <formula1>0</formula1>
      <formula2>NaN</formula2>
    </dataValidation>
    <dataValidation type="whole" allowBlank="1" showInputMessage="1" showErrorMessage="1" sqref="AK39">
      <formula1>0</formula1>
      <formula2>NaN</formula2>
    </dataValidation>
    <dataValidation type="whole" allowBlank="1" showInputMessage="1" showErrorMessage="1" sqref="AK40">
      <formula1>0</formula1>
      <formula2>NaN</formula2>
    </dataValidation>
    <dataValidation type="whole" allowBlank="1" showInputMessage="1" showErrorMessage="1" sqref="AK41">
      <formula1>0</formula1>
      <formula2>NaN</formula2>
    </dataValidation>
    <dataValidation type="whole" allowBlank="1" showInputMessage="1" showErrorMessage="1" sqref="AK42">
      <formula1>0</formula1>
      <formula2>NaN</formula2>
    </dataValidation>
    <dataValidation type="whole" allowBlank="1" showInputMessage="1" showErrorMessage="1" sqref="AK43">
      <formula1>0</formula1>
      <formula2>NaN</formula2>
    </dataValidation>
    <dataValidation type="whole" allowBlank="1" showInputMessage="1" showErrorMessage="1" sqref="AK44">
      <formula1>0</formula1>
      <formula2>NaN</formula2>
    </dataValidation>
    <dataValidation type="whole" allowBlank="1" showInputMessage="1" showErrorMessage="1" sqref="AK45">
      <formula1>0</formula1>
      <formula2>NaN</formula2>
    </dataValidation>
    <dataValidation type="whole" allowBlank="1" showInputMessage="1" showErrorMessage="1" sqref="AK46">
      <formula1>0</formula1>
      <formula2>NaN</formula2>
    </dataValidation>
    <dataValidation type="whole" allowBlank="1" showInputMessage="1" showErrorMessage="1" sqref="AK47">
      <formula1>0</formula1>
      <formula2>NaN</formula2>
    </dataValidation>
    <dataValidation type="whole" allowBlank="1" showInputMessage="1" showErrorMessage="1" sqref="AK48">
      <formula1>0</formula1>
      <formula2>NaN</formula2>
    </dataValidation>
    <dataValidation type="whole" allowBlank="1" showInputMessage="1" showErrorMessage="1" sqref="AK49">
      <formula1>0</formula1>
      <formula2>NaN</formula2>
    </dataValidation>
    <dataValidation type="whole" allowBlank="1" showInputMessage="1" showErrorMessage="1" sqref="AK50">
      <formula1>0</formula1>
      <formula2>NaN</formula2>
    </dataValidation>
    <dataValidation type="whole" allowBlank="1" showInputMessage="1" showErrorMessage="1" sqref="AK51">
      <formula1>0</formula1>
      <formula2>NaN</formula2>
    </dataValidation>
    <dataValidation type="whole" allowBlank="1" showInputMessage="1" showErrorMessage="1" sqref="AK52">
      <formula1>0</formula1>
      <formula2>NaN</formula2>
    </dataValidation>
    <dataValidation type="whole" allowBlank="1" showInputMessage="1" showErrorMessage="1" sqref="AK53">
      <formula1>0</formula1>
      <formula2>NaN</formula2>
    </dataValidation>
    <dataValidation type="whole" allowBlank="1" showInputMessage="1" showErrorMessage="1" sqref="AK54">
      <formula1>0</formula1>
      <formula2>NaN</formula2>
    </dataValidation>
    <dataValidation type="whole" allowBlank="1" showInputMessage="1" showErrorMessage="1" sqref="AK55">
      <formula1>0</formula1>
      <formula2>NaN</formula2>
    </dataValidation>
    <dataValidation type="whole" allowBlank="1" showInputMessage="1" showErrorMessage="1" sqref="AK56">
      <formula1>0</formula1>
      <formula2>NaN</formula2>
    </dataValidation>
    <dataValidation type="whole" allowBlank="1" showInputMessage="1" showErrorMessage="1" sqref="AK57">
      <formula1>0</formula1>
      <formula2>NaN</formula2>
    </dataValidation>
    <dataValidation type="whole" allowBlank="1" showInputMessage="1" showErrorMessage="1" sqref="AK58">
      <formula1>0</formula1>
      <formula2>NaN</formula2>
    </dataValidation>
    <dataValidation type="whole" allowBlank="1" showInputMessage="1" showErrorMessage="1" sqref="AK59">
      <formula1>0</formula1>
      <formula2>NaN</formula2>
    </dataValidation>
    <dataValidation type="whole" allowBlank="1" showInputMessage="1" showErrorMessage="1" sqref="AK60">
      <formula1>0</formula1>
      <formula2>NaN</formula2>
    </dataValidation>
    <dataValidation type="whole" allowBlank="1" showInputMessage="1" showErrorMessage="1" sqref="AK61">
      <formula1>0</formula1>
      <formula2>NaN</formula2>
    </dataValidation>
    <dataValidation type="whole" allowBlank="1" showInputMessage="1" showErrorMessage="1" sqref="AK62">
      <formula1>0</formula1>
      <formula2>NaN</formula2>
    </dataValidation>
    <dataValidation type="whole" allowBlank="1" showInputMessage="1" showErrorMessage="1" sqref="AK63">
      <formula1>0</formula1>
      <formula2>NaN</formula2>
    </dataValidation>
    <dataValidation type="whole" allowBlank="1" showInputMessage="1" showErrorMessage="1" sqref="AK64">
      <formula1>0</formula1>
      <formula2>NaN</formula2>
    </dataValidation>
    <dataValidation type="whole" allowBlank="1" showInputMessage="1" showErrorMessage="1" sqref="AK65">
      <formula1>0</formula1>
      <formula2>NaN</formula2>
    </dataValidation>
    <dataValidation type="whole" allowBlank="1" showInputMessage="1" showErrorMessage="1" sqref="AK66">
      <formula1>0</formula1>
      <formula2>NaN</formula2>
    </dataValidation>
    <dataValidation type="whole" allowBlank="1" showInputMessage="1" showErrorMessage="1" sqref="AK67">
      <formula1>0</formula1>
      <formula2>NaN</formula2>
    </dataValidation>
    <dataValidation type="whole" allowBlank="1" showInputMessage="1" showErrorMessage="1" sqref="AK68">
      <formula1>0</formula1>
      <formula2>NaN</formula2>
    </dataValidation>
    <dataValidation type="whole" allowBlank="1" showInputMessage="1" showErrorMessage="1" sqref="AK9">
      <formula1>0</formula1>
      <formula2>NaN</formula2>
    </dataValidation>
    <dataValidation type="whole" allowBlank="1" showInputMessage="1" showErrorMessage="1" sqref="AL10">
      <formula1>0</formula1>
      <formula2>NaN</formula2>
    </dataValidation>
    <dataValidation type="whole" allowBlank="1" showInputMessage="1" showErrorMessage="1" sqref="AL11">
      <formula1>0</formula1>
      <formula2>NaN</formula2>
    </dataValidation>
    <dataValidation type="whole" allowBlank="1" showInputMessage="1" showErrorMessage="1" sqref="AL12">
      <formula1>0</formula1>
      <formula2>NaN</formula2>
    </dataValidation>
    <dataValidation type="whole" allowBlank="1" showInputMessage="1" showErrorMessage="1" sqref="AL13">
      <formula1>0</formula1>
      <formula2>NaN</formula2>
    </dataValidation>
    <dataValidation type="whole" allowBlank="1" showInputMessage="1" showErrorMessage="1" sqref="AL14">
      <formula1>0</formula1>
      <formula2>NaN</formula2>
    </dataValidation>
    <dataValidation type="whole" allowBlank="1" showInputMessage="1" showErrorMessage="1" sqref="AL15">
      <formula1>0</formula1>
      <formula2>NaN</formula2>
    </dataValidation>
    <dataValidation type="whole" allowBlank="1" showInputMessage="1" showErrorMessage="1" sqref="AL16">
      <formula1>0</formula1>
      <formula2>NaN</formula2>
    </dataValidation>
    <dataValidation type="whole" allowBlank="1" showInputMessage="1" showErrorMessage="1" sqref="AL17">
      <formula1>0</formula1>
      <formula2>NaN</formula2>
    </dataValidation>
    <dataValidation type="whole" allowBlank="1" showInputMessage="1" showErrorMessage="1" sqref="AL18">
      <formula1>0</formula1>
      <formula2>NaN</formula2>
    </dataValidation>
    <dataValidation type="whole" allowBlank="1" showInputMessage="1" showErrorMessage="1" sqref="AL19">
      <formula1>0</formula1>
      <formula2>NaN</formula2>
    </dataValidation>
    <dataValidation type="whole" allowBlank="1" showInputMessage="1" showErrorMessage="1" sqref="AL20">
      <formula1>0</formula1>
      <formula2>NaN</formula2>
    </dataValidation>
    <dataValidation type="whole" allowBlank="1" showInputMessage="1" showErrorMessage="1" sqref="AL21">
      <formula1>0</formula1>
      <formula2>NaN</formula2>
    </dataValidation>
    <dataValidation type="whole" allowBlank="1" showInputMessage="1" showErrorMessage="1" sqref="AL22">
      <formula1>0</formula1>
      <formula2>NaN</formula2>
    </dataValidation>
    <dataValidation type="whole" allowBlank="1" showInputMessage="1" showErrorMessage="1" sqref="AL23">
      <formula1>0</formula1>
      <formula2>NaN</formula2>
    </dataValidation>
    <dataValidation type="whole" allowBlank="1" showInputMessage="1" showErrorMessage="1" sqref="AL24">
      <formula1>0</formula1>
      <formula2>NaN</formula2>
    </dataValidation>
    <dataValidation type="whole" allowBlank="1" showInputMessage="1" showErrorMessage="1" sqref="AL25">
      <formula1>0</formula1>
      <formula2>NaN</formula2>
    </dataValidation>
    <dataValidation type="whole" allowBlank="1" showInputMessage="1" showErrorMessage="1" sqref="AL26">
      <formula1>0</formula1>
      <formula2>NaN</formula2>
    </dataValidation>
    <dataValidation type="whole" allowBlank="1" showInputMessage="1" showErrorMessage="1" sqref="AL27">
      <formula1>0</formula1>
      <formula2>NaN</formula2>
    </dataValidation>
    <dataValidation type="whole" allowBlank="1" showInputMessage="1" showErrorMessage="1" sqref="AL28">
      <formula1>0</formula1>
      <formula2>NaN</formula2>
    </dataValidation>
    <dataValidation type="whole" allowBlank="1" showInputMessage="1" showErrorMessage="1" sqref="AL29">
      <formula1>0</formula1>
      <formula2>NaN</formula2>
    </dataValidation>
    <dataValidation type="whole" allowBlank="1" showInputMessage="1" showErrorMessage="1" sqref="AL30">
      <formula1>0</formula1>
      <formula2>NaN</formula2>
    </dataValidation>
    <dataValidation type="whole" allowBlank="1" showInputMessage="1" showErrorMessage="1" sqref="AL31">
      <formula1>0</formula1>
      <formula2>NaN</formula2>
    </dataValidation>
    <dataValidation type="whole" allowBlank="1" showInputMessage="1" showErrorMessage="1" sqref="AL32">
      <formula1>0</formula1>
      <formula2>NaN</formula2>
    </dataValidation>
    <dataValidation type="whole" allowBlank="1" showInputMessage="1" showErrorMessage="1" sqref="AL33">
      <formula1>0</formula1>
      <formula2>NaN</formula2>
    </dataValidation>
    <dataValidation type="whole" allowBlank="1" showInputMessage="1" showErrorMessage="1" sqref="AL34">
      <formula1>0</formula1>
      <formula2>NaN</formula2>
    </dataValidation>
    <dataValidation type="whole" allowBlank="1" showInputMessage="1" showErrorMessage="1" sqref="AL35">
      <formula1>0</formula1>
      <formula2>NaN</formula2>
    </dataValidation>
    <dataValidation type="whole" allowBlank="1" showInputMessage="1" showErrorMessage="1" sqref="AL36">
      <formula1>0</formula1>
      <formula2>NaN</formula2>
    </dataValidation>
    <dataValidation type="whole" allowBlank="1" showInputMessage="1" showErrorMessage="1" sqref="AL37">
      <formula1>0</formula1>
      <formula2>NaN</formula2>
    </dataValidation>
    <dataValidation type="whole" allowBlank="1" showInputMessage="1" showErrorMessage="1" sqref="AL38">
      <formula1>0</formula1>
      <formula2>NaN</formula2>
    </dataValidation>
    <dataValidation type="whole" allowBlank="1" showInputMessage="1" showErrorMessage="1" sqref="AL39">
      <formula1>0</formula1>
      <formula2>NaN</formula2>
    </dataValidation>
    <dataValidation type="whole" allowBlank="1" showInputMessage="1" showErrorMessage="1" sqref="AL40">
      <formula1>0</formula1>
      <formula2>NaN</formula2>
    </dataValidation>
    <dataValidation type="whole" allowBlank="1" showInputMessage="1" showErrorMessage="1" sqref="AL41">
      <formula1>0</formula1>
      <formula2>NaN</formula2>
    </dataValidation>
    <dataValidation type="whole" allowBlank="1" showInputMessage="1" showErrorMessage="1" sqref="AL42">
      <formula1>0</formula1>
      <formula2>NaN</formula2>
    </dataValidation>
    <dataValidation type="whole" allowBlank="1" showInputMessage="1" showErrorMessage="1" sqref="AL43">
      <formula1>0</formula1>
      <formula2>NaN</formula2>
    </dataValidation>
    <dataValidation type="whole" allowBlank="1" showInputMessage="1" showErrorMessage="1" sqref="AL44">
      <formula1>0</formula1>
      <formula2>NaN</formula2>
    </dataValidation>
    <dataValidation type="whole" allowBlank="1" showInputMessage="1" showErrorMessage="1" sqref="AL45">
      <formula1>0</formula1>
      <formula2>NaN</formula2>
    </dataValidation>
    <dataValidation type="whole" allowBlank="1" showInputMessage="1" showErrorMessage="1" sqref="AL46">
      <formula1>0</formula1>
      <formula2>NaN</formula2>
    </dataValidation>
    <dataValidation type="whole" allowBlank="1" showInputMessage="1" showErrorMessage="1" sqref="AL47">
      <formula1>0</formula1>
      <formula2>NaN</formula2>
    </dataValidation>
    <dataValidation type="whole" allowBlank="1" showInputMessage="1" showErrorMessage="1" sqref="AL48">
      <formula1>0</formula1>
      <formula2>NaN</formula2>
    </dataValidation>
    <dataValidation type="whole" allowBlank="1" showInputMessage="1" showErrorMessage="1" sqref="AL49">
      <formula1>0</formula1>
      <formula2>NaN</formula2>
    </dataValidation>
    <dataValidation type="whole" allowBlank="1" showInputMessage="1" showErrorMessage="1" sqref="AL50">
      <formula1>0</formula1>
      <formula2>NaN</formula2>
    </dataValidation>
    <dataValidation type="whole" allowBlank="1" showInputMessage="1" showErrorMessage="1" sqref="AL51">
      <formula1>0</formula1>
      <formula2>NaN</formula2>
    </dataValidation>
    <dataValidation type="whole" allowBlank="1" showInputMessage="1" showErrorMessage="1" sqref="AL52">
      <formula1>0</formula1>
      <formula2>NaN</formula2>
    </dataValidation>
    <dataValidation type="whole" allowBlank="1" showInputMessage="1" showErrorMessage="1" sqref="AL53">
      <formula1>0</formula1>
      <formula2>NaN</formula2>
    </dataValidation>
    <dataValidation type="whole" allowBlank="1" showInputMessage="1" showErrorMessage="1" sqref="AL54">
      <formula1>0</formula1>
      <formula2>NaN</formula2>
    </dataValidation>
    <dataValidation type="whole" allowBlank="1" showInputMessage="1" showErrorMessage="1" sqref="AL55">
      <formula1>0</formula1>
      <formula2>NaN</formula2>
    </dataValidation>
    <dataValidation type="whole" allowBlank="1" showInputMessage="1" showErrorMessage="1" sqref="AL56">
      <formula1>0</formula1>
      <formula2>NaN</formula2>
    </dataValidation>
    <dataValidation type="whole" allowBlank="1" showInputMessage="1" showErrorMessage="1" sqref="AL57">
      <formula1>0</formula1>
      <formula2>NaN</formula2>
    </dataValidation>
    <dataValidation type="whole" allowBlank="1" showInputMessage="1" showErrorMessage="1" sqref="AL58">
      <formula1>0</formula1>
      <formula2>NaN</formula2>
    </dataValidation>
    <dataValidation type="whole" allowBlank="1" showInputMessage="1" showErrorMessage="1" sqref="AL59">
      <formula1>0</formula1>
      <formula2>NaN</formula2>
    </dataValidation>
    <dataValidation type="whole" allowBlank="1" showInputMessage="1" showErrorMessage="1" sqref="AL60">
      <formula1>0</formula1>
      <formula2>NaN</formula2>
    </dataValidation>
    <dataValidation type="whole" allowBlank="1" showInputMessage="1" showErrorMessage="1" sqref="AL61">
      <formula1>0</formula1>
      <formula2>NaN</formula2>
    </dataValidation>
    <dataValidation type="whole" allowBlank="1" showInputMessage="1" showErrorMessage="1" sqref="AL62">
      <formula1>0</formula1>
      <formula2>NaN</formula2>
    </dataValidation>
    <dataValidation type="whole" allowBlank="1" showInputMessage="1" showErrorMessage="1" sqref="AL63">
      <formula1>0</formula1>
      <formula2>NaN</formula2>
    </dataValidation>
    <dataValidation type="whole" allowBlank="1" showInputMessage="1" showErrorMessage="1" sqref="AL64">
      <formula1>0</formula1>
      <formula2>NaN</formula2>
    </dataValidation>
    <dataValidation type="whole" allowBlank="1" showInputMessage="1" showErrorMessage="1" sqref="AL65">
      <formula1>0</formula1>
      <formula2>NaN</formula2>
    </dataValidation>
    <dataValidation type="whole" allowBlank="1" showInputMessage="1" showErrorMessage="1" sqref="AL66">
      <formula1>0</formula1>
      <formula2>NaN</formula2>
    </dataValidation>
    <dataValidation type="whole" allowBlank="1" showInputMessage="1" showErrorMessage="1" sqref="AL67">
      <formula1>0</formula1>
      <formula2>NaN</formula2>
    </dataValidation>
    <dataValidation type="whole" allowBlank="1" showInputMessage="1" showErrorMessage="1" sqref="AL68">
      <formula1>0</formula1>
      <formula2>NaN</formula2>
    </dataValidation>
    <dataValidation type="whole" allowBlank="1" showInputMessage="1" showErrorMessage="1" sqref="AL9">
      <formula1>0</formula1>
      <formula2>NaN</formula2>
    </dataValidation>
    <dataValidation type="whole" allowBlank="1" showInputMessage="1" showErrorMessage="1" sqref="AM10">
      <formula1>0</formula1>
      <formula2>NaN</formula2>
    </dataValidation>
    <dataValidation type="whole" allowBlank="1" showInputMessage="1" showErrorMessage="1" sqref="AM11">
      <formula1>0</formula1>
      <formula2>NaN</formula2>
    </dataValidation>
    <dataValidation type="whole" allowBlank="1" showInputMessage="1" showErrorMessage="1" sqref="AM12">
      <formula1>0</formula1>
      <formula2>NaN</formula2>
    </dataValidation>
    <dataValidation type="whole" allowBlank="1" showInputMessage="1" showErrorMessage="1" sqref="AM13">
      <formula1>0</formula1>
      <formula2>NaN</formula2>
    </dataValidation>
    <dataValidation type="whole" allowBlank="1" showInputMessage="1" showErrorMessage="1" sqref="AM14">
      <formula1>0</formula1>
      <formula2>NaN</formula2>
    </dataValidation>
    <dataValidation type="whole" allowBlank="1" showInputMessage="1" showErrorMessage="1" sqref="AM15">
      <formula1>0</formula1>
      <formula2>NaN</formula2>
    </dataValidation>
    <dataValidation type="whole" allowBlank="1" showInputMessage="1" showErrorMessage="1" sqref="AM16">
      <formula1>0</formula1>
      <formula2>NaN</formula2>
    </dataValidation>
    <dataValidation type="whole" allowBlank="1" showInputMessage="1" showErrorMessage="1" sqref="AM17">
      <formula1>0</formula1>
      <formula2>NaN</formula2>
    </dataValidation>
    <dataValidation type="whole" allowBlank="1" showInputMessage="1" showErrorMessage="1" sqref="AM18">
      <formula1>0</formula1>
      <formula2>NaN</formula2>
    </dataValidation>
    <dataValidation type="whole" allowBlank="1" showInputMessage="1" showErrorMessage="1" sqref="AM19">
      <formula1>0</formula1>
      <formula2>NaN</formula2>
    </dataValidation>
    <dataValidation type="whole" allowBlank="1" showInputMessage="1" showErrorMessage="1" sqref="AM20">
      <formula1>0</formula1>
      <formula2>NaN</formula2>
    </dataValidation>
    <dataValidation type="whole" allowBlank="1" showInputMessage="1" showErrorMessage="1" sqref="AM21">
      <formula1>0</formula1>
      <formula2>NaN</formula2>
    </dataValidation>
    <dataValidation type="whole" allowBlank="1" showInputMessage="1" showErrorMessage="1" sqref="AM22">
      <formula1>0</formula1>
      <formula2>NaN</formula2>
    </dataValidation>
    <dataValidation type="whole" allowBlank="1" showInputMessage="1" showErrorMessage="1" sqref="AM23">
      <formula1>0</formula1>
      <formula2>NaN</formula2>
    </dataValidation>
    <dataValidation type="whole" allowBlank="1" showInputMessage="1" showErrorMessage="1" sqref="AM24">
      <formula1>0</formula1>
      <formula2>NaN</formula2>
    </dataValidation>
    <dataValidation type="whole" allowBlank="1" showInputMessage="1" showErrorMessage="1" sqref="AM25">
      <formula1>0</formula1>
      <formula2>NaN</formula2>
    </dataValidation>
    <dataValidation type="whole" allowBlank="1" showInputMessage="1" showErrorMessage="1" sqref="AM26">
      <formula1>0</formula1>
      <formula2>NaN</formula2>
    </dataValidation>
    <dataValidation type="whole" allowBlank="1" showInputMessage="1" showErrorMessage="1" sqref="AM27">
      <formula1>0</formula1>
      <formula2>NaN</formula2>
    </dataValidation>
    <dataValidation type="whole" allowBlank="1" showInputMessage="1" showErrorMessage="1" sqref="AM28">
      <formula1>0</formula1>
      <formula2>NaN</formula2>
    </dataValidation>
    <dataValidation type="whole" allowBlank="1" showInputMessage="1" showErrorMessage="1" sqref="AM29">
      <formula1>0</formula1>
      <formula2>NaN</formula2>
    </dataValidation>
    <dataValidation type="whole" allowBlank="1" showInputMessage="1" showErrorMessage="1" sqref="AM30">
      <formula1>0</formula1>
      <formula2>NaN</formula2>
    </dataValidation>
    <dataValidation type="whole" allowBlank="1" showInputMessage="1" showErrorMessage="1" sqref="AM31">
      <formula1>0</formula1>
      <formula2>NaN</formula2>
    </dataValidation>
    <dataValidation type="whole" allowBlank="1" showInputMessage="1" showErrorMessage="1" sqref="AM32">
      <formula1>0</formula1>
      <formula2>NaN</formula2>
    </dataValidation>
    <dataValidation type="whole" allowBlank="1" showInputMessage="1" showErrorMessage="1" sqref="AM33">
      <formula1>0</formula1>
      <formula2>NaN</formula2>
    </dataValidation>
    <dataValidation type="whole" allowBlank="1" showInputMessage="1" showErrorMessage="1" sqref="AM34">
      <formula1>0</formula1>
      <formula2>NaN</formula2>
    </dataValidation>
    <dataValidation type="whole" allowBlank="1" showInputMessage="1" showErrorMessage="1" sqref="AM35">
      <formula1>0</formula1>
      <formula2>NaN</formula2>
    </dataValidation>
    <dataValidation type="whole" allowBlank="1" showInputMessage="1" showErrorMessage="1" sqref="AM36">
      <formula1>0</formula1>
      <formula2>NaN</formula2>
    </dataValidation>
    <dataValidation type="whole" allowBlank="1" showInputMessage="1" showErrorMessage="1" sqref="AM37">
      <formula1>0</formula1>
      <formula2>NaN</formula2>
    </dataValidation>
    <dataValidation type="whole" allowBlank="1" showInputMessage="1" showErrorMessage="1" sqref="AM38">
      <formula1>0</formula1>
      <formula2>NaN</formula2>
    </dataValidation>
    <dataValidation type="whole" allowBlank="1" showInputMessage="1" showErrorMessage="1" sqref="AM39">
      <formula1>0</formula1>
      <formula2>NaN</formula2>
    </dataValidation>
    <dataValidation type="whole" allowBlank="1" showInputMessage="1" showErrorMessage="1" sqref="AM40">
      <formula1>0</formula1>
      <formula2>NaN</formula2>
    </dataValidation>
    <dataValidation type="whole" allowBlank="1" showInputMessage="1" showErrorMessage="1" sqref="AM41">
      <formula1>0</formula1>
      <formula2>NaN</formula2>
    </dataValidation>
    <dataValidation type="whole" allowBlank="1" showInputMessage="1" showErrorMessage="1" sqref="AM42">
      <formula1>0</formula1>
      <formula2>NaN</formula2>
    </dataValidation>
    <dataValidation type="whole" allowBlank="1" showInputMessage="1" showErrorMessage="1" sqref="AM43">
      <formula1>0</formula1>
      <formula2>NaN</formula2>
    </dataValidation>
    <dataValidation type="whole" allowBlank="1" showInputMessage="1" showErrorMessage="1" sqref="AM44">
      <formula1>0</formula1>
      <formula2>NaN</formula2>
    </dataValidation>
    <dataValidation type="whole" allowBlank="1" showInputMessage="1" showErrorMessage="1" sqref="AM45">
      <formula1>0</formula1>
      <formula2>NaN</formula2>
    </dataValidation>
    <dataValidation type="whole" allowBlank="1" showInputMessage="1" showErrorMessage="1" sqref="AM46">
      <formula1>0</formula1>
      <formula2>NaN</formula2>
    </dataValidation>
    <dataValidation type="whole" allowBlank="1" showInputMessage="1" showErrorMessage="1" sqref="AM47">
      <formula1>0</formula1>
      <formula2>NaN</formula2>
    </dataValidation>
    <dataValidation type="whole" allowBlank="1" showInputMessage="1" showErrorMessage="1" sqref="AM48">
      <formula1>0</formula1>
      <formula2>NaN</formula2>
    </dataValidation>
    <dataValidation type="whole" allowBlank="1" showInputMessage="1" showErrorMessage="1" sqref="AM49">
      <formula1>0</formula1>
      <formula2>NaN</formula2>
    </dataValidation>
    <dataValidation type="whole" allowBlank="1" showInputMessage="1" showErrorMessage="1" sqref="AM50">
      <formula1>0</formula1>
      <formula2>NaN</formula2>
    </dataValidation>
    <dataValidation type="whole" allowBlank="1" showInputMessage="1" showErrorMessage="1" sqref="AM51">
      <formula1>0</formula1>
      <formula2>NaN</formula2>
    </dataValidation>
    <dataValidation type="whole" allowBlank="1" showInputMessage="1" showErrorMessage="1" sqref="AM52">
      <formula1>0</formula1>
      <formula2>NaN</formula2>
    </dataValidation>
    <dataValidation type="whole" allowBlank="1" showInputMessage="1" showErrorMessage="1" sqref="AM53">
      <formula1>0</formula1>
      <formula2>NaN</formula2>
    </dataValidation>
    <dataValidation type="whole" allowBlank="1" showInputMessage="1" showErrorMessage="1" sqref="AM54">
      <formula1>0</formula1>
      <formula2>NaN</formula2>
    </dataValidation>
    <dataValidation type="whole" allowBlank="1" showInputMessage="1" showErrorMessage="1" sqref="AM55">
      <formula1>0</formula1>
      <formula2>NaN</formula2>
    </dataValidation>
    <dataValidation type="whole" allowBlank="1" showInputMessage="1" showErrorMessage="1" sqref="AM56">
      <formula1>0</formula1>
      <formula2>NaN</formula2>
    </dataValidation>
    <dataValidation type="whole" allowBlank="1" showInputMessage="1" showErrorMessage="1" sqref="AM57">
      <formula1>0</formula1>
      <formula2>NaN</formula2>
    </dataValidation>
    <dataValidation type="whole" allowBlank="1" showInputMessage="1" showErrorMessage="1" sqref="AM58">
      <formula1>0</formula1>
      <formula2>NaN</formula2>
    </dataValidation>
    <dataValidation type="whole" allowBlank="1" showInputMessage="1" showErrorMessage="1" sqref="AM59">
      <formula1>0</formula1>
      <formula2>NaN</formula2>
    </dataValidation>
    <dataValidation type="whole" allowBlank="1" showInputMessage="1" showErrorMessage="1" sqref="AM60">
      <formula1>0</formula1>
      <formula2>NaN</formula2>
    </dataValidation>
    <dataValidation type="whole" allowBlank="1" showInputMessage="1" showErrorMessage="1" sqref="AM61">
      <formula1>0</formula1>
      <formula2>NaN</formula2>
    </dataValidation>
    <dataValidation type="whole" allowBlank="1" showInputMessage="1" showErrorMessage="1" sqref="AM62">
      <formula1>0</formula1>
      <formula2>NaN</formula2>
    </dataValidation>
    <dataValidation type="whole" allowBlank="1" showInputMessage="1" showErrorMessage="1" sqref="AM63">
      <formula1>0</formula1>
      <formula2>NaN</formula2>
    </dataValidation>
    <dataValidation type="whole" allowBlank="1" showInputMessage="1" showErrorMessage="1" sqref="AM64">
      <formula1>0</formula1>
      <formula2>NaN</formula2>
    </dataValidation>
    <dataValidation type="whole" allowBlank="1" showInputMessage="1" showErrorMessage="1" sqref="AM65">
      <formula1>0</formula1>
      <formula2>NaN</formula2>
    </dataValidation>
    <dataValidation type="whole" allowBlank="1" showInputMessage="1" showErrorMessage="1" sqref="AM66">
      <formula1>0</formula1>
      <formula2>NaN</formula2>
    </dataValidation>
    <dataValidation type="whole" allowBlank="1" showInputMessage="1" showErrorMessage="1" sqref="AM67">
      <formula1>0</formula1>
      <formula2>NaN</formula2>
    </dataValidation>
    <dataValidation type="whole" allowBlank="1" showInputMessage="1" showErrorMessage="1" sqref="AM68">
      <formula1>0</formula1>
      <formula2>NaN</formula2>
    </dataValidation>
    <dataValidation type="whole" allowBlank="1" showInputMessage="1" showErrorMessage="1" sqref="AM9">
      <formula1>0</formula1>
      <formula2>NaN</formula2>
    </dataValidation>
    <dataValidation type="whole" allowBlank="1" showInputMessage="1" showErrorMessage="1" sqref="AN10">
      <formula1>0</formula1>
      <formula2>NaN</formula2>
    </dataValidation>
    <dataValidation type="whole" allowBlank="1" showInputMessage="1" showErrorMessage="1" sqref="AN11">
      <formula1>0</formula1>
      <formula2>NaN</formula2>
    </dataValidation>
    <dataValidation type="whole" allowBlank="1" showInputMessage="1" showErrorMessage="1" sqref="AN12">
      <formula1>0</formula1>
      <formula2>NaN</formula2>
    </dataValidation>
    <dataValidation type="whole" allowBlank="1" showInputMessage="1" showErrorMessage="1" sqref="AN13">
      <formula1>0</formula1>
      <formula2>NaN</formula2>
    </dataValidation>
    <dataValidation type="whole" allowBlank="1" showInputMessage="1" showErrorMessage="1" sqref="AN14">
      <formula1>0</formula1>
      <formula2>NaN</formula2>
    </dataValidation>
    <dataValidation type="whole" allowBlank="1" showInputMessage="1" showErrorMessage="1" sqref="AN15">
      <formula1>0</formula1>
      <formula2>NaN</formula2>
    </dataValidation>
    <dataValidation type="whole" allowBlank="1" showInputMessage="1" showErrorMessage="1" sqref="AN16">
      <formula1>0</formula1>
      <formula2>NaN</formula2>
    </dataValidation>
    <dataValidation type="whole" allowBlank="1" showInputMessage="1" showErrorMessage="1" sqref="AN17">
      <formula1>0</formula1>
      <formula2>NaN</formula2>
    </dataValidation>
    <dataValidation type="whole" allowBlank="1" showInputMessage="1" showErrorMessage="1" sqref="AN18">
      <formula1>0</formula1>
      <formula2>NaN</formula2>
    </dataValidation>
    <dataValidation type="whole" allowBlank="1" showInputMessage="1" showErrorMessage="1" sqref="AN19">
      <formula1>0</formula1>
      <formula2>NaN</formula2>
    </dataValidation>
    <dataValidation type="whole" allowBlank="1" showInputMessage="1" showErrorMessage="1" sqref="AN20">
      <formula1>0</formula1>
      <formula2>NaN</formula2>
    </dataValidation>
    <dataValidation type="whole" allowBlank="1" showInputMessage="1" showErrorMessage="1" sqref="AN21">
      <formula1>0</formula1>
      <formula2>NaN</formula2>
    </dataValidation>
    <dataValidation type="whole" allowBlank="1" showInputMessage="1" showErrorMessage="1" sqref="AN22">
      <formula1>0</formula1>
      <formula2>NaN</formula2>
    </dataValidation>
    <dataValidation type="whole" allowBlank="1" showInputMessage="1" showErrorMessage="1" sqref="AN23">
      <formula1>0</formula1>
      <formula2>NaN</formula2>
    </dataValidation>
    <dataValidation type="whole" allowBlank="1" showInputMessage="1" showErrorMessage="1" sqref="AN24">
      <formula1>0</formula1>
      <formula2>NaN</formula2>
    </dataValidation>
    <dataValidation type="whole" allowBlank="1" showInputMessage="1" showErrorMessage="1" sqref="AN25">
      <formula1>0</formula1>
      <formula2>NaN</formula2>
    </dataValidation>
    <dataValidation type="whole" allowBlank="1" showInputMessage="1" showErrorMessage="1" sqref="AN26">
      <formula1>0</formula1>
      <formula2>NaN</formula2>
    </dataValidation>
    <dataValidation type="whole" allowBlank="1" showInputMessage="1" showErrorMessage="1" sqref="AN27">
      <formula1>0</formula1>
      <formula2>NaN</formula2>
    </dataValidation>
    <dataValidation type="whole" allowBlank="1" showInputMessage="1" showErrorMessage="1" sqref="AN28">
      <formula1>0</formula1>
      <formula2>NaN</formula2>
    </dataValidation>
    <dataValidation type="whole" allowBlank="1" showInputMessage="1" showErrorMessage="1" sqref="AN29">
      <formula1>0</formula1>
      <formula2>NaN</formula2>
    </dataValidation>
    <dataValidation type="whole" allowBlank="1" showInputMessage="1" showErrorMessage="1" sqref="AN30">
      <formula1>0</formula1>
      <formula2>NaN</formula2>
    </dataValidation>
    <dataValidation type="whole" allowBlank="1" showInputMessage="1" showErrorMessage="1" sqref="AN31">
      <formula1>0</formula1>
      <formula2>NaN</formula2>
    </dataValidation>
    <dataValidation type="whole" allowBlank="1" showInputMessage="1" showErrorMessage="1" sqref="AN32">
      <formula1>0</formula1>
      <formula2>NaN</formula2>
    </dataValidation>
    <dataValidation type="whole" allowBlank="1" showInputMessage="1" showErrorMessage="1" sqref="AN33">
      <formula1>0</formula1>
      <formula2>NaN</formula2>
    </dataValidation>
    <dataValidation type="whole" allowBlank="1" showInputMessage="1" showErrorMessage="1" sqref="AN34">
      <formula1>0</formula1>
      <formula2>NaN</formula2>
    </dataValidation>
    <dataValidation type="whole" allowBlank="1" showInputMessage="1" showErrorMessage="1" sqref="AN35">
      <formula1>0</formula1>
      <formula2>NaN</formula2>
    </dataValidation>
    <dataValidation type="whole" allowBlank="1" showInputMessage="1" showErrorMessage="1" sqref="AN36">
      <formula1>0</formula1>
      <formula2>NaN</formula2>
    </dataValidation>
    <dataValidation type="whole" allowBlank="1" showInputMessage="1" showErrorMessage="1" sqref="AN37">
      <formula1>0</formula1>
      <formula2>NaN</formula2>
    </dataValidation>
    <dataValidation type="whole" allowBlank="1" showInputMessage="1" showErrorMessage="1" sqref="AN38">
      <formula1>0</formula1>
      <formula2>NaN</formula2>
    </dataValidation>
    <dataValidation type="whole" allowBlank="1" showInputMessage="1" showErrorMessage="1" sqref="AN39">
      <formula1>0</formula1>
      <formula2>NaN</formula2>
    </dataValidation>
    <dataValidation type="whole" allowBlank="1" showInputMessage="1" showErrorMessage="1" sqref="AN40">
      <formula1>0</formula1>
      <formula2>NaN</formula2>
    </dataValidation>
    <dataValidation type="whole" allowBlank="1" showInputMessage="1" showErrorMessage="1" sqref="AN41">
      <formula1>0</formula1>
      <formula2>NaN</formula2>
    </dataValidation>
    <dataValidation type="whole" allowBlank="1" showInputMessage="1" showErrorMessage="1" sqref="AN42">
      <formula1>0</formula1>
      <formula2>NaN</formula2>
    </dataValidation>
    <dataValidation type="whole" allowBlank="1" showInputMessage="1" showErrorMessage="1" sqref="AN43">
      <formula1>0</formula1>
      <formula2>NaN</formula2>
    </dataValidation>
    <dataValidation type="whole" allowBlank="1" showInputMessage="1" showErrorMessage="1" sqref="AN44">
      <formula1>0</formula1>
      <formula2>NaN</formula2>
    </dataValidation>
    <dataValidation type="whole" allowBlank="1" showInputMessage="1" showErrorMessage="1" sqref="AN45">
      <formula1>0</formula1>
      <formula2>NaN</formula2>
    </dataValidation>
    <dataValidation type="whole" allowBlank="1" showInputMessage="1" showErrorMessage="1" sqref="AN46">
      <formula1>0</formula1>
      <formula2>NaN</formula2>
    </dataValidation>
    <dataValidation type="whole" allowBlank="1" showInputMessage="1" showErrorMessage="1" sqref="AN47">
      <formula1>0</formula1>
      <formula2>NaN</formula2>
    </dataValidation>
    <dataValidation type="whole" allowBlank="1" showInputMessage="1" showErrorMessage="1" sqref="AN48">
      <formula1>0</formula1>
      <formula2>NaN</formula2>
    </dataValidation>
    <dataValidation type="whole" allowBlank="1" showInputMessage="1" showErrorMessage="1" sqref="AN49">
      <formula1>0</formula1>
      <formula2>NaN</formula2>
    </dataValidation>
    <dataValidation type="whole" allowBlank="1" showInputMessage="1" showErrorMessage="1" sqref="AN50">
      <formula1>0</formula1>
      <formula2>NaN</formula2>
    </dataValidation>
    <dataValidation type="whole" allowBlank="1" showInputMessage="1" showErrorMessage="1" sqref="AN51">
      <formula1>0</formula1>
      <formula2>NaN</formula2>
    </dataValidation>
    <dataValidation type="whole" allowBlank="1" showInputMessage="1" showErrorMessage="1" sqref="AN52">
      <formula1>0</formula1>
      <formula2>NaN</formula2>
    </dataValidation>
    <dataValidation type="whole" allowBlank="1" showInputMessage="1" showErrorMessage="1" sqref="AN53">
      <formula1>0</formula1>
      <formula2>NaN</formula2>
    </dataValidation>
    <dataValidation type="whole" allowBlank="1" showInputMessage="1" showErrorMessage="1" sqref="AN54">
      <formula1>0</formula1>
      <formula2>NaN</formula2>
    </dataValidation>
    <dataValidation type="whole" allowBlank="1" showInputMessage="1" showErrorMessage="1" sqref="AN55">
      <formula1>0</formula1>
      <formula2>NaN</formula2>
    </dataValidation>
    <dataValidation type="whole" allowBlank="1" showInputMessage="1" showErrorMessage="1" sqref="AN56">
      <formula1>0</formula1>
      <formula2>NaN</formula2>
    </dataValidation>
    <dataValidation type="whole" allowBlank="1" showInputMessage="1" showErrorMessage="1" sqref="AN57">
      <formula1>0</formula1>
      <formula2>NaN</formula2>
    </dataValidation>
    <dataValidation type="whole" allowBlank="1" showInputMessage="1" showErrorMessage="1" sqref="AN58">
      <formula1>0</formula1>
      <formula2>NaN</formula2>
    </dataValidation>
    <dataValidation type="whole" allowBlank="1" showInputMessage="1" showErrorMessage="1" sqref="AN59">
      <formula1>0</formula1>
      <formula2>NaN</formula2>
    </dataValidation>
    <dataValidation type="whole" allowBlank="1" showInputMessage="1" showErrorMessage="1" sqref="AN60">
      <formula1>0</formula1>
      <formula2>NaN</formula2>
    </dataValidation>
    <dataValidation type="whole" allowBlank="1" showInputMessage="1" showErrorMessage="1" sqref="AN61">
      <formula1>0</formula1>
      <formula2>NaN</formula2>
    </dataValidation>
    <dataValidation type="whole" allowBlank="1" showInputMessage="1" showErrorMessage="1" sqref="AN62">
      <formula1>0</formula1>
      <formula2>NaN</formula2>
    </dataValidation>
    <dataValidation type="whole" allowBlank="1" showInputMessage="1" showErrorMessage="1" sqref="AN63">
      <formula1>0</formula1>
      <formula2>NaN</formula2>
    </dataValidation>
    <dataValidation type="whole" allowBlank="1" showInputMessage="1" showErrorMessage="1" sqref="AN64">
      <formula1>0</formula1>
      <formula2>NaN</formula2>
    </dataValidation>
    <dataValidation type="whole" allowBlank="1" showInputMessage="1" showErrorMessage="1" sqref="AN65">
      <formula1>0</formula1>
      <formula2>NaN</formula2>
    </dataValidation>
    <dataValidation type="whole" allowBlank="1" showInputMessage="1" showErrorMessage="1" sqref="AN66">
      <formula1>0</formula1>
      <formula2>NaN</formula2>
    </dataValidation>
    <dataValidation type="whole" allowBlank="1" showInputMessage="1" showErrorMessage="1" sqref="AN67">
      <formula1>0</formula1>
      <formula2>NaN</formula2>
    </dataValidation>
    <dataValidation type="whole" allowBlank="1" showInputMessage="1" showErrorMessage="1" sqref="AN68">
      <formula1>0</formula1>
      <formula2>NaN</formula2>
    </dataValidation>
    <dataValidation type="whole" allowBlank="1" showInputMessage="1" showErrorMessage="1" sqref="AN9">
      <formula1>0</formula1>
      <formula2>NaN</formula2>
    </dataValidation>
    <dataValidation type="whole" allowBlank="1" showInputMessage="1" showErrorMessage="1" sqref="AO10">
      <formula1>0</formula1>
      <formula2>NaN</formula2>
    </dataValidation>
    <dataValidation type="whole" allowBlank="1" showInputMessage="1" showErrorMessage="1" sqref="AO11">
      <formula1>0</formula1>
      <formula2>NaN</formula2>
    </dataValidation>
    <dataValidation type="whole" allowBlank="1" showInputMessage="1" showErrorMessage="1" sqref="AO12">
      <formula1>0</formula1>
      <formula2>NaN</formula2>
    </dataValidation>
    <dataValidation type="whole" allowBlank="1" showInputMessage="1" showErrorMessage="1" sqref="AO13">
      <formula1>0</formula1>
      <formula2>NaN</formula2>
    </dataValidation>
    <dataValidation type="whole" allowBlank="1" showInputMessage="1" showErrorMessage="1" sqref="AO14">
      <formula1>0</formula1>
      <formula2>NaN</formula2>
    </dataValidation>
    <dataValidation type="whole" allowBlank="1" showInputMessage="1" showErrorMessage="1" sqref="AO15">
      <formula1>0</formula1>
      <formula2>NaN</formula2>
    </dataValidation>
    <dataValidation type="whole" allowBlank="1" showInputMessage="1" showErrorMessage="1" sqref="AO16">
      <formula1>0</formula1>
      <formula2>NaN</formula2>
    </dataValidation>
    <dataValidation type="whole" allowBlank="1" showInputMessage="1" showErrorMessage="1" sqref="AO17">
      <formula1>0</formula1>
      <formula2>NaN</formula2>
    </dataValidation>
    <dataValidation type="whole" allowBlank="1" showInputMessage="1" showErrorMessage="1" sqref="AO18">
      <formula1>0</formula1>
      <formula2>NaN</formula2>
    </dataValidation>
    <dataValidation type="whole" allowBlank="1" showInputMessage="1" showErrorMessage="1" sqref="AO19">
      <formula1>0</formula1>
      <formula2>NaN</formula2>
    </dataValidation>
    <dataValidation type="whole" allowBlank="1" showInputMessage="1" showErrorMessage="1" sqref="AO20">
      <formula1>0</formula1>
      <formula2>NaN</formula2>
    </dataValidation>
    <dataValidation type="whole" allowBlank="1" showInputMessage="1" showErrorMessage="1" sqref="AO21">
      <formula1>0</formula1>
      <formula2>NaN</formula2>
    </dataValidation>
    <dataValidation type="whole" allowBlank="1" showInputMessage="1" showErrorMessage="1" sqref="AO22">
      <formula1>0</formula1>
      <formula2>NaN</formula2>
    </dataValidation>
    <dataValidation type="whole" allowBlank="1" showInputMessage="1" showErrorMessage="1" sqref="AO23">
      <formula1>0</formula1>
      <formula2>NaN</formula2>
    </dataValidation>
    <dataValidation type="whole" allowBlank="1" showInputMessage="1" showErrorMessage="1" sqref="AO24">
      <formula1>0</formula1>
      <formula2>NaN</formula2>
    </dataValidation>
    <dataValidation type="whole" allowBlank="1" showInputMessage="1" showErrorMessage="1" sqref="AO25">
      <formula1>0</formula1>
      <formula2>NaN</formula2>
    </dataValidation>
    <dataValidation type="whole" allowBlank="1" showInputMessage="1" showErrorMessage="1" sqref="AO26">
      <formula1>0</formula1>
      <formula2>NaN</formula2>
    </dataValidation>
    <dataValidation type="whole" allowBlank="1" showInputMessage="1" showErrorMessage="1" sqref="AO27">
      <formula1>0</formula1>
      <formula2>NaN</formula2>
    </dataValidation>
    <dataValidation type="whole" allowBlank="1" showInputMessage="1" showErrorMessage="1" sqref="AO28">
      <formula1>0</formula1>
      <formula2>NaN</formula2>
    </dataValidation>
    <dataValidation type="whole" allowBlank="1" showInputMessage="1" showErrorMessage="1" sqref="AO29">
      <formula1>0</formula1>
      <formula2>NaN</formula2>
    </dataValidation>
    <dataValidation type="whole" allowBlank="1" showInputMessage="1" showErrorMessage="1" sqref="AO30">
      <formula1>0</formula1>
      <formula2>NaN</formula2>
    </dataValidation>
    <dataValidation type="whole" allowBlank="1" showInputMessage="1" showErrorMessage="1" sqref="AO31">
      <formula1>0</formula1>
      <formula2>NaN</formula2>
    </dataValidation>
    <dataValidation type="whole" allowBlank="1" showInputMessage="1" showErrorMessage="1" sqref="AO32">
      <formula1>0</formula1>
      <formula2>NaN</formula2>
    </dataValidation>
    <dataValidation type="whole" allowBlank="1" showInputMessage="1" showErrorMessage="1" sqref="AO33">
      <formula1>0</formula1>
      <formula2>NaN</formula2>
    </dataValidation>
    <dataValidation type="whole" allowBlank="1" showInputMessage="1" showErrorMessage="1" sqref="AO34">
      <formula1>0</formula1>
      <formula2>NaN</formula2>
    </dataValidation>
    <dataValidation type="whole" allowBlank="1" showInputMessage="1" showErrorMessage="1" sqref="AO35">
      <formula1>0</formula1>
      <formula2>NaN</formula2>
    </dataValidation>
    <dataValidation type="whole" allowBlank="1" showInputMessage="1" showErrorMessage="1" sqref="AO36">
      <formula1>0</formula1>
      <formula2>NaN</formula2>
    </dataValidation>
    <dataValidation type="whole" allowBlank="1" showInputMessage="1" showErrorMessage="1" sqref="AO37">
      <formula1>0</formula1>
      <formula2>NaN</formula2>
    </dataValidation>
    <dataValidation type="whole" allowBlank="1" showInputMessage="1" showErrorMessage="1" sqref="AO38">
      <formula1>0</formula1>
      <formula2>NaN</formula2>
    </dataValidation>
    <dataValidation type="whole" allowBlank="1" showInputMessage="1" showErrorMessage="1" sqref="AO39">
      <formula1>0</formula1>
      <formula2>NaN</formula2>
    </dataValidation>
    <dataValidation type="whole" allowBlank="1" showInputMessage="1" showErrorMessage="1" sqref="AO40">
      <formula1>0</formula1>
      <formula2>NaN</formula2>
    </dataValidation>
    <dataValidation type="whole" allowBlank="1" showInputMessage="1" showErrorMessage="1" sqref="AO41">
      <formula1>0</formula1>
      <formula2>NaN</formula2>
    </dataValidation>
    <dataValidation type="whole" allowBlank="1" showInputMessage="1" showErrorMessage="1" sqref="AO42">
      <formula1>0</formula1>
      <formula2>NaN</formula2>
    </dataValidation>
    <dataValidation type="whole" allowBlank="1" showInputMessage="1" showErrorMessage="1" sqref="AO43">
      <formula1>0</formula1>
      <formula2>NaN</formula2>
    </dataValidation>
    <dataValidation type="whole" allowBlank="1" showInputMessage="1" showErrorMessage="1" sqref="AO44">
      <formula1>0</formula1>
      <formula2>NaN</formula2>
    </dataValidation>
    <dataValidation type="whole" allowBlank="1" showInputMessage="1" showErrorMessage="1" sqref="AO45">
      <formula1>0</formula1>
      <formula2>NaN</formula2>
    </dataValidation>
    <dataValidation type="whole" allowBlank="1" showInputMessage="1" showErrorMessage="1" sqref="AO46">
      <formula1>0</formula1>
      <formula2>NaN</formula2>
    </dataValidation>
    <dataValidation type="whole" allowBlank="1" showInputMessage="1" showErrorMessage="1" sqref="AO47">
      <formula1>0</formula1>
      <formula2>NaN</formula2>
    </dataValidation>
    <dataValidation type="whole" allowBlank="1" showInputMessage="1" showErrorMessage="1" sqref="AO48">
      <formula1>0</formula1>
      <formula2>NaN</formula2>
    </dataValidation>
    <dataValidation type="whole" allowBlank="1" showInputMessage="1" showErrorMessage="1" sqref="AO49">
      <formula1>0</formula1>
      <formula2>NaN</formula2>
    </dataValidation>
    <dataValidation type="whole" allowBlank="1" showInputMessage="1" showErrorMessage="1" sqref="AO50">
      <formula1>0</formula1>
      <formula2>NaN</formula2>
    </dataValidation>
    <dataValidation type="whole" allowBlank="1" showInputMessage="1" showErrorMessage="1" sqref="AO51">
      <formula1>0</formula1>
      <formula2>NaN</formula2>
    </dataValidation>
    <dataValidation type="whole" allowBlank="1" showInputMessage="1" showErrorMessage="1" sqref="AO52">
      <formula1>0</formula1>
      <formula2>NaN</formula2>
    </dataValidation>
    <dataValidation type="whole" allowBlank="1" showInputMessage="1" showErrorMessage="1" sqref="AO53">
      <formula1>0</formula1>
      <formula2>NaN</formula2>
    </dataValidation>
    <dataValidation type="whole" allowBlank="1" showInputMessage="1" showErrorMessage="1" sqref="AO54">
      <formula1>0</formula1>
      <formula2>NaN</formula2>
    </dataValidation>
    <dataValidation type="whole" allowBlank="1" showInputMessage="1" showErrorMessage="1" sqref="AO55">
      <formula1>0</formula1>
      <formula2>NaN</formula2>
    </dataValidation>
    <dataValidation type="whole" allowBlank="1" showInputMessage="1" showErrorMessage="1" sqref="AO56">
      <formula1>0</formula1>
      <formula2>NaN</formula2>
    </dataValidation>
    <dataValidation type="whole" allowBlank="1" showInputMessage="1" showErrorMessage="1" sqref="AO57">
      <formula1>0</formula1>
      <formula2>NaN</formula2>
    </dataValidation>
    <dataValidation type="whole" allowBlank="1" showInputMessage="1" showErrorMessage="1" sqref="AO58">
      <formula1>0</formula1>
      <formula2>NaN</formula2>
    </dataValidation>
    <dataValidation type="whole" allowBlank="1" showInputMessage="1" showErrorMessage="1" sqref="AO59">
      <formula1>0</formula1>
      <formula2>NaN</formula2>
    </dataValidation>
    <dataValidation type="whole" allowBlank="1" showInputMessage="1" showErrorMessage="1" sqref="AO60">
      <formula1>0</formula1>
      <formula2>NaN</formula2>
    </dataValidation>
    <dataValidation type="whole" allowBlank="1" showInputMessage="1" showErrorMessage="1" sqref="AO61">
      <formula1>0</formula1>
      <formula2>NaN</formula2>
    </dataValidation>
    <dataValidation type="whole" allowBlank="1" showInputMessage="1" showErrorMessage="1" sqref="AO62">
      <formula1>0</formula1>
      <formula2>NaN</formula2>
    </dataValidation>
    <dataValidation type="whole" allowBlank="1" showInputMessage="1" showErrorMessage="1" sqref="AO63">
      <formula1>0</formula1>
      <formula2>NaN</formula2>
    </dataValidation>
    <dataValidation type="whole" allowBlank="1" showInputMessage="1" showErrorMessage="1" sqref="AO64">
      <formula1>0</formula1>
      <formula2>NaN</formula2>
    </dataValidation>
    <dataValidation type="whole" allowBlank="1" showInputMessage="1" showErrorMessage="1" sqref="AO65">
      <formula1>0</formula1>
      <formula2>NaN</formula2>
    </dataValidation>
    <dataValidation type="whole" allowBlank="1" showInputMessage="1" showErrorMessage="1" sqref="AO66">
      <formula1>0</formula1>
      <formula2>NaN</formula2>
    </dataValidation>
    <dataValidation type="whole" allowBlank="1" showInputMessage="1" showErrorMessage="1" sqref="AO67">
      <formula1>0</formula1>
      <formula2>NaN</formula2>
    </dataValidation>
    <dataValidation type="whole" allowBlank="1" showInputMessage="1" showErrorMessage="1" sqref="AO68">
      <formula1>0</formula1>
      <formula2>NaN</formula2>
    </dataValidation>
    <dataValidation type="whole" allowBlank="1" showInputMessage="1" showErrorMessage="1" sqref="AO9">
      <formula1>0</formula1>
      <formula2>NaN</formula2>
    </dataValidation>
    <dataValidation type="whole" allowBlank="1" showInputMessage="1" showErrorMessage="1" sqref="AP10">
      <formula1>0</formula1>
      <formula2>NaN</formula2>
    </dataValidation>
    <dataValidation type="whole" allowBlank="1" showInputMessage="1" showErrorMessage="1" sqref="AP11">
      <formula1>0</formula1>
      <formula2>NaN</formula2>
    </dataValidation>
    <dataValidation type="whole" allowBlank="1" showInputMessage="1" showErrorMessage="1" sqref="AP12">
      <formula1>0</formula1>
      <formula2>NaN</formula2>
    </dataValidation>
    <dataValidation type="whole" allowBlank="1" showInputMessage="1" showErrorMessage="1" sqref="AP13">
      <formula1>0</formula1>
      <formula2>NaN</formula2>
    </dataValidation>
    <dataValidation type="whole" allowBlank="1" showInputMessage="1" showErrorMessage="1" sqref="AP14">
      <formula1>0</formula1>
      <formula2>NaN</formula2>
    </dataValidation>
    <dataValidation type="whole" allowBlank="1" showInputMessage="1" showErrorMessage="1" sqref="AP15">
      <formula1>0</formula1>
      <formula2>NaN</formula2>
    </dataValidation>
    <dataValidation type="whole" allowBlank="1" showInputMessage="1" showErrorMessage="1" sqref="AP16">
      <formula1>0</formula1>
      <formula2>NaN</formula2>
    </dataValidation>
    <dataValidation type="whole" allowBlank="1" showInputMessage="1" showErrorMessage="1" sqref="AP17">
      <formula1>0</formula1>
      <formula2>NaN</formula2>
    </dataValidation>
    <dataValidation type="whole" allowBlank="1" showInputMessage="1" showErrorMessage="1" sqref="AP18">
      <formula1>0</formula1>
      <formula2>NaN</formula2>
    </dataValidation>
    <dataValidation type="whole" allowBlank="1" showInputMessage="1" showErrorMessage="1" sqref="AP19">
      <formula1>0</formula1>
      <formula2>NaN</formula2>
    </dataValidation>
    <dataValidation type="whole" allowBlank="1" showInputMessage="1" showErrorMessage="1" sqref="AP20">
      <formula1>0</formula1>
      <formula2>NaN</formula2>
    </dataValidation>
    <dataValidation type="whole" allowBlank="1" showInputMessage="1" showErrorMessage="1" sqref="AP21">
      <formula1>0</formula1>
      <formula2>NaN</formula2>
    </dataValidation>
    <dataValidation type="whole" allowBlank="1" showInputMessage="1" showErrorMessage="1" sqref="AP22">
      <formula1>0</formula1>
      <formula2>NaN</formula2>
    </dataValidation>
    <dataValidation type="whole" allowBlank="1" showInputMessage="1" showErrorMessage="1" sqref="AP23">
      <formula1>0</formula1>
      <formula2>NaN</formula2>
    </dataValidation>
    <dataValidation type="whole" allowBlank="1" showInputMessage="1" showErrorMessage="1" sqref="AP24">
      <formula1>0</formula1>
      <formula2>NaN</formula2>
    </dataValidation>
    <dataValidation type="whole" allowBlank="1" showInputMessage="1" showErrorMessage="1" sqref="AP25">
      <formula1>0</formula1>
      <formula2>NaN</formula2>
    </dataValidation>
    <dataValidation type="whole" allowBlank="1" showInputMessage="1" showErrorMessage="1" sqref="AP26">
      <formula1>0</formula1>
      <formula2>NaN</formula2>
    </dataValidation>
    <dataValidation type="whole" allowBlank="1" showInputMessage="1" showErrorMessage="1" sqref="AP27">
      <formula1>0</formula1>
      <formula2>NaN</formula2>
    </dataValidation>
    <dataValidation type="whole" allowBlank="1" showInputMessage="1" showErrorMessage="1" sqref="AP28">
      <formula1>0</formula1>
      <formula2>NaN</formula2>
    </dataValidation>
    <dataValidation type="whole" allowBlank="1" showInputMessage="1" showErrorMessage="1" sqref="AP29">
      <formula1>0</formula1>
      <formula2>NaN</formula2>
    </dataValidation>
    <dataValidation type="whole" allowBlank="1" showInputMessage="1" showErrorMessage="1" sqref="AP30">
      <formula1>0</formula1>
      <formula2>NaN</formula2>
    </dataValidation>
    <dataValidation type="whole" allowBlank="1" showInputMessage="1" showErrorMessage="1" sqref="AP31">
      <formula1>0</formula1>
      <formula2>NaN</formula2>
    </dataValidation>
    <dataValidation type="whole" allowBlank="1" showInputMessage="1" showErrorMessage="1" sqref="AP32">
      <formula1>0</formula1>
      <formula2>NaN</formula2>
    </dataValidation>
    <dataValidation type="whole" allowBlank="1" showInputMessage="1" showErrorMessage="1" sqref="AP33">
      <formula1>0</formula1>
      <formula2>NaN</formula2>
    </dataValidation>
    <dataValidation type="whole" allowBlank="1" showInputMessage="1" showErrorMessage="1" sqref="AP34">
      <formula1>0</formula1>
      <formula2>NaN</formula2>
    </dataValidation>
    <dataValidation type="whole" allowBlank="1" showInputMessage="1" showErrorMessage="1" sqref="AP35">
      <formula1>0</formula1>
      <formula2>NaN</formula2>
    </dataValidation>
    <dataValidation type="whole" allowBlank="1" showInputMessage="1" showErrorMessage="1" sqref="AP36">
      <formula1>0</formula1>
      <formula2>NaN</formula2>
    </dataValidation>
    <dataValidation type="whole" allowBlank="1" showInputMessage="1" showErrorMessage="1" sqref="AP37">
      <formula1>0</formula1>
      <formula2>NaN</formula2>
    </dataValidation>
    <dataValidation type="whole" allowBlank="1" showInputMessage="1" showErrorMessage="1" sqref="AP38">
      <formula1>0</formula1>
      <formula2>NaN</formula2>
    </dataValidation>
    <dataValidation type="whole" allowBlank="1" showInputMessage="1" showErrorMessage="1" sqref="AP39">
      <formula1>0</formula1>
      <formula2>NaN</formula2>
    </dataValidation>
    <dataValidation type="whole" allowBlank="1" showInputMessage="1" showErrorMessage="1" sqref="AP40">
      <formula1>0</formula1>
      <formula2>NaN</formula2>
    </dataValidation>
    <dataValidation type="whole" allowBlank="1" showInputMessage="1" showErrorMessage="1" sqref="AP41">
      <formula1>0</formula1>
      <formula2>NaN</formula2>
    </dataValidation>
    <dataValidation type="whole" allowBlank="1" showInputMessage="1" showErrorMessage="1" sqref="AP42">
      <formula1>0</formula1>
      <formula2>NaN</formula2>
    </dataValidation>
    <dataValidation type="whole" allowBlank="1" showInputMessage="1" showErrorMessage="1" sqref="AP43">
      <formula1>0</formula1>
      <formula2>NaN</formula2>
    </dataValidation>
    <dataValidation type="whole" allowBlank="1" showInputMessage="1" showErrorMessage="1" sqref="AP44">
      <formula1>0</formula1>
      <formula2>NaN</formula2>
    </dataValidation>
    <dataValidation type="whole" allowBlank="1" showInputMessage="1" showErrorMessage="1" sqref="AP45">
      <formula1>0</formula1>
      <formula2>NaN</formula2>
    </dataValidation>
    <dataValidation type="whole" allowBlank="1" showInputMessage="1" showErrorMessage="1" sqref="AP46">
      <formula1>0</formula1>
      <formula2>NaN</formula2>
    </dataValidation>
    <dataValidation type="whole" allowBlank="1" showInputMessage="1" showErrorMessage="1" sqref="AP47">
      <formula1>0</formula1>
      <formula2>NaN</formula2>
    </dataValidation>
    <dataValidation type="whole" allowBlank="1" showInputMessage="1" showErrorMessage="1" sqref="AP48">
      <formula1>0</formula1>
      <formula2>NaN</formula2>
    </dataValidation>
    <dataValidation type="whole" allowBlank="1" showInputMessage="1" showErrorMessage="1" sqref="AP49">
      <formula1>0</formula1>
      <formula2>NaN</formula2>
    </dataValidation>
    <dataValidation type="whole" allowBlank="1" showInputMessage="1" showErrorMessage="1" sqref="AP50">
      <formula1>0</formula1>
      <formula2>NaN</formula2>
    </dataValidation>
    <dataValidation type="whole" allowBlank="1" showInputMessage="1" showErrorMessage="1" sqref="AP51">
      <formula1>0</formula1>
      <formula2>NaN</formula2>
    </dataValidation>
    <dataValidation type="whole" allowBlank="1" showInputMessage="1" showErrorMessage="1" sqref="AP52">
      <formula1>0</formula1>
      <formula2>NaN</formula2>
    </dataValidation>
    <dataValidation type="whole" allowBlank="1" showInputMessage="1" showErrorMessage="1" sqref="AP53">
      <formula1>0</formula1>
      <formula2>NaN</formula2>
    </dataValidation>
    <dataValidation type="whole" allowBlank="1" showInputMessage="1" showErrorMessage="1" sqref="AP54">
      <formula1>0</formula1>
      <formula2>NaN</formula2>
    </dataValidation>
    <dataValidation type="whole" allowBlank="1" showInputMessage="1" showErrorMessage="1" sqref="AP55">
      <formula1>0</formula1>
      <formula2>NaN</formula2>
    </dataValidation>
    <dataValidation type="whole" allowBlank="1" showInputMessage="1" showErrorMessage="1" sqref="AP56">
      <formula1>0</formula1>
      <formula2>NaN</formula2>
    </dataValidation>
    <dataValidation type="whole" allowBlank="1" showInputMessage="1" showErrorMessage="1" sqref="AP57">
      <formula1>0</formula1>
      <formula2>NaN</formula2>
    </dataValidation>
    <dataValidation type="whole" allowBlank="1" showInputMessage="1" showErrorMessage="1" sqref="AP58">
      <formula1>0</formula1>
      <formula2>NaN</formula2>
    </dataValidation>
    <dataValidation type="whole" allowBlank="1" showInputMessage="1" showErrorMessage="1" sqref="AP59">
      <formula1>0</formula1>
      <formula2>NaN</formula2>
    </dataValidation>
    <dataValidation type="whole" allowBlank="1" showInputMessage="1" showErrorMessage="1" sqref="AP60">
      <formula1>0</formula1>
      <formula2>NaN</formula2>
    </dataValidation>
    <dataValidation type="whole" allowBlank="1" showInputMessage="1" showErrorMessage="1" sqref="AP61">
      <formula1>0</formula1>
      <formula2>NaN</formula2>
    </dataValidation>
    <dataValidation type="whole" allowBlank="1" showInputMessage="1" showErrorMessage="1" sqref="AP62">
      <formula1>0</formula1>
      <formula2>NaN</formula2>
    </dataValidation>
    <dataValidation type="whole" allowBlank="1" showInputMessage="1" showErrorMessage="1" sqref="AP63">
      <formula1>0</formula1>
      <formula2>NaN</formula2>
    </dataValidation>
    <dataValidation type="whole" allowBlank="1" showInputMessage="1" showErrorMessage="1" sqref="AP64">
      <formula1>0</formula1>
      <formula2>NaN</formula2>
    </dataValidation>
    <dataValidation type="whole" allowBlank="1" showInputMessage="1" showErrorMessage="1" sqref="AP65">
      <formula1>0</formula1>
      <formula2>NaN</formula2>
    </dataValidation>
    <dataValidation type="whole" allowBlank="1" showInputMessage="1" showErrorMessage="1" sqref="AP66">
      <formula1>0</formula1>
      <formula2>NaN</formula2>
    </dataValidation>
    <dataValidation type="whole" allowBlank="1" showInputMessage="1" showErrorMessage="1" sqref="AP67">
      <formula1>0</formula1>
      <formula2>NaN</formula2>
    </dataValidation>
    <dataValidation type="whole" allowBlank="1" showInputMessage="1" showErrorMessage="1" sqref="AP68">
      <formula1>0</formula1>
      <formula2>NaN</formula2>
    </dataValidation>
    <dataValidation type="whole" allowBlank="1" showInputMessage="1" showErrorMessage="1" sqref="AP9">
      <formula1>0</formula1>
      <formula2>NaN</formula2>
    </dataValidation>
    <dataValidation showInputMessage="1" prompt="Percentage Score" showErrorMessage="1" sqref="AR5"/>
    <dataValidation showInputMessage="1" prompt="Weighted Score" showErrorMessage="1" sqref="AS5"/>
    <dataValidation type="whole" allowBlank="1" showInputMessage="1" showErrorMessage="1" sqref="AT10">
      <formula1>0</formula1>
      <formula2>NaN</formula2>
    </dataValidation>
    <dataValidation type="whole" allowBlank="1" showInputMessage="1" showErrorMessage="1" sqref="AT11">
      <formula1>0</formula1>
      <formula2>NaN</formula2>
    </dataValidation>
    <dataValidation type="whole" allowBlank="1" showInputMessage="1" showErrorMessage="1" sqref="AT12">
      <formula1>0</formula1>
      <formula2>NaN</formula2>
    </dataValidation>
    <dataValidation type="whole" allowBlank="1" showInputMessage="1" showErrorMessage="1" sqref="AT13">
      <formula1>0</formula1>
      <formula2>NaN</formula2>
    </dataValidation>
    <dataValidation type="whole" allowBlank="1" showInputMessage="1" showErrorMessage="1" sqref="AT14">
      <formula1>0</formula1>
      <formula2>NaN</formula2>
    </dataValidation>
    <dataValidation type="whole" allowBlank="1" showInputMessage="1" showErrorMessage="1" sqref="AT15">
      <formula1>0</formula1>
      <formula2>NaN</formula2>
    </dataValidation>
    <dataValidation type="whole" allowBlank="1" showInputMessage="1" showErrorMessage="1" sqref="AT16">
      <formula1>0</formula1>
      <formula2>NaN</formula2>
    </dataValidation>
    <dataValidation type="whole" allowBlank="1" showInputMessage="1" showErrorMessage="1" sqref="AT17">
      <formula1>0</formula1>
      <formula2>NaN</formula2>
    </dataValidation>
    <dataValidation type="whole" allowBlank="1" showInputMessage="1" showErrorMessage="1" sqref="AT18">
      <formula1>0</formula1>
      <formula2>NaN</formula2>
    </dataValidation>
    <dataValidation type="whole" allowBlank="1" showInputMessage="1" showErrorMessage="1" sqref="AT19">
      <formula1>0</formula1>
      <formula2>NaN</formula2>
    </dataValidation>
    <dataValidation type="whole" allowBlank="1" showInputMessage="1" showErrorMessage="1" sqref="AT20">
      <formula1>0</formula1>
      <formula2>NaN</formula2>
    </dataValidation>
    <dataValidation type="whole" allowBlank="1" showInputMessage="1" showErrorMessage="1" sqref="AT21">
      <formula1>0</formula1>
      <formula2>NaN</formula2>
    </dataValidation>
    <dataValidation type="whole" allowBlank="1" showInputMessage="1" showErrorMessage="1" sqref="AT22">
      <formula1>0</formula1>
      <formula2>NaN</formula2>
    </dataValidation>
    <dataValidation type="whole" allowBlank="1" showInputMessage="1" showErrorMessage="1" sqref="AT23">
      <formula1>0</formula1>
      <formula2>NaN</formula2>
    </dataValidation>
    <dataValidation type="whole" allowBlank="1" showInputMessage="1" showErrorMessage="1" sqref="AT24">
      <formula1>0</formula1>
      <formula2>NaN</formula2>
    </dataValidation>
    <dataValidation type="whole" allowBlank="1" showInputMessage="1" showErrorMessage="1" sqref="AT25">
      <formula1>0</formula1>
      <formula2>NaN</formula2>
    </dataValidation>
    <dataValidation type="whole" allowBlank="1" showInputMessage="1" showErrorMessage="1" sqref="AT26">
      <formula1>0</formula1>
      <formula2>NaN</formula2>
    </dataValidation>
    <dataValidation type="whole" allowBlank="1" showInputMessage="1" showErrorMessage="1" sqref="AT27">
      <formula1>0</formula1>
      <formula2>NaN</formula2>
    </dataValidation>
    <dataValidation type="whole" allowBlank="1" showInputMessage="1" showErrorMessage="1" sqref="AT28">
      <formula1>0</formula1>
      <formula2>NaN</formula2>
    </dataValidation>
    <dataValidation type="whole" allowBlank="1" showInputMessage="1" showErrorMessage="1" sqref="AT29">
      <formula1>0</formula1>
      <formula2>NaN</formula2>
    </dataValidation>
    <dataValidation type="whole" allowBlank="1" showInputMessage="1" showErrorMessage="1" sqref="AT30">
      <formula1>0</formula1>
      <formula2>NaN</formula2>
    </dataValidation>
    <dataValidation type="whole" allowBlank="1" showInputMessage="1" showErrorMessage="1" sqref="AT31">
      <formula1>0</formula1>
      <formula2>NaN</formula2>
    </dataValidation>
    <dataValidation type="whole" allowBlank="1" showInputMessage="1" showErrorMessage="1" sqref="AT32">
      <formula1>0</formula1>
      <formula2>NaN</formula2>
    </dataValidation>
    <dataValidation type="whole" allowBlank="1" showInputMessage="1" showErrorMessage="1" sqref="AT33">
      <formula1>0</formula1>
      <formula2>NaN</formula2>
    </dataValidation>
    <dataValidation type="whole" allowBlank="1" showInputMessage="1" showErrorMessage="1" sqref="AT34">
      <formula1>0</formula1>
      <formula2>NaN</formula2>
    </dataValidation>
    <dataValidation type="whole" allowBlank="1" showInputMessage="1" showErrorMessage="1" sqref="AT35">
      <formula1>0</formula1>
      <formula2>NaN</formula2>
    </dataValidation>
    <dataValidation type="whole" allowBlank="1" showInputMessage="1" showErrorMessage="1" sqref="AT36">
      <formula1>0</formula1>
      <formula2>NaN</formula2>
    </dataValidation>
    <dataValidation type="whole" allowBlank="1" showInputMessage="1" showErrorMessage="1" sqref="AT37">
      <formula1>0</formula1>
      <formula2>NaN</formula2>
    </dataValidation>
    <dataValidation type="whole" allowBlank="1" showInputMessage="1" showErrorMessage="1" sqref="AT38">
      <formula1>0</formula1>
      <formula2>NaN</formula2>
    </dataValidation>
    <dataValidation type="whole" allowBlank="1" showInputMessage="1" showErrorMessage="1" sqref="AT39">
      <formula1>0</formula1>
      <formula2>NaN</formula2>
    </dataValidation>
    <dataValidation type="whole" allowBlank="1" showInputMessage="1" showErrorMessage="1" sqref="AT40">
      <formula1>0</formula1>
      <formula2>NaN</formula2>
    </dataValidation>
    <dataValidation type="whole" allowBlank="1" showInputMessage="1" showErrorMessage="1" sqref="AT41">
      <formula1>0</formula1>
      <formula2>NaN</formula2>
    </dataValidation>
    <dataValidation type="whole" allowBlank="1" showInputMessage="1" showErrorMessage="1" sqref="AT42">
      <formula1>0</formula1>
      <formula2>NaN</formula2>
    </dataValidation>
    <dataValidation type="whole" allowBlank="1" showInputMessage="1" showErrorMessage="1" sqref="AT43">
      <formula1>0</formula1>
      <formula2>NaN</formula2>
    </dataValidation>
    <dataValidation type="whole" allowBlank="1" showInputMessage="1" showErrorMessage="1" sqref="AT44">
      <formula1>0</formula1>
      <formula2>NaN</formula2>
    </dataValidation>
    <dataValidation type="whole" allowBlank="1" showInputMessage="1" showErrorMessage="1" sqref="AT45">
      <formula1>0</formula1>
      <formula2>NaN</formula2>
    </dataValidation>
    <dataValidation type="whole" allowBlank="1" showInputMessage="1" showErrorMessage="1" sqref="AT46">
      <formula1>0</formula1>
      <formula2>NaN</formula2>
    </dataValidation>
    <dataValidation type="whole" allowBlank="1" showInputMessage="1" showErrorMessage="1" sqref="AT47">
      <formula1>0</formula1>
      <formula2>NaN</formula2>
    </dataValidation>
    <dataValidation type="whole" allowBlank="1" showInputMessage="1" showErrorMessage="1" sqref="AT48">
      <formula1>0</formula1>
      <formula2>NaN</formula2>
    </dataValidation>
    <dataValidation type="whole" allowBlank="1" showInputMessage="1" showErrorMessage="1" sqref="AT49">
      <formula1>0</formula1>
      <formula2>NaN</formula2>
    </dataValidation>
    <dataValidation type="whole" allowBlank="1" showInputMessage="1" showErrorMessage="1" sqref="AT50">
      <formula1>0</formula1>
      <formula2>NaN</formula2>
    </dataValidation>
    <dataValidation type="whole" allowBlank="1" showInputMessage="1" showErrorMessage="1" sqref="AT51">
      <formula1>0</formula1>
      <formula2>NaN</formula2>
    </dataValidation>
    <dataValidation type="whole" allowBlank="1" showInputMessage="1" showErrorMessage="1" sqref="AT52">
      <formula1>0</formula1>
      <formula2>NaN</formula2>
    </dataValidation>
    <dataValidation type="whole" allowBlank="1" showInputMessage="1" showErrorMessage="1" sqref="AT53">
      <formula1>0</formula1>
      <formula2>NaN</formula2>
    </dataValidation>
    <dataValidation type="whole" allowBlank="1" showInputMessage="1" showErrorMessage="1" sqref="AT54">
      <formula1>0</formula1>
      <formula2>NaN</formula2>
    </dataValidation>
    <dataValidation type="whole" allowBlank="1" showInputMessage="1" showErrorMessage="1" sqref="AT55">
      <formula1>0</formula1>
      <formula2>NaN</formula2>
    </dataValidation>
    <dataValidation type="whole" allowBlank="1" showInputMessage="1" showErrorMessage="1" sqref="AT56">
      <formula1>0</formula1>
      <formula2>NaN</formula2>
    </dataValidation>
    <dataValidation type="whole" allowBlank="1" showInputMessage="1" showErrorMessage="1" sqref="AT57">
      <formula1>0</formula1>
      <formula2>NaN</formula2>
    </dataValidation>
    <dataValidation type="whole" allowBlank="1" showInputMessage="1" showErrorMessage="1" sqref="AT58">
      <formula1>0</formula1>
      <formula2>NaN</formula2>
    </dataValidation>
    <dataValidation type="whole" allowBlank="1" showInputMessage="1" showErrorMessage="1" sqref="AT59">
      <formula1>0</formula1>
      <formula2>NaN</formula2>
    </dataValidation>
    <dataValidation showInputMessage="1" prompt="Input possible highest score here" showErrorMessage="1" sqref="AT6:AV6"/>
    <dataValidation type="whole" allowBlank="1" showInputMessage="1" showErrorMessage="1" sqref="AT60">
      <formula1>0</formula1>
      <formula2>NaN</formula2>
    </dataValidation>
    <dataValidation type="whole" allowBlank="1" showInputMessage="1" showErrorMessage="1" sqref="AT61">
      <formula1>0</formula1>
      <formula2>NaN</formula2>
    </dataValidation>
    <dataValidation type="whole" allowBlank="1" showInputMessage="1" showErrorMessage="1" sqref="AT62">
      <formula1>0</formula1>
      <formula2>NaN</formula2>
    </dataValidation>
    <dataValidation type="whole" allowBlank="1" showInputMessage="1" showErrorMessage="1" sqref="AT63">
      <formula1>0</formula1>
      <formula2>NaN</formula2>
    </dataValidation>
    <dataValidation type="whole" allowBlank="1" showInputMessage="1" showErrorMessage="1" sqref="AT64">
      <formula1>0</formula1>
      <formula2>NaN</formula2>
    </dataValidation>
    <dataValidation type="whole" allowBlank="1" showInputMessage="1" showErrorMessage="1" sqref="AT65">
      <formula1>0</formula1>
      <formula2>NaN</formula2>
    </dataValidation>
    <dataValidation type="whole" allowBlank="1" showInputMessage="1" showErrorMessage="1" sqref="AT66">
      <formula1>0</formula1>
      <formula2>NaN</formula2>
    </dataValidation>
    <dataValidation type="whole" allowBlank="1" showInputMessage="1" showErrorMessage="1" sqref="AT67">
      <formula1>0</formula1>
      <formula2>NaN</formula2>
    </dataValidation>
    <dataValidation type="whole" allowBlank="1" showInputMessage="1" showErrorMessage="1" sqref="AT68">
      <formula1>0</formula1>
      <formula2>NaN</formula2>
    </dataValidation>
    <dataValidation type="date" allowBlank="1" showInputMessage="1" prompt="Input date here_x000a_" showErrorMessage="1" sqref="AT8:AV8">
      <formula1>1</formula1>
      <formula2>NaN</formula2>
    </dataValidation>
    <dataValidation type="whole" allowBlank="1" showInputMessage="1" showErrorMessage="1" sqref="AT9">
      <formula1>0</formula1>
      <formula2>NaN</formula2>
    </dataValidation>
    <dataValidation type="whole" allowBlank="1" showInputMessage="1" showErrorMessage="1" sqref="AU10">
      <formula1>0</formula1>
      <formula2>NaN</formula2>
    </dataValidation>
    <dataValidation type="whole" allowBlank="1" showInputMessage="1" showErrorMessage="1" sqref="AU11">
      <formula1>0</formula1>
      <formula2>NaN</formula2>
    </dataValidation>
    <dataValidation type="whole" allowBlank="1" showInputMessage="1" showErrorMessage="1" sqref="AU12">
      <formula1>0</formula1>
      <formula2>NaN</formula2>
    </dataValidation>
    <dataValidation type="whole" allowBlank="1" showInputMessage="1" showErrorMessage="1" sqref="AU13">
      <formula1>0</formula1>
      <formula2>NaN</formula2>
    </dataValidation>
    <dataValidation type="whole" allowBlank="1" showInputMessage="1" showErrorMessage="1" sqref="AU14">
      <formula1>0</formula1>
      <formula2>NaN</formula2>
    </dataValidation>
    <dataValidation type="whole" allowBlank="1" showInputMessage="1" showErrorMessage="1" sqref="AU15">
      <formula1>0</formula1>
      <formula2>NaN</formula2>
    </dataValidation>
    <dataValidation type="whole" allowBlank="1" showInputMessage="1" showErrorMessage="1" sqref="AU16">
      <formula1>0</formula1>
      <formula2>NaN</formula2>
    </dataValidation>
    <dataValidation type="whole" allowBlank="1" showInputMessage="1" showErrorMessage="1" sqref="AU17">
      <formula1>0</formula1>
      <formula2>NaN</formula2>
    </dataValidation>
    <dataValidation type="whole" allowBlank="1" showInputMessage="1" showErrorMessage="1" sqref="AU18">
      <formula1>0</formula1>
      <formula2>NaN</formula2>
    </dataValidation>
    <dataValidation type="whole" allowBlank="1" showInputMessage="1" showErrorMessage="1" sqref="AU19">
      <formula1>0</formula1>
      <formula2>NaN</formula2>
    </dataValidation>
    <dataValidation type="whole" allowBlank="1" showInputMessage="1" showErrorMessage="1" sqref="AU20">
      <formula1>0</formula1>
      <formula2>NaN</formula2>
    </dataValidation>
    <dataValidation type="whole" allowBlank="1" showInputMessage="1" showErrorMessage="1" sqref="AU21">
      <formula1>0</formula1>
      <formula2>NaN</formula2>
    </dataValidation>
    <dataValidation type="whole" allowBlank="1" showInputMessage="1" showErrorMessage="1" sqref="AU22">
      <formula1>0</formula1>
      <formula2>NaN</formula2>
    </dataValidation>
    <dataValidation type="whole" allowBlank="1" showInputMessage="1" showErrorMessage="1" sqref="AU23">
      <formula1>0</formula1>
      <formula2>NaN</formula2>
    </dataValidation>
    <dataValidation type="whole" allowBlank="1" showInputMessage="1" showErrorMessage="1" sqref="AU24">
      <formula1>0</formula1>
      <formula2>NaN</formula2>
    </dataValidation>
    <dataValidation type="whole" allowBlank="1" showInputMessage="1" showErrorMessage="1" sqref="AU25">
      <formula1>0</formula1>
      <formula2>NaN</formula2>
    </dataValidation>
    <dataValidation type="whole" allowBlank="1" showInputMessage="1" showErrorMessage="1" sqref="AU26">
      <formula1>0</formula1>
      <formula2>NaN</formula2>
    </dataValidation>
    <dataValidation type="whole" allowBlank="1" showInputMessage="1" showErrorMessage="1" sqref="AU27">
      <formula1>0</formula1>
      <formula2>NaN</formula2>
    </dataValidation>
    <dataValidation type="whole" allowBlank="1" showInputMessage="1" showErrorMessage="1" sqref="AU28">
      <formula1>0</formula1>
      <formula2>NaN</formula2>
    </dataValidation>
    <dataValidation type="whole" allowBlank="1" showInputMessage="1" showErrorMessage="1" sqref="AU29">
      <formula1>0</formula1>
      <formula2>NaN</formula2>
    </dataValidation>
    <dataValidation type="whole" allowBlank="1" showInputMessage="1" showErrorMessage="1" sqref="AU30">
      <formula1>0</formula1>
      <formula2>NaN</formula2>
    </dataValidation>
    <dataValidation type="whole" allowBlank="1" showInputMessage="1" showErrorMessage="1" sqref="AU31">
      <formula1>0</formula1>
      <formula2>NaN</formula2>
    </dataValidation>
    <dataValidation type="whole" allowBlank="1" showInputMessage="1" showErrorMessage="1" sqref="AU32">
      <formula1>0</formula1>
      <formula2>NaN</formula2>
    </dataValidation>
    <dataValidation type="whole" allowBlank="1" showInputMessage="1" showErrorMessage="1" sqref="AU33">
      <formula1>0</formula1>
      <formula2>NaN</formula2>
    </dataValidation>
    <dataValidation type="whole" allowBlank="1" showInputMessage="1" showErrorMessage="1" sqref="AU34">
      <formula1>0</formula1>
      <formula2>NaN</formula2>
    </dataValidation>
    <dataValidation type="whole" allowBlank="1" showInputMessage="1" showErrorMessage="1" sqref="AU35">
      <formula1>0</formula1>
      <formula2>NaN</formula2>
    </dataValidation>
    <dataValidation type="whole" allowBlank="1" showInputMessage="1" showErrorMessage="1" sqref="AU36">
      <formula1>0</formula1>
      <formula2>NaN</formula2>
    </dataValidation>
    <dataValidation type="whole" allowBlank="1" showInputMessage="1" showErrorMessage="1" sqref="AU37">
      <formula1>0</formula1>
      <formula2>NaN</formula2>
    </dataValidation>
    <dataValidation type="whole" allowBlank="1" showInputMessage="1" showErrorMessage="1" sqref="AU38">
      <formula1>0</formula1>
      <formula2>NaN</formula2>
    </dataValidation>
    <dataValidation type="whole" allowBlank="1" showInputMessage="1" showErrorMessage="1" sqref="AU39">
      <formula1>0</formula1>
      <formula2>NaN</formula2>
    </dataValidation>
    <dataValidation type="whole" allowBlank="1" showInputMessage="1" showErrorMessage="1" sqref="AU40">
      <formula1>0</formula1>
      <formula2>NaN</formula2>
    </dataValidation>
    <dataValidation type="whole" allowBlank="1" showInputMessage="1" showErrorMessage="1" sqref="AU41">
      <formula1>0</formula1>
      <formula2>NaN</formula2>
    </dataValidation>
    <dataValidation type="whole" allowBlank="1" showInputMessage="1" showErrorMessage="1" sqref="AU42">
      <formula1>0</formula1>
      <formula2>NaN</formula2>
    </dataValidation>
    <dataValidation type="whole" allowBlank="1" showInputMessage="1" showErrorMessage="1" sqref="AU43">
      <formula1>0</formula1>
      <formula2>NaN</formula2>
    </dataValidation>
    <dataValidation type="whole" allowBlank="1" showInputMessage="1" showErrorMessage="1" sqref="AU44">
      <formula1>0</formula1>
      <formula2>NaN</formula2>
    </dataValidation>
    <dataValidation type="whole" allowBlank="1" showInputMessage="1" showErrorMessage="1" sqref="AU45">
      <formula1>0</formula1>
      <formula2>NaN</formula2>
    </dataValidation>
    <dataValidation type="whole" allowBlank="1" showInputMessage="1" showErrorMessage="1" sqref="AU46">
      <formula1>0</formula1>
      <formula2>NaN</formula2>
    </dataValidation>
    <dataValidation type="whole" allowBlank="1" showInputMessage="1" showErrorMessage="1" sqref="AU47">
      <formula1>0</formula1>
      <formula2>NaN</formula2>
    </dataValidation>
    <dataValidation type="whole" allowBlank="1" showInputMessage="1" showErrorMessage="1" sqref="AU48">
      <formula1>0</formula1>
      <formula2>NaN</formula2>
    </dataValidation>
    <dataValidation type="whole" allowBlank="1" showInputMessage="1" showErrorMessage="1" sqref="AU49">
      <formula1>0</formula1>
      <formula2>NaN</formula2>
    </dataValidation>
    <dataValidation type="whole" allowBlank="1" showInputMessage="1" showErrorMessage="1" sqref="AU50">
      <formula1>0</formula1>
      <formula2>NaN</formula2>
    </dataValidation>
    <dataValidation type="whole" allowBlank="1" showInputMessage="1" showErrorMessage="1" sqref="AU51">
      <formula1>0</formula1>
      <formula2>NaN</formula2>
    </dataValidation>
    <dataValidation type="whole" allowBlank="1" showInputMessage="1" showErrorMessage="1" sqref="AU52">
      <formula1>0</formula1>
      <formula2>NaN</formula2>
    </dataValidation>
    <dataValidation type="whole" allowBlank="1" showInputMessage="1" showErrorMessage="1" sqref="AU53">
      <formula1>0</formula1>
      <formula2>NaN</formula2>
    </dataValidation>
    <dataValidation type="whole" allowBlank="1" showInputMessage="1" showErrorMessage="1" sqref="AU54">
      <formula1>0</formula1>
      <formula2>NaN</formula2>
    </dataValidation>
    <dataValidation type="whole" allowBlank="1" showInputMessage="1" showErrorMessage="1" sqref="AU55">
      <formula1>0</formula1>
      <formula2>NaN</formula2>
    </dataValidation>
    <dataValidation type="whole" allowBlank="1" showInputMessage="1" showErrorMessage="1" sqref="AU56">
      <formula1>0</formula1>
      <formula2>NaN</formula2>
    </dataValidation>
    <dataValidation type="whole" allowBlank="1" showInputMessage="1" showErrorMessage="1" sqref="AU57">
      <formula1>0</formula1>
      <formula2>NaN</formula2>
    </dataValidation>
    <dataValidation type="whole" allowBlank="1" showInputMessage="1" showErrorMessage="1" sqref="AU58">
      <formula1>0</formula1>
      <formula2>NaN</formula2>
    </dataValidation>
    <dataValidation type="whole" allowBlank="1" showInputMessage="1" showErrorMessage="1" sqref="AU59">
      <formula1>0</formula1>
      <formula2>NaN</formula2>
    </dataValidation>
    <dataValidation type="whole" allowBlank="1" showInputMessage="1" showErrorMessage="1" sqref="AU60">
      <formula1>0</formula1>
      <formula2>NaN</formula2>
    </dataValidation>
    <dataValidation type="whole" allowBlank="1" showInputMessage="1" showErrorMessage="1" sqref="AU61">
      <formula1>0</formula1>
      <formula2>NaN</formula2>
    </dataValidation>
    <dataValidation type="whole" allowBlank="1" showInputMessage="1" showErrorMessage="1" sqref="AU62">
      <formula1>0</formula1>
      <formula2>NaN</formula2>
    </dataValidation>
    <dataValidation type="whole" allowBlank="1" showInputMessage="1" showErrorMessage="1" sqref="AU63">
      <formula1>0</formula1>
      <formula2>NaN</formula2>
    </dataValidation>
    <dataValidation type="whole" allowBlank="1" showInputMessage="1" showErrorMessage="1" sqref="AU64">
      <formula1>0</formula1>
      <formula2>NaN</formula2>
    </dataValidation>
    <dataValidation type="whole" allowBlank="1" showInputMessage="1" showErrorMessage="1" sqref="AU65">
      <formula1>0</formula1>
      <formula2>NaN</formula2>
    </dataValidation>
    <dataValidation type="whole" allowBlank="1" showInputMessage="1" showErrorMessage="1" sqref="AU66">
      <formula1>0</formula1>
      <formula2>NaN</formula2>
    </dataValidation>
    <dataValidation type="whole" allowBlank="1" showInputMessage="1" showErrorMessage="1" sqref="AU67">
      <formula1>0</formula1>
      <formula2>NaN</formula2>
    </dataValidation>
    <dataValidation type="whole" allowBlank="1" showInputMessage="1" showErrorMessage="1" sqref="AU68">
      <formula1>0</formula1>
      <formula2>NaN</formula2>
    </dataValidation>
    <dataValidation type="whole" allowBlank="1" showInputMessage="1" showErrorMessage="1" sqref="AU9">
      <formula1>0</formula1>
      <formula2>NaN</formula2>
    </dataValidation>
    <dataValidation type="whole" allowBlank="1" showInputMessage="1" showErrorMessage="1" sqref="AV10">
      <formula1>0</formula1>
      <formula2>NaN</formula2>
    </dataValidation>
    <dataValidation type="whole" allowBlank="1" showInputMessage="1" showErrorMessage="1" sqref="AV11">
      <formula1>0</formula1>
      <formula2>NaN</formula2>
    </dataValidation>
    <dataValidation type="whole" allowBlank="1" showInputMessage="1" showErrorMessage="1" sqref="AV12">
      <formula1>0</formula1>
      <formula2>NaN</formula2>
    </dataValidation>
    <dataValidation type="whole" allowBlank="1" showInputMessage="1" showErrorMessage="1" sqref="AV13">
      <formula1>0</formula1>
      <formula2>NaN</formula2>
    </dataValidation>
    <dataValidation type="whole" allowBlank="1" showInputMessage="1" showErrorMessage="1" sqref="AV14">
      <formula1>0</formula1>
      <formula2>NaN</formula2>
    </dataValidation>
    <dataValidation type="whole" allowBlank="1" showInputMessage="1" showErrorMessage="1" sqref="AV15">
      <formula1>0</formula1>
      <formula2>NaN</formula2>
    </dataValidation>
    <dataValidation type="whole" allowBlank="1" showInputMessage="1" showErrorMessage="1" sqref="AV16">
      <formula1>0</formula1>
      <formula2>NaN</formula2>
    </dataValidation>
    <dataValidation type="whole" allowBlank="1" showInputMessage="1" showErrorMessage="1" sqref="AV17">
      <formula1>0</formula1>
      <formula2>NaN</formula2>
    </dataValidation>
    <dataValidation type="whole" allowBlank="1" showInputMessage="1" showErrorMessage="1" sqref="AV18">
      <formula1>0</formula1>
      <formula2>NaN</formula2>
    </dataValidation>
    <dataValidation type="whole" allowBlank="1" showInputMessage="1" showErrorMessage="1" sqref="AV19">
      <formula1>0</formula1>
      <formula2>NaN</formula2>
    </dataValidation>
    <dataValidation type="whole" allowBlank="1" showInputMessage="1" showErrorMessage="1" sqref="AV20">
      <formula1>0</formula1>
      <formula2>NaN</formula2>
    </dataValidation>
    <dataValidation type="whole" allowBlank="1" showInputMessage="1" showErrorMessage="1" sqref="AV21">
      <formula1>0</formula1>
      <formula2>NaN</formula2>
    </dataValidation>
    <dataValidation type="whole" allowBlank="1" showInputMessage="1" showErrorMessage="1" sqref="AV22">
      <formula1>0</formula1>
      <formula2>NaN</formula2>
    </dataValidation>
    <dataValidation type="whole" allowBlank="1" showInputMessage="1" showErrorMessage="1" sqref="AV23">
      <formula1>0</formula1>
      <formula2>NaN</formula2>
    </dataValidation>
    <dataValidation type="whole" allowBlank="1" showInputMessage="1" showErrorMessage="1" sqref="AV24">
      <formula1>0</formula1>
      <formula2>NaN</formula2>
    </dataValidation>
    <dataValidation type="whole" allowBlank="1" showInputMessage="1" showErrorMessage="1" sqref="AV25">
      <formula1>0</formula1>
      <formula2>NaN</formula2>
    </dataValidation>
    <dataValidation type="whole" allowBlank="1" showInputMessage="1" showErrorMessage="1" sqref="AV26">
      <formula1>0</formula1>
      <formula2>NaN</formula2>
    </dataValidation>
    <dataValidation type="whole" allowBlank="1" showInputMessage="1" showErrorMessage="1" sqref="AV27">
      <formula1>0</formula1>
      <formula2>NaN</formula2>
    </dataValidation>
    <dataValidation type="whole" allowBlank="1" showInputMessage="1" showErrorMessage="1" sqref="AV28">
      <formula1>0</formula1>
      <formula2>NaN</formula2>
    </dataValidation>
    <dataValidation type="whole" allowBlank="1" showInputMessage="1" showErrorMessage="1" sqref="AV29">
      <formula1>0</formula1>
      <formula2>NaN</formula2>
    </dataValidation>
    <dataValidation type="whole" allowBlank="1" showInputMessage="1" showErrorMessage="1" sqref="AV30">
      <formula1>0</formula1>
      <formula2>NaN</formula2>
    </dataValidation>
    <dataValidation type="whole" allowBlank="1" showInputMessage="1" showErrorMessage="1" sqref="AV31">
      <formula1>0</formula1>
      <formula2>NaN</formula2>
    </dataValidation>
    <dataValidation type="whole" allowBlank="1" showInputMessage="1" showErrorMessage="1" sqref="AV32">
      <formula1>0</formula1>
      <formula2>NaN</formula2>
    </dataValidation>
    <dataValidation type="whole" allowBlank="1" showInputMessage="1" showErrorMessage="1" sqref="AV33">
      <formula1>0</formula1>
      <formula2>NaN</formula2>
    </dataValidation>
    <dataValidation type="whole" allowBlank="1" showInputMessage="1" showErrorMessage="1" sqref="AV34">
      <formula1>0</formula1>
      <formula2>NaN</formula2>
    </dataValidation>
    <dataValidation type="whole" allowBlank="1" showInputMessage="1" showErrorMessage="1" sqref="AV35">
      <formula1>0</formula1>
      <formula2>NaN</formula2>
    </dataValidation>
    <dataValidation type="whole" allowBlank="1" showInputMessage="1" showErrorMessage="1" sqref="AV36">
      <formula1>0</formula1>
      <formula2>NaN</formula2>
    </dataValidation>
    <dataValidation type="whole" allowBlank="1" showInputMessage="1" showErrorMessage="1" sqref="AV37">
      <formula1>0</formula1>
      <formula2>NaN</formula2>
    </dataValidation>
    <dataValidation type="whole" allowBlank="1" showInputMessage="1" showErrorMessage="1" sqref="AV38">
      <formula1>0</formula1>
      <formula2>NaN</formula2>
    </dataValidation>
    <dataValidation type="whole" allowBlank="1" showInputMessage="1" showErrorMessage="1" sqref="AV39">
      <formula1>0</formula1>
      <formula2>NaN</formula2>
    </dataValidation>
    <dataValidation type="whole" allowBlank="1" showInputMessage="1" showErrorMessage="1" sqref="AV40">
      <formula1>0</formula1>
      <formula2>NaN</formula2>
    </dataValidation>
    <dataValidation type="whole" allowBlank="1" showInputMessage="1" showErrorMessage="1" sqref="AV41">
      <formula1>0</formula1>
      <formula2>NaN</formula2>
    </dataValidation>
    <dataValidation type="whole" allowBlank="1" showInputMessage="1" showErrorMessage="1" sqref="AV42">
      <formula1>0</formula1>
      <formula2>NaN</formula2>
    </dataValidation>
    <dataValidation type="whole" allowBlank="1" showInputMessage="1" showErrorMessage="1" sqref="AV43">
      <formula1>0</formula1>
      <formula2>NaN</formula2>
    </dataValidation>
    <dataValidation type="whole" allowBlank="1" showInputMessage="1" showErrorMessage="1" sqref="AV44">
      <formula1>0</formula1>
      <formula2>NaN</formula2>
    </dataValidation>
    <dataValidation type="whole" allowBlank="1" showInputMessage="1" showErrorMessage="1" sqref="AV45">
      <formula1>0</formula1>
      <formula2>NaN</formula2>
    </dataValidation>
    <dataValidation type="whole" allowBlank="1" showInputMessage="1" showErrorMessage="1" sqref="AV46">
      <formula1>0</formula1>
      <formula2>NaN</formula2>
    </dataValidation>
    <dataValidation type="whole" allowBlank="1" showInputMessage="1" showErrorMessage="1" sqref="AV47">
      <formula1>0</formula1>
      <formula2>NaN</formula2>
    </dataValidation>
    <dataValidation type="whole" allowBlank="1" showInputMessage="1" showErrorMessage="1" sqref="AV48">
      <formula1>0</formula1>
      <formula2>NaN</formula2>
    </dataValidation>
    <dataValidation type="whole" allowBlank="1" showInputMessage="1" showErrorMessage="1" sqref="AV49">
      <formula1>0</formula1>
      <formula2>NaN</formula2>
    </dataValidation>
    <dataValidation type="whole" allowBlank="1" showInputMessage="1" showErrorMessage="1" sqref="AV50">
      <formula1>0</formula1>
      <formula2>NaN</formula2>
    </dataValidation>
    <dataValidation type="whole" allowBlank="1" showInputMessage="1" showErrorMessage="1" sqref="AV51">
      <formula1>0</formula1>
      <formula2>NaN</formula2>
    </dataValidation>
    <dataValidation type="whole" allowBlank="1" showInputMessage="1" showErrorMessage="1" sqref="AV52">
      <formula1>0</formula1>
      <formula2>NaN</formula2>
    </dataValidation>
    <dataValidation type="whole" allowBlank="1" showInputMessage="1" showErrorMessage="1" sqref="AV53">
      <formula1>0</formula1>
      <formula2>NaN</formula2>
    </dataValidation>
    <dataValidation type="whole" allowBlank="1" showInputMessage="1" showErrorMessage="1" sqref="AV54">
      <formula1>0</formula1>
      <formula2>NaN</formula2>
    </dataValidation>
    <dataValidation type="whole" allowBlank="1" showInputMessage="1" showErrorMessage="1" sqref="AV55">
      <formula1>0</formula1>
      <formula2>NaN</formula2>
    </dataValidation>
    <dataValidation type="whole" allowBlank="1" showInputMessage="1" showErrorMessage="1" sqref="AV56">
      <formula1>0</formula1>
      <formula2>NaN</formula2>
    </dataValidation>
    <dataValidation type="whole" allowBlank="1" showInputMessage="1" showErrorMessage="1" sqref="AV57">
      <formula1>0</formula1>
      <formula2>NaN</formula2>
    </dataValidation>
    <dataValidation type="whole" allowBlank="1" showInputMessage="1" showErrorMessage="1" sqref="AV58">
      <formula1>0</formula1>
      <formula2>NaN</formula2>
    </dataValidation>
    <dataValidation type="whole" allowBlank="1" showInputMessage="1" showErrorMessage="1" sqref="AV59">
      <formula1>0</formula1>
      <formula2>NaN</formula2>
    </dataValidation>
    <dataValidation type="whole" allowBlank="1" showInputMessage="1" showErrorMessage="1" sqref="AV60">
      <formula1>0</formula1>
      <formula2>NaN</formula2>
    </dataValidation>
    <dataValidation type="whole" allowBlank="1" showInputMessage="1" showErrorMessage="1" sqref="AV61">
      <formula1>0</formula1>
      <formula2>NaN</formula2>
    </dataValidation>
    <dataValidation type="whole" allowBlank="1" showInputMessage="1" showErrorMessage="1" sqref="AV62">
      <formula1>0</formula1>
      <formula2>NaN</formula2>
    </dataValidation>
    <dataValidation type="whole" allowBlank="1" showInputMessage="1" showErrorMessage="1" sqref="AV63">
      <formula1>0</formula1>
      <formula2>NaN</formula2>
    </dataValidation>
    <dataValidation type="whole" allowBlank="1" showInputMessage="1" showErrorMessage="1" sqref="AV64">
      <formula1>0</formula1>
      <formula2>NaN</formula2>
    </dataValidation>
    <dataValidation type="whole" allowBlank="1" showInputMessage="1" showErrorMessage="1" sqref="AV65">
      <formula1>0</formula1>
      <formula2>NaN</formula2>
    </dataValidation>
    <dataValidation type="whole" allowBlank="1" showInputMessage="1" showErrorMessage="1" sqref="AV66">
      <formula1>0</formula1>
      <formula2>NaN</formula2>
    </dataValidation>
    <dataValidation type="whole" allowBlank="1" showInputMessage="1" showErrorMessage="1" sqref="AV67">
      <formula1>0</formula1>
      <formula2>NaN</formula2>
    </dataValidation>
    <dataValidation type="whole" allowBlank="1" showInputMessage="1" showErrorMessage="1" sqref="AV68">
      <formula1>0</formula1>
      <formula2>NaN</formula2>
    </dataValidation>
    <dataValidation type="whole" allowBlank="1" showInputMessage="1" showErrorMessage="1" sqref="AV9">
      <formula1>0</formula1>
      <formula2>NaN</formula2>
    </dataValidation>
    <dataValidation showInputMessage="1" prompt="Percentage Score" showErrorMessage="1" sqref="AZ5"/>
    <dataValidation showInputMessage="1" prompt="Weighted Score" showErrorMessage="1" sqref="BA5"/>
    <dataValidation type="custom" allowBlank="1" showInputMessage="1" showErrorMessage="1" sqref="BB10:BB68">
      <formula1>AND($AY9&lt;&gt;"",ROUND(SUM(AA9,AS9,BA9),2)&lt;70,$BB9&lt;=$BB$6)</formula1>
    </dataValidation>
    <dataValidation showInputMessage="1" prompt="Input possible highest score here" showErrorMessage="1" sqref="BB6:BB7"/>
    <dataValidation showInputMessage="1" prompt="Input date here" showErrorMessage="1" sqref="BB8"/>
    <dataValidation type="custom" allowBlank="1" showInputMessage="1" showErrorMessage="1" sqref="BB9:BB68">
      <formula1>AND($AY9&lt;&gt;"",ROUND(SUM(AA9,AS9,BA9),2)&lt;70,$BB9&lt;=$BB$6)</formula1>
    </dataValidation>
    <dataValidation showInputMessage="1" prompt="Percentage Score" showErrorMessage="1" sqref="BC5"/>
    <dataValidation type="whole" allowBlank="1" showInputMessage="1" showErrorMessage="1" sqref="E10">
      <formula1>0</formula1>
      <formula2>NaN</formula2>
    </dataValidation>
    <dataValidation type="whole" allowBlank="1" showInputMessage="1" showErrorMessage="1" sqref="E11">
      <formula1>0</formula1>
      <formula2>NaN</formula2>
    </dataValidation>
    <dataValidation type="whole" allowBlank="1" showInputMessage="1" showErrorMessage="1" sqref="E12">
      <formula1>0</formula1>
      <formula2>NaN</formula2>
    </dataValidation>
    <dataValidation type="whole" allowBlank="1" showInputMessage="1" showErrorMessage="1" sqref="E13">
      <formula1>0</formula1>
      <formula2>NaN</formula2>
    </dataValidation>
    <dataValidation type="whole" allowBlank="1" showInputMessage="1" showErrorMessage="1" sqref="E14">
      <formula1>0</formula1>
      <formula2>NaN</formula2>
    </dataValidation>
    <dataValidation type="whole" allowBlank="1" showInputMessage="1" showErrorMessage="1" sqref="E15">
      <formula1>0</formula1>
      <formula2>NaN</formula2>
    </dataValidation>
    <dataValidation type="whole" allowBlank="1" showInputMessage="1" showErrorMessage="1" sqref="E16">
      <formula1>0</formula1>
      <formula2>NaN</formula2>
    </dataValidation>
    <dataValidation type="whole" allowBlank="1" showInputMessage="1" showErrorMessage="1" sqref="E17">
      <formula1>0</formula1>
      <formula2>NaN</formula2>
    </dataValidation>
    <dataValidation type="whole" allowBlank="1" showInputMessage="1" showErrorMessage="1" sqref="E18">
      <formula1>0</formula1>
      <formula2>NaN</formula2>
    </dataValidation>
    <dataValidation type="whole" allowBlank="1" showInputMessage="1" showErrorMessage="1" sqref="E19">
      <formula1>0</formula1>
      <formula2>NaN</formula2>
    </dataValidation>
    <dataValidation type="whole" allowBlank="1" showInputMessage="1" showErrorMessage="1" sqref="E20">
      <formula1>0</formula1>
      <formula2>NaN</formula2>
    </dataValidation>
    <dataValidation type="whole" allowBlank="1" showInputMessage="1" showErrorMessage="1" sqref="E21">
      <formula1>0</formula1>
      <formula2>NaN</formula2>
    </dataValidation>
    <dataValidation type="whole" allowBlank="1" showInputMessage="1" showErrorMessage="1" sqref="E22">
      <formula1>0</formula1>
      <formula2>NaN</formula2>
    </dataValidation>
    <dataValidation type="whole" allowBlank="1" showInputMessage="1" showErrorMessage="1" sqref="E23">
      <formula1>0</formula1>
      <formula2>NaN</formula2>
    </dataValidation>
    <dataValidation type="whole" allowBlank="1" showInputMessage="1" showErrorMessage="1" sqref="E24">
      <formula1>0</formula1>
      <formula2>NaN</formula2>
    </dataValidation>
    <dataValidation type="whole" allowBlank="1" showInputMessage="1" showErrorMessage="1" sqref="E25">
      <formula1>0</formula1>
      <formula2>NaN</formula2>
    </dataValidation>
    <dataValidation type="whole" allowBlank="1" showInputMessage="1" showErrorMessage="1" sqref="E26">
      <formula1>0</formula1>
      <formula2>NaN</formula2>
    </dataValidation>
    <dataValidation type="whole" allowBlank="1" showInputMessage="1" showErrorMessage="1" sqref="E27">
      <formula1>0</formula1>
      <formula2>NaN</formula2>
    </dataValidation>
    <dataValidation type="whole" allowBlank="1" showInputMessage="1" showErrorMessage="1" sqref="E28">
      <formula1>0</formula1>
      <formula2>NaN</formula2>
    </dataValidation>
    <dataValidation type="whole" allowBlank="1" showInputMessage="1" showErrorMessage="1" sqref="E29">
      <formula1>0</formula1>
      <formula2>NaN</formula2>
    </dataValidation>
    <dataValidation type="whole" allowBlank="1" showInputMessage="1" showErrorMessage="1" sqref="E30">
      <formula1>0</formula1>
      <formula2>NaN</formula2>
    </dataValidation>
    <dataValidation type="whole" allowBlank="1" showInputMessage="1" showErrorMessage="1" sqref="E31">
      <formula1>0</formula1>
      <formula2>NaN</formula2>
    </dataValidation>
    <dataValidation type="whole" allowBlank="1" showInputMessage="1" showErrorMessage="1" sqref="E32">
      <formula1>0</formula1>
      <formula2>NaN</formula2>
    </dataValidation>
    <dataValidation type="whole" allowBlank="1" showInputMessage="1" showErrorMessage="1" sqref="E33">
      <formula1>0</formula1>
      <formula2>NaN</formula2>
    </dataValidation>
    <dataValidation type="whole" allowBlank="1" showInputMessage="1" showErrorMessage="1" sqref="E34">
      <formula1>0</formula1>
      <formula2>NaN</formula2>
    </dataValidation>
    <dataValidation type="whole" allowBlank="1" showInputMessage="1" showErrorMessage="1" sqref="E35">
      <formula1>0</formula1>
      <formula2>NaN</formula2>
    </dataValidation>
    <dataValidation type="whole" allowBlank="1" showInputMessage="1" showErrorMessage="1" sqref="E36">
      <formula1>0</formula1>
      <formula2>NaN</formula2>
    </dataValidation>
    <dataValidation type="whole" allowBlank="1" showInputMessage="1" showErrorMessage="1" sqref="E37">
      <formula1>0</formula1>
      <formula2>NaN</formula2>
    </dataValidation>
    <dataValidation type="whole" allowBlank="1" showInputMessage="1" showErrorMessage="1" sqref="E38">
      <formula1>0</formula1>
      <formula2>NaN</formula2>
    </dataValidation>
    <dataValidation type="whole" allowBlank="1" showInputMessage="1" showErrorMessage="1" sqref="E39">
      <formula1>0</formula1>
      <formula2>NaN</formula2>
    </dataValidation>
    <dataValidation type="whole" allowBlank="1" showInputMessage="1" showErrorMessage="1" sqref="E40">
      <formula1>0</formula1>
      <formula2>NaN</formula2>
    </dataValidation>
    <dataValidation type="whole" allowBlank="1" showInputMessage="1" showErrorMessage="1" sqref="E41">
      <formula1>0</formula1>
      <formula2>NaN</formula2>
    </dataValidation>
    <dataValidation type="whole" allowBlank="1" showInputMessage="1" showErrorMessage="1" sqref="E42">
      <formula1>0</formula1>
      <formula2>NaN</formula2>
    </dataValidation>
    <dataValidation type="whole" allowBlank="1" showInputMessage="1" showErrorMessage="1" sqref="E43">
      <formula1>0</formula1>
      <formula2>NaN</formula2>
    </dataValidation>
    <dataValidation type="whole" allowBlank="1" showInputMessage="1" showErrorMessage="1" sqref="E44">
      <formula1>0</formula1>
      <formula2>NaN</formula2>
    </dataValidation>
    <dataValidation type="whole" allowBlank="1" showInputMessage="1" showErrorMessage="1" sqref="E45">
      <formula1>0</formula1>
      <formula2>NaN</formula2>
    </dataValidation>
    <dataValidation type="whole" allowBlank="1" showInputMessage="1" showErrorMessage="1" sqref="E46">
      <formula1>0</formula1>
      <formula2>NaN</formula2>
    </dataValidation>
    <dataValidation type="whole" allowBlank="1" showInputMessage="1" showErrorMessage="1" sqref="E47">
      <formula1>0</formula1>
      <formula2>NaN</formula2>
    </dataValidation>
    <dataValidation type="whole" allowBlank="1" showInputMessage="1" showErrorMessage="1" sqref="E48">
      <formula1>0</formula1>
      <formula2>NaN</formula2>
    </dataValidation>
    <dataValidation type="whole" allowBlank="1" showInputMessage="1" showErrorMessage="1" sqref="E49">
      <formula1>0</formula1>
      <formula2>NaN</formula2>
    </dataValidation>
    <dataValidation type="whole" allowBlank="1" showInputMessage="1" showErrorMessage="1" sqref="E50">
      <formula1>0</formula1>
      <formula2>NaN</formula2>
    </dataValidation>
    <dataValidation type="whole" allowBlank="1" showInputMessage="1" showErrorMessage="1" sqref="E51">
      <formula1>0</formula1>
      <formula2>NaN</formula2>
    </dataValidation>
    <dataValidation type="whole" allowBlank="1" showInputMessage="1" showErrorMessage="1" sqref="E52">
      <formula1>0</formula1>
      <formula2>NaN</formula2>
    </dataValidation>
    <dataValidation type="whole" allowBlank="1" showInputMessage="1" showErrorMessage="1" sqref="E53">
      <formula1>0</formula1>
      <formula2>NaN</formula2>
    </dataValidation>
    <dataValidation type="whole" allowBlank="1" showInputMessage="1" showErrorMessage="1" sqref="E54">
      <formula1>0</formula1>
      <formula2>NaN</formula2>
    </dataValidation>
    <dataValidation type="whole" allowBlank="1" showInputMessage="1" showErrorMessage="1" sqref="E55">
      <formula1>0</formula1>
      <formula2>NaN</formula2>
    </dataValidation>
    <dataValidation type="whole" allowBlank="1" showInputMessage="1" showErrorMessage="1" sqref="E56">
      <formula1>0</formula1>
      <formula2>NaN</formula2>
    </dataValidation>
    <dataValidation type="whole" allowBlank="1" showInputMessage="1" showErrorMessage="1" sqref="E57">
      <formula1>0</formula1>
      <formula2>NaN</formula2>
    </dataValidation>
    <dataValidation type="whole" allowBlank="1" showInputMessage="1" showErrorMessage="1" sqref="E58">
      <formula1>0</formula1>
      <formula2>NaN</formula2>
    </dataValidation>
    <dataValidation type="whole" allowBlank="1" showInputMessage="1" showErrorMessage="1" sqref="E59">
      <formula1>0</formula1>
      <formula2>NaN</formula2>
    </dataValidation>
    <dataValidation showInputMessage="1" prompt="Input possible highest score here" showErrorMessage="1" sqref="E6:X6"/>
    <dataValidation type="whole" allowBlank="1" showInputMessage="1" showErrorMessage="1" sqref="E60">
      <formula1>0</formula1>
      <formula2>NaN</formula2>
    </dataValidation>
    <dataValidation type="whole" allowBlank="1" showInputMessage="1" showErrorMessage="1" sqref="E61">
      <formula1>0</formula1>
      <formula2>NaN</formula2>
    </dataValidation>
    <dataValidation type="whole" allowBlank="1" showInputMessage="1" showErrorMessage="1" sqref="E62">
      <formula1>0</formula1>
      <formula2>NaN</formula2>
    </dataValidation>
    <dataValidation type="whole" allowBlank="1" showInputMessage="1" showErrorMessage="1" sqref="E63">
      <formula1>0</formula1>
      <formula2>NaN</formula2>
    </dataValidation>
    <dataValidation type="whole" allowBlank="1" showInputMessage="1" showErrorMessage="1" sqref="E64">
      <formula1>0</formula1>
      <formula2>NaN</formula2>
    </dataValidation>
    <dataValidation type="whole" allowBlank="1" showInputMessage="1" showErrorMessage="1" sqref="E65">
      <formula1>0</formula1>
      <formula2>NaN</formula2>
    </dataValidation>
    <dataValidation type="whole" allowBlank="1" showInputMessage="1" showErrorMessage="1" sqref="E66">
      <formula1>0</formula1>
      <formula2>NaN</formula2>
    </dataValidation>
    <dataValidation type="whole" allowBlank="1" showInputMessage="1" showErrorMessage="1" sqref="E67">
      <formula1>0</formula1>
      <formula2>NaN</formula2>
    </dataValidation>
    <dataValidation type="whole" allowBlank="1" showInputMessage="1" showErrorMessage="1" sqref="E68">
      <formula1>0</formula1>
      <formula2>NaN</formula2>
    </dataValidation>
    <dataValidation type="date" allowBlank="1" showInputMessage="1" prompt="Input date here_x000a_" showErrorMessage="1" sqref="E7:X7">
      <formula1>1</formula1>
      <formula2>NaN</formula2>
    </dataValidation>
    <dataValidation showInputMessage="1" prompt="Personal Remarks for FMs – You may enter any remarks here. Sample tags include:_x000a_ _x000a_A1 - Activity 1_x000a_REC1 - Recitation 1_x000a_Q1 - Quiz 1_x000a_1L1 - 01 LMS Activity 1" showErrorMessage="1" sqref="E8:X8"/>
    <dataValidation type="whole" allowBlank="1" showInputMessage="1" showErrorMessage="1" sqref="E9">
      <formula1>0</formula1>
      <formula2>NaN</formula2>
    </dataValidation>
    <dataValidation type="whole" allowBlank="1" showInputMessage="1" showErrorMessage="1" sqref="F10">
      <formula1>0</formula1>
      <formula2>NaN</formula2>
    </dataValidation>
    <dataValidation type="whole" allowBlank="1" showInputMessage="1" showErrorMessage="1" sqref="F11">
      <formula1>0</formula1>
      <formula2>NaN</formula2>
    </dataValidation>
    <dataValidation type="whole" allowBlank="1" showInputMessage="1" showErrorMessage="1" sqref="F12">
      <formula1>0</formula1>
      <formula2>NaN</formula2>
    </dataValidation>
    <dataValidation type="whole" allowBlank="1" showInputMessage="1" showErrorMessage="1" sqref="F13">
      <formula1>0</formula1>
      <formula2>NaN</formula2>
    </dataValidation>
    <dataValidation type="whole" allowBlank="1" showInputMessage="1" showErrorMessage="1" sqref="F14">
      <formula1>0</formula1>
      <formula2>NaN</formula2>
    </dataValidation>
    <dataValidation type="whole" allowBlank="1" showInputMessage="1" showErrorMessage="1" sqref="F15">
      <formula1>0</formula1>
      <formula2>NaN</formula2>
    </dataValidation>
    <dataValidation type="whole" allowBlank="1" showInputMessage="1" showErrorMessage="1" sqref="F16">
      <formula1>0</formula1>
      <formula2>NaN</formula2>
    </dataValidation>
    <dataValidation type="whole" allowBlank="1" showInputMessage="1" showErrorMessage="1" sqref="F17">
      <formula1>0</formula1>
      <formula2>NaN</formula2>
    </dataValidation>
    <dataValidation type="whole" allowBlank="1" showInputMessage="1" showErrorMessage="1" sqref="F18">
      <formula1>0</formula1>
      <formula2>NaN</formula2>
    </dataValidation>
    <dataValidation type="whole" allowBlank="1" showInputMessage="1" showErrorMessage="1" sqref="F19">
      <formula1>0</formula1>
      <formula2>NaN</formula2>
    </dataValidation>
    <dataValidation type="whole" allowBlank="1" showInputMessage="1" showErrorMessage="1" sqref="F20">
      <formula1>0</formula1>
      <formula2>NaN</formula2>
    </dataValidation>
    <dataValidation type="whole" allowBlank="1" showInputMessage="1" showErrorMessage="1" sqref="F21">
      <formula1>0</formula1>
      <formula2>NaN</formula2>
    </dataValidation>
    <dataValidation type="whole" allowBlank="1" showInputMessage="1" showErrorMessage="1" sqref="F22">
      <formula1>0</formula1>
      <formula2>NaN</formula2>
    </dataValidation>
    <dataValidation type="whole" allowBlank="1" showInputMessage="1" showErrorMessage="1" sqref="F23">
      <formula1>0</formula1>
      <formula2>NaN</formula2>
    </dataValidation>
    <dataValidation type="whole" allowBlank="1" showInputMessage="1" showErrorMessage="1" sqref="F24">
      <formula1>0</formula1>
      <formula2>NaN</formula2>
    </dataValidation>
    <dataValidation type="whole" allowBlank="1" showInputMessage="1" showErrorMessage="1" sqref="F25">
      <formula1>0</formula1>
      <formula2>NaN</formula2>
    </dataValidation>
    <dataValidation type="whole" allowBlank="1" showInputMessage="1" showErrorMessage="1" sqref="F26">
      <formula1>0</formula1>
      <formula2>NaN</formula2>
    </dataValidation>
    <dataValidation type="whole" allowBlank="1" showInputMessage="1" showErrorMessage="1" sqref="F27">
      <formula1>0</formula1>
      <formula2>NaN</formula2>
    </dataValidation>
    <dataValidation type="whole" allowBlank="1" showInputMessage="1" showErrorMessage="1" sqref="F28">
      <formula1>0</formula1>
      <formula2>NaN</formula2>
    </dataValidation>
    <dataValidation type="whole" allowBlank="1" showInputMessage="1" showErrorMessage="1" sqref="F29">
      <formula1>0</formula1>
      <formula2>NaN</formula2>
    </dataValidation>
    <dataValidation type="whole" allowBlank="1" showInputMessage="1" showErrorMessage="1" sqref="F30">
      <formula1>0</formula1>
      <formula2>NaN</formula2>
    </dataValidation>
    <dataValidation type="whole" allowBlank="1" showInputMessage="1" showErrorMessage="1" sqref="F31">
      <formula1>0</formula1>
      <formula2>NaN</formula2>
    </dataValidation>
    <dataValidation type="whole" allowBlank="1" showInputMessage="1" showErrorMessage="1" sqref="F32">
      <formula1>0</formula1>
      <formula2>NaN</formula2>
    </dataValidation>
    <dataValidation type="whole" allowBlank="1" showInputMessage="1" showErrorMessage="1" sqref="F33">
      <formula1>0</formula1>
      <formula2>NaN</formula2>
    </dataValidation>
    <dataValidation type="whole" allowBlank="1" showInputMessage="1" showErrorMessage="1" sqref="F34">
      <formula1>0</formula1>
      <formula2>NaN</formula2>
    </dataValidation>
    <dataValidation type="whole" allowBlank="1" showInputMessage="1" showErrorMessage="1" sqref="F35">
      <formula1>0</formula1>
      <formula2>NaN</formula2>
    </dataValidation>
    <dataValidation type="whole" allowBlank="1" showInputMessage="1" showErrorMessage="1" sqref="F36">
      <formula1>0</formula1>
      <formula2>NaN</formula2>
    </dataValidation>
    <dataValidation type="whole" allowBlank="1" showInputMessage="1" showErrorMessage="1" sqref="F37">
      <formula1>0</formula1>
      <formula2>NaN</formula2>
    </dataValidation>
    <dataValidation type="whole" allowBlank="1" showInputMessage="1" showErrorMessage="1" sqref="F38">
      <formula1>0</formula1>
      <formula2>NaN</formula2>
    </dataValidation>
    <dataValidation type="whole" allowBlank="1" showInputMessage="1" showErrorMessage="1" sqref="F39">
      <formula1>0</formula1>
      <formula2>NaN</formula2>
    </dataValidation>
    <dataValidation type="whole" allowBlank="1" showInputMessage="1" showErrorMessage="1" sqref="F40">
      <formula1>0</formula1>
      <formula2>NaN</formula2>
    </dataValidation>
    <dataValidation type="whole" allowBlank="1" showInputMessage="1" showErrorMessage="1" sqref="F41">
      <formula1>0</formula1>
      <formula2>NaN</formula2>
    </dataValidation>
    <dataValidation type="whole" allowBlank="1" showInputMessage="1" showErrorMessage="1" sqref="F42">
      <formula1>0</formula1>
      <formula2>NaN</formula2>
    </dataValidation>
    <dataValidation type="whole" allowBlank="1" showInputMessage="1" showErrorMessage="1" sqref="F43">
      <formula1>0</formula1>
      <formula2>NaN</formula2>
    </dataValidation>
    <dataValidation type="whole" allowBlank="1" showInputMessage="1" showErrorMessage="1" sqref="F44">
      <formula1>0</formula1>
      <formula2>NaN</formula2>
    </dataValidation>
    <dataValidation type="whole" allowBlank="1" showInputMessage="1" showErrorMessage="1" sqref="F45">
      <formula1>0</formula1>
      <formula2>NaN</formula2>
    </dataValidation>
    <dataValidation type="whole" allowBlank="1" showInputMessage="1" showErrorMessage="1" sqref="F46">
      <formula1>0</formula1>
      <formula2>NaN</formula2>
    </dataValidation>
    <dataValidation type="whole" allowBlank="1" showInputMessage="1" showErrorMessage="1" sqref="F47">
      <formula1>0</formula1>
      <formula2>NaN</formula2>
    </dataValidation>
    <dataValidation type="whole" allowBlank="1" showInputMessage="1" showErrorMessage="1" sqref="F48">
      <formula1>0</formula1>
      <formula2>NaN</formula2>
    </dataValidation>
    <dataValidation type="whole" allowBlank="1" showInputMessage="1" showErrorMessage="1" sqref="F49">
      <formula1>0</formula1>
      <formula2>NaN</formula2>
    </dataValidation>
    <dataValidation type="whole" allowBlank="1" showInputMessage="1" showErrorMessage="1" sqref="F50">
      <formula1>0</formula1>
      <formula2>NaN</formula2>
    </dataValidation>
    <dataValidation type="whole" allowBlank="1" showInputMessage="1" showErrorMessage="1" sqref="F51">
      <formula1>0</formula1>
      <formula2>NaN</formula2>
    </dataValidation>
    <dataValidation type="whole" allowBlank="1" showInputMessage="1" showErrorMessage="1" sqref="F52">
      <formula1>0</formula1>
      <formula2>NaN</formula2>
    </dataValidation>
    <dataValidation type="whole" allowBlank="1" showInputMessage="1" showErrorMessage="1" sqref="F53">
      <formula1>0</formula1>
      <formula2>NaN</formula2>
    </dataValidation>
    <dataValidation type="whole" allowBlank="1" showInputMessage="1" showErrorMessage="1" sqref="F54">
      <formula1>0</formula1>
      <formula2>NaN</formula2>
    </dataValidation>
    <dataValidation type="whole" allowBlank="1" showInputMessage="1" showErrorMessage="1" sqref="F55">
      <formula1>0</formula1>
      <formula2>NaN</formula2>
    </dataValidation>
    <dataValidation type="whole" allowBlank="1" showInputMessage="1" showErrorMessage="1" sqref="F56">
      <formula1>0</formula1>
      <formula2>NaN</formula2>
    </dataValidation>
    <dataValidation type="whole" allowBlank="1" showInputMessage="1" showErrorMessage="1" sqref="F57">
      <formula1>0</formula1>
      <formula2>NaN</formula2>
    </dataValidation>
    <dataValidation type="whole" allowBlank="1" showInputMessage="1" showErrorMessage="1" sqref="F58">
      <formula1>0</formula1>
      <formula2>NaN</formula2>
    </dataValidation>
    <dataValidation type="whole" allowBlank="1" showInputMessage="1" showErrorMessage="1" sqref="F59">
      <formula1>0</formula1>
      <formula2>NaN</formula2>
    </dataValidation>
    <dataValidation type="whole" allowBlank="1" showInputMessage="1" showErrorMessage="1" sqref="F60">
      <formula1>0</formula1>
      <formula2>NaN</formula2>
    </dataValidation>
    <dataValidation type="whole" allowBlank="1" showInputMessage="1" showErrorMessage="1" sqref="F61">
      <formula1>0</formula1>
      <formula2>NaN</formula2>
    </dataValidation>
    <dataValidation type="whole" allowBlank="1" showInputMessage="1" showErrorMessage="1" sqref="F62">
      <formula1>0</formula1>
      <formula2>NaN</formula2>
    </dataValidation>
    <dataValidation type="whole" allowBlank="1" showInputMessage="1" showErrorMessage="1" sqref="F63">
      <formula1>0</formula1>
      <formula2>NaN</formula2>
    </dataValidation>
    <dataValidation type="whole" allowBlank="1" showInputMessage="1" showErrorMessage="1" sqref="F64">
      <formula1>0</formula1>
      <formula2>NaN</formula2>
    </dataValidation>
    <dataValidation type="whole" allowBlank="1" showInputMessage="1" showErrorMessage="1" sqref="F65">
      <formula1>0</formula1>
      <formula2>NaN</formula2>
    </dataValidation>
    <dataValidation type="whole" allowBlank="1" showInputMessage="1" showErrorMessage="1" sqref="F66">
      <formula1>0</formula1>
      <formula2>NaN</formula2>
    </dataValidation>
    <dataValidation type="whole" allowBlank="1" showInputMessage="1" showErrorMessage="1" sqref="F67">
      <formula1>0</formula1>
      <formula2>NaN</formula2>
    </dataValidation>
    <dataValidation type="whole" allowBlank="1" showInputMessage="1" showErrorMessage="1" sqref="F68">
      <formula1>0</formula1>
      <formula2>NaN</formula2>
    </dataValidation>
    <dataValidation type="whole" allowBlank="1" showInputMessage="1" showErrorMessage="1" sqref="F9">
      <formula1>0</formula1>
      <formula2>NaN</formula2>
    </dataValidation>
    <dataValidation type="whole" allowBlank="1" showInputMessage="1" showErrorMessage="1" sqref="G10">
      <formula1>0</formula1>
      <formula2>NaN</formula2>
    </dataValidation>
    <dataValidation type="whole" allowBlank="1" showInputMessage="1" showErrorMessage="1" sqref="G11">
      <formula1>0</formula1>
      <formula2>NaN</formula2>
    </dataValidation>
    <dataValidation type="whole" allowBlank="1" showInputMessage="1" showErrorMessage="1" sqref="G12">
      <formula1>0</formula1>
      <formula2>NaN</formula2>
    </dataValidation>
    <dataValidation type="whole" allowBlank="1" showInputMessage="1" showErrorMessage="1" sqref="G13">
      <formula1>0</formula1>
      <formula2>NaN</formula2>
    </dataValidation>
    <dataValidation type="whole" allowBlank="1" showInputMessage="1" showErrorMessage="1" sqref="G14">
      <formula1>0</formula1>
      <formula2>NaN</formula2>
    </dataValidation>
    <dataValidation type="whole" allowBlank="1" showInputMessage="1" showErrorMessage="1" sqref="G15">
      <formula1>0</formula1>
      <formula2>NaN</formula2>
    </dataValidation>
    <dataValidation type="whole" allowBlank="1" showInputMessage="1" showErrorMessage="1" sqref="G16">
      <formula1>0</formula1>
      <formula2>NaN</formula2>
    </dataValidation>
    <dataValidation type="whole" allowBlank="1" showInputMessage="1" showErrorMessage="1" sqref="G17">
      <formula1>0</formula1>
      <formula2>NaN</formula2>
    </dataValidation>
    <dataValidation type="whole" allowBlank="1" showInputMessage="1" showErrorMessage="1" sqref="G18">
      <formula1>0</formula1>
      <formula2>NaN</formula2>
    </dataValidation>
    <dataValidation type="whole" allowBlank="1" showInputMessage="1" showErrorMessage="1" sqref="G19">
      <formula1>0</formula1>
      <formula2>NaN</formula2>
    </dataValidation>
    <dataValidation type="whole" allowBlank="1" showInputMessage="1" showErrorMessage="1" sqref="G20">
      <formula1>0</formula1>
      <formula2>NaN</formula2>
    </dataValidation>
    <dataValidation type="whole" allowBlank="1" showInputMessage="1" showErrorMessage="1" sqref="G21">
      <formula1>0</formula1>
      <formula2>NaN</formula2>
    </dataValidation>
    <dataValidation type="whole" allowBlank="1" showInputMessage="1" showErrorMessage="1" sqref="G22">
      <formula1>0</formula1>
      <formula2>NaN</formula2>
    </dataValidation>
    <dataValidation type="whole" allowBlank="1" showInputMessage="1" showErrorMessage="1" sqref="G23">
      <formula1>0</formula1>
      <formula2>NaN</formula2>
    </dataValidation>
    <dataValidation type="whole" allowBlank="1" showInputMessage="1" showErrorMessage="1" sqref="G24">
      <formula1>0</formula1>
      <formula2>NaN</formula2>
    </dataValidation>
    <dataValidation type="whole" allowBlank="1" showInputMessage="1" showErrorMessage="1" sqref="G25">
      <formula1>0</formula1>
      <formula2>NaN</formula2>
    </dataValidation>
    <dataValidation type="whole" allowBlank="1" showInputMessage="1" showErrorMessage="1" sqref="G26">
      <formula1>0</formula1>
      <formula2>NaN</formula2>
    </dataValidation>
    <dataValidation type="whole" allowBlank="1" showInputMessage="1" showErrorMessage="1" sqref="G27">
      <formula1>0</formula1>
      <formula2>NaN</formula2>
    </dataValidation>
    <dataValidation type="whole" allowBlank="1" showInputMessage="1" showErrorMessage="1" sqref="G28">
      <formula1>0</formula1>
      <formula2>NaN</formula2>
    </dataValidation>
    <dataValidation type="whole" allowBlank="1" showInputMessage="1" showErrorMessage="1" sqref="G29">
      <formula1>0</formula1>
      <formula2>NaN</formula2>
    </dataValidation>
    <dataValidation type="whole" allowBlank="1" showInputMessage="1" showErrorMessage="1" sqref="G30">
      <formula1>0</formula1>
      <formula2>NaN</formula2>
    </dataValidation>
    <dataValidation type="whole" allowBlank="1" showInputMessage="1" showErrorMessage="1" sqref="G31">
      <formula1>0</formula1>
      <formula2>NaN</formula2>
    </dataValidation>
    <dataValidation type="whole" allowBlank="1" showInputMessage="1" showErrorMessage="1" sqref="G32">
      <formula1>0</formula1>
      <formula2>NaN</formula2>
    </dataValidation>
    <dataValidation type="whole" allowBlank="1" showInputMessage="1" showErrorMessage="1" sqref="G33">
      <formula1>0</formula1>
      <formula2>NaN</formula2>
    </dataValidation>
    <dataValidation type="whole" allowBlank="1" showInputMessage="1" showErrorMessage="1" sqref="G34">
      <formula1>0</formula1>
      <formula2>NaN</formula2>
    </dataValidation>
    <dataValidation type="whole" allowBlank="1" showInputMessage="1" showErrorMessage="1" sqref="G35">
      <formula1>0</formula1>
      <formula2>NaN</formula2>
    </dataValidation>
    <dataValidation type="whole" allowBlank="1" showInputMessage="1" showErrorMessage="1" sqref="G36">
      <formula1>0</formula1>
      <formula2>NaN</formula2>
    </dataValidation>
    <dataValidation type="whole" allowBlank="1" showInputMessage="1" showErrorMessage="1" sqref="G37">
      <formula1>0</formula1>
      <formula2>NaN</formula2>
    </dataValidation>
    <dataValidation type="whole" allowBlank="1" showInputMessage="1" showErrorMessage="1" sqref="G38">
      <formula1>0</formula1>
      <formula2>NaN</formula2>
    </dataValidation>
    <dataValidation type="whole" allowBlank="1" showInputMessage="1" showErrorMessage="1" sqref="G39">
      <formula1>0</formula1>
      <formula2>NaN</formula2>
    </dataValidation>
    <dataValidation type="whole" allowBlank="1" showInputMessage="1" showErrorMessage="1" sqref="G40">
      <formula1>0</formula1>
      <formula2>NaN</formula2>
    </dataValidation>
    <dataValidation type="whole" allowBlank="1" showInputMessage="1" showErrorMessage="1" sqref="G41">
      <formula1>0</formula1>
      <formula2>NaN</formula2>
    </dataValidation>
    <dataValidation type="whole" allowBlank="1" showInputMessage="1" showErrorMessage="1" sqref="G42">
      <formula1>0</formula1>
      <formula2>NaN</formula2>
    </dataValidation>
    <dataValidation type="whole" allowBlank="1" showInputMessage="1" showErrorMessage="1" sqref="G43">
      <formula1>0</formula1>
      <formula2>NaN</formula2>
    </dataValidation>
    <dataValidation type="whole" allowBlank="1" showInputMessage="1" showErrorMessage="1" sqref="G44">
      <formula1>0</formula1>
      <formula2>NaN</formula2>
    </dataValidation>
    <dataValidation type="whole" allowBlank="1" showInputMessage="1" showErrorMessage="1" sqref="G45">
      <formula1>0</formula1>
      <formula2>NaN</formula2>
    </dataValidation>
    <dataValidation type="whole" allowBlank="1" showInputMessage="1" showErrorMessage="1" sqref="G46">
      <formula1>0</formula1>
      <formula2>NaN</formula2>
    </dataValidation>
    <dataValidation type="whole" allowBlank="1" showInputMessage="1" showErrorMessage="1" sqref="G47">
      <formula1>0</formula1>
      <formula2>NaN</formula2>
    </dataValidation>
    <dataValidation type="whole" allowBlank="1" showInputMessage="1" showErrorMessage="1" sqref="G48">
      <formula1>0</formula1>
      <formula2>NaN</formula2>
    </dataValidation>
    <dataValidation type="whole" allowBlank="1" showInputMessage="1" showErrorMessage="1" sqref="G49">
      <formula1>0</formula1>
      <formula2>NaN</formula2>
    </dataValidation>
    <dataValidation type="whole" allowBlank="1" showInputMessage="1" showErrorMessage="1" sqref="G50">
      <formula1>0</formula1>
      <formula2>NaN</formula2>
    </dataValidation>
    <dataValidation type="whole" allowBlank="1" showInputMessage="1" showErrorMessage="1" sqref="G51">
      <formula1>0</formula1>
      <formula2>NaN</formula2>
    </dataValidation>
    <dataValidation type="whole" allowBlank="1" showInputMessage="1" showErrorMessage="1" sqref="G52">
      <formula1>0</formula1>
      <formula2>NaN</formula2>
    </dataValidation>
    <dataValidation type="whole" allowBlank="1" showInputMessage="1" showErrorMessage="1" sqref="G53">
      <formula1>0</formula1>
      <formula2>NaN</formula2>
    </dataValidation>
    <dataValidation type="whole" allowBlank="1" showInputMessage="1" showErrorMessage="1" sqref="G54">
      <formula1>0</formula1>
      <formula2>NaN</formula2>
    </dataValidation>
    <dataValidation type="whole" allowBlank="1" showInputMessage="1" showErrorMessage="1" sqref="G55">
      <formula1>0</formula1>
      <formula2>NaN</formula2>
    </dataValidation>
    <dataValidation type="whole" allowBlank="1" showInputMessage="1" showErrorMessage="1" sqref="G56">
      <formula1>0</formula1>
      <formula2>NaN</formula2>
    </dataValidation>
    <dataValidation type="whole" allowBlank="1" showInputMessage="1" showErrorMessage="1" sqref="G57">
      <formula1>0</formula1>
      <formula2>NaN</formula2>
    </dataValidation>
    <dataValidation type="whole" allowBlank="1" showInputMessage="1" showErrorMessage="1" sqref="G58">
      <formula1>0</formula1>
      <formula2>NaN</formula2>
    </dataValidation>
    <dataValidation type="whole" allowBlank="1" showInputMessage="1" showErrorMessage="1" sqref="G59">
      <formula1>0</formula1>
      <formula2>NaN</formula2>
    </dataValidation>
    <dataValidation type="whole" allowBlank="1" showInputMessage="1" showErrorMessage="1" sqref="G60">
      <formula1>0</formula1>
      <formula2>NaN</formula2>
    </dataValidation>
    <dataValidation type="whole" allowBlank="1" showInputMessage="1" showErrorMessage="1" sqref="G61">
      <formula1>0</formula1>
      <formula2>NaN</formula2>
    </dataValidation>
    <dataValidation type="whole" allowBlank="1" showInputMessage="1" showErrorMessage="1" sqref="G62">
      <formula1>0</formula1>
      <formula2>NaN</formula2>
    </dataValidation>
    <dataValidation type="whole" allowBlank="1" showInputMessage="1" showErrorMessage="1" sqref="G63">
      <formula1>0</formula1>
      <formula2>NaN</formula2>
    </dataValidation>
    <dataValidation type="whole" allowBlank="1" showInputMessage="1" showErrorMessage="1" sqref="G64">
      <formula1>0</formula1>
      <formula2>NaN</formula2>
    </dataValidation>
    <dataValidation type="whole" allowBlank="1" showInputMessage="1" showErrorMessage="1" sqref="G65">
      <formula1>0</formula1>
      <formula2>NaN</formula2>
    </dataValidation>
    <dataValidation type="whole" allowBlank="1" showInputMessage="1" showErrorMessage="1" sqref="G66">
      <formula1>0</formula1>
      <formula2>NaN</formula2>
    </dataValidation>
    <dataValidation type="whole" allowBlank="1" showInputMessage="1" showErrorMessage="1" sqref="G67">
      <formula1>0</formula1>
      <formula2>NaN</formula2>
    </dataValidation>
    <dataValidation type="whole" allowBlank="1" showInputMessage="1" showErrorMessage="1" sqref="G68">
      <formula1>0</formula1>
      <formula2>NaN</formula2>
    </dataValidation>
    <dataValidation type="whole" allowBlank="1" showInputMessage="1" showErrorMessage="1" sqref="G9">
      <formula1>0</formula1>
      <formula2>NaN</formula2>
    </dataValidation>
    <dataValidation type="whole" allowBlank="1" showInputMessage="1" showErrorMessage="1" sqref="H10">
      <formula1>0</formula1>
      <formula2>NaN</formula2>
    </dataValidation>
    <dataValidation type="whole" allowBlank="1" showInputMessage="1" showErrorMessage="1" sqref="H11">
      <formula1>0</formula1>
      <formula2>NaN</formula2>
    </dataValidation>
    <dataValidation type="whole" allowBlank="1" showInputMessage="1" showErrorMessage="1" sqref="H12">
      <formula1>0</formula1>
      <formula2>NaN</formula2>
    </dataValidation>
    <dataValidation type="whole" allowBlank="1" showInputMessage="1" showErrorMessage="1" sqref="H13">
      <formula1>0</formula1>
      <formula2>NaN</formula2>
    </dataValidation>
    <dataValidation type="whole" allowBlank="1" showInputMessage="1" showErrorMessage="1" sqref="H14">
      <formula1>0</formula1>
      <formula2>NaN</formula2>
    </dataValidation>
    <dataValidation type="whole" allowBlank="1" showInputMessage="1" showErrorMessage="1" sqref="H15">
      <formula1>0</formula1>
      <formula2>NaN</formula2>
    </dataValidation>
    <dataValidation type="whole" allowBlank="1" showInputMessage="1" showErrorMessage="1" sqref="H16">
      <formula1>0</formula1>
      <formula2>NaN</formula2>
    </dataValidation>
    <dataValidation type="whole" allowBlank="1" showInputMessage="1" showErrorMessage="1" sqref="H17">
      <formula1>0</formula1>
      <formula2>NaN</formula2>
    </dataValidation>
    <dataValidation type="whole" allowBlank="1" showInputMessage="1" showErrorMessage="1" sqref="H18">
      <formula1>0</formula1>
      <formula2>NaN</formula2>
    </dataValidation>
    <dataValidation type="whole" allowBlank="1" showInputMessage="1" showErrorMessage="1" sqref="H19">
      <formula1>0</formula1>
      <formula2>NaN</formula2>
    </dataValidation>
    <dataValidation type="whole" allowBlank="1" showInputMessage="1" showErrorMessage="1" sqref="H20">
      <formula1>0</formula1>
      <formula2>NaN</formula2>
    </dataValidation>
    <dataValidation type="whole" allowBlank="1" showInputMessage="1" showErrorMessage="1" sqref="H21">
      <formula1>0</formula1>
      <formula2>NaN</formula2>
    </dataValidation>
    <dataValidation type="whole" allowBlank="1" showInputMessage="1" showErrorMessage="1" sqref="H22">
      <formula1>0</formula1>
      <formula2>NaN</formula2>
    </dataValidation>
    <dataValidation type="whole" allowBlank="1" showInputMessage="1" showErrorMessage="1" sqref="H23">
      <formula1>0</formula1>
      <formula2>NaN</formula2>
    </dataValidation>
    <dataValidation type="whole" allowBlank="1" showInputMessage="1" showErrorMessage="1" sqref="H24">
      <formula1>0</formula1>
      <formula2>NaN</formula2>
    </dataValidation>
    <dataValidation type="whole" allowBlank="1" showInputMessage="1" showErrorMessage="1" sqref="H25">
      <formula1>0</formula1>
      <formula2>NaN</formula2>
    </dataValidation>
    <dataValidation type="whole" allowBlank="1" showInputMessage="1" showErrorMessage="1" sqref="H26">
      <formula1>0</formula1>
      <formula2>NaN</formula2>
    </dataValidation>
    <dataValidation type="whole" allowBlank="1" showInputMessage="1" showErrorMessage="1" sqref="H27">
      <formula1>0</formula1>
      <formula2>NaN</formula2>
    </dataValidation>
    <dataValidation type="whole" allowBlank="1" showInputMessage="1" showErrorMessage="1" sqref="H28">
      <formula1>0</formula1>
      <formula2>NaN</formula2>
    </dataValidation>
    <dataValidation type="whole" allowBlank="1" showInputMessage="1" showErrorMessage="1" sqref="H29">
      <formula1>0</formula1>
      <formula2>NaN</formula2>
    </dataValidation>
    <dataValidation type="whole" allowBlank="1" showInputMessage="1" showErrorMessage="1" sqref="H30">
      <formula1>0</formula1>
      <formula2>NaN</formula2>
    </dataValidation>
    <dataValidation type="whole" allowBlank="1" showInputMessage="1" showErrorMessage="1" sqref="H31">
      <formula1>0</formula1>
      <formula2>NaN</formula2>
    </dataValidation>
    <dataValidation type="whole" allowBlank="1" showInputMessage="1" showErrorMessage="1" sqref="H32">
      <formula1>0</formula1>
      <formula2>NaN</formula2>
    </dataValidation>
    <dataValidation type="whole" allowBlank="1" showInputMessage="1" showErrorMessage="1" sqref="H33">
      <formula1>0</formula1>
      <formula2>NaN</formula2>
    </dataValidation>
    <dataValidation type="whole" allowBlank="1" showInputMessage="1" showErrorMessage="1" sqref="H34">
      <formula1>0</formula1>
      <formula2>NaN</formula2>
    </dataValidation>
    <dataValidation type="whole" allowBlank="1" showInputMessage="1" showErrorMessage="1" sqref="H35">
      <formula1>0</formula1>
      <formula2>NaN</formula2>
    </dataValidation>
    <dataValidation type="whole" allowBlank="1" showInputMessage="1" showErrorMessage="1" sqref="H36">
      <formula1>0</formula1>
      <formula2>NaN</formula2>
    </dataValidation>
    <dataValidation type="whole" allowBlank="1" showInputMessage="1" showErrorMessage="1" sqref="H37">
      <formula1>0</formula1>
      <formula2>NaN</formula2>
    </dataValidation>
    <dataValidation type="whole" allowBlank="1" showInputMessage="1" showErrorMessage="1" sqref="H38">
      <formula1>0</formula1>
      <formula2>NaN</formula2>
    </dataValidation>
    <dataValidation type="whole" allowBlank="1" showInputMessage="1" showErrorMessage="1" sqref="H39">
      <formula1>0</formula1>
      <formula2>NaN</formula2>
    </dataValidation>
    <dataValidation type="whole" allowBlank="1" showInputMessage="1" showErrorMessage="1" sqref="H40">
      <formula1>0</formula1>
      <formula2>NaN</formula2>
    </dataValidation>
    <dataValidation type="whole" allowBlank="1" showInputMessage="1" showErrorMessage="1" sqref="H41">
      <formula1>0</formula1>
      <formula2>NaN</formula2>
    </dataValidation>
    <dataValidation type="whole" allowBlank="1" showInputMessage="1" showErrorMessage="1" sqref="H42">
      <formula1>0</formula1>
      <formula2>NaN</formula2>
    </dataValidation>
    <dataValidation type="whole" allowBlank="1" showInputMessage="1" showErrorMessage="1" sqref="H43">
      <formula1>0</formula1>
      <formula2>NaN</formula2>
    </dataValidation>
    <dataValidation type="whole" allowBlank="1" showInputMessage="1" showErrorMessage="1" sqref="H44">
      <formula1>0</formula1>
      <formula2>NaN</formula2>
    </dataValidation>
    <dataValidation type="whole" allowBlank="1" showInputMessage="1" showErrorMessage="1" sqref="H45">
      <formula1>0</formula1>
      <formula2>NaN</formula2>
    </dataValidation>
    <dataValidation type="whole" allowBlank="1" showInputMessage="1" showErrorMessage="1" sqref="H46">
      <formula1>0</formula1>
      <formula2>NaN</formula2>
    </dataValidation>
    <dataValidation type="whole" allowBlank="1" showInputMessage="1" showErrorMessage="1" sqref="H47">
      <formula1>0</formula1>
      <formula2>NaN</formula2>
    </dataValidation>
    <dataValidation type="whole" allowBlank="1" showInputMessage="1" showErrorMessage="1" sqref="H48">
      <formula1>0</formula1>
      <formula2>NaN</formula2>
    </dataValidation>
    <dataValidation type="whole" allowBlank="1" showInputMessage="1" showErrorMessage="1" sqref="H49">
      <formula1>0</formula1>
      <formula2>NaN</formula2>
    </dataValidation>
    <dataValidation type="whole" allowBlank="1" showInputMessage="1" showErrorMessage="1" sqref="H50">
      <formula1>0</formula1>
      <formula2>NaN</formula2>
    </dataValidation>
    <dataValidation type="whole" allowBlank="1" showInputMessage="1" showErrorMessage="1" sqref="H51">
      <formula1>0</formula1>
      <formula2>NaN</formula2>
    </dataValidation>
    <dataValidation type="whole" allowBlank="1" showInputMessage="1" showErrorMessage="1" sqref="H52">
      <formula1>0</formula1>
      <formula2>NaN</formula2>
    </dataValidation>
    <dataValidation type="whole" allowBlank="1" showInputMessage="1" showErrorMessage="1" sqref="H53">
      <formula1>0</formula1>
      <formula2>NaN</formula2>
    </dataValidation>
    <dataValidation type="whole" allowBlank="1" showInputMessage="1" showErrorMessage="1" sqref="H54">
      <formula1>0</formula1>
      <formula2>NaN</formula2>
    </dataValidation>
    <dataValidation type="whole" allowBlank="1" showInputMessage="1" showErrorMessage="1" sqref="H55">
      <formula1>0</formula1>
      <formula2>NaN</formula2>
    </dataValidation>
    <dataValidation type="whole" allowBlank="1" showInputMessage="1" showErrorMessage="1" sqref="H56">
      <formula1>0</formula1>
      <formula2>NaN</formula2>
    </dataValidation>
    <dataValidation type="whole" allowBlank="1" showInputMessage="1" showErrorMessage="1" sqref="H57">
      <formula1>0</formula1>
      <formula2>NaN</formula2>
    </dataValidation>
    <dataValidation type="whole" allowBlank="1" showInputMessage="1" showErrorMessage="1" sqref="H58">
      <formula1>0</formula1>
      <formula2>NaN</formula2>
    </dataValidation>
    <dataValidation type="whole" allowBlank="1" showInputMessage="1" showErrorMessage="1" sqref="H59">
      <formula1>0</formula1>
      <formula2>NaN</formula2>
    </dataValidation>
    <dataValidation type="whole" allowBlank="1" showInputMessage="1" showErrorMessage="1" sqref="H60">
      <formula1>0</formula1>
      <formula2>NaN</formula2>
    </dataValidation>
    <dataValidation type="whole" allowBlank="1" showInputMessage="1" showErrorMessage="1" sqref="H61">
      <formula1>0</formula1>
      <formula2>NaN</formula2>
    </dataValidation>
    <dataValidation type="whole" allowBlank="1" showInputMessage="1" showErrorMessage="1" sqref="H62">
      <formula1>0</formula1>
      <formula2>NaN</formula2>
    </dataValidation>
    <dataValidation type="whole" allowBlank="1" showInputMessage="1" showErrorMessage="1" sqref="H63">
      <formula1>0</formula1>
      <formula2>NaN</formula2>
    </dataValidation>
    <dataValidation type="whole" allowBlank="1" showInputMessage="1" showErrorMessage="1" sqref="H64">
      <formula1>0</formula1>
      <formula2>NaN</formula2>
    </dataValidation>
    <dataValidation type="whole" allowBlank="1" showInputMessage="1" showErrorMessage="1" sqref="H65">
      <formula1>0</formula1>
      <formula2>NaN</formula2>
    </dataValidation>
    <dataValidation type="whole" allowBlank="1" showInputMessage="1" showErrorMessage="1" sqref="H66">
      <formula1>0</formula1>
      <formula2>NaN</formula2>
    </dataValidation>
    <dataValidation type="whole" allowBlank="1" showInputMessage="1" showErrorMessage="1" sqref="H67">
      <formula1>0</formula1>
      <formula2>NaN</formula2>
    </dataValidation>
    <dataValidation type="whole" allowBlank="1" showInputMessage="1" showErrorMessage="1" sqref="H68">
      <formula1>0</formula1>
      <formula2>NaN</formula2>
    </dataValidation>
    <dataValidation type="whole" allowBlank="1" showInputMessage="1" showErrorMessage="1" sqref="H9">
      <formula1>0</formula1>
      <formula2>NaN</formula2>
    </dataValidation>
    <dataValidation type="whole" allowBlank="1" showInputMessage="1" showErrorMessage="1" sqref="I10">
      <formula1>0</formula1>
      <formula2>NaN</formula2>
    </dataValidation>
    <dataValidation type="whole" allowBlank="1" showInputMessage="1" showErrorMessage="1" sqref="I11">
      <formula1>0</formula1>
      <formula2>NaN</formula2>
    </dataValidation>
    <dataValidation type="whole" allowBlank="1" showInputMessage="1" showErrorMessage="1" sqref="I12">
      <formula1>0</formula1>
      <formula2>NaN</formula2>
    </dataValidation>
    <dataValidation type="whole" allowBlank="1" showInputMessage="1" showErrorMessage="1" sqref="I13">
      <formula1>0</formula1>
      <formula2>NaN</formula2>
    </dataValidation>
    <dataValidation type="whole" allowBlank="1" showInputMessage="1" showErrorMessage="1" sqref="I14">
      <formula1>0</formula1>
      <formula2>NaN</formula2>
    </dataValidation>
    <dataValidation type="whole" allowBlank="1" showInputMessage="1" showErrorMessage="1" sqref="I15">
      <formula1>0</formula1>
      <formula2>NaN</formula2>
    </dataValidation>
    <dataValidation type="whole" allowBlank="1" showInputMessage="1" showErrorMessage="1" sqref="I16">
      <formula1>0</formula1>
      <formula2>NaN</formula2>
    </dataValidation>
    <dataValidation type="whole" allowBlank="1" showInputMessage="1" showErrorMessage="1" sqref="I17">
      <formula1>0</formula1>
      <formula2>NaN</formula2>
    </dataValidation>
    <dataValidation type="whole" allowBlank="1" showInputMessage="1" showErrorMessage="1" sqref="I18">
      <formula1>0</formula1>
      <formula2>NaN</formula2>
    </dataValidation>
    <dataValidation type="whole" allowBlank="1" showInputMessage="1" showErrorMessage="1" sqref="I19">
      <formula1>0</formula1>
      <formula2>NaN</formula2>
    </dataValidation>
    <dataValidation type="whole" allowBlank="1" showInputMessage="1" showErrorMessage="1" sqref="I20">
      <formula1>0</formula1>
      <formula2>NaN</formula2>
    </dataValidation>
    <dataValidation type="whole" allowBlank="1" showInputMessage="1" showErrorMessage="1" sqref="I21">
      <formula1>0</formula1>
      <formula2>NaN</formula2>
    </dataValidation>
    <dataValidation type="whole" allowBlank="1" showInputMessage="1" showErrorMessage="1" sqref="I22">
      <formula1>0</formula1>
      <formula2>NaN</formula2>
    </dataValidation>
    <dataValidation type="whole" allowBlank="1" showInputMessage="1" showErrorMessage="1" sqref="I23">
      <formula1>0</formula1>
      <formula2>NaN</formula2>
    </dataValidation>
    <dataValidation type="whole" allowBlank="1" showInputMessage="1" showErrorMessage="1" sqref="I24">
      <formula1>0</formula1>
      <formula2>NaN</formula2>
    </dataValidation>
    <dataValidation type="whole" allowBlank="1" showInputMessage="1" showErrorMessage="1" sqref="I25">
      <formula1>0</formula1>
      <formula2>NaN</formula2>
    </dataValidation>
    <dataValidation type="whole" allowBlank="1" showInputMessage="1" showErrorMessage="1" sqref="I26">
      <formula1>0</formula1>
      <formula2>NaN</formula2>
    </dataValidation>
    <dataValidation type="whole" allowBlank="1" showInputMessage="1" showErrorMessage="1" sqref="I27">
      <formula1>0</formula1>
      <formula2>NaN</formula2>
    </dataValidation>
    <dataValidation type="whole" allowBlank="1" showInputMessage="1" showErrorMessage="1" sqref="I28">
      <formula1>0</formula1>
      <formula2>NaN</formula2>
    </dataValidation>
    <dataValidation type="whole" allowBlank="1" showInputMessage="1" showErrorMessage="1" sqref="I29">
      <formula1>0</formula1>
      <formula2>NaN</formula2>
    </dataValidation>
    <dataValidation type="whole" allowBlank="1" showInputMessage="1" showErrorMessage="1" sqref="I30">
      <formula1>0</formula1>
      <formula2>NaN</formula2>
    </dataValidation>
    <dataValidation type="whole" allowBlank="1" showInputMessage="1" showErrorMessage="1" sqref="I31">
      <formula1>0</formula1>
      <formula2>NaN</formula2>
    </dataValidation>
    <dataValidation type="whole" allowBlank="1" showInputMessage="1" showErrorMessage="1" sqref="I32">
      <formula1>0</formula1>
      <formula2>NaN</formula2>
    </dataValidation>
    <dataValidation type="whole" allowBlank="1" showInputMessage="1" showErrorMessage="1" sqref="I33">
      <formula1>0</formula1>
      <formula2>NaN</formula2>
    </dataValidation>
    <dataValidation type="whole" allowBlank="1" showInputMessage="1" showErrorMessage="1" sqref="I34">
      <formula1>0</formula1>
      <formula2>NaN</formula2>
    </dataValidation>
    <dataValidation type="whole" allowBlank="1" showInputMessage="1" showErrorMessage="1" sqref="I35">
      <formula1>0</formula1>
      <formula2>NaN</formula2>
    </dataValidation>
    <dataValidation type="whole" allowBlank="1" showInputMessage="1" showErrorMessage="1" sqref="I36">
      <formula1>0</formula1>
      <formula2>NaN</formula2>
    </dataValidation>
    <dataValidation type="whole" allowBlank="1" showInputMessage="1" showErrorMessage="1" sqref="I37">
      <formula1>0</formula1>
      <formula2>NaN</formula2>
    </dataValidation>
    <dataValidation type="whole" allowBlank="1" showInputMessage="1" showErrorMessage="1" sqref="I38">
      <formula1>0</formula1>
      <formula2>NaN</formula2>
    </dataValidation>
    <dataValidation type="whole" allowBlank="1" showInputMessage="1" showErrorMessage="1" sqref="I39">
      <formula1>0</formula1>
      <formula2>NaN</formula2>
    </dataValidation>
    <dataValidation type="whole" allowBlank="1" showInputMessage="1" showErrorMessage="1" sqref="I40">
      <formula1>0</formula1>
      <formula2>NaN</formula2>
    </dataValidation>
    <dataValidation type="whole" allowBlank="1" showInputMessage="1" showErrorMessage="1" sqref="I41">
      <formula1>0</formula1>
      <formula2>NaN</formula2>
    </dataValidation>
    <dataValidation type="whole" allowBlank="1" showInputMessage="1" showErrorMessage="1" sqref="I42">
      <formula1>0</formula1>
      <formula2>NaN</formula2>
    </dataValidation>
    <dataValidation type="whole" allowBlank="1" showInputMessage="1" showErrorMessage="1" sqref="I43">
      <formula1>0</formula1>
      <formula2>NaN</formula2>
    </dataValidation>
    <dataValidation type="whole" allowBlank="1" showInputMessage="1" showErrorMessage="1" sqref="I44">
      <formula1>0</formula1>
      <formula2>NaN</formula2>
    </dataValidation>
    <dataValidation type="whole" allowBlank="1" showInputMessage="1" showErrorMessage="1" sqref="I45">
      <formula1>0</formula1>
      <formula2>NaN</formula2>
    </dataValidation>
    <dataValidation type="whole" allowBlank="1" showInputMessage="1" showErrorMessage="1" sqref="I46">
      <formula1>0</formula1>
      <formula2>NaN</formula2>
    </dataValidation>
    <dataValidation type="whole" allowBlank="1" showInputMessage="1" showErrorMessage="1" sqref="I47">
      <formula1>0</formula1>
      <formula2>NaN</formula2>
    </dataValidation>
    <dataValidation type="whole" allowBlank="1" showInputMessage="1" showErrorMessage="1" sqref="I48">
      <formula1>0</formula1>
      <formula2>NaN</formula2>
    </dataValidation>
    <dataValidation type="whole" allowBlank="1" showInputMessage="1" showErrorMessage="1" sqref="I49">
      <formula1>0</formula1>
      <formula2>NaN</formula2>
    </dataValidation>
    <dataValidation type="whole" allowBlank="1" showInputMessage="1" showErrorMessage="1" sqref="I50">
      <formula1>0</formula1>
      <formula2>NaN</formula2>
    </dataValidation>
    <dataValidation type="whole" allowBlank="1" showInputMessage="1" showErrorMessage="1" sqref="I51">
      <formula1>0</formula1>
      <formula2>NaN</formula2>
    </dataValidation>
    <dataValidation type="whole" allowBlank="1" showInputMessage="1" showErrorMessage="1" sqref="I52">
      <formula1>0</formula1>
      <formula2>NaN</formula2>
    </dataValidation>
    <dataValidation type="whole" allowBlank="1" showInputMessage="1" showErrorMessage="1" sqref="I53">
      <formula1>0</formula1>
      <formula2>NaN</formula2>
    </dataValidation>
    <dataValidation type="whole" allowBlank="1" showInputMessage="1" showErrorMessage="1" sqref="I54">
      <formula1>0</formula1>
      <formula2>NaN</formula2>
    </dataValidation>
    <dataValidation type="whole" allowBlank="1" showInputMessage="1" showErrorMessage="1" sqref="I55">
      <formula1>0</formula1>
      <formula2>NaN</formula2>
    </dataValidation>
    <dataValidation type="whole" allowBlank="1" showInputMessage="1" showErrorMessage="1" sqref="I56">
      <formula1>0</formula1>
      <formula2>NaN</formula2>
    </dataValidation>
    <dataValidation type="whole" allowBlank="1" showInputMessage="1" showErrorMessage="1" sqref="I57">
      <formula1>0</formula1>
      <formula2>NaN</formula2>
    </dataValidation>
    <dataValidation type="whole" allowBlank="1" showInputMessage="1" showErrorMessage="1" sqref="I58">
      <formula1>0</formula1>
      <formula2>NaN</formula2>
    </dataValidation>
    <dataValidation type="whole" allowBlank="1" showInputMessage="1" showErrorMessage="1" sqref="I59">
      <formula1>0</formula1>
      <formula2>NaN</formula2>
    </dataValidation>
    <dataValidation type="whole" allowBlank="1" showInputMessage="1" showErrorMessage="1" sqref="I60">
      <formula1>0</formula1>
      <formula2>NaN</formula2>
    </dataValidation>
    <dataValidation type="whole" allowBlank="1" showInputMessage="1" showErrorMessage="1" sqref="I61">
      <formula1>0</formula1>
      <formula2>NaN</formula2>
    </dataValidation>
    <dataValidation type="whole" allowBlank="1" showInputMessage="1" showErrorMessage="1" sqref="I62">
      <formula1>0</formula1>
      <formula2>NaN</formula2>
    </dataValidation>
    <dataValidation type="whole" allowBlank="1" showInputMessage="1" showErrorMessage="1" sqref="I63">
      <formula1>0</formula1>
      <formula2>NaN</formula2>
    </dataValidation>
    <dataValidation type="whole" allowBlank="1" showInputMessage="1" showErrorMessage="1" sqref="I64">
      <formula1>0</formula1>
      <formula2>NaN</formula2>
    </dataValidation>
    <dataValidation type="whole" allowBlank="1" showInputMessage="1" showErrorMessage="1" sqref="I65">
      <formula1>0</formula1>
      <formula2>NaN</formula2>
    </dataValidation>
    <dataValidation type="whole" allowBlank="1" showInputMessage="1" showErrorMessage="1" sqref="I66">
      <formula1>0</formula1>
      <formula2>NaN</formula2>
    </dataValidation>
    <dataValidation type="whole" allowBlank="1" showInputMessage="1" showErrorMessage="1" sqref="I67">
      <formula1>0</formula1>
      <formula2>NaN</formula2>
    </dataValidation>
    <dataValidation type="whole" allowBlank="1" showInputMessage="1" showErrorMessage="1" sqref="I68">
      <formula1>0</formula1>
      <formula2>NaN</formula2>
    </dataValidation>
    <dataValidation type="whole" allowBlank="1" showInputMessage="1" showErrorMessage="1" sqref="I9">
      <formula1>0</formula1>
      <formula2>NaN</formula2>
    </dataValidation>
    <dataValidation type="whole" allowBlank="1" showInputMessage="1" showErrorMessage="1" sqref="J10">
      <formula1>0</formula1>
      <formula2>NaN</formula2>
    </dataValidation>
    <dataValidation type="whole" allowBlank="1" showInputMessage="1" showErrorMessage="1" sqref="J11">
      <formula1>0</formula1>
      <formula2>NaN</formula2>
    </dataValidation>
    <dataValidation type="whole" allowBlank="1" showInputMessage="1" showErrorMessage="1" sqref="J12">
      <formula1>0</formula1>
      <formula2>NaN</formula2>
    </dataValidation>
    <dataValidation type="whole" allowBlank="1" showInputMessage="1" showErrorMessage="1" sqref="J13">
      <formula1>0</formula1>
      <formula2>NaN</formula2>
    </dataValidation>
    <dataValidation type="whole" allowBlank="1" showInputMessage="1" showErrorMessage="1" sqref="J14">
      <formula1>0</formula1>
      <formula2>NaN</formula2>
    </dataValidation>
    <dataValidation type="whole" allowBlank="1" showInputMessage="1" showErrorMessage="1" sqref="J15">
      <formula1>0</formula1>
      <formula2>NaN</formula2>
    </dataValidation>
    <dataValidation type="whole" allowBlank="1" showInputMessage="1" showErrorMessage="1" sqref="J16">
      <formula1>0</formula1>
      <formula2>NaN</formula2>
    </dataValidation>
    <dataValidation type="whole" allowBlank="1" showInputMessage="1" showErrorMessage="1" sqref="J17">
      <formula1>0</formula1>
      <formula2>NaN</formula2>
    </dataValidation>
    <dataValidation type="whole" allowBlank="1" showInputMessage="1" showErrorMessage="1" sqref="J18">
      <formula1>0</formula1>
      <formula2>NaN</formula2>
    </dataValidation>
    <dataValidation type="whole" allowBlank="1" showInputMessage="1" showErrorMessage="1" sqref="J19">
      <formula1>0</formula1>
      <formula2>NaN</formula2>
    </dataValidation>
    <dataValidation type="whole" allowBlank="1" showInputMessage="1" showErrorMessage="1" sqref="J20">
      <formula1>0</formula1>
      <formula2>NaN</formula2>
    </dataValidation>
    <dataValidation type="whole" allowBlank="1" showInputMessage="1" showErrorMessage="1" sqref="J21">
      <formula1>0</formula1>
      <formula2>NaN</formula2>
    </dataValidation>
    <dataValidation type="whole" allowBlank="1" showInputMessage="1" showErrorMessage="1" sqref="J22">
      <formula1>0</formula1>
      <formula2>NaN</formula2>
    </dataValidation>
    <dataValidation type="whole" allowBlank="1" showInputMessage="1" showErrorMessage="1" sqref="J23">
      <formula1>0</formula1>
      <formula2>NaN</formula2>
    </dataValidation>
    <dataValidation type="whole" allowBlank="1" showInputMessage="1" showErrorMessage="1" sqref="J24">
      <formula1>0</formula1>
      <formula2>NaN</formula2>
    </dataValidation>
    <dataValidation type="whole" allowBlank="1" showInputMessage="1" showErrorMessage="1" sqref="J25">
      <formula1>0</formula1>
      <formula2>NaN</formula2>
    </dataValidation>
    <dataValidation type="whole" allowBlank="1" showInputMessage="1" showErrorMessage="1" sqref="J26">
      <formula1>0</formula1>
      <formula2>NaN</formula2>
    </dataValidation>
    <dataValidation type="whole" allowBlank="1" showInputMessage="1" showErrorMessage="1" sqref="J27">
      <formula1>0</formula1>
      <formula2>NaN</formula2>
    </dataValidation>
    <dataValidation type="whole" allowBlank="1" showInputMessage="1" showErrorMessage="1" sqref="J28">
      <formula1>0</formula1>
      <formula2>NaN</formula2>
    </dataValidation>
    <dataValidation type="whole" allowBlank="1" showInputMessage="1" showErrorMessage="1" sqref="J29">
      <formula1>0</formula1>
      <formula2>NaN</formula2>
    </dataValidation>
    <dataValidation type="whole" allowBlank="1" showInputMessage="1" showErrorMessage="1" sqref="J30">
      <formula1>0</formula1>
      <formula2>NaN</formula2>
    </dataValidation>
    <dataValidation type="whole" allowBlank="1" showInputMessage="1" showErrorMessage="1" sqref="J31">
      <formula1>0</formula1>
      <formula2>NaN</formula2>
    </dataValidation>
    <dataValidation type="whole" allowBlank="1" showInputMessage="1" showErrorMessage="1" sqref="J32">
      <formula1>0</formula1>
      <formula2>NaN</formula2>
    </dataValidation>
    <dataValidation type="whole" allowBlank="1" showInputMessage="1" showErrorMessage="1" sqref="J33">
      <formula1>0</formula1>
      <formula2>NaN</formula2>
    </dataValidation>
    <dataValidation type="whole" allowBlank="1" showInputMessage="1" showErrorMessage="1" sqref="J34">
      <formula1>0</formula1>
      <formula2>NaN</formula2>
    </dataValidation>
    <dataValidation type="whole" allowBlank="1" showInputMessage="1" showErrorMessage="1" sqref="J35">
      <formula1>0</formula1>
      <formula2>NaN</formula2>
    </dataValidation>
    <dataValidation type="whole" allowBlank="1" showInputMessage="1" showErrorMessage="1" sqref="J36">
      <formula1>0</formula1>
      <formula2>NaN</formula2>
    </dataValidation>
    <dataValidation type="whole" allowBlank="1" showInputMessage="1" showErrorMessage="1" sqref="J37">
      <formula1>0</formula1>
      <formula2>NaN</formula2>
    </dataValidation>
    <dataValidation type="whole" allowBlank="1" showInputMessage="1" showErrorMessage="1" sqref="J38">
      <formula1>0</formula1>
      <formula2>NaN</formula2>
    </dataValidation>
    <dataValidation type="whole" allowBlank="1" showInputMessage="1" showErrorMessage="1" sqref="J39">
      <formula1>0</formula1>
      <formula2>NaN</formula2>
    </dataValidation>
    <dataValidation type="whole" allowBlank="1" showInputMessage="1" showErrorMessage="1" sqref="J40">
      <formula1>0</formula1>
      <formula2>NaN</formula2>
    </dataValidation>
    <dataValidation type="whole" allowBlank="1" showInputMessage="1" showErrorMessage="1" sqref="J41">
      <formula1>0</formula1>
      <formula2>NaN</formula2>
    </dataValidation>
    <dataValidation type="whole" allowBlank="1" showInputMessage="1" showErrorMessage="1" sqref="J42">
      <formula1>0</formula1>
      <formula2>NaN</formula2>
    </dataValidation>
    <dataValidation type="whole" allowBlank="1" showInputMessage="1" showErrorMessage="1" sqref="J43">
      <formula1>0</formula1>
      <formula2>NaN</formula2>
    </dataValidation>
    <dataValidation type="whole" allowBlank="1" showInputMessage="1" showErrorMessage="1" sqref="J44">
      <formula1>0</formula1>
      <formula2>NaN</formula2>
    </dataValidation>
    <dataValidation type="whole" allowBlank="1" showInputMessage="1" showErrorMessage="1" sqref="J45">
      <formula1>0</formula1>
      <formula2>NaN</formula2>
    </dataValidation>
    <dataValidation type="whole" allowBlank="1" showInputMessage="1" showErrorMessage="1" sqref="J46">
      <formula1>0</formula1>
      <formula2>NaN</formula2>
    </dataValidation>
    <dataValidation type="whole" allowBlank="1" showInputMessage="1" showErrorMessage="1" sqref="J47">
      <formula1>0</formula1>
      <formula2>NaN</formula2>
    </dataValidation>
    <dataValidation type="whole" allowBlank="1" showInputMessage="1" showErrorMessage="1" sqref="J48">
      <formula1>0</formula1>
      <formula2>NaN</formula2>
    </dataValidation>
    <dataValidation type="whole" allowBlank="1" showInputMessage="1" showErrorMessage="1" sqref="J49">
      <formula1>0</formula1>
      <formula2>NaN</formula2>
    </dataValidation>
    <dataValidation type="whole" allowBlank="1" showInputMessage="1" showErrorMessage="1" sqref="J50">
      <formula1>0</formula1>
      <formula2>NaN</formula2>
    </dataValidation>
    <dataValidation type="whole" allowBlank="1" showInputMessage="1" showErrorMessage="1" sqref="J51">
      <formula1>0</formula1>
      <formula2>NaN</formula2>
    </dataValidation>
    <dataValidation type="whole" allowBlank="1" showInputMessage="1" showErrorMessage="1" sqref="J52">
      <formula1>0</formula1>
      <formula2>NaN</formula2>
    </dataValidation>
    <dataValidation type="whole" allowBlank="1" showInputMessage="1" showErrorMessage="1" sqref="J53">
      <formula1>0</formula1>
      <formula2>NaN</formula2>
    </dataValidation>
    <dataValidation type="whole" allowBlank="1" showInputMessage="1" showErrorMessage="1" sqref="J54">
      <formula1>0</formula1>
      <formula2>NaN</formula2>
    </dataValidation>
    <dataValidation type="whole" allowBlank="1" showInputMessage="1" showErrorMessage="1" sqref="J55">
      <formula1>0</formula1>
      <formula2>NaN</formula2>
    </dataValidation>
    <dataValidation type="whole" allowBlank="1" showInputMessage="1" showErrorMessage="1" sqref="J56">
      <formula1>0</formula1>
      <formula2>NaN</formula2>
    </dataValidation>
    <dataValidation type="whole" allowBlank="1" showInputMessage="1" showErrorMessage="1" sqref="J57">
      <formula1>0</formula1>
      <formula2>NaN</formula2>
    </dataValidation>
    <dataValidation type="whole" allowBlank="1" showInputMessage="1" showErrorMessage="1" sqref="J58">
      <formula1>0</formula1>
      <formula2>NaN</formula2>
    </dataValidation>
    <dataValidation type="whole" allowBlank="1" showInputMessage="1" showErrorMessage="1" sqref="J59">
      <formula1>0</formula1>
      <formula2>NaN</formula2>
    </dataValidation>
    <dataValidation type="whole" allowBlank="1" showInputMessage="1" showErrorMessage="1" sqref="J60">
      <formula1>0</formula1>
      <formula2>NaN</formula2>
    </dataValidation>
    <dataValidation type="whole" allowBlank="1" showInputMessage="1" showErrorMessage="1" sqref="J61">
      <formula1>0</formula1>
      <formula2>NaN</formula2>
    </dataValidation>
    <dataValidation type="whole" allowBlank="1" showInputMessage="1" showErrorMessage="1" sqref="J62">
      <formula1>0</formula1>
      <formula2>NaN</formula2>
    </dataValidation>
    <dataValidation type="whole" allowBlank="1" showInputMessage="1" showErrorMessage="1" sqref="J63">
      <formula1>0</formula1>
      <formula2>NaN</formula2>
    </dataValidation>
    <dataValidation type="whole" allowBlank="1" showInputMessage="1" showErrorMessage="1" sqref="J64">
      <formula1>0</formula1>
      <formula2>NaN</formula2>
    </dataValidation>
    <dataValidation type="whole" allowBlank="1" showInputMessage="1" showErrorMessage="1" sqref="J65">
      <formula1>0</formula1>
      <formula2>NaN</formula2>
    </dataValidation>
    <dataValidation type="whole" allowBlank="1" showInputMessage="1" showErrorMessage="1" sqref="J66">
      <formula1>0</formula1>
      <formula2>NaN</formula2>
    </dataValidation>
    <dataValidation type="whole" allowBlank="1" showInputMessage="1" showErrorMessage="1" sqref="J67">
      <formula1>0</formula1>
      <formula2>NaN</formula2>
    </dataValidation>
    <dataValidation type="whole" allowBlank="1" showInputMessage="1" showErrorMessage="1" sqref="J68">
      <formula1>0</formula1>
      <formula2>NaN</formula2>
    </dataValidation>
    <dataValidation type="whole" allowBlank="1" showInputMessage="1" showErrorMessage="1" sqref="J9">
      <formula1>0</formula1>
      <formula2>NaN</formula2>
    </dataValidation>
    <dataValidation type="whole" allowBlank="1" showInputMessage="1" showErrorMessage="1" sqref="K10">
      <formula1>0</formula1>
      <formula2>NaN</formula2>
    </dataValidation>
    <dataValidation type="whole" allowBlank="1" showInputMessage="1" showErrorMessage="1" sqref="K11">
      <formula1>0</formula1>
      <formula2>NaN</formula2>
    </dataValidation>
    <dataValidation type="whole" allowBlank="1" showInputMessage="1" showErrorMessage="1" sqref="K12">
      <formula1>0</formula1>
      <formula2>NaN</formula2>
    </dataValidation>
    <dataValidation type="whole" allowBlank="1" showInputMessage="1" showErrorMessage="1" sqref="K13">
      <formula1>0</formula1>
      <formula2>NaN</formula2>
    </dataValidation>
    <dataValidation type="whole" allowBlank="1" showInputMessage="1" showErrorMessage="1" sqref="K14">
      <formula1>0</formula1>
      <formula2>NaN</formula2>
    </dataValidation>
    <dataValidation type="whole" allowBlank="1" showInputMessage="1" showErrorMessage="1" sqref="K15">
      <formula1>0</formula1>
      <formula2>NaN</formula2>
    </dataValidation>
    <dataValidation type="whole" allowBlank="1" showInputMessage="1" showErrorMessage="1" sqref="K16">
      <formula1>0</formula1>
      <formula2>NaN</formula2>
    </dataValidation>
    <dataValidation type="whole" allowBlank="1" showInputMessage="1" showErrorMessage="1" sqref="K17">
      <formula1>0</formula1>
      <formula2>NaN</formula2>
    </dataValidation>
    <dataValidation type="whole" allowBlank="1" showInputMessage="1" showErrorMessage="1" sqref="K18">
      <formula1>0</formula1>
      <formula2>NaN</formula2>
    </dataValidation>
    <dataValidation type="whole" allowBlank="1" showInputMessage="1" showErrorMessage="1" sqref="K19">
      <formula1>0</formula1>
      <formula2>NaN</formula2>
    </dataValidation>
    <dataValidation type="whole" allowBlank="1" showInputMessage="1" showErrorMessage="1" sqref="K20">
      <formula1>0</formula1>
      <formula2>NaN</formula2>
    </dataValidation>
    <dataValidation type="whole" allowBlank="1" showInputMessage="1" showErrorMessage="1" sqref="K21">
      <formula1>0</formula1>
      <formula2>NaN</formula2>
    </dataValidation>
    <dataValidation type="whole" allowBlank="1" showInputMessage="1" showErrorMessage="1" sqref="K22">
      <formula1>0</formula1>
      <formula2>NaN</formula2>
    </dataValidation>
    <dataValidation type="whole" allowBlank="1" showInputMessage="1" showErrorMessage="1" sqref="K23">
      <formula1>0</formula1>
      <formula2>NaN</formula2>
    </dataValidation>
    <dataValidation type="whole" allowBlank="1" showInputMessage="1" showErrorMessage="1" sqref="K24">
      <formula1>0</formula1>
      <formula2>NaN</formula2>
    </dataValidation>
    <dataValidation type="whole" allowBlank="1" showInputMessage="1" showErrorMessage="1" sqref="K25">
      <formula1>0</formula1>
      <formula2>NaN</formula2>
    </dataValidation>
    <dataValidation type="whole" allowBlank="1" showInputMessage="1" showErrorMessage="1" sqref="K26">
      <formula1>0</formula1>
      <formula2>NaN</formula2>
    </dataValidation>
    <dataValidation type="whole" allowBlank="1" showInputMessage="1" showErrorMessage="1" sqref="K27">
      <formula1>0</formula1>
      <formula2>NaN</formula2>
    </dataValidation>
    <dataValidation type="whole" allowBlank="1" showInputMessage="1" showErrorMessage="1" sqref="K28">
      <formula1>0</formula1>
      <formula2>NaN</formula2>
    </dataValidation>
    <dataValidation type="whole" allowBlank="1" showInputMessage="1" showErrorMessage="1" sqref="K29">
      <formula1>0</formula1>
      <formula2>NaN</formula2>
    </dataValidation>
    <dataValidation type="whole" allowBlank="1" showInputMessage="1" showErrorMessage="1" sqref="K30">
      <formula1>0</formula1>
      <formula2>NaN</formula2>
    </dataValidation>
    <dataValidation type="whole" allowBlank="1" showInputMessage="1" showErrorMessage="1" sqref="K31">
      <formula1>0</formula1>
      <formula2>NaN</formula2>
    </dataValidation>
    <dataValidation type="whole" allowBlank="1" showInputMessage="1" showErrorMessage="1" sqref="K32">
      <formula1>0</formula1>
      <formula2>NaN</formula2>
    </dataValidation>
    <dataValidation type="whole" allowBlank="1" showInputMessage="1" showErrorMessage="1" sqref="K33">
      <formula1>0</formula1>
      <formula2>NaN</formula2>
    </dataValidation>
    <dataValidation type="whole" allowBlank="1" showInputMessage="1" showErrorMessage="1" sqref="K34">
      <formula1>0</formula1>
      <formula2>NaN</formula2>
    </dataValidation>
    <dataValidation type="whole" allowBlank="1" showInputMessage="1" showErrorMessage="1" sqref="K35">
      <formula1>0</formula1>
      <formula2>NaN</formula2>
    </dataValidation>
    <dataValidation type="whole" allowBlank="1" showInputMessage="1" showErrorMessage="1" sqref="K36">
      <formula1>0</formula1>
      <formula2>NaN</formula2>
    </dataValidation>
    <dataValidation type="whole" allowBlank="1" showInputMessage="1" showErrorMessage="1" sqref="K37">
      <formula1>0</formula1>
      <formula2>NaN</formula2>
    </dataValidation>
    <dataValidation type="whole" allowBlank="1" showInputMessage="1" showErrorMessage="1" sqref="K38">
      <formula1>0</formula1>
      <formula2>NaN</formula2>
    </dataValidation>
    <dataValidation type="whole" allowBlank="1" showInputMessage="1" showErrorMessage="1" sqref="K39">
      <formula1>0</formula1>
      <formula2>NaN</formula2>
    </dataValidation>
    <dataValidation type="whole" allowBlank="1" showInputMessage="1" showErrorMessage="1" sqref="K40">
      <formula1>0</formula1>
      <formula2>NaN</formula2>
    </dataValidation>
    <dataValidation type="whole" allowBlank="1" showInputMessage="1" showErrorMessage="1" sqref="K41">
      <formula1>0</formula1>
      <formula2>NaN</formula2>
    </dataValidation>
    <dataValidation type="whole" allowBlank="1" showInputMessage="1" showErrorMessage="1" sqref="K42">
      <formula1>0</formula1>
      <formula2>NaN</formula2>
    </dataValidation>
    <dataValidation type="whole" allowBlank="1" showInputMessage="1" showErrorMessage="1" sqref="K43">
      <formula1>0</formula1>
      <formula2>NaN</formula2>
    </dataValidation>
    <dataValidation type="whole" allowBlank="1" showInputMessage="1" showErrorMessage="1" sqref="K44">
      <formula1>0</formula1>
      <formula2>NaN</formula2>
    </dataValidation>
    <dataValidation type="whole" allowBlank="1" showInputMessage="1" showErrorMessage="1" sqref="K45">
      <formula1>0</formula1>
      <formula2>NaN</formula2>
    </dataValidation>
    <dataValidation type="whole" allowBlank="1" showInputMessage="1" showErrorMessage="1" sqref="K46">
      <formula1>0</formula1>
      <formula2>NaN</formula2>
    </dataValidation>
    <dataValidation type="whole" allowBlank="1" showInputMessage="1" showErrorMessage="1" sqref="K47">
      <formula1>0</formula1>
      <formula2>NaN</formula2>
    </dataValidation>
    <dataValidation type="whole" allowBlank="1" showInputMessage="1" showErrorMessage="1" sqref="K48">
      <formula1>0</formula1>
      <formula2>NaN</formula2>
    </dataValidation>
    <dataValidation type="whole" allowBlank="1" showInputMessage="1" showErrorMessage="1" sqref="K49">
      <formula1>0</formula1>
      <formula2>NaN</formula2>
    </dataValidation>
    <dataValidation type="whole" allowBlank="1" showInputMessage="1" showErrorMessage="1" sqref="K50">
      <formula1>0</formula1>
      <formula2>NaN</formula2>
    </dataValidation>
    <dataValidation type="whole" allowBlank="1" showInputMessage="1" showErrorMessage="1" sqref="K51">
      <formula1>0</formula1>
      <formula2>NaN</formula2>
    </dataValidation>
    <dataValidation type="whole" allowBlank="1" showInputMessage="1" showErrorMessage="1" sqref="K52">
      <formula1>0</formula1>
      <formula2>NaN</formula2>
    </dataValidation>
    <dataValidation type="whole" allowBlank="1" showInputMessage="1" showErrorMessage="1" sqref="K53">
      <formula1>0</formula1>
      <formula2>NaN</formula2>
    </dataValidation>
    <dataValidation type="whole" allowBlank="1" showInputMessage="1" showErrorMessage="1" sqref="K54">
      <formula1>0</formula1>
      <formula2>NaN</formula2>
    </dataValidation>
    <dataValidation type="whole" allowBlank="1" showInputMessage="1" showErrorMessage="1" sqref="K55">
      <formula1>0</formula1>
      <formula2>NaN</formula2>
    </dataValidation>
    <dataValidation type="whole" allowBlank="1" showInputMessage="1" showErrorMessage="1" sqref="K56">
      <formula1>0</formula1>
      <formula2>NaN</formula2>
    </dataValidation>
    <dataValidation type="whole" allowBlank="1" showInputMessage="1" showErrorMessage="1" sqref="K57">
      <formula1>0</formula1>
      <formula2>NaN</formula2>
    </dataValidation>
    <dataValidation type="whole" allowBlank="1" showInputMessage="1" showErrorMessage="1" sqref="K58">
      <formula1>0</formula1>
      <formula2>NaN</formula2>
    </dataValidation>
    <dataValidation type="whole" allowBlank="1" showInputMessage="1" showErrorMessage="1" sqref="K59">
      <formula1>0</formula1>
      <formula2>NaN</formula2>
    </dataValidation>
    <dataValidation type="whole" allowBlank="1" showInputMessage="1" showErrorMessage="1" sqref="K60">
      <formula1>0</formula1>
      <formula2>NaN</formula2>
    </dataValidation>
    <dataValidation type="whole" allowBlank="1" showInputMessage="1" showErrorMessage="1" sqref="K61">
      <formula1>0</formula1>
      <formula2>NaN</formula2>
    </dataValidation>
    <dataValidation type="whole" allowBlank="1" showInputMessage="1" showErrorMessage="1" sqref="K62">
      <formula1>0</formula1>
      <formula2>NaN</formula2>
    </dataValidation>
    <dataValidation type="whole" allowBlank="1" showInputMessage="1" showErrorMessage="1" sqref="K63">
      <formula1>0</formula1>
      <formula2>NaN</formula2>
    </dataValidation>
    <dataValidation type="whole" allowBlank="1" showInputMessage="1" showErrorMessage="1" sqref="K64">
      <formula1>0</formula1>
      <formula2>NaN</formula2>
    </dataValidation>
    <dataValidation type="whole" allowBlank="1" showInputMessage="1" showErrorMessage="1" sqref="K65">
      <formula1>0</formula1>
      <formula2>NaN</formula2>
    </dataValidation>
    <dataValidation type="whole" allowBlank="1" showInputMessage="1" showErrorMessage="1" sqref="K66">
      <formula1>0</formula1>
      <formula2>NaN</formula2>
    </dataValidation>
    <dataValidation type="whole" allowBlank="1" showInputMessage="1" showErrorMessage="1" sqref="K67">
      <formula1>0</formula1>
      <formula2>NaN</formula2>
    </dataValidation>
    <dataValidation type="whole" allowBlank="1" showInputMessage="1" showErrorMessage="1" sqref="K68">
      <formula1>0</formula1>
      <formula2>NaN</formula2>
    </dataValidation>
    <dataValidation type="whole" allowBlank="1" showInputMessage="1" showErrorMessage="1" sqref="K9">
      <formula1>0</formula1>
      <formula2>NaN</formula2>
    </dataValidation>
    <dataValidation type="whole" allowBlank="1" showInputMessage="1" showErrorMessage="1" sqref="L10">
      <formula1>0</formula1>
      <formula2>NaN</formula2>
    </dataValidation>
    <dataValidation type="whole" allowBlank="1" showInputMessage="1" showErrorMessage="1" sqref="L11">
      <formula1>0</formula1>
      <formula2>NaN</formula2>
    </dataValidation>
    <dataValidation type="whole" allowBlank="1" showInputMessage="1" showErrorMessage="1" sqref="L12">
      <formula1>0</formula1>
      <formula2>NaN</formula2>
    </dataValidation>
    <dataValidation type="whole" allowBlank="1" showInputMessage="1" showErrorMessage="1" sqref="L13">
      <formula1>0</formula1>
      <formula2>NaN</formula2>
    </dataValidation>
    <dataValidation type="whole" allowBlank="1" showInputMessage="1" showErrorMessage="1" sqref="L14">
      <formula1>0</formula1>
      <formula2>NaN</formula2>
    </dataValidation>
    <dataValidation type="whole" allowBlank="1" showInputMessage="1" showErrorMessage="1" sqref="L15">
      <formula1>0</formula1>
      <formula2>NaN</formula2>
    </dataValidation>
    <dataValidation type="whole" allowBlank="1" showInputMessage="1" showErrorMessage="1" sqref="L16">
      <formula1>0</formula1>
      <formula2>NaN</formula2>
    </dataValidation>
    <dataValidation type="whole" allowBlank="1" showInputMessage="1" showErrorMessage="1" sqref="L17">
      <formula1>0</formula1>
      <formula2>NaN</formula2>
    </dataValidation>
    <dataValidation type="whole" allowBlank="1" showInputMessage="1" showErrorMessage="1" sqref="L18">
      <formula1>0</formula1>
      <formula2>NaN</formula2>
    </dataValidation>
    <dataValidation type="whole" allowBlank="1" showInputMessage="1" showErrorMessage="1" sqref="L19">
      <formula1>0</formula1>
      <formula2>NaN</formula2>
    </dataValidation>
    <dataValidation type="whole" allowBlank="1" showInputMessage="1" showErrorMessage="1" sqref="L20">
      <formula1>0</formula1>
      <formula2>NaN</formula2>
    </dataValidation>
    <dataValidation type="whole" allowBlank="1" showInputMessage="1" showErrorMessage="1" sqref="L21">
      <formula1>0</formula1>
      <formula2>NaN</formula2>
    </dataValidation>
    <dataValidation type="whole" allowBlank="1" showInputMessage="1" showErrorMessage="1" sqref="L22">
      <formula1>0</formula1>
      <formula2>NaN</formula2>
    </dataValidation>
    <dataValidation type="whole" allowBlank="1" showInputMessage="1" showErrorMessage="1" sqref="L23">
      <formula1>0</formula1>
      <formula2>NaN</formula2>
    </dataValidation>
    <dataValidation type="whole" allowBlank="1" showInputMessage="1" showErrorMessage="1" sqref="L24">
      <formula1>0</formula1>
      <formula2>NaN</formula2>
    </dataValidation>
    <dataValidation type="whole" allowBlank="1" showInputMessage="1" showErrorMessage="1" sqref="L25">
      <formula1>0</formula1>
      <formula2>NaN</formula2>
    </dataValidation>
    <dataValidation type="whole" allowBlank="1" showInputMessage="1" showErrorMessage="1" sqref="L26">
      <formula1>0</formula1>
      <formula2>NaN</formula2>
    </dataValidation>
    <dataValidation type="whole" allowBlank="1" showInputMessage="1" showErrorMessage="1" sqref="L27">
      <formula1>0</formula1>
      <formula2>NaN</formula2>
    </dataValidation>
    <dataValidation type="whole" allowBlank="1" showInputMessage="1" showErrorMessage="1" sqref="L28">
      <formula1>0</formula1>
      <formula2>NaN</formula2>
    </dataValidation>
    <dataValidation type="whole" allowBlank="1" showInputMessage="1" showErrorMessage="1" sqref="L29">
      <formula1>0</formula1>
      <formula2>NaN</formula2>
    </dataValidation>
    <dataValidation type="whole" allowBlank="1" showInputMessage="1" showErrorMessage="1" sqref="L30">
      <formula1>0</formula1>
      <formula2>NaN</formula2>
    </dataValidation>
    <dataValidation type="whole" allowBlank="1" showInputMessage="1" showErrorMessage="1" sqref="L31">
      <formula1>0</formula1>
      <formula2>NaN</formula2>
    </dataValidation>
    <dataValidation type="whole" allowBlank="1" showInputMessage="1" showErrorMessage="1" sqref="L32">
      <formula1>0</formula1>
      <formula2>NaN</formula2>
    </dataValidation>
    <dataValidation type="whole" allowBlank="1" showInputMessage="1" showErrorMessage="1" sqref="L33">
      <formula1>0</formula1>
      <formula2>NaN</formula2>
    </dataValidation>
    <dataValidation type="whole" allowBlank="1" showInputMessage="1" showErrorMessage="1" sqref="L34">
      <formula1>0</formula1>
      <formula2>NaN</formula2>
    </dataValidation>
    <dataValidation type="whole" allowBlank="1" showInputMessage="1" showErrorMessage="1" sqref="L35">
      <formula1>0</formula1>
      <formula2>NaN</formula2>
    </dataValidation>
    <dataValidation type="whole" allowBlank="1" showInputMessage="1" showErrorMessage="1" sqref="L36">
      <formula1>0</formula1>
      <formula2>NaN</formula2>
    </dataValidation>
    <dataValidation type="whole" allowBlank="1" showInputMessage="1" showErrorMessage="1" sqref="L37">
      <formula1>0</formula1>
      <formula2>NaN</formula2>
    </dataValidation>
    <dataValidation type="whole" allowBlank="1" showInputMessage="1" showErrorMessage="1" sqref="L38">
      <formula1>0</formula1>
      <formula2>NaN</formula2>
    </dataValidation>
    <dataValidation type="whole" allowBlank="1" showInputMessage="1" showErrorMessage="1" sqref="L39">
      <formula1>0</formula1>
      <formula2>NaN</formula2>
    </dataValidation>
    <dataValidation type="whole" allowBlank="1" showInputMessage="1" showErrorMessage="1" sqref="L40">
      <formula1>0</formula1>
      <formula2>NaN</formula2>
    </dataValidation>
    <dataValidation type="whole" allowBlank="1" showInputMessage="1" showErrorMessage="1" sqref="L41">
      <formula1>0</formula1>
      <formula2>NaN</formula2>
    </dataValidation>
    <dataValidation type="whole" allowBlank="1" showInputMessage="1" showErrorMessage="1" sqref="L42">
      <formula1>0</formula1>
      <formula2>NaN</formula2>
    </dataValidation>
    <dataValidation type="whole" allowBlank="1" showInputMessage="1" showErrorMessage="1" sqref="L43">
      <formula1>0</formula1>
      <formula2>NaN</formula2>
    </dataValidation>
    <dataValidation type="whole" allowBlank="1" showInputMessage="1" showErrorMessage="1" sqref="L44">
      <formula1>0</formula1>
      <formula2>NaN</formula2>
    </dataValidation>
    <dataValidation type="whole" allowBlank="1" showInputMessage="1" showErrorMessage="1" sqref="L45">
      <formula1>0</formula1>
      <formula2>NaN</formula2>
    </dataValidation>
    <dataValidation type="whole" allowBlank="1" showInputMessage="1" showErrorMessage="1" sqref="L46">
      <formula1>0</formula1>
      <formula2>NaN</formula2>
    </dataValidation>
    <dataValidation type="whole" allowBlank="1" showInputMessage="1" showErrorMessage="1" sqref="L47">
      <formula1>0</formula1>
      <formula2>NaN</formula2>
    </dataValidation>
    <dataValidation type="whole" allowBlank="1" showInputMessage="1" showErrorMessage="1" sqref="L48">
      <formula1>0</formula1>
      <formula2>NaN</formula2>
    </dataValidation>
    <dataValidation type="whole" allowBlank="1" showInputMessage="1" showErrorMessage="1" sqref="L49">
      <formula1>0</formula1>
      <formula2>NaN</formula2>
    </dataValidation>
    <dataValidation type="whole" allowBlank="1" showInputMessage="1" showErrorMessage="1" sqref="L50">
      <formula1>0</formula1>
      <formula2>NaN</formula2>
    </dataValidation>
    <dataValidation type="whole" allowBlank="1" showInputMessage="1" showErrorMessage="1" sqref="L51">
      <formula1>0</formula1>
      <formula2>NaN</formula2>
    </dataValidation>
    <dataValidation type="whole" allowBlank="1" showInputMessage="1" showErrorMessage="1" sqref="L52">
      <formula1>0</formula1>
      <formula2>NaN</formula2>
    </dataValidation>
    <dataValidation type="whole" allowBlank="1" showInputMessage="1" showErrorMessage="1" sqref="L53">
      <formula1>0</formula1>
      <formula2>NaN</formula2>
    </dataValidation>
    <dataValidation type="whole" allowBlank="1" showInputMessage="1" showErrorMessage="1" sqref="L54">
      <formula1>0</formula1>
      <formula2>NaN</formula2>
    </dataValidation>
    <dataValidation type="whole" allowBlank="1" showInputMessage="1" showErrorMessage="1" sqref="L55">
      <formula1>0</formula1>
      <formula2>NaN</formula2>
    </dataValidation>
    <dataValidation type="whole" allowBlank="1" showInputMessage="1" showErrorMessage="1" sqref="L56">
      <formula1>0</formula1>
      <formula2>NaN</formula2>
    </dataValidation>
    <dataValidation type="whole" allowBlank="1" showInputMessage="1" showErrorMessage="1" sqref="L57">
      <formula1>0</formula1>
      <formula2>NaN</formula2>
    </dataValidation>
    <dataValidation type="whole" allowBlank="1" showInputMessage="1" showErrorMessage="1" sqref="L58">
      <formula1>0</formula1>
      <formula2>NaN</formula2>
    </dataValidation>
    <dataValidation type="whole" allowBlank="1" showInputMessage="1" showErrorMessage="1" sqref="L59">
      <formula1>0</formula1>
      <formula2>NaN</formula2>
    </dataValidation>
    <dataValidation type="whole" allowBlank="1" showInputMessage="1" showErrorMessage="1" sqref="L60">
      <formula1>0</formula1>
      <formula2>NaN</formula2>
    </dataValidation>
    <dataValidation type="whole" allowBlank="1" showInputMessage="1" showErrorMessage="1" sqref="L61">
      <formula1>0</formula1>
      <formula2>NaN</formula2>
    </dataValidation>
    <dataValidation type="whole" allowBlank="1" showInputMessage="1" showErrorMessage="1" sqref="L62">
      <formula1>0</formula1>
      <formula2>NaN</formula2>
    </dataValidation>
    <dataValidation type="whole" allowBlank="1" showInputMessage="1" showErrorMessage="1" sqref="L63">
      <formula1>0</formula1>
      <formula2>NaN</formula2>
    </dataValidation>
    <dataValidation type="whole" allowBlank="1" showInputMessage="1" showErrorMessage="1" sqref="L64">
      <formula1>0</formula1>
      <formula2>NaN</formula2>
    </dataValidation>
    <dataValidation type="whole" allowBlank="1" showInputMessage="1" showErrorMessage="1" sqref="L65">
      <formula1>0</formula1>
      <formula2>NaN</formula2>
    </dataValidation>
    <dataValidation type="whole" allowBlank="1" showInputMessage="1" showErrorMessage="1" sqref="L66">
      <formula1>0</formula1>
      <formula2>NaN</formula2>
    </dataValidation>
    <dataValidation type="whole" allowBlank="1" showInputMessage="1" showErrorMessage="1" sqref="L67">
      <formula1>0</formula1>
      <formula2>NaN</formula2>
    </dataValidation>
    <dataValidation type="whole" allowBlank="1" showInputMessage="1" showErrorMessage="1" sqref="L68">
      <formula1>0</formula1>
      <formula2>NaN</formula2>
    </dataValidation>
    <dataValidation type="whole" allowBlank="1" showInputMessage="1" showErrorMessage="1" sqref="L9">
      <formula1>0</formula1>
      <formula2>NaN</formula2>
    </dataValidation>
    <dataValidation type="whole" allowBlank="1" showInputMessage="1" showErrorMessage="1" sqref="M10">
      <formula1>0</formula1>
      <formula2>NaN</formula2>
    </dataValidation>
    <dataValidation type="whole" allowBlank="1" showInputMessage="1" showErrorMessage="1" sqref="M11">
      <formula1>0</formula1>
      <formula2>NaN</formula2>
    </dataValidation>
    <dataValidation type="whole" allowBlank="1" showInputMessage="1" showErrorMessage="1" sqref="M12">
      <formula1>0</formula1>
      <formula2>NaN</formula2>
    </dataValidation>
    <dataValidation type="whole" allowBlank="1" showInputMessage="1" showErrorMessage="1" sqref="M13">
      <formula1>0</formula1>
      <formula2>NaN</formula2>
    </dataValidation>
    <dataValidation type="whole" allowBlank="1" showInputMessage="1" showErrorMessage="1" sqref="M14">
      <formula1>0</formula1>
      <formula2>NaN</formula2>
    </dataValidation>
    <dataValidation type="whole" allowBlank="1" showInputMessage="1" showErrorMessage="1" sqref="M15">
      <formula1>0</formula1>
      <formula2>NaN</formula2>
    </dataValidation>
    <dataValidation type="whole" allowBlank="1" showInputMessage="1" showErrorMessage="1" sqref="M16">
      <formula1>0</formula1>
      <formula2>NaN</formula2>
    </dataValidation>
    <dataValidation type="whole" allowBlank="1" showInputMessage="1" showErrorMessage="1" sqref="M17">
      <formula1>0</formula1>
      <formula2>NaN</formula2>
    </dataValidation>
    <dataValidation type="whole" allowBlank="1" showInputMessage="1" showErrorMessage="1" sqref="M18">
      <formula1>0</formula1>
      <formula2>NaN</formula2>
    </dataValidation>
    <dataValidation type="whole" allowBlank="1" showInputMessage="1" showErrorMessage="1" sqref="M19">
      <formula1>0</formula1>
      <formula2>NaN</formula2>
    </dataValidation>
    <dataValidation type="whole" allowBlank="1" showInputMessage="1" showErrorMessage="1" sqref="M20">
      <formula1>0</formula1>
      <formula2>NaN</formula2>
    </dataValidation>
    <dataValidation type="whole" allowBlank="1" showInputMessage="1" showErrorMessage="1" sqref="M21">
      <formula1>0</formula1>
      <formula2>NaN</formula2>
    </dataValidation>
    <dataValidation type="whole" allowBlank="1" showInputMessage="1" showErrorMessage="1" sqref="M22">
      <formula1>0</formula1>
      <formula2>NaN</formula2>
    </dataValidation>
    <dataValidation type="whole" allowBlank="1" showInputMessage="1" showErrorMessage="1" sqref="M23">
      <formula1>0</formula1>
      <formula2>NaN</formula2>
    </dataValidation>
    <dataValidation type="whole" allowBlank="1" showInputMessage="1" showErrorMessage="1" sqref="M24">
      <formula1>0</formula1>
      <formula2>NaN</formula2>
    </dataValidation>
    <dataValidation type="whole" allowBlank="1" showInputMessage="1" showErrorMessage="1" sqref="M25">
      <formula1>0</formula1>
      <formula2>NaN</formula2>
    </dataValidation>
    <dataValidation type="whole" allowBlank="1" showInputMessage="1" showErrorMessage="1" sqref="M26">
      <formula1>0</formula1>
      <formula2>NaN</formula2>
    </dataValidation>
    <dataValidation type="whole" allowBlank="1" showInputMessage="1" showErrorMessage="1" sqref="M27">
      <formula1>0</formula1>
      <formula2>NaN</formula2>
    </dataValidation>
    <dataValidation type="whole" allowBlank="1" showInputMessage="1" showErrorMessage="1" sqref="M28">
      <formula1>0</formula1>
      <formula2>NaN</formula2>
    </dataValidation>
    <dataValidation type="whole" allowBlank="1" showInputMessage="1" showErrorMessage="1" sqref="M29">
      <formula1>0</formula1>
      <formula2>NaN</formula2>
    </dataValidation>
    <dataValidation type="whole" allowBlank="1" showInputMessage="1" showErrorMessage="1" sqref="M30">
      <formula1>0</formula1>
      <formula2>NaN</formula2>
    </dataValidation>
    <dataValidation type="whole" allowBlank="1" showInputMessage="1" showErrorMessage="1" sqref="M31">
      <formula1>0</formula1>
      <formula2>NaN</formula2>
    </dataValidation>
    <dataValidation type="whole" allowBlank="1" showInputMessage="1" showErrorMessage="1" sqref="M32">
      <formula1>0</formula1>
      <formula2>NaN</formula2>
    </dataValidation>
    <dataValidation type="whole" allowBlank="1" showInputMessage="1" showErrorMessage="1" sqref="M33">
      <formula1>0</formula1>
      <formula2>NaN</formula2>
    </dataValidation>
    <dataValidation type="whole" allowBlank="1" showInputMessage="1" showErrorMessage="1" sqref="M34">
      <formula1>0</formula1>
      <formula2>NaN</formula2>
    </dataValidation>
    <dataValidation type="whole" allowBlank="1" showInputMessage="1" showErrorMessage="1" sqref="M35">
      <formula1>0</formula1>
      <formula2>NaN</formula2>
    </dataValidation>
    <dataValidation type="whole" allowBlank="1" showInputMessage="1" showErrorMessage="1" sqref="M36">
      <formula1>0</formula1>
      <formula2>NaN</formula2>
    </dataValidation>
    <dataValidation type="whole" allowBlank="1" showInputMessage="1" showErrorMessage="1" sqref="M37">
      <formula1>0</formula1>
      <formula2>NaN</formula2>
    </dataValidation>
    <dataValidation type="whole" allowBlank="1" showInputMessage="1" showErrorMessage="1" sqref="M38">
      <formula1>0</formula1>
      <formula2>NaN</formula2>
    </dataValidation>
    <dataValidation type="whole" allowBlank="1" showInputMessage="1" showErrorMessage="1" sqref="M39">
      <formula1>0</formula1>
      <formula2>NaN</formula2>
    </dataValidation>
    <dataValidation type="whole" allowBlank="1" showInputMessage="1" showErrorMessage="1" sqref="M40">
      <formula1>0</formula1>
      <formula2>NaN</formula2>
    </dataValidation>
    <dataValidation type="whole" allowBlank="1" showInputMessage="1" showErrorMessage="1" sqref="M41">
      <formula1>0</formula1>
      <formula2>NaN</formula2>
    </dataValidation>
    <dataValidation type="whole" allowBlank="1" showInputMessage="1" showErrorMessage="1" sqref="M42">
      <formula1>0</formula1>
      <formula2>NaN</formula2>
    </dataValidation>
    <dataValidation type="whole" allowBlank="1" showInputMessage="1" showErrorMessage="1" sqref="M43">
      <formula1>0</formula1>
      <formula2>NaN</formula2>
    </dataValidation>
    <dataValidation type="whole" allowBlank="1" showInputMessage="1" showErrorMessage="1" sqref="M44">
      <formula1>0</formula1>
      <formula2>NaN</formula2>
    </dataValidation>
    <dataValidation type="whole" allowBlank="1" showInputMessage="1" showErrorMessage="1" sqref="M45">
      <formula1>0</formula1>
      <formula2>NaN</formula2>
    </dataValidation>
    <dataValidation type="whole" allowBlank="1" showInputMessage="1" showErrorMessage="1" sqref="M46">
      <formula1>0</formula1>
      <formula2>NaN</formula2>
    </dataValidation>
    <dataValidation type="whole" allowBlank="1" showInputMessage="1" showErrorMessage="1" sqref="M47">
      <formula1>0</formula1>
      <formula2>NaN</formula2>
    </dataValidation>
    <dataValidation type="whole" allowBlank="1" showInputMessage="1" showErrorMessage="1" sqref="M48">
      <formula1>0</formula1>
      <formula2>NaN</formula2>
    </dataValidation>
    <dataValidation type="whole" allowBlank="1" showInputMessage="1" showErrorMessage="1" sqref="M49">
      <formula1>0</formula1>
      <formula2>NaN</formula2>
    </dataValidation>
    <dataValidation type="whole" allowBlank="1" showInputMessage="1" showErrorMessage="1" sqref="M50">
      <formula1>0</formula1>
      <formula2>NaN</formula2>
    </dataValidation>
    <dataValidation type="whole" allowBlank="1" showInputMessage="1" showErrorMessage="1" sqref="M51">
      <formula1>0</formula1>
      <formula2>NaN</formula2>
    </dataValidation>
    <dataValidation type="whole" allowBlank="1" showInputMessage="1" showErrorMessage="1" sqref="M52">
      <formula1>0</formula1>
      <formula2>NaN</formula2>
    </dataValidation>
    <dataValidation type="whole" allowBlank="1" showInputMessage="1" showErrorMessage="1" sqref="M53">
      <formula1>0</formula1>
      <formula2>NaN</formula2>
    </dataValidation>
    <dataValidation type="whole" allowBlank="1" showInputMessage="1" showErrorMessage="1" sqref="M54">
      <formula1>0</formula1>
      <formula2>NaN</formula2>
    </dataValidation>
    <dataValidation type="whole" allowBlank="1" showInputMessage="1" showErrorMessage="1" sqref="M55">
      <formula1>0</formula1>
      <formula2>NaN</formula2>
    </dataValidation>
    <dataValidation type="whole" allowBlank="1" showInputMessage="1" showErrorMessage="1" sqref="M56">
      <formula1>0</formula1>
      <formula2>NaN</formula2>
    </dataValidation>
    <dataValidation type="whole" allowBlank="1" showInputMessage="1" showErrorMessage="1" sqref="M57">
      <formula1>0</formula1>
      <formula2>NaN</formula2>
    </dataValidation>
    <dataValidation type="whole" allowBlank="1" showInputMessage="1" showErrorMessage="1" sqref="M58">
      <formula1>0</formula1>
      <formula2>NaN</formula2>
    </dataValidation>
    <dataValidation type="whole" allowBlank="1" showInputMessage="1" showErrorMessage="1" sqref="M59">
      <formula1>0</formula1>
      <formula2>NaN</formula2>
    </dataValidation>
    <dataValidation type="whole" allowBlank="1" showInputMessage="1" showErrorMessage="1" sqref="M60">
      <formula1>0</formula1>
      <formula2>NaN</formula2>
    </dataValidation>
    <dataValidation type="whole" allowBlank="1" showInputMessage="1" showErrorMessage="1" sqref="M61">
      <formula1>0</formula1>
      <formula2>NaN</formula2>
    </dataValidation>
    <dataValidation type="whole" allowBlank="1" showInputMessage="1" showErrorMessage="1" sqref="M62">
      <formula1>0</formula1>
      <formula2>NaN</formula2>
    </dataValidation>
    <dataValidation type="whole" allowBlank="1" showInputMessage="1" showErrorMessage="1" sqref="M63">
      <formula1>0</formula1>
      <formula2>NaN</formula2>
    </dataValidation>
    <dataValidation type="whole" allowBlank="1" showInputMessage="1" showErrorMessage="1" sqref="M64">
      <formula1>0</formula1>
      <formula2>NaN</formula2>
    </dataValidation>
    <dataValidation type="whole" allowBlank="1" showInputMessage="1" showErrorMessage="1" sqref="M65">
      <formula1>0</formula1>
      <formula2>NaN</formula2>
    </dataValidation>
    <dataValidation type="whole" allowBlank="1" showInputMessage="1" showErrorMessage="1" sqref="M66">
      <formula1>0</formula1>
      <formula2>NaN</formula2>
    </dataValidation>
    <dataValidation type="whole" allowBlank="1" showInputMessage="1" showErrorMessage="1" sqref="M67">
      <formula1>0</formula1>
      <formula2>NaN</formula2>
    </dataValidation>
    <dataValidation type="whole" allowBlank="1" showInputMessage="1" showErrorMessage="1" sqref="M68">
      <formula1>0</formula1>
      <formula2>NaN</formula2>
    </dataValidation>
    <dataValidation type="whole" allowBlank="1" showInputMessage="1" showErrorMessage="1" sqref="M9">
      <formula1>0</formula1>
      <formula2>NaN</formula2>
    </dataValidation>
    <dataValidation type="whole" allowBlank="1" showInputMessage="1" showErrorMessage="1" sqref="N10">
      <formula1>0</formula1>
      <formula2>NaN</formula2>
    </dataValidation>
    <dataValidation type="whole" allowBlank="1" showInputMessage="1" showErrorMessage="1" sqref="N11">
      <formula1>0</formula1>
      <formula2>NaN</formula2>
    </dataValidation>
    <dataValidation type="whole" allowBlank="1" showInputMessage="1" showErrorMessage="1" sqref="N12">
      <formula1>0</formula1>
      <formula2>NaN</formula2>
    </dataValidation>
    <dataValidation type="whole" allowBlank="1" showInputMessage="1" showErrorMessage="1" sqref="N13">
      <formula1>0</formula1>
      <formula2>NaN</formula2>
    </dataValidation>
    <dataValidation type="whole" allowBlank="1" showInputMessage="1" showErrorMessage="1" sqref="N14">
      <formula1>0</formula1>
      <formula2>NaN</formula2>
    </dataValidation>
    <dataValidation type="whole" allowBlank="1" showInputMessage="1" showErrorMessage="1" sqref="N15">
      <formula1>0</formula1>
      <formula2>NaN</formula2>
    </dataValidation>
    <dataValidation type="whole" allowBlank="1" showInputMessage="1" showErrorMessage="1" sqref="N16">
      <formula1>0</formula1>
      <formula2>NaN</formula2>
    </dataValidation>
    <dataValidation type="whole" allowBlank="1" showInputMessage="1" showErrorMessage="1" sqref="N17">
      <formula1>0</formula1>
      <formula2>NaN</formula2>
    </dataValidation>
    <dataValidation type="whole" allowBlank="1" showInputMessage="1" showErrorMessage="1" sqref="N18">
      <formula1>0</formula1>
      <formula2>NaN</formula2>
    </dataValidation>
    <dataValidation type="whole" allowBlank="1" showInputMessage="1" showErrorMessage="1" sqref="N19">
      <formula1>0</formula1>
      <formula2>NaN</formula2>
    </dataValidation>
    <dataValidation type="whole" allowBlank="1" showInputMessage="1" showErrorMessage="1" sqref="N20">
      <formula1>0</formula1>
      <formula2>NaN</formula2>
    </dataValidation>
    <dataValidation type="whole" allowBlank="1" showInputMessage="1" showErrorMessage="1" sqref="N21">
      <formula1>0</formula1>
      <formula2>NaN</formula2>
    </dataValidation>
    <dataValidation type="whole" allowBlank="1" showInputMessage="1" showErrorMessage="1" sqref="N22">
      <formula1>0</formula1>
      <formula2>NaN</formula2>
    </dataValidation>
    <dataValidation type="whole" allowBlank="1" showInputMessage="1" showErrorMessage="1" sqref="N23">
      <formula1>0</formula1>
      <formula2>NaN</formula2>
    </dataValidation>
    <dataValidation type="whole" allowBlank="1" showInputMessage="1" showErrorMessage="1" sqref="N24">
      <formula1>0</formula1>
      <formula2>NaN</formula2>
    </dataValidation>
    <dataValidation type="whole" allowBlank="1" showInputMessage="1" showErrorMessage="1" sqref="N25">
      <formula1>0</formula1>
      <formula2>NaN</formula2>
    </dataValidation>
    <dataValidation type="whole" allowBlank="1" showInputMessage="1" showErrorMessage="1" sqref="N26">
      <formula1>0</formula1>
      <formula2>NaN</formula2>
    </dataValidation>
    <dataValidation type="whole" allowBlank="1" showInputMessage="1" showErrorMessage="1" sqref="N27">
      <formula1>0</formula1>
      <formula2>NaN</formula2>
    </dataValidation>
    <dataValidation type="whole" allowBlank="1" showInputMessage="1" showErrorMessage="1" sqref="N28">
      <formula1>0</formula1>
      <formula2>NaN</formula2>
    </dataValidation>
    <dataValidation type="whole" allowBlank="1" showInputMessage="1" showErrorMessage="1" sqref="N29">
      <formula1>0</formula1>
      <formula2>NaN</formula2>
    </dataValidation>
    <dataValidation type="whole" allowBlank="1" showInputMessage="1" showErrorMessage="1" sqref="N30">
      <formula1>0</formula1>
      <formula2>NaN</formula2>
    </dataValidation>
    <dataValidation type="whole" allowBlank="1" showInputMessage="1" showErrorMessage="1" sqref="N31">
      <formula1>0</formula1>
      <formula2>NaN</formula2>
    </dataValidation>
    <dataValidation type="whole" allowBlank="1" showInputMessage="1" showErrorMessage="1" sqref="N32">
      <formula1>0</formula1>
      <formula2>NaN</formula2>
    </dataValidation>
    <dataValidation type="whole" allowBlank="1" showInputMessage="1" showErrorMessage="1" sqref="N33">
      <formula1>0</formula1>
      <formula2>NaN</formula2>
    </dataValidation>
    <dataValidation type="whole" allowBlank="1" showInputMessage="1" showErrorMessage="1" sqref="N34">
      <formula1>0</formula1>
      <formula2>NaN</formula2>
    </dataValidation>
    <dataValidation type="whole" allowBlank="1" showInputMessage="1" showErrorMessage="1" sqref="N35">
      <formula1>0</formula1>
      <formula2>NaN</formula2>
    </dataValidation>
    <dataValidation type="whole" allowBlank="1" showInputMessage="1" showErrorMessage="1" sqref="N36">
      <formula1>0</formula1>
      <formula2>NaN</formula2>
    </dataValidation>
    <dataValidation type="whole" allowBlank="1" showInputMessage="1" showErrorMessage="1" sqref="N37">
      <formula1>0</formula1>
      <formula2>NaN</formula2>
    </dataValidation>
    <dataValidation type="whole" allowBlank="1" showInputMessage="1" showErrorMessage="1" sqref="N38">
      <formula1>0</formula1>
      <formula2>NaN</formula2>
    </dataValidation>
    <dataValidation type="whole" allowBlank="1" showInputMessage="1" showErrorMessage="1" sqref="N39">
      <formula1>0</formula1>
      <formula2>NaN</formula2>
    </dataValidation>
    <dataValidation type="whole" allowBlank="1" showInputMessage="1" showErrorMessage="1" sqref="N40">
      <formula1>0</formula1>
      <formula2>NaN</formula2>
    </dataValidation>
    <dataValidation type="whole" allowBlank="1" showInputMessage="1" showErrorMessage="1" sqref="N41">
      <formula1>0</formula1>
      <formula2>NaN</formula2>
    </dataValidation>
    <dataValidation type="whole" allowBlank="1" showInputMessage="1" showErrorMessage="1" sqref="N42">
      <formula1>0</formula1>
      <formula2>NaN</formula2>
    </dataValidation>
    <dataValidation type="whole" allowBlank="1" showInputMessage="1" showErrorMessage="1" sqref="N43">
      <formula1>0</formula1>
      <formula2>NaN</formula2>
    </dataValidation>
    <dataValidation type="whole" allowBlank="1" showInputMessage="1" showErrorMessage="1" sqref="N44">
      <formula1>0</formula1>
      <formula2>NaN</formula2>
    </dataValidation>
    <dataValidation type="whole" allowBlank="1" showInputMessage="1" showErrorMessage="1" sqref="N45">
      <formula1>0</formula1>
      <formula2>NaN</formula2>
    </dataValidation>
    <dataValidation type="whole" allowBlank="1" showInputMessage="1" showErrorMessage="1" sqref="N46">
      <formula1>0</formula1>
      <formula2>NaN</formula2>
    </dataValidation>
    <dataValidation type="whole" allowBlank="1" showInputMessage="1" showErrorMessage="1" sqref="N47">
      <formula1>0</formula1>
      <formula2>NaN</formula2>
    </dataValidation>
    <dataValidation type="whole" allowBlank="1" showInputMessage="1" showErrorMessage="1" sqref="N48">
      <formula1>0</formula1>
      <formula2>NaN</formula2>
    </dataValidation>
    <dataValidation type="whole" allowBlank="1" showInputMessage="1" showErrorMessage="1" sqref="N49">
      <formula1>0</formula1>
      <formula2>NaN</formula2>
    </dataValidation>
    <dataValidation type="whole" allowBlank="1" showInputMessage="1" showErrorMessage="1" sqref="N50">
      <formula1>0</formula1>
      <formula2>NaN</formula2>
    </dataValidation>
    <dataValidation type="whole" allowBlank="1" showInputMessage="1" showErrorMessage="1" sqref="N51">
      <formula1>0</formula1>
      <formula2>NaN</formula2>
    </dataValidation>
    <dataValidation type="whole" allowBlank="1" showInputMessage="1" showErrorMessage="1" sqref="N52">
      <formula1>0</formula1>
      <formula2>NaN</formula2>
    </dataValidation>
    <dataValidation type="whole" allowBlank="1" showInputMessage="1" showErrorMessage="1" sqref="N53">
      <formula1>0</formula1>
      <formula2>NaN</formula2>
    </dataValidation>
    <dataValidation type="whole" allowBlank="1" showInputMessage="1" showErrorMessage="1" sqref="N54">
      <formula1>0</formula1>
      <formula2>NaN</formula2>
    </dataValidation>
    <dataValidation type="whole" allowBlank="1" showInputMessage="1" showErrorMessage="1" sqref="N55">
      <formula1>0</formula1>
      <formula2>NaN</formula2>
    </dataValidation>
    <dataValidation type="whole" allowBlank="1" showInputMessage="1" showErrorMessage="1" sqref="N56">
      <formula1>0</formula1>
      <formula2>NaN</formula2>
    </dataValidation>
    <dataValidation type="whole" allowBlank="1" showInputMessage="1" showErrorMessage="1" sqref="N57">
      <formula1>0</formula1>
      <formula2>NaN</formula2>
    </dataValidation>
    <dataValidation type="whole" allowBlank="1" showInputMessage="1" showErrorMessage="1" sqref="N58">
      <formula1>0</formula1>
      <formula2>NaN</formula2>
    </dataValidation>
    <dataValidation type="whole" allowBlank="1" showInputMessage="1" showErrorMessage="1" sqref="N59">
      <formula1>0</formula1>
      <formula2>NaN</formula2>
    </dataValidation>
    <dataValidation type="whole" allowBlank="1" showInputMessage="1" showErrorMessage="1" sqref="N60">
      <formula1>0</formula1>
      <formula2>NaN</formula2>
    </dataValidation>
    <dataValidation type="whole" allowBlank="1" showInputMessage="1" showErrorMessage="1" sqref="N61">
      <formula1>0</formula1>
      <formula2>NaN</formula2>
    </dataValidation>
    <dataValidation type="whole" allowBlank="1" showInputMessage="1" showErrorMessage="1" sqref="N62">
      <formula1>0</formula1>
      <formula2>NaN</formula2>
    </dataValidation>
    <dataValidation type="whole" allowBlank="1" showInputMessage="1" showErrorMessage="1" sqref="N63">
      <formula1>0</formula1>
      <formula2>NaN</formula2>
    </dataValidation>
    <dataValidation type="whole" allowBlank="1" showInputMessage="1" showErrorMessage="1" sqref="N64">
      <formula1>0</formula1>
      <formula2>NaN</formula2>
    </dataValidation>
    <dataValidation type="whole" allowBlank="1" showInputMessage="1" showErrorMessage="1" sqref="N65">
      <formula1>0</formula1>
      <formula2>NaN</formula2>
    </dataValidation>
    <dataValidation type="whole" allowBlank="1" showInputMessage="1" showErrorMessage="1" sqref="N66">
      <formula1>0</formula1>
      <formula2>NaN</formula2>
    </dataValidation>
    <dataValidation type="whole" allowBlank="1" showInputMessage="1" showErrorMessage="1" sqref="N67">
      <formula1>0</formula1>
      <formula2>NaN</formula2>
    </dataValidation>
    <dataValidation type="whole" allowBlank="1" showInputMessage="1" showErrorMessage="1" sqref="N68">
      <formula1>0</formula1>
      <formula2>NaN</formula2>
    </dataValidation>
    <dataValidation type="whole" allowBlank="1" showInputMessage="1" showErrorMessage="1" sqref="N9">
      <formula1>0</formula1>
      <formula2>NaN</formula2>
    </dataValidation>
    <dataValidation type="whole" allowBlank="1" showInputMessage="1" showErrorMessage="1" sqref="O10">
      <formula1>0</formula1>
      <formula2>NaN</formula2>
    </dataValidation>
    <dataValidation type="whole" allowBlank="1" showInputMessage="1" showErrorMessage="1" sqref="O11">
      <formula1>0</formula1>
      <formula2>NaN</formula2>
    </dataValidation>
    <dataValidation type="whole" allowBlank="1" showInputMessage="1" showErrorMessage="1" sqref="O12">
      <formula1>0</formula1>
      <formula2>NaN</formula2>
    </dataValidation>
    <dataValidation type="whole" allowBlank="1" showInputMessage="1" showErrorMessage="1" sqref="O13">
      <formula1>0</formula1>
      <formula2>NaN</formula2>
    </dataValidation>
    <dataValidation type="whole" allowBlank="1" showInputMessage="1" showErrorMessage="1" sqref="O14">
      <formula1>0</formula1>
      <formula2>NaN</formula2>
    </dataValidation>
    <dataValidation type="whole" allowBlank="1" showInputMessage="1" showErrorMessage="1" sqref="O15">
      <formula1>0</formula1>
      <formula2>NaN</formula2>
    </dataValidation>
    <dataValidation type="whole" allowBlank="1" showInputMessage="1" showErrorMessage="1" sqref="O16">
      <formula1>0</formula1>
      <formula2>NaN</formula2>
    </dataValidation>
    <dataValidation type="whole" allowBlank="1" showInputMessage="1" showErrorMessage="1" sqref="O17">
      <formula1>0</formula1>
      <formula2>NaN</formula2>
    </dataValidation>
    <dataValidation type="whole" allowBlank="1" showInputMessage="1" showErrorMessage="1" sqref="O18">
      <formula1>0</formula1>
      <formula2>NaN</formula2>
    </dataValidation>
    <dataValidation type="whole" allowBlank="1" showInputMessage="1" showErrorMessage="1" sqref="O19">
      <formula1>0</formula1>
      <formula2>NaN</formula2>
    </dataValidation>
    <dataValidation type="whole" allowBlank="1" showInputMessage="1" showErrorMessage="1" sqref="O20">
      <formula1>0</formula1>
      <formula2>NaN</formula2>
    </dataValidation>
    <dataValidation type="whole" allowBlank="1" showInputMessage="1" showErrorMessage="1" sqref="O21">
      <formula1>0</formula1>
      <formula2>NaN</formula2>
    </dataValidation>
    <dataValidation type="whole" allowBlank="1" showInputMessage="1" showErrorMessage="1" sqref="O22">
      <formula1>0</formula1>
      <formula2>NaN</formula2>
    </dataValidation>
    <dataValidation type="whole" allowBlank="1" showInputMessage="1" showErrorMessage="1" sqref="O23">
      <formula1>0</formula1>
      <formula2>NaN</formula2>
    </dataValidation>
    <dataValidation type="whole" allowBlank="1" showInputMessage="1" showErrorMessage="1" sqref="O24">
      <formula1>0</formula1>
      <formula2>NaN</formula2>
    </dataValidation>
    <dataValidation type="whole" allowBlank="1" showInputMessage="1" showErrorMessage="1" sqref="O25">
      <formula1>0</formula1>
      <formula2>NaN</formula2>
    </dataValidation>
    <dataValidation type="whole" allowBlank="1" showInputMessage="1" showErrorMessage="1" sqref="O26">
      <formula1>0</formula1>
      <formula2>NaN</formula2>
    </dataValidation>
    <dataValidation type="whole" allowBlank="1" showInputMessage="1" showErrorMessage="1" sqref="O27">
      <formula1>0</formula1>
      <formula2>NaN</formula2>
    </dataValidation>
    <dataValidation type="whole" allowBlank="1" showInputMessage="1" showErrorMessage="1" sqref="O28">
      <formula1>0</formula1>
      <formula2>NaN</formula2>
    </dataValidation>
    <dataValidation type="whole" allowBlank="1" showInputMessage="1" showErrorMessage="1" sqref="O29">
      <formula1>0</formula1>
      <formula2>NaN</formula2>
    </dataValidation>
    <dataValidation type="whole" allowBlank="1" showInputMessage="1" showErrorMessage="1" sqref="O30">
      <formula1>0</formula1>
      <formula2>NaN</formula2>
    </dataValidation>
    <dataValidation type="whole" allowBlank="1" showInputMessage="1" showErrorMessage="1" sqref="O31">
      <formula1>0</formula1>
      <formula2>NaN</formula2>
    </dataValidation>
    <dataValidation type="whole" allowBlank="1" showInputMessage="1" showErrorMessage="1" sqref="O32">
      <formula1>0</formula1>
      <formula2>NaN</formula2>
    </dataValidation>
    <dataValidation type="whole" allowBlank="1" showInputMessage="1" showErrorMessage="1" sqref="O33">
      <formula1>0</formula1>
      <formula2>NaN</formula2>
    </dataValidation>
    <dataValidation type="whole" allowBlank="1" showInputMessage="1" showErrorMessage="1" sqref="O34">
      <formula1>0</formula1>
      <formula2>NaN</formula2>
    </dataValidation>
    <dataValidation type="whole" allowBlank="1" showInputMessage="1" showErrorMessage="1" sqref="O35">
      <formula1>0</formula1>
      <formula2>NaN</formula2>
    </dataValidation>
    <dataValidation type="whole" allowBlank="1" showInputMessage="1" showErrorMessage="1" sqref="O36">
      <formula1>0</formula1>
      <formula2>NaN</formula2>
    </dataValidation>
    <dataValidation type="whole" allowBlank="1" showInputMessage="1" showErrorMessage="1" sqref="O37">
      <formula1>0</formula1>
      <formula2>NaN</formula2>
    </dataValidation>
    <dataValidation type="whole" allowBlank="1" showInputMessage="1" showErrorMessage="1" sqref="O38">
      <formula1>0</formula1>
      <formula2>NaN</formula2>
    </dataValidation>
    <dataValidation type="whole" allowBlank="1" showInputMessage="1" showErrorMessage="1" sqref="O39">
      <formula1>0</formula1>
      <formula2>NaN</formula2>
    </dataValidation>
    <dataValidation type="whole" allowBlank="1" showInputMessage="1" showErrorMessage="1" sqref="O40">
      <formula1>0</formula1>
      <formula2>NaN</formula2>
    </dataValidation>
    <dataValidation type="whole" allowBlank="1" showInputMessage="1" showErrorMessage="1" sqref="O41">
      <formula1>0</formula1>
      <formula2>NaN</formula2>
    </dataValidation>
    <dataValidation type="whole" allowBlank="1" showInputMessage="1" showErrorMessage="1" sqref="O42">
      <formula1>0</formula1>
      <formula2>NaN</formula2>
    </dataValidation>
    <dataValidation type="whole" allowBlank="1" showInputMessage="1" showErrorMessage="1" sqref="O43">
      <formula1>0</formula1>
      <formula2>NaN</formula2>
    </dataValidation>
    <dataValidation type="whole" allowBlank="1" showInputMessage="1" showErrorMessage="1" sqref="O44">
      <formula1>0</formula1>
      <formula2>NaN</formula2>
    </dataValidation>
    <dataValidation type="whole" allowBlank="1" showInputMessage="1" showErrorMessage="1" sqref="O45">
      <formula1>0</formula1>
      <formula2>NaN</formula2>
    </dataValidation>
    <dataValidation type="whole" allowBlank="1" showInputMessage="1" showErrorMessage="1" sqref="O46">
      <formula1>0</formula1>
      <formula2>NaN</formula2>
    </dataValidation>
    <dataValidation type="whole" allowBlank="1" showInputMessage="1" showErrorMessage="1" sqref="O47">
      <formula1>0</formula1>
      <formula2>NaN</formula2>
    </dataValidation>
    <dataValidation type="whole" allowBlank="1" showInputMessage="1" showErrorMessage="1" sqref="O48">
      <formula1>0</formula1>
      <formula2>NaN</formula2>
    </dataValidation>
    <dataValidation type="whole" allowBlank="1" showInputMessage="1" showErrorMessage="1" sqref="O49">
      <formula1>0</formula1>
      <formula2>NaN</formula2>
    </dataValidation>
    <dataValidation type="whole" allowBlank="1" showInputMessage="1" showErrorMessage="1" sqref="O50">
      <formula1>0</formula1>
      <formula2>NaN</formula2>
    </dataValidation>
    <dataValidation type="whole" allowBlank="1" showInputMessage="1" showErrorMessage="1" sqref="O51">
      <formula1>0</formula1>
      <formula2>NaN</formula2>
    </dataValidation>
    <dataValidation type="whole" allowBlank="1" showInputMessage="1" showErrorMessage="1" sqref="O52">
      <formula1>0</formula1>
      <formula2>NaN</formula2>
    </dataValidation>
    <dataValidation type="whole" allowBlank="1" showInputMessage="1" showErrorMessage="1" sqref="O53">
      <formula1>0</formula1>
      <formula2>NaN</formula2>
    </dataValidation>
    <dataValidation type="whole" allowBlank="1" showInputMessage="1" showErrorMessage="1" sqref="O54">
      <formula1>0</formula1>
      <formula2>NaN</formula2>
    </dataValidation>
    <dataValidation type="whole" allowBlank="1" showInputMessage="1" showErrorMessage="1" sqref="O55">
      <formula1>0</formula1>
      <formula2>NaN</formula2>
    </dataValidation>
    <dataValidation type="whole" allowBlank="1" showInputMessage="1" showErrorMessage="1" sqref="O56">
      <formula1>0</formula1>
      <formula2>NaN</formula2>
    </dataValidation>
    <dataValidation type="whole" allowBlank="1" showInputMessage="1" showErrorMessage="1" sqref="O57">
      <formula1>0</formula1>
      <formula2>NaN</formula2>
    </dataValidation>
    <dataValidation type="whole" allowBlank="1" showInputMessage="1" showErrorMessage="1" sqref="O58">
      <formula1>0</formula1>
      <formula2>NaN</formula2>
    </dataValidation>
    <dataValidation type="whole" allowBlank="1" showInputMessage="1" showErrorMessage="1" sqref="O59">
      <formula1>0</formula1>
      <formula2>NaN</formula2>
    </dataValidation>
    <dataValidation type="whole" allowBlank="1" showInputMessage="1" showErrorMessage="1" sqref="O60">
      <formula1>0</formula1>
      <formula2>NaN</formula2>
    </dataValidation>
    <dataValidation type="whole" allowBlank="1" showInputMessage="1" showErrorMessage="1" sqref="O61">
      <formula1>0</formula1>
      <formula2>NaN</formula2>
    </dataValidation>
    <dataValidation type="whole" allowBlank="1" showInputMessage="1" showErrorMessage="1" sqref="O62">
      <formula1>0</formula1>
      <formula2>NaN</formula2>
    </dataValidation>
    <dataValidation type="whole" allowBlank="1" showInputMessage="1" showErrorMessage="1" sqref="O63">
      <formula1>0</formula1>
      <formula2>NaN</formula2>
    </dataValidation>
    <dataValidation type="whole" allowBlank="1" showInputMessage="1" showErrorMessage="1" sqref="O64">
      <formula1>0</formula1>
      <formula2>NaN</formula2>
    </dataValidation>
    <dataValidation type="whole" allowBlank="1" showInputMessage="1" showErrorMessage="1" sqref="O65">
      <formula1>0</formula1>
      <formula2>NaN</formula2>
    </dataValidation>
    <dataValidation type="whole" allowBlank="1" showInputMessage="1" showErrorMessage="1" sqref="O66">
      <formula1>0</formula1>
      <formula2>NaN</formula2>
    </dataValidation>
    <dataValidation type="whole" allowBlank="1" showInputMessage="1" showErrorMessage="1" sqref="O67">
      <formula1>0</formula1>
      <formula2>NaN</formula2>
    </dataValidation>
    <dataValidation type="whole" allowBlank="1" showInputMessage="1" showErrorMessage="1" sqref="O68">
      <formula1>0</formula1>
      <formula2>NaN</formula2>
    </dataValidation>
    <dataValidation type="whole" allowBlank="1" showInputMessage="1" showErrorMessage="1" sqref="O9">
      <formula1>0</formula1>
      <formula2>NaN</formula2>
    </dataValidation>
    <dataValidation type="whole" allowBlank="1" showInputMessage="1" showErrorMessage="1" sqref="P10">
      <formula1>0</formula1>
      <formula2>NaN</formula2>
    </dataValidation>
    <dataValidation type="whole" allowBlank="1" showInputMessage="1" showErrorMessage="1" sqref="P11">
      <formula1>0</formula1>
      <formula2>NaN</formula2>
    </dataValidation>
    <dataValidation type="whole" allowBlank="1" showInputMessage="1" showErrorMessage="1" sqref="P12">
      <formula1>0</formula1>
      <formula2>NaN</formula2>
    </dataValidation>
    <dataValidation type="whole" allowBlank="1" showInputMessage="1" showErrorMessage="1" sqref="P13">
      <formula1>0</formula1>
      <formula2>NaN</formula2>
    </dataValidation>
    <dataValidation type="whole" allowBlank="1" showInputMessage="1" showErrorMessage="1" sqref="P14">
      <formula1>0</formula1>
      <formula2>NaN</formula2>
    </dataValidation>
    <dataValidation type="whole" allowBlank="1" showInputMessage="1" showErrorMessage="1" sqref="P15">
      <formula1>0</formula1>
      <formula2>NaN</formula2>
    </dataValidation>
    <dataValidation type="whole" allowBlank="1" showInputMessage="1" showErrorMessage="1" sqref="P16">
      <formula1>0</formula1>
      <formula2>NaN</formula2>
    </dataValidation>
    <dataValidation type="whole" allowBlank="1" showInputMessage="1" showErrorMessage="1" sqref="P17">
      <formula1>0</formula1>
      <formula2>NaN</formula2>
    </dataValidation>
    <dataValidation type="whole" allowBlank="1" showInputMessage="1" showErrorMessage="1" sqref="P18">
      <formula1>0</formula1>
      <formula2>NaN</formula2>
    </dataValidation>
    <dataValidation type="whole" allowBlank="1" showInputMessage="1" showErrorMessage="1" sqref="P19">
      <formula1>0</formula1>
      <formula2>NaN</formula2>
    </dataValidation>
    <dataValidation type="whole" allowBlank="1" showInputMessage="1" showErrorMessage="1" sqref="P20">
      <formula1>0</formula1>
      <formula2>NaN</formula2>
    </dataValidation>
    <dataValidation type="whole" allowBlank="1" showInputMessage="1" showErrorMessage="1" sqref="P21">
      <formula1>0</formula1>
      <formula2>NaN</formula2>
    </dataValidation>
    <dataValidation type="whole" allowBlank="1" showInputMessage="1" showErrorMessage="1" sqref="P22">
      <formula1>0</formula1>
      <formula2>NaN</formula2>
    </dataValidation>
    <dataValidation type="whole" allowBlank="1" showInputMessage="1" showErrorMessage="1" sqref="P23">
      <formula1>0</formula1>
      <formula2>NaN</formula2>
    </dataValidation>
    <dataValidation type="whole" allowBlank="1" showInputMessage="1" showErrorMessage="1" sqref="P24">
      <formula1>0</formula1>
      <formula2>NaN</formula2>
    </dataValidation>
    <dataValidation type="whole" allowBlank="1" showInputMessage="1" showErrorMessage="1" sqref="P25">
      <formula1>0</formula1>
      <formula2>NaN</formula2>
    </dataValidation>
    <dataValidation type="whole" allowBlank="1" showInputMessage="1" showErrorMessage="1" sqref="P26">
      <formula1>0</formula1>
      <formula2>NaN</formula2>
    </dataValidation>
    <dataValidation type="whole" allowBlank="1" showInputMessage="1" showErrorMessage="1" sqref="P27">
      <formula1>0</formula1>
      <formula2>NaN</formula2>
    </dataValidation>
    <dataValidation type="whole" allowBlank="1" showInputMessage="1" showErrorMessage="1" sqref="P28">
      <formula1>0</formula1>
      <formula2>NaN</formula2>
    </dataValidation>
    <dataValidation type="whole" allowBlank="1" showInputMessage="1" showErrorMessage="1" sqref="P29">
      <formula1>0</formula1>
      <formula2>NaN</formula2>
    </dataValidation>
    <dataValidation type="whole" allowBlank="1" showInputMessage="1" showErrorMessage="1" sqref="P30">
      <formula1>0</formula1>
      <formula2>NaN</formula2>
    </dataValidation>
    <dataValidation type="whole" allowBlank="1" showInputMessage="1" showErrorMessage="1" sqref="P31">
      <formula1>0</formula1>
      <formula2>NaN</formula2>
    </dataValidation>
    <dataValidation type="whole" allowBlank="1" showInputMessage="1" showErrorMessage="1" sqref="P32">
      <formula1>0</formula1>
      <formula2>NaN</formula2>
    </dataValidation>
    <dataValidation type="whole" allowBlank="1" showInputMessage="1" showErrorMessage="1" sqref="P33">
      <formula1>0</formula1>
      <formula2>NaN</formula2>
    </dataValidation>
    <dataValidation type="whole" allowBlank="1" showInputMessage="1" showErrorMessage="1" sqref="P34">
      <formula1>0</formula1>
      <formula2>NaN</formula2>
    </dataValidation>
    <dataValidation type="whole" allowBlank="1" showInputMessage="1" showErrorMessage="1" sqref="P35">
      <formula1>0</formula1>
      <formula2>NaN</formula2>
    </dataValidation>
    <dataValidation type="whole" allowBlank="1" showInputMessage="1" showErrorMessage="1" sqref="P36">
      <formula1>0</formula1>
      <formula2>NaN</formula2>
    </dataValidation>
    <dataValidation type="whole" allowBlank="1" showInputMessage="1" showErrorMessage="1" sqref="P37">
      <formula1>0</formula1>
      <formula2>NaN</formula2>
    </dataValidation>
    <dataValidation type="whole" allowBlank="1" showInputMessage="1" showErrorMessage="1" sqref="P38">
      <formula1>0</formula1>
      <formula2>NaN</formula2>
    </dataValidation>
    <dataValidation type="whole" allowBlank="1" showInputMessage="1" showErrorMessage="1" sqref="P39">
      <formula1>0</formula1>
      <formula2>NaN</formula2>
    </dataValidation>
    <dataValidation type="whole" allowBlank="1" showInputMessage="1" showErrorMessage="1" sqref="P40">
      <formula1>0</formula1>
      <formula2>NaN</formula2>
    </dataValidation>
    <dataValidation type="whole" allowBlank="1" showInputMessage="1" showErrorMessage="1" sqref="P41">
      <formula1>0</formula1>
      <formula2>NaN</formula2>
    </dataValidation>
    <dataValidation type="whole" allowBlank="1" showInputMessage="1" showErrorMessage="1" sqref="P42">
      <formula1>0</formula1>
      <formula2>NaN</formula2>
    </dataValidation>
    <dataValidation type="whole" allowBlank="1" showInputMessage="1" showErrorMessage="1" sqref="P43">
      <formula1>0</formula1>
      <formula2>NaN</formula2>
    </dataValidation>
    <dataValidation type="whole" allowBlank="1" showInputMessage="1" showErrorMessage="1" sqref="P44">
      <formula1>0</formula1>
      <formula2>NaN</formula2>
    </dataValidation>
    <dataValidation type="whole" allowBlank="1" showInputMessage="1" showErrorMessage="1" sqref="P45">
      <formula1>0</formula1>
      <formula2>NaN</formula2>
    </dataValidation>
    <dataValidation type="whole" allowBlank="1" showInputMessage="1" showErrorMessage="1" sqref="P46">
      <formula1>0</formula1>
      <formula2>NaN</formula2>
    </dataValidation>
    <dataValidation type="whole" allowBlank="1" showInputMessage="1" showErrorMessage="1" sqref="P47">
      <formula1>0</formula1>
      <formula2>NaN</formula2>
    </dataValidation>
    <dataValidation type="whole" allowBlank="1" showInputMessage="1" showErrorMessage="1" sqref="P48">
      <formula1>0</formula1>
      <formula2>NaN</formula2>
    </dataValidation>
    <dataValidation type="whole" allowBlank="1" showInputMessage="1" showErrorMessage="1" sqref="P49">
      <formula1>0</formula1>
      <formula2>NaN</formula2>
    </dataValidation>
    <dataValidation type="whole" allowBlank="1" showInputMessage="1" showErrorMessage="1" sqref="P50">
      <formula1>0</formula1>
      <formula2>NaN</formula2>
    </dataValidation>
    <dataValidation type="whole" allowBlank="1" showInputMessage="1" showErrorMessage="1" sqref="P51">
      <formula1>0</formula1>
      <formula2>NaN</formula2>
    </dataValidation>
    <dataValidation type="whole" allowBlank="1" showInputMessage="1" showErrorMessage="1" sqref="P52">
      <formula1>0</formula1>
      <formula2>NaN</formula2>
    </dataValidation>
    <dataValidation type="whole" allowBlank="1" showInputMessage="1" showErrorMessage="1" sqref="P53">
      <formula1>0</formula1>
      <formula2>NaN</formula2>
    </dataValidation>
    <dataValidation type="whole" allowBlank="1" showInputMessage="1" showErrorMessage="1" sqref="P54">
      <formula1>0</formula1>
      <formula2>NaN</formula2>
    </dataValidation>
    <dataValidation type="whole" allowBlank="1" showInputMessage="1" showErrorMessage="1" sqref="P55">
      <formula1>0</formula1>
      <formula2>NaN</formula2>
    </dataValidation>
    <dataValidation type="whole" allowBlank="1" showInputMessage="1" showErrorMessage="1" sqref="P56">
      <formula1>0</formula1>
      <formula2>NaN</formula2>
    </dataValidation>
    <dataValidation type="whole" allowBlank="1" showInputMessage="1" showErrorMessage="1" sqref="P57">
      <formula1>0</formula1>
      <formula2>NaN</formula2>
    </dataValidation>
    <dataValidation type="whole" allowBlank="1" showInputMessage="1" showErrorMessage="1" sqref="P58">
      <formula1>0</formula1>
      <formula2>NaN</formula2>
    </dataValidation>
    <dataValidation type="whole" allowBlank="1" showInputMessage="1" showErrorMessage="1" sqref="P59">
      <formula1>0</formula1>
      <formula2>NaN</formula2>
    </dataValidation>
    <dataValidation type="whole" allowBlank="1" showInputMessage="1" showErrorMessage="1" sqref="P60">
      <formula1>0</formula1>
      <formula2>NaN</formula2>
    </dataValidation>
    <dataValidation type="whole" allowBlank="1" showInputMessage="1" showErrorMessage="1" sqref="P61">
      <formula1>0</formula1>
      <formula2>NaN</formula2>
    </dataValidation>
    <dataValidation type="whole" allowBlank="1" showInputMessage="1" showErrorMessage="1" sqref="P62">
      <formula1>0</formula1>
      <formula2>NaN</formula2>
    </dataValidation>
    <dataValidation type="whole" allowBlank="1" showInputMessage="1" showErrorMessage="1" sqref="P63">
      <formula1>0</formula1>
      <formula2>NaN</formula2>
    </dataValidation>
    <dataValidation type="whole" allowBlank="1" showInputMessage="1" showErrorMessage="1" sqref="P64">
      <formula1>0</formula1>
      <formula2>NaN</formula2>
    </dataValidation>
    <dataValidation type="whole" allowBlank="1" showInputMessage="1" showErrorMessage="1" sqref="P65">
      <formula1>0</formula1>
      <formula2>NaN</formula2>
    </dataValidation>
    <dataValidation type="whole" allowBlank="1" showInputMessage="1" showErrorMessage="1" sqref="P66">
      <formula1>0</formula1>
      <formula2>NaN</formula2>
    </dataValidation>
    <dataValidation type="whole" allowBlank="1" showInputMessage="1" showErrorMessage="1" sqref="P67">
      <formula1>0</formula1>
      <formula2>NaN</formula2>
    </dataValidation>
    <dataValidation type="whole" allowBlank="1" showInputMessage="1" showErrorMessage="1" sqref="P68">
      <formula1>0</formula1>
      <formula2>NaN</formula2>
    </dataValidation>
    <dataValidation type="whole" allowBlank="1" showInputMessage="1" showErrorMessage="1" sqref="P9">
      <formula1>0</formula1>
      <formula2>NaN</formula2>
    </dataValidation>
    <dataValidation type="whole" allowBlank="1" showInputMessage="1" showErrorMessage="1" sqref="Q10">
      <formula1>0</formula1>
      <formula2>NaN</formula2>
    </dataValidation>
    <dataValidation type="whole" allowBlank="1" showInputMessage="1" showErrorMessage="1" sqref="Q11">
      <formula1>0</formula1>
      <formula2>NaN</formula2>
    </dataValidation>
    <dataValidation type="whole" allowBlank="1" showInputMessage="1" showErrorMessage="1" sqref="Q12">
      <formula1>0</formula1>
      <formula2>NaN</formula2>
    </dataValidation>
    <dataValidation type="whole" allowBlank="1" showInputMessage="1" showErrorMessage="1" sqref="Q13">
      <formula1>0</formula1>
      <formula2>NaN</formula2>
    </dataValidation>
    <dataValidation type="whole" allowBlank="1" showInputMessage="1" showErrorMessage="1" sqref="Q14">
      <formula1>0</formula1>
      <formula2>NaN</formula2>
    </dataValidation>
    <dataValidation type="whole" allowBlank="1" showInputMessage="1" showErrorMessage="1" sqref="Q15">
      <formula1>0</formula1>
      <formula2>NaN</formula2>
    </dataValidation>
    <dataValidation type="whole" allowBlank="1" showInputMessage="1" showErrorMessage="1" sqref="Q16">
      <formula1>0</formula1>
      <formula2>NaN</formula2>
    </dataValidation>
    <dataValidation type="whole" allowBlank="1" showInputMessage="1" showErrorMessage="1" sqref="Q17">
      <formula1>0</formula1>
      <formula2>NaN</formula2>
    </dataValidation>
    <dataValidation type="whole" allowBlank="1" showInputMessage="1" showErrorMessage="1" sqref="Q18">
      <formula1>0</formula1>
      <formula2>NaN</formula2>
    </dataValidation>
    <dataValidation type="whole" allowBlank="1" showInputMessage="1" showErrorMessage="1" sqref="Q19">
      <formula1>0</formula1>
      <formula2>NaN</formula2>
    </dataValidation>
    <dataValidation type="whole" allowBlank="1" showInputMessage="1" showErrorMessage="1" sqref="Q20">
      <formula1>0</formula1>
      <formula2>NaN</formula2>
    </dataValidation>
    <dataValidation type="whole" allowBlank="1" showInputMessage="1" showErrorMessage="1" sqref="Q21">
      <formula1>0</formula1>
      <formula2>NaN</formula2>
    </dataValidation>
    <dataValidation type="whole" allowBlank="1" showInputMessage="1" showErrorMessage="1" sqref="Q22">
      <formula1>0</formula1>
      <formula2>NaN</formula2>
    </dataValidation>
    <dataValidation type="whole" allowBlank="1" showInputMessage="1" showErrorMessage="1" sqref="Q23">
      <formula1>0</formula1>
      <formula2>NaN</formula2>
    </dataValidation>
    <dataValidation type="whole" allowBlank="1" showInputMessage="1" showErrorMessage="1" sqref="Q24">
      <formula1>0</formula1>
      <formula2>NaN</formula2>
    </dataValidation>
    <dataValidation type="whole" allowBlank="1" showInputMessage="1" showErrorMessage="1" sqref="Q25">
      <formula1>0</formula1>
      <formula2>NaN</formula2>
    </dataValidation>
    <dataValidation type="whole" allowBlank="1" showInputMessage="1" showErrorMessage="1" sqref="Q26">
      <formula1>0</formula1>
      <formula2>NaN</formula2>
    </dataValidation>
    <dataValidation type="whole" allowBlank="1" showInputMessage="1" showErrorMessage="1" sqref="Q27">
      <formula1>0</formula1>
      <formula2>NaN</formula2>
    </dataValidation>
    <dataValidation type="whole" allowBlank="1" showInputMessage="1" showErrorMessage="1" sqref="Q28">
      <formula1>0</formula1>
      <formula2>NaN</formula2>
    </dataValidation>
    <dataValidation type="whole" allowBlank="1" showInputMessage="1" showErrorMessage="1" sqref="Q29">
      <formula1>0</formula1>
      <formula2>NaN</formula2>
    </dataValidation>
    <dataValidation type="whole" allowBlank="1" showInputMessage="1" showErrorMessage="1" sqref="Q30">
      <formula1>0</formula1>
      <formula2>NaN</formula2>
    </dataValidation>
    <dataValidation type="whole" allowBlank="1" showInputMessage="1" showErrorMessage="1" sqref="Q31">
      <formula1>0</formula1>
      <formula2>NaN</formula2>
    </dataValidation>
    <dataValidation type="whole" allowBlank="1" showInputMessage="1" showErrorMessage="1" sqref="Q32">
      <formula1>0</formula1>
      <formula2>NaN</formula2>
    </dataValidation>
    <dataValidation type="whole" allowBlank="1" showInputMessage="1" showErrorMessage="1" sqref="Q33">
      <formula1>0</formula1>
      <formula2>NaN</formula2>
    </dataValidation>
    <dataValidation type="whole" allowBlank="1" showInputMessage="1" showErrorMessage="1" sqref="Q34">
      <formula1>0</formula1>
      <formula2>NaN</formula2>
    </dataValidation>
    <dataValidation type="whole" allowBlank="1" showInputMessage="1" showErrorMessage="1" sqref="Q35">
      <formula1>0</formula1>
      <formula2>NaN</formula2>
    </dataValidation>
    <dataValidation type="whole" allowBlank="1" showInputMessage="1" showErrorMessage="1" sqref="Q36">
      <formula1>0</formula1>
      <formula2>NaN</formula2>
    </dataValidation>
    <dataValidation type="whole" allowBlank="1" showInputMessage="1" showErrorMessage="1" sqref="Q37">
      <formula1>0</formula1>
      <formula2>NaN</formula2>
    </dataValidation>
    <dataValidation type="whole" allowBlank="1" showInputMessage="1" showErrorMessage="1" sqref="Q38">
      <formula1>0</formula1>
      <formula2>NaN</formula2>
    </dataValidation>
    <dataValidation type="whole" allowBlank="1" showInputMessage="1" showErrorMessage="1" sqref="Q39">
      <formula1>0</formula1>
      <formula2>NaN</formula2>
    </dataValidation>
    <dataValidation type="whole" allowBlank="1" showInputMessage="1" showErrorMessage="1" sqref="Q40">
      <formula1>0</formula1>
      <formula2>NaN</formula2>
    </dataValidation>
    <dataValidation type="whole" allowBlank="1" showInputMessage="1" showErrorMessage="1" sqref="Q41">
      <formula1>0</formula1>
      <formula2>NaN</formula2>
    </dataValidation>
    <dataValidation type="whole" allowBlank="1" showInputMessage="1" showErrorMessage="1" sqref="Q42">
      <formula1>0</formula1>
      <formula2>NaN</formula2>
    </dataValidation>
    <dataValidation type="whole" allowBlank="1" showInputMessage="1" showErrorMessage="1" sqref="Q43">
      <formula1>0</formula1>
      <formula2>NaN</formula2>
    </dataValidation>
    <dataValidation type="whole" allowBlank="1" showInputMessage="1" showErrorMessage="1" sqref="Q44">
      <formula1>0</formula1>
      <formula2>NaN</formula2>
    </dataValidation>
    <dataValidation type="whole" allowBlank="1" showInputMessage="1" showErrorMessage="1" sqref="Q45">
      <formula1>0</formula1>
      <formula2>NaN</formula2>
    </dataValidation>
    <dataValidation type="whole" allowBlank="1" showInputMessage="1" showErrorMessage="1" sqref="Q46">
      <formula1>0</formula1>
      <formula2>NaN</formula2>
    </dataValidation>
    <dataValidation type="whole" allowBlank="1" showInputMessage="1" showErrorMessage="1" sqref="Q47">
      <formula1>0</formula1>
      <formula2>NaN</formula2>
    </dataValidation>
    <dataValidation type="whole" allowBlank="1" showInputMessage="1" showErrorMessage="1" sqref="Q48">
      <formula1>0</formula1>
      <formula2>NaN</formula2>
    </dataValidation>
    <dataValidation type="whole" allowBlank="1" showInputMessage="1" showErrorMessage="1" sqref="Q49">
      <formula1>0</formula1>
      <formula2>NaN</formula2>
    </dataValidation>
    <dataValidation type="whole" allowBlank="1" showInputMessage="1" showErrorMessage="1" sqref="Q50">
      <formula1>0</formula1>
      <formula2>NaN</formula2>
    </dataValidation>
    <dataValidation type="whole" allowBlank="1" showInputMessage="1" showErrorMessage="1" sqref="Q51">
      <formula1>0</formula1>
      <formula2>NaN</formula2>
    </dataValidation>
    <dataValidation type="whole" allowBlank="1" showInputMessage="1" showErrorMessage="1" sqref="Q52">
      <formula1>0</formula1>
      <formula2>NaN</formula2>
    </dataValidation>
    <dataValidation type="whole" allowBlank="1" showInputMessage="1" showErrorMessage="1" sqref="Q53">
      <formula1>0</formula1>
      <formula2>NaN</formula2>
    </dataValidation>
    <dataValidation type="whole" allowBlank="1" showInputMessage="1" showErrorMessage="1" sqref="Q54">
      <formula1>0</formula1>
      <formula2>NaN</formula2>
    </dataValidation>
    <dataValidation type="whole" allowBlank="1" showInputMessage="1" showErrorMessage="1" sqref="Q55">
      <formula1>0</formula1>
      <formula2>NaN</formula2>
    </dataValidation>
    <dataValidation type="whole" allowBlank="1" showInputMessage="1" showErrorMessage="1" sqref="Q56">
      <formula1>0</formula1>
      <formula2>NaN</formula2>
    </dataValidation>
    <dataValidation type="whole" allowBlank="1" showInputMessage="1" showErrorMessage="1" sqref="Q57">
      <formula1>0</formula1>
      <formula2>NaN</formula2>
    </dataValidation>
    <dataValidation type="whole" allowBlank="1" showInputMessage="1" showErrorMessage="1" sqref="Q58">
      <formula1>0</formula1>
      <formula2>NaN</formula2>
    </dataValidation>
    <dataValidation type="whole" allowBlank="1" showInputMessage="1" showErrorMessage="1" sqref="Q59">
      <formula1>0</formula1>
      <formula2>NaN</formula2>
    </dataValidation>
    <dataValidation type="whole" allowBlank="1" showInputMessage="1" showErrorMessage="1" sqref="Q60">
      <formula1>0</formula1>
      <formula2>NaN</formula2>
    </dataValidation>
    <dataValidation type="whole" allowBlank="1" showInputMessage="1" showErrorMessage="1" sqref="Q61">
      <formula1>0</formula1>
      <formula2>NaN</formula2>
    </dataValidation>
    <dataValidation type="whole" allowBlank="1" showInputMessage="1" showErrorMessage="1" sqref="Q62">
      <formula1>0</formula1>
      <formula2>NaN</formula2>
    </dataValidation>
    <dataValidation type="whole" allowBlank="1" showInputMessage="1" showErrorMessage="1" sqref="Q63">
      <formula1>0</formula1>
      <formula2>NaN</formula2>
    </dataValidation>
    <dataValidation type="whole" allowBlank="1" showInputMessage="1" showErrorMessage="1" sqref="Q64">
      <formula1>0</formula1>
      <formula2>NaN</formula2>
    </dataValidation>
    <dataValidation type="whole" allowBlank="1" showInputMessage="1" showErrorMessage="1" sqref="Q65">
      <formula1>0</formula1>
      <formula2>NaN</formula2>
    </dataValidation>
    <dataValidation type="whole" allowBlank="1" showInputMessage="1" showErrorMessage="1" sqref="Q66">
      <formula1>0</formula1>
      <formula2>NaN</formula2>
    </dataValidation>
    <dataValidation type="whole" allowBlank="1" showInputMessage="1" showErrorMessage="1" sqref="Q67">
      <formula1>0</formula1>
      <formula2>NaN</formula2>
    </dataValidation>
    <dataValidation type="whole" allowBlank="1" showInputMessage="1" showErrorMessage="1" sqref="Q68">
      <formula1>0</formula1>
      <formula2>NaN</formula2>
    </dataValidation>
    <dataValidation type="whole" allowBlank="1" showInputMessage="1" showErrorMessage="1" sqref="Q9">
      <formula1>0</formula1>
      <formula2>NaN</formula2>
    </dataValidation>
    <dataValidation type="whole" allowBlank="1" showInputMessage="1" showErrorMessage="1" sqref="R10">
      <formula1>0</formula1>
      <formula2>NaN</formula2>
    </dataValidation>
    <dataValidation type="whole" allowBlank="1" showInputMessage="1" showErrorMessage="1" sqref="R11">
      <formula1>0</formula1>
      <formula2>NaN</formula2>
    </dataValidation>
    <dataValidation type="whole" allowBlank="1" showInputMessage="1" showErrorMessage="1" sqref="R12">
      <formula1>0</formula1>
      <formula2>NaN</formula2>
    </dataValidation>
    <dataValidation type="whole" allowBlank="1" showInputMessage="1" showErrorMessage="1" sqref="R13">
      <formula1>0</formula1>
      <formula2>NaN</formula2>
    </dataValidation>
    <dataValidation type="whole" allowBlank="1" showInputMessage="1" showErrorMessage="1" sqref="R14">
      <formula1>0</formula1>
      <formula2>NaN</formula2>
    </dataValidation>
    <dataValidation type="whole" allowBlank="1" showInputMessage="1" showErrorMessage="1" sqref="R15">
      <formula1>0</formula1>
      <formula2>NaN</formula2>
    </dataValidation>
    <dataValidation type="whole" allowBlank="1" showInputMessage="1" showErrorMessage="1" sqref="R16">
      <formula1>0</formula1>
      <formula2>NaN</formula2>
    </dataValidation>
    <dataValidation type="whole" allowBlank="1" showInputMessage="1" showErrorMessage="1" sqref="R17">
      <formula1>0</formula1>
      <formula2>NaN</formula2>
    </dataValidation>
    <dataValidation type="whole" allowBlank="1" showInputMessage="1" showErrorMessage="1" sqref="R18">
      <formula1>0</formula1>
      <formula2>NaN</formula2>
    </dataValidation>
    <dataValidation type="whole" allowBlank="1" showInputMessage="1" showErrorMessage="1" sqref="R19">
      <formula1>0</formula1>
      <formula2>NaN</formula2>
    </dataValidation>
    <dataValidation type="whole" allowBlank="1" showInputMessage="1" showErrorMessage="1" sqref="R20">
      <formula1>0</formula1>
      <formula2>NaN</formula2>
    </dataValidation>
    <dataValidation type="whole" allowBlank="1" showInputMessage="1" showErrorMessage="1" sqref="R21">
      <formula1>0</formula1>
      <formula2>NaN</formula2>
    </dataValidation>
    <dataValidation type="whole" allowBlank="1" showInputMessage="1" showErrorMessage="1" sqref="R22">
      <formula1>0</formula1>
      <formula2>NaN</formula2>
    </dataValidation>
    <dataValidation type="whole" allowBlank="1" showInputMessage="1" showErrorMessage="1" sqref="R23">
      <formula1>0</formula1>
      <formula2>NaN</formula2>
    </dataValidation>
    <dataValidation type="whole" allowBlank="1" showInputMessage="1" showErrorMessage="1" sqref="R24">
      <formula1>0</formula1>
      <formula2>NaN</formula2>
    </dataValidation>
    <dataValidation type="whole" allowBlank="1" showInputMessage="1" showErrorMessage="1" sqref="R25">
      <formula1>0</formula1>
      <formula2>NaN</formula2>
    </dataValidation>
    <dataValidation type="whole" allowBlank="1" showInputMessage="1" showErrorMessage="1" sqref="R26">
      <formula1>0</formula1>
      <formula2>NaN</formula2>
    </dataValidation>
    <dataValidation type="whole" allowBlank="1" showInputMessage="1" showErrorMessage="1" sqref="R27">
      <formula1>0</formula1>
      <formula2>NaN</formula2>
    </dataValidation>
    <dataValidation type="whole" allowBlank="1" showInputMessage="1" showErrorMessage="1" sqref="R28">
      <formula1>0</formula1>
      <formula2>NaN</formula2>
    </dataValidation>
    <dataValidation type="whole" allowBlank="1" showInputMessage="1" showErrorMessage="1" sqref="R29">
      <formula1>0</formula1>
      <formula2>NaN</formula2>
    </dataValidation>
    <dataValidation type="whole" allowBlank="1" showInputMessage="1" showErrorMessage="1" sqref="R30">
      <formula1>0</formula1>
      <formula2>NaN</formula2>
    </dataValidation>
    <dataValidation type="whole" allowBlank="1" showInputMessage="1" showErrorMessage="1" sqref="R31">
      <formula1>0</formula1>
      <formula2>NaN</formula2>
    </dataValidation>
    <dataValidation type="whole" allowBlank="1" showInputMessage="1" showErrorMessage="1" sqref="R32">
      <formula1>0</formula1>
      <formula2>NaN</formula2>
    </dataValidation>
    <dataValidation type="whole" allowBlank="1" showInputMessage="1" showErrorMessage="1" sqref="R33">
      <formula1>0</formula1>
      <formula2>NaN</formula2>
    </dataValidation>
    <dataValidation type="whole" allowBlank="1" showInputMessage="1" showErrorMessage="1" sqref="R34">
      <formula1>0</formula1>
      <formula2>NaN</formula2>
    </dataValidation>
    <dataValidation type="whole" allowBlank="1" showInputMessage="1" showErrorMessage="1" sqref="R35">
      <formula1>0</formula1>
      <formula2>NaN</formula2>
    </dataValidation>
    <dataValidation type="whole" allowBlank="1" showInputMessage="1" showErrorMessage="1" sqref="R36">
      <formula1>0</formula1>
      <formula2>NaN</formula2>
    </dataValidation>
    <dataValidation type="whole" allowBlank="1" showInputMessage="1" showErrorMessage="1" sqref="R37">
      <formula1>0</formula1>
      <formula2>NaN</formula2>
    </dataValidation>
    <dataValidation type="whole" allowBlank="1" showInputMessage="1" showErrorMessage="1" sqref="R38">
      <formula1>0</formula1>
      <formula2>NaN</formula2>
    </dataValidation>
    <dataValidation type="whole" allowBlank="1" showInputMessage="1" showErrorMessage="1" sqref="R39">
      <formula1>0</formula1>
      <formula2>NaN</formula2>
    </dataValidation>
    <dataValidation type="whole" allowBlank="1" showInputMessage="1" showErrorMessage="1" sqref="R40">
      <formula1>0</formula1>
      <formula2>NaN</formula2>
    </dataValidation>
    <dataValidation type="whole" allowBlank="1" showInputMessage="1" showErrorMessage="1" sqref="R41">
      <formula1>0</formula1>
      <formula2>NaN</formula2>
    </dataValidation>
    <dataValidation type="whole" allowBlank="1" showInputMessage="1" showErrorMessage="1" sqref="R42">
      <formula1>0</formula1>
      <formula2>NaN</formula2>
    </dataValidation>
    <dataValidation type="whole" allowBlank="1" showInputMessage="1" showErrorMessage="1" sqref="R43">
      <formula1>0</formula1>
      <formula2>NaN</formula2>
    </dataValidation>
    <dataValidation type="whole" allowBlank="1" showInputMessage="1" showErrorMessage="1" sqref="R44">
      <formula1>0</formula1>
      <formula2>NaN</formula2>
    </dataValidation>
    <dataValidation type="whole" allowBlank="1" showInputMessage="1" showErrorMessage="1" sqref="R45">
      <formula1>0</formula1>
      <formula2>NaN</formula2>
    </dataValidation>
    <dataValidation type="whole" allowBlank="1" showInputMessage="1" showErrorMessage="1" sqref="R46">
      <formula1>0</formula1>
      <formula2>NaN</formula2>
    </dataValidation>
    <dataValidation type="whole" allowBlank="1" showInputMessage="1" showErrorMessage="1" sqref="R47">
      <formula1>0</formula1>
      <formula2>NaN</formula2>
    </dataValidation>
    <dataValidation type="whole" allowBlank="1" showInputMessage="1" showErrorMessage="1" sqref="R48">
      <formula1>0</formula1>
      <formula2>NaN</formula2>
    </dataValidation>
    <dataValidation type="whole" allowBlank="1" showInputMessage="1" showErrorMessage="1" sqref="R49">
      <formula1>0</formula1>
      <formula2>NaN</formula2>
    </dataValidation>
    <dataValidation type="whole" allowBlank="1" showInputMessage="1" showErrorMessage="1" sqref="R50">
      <formula1>0</formula1>
      <formula2>NaN</formula2>
    </dataValidation>
    <dataValidation type="whole" allowBlank="1" showInputMessage="1" showErrorMessage="1" sqref="R51">
      <formula1>0</formula1>
      <formula2>NaN</formula2>
    </dataValidation>
    <dataValidation type="whole" allowBlank="1" showInputMessage="1" showErrorMessage="1" sqref="R52">
      <formula1>0</formula1>
      <formula2>NaN</formula2>
    </dataValidation>
    <dataValidation type="whole" allowBlank="1" showInputMessage="1" showErrorMessage="1" sqref="R53">
      <formula1>0</formula1>
      <formula2>NaN</formula2>
    </dataValidation>
    <dataValidation type="whole" allowBlank="1" showInputMessage="1" showErrorMessage="1" sqref="R54">
      <formula1>0</formula1>
      <formula2>NaN</formula2>
    </dataValidation>
    <dataValidation type="whole" allowBlank="1" showInputMessage="1" showErrorMessage="1" sqref="R55">
      <formula1>0</formula1>
      <formula2>NaN</formula2>
    </dataValidation>
    <dataValidation type="whole" allowBlank="1" showInputMessage="1" showErrorMessage="1" sqref="R56">
      <formula1>0</formula1>
      <formula2>NaN</formula2>
    </dataValidation>
    <dataValidation type="whole" allowBlank="1" showInputMessage="1" showErrorMessage="1" sqref="R57">
      <formula1>0</formula1>
      <formula2>NaN</formula2>
    </dataValidation>
    <dataValidation type="whole" allowBlank="1" showInputMessage="1" showErrorMessage="1" sqref="R58">
      <formula1>0</formula1>
      <formula2>NaN</formula2>
    </dataValidation>
    <dataValidation type="whole" allowBlank="1" showInputMessage="1" showErrorMessage="1" sqref="R59">
      <formula1>0</formula1>
      <formula2>NaN</formula2>
    </dataValidation>
    <dataValidation type="whole" allowBlank="1" showInputMessage="1" showErrorMessage="1" sqref="R60">
      <formula1>0</formula1>
      <formula2>NaN</formula2>
    </dataValidation>
    <dataValidation type="whole" allowBlank="1" showInputMessage="1" showErrorMessage="1" sqref="R61">
      <formula1>0</formula1>
      <formula2>NaN</formula2>
    </dataValidation>
    <dataValidation type="whole" allowBlank="1" showInputMessage="1" showErrorMessage="1" sqref="R62">
      <formula1>0</formula1>
      <formula2>NaN</formula2>
    </dataValidation>
    <dataValidation type="whole" allowBlank="1" showInputMessage="1" showErrorMessage="1" sqref="R63">
      <formula1>0</formula1>
      <formula2>NaN</formula2>
    </dataValidation>
    <dataValidation type="whole" allowBlank="1" showInputMessage="1" showErrorMessage="1" sqref="R64">
      <formula1>0</formula1>
      <formula2>NaN</formula2>
    </dataValidation>
    <dataValidation type="whole" allowBlank="1" showInputMessage="1" showErrorMessage="1" sqref="R65">
      <formula1>0</formula1>
      <formula2>NaN</formula2>
    </dataValidation>
    <dataValidation type="whole" allowBlank="1" showInputMessage="1" showErrorMessage="1" sqref="R66">
      <formula1>0</formula1>
      <formula2>NaN</formula2>
    </dataValidation>
    <dataValidation type="whole" allowBlank="1" showInputMessage="1" showErrorMessage="1" sqref="R67">
      <formula1>0</formula1>
      <formula2>NaN</formula2>
    </dataValidation>
    <dataValidation type="whole" allowBlank="1" showInputMessage="1" showErrorMessage="1" sqref="R68">
      <formula1>0</formula1>
      <formula2>NaN</formula2>
    </dataValidation>
    <dataValidation type="whole" allowBlank="1" showInputMessage="1" showErrorMessage="1" sqref="R9">
      <formula1>0</formula1>
      <formula2>NaN</formula2>
    </dataValidation>
    <dataValidation type="whole" allowBlank="1" showInputMessage="1" showErrorMessage="1" sqref="S10">
      <formula1>0</formula1>
      <formula2>NaN</formula2>
    </dataValidation>
    <dataValidation type="whole" allowBlank="1" showInputMessage="1" showErrorMessage="1" sqref="S11">
      <formula1>0</formula1>
      <formula2>NaN</formula2>
    </dataValidation>
    <dataValidation type="whole" allowBlank="1" showInputMessage="1" showErrorMessage="1" sqref="S12">
      <formula1>0</formula1>
      <formula2>NaN</formula2>
    </dataValidation>
    <dataValidation type="whole" allowBlank="1" showInputMessage="1" showErrorMessage="1" sqref="S13">
      <formula1>0</formula1>
      <formula2>NaN</formula2>
    </dataValidation>
    <dataValidation type="whole" allowBlank="1" showInputMessage="1" showErrorMessage="1" sqref="S14">
      <formula1>0</formula1>
      <formula2>NaN</formula2>
    </dataValidation>
    <dataValidation type="whole" allowBlank="1" showInputMessage="1" showErrorMessage="1" sqref="S15">
      <formula1>0</formula1>
      <formula2>NaN</formula2>
    </dataValidation>
    <dataValidation type="whole" allowBlank="1" showInputMessage="1" showErrorMessage="1" sqref="S16">
      <formula1>0</formula1>
      <formula2>NaN</formula2>
    </dataValidation>
    <dataValidation type="whole" allowBlank="1" showInputMessage="1" showErrorMessage="1" sqref="S17">
      <formula1>0</formula1>
      <formula2>NaN</formula2>
    </dataValidation>
    <dataValidation type="whole" allowBlank="1" showInputMessage="1" showErrorMessage="1" sqref="S18">
      <formula1>0</formula1>
      <formula2>NaN</formula2>
    </dataValidation>
    <dataValidation type="whole" allowBlank="1" showInputMessage="1" showErrorMessage="1" sqref="S19">
      <formula1>0</formula1>
      <formula2>NaN</formula2>
    </dataValidation>
    <dataValidation type="whole" allowBlank="1" showInputMessage="1" showErrorMessage="1" sqref="S20">
      <formula1>0</formula1>
      <formula2>NaN</formula2>
    </dataValidation>
    <dataValidation type="whole" allowBlank="1" showInputMessage="1" showErrorMessage="1" sqref="S21">
      <formula1>0</formula1>
      <formula2>NaN</formula2>
    </dataValidation>
    <dataValidation type="whole" allowBlank="1" showInputMessage="1" showErrorMessage="1" sqref="S22">
      <formula1>0</formula1>
      <formula2>NaN</formula2>
    </dataValidation>
    <dataValidation type="whole" allowBlank="1" showInputMessage="1" showErrorMessage="1" sqref="S23">
      <formula1>0</formula1>
      <formula2>NaN</formula2>
    </dataValidation>
    <dataValidation type="whole" allowBlank="1" showInputMessage="1" showErrorMessage="1" sqref="S24">
      <formula1>0</formula1>
      <formula2>NaN</formula2>
    </dataValidation>
    <dataValidation type="whole" allowBlank="1" showInputMessage="1" showErrorMessage="1" sqref="S25">
      <formula1>0</formula1>
      <formula2>NaN</formula2>
    </dataValidation>
    <dataValidation type="whole" allowBlank="1" showInputMessage="1" showErrorMessage="1" sqref="S26">
      <formula1>0</formula1>
      <formula2>NaN</formula2>
    </dataValidation>
    <dataValidation type="whole" allowBlank="1" showInputMessage="1" showErrorMessage="1" sqref="S27">
      <formula1>0</formula1>
      <formula2>NaN</formula2>
    </dataValidation>
    <dataValidation type="whole" allowBlank="1" showInputMessage="1" showErrorMessage="1" sqref="S28">
      <formula1>0</formula1>
      <formula2>NaN</formula2>
    </dataValidation>
    <dataValidation type="whole" allowBlank="1" showInputMessage="1" showErrorMessage="1" sqref="S29">
      <formula1>0</formula1>
      <formula2>NaN</formula2>
    </dataValidation>
    <dataValidation type="whole" allowBlank="1" showInputMessage="1" showErrorMessage="1" sqref="S30">
      <formula1>0</formula1>
      <formula2>NaN</formula2>
    </dataValidation>
    <dataValidation type="whole" allowBlank="1" showInputMessage="1" showErrorMessage="1" sqref="S31">
      <formula1>0</formula1>
      <formula2>NaN</formula2>
    </dataValidation>
    <dataValidation type="whole" allowBlank="1" showInputMessage="1" showErrorMessage="1" sqref="S32">
      <formula1>0</formula1>
      <formula2>NaN</formula2>
    </dataValidation>
    <dataValidation type="whole" allowBlank="1" showInputMessage="1" showErrorMessage="1" sqref="S33">
      <formula1>0</formula1>
      <formula2>NaN</formula2>
    </dataValidation>
    <dataValidation type="whole" allowBlank="1" showInputMessage="1" showErrorMessage="1" sqref="S34">
      <formula1>0</formula1>
      <formula2>NaN</formula2>
    </dataValidation>
    <dataValidation type="whole" allowBlank="1" showInputMessage="1" showErrorMessage="1" sqref="S35">
      <formula1>0</formula1>
      <formula2>NaN</formula2>
    </dataValidation>
    <dataValidation type="whole" allowBlank="1" showInputMessage="1" showErrorMessage="1" sqref="S36">
      <formula1>0</formula1>
      <formula2>NaN</formula2>
    </dataValidation>
    <dataValidation type="whole" allowBlank="1" showInputMessage="1" showErrorMessage="1" sqref="S37">
      <formula1>0</formula1>
      <formula2>NaN</formula2>
    </dataValidation>
    <dataValidation type="whole" allowBlank="1" showInputMessage="1" showErrorMessage="1" sqref="S38">
      <formula1>0</formula1>
      <formula2>NaN</formula2>
    </dataValidation>
    <dataValidation type="whole" allowBlank="1" showInputMessage="1" showErrorMessage="1" sqref="S39">
      <formula1>0</formula1>
      <formula2>NaN</formula2>
    </dataValidation>
    <dataValidation type="whole" allowBlank="1" showInputMessage="1" showErrorMessage="1" sqref="S40">
      <formula1>0</formula1>
      <formula2>NaN</formula2>
    </dataValidation>
    <dataValidation type="whole" allowBlank="1" showInputMessage="1" showErrorMessage="1" sqref="S41">
      <formula1>0</formula1>
      <formula2>NaN</formula2>
    </dataValidation>
    <dataValidation type="whole" allowBlank="1" showInputMessage="1" showErrorMessage="1" sqref="S42">
      <formula1>0</formula1>
      <formula2>NaN</formula2>
    </dataValidation>
    <dataValidation type="whole" allowBlank="1" showInputMessage="1" showErrorMessage="1" sqref="S43">
      <formula1>0</formula1>
      <formula2>NaN</formula2>
    </dataValidation>
    <dataValidation type="whole" allowBlank="1" showInputMessage="1" showErrorMessage="1" sqref="S44">
      <formula1>0</formula1>
      <formula2>NaN</formula2>
    </dataValidation>
    <dataValidation type="whole" allowBlank="1" showInputMessage="1" showErrorMessage="1" sqref="S45">
      <formula1>0</formula1>
      <formula2>NaN</formula2>
    </dataValidation>
    <dataValidation type="whole" allowBlank="1" showInputMessage="1" showErrorMessage="1" sqref="S46">
      <formula1>0</formula1>
      <formula2>NaN</formula2>
    </dataValidation>
    <dataValidation type="whole" allowBlank="1" showInputMessage="1" showErrorMessage="1" sqref="S47">
      <formula1>0</formula1>
      <formula2>NaN</formula2>
    </dataValidation>
    <dataValidation type="whole" allowBlank="1" showInputMessage="1" showErrorMessage="1" sqref="S48">
      <formula1>0</formula1>
      <formula2>NaN</formula2>
    </dataValidation>
    <dataValidation type="whole" allowBlank="1" showInputMessage="1" showErrorMessage="1" sqref="S49">
      <formula1>0</formula1>
      <formula2>NaN</formula2>
    </dataValidation>
    <dataValidation type="whole" allowBlank="1" showInputMessage="1" showErrorMessage="1" sqref="S50">
      <formula1>0</formula1>
      <formula2>NaN</formula2>
    </dataValidation>
    <dataValidation type="whole" allowBlank="1" showInputMessage="1" showErrorMessage="1" sqref="S51">
      <formula1>0</formula1>
      <formula2>NaN</formula2>
    </dataValidation>
    <dataValidation type="whole" allowBlank="1" showInputMessage="1" showErrorMessage="1" sqref="S52">
      <formula1>0</formula1>
      <formula2>NaN</formula2>
    </dataValidation>
    <dataValidation type="whole" allowBlank="1" showInputMessage="1" showErrorMessage="1" sqref="S53">
      <formula1>0</formula1>
      <formula2>NaN</formula2>
    </dataValidation>
    <dataValidation type="whole" allowBlank="1" showInputMessage="1" showErrorMessage="1" sqref="S54">
      <formula1>0</formula1>
      <formula2>NaN</formula2>
    </dataValidation>
    <dataValidation type="whole" allowBlank="1" showInputMessage="1" showErrorMessage="1" sqref="S55">
      <formula1>0</formula1>
      <formula2>NaN</formula2>
    </dataValidation>
    <dataValidation type="whole" allowBlank="1" showInputMessage="1" showErrorMessage="1" sqref="S56">
      <formula1>0</formula1>
      <formula2>NaN</formula2>
    </dataValidation>
    <dataValidation type="whole" allowBlank="1" showInputMessage="1" showErrorMessage="1" sqref="S57">
      <formula1>0</formula1>
      <formula2>NaN</formula2>
    </dataValidation>
    <dataValidation type="whole" allowBlank="1" showInputMessage="1" showErrorMessage="1" sqref="S58">
      <formula1>0</formula1>
      <formula2>NaN</formula2>
    </dataValidation>
    <dataValidation type="whole" allowBlank="1" showInputMessage="1" showErrorMessage="1" sqref="S59">
      <formula1>0</formula1>
      <formula2>NaN</formula2>
    </dataValidation>
    <dataValidation type="whole" allowBlank="1" showInputMessage="1" showErrorMessage="1" sqref="S60">
      <formula1>0</formula1>
      <formula2>NaN</formula2>
    </dataValidation>
    <dataValidation type="whole" allowBlank="1" showInputMessage="1" showErrorMessage="1" sqref="S61">
      <formula1>0</formula1>
      <formula2>NaN</formula2>
    </dataValidation>
    <dataValidation type="whole" allowBlank="1" showInputMessage="1" showErrorMessage="1" sqref="S62">
      <formula1>0</formula1>
      <formula2>NaN</formula2>
    </dataValidation>
    <dataValidation type="whole" allowBlank="1" showInputMessage="1" showErrorMessage="1" sqref="S63">
      <formula1>0</formula1>
      <formula2>NaN</formula2>
    </dataValidation>
    <dataValidation type="whole" allowBlank="1" showInputMessage="1" showErrorMessage="1" sqref="S64">
      <formula1>0</formula1>
      <formula2>NaN</formula2>
    </dataValidation>
    <dataValidation type="whole" allowBlank="1" showInputMessage="1" showErrorMessage="1" sqref="S65">
      <formula1>0</formula1>
      <formula2>NaN</formula2>
    </dataValidation>
    <dataValidation type="whole" allowBlank="1" showInputMessage="1" showErrorMessage="1" sqref="S66">
      <formula1>0</formula1>
      <formula2>NaN</formula2>
    </dataValidation>
    <dataValidation type="whole" allowBlank="1" showInputMessage="1" showErrorMessage="1" sqref="S67">
      <formula1>0</formula1>
      <formula2>NaN</formula2>
    </dataValidation>
    <dataValidation type="whole" allowBlank="1" showInputMessage="1" showErrorMessage="1" sqref="S68">
      <formula1>0</formula1>
      <formula2>NaN</formula2>
    </dataValidation>
    <dataValidation type="whole" allowBlank="1" showInputMessage="1" showErrorMessage="1" sqref="S9">
      <formula1>0</formula1>
      <formula2>NaN</formula2>
    </dataValidation>
    <dataValidation type="whole" allowBlank="1" showInputMessage="1" showErrorMessage="1" sqref="T10">
      <formula1>0</formula1>
      <formula2>NaN</formula2>
    </dataValidation>
    <dataValidation type="whole" allowBlank="1" showInputMessage="1" showErrorMessage="1" sqref="T11">
      <formula1>0</formula1>
      <formula2>NaN</formula2>
    </dataValidation>
    <dataValidation type="whole" allowBlank="1" showInputMessage="1" showErrorMessage="1" sqref="T12">
      <formula1>0</formula1>
      <formula2>NaN</formula2>
    </dataValidation>
    <dataValidation type="whole" allowBlank="1" showInputMessage="1" showErrorMessage="1" sqref="T13">
      <formula1>0</formula1>
      <formula2>NaN</formula2>
    </dataValidation>
    <dataValidation type="whole" allowBlank="1" showInputMessage="1" showErrorMessage="1" sqref="T14">
      <formula1>0</formula1>
      <formula2>NaN</formula2>
    </dataValidation>
    <dataValidation type="whole" allowBlank="1" showInputMessage="1" showErrorMessage="1" sqref="T15">
      <formula1>0</formula1>
      <formula2>NaN</formula2>
    </dataValidation>
    <dataValidation type="whole" allowBlank="1" showInputMessage="1" showErrorMessage="1" sqref="T16">
      <formula1>0</formula1>
      <formula2>NaN</formula2>
    </dataValidation>
    <dataValidation type="whole" allowBlank="1" showInputMessage="1" showErrorMessage="1" sqref="T17">
      <formula1>0</formula1>
      <formula2>NaN</formula2>
    </dataValidation>
    <dataValidation type="whole" allowBlank="1" showInputMessage="1" showErrorMessage="1" sqref="T18">
      <formula1>0</formula1>
      <formula2>NaN</formula2>
    </dataValidation>
    <dataValidation type="whole" allowBlank="1" showInputMessage="1" showErrorMessage="1" sqref="T19">
      <formula1>0</formula1>
      <formula2>NaN</formula2>
    </dataValidation>
    <dataValidation type="whole" allowBlank="1" showInputMessage="1" showErrorMessage="1" sqref="T20">
      <formula1>0</formula1>
      <formula2>NaN</formula2>
    </dataValidation>
    <dataValidation type="whole" allowBlank="1" showInputMessage="1" showErrorMessage="1" sqref="T21">
      <formula1>0</formula1>
      <formula2>NaN</formula2>
    </dataValidation>
    <dataValidation type="whole" allowBlank="1" showInputMessage="1" showErrorMessage="1" sqref="T22">
      <formula1>0</formula1>
      <formula2>NaN</formula2>
    </dataValidation>
    <dataValidation type="whole" allowBlank="1" showInputMessage="1" showErrorMessage="1" sqref="T23">
      <formula1>0</formula1>
      <formula2>NaN</formula2>
    </dataValidation>
    <dataValidation type="whole" allowBlank="1" showInputMessage="1" showErrorMessage="1" sqref="T24">
      <formula1>0</formula1>
      <formula2>NaN</formula2>
    </dataValidation>
    <dataValidation type="whole" allowBlank="1" showInputMessage="1" showErrorMessage="1" sqref="T25">
      <formula1>0</formula1>
      <formula2>NaN</formula2>
    </dataValidation>
    <dataValidation type="whole" allowBlank="1" showInputMessage="1" showErrorMessage="1" sqref="T26">
      <formula1>0</formula1>
      <formula2>NaN</formula2>
    </dataValidation>
    <dataValidation type="whole" allowBlank="1" showInputMessage="1" showErrorMessage="1" sqref="T27">
      <formula1>0</formula1>
      <formula2>NaN</formula2>
    </dataValidation>
    <dataValidation type="whole" allowBlank="1" showInputMessage="1" showErrorMessage="1" sqref="T28">
      <formula1>0</formula1>
      <formula2>NaN</formula2>
    </dataValidation>
    <dataValidation type="whole" allowBlank="1" showInputMessage="1" showErrorMessage="1" sqref="T29">
      <formula1>0</formula1>
      <formula2>NaN</formula2>
    </dataValidation>
    <dataValidation type="whole" allowBlank="1" showInputMessage="1" showErrorMessage="1" sqref="T30">
      <formula1>0</formula1>
      <formula2>NaN</formula2>
    </dataValidation>
    <dataValidation type="whole" allowBlank="1" showInputMessage="1" showErrorMessage="1" sqref="T31">
      <formula1>0</formula1>
      <formula2>NaN</formula2>
    </dataValidation>
    <dataValidation type="whole" allowBlank="1" showInputMessage="1" showErrorMessage="1" sqref="T32">
      <formula1>0</formula1>
      <formula2>NaN</formula2>
    </dataValidation>
    <dataValidation type="whole" allowBlank="1" showInputMessage="1" showErrorMessage="1" sqref="T33">
      <formula1>0</formula1>
      <formula2>NaN</formula2>
    </dataValidation>
    <dataValidation type="whole" allowBlank="1" showInputMessage="1" showErrorMessage="1" sqref="T34">
      <formula1>0</formula1>
      <formula2>NaN</formula2>
    </dataValidation>
    <dataValidation type="whole" allowBlank="1" showInputMessage="1" showErrorMessage="1" sqref="T35">
      <formula1>0</formula1>
      <formula2>NaN</formula2>
    </dataValidation>
    <dataValidation type="whole" allowBlank="1" showInputMessage="1" showErrorMessage="1" sqref="T36">
      <formula1>0</formula1>
      <formula2>NaN</formula2>
    </dataValidation>
    <dataValidation type="whole" allowBlank="1" showInputMessage="1" showErrorMessage="1" sqref="T37">
      <formula1>0</formula1>
      <formula2>NaN</formula2>
    </dataValidation>
    <dataValidation type="whole" allowBlank="1" showInputMessage="1" showErrorMessage="1" sqref="T38">
      <formula1>0</formula1>
      <formula2>NaN</formula2>
    </dataValidation>
    <dataValidation type="whole" allowBlank="1" showInputMessage="1" showErrorMessage="1" sqref="T39">
      <formula1>0</formula1>
      <formula2>NaN</formula2>
    </dataValidation>
    <dataValidation type="whole" allowBlank="1" showInputMessage="1" showErrorMessage="1" sqref="T40">
      <formula1>0</formula1>
      <formula2>NaN</formula2>
    </dataValidation>
    <dataValidation type="whole" allowBlank="1" showInputMessage="1" showErrorMessage="1" sqref="T41">
      <formula1>0</formula1>
      <formula2>NaN</formula2>
    </dataValidation>
    <dataValidation type="whole" allowBlank="1" showInputMessage="1" showErrorMessage="1" sqref="T42">
      <formula1>0</formula1>
      <formula2>NaN</formula2>
    </dataValidation>
    <dataValidation type="whole" allowBlank="1" showInputMessage="1" showErrorMessage="1" sqref="T43">
      <formula1>0</formula1>
      <formula2>NaN</formula2>
    </dataValidation>
    <dataValidation type="whole" allowBlank="1" showInputMessage="1" showErrorMessage="1" sqref="T44">
      <formula1>0</formula1>
      <formula2>NaN</formula2>
    </dataValidation>
    <dataValidation type="whole" allowBlank="1" showInputMessage="1" showErrorMessage="1" sqref="T45">
      <formula1>0</formula1>
      <formula2>NaN</formula2>
    </dataValidation>
    <dataValidation type="whole" allowBlank="1" showInputMessage="1" showErrorMessage="1" sqref="T46">
      <formula1>0</formula1>
      <formula2>NaN</formula2>
    </dataValidation>
    <dataValidation type="whole" allowBlank="1" showInputMessage="1" showErrorMessage="1" sqref="T47">
      <formula1>0</formula1>
      <formula2>NaN</formula2>
    </dataValidation>
    <dataValidation type="whole" allowBlank="1" showInputMessage="1" showErrorMessage="1" sqref="T48">
      <formula1>0</formula1>
      <formula2>NaN</formula2>
    </dataValidation>
    <dataValidation type="whole" allowBlank="1" showInputMessage="1" showErrorMessage="1" sqref="T49">
      <formula1>0</formula1>
      <formula2>NaN</formula2>
    </dataValidation>
    <dataValidation type="whole" allowBlank="1" showInputMessage="1" showErrorMessage="1" sqref="T50">
      <formula1>0</formula1>
      <formula2>NaN</formula2>
    </dataValidation>
    <dataValidation type="whole" allowBlank="1" showInputMessage="1" showErrorMessage="1" sqref="T51">
      <formula1>0</formula1>
      <formula2>NaN</formula2>
    </dataValidation>
    <dataValidation type="whole" allowBlank="1" showInputMessage="1" showErrorMessage="1" sqref="T52">
      <formula1>0</formula1>
      <formula2>NaN</formula2>
    </dataValidation>
    <dataValidation type="whole" allowBlank="1" showInputMessage="1" showErrorMessage="1" sqref="T53">
      <formula1>0</formula1>
      <formula2>NaN</formula2>
    </dataValidation>
    <dataValidation type="whole" allowBlank="1" showInputMessage="1" showErrorMessage="1" sqref="T54">
      <formula1>0</formula1>
      <formula2>NaN</formula2>
    </dataValidation>
    <dataValidation type="whole" allowBlank="1" showInputMessage="1" showErrorMessage="1" sqref="T55">
      <formula1>0</formula1>
      <formula2>NaN</formula2>
    </dataValidation>
    <dataValidation type="whole" allowBlank="1" showInputMessage="1" showErrorMessage="1" sqref="T56">
      <formula1>0</formula1>
      <formula2>NaN</formula2>
    </dataValidation>
    <dataValidation type="whole" allowBlank="1" showInputMessage="1" showErrorMessage="1" sqref="T57">
      <formula1>0</formula1>
      <formula2>NaN</formula2>
    </dataValidation>
    <dataValidation type="whole" allowBlank="1" showInputMessage="1" showErrorMessage="1" sqref="T58">
      <formula1>0</formula1>
      <formula2>NaN</formula2>
    </dataValidation>
    <dataValidation type="whole" allowBlank="1" showInputMessage="1" showErrorMessage="1" sqref="T59">
      <formula1>0</formula1>
      <formula2>NaN</formula2>
    </dataValidation>
    <dataValidation type="whole" allowBlank="1" showInputMessage="1" showErrorMessage="1" sqref="T60">
      <formula1>0</formula1>
      <formula2>NaN</formula2>
    </dataValidation>
    <dataValidation type="whole" allowBlank="1" showInputMessage="1" showErrorMessage="1" sqref="T61">
      <formula1>0</formula1>
      <formula2>NaN</formula2>
    </dataValidation>
    <dataValidation type="whole" allowBlank="1" showInputMessage="1" showErrorMessage="1" sqref="T62">
      <formula1>0</formula1>
      <formula2>NaN</formula2>
    </dataValidation>
    <dataValidation type="whole" allowBlank="1" showInputMessage="1" showErrorMessage="1" sqref="T63">
      <formula1>0</formula1>
      <formula2>NaN</formula2>
    </dataValidation>
    <dataValidation type="whole" allowBlank="1" showInputMessage="1" showErrorMessage="1" sqref="T64">
      <formula1>0</formula1>
      <formula2>NaN</formula2>
    </dataValidation>
    <dataValidation type="whole" allowBlank="1" showInputMessage="1" showErrorMessage="1" sqref="T65">
      <formula1>0</formula1>
      <formula2>NaN</formula2>
    </dataValidation>
    <dataValidation type="whole" allowBlank="1" showInputMessage="1" showErrorMessage="1" sqref="T66">
      <formula1>0</formula1>
      <formula2>NaN</formula2>
    </dataValidation>
    <dataValidation type="whole" allowBlank="1" showInputMessage="1" showErrorMessage="1" sqref="T67">
      <formula1>0</formula1>
      <formula2>NaN</formula2>
    </dataValidation>
    <dataValidation type="whole" allowBlank="1" showInputMessage="1" showErrorMessage="1" sqref="T68">
      <formula1>0</formula1>
      <formula2>NaN</formula2>
    </dataValidation>
    <dataValidation type="whole" allowBlank="1" showInputMessage="1" showErrorMessage="1" sqref="T9">
      <formula1>0</formula1>
      <formula2>NaN</formula2>
    </dataValidation>
    <dataValidation type="whole" allowBlank="1" showInputMessage="1" showErrorMessage="1" sqref="U10">
      <formula1>0</formula1>
      <formula2>NaN</formula2>
    </dataValidation>
    <dataValidation type="whole" allowBlank="1" showInputMessage="1" showErrorMessage="1" sqref="U11">
      <formula1>0</formula1>
      <formula2>NaN</formula2>
    </dataValidation>
    <dataValidation type="whole" allowBlank="1" showInputMessage="1" showErrorMessage="1" sqref="U12">
      <formula1>0</formula1>
      <formula2>NaN</formula2>
    </dataValidation>
    <dataValidation type="whole" allowBlank="1" showInputMessage="1" showErrorMessage="1" sqref="U13">
      <formula1>0</formula1>
      <formula2>NaN</formula2>
    </dataValidation>
    <dataValidation type="whole" allowBlank="1" showInputMessage="1" showErrorMessage="1" sqref="U14">
      <formula1>0</formula1>
      <formula2>NaN</formula2>
    </dataValidation>
    <dataValidation type="whole" allowBlank="1" showInputMessage="1" showErrorMessage="1" sqref="U15">
      <formula1>0</formula1>
      <formula2>NaN</formula2>
    </dataValidation>
    <dataValidation type="whole" allowBlank="1" showInputMessage="1" showErrorMessage="1" sqref="U16">
      <formula1>0</formula1>
      <formula2>NaN</formula2>
    </dataValidation>
    <dataValidation type="whole" allowBlank="1" showInputMessage="1" showErrorMessage="1" sqref="U17">
      <formula1>0</formula1>
      <formula2>NaN</formula2>
    </dataValidation>
    <dataValidation type="whole" allowBlank="1" showInputMessage="1" showErrorMessage="1" sqref="U18">
      <formula1>0</formula1>
      <formula2>NaN</formula2>
    </dataValidation>
    <dataValidation type="whole" allowBlank="1" showInputMessage="1" showErrorMessage="1" sqref="U19">
      <formula1>0</formula1>
      <formula2>NaN</formula2>
    </dataValidation>
    <dataValidation type="whole" allowBlank="1" showInputMessage="1" showErrorMessage="1" sqref="U20">
      <formula1>0</formula1>
      <formula2>NaN</formula2>
    </dataValidation>
    <dataValidation type="whole" allowBlank="1" showInputMessage="1" showErrorMessage="1" sqref="U21">
      <formula1>0</formula1>
      <formula2>NaN</formula2>
    </dataValidation>
    <dataValidation type="whole" allowBlank="1" showInputMessage="1" showErrorMessage="1" sqref="U22">
      <formula1>0</formula1>
      <formula2>NaN</formula2>
    </dataValidation>
    <dataValidation type="whole" allowBlank="1" showInputMessage="1" showErrorMessage="1" sqref="U23">
      <formula1>0</formula1>
      <formula2>NaN</formula2>
    </dataValidation>
    <dataValidation type="whole" allowBlank="1" showInputMessage="1" showErrorMessage="1" sqref="U24">
      <formula1>0</formula1>
      <formula2>NaN</formula2>
    </dataValidation>
    <dataValidation type="whole" allowBlank="1" showInputMessage="1" showErrorMessage="1" sqref="U25">
      <formula1>0</formula1>
      <formula2>NaN</formula2>
    </dataValidation>
    <dataValidation type="whole" allowBlank="1" showInputMessage="1" showErrorMessage="1" sqref="U26">
      <formula1>0</formula1>
      <formula2>NaN</formula2>
    </dataValidation>
    <dataValidation type="whole" allowBlank="1" showInputMessage="1" showErrorMessage="1" sqref="U27">
      <formula1>0</formula1>
      <formula2>NaN</formula2>
    </dataValidation>
    <dataValidation type="whole" allowBlank="1" showInputMessage="1" showErrorMessage="1" sqref="U28">
      <formula1>0</formula1>
      <formula2>NaN</formula2>
    </dataValidation>
    <dataValidation type="whole" allowBlank="1" showInputMessage="1" showErrorMessage="1" sqref="U29">
      <formula1>0</formula1>
      <formula2>NaN</formula2>
    </dataValidation>
    <dataValidation type="whole" allowBlank="1" showInputMessage="1" showErrorMessage="1" sqref="U30">
      <formula1>0</formula1>
      <formula2>NaN</formula2>
    </dataValidation>
    <dataValidation type="whole" allowBlank="1" showInputMessage="1" showErrorMessage="1" sqref="U31">
      <formula1>0</formula1>
      <formula2>NaN</formula2>
    </dataValidation>
    <dataValidation type="whole" allowBlank="1" showInputMessage="1" showErrorMessage="1" sqref="U32">
      <formula1>0</formula1>
      <formula2>NaN</formula2>
    </dataValidation>
    <dataValidation type="whole" allowBlank="1" showInputMessage="1" showErrorMessage="1" sqref="U33">
      <formula1>0</formula1>
      <formula2>NaN</formula2>
    </dataValidation>
    <dataValidation type="whole" allowBlank="1" showInputMessage="1" showErrorMessage="1" sqref="U34">
      <formula1>0</formula1>
      <formula2>NaN</formula2>
    </dataValidation>
    <dataValidation type="whole" allowBlank="1" showInputMessage="1" showErrorMessage="1" sqref="U35">
      <formula1>0</formula1>
      <formula2>NaN</formula2>
    </dataValidation>
    <dataValidation type="whole" allowBlank="1" showInputMessage="1" showErrorMessage="1" sqref="U36">
      <formula1>0</formula1>
      <formula2>NaN</formula2>
    </dataValidation>
    <dataValidation type="whole" allowBlank="1" showInputMessage="1" showErrorMessage="1" sqref="U37">
      <formula1>0</formula1>
      <formula2>NaN</formula2>
    </dataValidation>
    <dataValidation type="whole" allowBlank="1" showInputMessage="1" showErrorMessage="1" sqref="U38">
      <formula1>0</formula1>
      <formula2>NaN</formula2>
    </dataValidation>
    <dataValidation type="whole" allowBlank="1" showInputMessage="1" showErrorMessage="1" sqref="U39">
      <formula1>0</formula1>
      <formula2>NaN</formula2>
    </dataValidation>
    <dataValidation type="whole" allowBlank="1" showInputMessage="1" showErrorMessage="1" sqref="U40">
      <formula1>0</formula1>
      <formula2>NaN</formula2>
    </dataValidation>
    <dataValidation type="whole" allowBlank="1" showInputMessage="1" showErrorMessage="1" sqref="U41">
      <formula1>0</formula1>
      <formula2>NaN</formula2>
    </dataValidation>
    <dataValidation type="whole" allowBlank="1" showInputMessage="1" showErrorMessage="1" sqref="U42">
      <formula1>0</formula1>
      <formula2>NaN</formula2>
    </dataValidation>
    <dataValidation type="whole" allowBlank="1" showInputMessage="1" showErrorMessage="1" sqref="U43">
      <formula1>0</formula1>
      <formula2>NaN</formula2>
    </dataValidation>
    <dataValidation type="whole" allowBlank="1" showInputMessage="1" showErrorMessage="1" sqref="U44">
      <formula1>0</formula1>
      <formula2>NaN</formula2>
    </dataValidation>
    <dataValidation type="whole" allowBlank="1" showInputMessage="1" showErrorMessage="1" sqref="U45">
      <formula1>0</formula1>
      <formula2>NaN</formula2>
    </dataValidation>
    <dataValidation type="whole" allowBlank="1" showInputMessage="1" showErrorMessage="1" sqref="U46">
      <formula1>0</formula1>
      <formula2>NaN</formula2>
    </dataValidation>
    <dataValidation type="whole" allowBlank="1" showInputMessage="1" showErrorMessage="1" sqref="U47">
      <formula1>0</formula1>
      <formula2>NaN</formula2>
    </dataValidation>
    <dataValidation type="whole" allowBlank="1" showInputMessage="1" showErrorMessage="1" sqref="U48">
      <formula1>0</formula1>
      <formula2>NaN</formula2>
    </dataValidation>
    <dataValidation type="whole" allowBlank="1" showInputMessage="1" showErrorMessage="1" sqref="U49">
      <formula1>0</formula1>
      <formula2>NaN</formula2>
    </dataValidation>
    <dataValidation type="whole" allowBlank="1" showInputMessage="1" showErrorMessage="1" sqref="U50">
      <formula1>0</formula1>
      <formula2>NaN</formula2>
    </dataValidation>
    <dataValidation type="whole" allowBlank="1" showInputMessage="1" showErrorMessage="1" sqref="U51">
      <formula1>0</formula1>
      <formula2>NaN</formula2>
    </dataValidation>
    <dataValidation type="whole" allowBlank="1" showInputMessage="1" showErrorMessage="1" sqref="U52">
      <formula1>0</formula1>
      <formula2>NaN</formula2>
    </dataValidation>
    <dataValidation type="whole" allowBlank="1" showInputMessage="1" showErrorMessage="1" sqref="U53">
      <formula1>0</formula1>
      <formula2>NaN</formula2>
    </dataValidation>
    <dataValidation type="whole" allowBlank="1" showInputMessage="1" showErrorMessage="1" sqref="U54">
      <formula1>0</formula1>
      <formula2>NaN</formula2>
    </dataValidation>
    <dataValidation type="whole" allowBlank="1" showInputMessage="1" showErrorMessage="1" sqref="U55">
      <formula1>0</formula1>
      <formula2>NaN</formula2>
    </dataValidation>
    <dataValidation type="whole" allowBlank="1" showInputMessage="1" showErrorMessage="1" sqref="U56">
      <formula1>0</formula1>
      <formula2>NaN</formula2>
    </dataValidation>
    <dataValidation type="whole" allowBlank="1" showInputMessage="1" showErrorMessage="1" sqref="U57">
      <formula1>0</formula1>
      <formula2>NaN</formula2>
    </dataValidation>
    <dataValidation type="whole" allowBlank="1" showInputMessage="1" showErrorMessage="1" sqref="U58">
      <formula1>0</formula1>
      <formula2>NaN</formula2>
    </dataValidation>
    <dataValidation type="whole" allowBlank="1" showInputMessage="1" showErrorMessage="1" sqref="U59">
      <formula1>0</formula1>
      <formula2>NaN</formula2>
    </dataValidation>
    <dataValidation type="whole" allowBlank="1" showInputMessage="1" showErrorMessage="1" sqref="U60">
      <formula1>0</formula1>
      <formula2>NaN</formula2>
    </dataValidation>
    <dataValidation type="whole" allowBlank="1" showInputMessage="1" showErrorMessage="1" sqref="U61">
      <formula1>0</formula1>
      <formula2>NaN</formula2>
    </dataValidation>
    <dataValidation type="whole" allowBlank="1" showInputMessage="1" showErrorMessage="1" sqref="U62">
      <formula1>0</formula1>
      <formula2>NaN</formula2>
    </dataValidation>
    <dataValidation type="whole" allowBlank="1" showInputMessage="1" showErrorMessage="1" sqref="U63">
      <formula1>0</formula1>
      <formula2>NaN</formula2>
    </dataValidation>
    <dataValidation type="whole" allowBlank="1" showInputMessage="1" showErrorMessage="1" sqref="U64">
      <formula1>0</formula1>
      <formula2>NaN</formula2>
    </dataValidation>
    <dataValidation type="whole" allowBlank="1" showInputMessage="1" showErrorMessage="1" sqref="U65">
      <formula1>0</formula1>
      <formula2>NaN</formula2>
    </dataValidation>
    <dataValidation type="whole" allowBlank="1" showInputMessage="1" showErrorMessage="1" sqref="U66">
      <formula1>0</formula1>
      <formula2>NaN</formula2>
    </dataValidation>
    <dataValidation type="whole" allowBlank="1" showInputMessage="1" showErrorMessage="1" sqref="U67">
      <formula1>0</formula1>
      <formula2>NaN</formula2>
    </dataValidation>
    <dataValidation type="whole" allowBlank="1" showInputMessage="1" showErrorMessage="1" sqref="U68">
      <formula1>0</formula1>
      <formula2>NaN</formula2>
    </dataValidation>
    <dataValidation type="whole" allowBlank="1" showInputMessage="1" showErrorMessage="1" sqref="U9">
      <formula1>0</formula1>
      <formula2>NaN</formula2>
    </dataValidation>
    <dataValidation type="whole" allowBlank="1" showInputMessage="1" showErrorMessage="1" sqref="V10">
      <formula1>0</formula1>
      <formula2>NaN</formula2>
    </dataValidation>
    <dataValidation type="whole" allowBlank="1" showInputMessage="1" showErrorMessage="1" sqref="V11">
      <formula1>0</formula1>
      <formula2>NaN</formula2>
    </dataValidation>
    <dataValidation type="whole" allowBlank="1" showInputMessage="1" showErrorMessage="1" sqref="V12">
      <formula1>0</formula1>
      <formula2>NaN</formula2>
    </dataValidation>
    <dataValidation type="whole" allowBlank="1" showInputMessage="1" showErrorMessage="1" sqref="V13">
      <formula1>0</formula1>
      <formula2>NaN</formula2>
    </dataValidation>
    <dataValidation type="whole" allowBlank="1" showInputMessage="1" showErrorMessage="1" sqref="V14">
      <formula1>0</formula1>
      <formula2>NaN</formula2>
    </dataValidation>
    <dataValidation type="whole" allowBlank="1" showInputMessage="1" showErrorMessage="1" sqref="V15">
      <formula1>0</formula1>
      <formula2>NaN</formula2>
    </dataValidation>
    <dataValidation type="whole" allowBlank="1" showInputMessage="1" showErrorMessage="1" sqref="V16">
      <formula1>0</formula1>
      <formula2>NaN</formula2>
    </dataValidation>
    <dataValidation type="whole" allowBlank="1" showInputMessage="1" showErrorMessage="1" sqref="V17">
      <formula1>0</formula1>
      <formula2>NaN</formula2>
    </dataValidation>
    <dataValidation type="whole" allowBlank="1" showInputMessage="1" showErrorMessage="1" sqref="V18">
      <formula1>0</formula1>
      <formula2>NaN</formula2>
    </dataValidation>
    <dataValidation type="whole" allowBlank="1" showInputMessage="1" showErrorMessage="1" sqref="V19">
      <formula1>0</formula1>
      <formula2>NaN</formula2>
    </dataValidation>
    <dataValidation type="whole" allowBlank="1" showInputMessage="1" showErrorMessage="1" sqref="V20">
      <formula1>0</formula1>
      <formula2>NaN</formula2>
    </dataValidation>
    <dataValidation type="whole" allowBlank="1" showInputMessage="1" showErrorMessage="1" sqref="V21">
      <formula1>0</formula1>
      <formula2>NaN</formula2>
    </dataValidation>
    <dataValidation type="whole" allowBlank="1" showInputMessage="1" showErrorMessage="1" sqref="V22">
      <formula1>0</formula1>
      <formula2>NaN</formula2>
    </dataValidation>
    <dataValidation type="whole" allowBlank="1" showInputMessage="1" showErrorMessage="1" sqref="V23">
      <formula1>0</formula1>
      <formula2>NaN</formula2>
    </dataValidation>
    <dataValidation type="whole" allowBlank="1" showInputMessage="1" showErrorMessage="1" sqref="V24">
      <formula1>0</formula1>
      <formula2>NaN</formula2>
    </dataValidation>
    <dataValidation type="whole" allowBlank="1" showInputMessage="1" showErrorMessage="1" sqref="V25">
      <formula1>0</formula1>
      <formula2>NaN</formula2>
    </dataValidation>
    <dataValidation type="whole" allowBlank="1" showInputMessage="1" showErrorMessage="1" sqref="V26">
      <formula1>0</formula1>
      <formula2>NaN</formula2>
    </dataValidation>
    <dataValidation type="whole" allowBlank="1" showInputMessage="1" showErrorMessage="1" sqref="V27">
      <formula1>0</formula1>
      <formula2>NaN</formula2>
    </dataValidation>
    <dataValidation type="whole" allowBlank="1" showInputMessage="1" showErrorMessage="1" sqref="V28">
      <formula1>0</formula1>
      <formula2>NaN</formula2>
    </dataValidation>
    <dataValidation type="whole" allowBlank="1" showInputMessage="1" showErrorMessage="1" sqref="V29">
      <formula1>0</formula1>
      <formula2>NaN</formula2>
    </dataValidation>
    <dataValidation type="whole" allowBlank="1" showInputMessage="1" showErrorMessage="1" sqref="V30">
      <formula1>0</formula1>
      <formula2>NaN</formula2>
    </dataValidation>
    <dataValidation type="whole" allowBlank="1" showInputMessage="1" showErrorMessage="1" sqref="V31">
      <formula1>0</formula1>
      <formula2>NaN</formula2>
    </dataValidation>
    <dataValidation type="whole" allowBlank="1" showInputMessage="1" showErrorMessage="1" sqref="V32">
      <formula1>0</formula1>
      <formula2>NaN</formula2>
    </dataValidation>
    <dataValidation type="whole" allowBlank="1" showInputMessage="1" showErrorMessage="1" sqref="V33">
      <formula1>0</formula1>
      <formula2>NaN</formula2>
    </dataValidation>
    <dataValidation type="whole" allowBlank="1" showInputMessage="1" showErrorMessage="1" sqref="V34">
      <formula1>0</formula1>
      <formula2>NaN</formula2>
    </dataValidation>
    <dataValidation type="whole" allowBlank="1" showInputMessage="1" showErrorMessage="1" sqref="V35">
      <formula1>0</formula1>
      <formula2>NaN</formula2>
    </dataValidation>
    <dataValidation type="whole" allowBlank="1" showInputMessage="1" showErrorMessage="1" sqref="V36">
      <formula1>0</formula1>
      <formula2>NaN</formula2>
    </dataValidation>
    <dataValidation type="whole" allowBlank="1" showInputMessage="1" showErrorMessage="1" sqref="V37">
      <formula1>0</formula1>
      <formula2>NaN</formula2>
    </dataValidation>
    <dataValidation type="whole" allowBlank="1" showInputMessage="1" showErrorMessage="1" sqref="V38">
      <formula1>0</formula1>
      <formula2>NaN</formula2>
    </dataValidation>
    <dataValidation type="whole" allowBlank="1" showInputMessage="1" showErrorMessage="1" sqref="V39">
      <formula1>0</formula1>
      <formula2>NaN</formula2>
    </dataValidation>
    <dataValidation type="whole" allowBlank="1" showInputMessage="1" showErrorMessage="1" sqref="V40">
      <formula1>0</formula1>
      <formula2>NaN</formula2>
    </dataValidation>
    <dataValidation type="whole" allowBlank="1" showInputMessage="1" showErrorMessage="1" sqref="V41">
      <formula1>0</formula1>
      <formula2>NaN</formula2>
    </dataValidation>
    <dataValidation type="whole" allowBlank="1" showInputMessage="1" showErrorMessage="1" sqref="V42">
      <formula1>0</formula1>
      <formula2>NaN</formula2>
    </dataValidation>
    <dataValidation type="whole" allowBlank="1" showInputMessage="1" showErrorMessage="1" sqref="V43">
      <formula1>0</formula1>
      <formula2>NaN</formula2>
    </dataValidation>
    <dataValidation type="whole" allowBlank="1" showInputMessage="1" showErrorMessage="1" sqref="V44">
      <formula1>0</formula1>
      <formula2>NaN</formula2>
    </dataValidation>
    <dataValidation type="whole" allowBlank="1" showInputMessage="1" showErrorMessage="1" sqref="V45">
      <formula1>0</formula1>
      <formula2>NaN</formula2>
    </dataValidation>
    <dataValidation type="whole" allowBlank="1" showInputMessage="1" showErrorMessage="1" sqref="V46">
      <formula1>0</formula1>
      <formula2>NaN</formula2>
    </dataValidation>
    <dataValidation type="whole" allowBlank="1" showInputMessage="1" showErrorMessage="1" sqref="V47">
      <formula1>0</formula1>
      <formula2>NaN</formula2>
    </dataValidation>
    <dataValidation type="whole" allowBlank="1" showInputMessage="1" showErrorMessage="1" sqref="V48">
      <formula1>0</formula1>
      <formula2>NaN</formula2>
    </dataValidation>
    <dataValidation type="whole" allowBlank="1" showInputMessage="1" showErrorMessage="1" sqref="V49">
      <formula1>0</formula1>
      <formula2>NaN</formula2>
    </dataValidation>
    <dataValidation type="whole" allowBlank="1" showInputMessage="1" showErrorMessage="1" sqref="V50">
      <formula1>0</formula1>
      <formula2>NaN</formula2>
    </dataValidation>
    <dataValidation type="whole" allowBlank="1" showInputMessage="1" showErrorMessage="1" sqref="V51">
      <formula1>0</formula1>
      <formula2>NaN</formula2>
    </dataValidation>
    <dataValidation type="whole" allowBlank="1" showInputMessage="1" showErrorMessage="1" sqref="V52">
      <formula1>0</formula1>
      <formula2>NaN</formula2>
    </dataValidation>
    <dataValidation type="whole" allowBlank="1" showInputMessage="1" showErrorMessage="1" sqref="V53">
      <formula1>0</formula1>
      <formula2>NaN</formula2>
    </dataValidation>
    <dataValidation type="whole" allowBlank="1" showInputMessage="1" showErrorMessage="1" sqref="V54">
      <formula1>0</formula1>
      <formula2>NaN</formula2>
    </dataValidation>
    <dataValidation type="whole" allowBlank="1" showInputMessage="1" showErrorMessage="1" sqref="V55">
      <formula1>0</formula1>
      <formula2>NaN</formula2>
    </dataValidation>
    <dataValidation type="whole" allowBlank="1" showInputMessage="1" showErrorMessage="1" sqref="V56">
      <formula1>0</formula1>
      <formula2>NaN</formula2>
    </dataValidation>
    <dataValidation type="whole" allowBlank="1" showInputMessage="1" showErrorMessage="1" sqref="V57">
      <formula1>0</formula1>
      <formula2>NaN</formula2>
    </dataValidation>
    <dataValidation type="whole" allowBlank="1" showInputMessage="1" showErrorMessage="1" sqref="V58">
      <formula1>0</formula1>
      <formula2>NaN</formula2>
    </dataValidation>
    <dataValidation type="whole" allowBlank="1" showInputMessage="1" showErrorMessage="1" sqref="V59">
      <formula1>0</formula1>
      <formula2>NaN</formula2>
    </dataValidation>
    <dataValidation type="whole" allowBlank="1" showInputMessage="1" showErrorMessage="1" sqref="V60">
      <formula1>0</formula1>
      <formula2>NaN</formula2>
    </dataValidation>
    <dataValidation type="whole" allowBlank="1" showInputMessage="1" showErrorMessage="1" sqref="V61">
      <formula1>0</formula1>
      <formula2>NaN</formula2>
    </dataValidation>
    <dataValidation type="whole" allowBlank="1" showInputMessage="1" showErrorMessage="1" sqref="V62">
      <formula1>0</formula1>
      <formula2>NaN</formula2>
    </dataValidation>
    <dataValidation type="whole" allowBlank="1" showInputMessage="1" showErrorMessage="1" sqref="V63">
      <formula1>0</formula1>
      <formula2>NaN</formula2>
    </dataValidation>
    <dataValidation type="whole" allowBlank="1" showInputMessage="1" showErrorMessage="1" sqref="V64">
      <formula1>0</formula1>
      <formula2>NaN</formula2>
    </dataValidation>
    <dataValidation type="whole" allowBlank="1" showInputMessage="1" showErrorMessage="1" sqref="V65">
      <formula1>0</formula1>
      <formula2>NaN</formula2>
    </dataValidation>
    <dataValidation type="whole" allowBlank="1" showInputMessage="1" showErrorMessage="1" sqref="V66">
      <formula1>0</formula1>
      <formula2>NaN</formula2>
    </dataValidation>
    <dataValidation type="whole" allowBlank="1" showInputMessage="1" showErrorMessage="1" sqref="V67">
      <formula1>0</formula1>
      <formula2>NaN</formula2>
    </dataValidation>
    <dataValidation type="whole" allowBlank="1" showInputMessage="1" showErrorMessage="1" sqref="V68">
      <formula1>0</formula1>
      <formula2>NaN</formula2>
    </dataValidation>
    <dataValidation type="whole" allowBlank="1" showInputMessage="1" showErrorMessage="1" sqref="V9">
      <formula1>0</formula1>
      <formula2>NaN</formula2>
    </dataValidation>
    <dataValidation type="whole" allowBlank="1" showInputMessage="1" showErrorMessage="1" sqref="W10">
      <formula1>0</formula1>
      <formula2>NaN</formula2>
    </dataValidation>
    <dataValidation type="whole" allowBlank="1" showInputMessage="1" showErrorMessage="1" sqref="W11">
      <formula1>0</formula1>
      <formula2>NaN</formula2>
    </dataValidation>
    <dataValidation type="whole" allowBlank="1" showInputMessage="1" showErrorMessage="1" sqref="W12">
      <formula1>0</formula1>
      <formula2>NaN</formula2>
    </dataValidation>
    <dataValidation type="whole" allowBlank="1" showInputMessage="1" showErrorMessage="1" sqref="W13">
      <formula1>0</formula1>
      <formula2>NaN</formula2>
    </dataValidation>
    <dataValidation type="whole" allowBlank="1" showInputMessage="1" showErrorMessage="1" sqref="W14">
      <formula1>0</formula1>
      <formula2>NaN</formula2>
    </dataValidation>
    <dataValidation type="whole" allowBlank="1" showInputMessage="1" showErrorMessage="1" sqref="W15">
      <formula1>0</formula1>
      <formula2>NaN</formula2>
    </dataValidation>
    <dataValidation type="whole" allowBlank="1" showInputMessage="1" showErrorMessage="1" sqref="W16">
      <formula1>0</formula1>
      <formula2>NaN</formula2>
    </dataValidation>
    <dataValidation type="whole" allowBlank="1" showInputMessage="1" showErrorMessage="1" sqref="W17">
      <formula1>0</formula1>
      <formula2>NaN</formula2>
    </dataValidation>
    <dataValidation type="whole" allowBlank="1" showInputMessage="1" showErrorMessage="1" sqref="W18">
      <formula1>0</formula1>
      <formula2>NaN</formula2>
    </dataValidation>
    <dataValidation type="whole" allowBlank="1" showInputMessage="1" showErrorMessage="1" sqref="W19">
      <formula1>0</formula1>
      <formula2>NaN</formula2>
    </dataValidation>
    <dataValidation type="whole" allowBlank="1" showInputMessage="1" showErrorMessage="1" sqref="W20">
      <formula1>0</formula1>
      <formula2>NaN</formula2>
    </dataValidation>
    <dataValidation type="whole" allowBlank="1" showInputMessage="1" showErrorMessage="1" sqref="W21">
      <formula1>0</formula1>
      <formula2>NaN</formula2>
    </dataValidation>
    <dataValidation type="whole" allowBlank="1" showInputMessage="1" showErrorMessage="1" sqref="W22">
      <formula1>0</formula1>
      <formula2>NaN</formula2>
    </dataValidation>
    <dataValidation type="whole" allowBlank="1" showInputMessage="1" showErrorMessage="1" sqref="W23">
      <formula1>0</formula1>
      <formula2>NaN</formula2>
    </dataValidation>
    <dataValidation type="whole" allowBlank="1" showInputMessage="1" showErrorMessage="1" sqref="W24">
      <formula1>0</formula1>
      <formula2>NaN</formula2>
    </dataValidation>
    <dataValidation type="whole" allowBlank="1" showInputMessage="1" showErrorMessage="1" sqref="W25">
      <formula1>0</formula1>
      <formula2>NaN</formula2>
    </dataValidation>
    <dataValidation type="whole" allowBlank="1" showInputMessage="1" showErrorMessage="1" sqref="W26">
      <formula1>0</formula1>
      <formula2>NaN</formula2>
    </dataValidation>
    <dataValidation type="whole" allowBlank="1" showInputMessage="1" showErrorMessage="1" sqref="W27">
      <formula1>0</formula1>
      <formula2>NaN</formula2>
    </dataValidation>
    <dataValidation type="whole" allowBlank="1" showInputMessage="1" showErrorMessage="1" sqref="W28">
      <formula1>0</formula1>
      <formula2>NaN</formula2>
    </dataValidation>
    <dataValidation type="whole" allowBlank="1" showInputMessage="1" showErrorMessage="1" sqref="W29">
      <formula1>0</formula1>
      <formula2>NaN</formula2>
    </dataValidation>
    <dataValidation type="whole" allowBlank="1" showInputMessage="1" showErrorMessage="1" sqref="W30">
      <formula1>0</formula1>
      <formula2>NaN</formula2>
    </dataValidation>
    <dataValidation type="whole" allowBlank="1" showInputMessage="1" showErrorMessage="1" sqref="W31">
      <formula1>0</formula1>
      <formula2>NaN</formula2>
    </dataValidation>
    <dataValidation type="whole" allowBlank="1" showInputMessage="1" showErrorMessage="1" sqref="W32">
      <formula1>0</formula1>
      <formula2>NaN</formula2>
    </dataValidation>
    <dataValidation type="whole" allowBlank="1" showInputMessage="1" showErrorMessage="1" sqref="W33">
      <formula1>0</formula1>
      <formula2>NaN</formula2>
    </dataValidation>
    <dataValidation type="whole" allowBlank="1" showInputMessage="1" showErrorMessage="1" sqref="W34">
      <formula1>0</formula1>
      <formula2>NaN</formula2>
    </dataValidation>
    <dataValidation type="whole" allowBlank="1" showInputMessage="1" showErrorMessage="1" sqref="W35">
      <formula1>0</formula1>
      <formula2>NaN</formula2>
    </dataValidation>
    <dataValidation type="whole" allowBlank="1" showInputMessage="1" showErrorMessage="1" sqref="W36">
      <formula1>0</formula1>
      <formula2>NaN</formula2>
    </dataValidation>
    <dataValidation type="whole" allowBlank="1" showInputMessage="1" showErrorMessage="1" sqref="W37">
      <formula1>0</formula1>
      <formula2>NaN</formula2>
    </dataValidation>
    <dataValidation type="whole" allowBlank="1" showInputMessage="1" showErrorMessage="1" sqref="W38">
      <formula1>0</formula1>
      <formula2>NaN</formula2>
    </dataValidation>
    <dataValidation type="whole" allowBlank="1" showInputMessage="1" showErrorMessage="1" sqref="W39">
      <formula1>0</formula1>
      <formula2>NaN</formula2>
    </dataValidation>
    <dataValidation type="whole" allowBlank="1" showInputMessage="1" showErrorMessage="1" sqref="W40">
      <formula1>0</formula1>
      <formula2>NaN</formula2>
    </dataValidation>
    <dataValidation type="whole" allowBlank="1" showInputMessage="1" showErrorMessage="1" sqref="W41">
      <formula1>0</formula1>
      <formula2>NaN</formula2>
    </dataValidation>
    <dataValidation type="whole" allowBlank="1" showInputMessage="1" showErrorMessage="1" sqref="W42">
      <formula1>0</formula1>
      <formula2>NaN</formula2>
    </dataValidation>
    <dataValidation type="whole" allowBlank="1" showInputMessage="1" showErrorMessage="1" sqref="W43">
      <formula1>0</formula1>
      <formula2>NaN</formula2>
    </dataValidation>
    <dataValidation type="whole" allowBlank="1" showInputMessage="1" showErrorMessage="1" sqref="W44">
      <formula1>0</formula1>
      <formula2>NaN</formula2>
    </dataValidation>
    <dataValidation type="whole" allowBlank="1" showInputMessage="1" showErrorMessage="1" sqref="W45">
      <formula1>0</formula1>
      <formula2>NaN</formula2>
    </dataValidation>
    <dataValidation type="whole" allowBlank="1" showInputMessage="1" showErrorMessage="1" sqref="W46">
      <formula1>0</formula1>
      <formula2>NaN</formula2>
    </dataValidation>
    <dataValidation type="whole" allowBlank="1" showInputMessage="1" showErrorMessage="1" sqref="W47">
      <formula1>0</formula1>
      <formula2>NaN</formula2>
    </dataValidation>
    <dataValidation type="whole" allowBlank="1" showInputMessage="1" showErrorMessage="1" sqref="W48">
      <formula1>0</formula1>
      <formula2>NaN</formula2>
    </dataValidation>
    <dataValidation type="whole" allowBlank="1" showInputMessage="1" showErrorMessage="1" sqref="W49">
      <formula1>0</formula1>
      <formula2>NaN</formula2>
    </dataValidation>
    <dataValidation type="whole" allowBlank="1" showInputMessage="1" showErrorMessage="1" sqref="W50">
      <formula1>0</formula1>
      <formula2>NaN</formula2>
    </dataValidation>
    <dataValidation type="whole" allowBlank="1" showInputMessage="1" showErrorMessage="1" sqref="W51">
      <formula1>0</formula1>
      <formula2>NaN</formula2>
    </dataValidation>
    <dataValidation type="whole" allowBlank="1" showInputMessage="1" showErrorMessage="1" sqref="W52">
      <formula1>0</formula1>
      <formula2>NaN</formula2>
    </dataValidation>
    <dataValidation type="whole" allowBlank="1" showInputMessage="1" showErrorMessage="1" sqref="W53">
      <formula1>0</formula1>
      <formula2>NaN</formula2>
    </dataValidation>
    <dataValidation type="whole" allowBlank="1" showInputMessage="1" showErrorMessage="1" sqref="W54">
      <formula1>0</formula1>
      <formula2>NaN</formula2>
    </dataValidation>
    <dataValidation type="whole" allowBlank="1" showInputMessage="1" showErrorMessage="1" sqref="W55">
      <formula1>0</formula1>
      <formula2>NaN</formula2>
    </dataValidation>
    <dataValidation type="whole" allowBlank="1" showInputMessage="1" showErrorMessage="1" sqref="W56">
      <formula1>0</formula1>
      <formula2>NaN</formula2>
    </dataValidation>
    <dataValidation type="whole" allowBlank="1" showInputMessage="1" showErrorMessage="1" sqref="W57">
      <formula1>0</formula1>
      <formula2>NaN</formula2>
    </dataValidation>
    <dataValidation type="whole" allowBlank="1" showInputMessage="1" showErrorMessage="1" sqref="W58">
      <formula1>0</formula1>
      <formula2>NaN</formula2>
    </dataValidation>
    <dataValidation type="whole" allowBlank="1" showInputMessage="1" showErrorMessage="1" sqref="W59">
      <formula1>0</formula1>
      <formula2>NaN</formula2>
    </dataValidation>
    <dataValidation type="whole" allowBlank="1" showInputMessage="1" showErrorMessage="1" sqref="W60">
      <formula1>0</formula1>
      <formula2>NaN</formula2>
    </dataValidation>
    <dataValidation type="whole" allowBlank="1" showInputMessage="1" showErrorMessage="1" sqref="W61">
      <formula1>0</formula1>
      <formula2>NaN</formula2>
    </dataValidation>
    <dataValidation type="whole" allowBlank="1" showInputMessage="1" showErrorMessage="1" sqref="W62">
      <formula1>0</formula1>
      <formula2>NaN</formula2>
    </dataValidation>
    <dataValidation type="whole" allowBlank="1" showInputMessage="1" showErrorMessage="1" sqref="W63">
      <formula1>0</formula1>
      <formula2>NaN</formula2>
    </dataValidation>
    <dataValidation type="whole" allowBlank="1" showInputMessage="1" showErrorMessage="1" sqref="W64">
      <formula1>0</formula1>
      <formula2>NaN</formula2>
    </dataValidation>
    <dataValidation type="whole" allowBlank="1" showInputMessage="1" showErrorMessage="1" sqref="W65">
      <formula1>0</formula1>
      <formula2>NaN</formula2>
    </dataValidation>
    <dataValidation type="whole" allowBlank="1" showInputMessage="1" showErrorMessage="1" sqref="W66">
      <formula1>0</formula1>
      <formula2>NaN</formula2>
    </dataValidation>
    <dataValidation type="whole" allowBlank="1" showInputMessage="1" showErrorMessage="1" sqref="W67">
      <formula1>0</formula1>
      <formula2>NaN</formula2>
    </dataValidation>
    <dataValidation type="whole" allowBlank="1" showInputMessage="1" showErrorMessage="1" sqref="W68">
      <formula1>0</formula1>
      <formula2>NaN</formula2>
    </dataValidation>
    <dataValidation type="whole" allowBlank="1" showInputMessage="1" showErrorMessage="1" sqref="W9">
      <formula1>0</formula1>
      <formula2>NaN</formula2>
    </dataValidation>
    <dataValidation type="whole" allowBlank="1" showInputMessage="1" showErrorMessage="1" sqref="X10">
      <formula1>0</formula1>
      <formula2>NaN</formula2>
    </dataValidation>
    <dataValidation type="whole" allowBlank="1" showInputMessage="1" showErrorMessage="1" sqref="X11">
      <formula1>0</formula1>
      <formula2>NaN</formula2>
    </dataValidation>
    <dataValidation type="whole" allowBlank="1" showInputMessage="1" showErrorMessage="1" sqref="X12">
      <formula1>0</formula1>
      <formula2>NaN</formula2>
    </dataValidation>
    <dataValidation type="whole" allowBlank="1" showInputMessage="1" showErrorMessage="1" sqref="X13">
      <formula1>0</formula1>
      <formula2>NaN</formula2>
    </dataValidation>
    <dataValidation type="whole" allowBlank="1" showInputMessage="1" showErrorMessage="1" sqref="X14">
      <formula1>0</formula1>
      <formula2>NaN</formula2>
    </dataValidation>
    <dataValidation type="whole" allowBlank="1" showInputMessage="1" showErrorMessage="1" sqref="X15">
      <formula1>0</formula1>
      <formula2>NaN</formula2>
    </dataValidation>
    <dataValidation type="whole" allowBlank="1" showInputMessage="1" showErrorMessage="1" sqref="X16">
      <formula1>0</formula1>
      <formula2>NaN</formula2>
    </dataValidation>
    <dataValidation type="whole" allowBlank="1" showInputMessage="1" showErrorMessage="1" sqref="X17">
      <formula1>0</formula1>
      <formula2>NaN</formula2>
    </dataValidation>
    <dataValidation type="whole" allowBlank="1" showInputMessage="1" showErrorMessage="1" sqref="X18">
      <formula1>0</formula1>
      <formula2>NaN</formula2>
    </dataValidation>
    <dataValidation type="whole" allowBlank="1" showInputMessage="1" showErrorMessage="1" sqref="X19">
      <formula1>0</formula1>
      <formula2>NaN</formula2>
    </dataValidation>
    <dataValidation type="whole" allowBlank="1" showInputMessage="1" showErrorMessage="1" sqref="X20">
      <formula1>0</formula1>
      <formula2>NaN</formula2>
    </dataValidation>
    <dataValidation type="whole" allowBlank="1" showInputMessage="1" showErrorMessage="1" sqref="X21">
      <formula1>0</formula1>
      <formula2>NaN</formula2>
    </dataValidation>
    <dataValidation type="whole" allowBlank="1" showInputMessage="1" showErrorMessage="1" sqref="X22">
      <formula1>0</formula1>
      <formula2>NaN</formula2>
    </dataValidation>
    <dataValidation type="whole" allowBlank="1" showInputMessage="1" showErrorMessage="1" sqref="X23">
      <formula1>0</formula1>
      <formula2>NaN</formula2>
    </dataValidation>
    <dataValidation type="whole" allowBlank="1" showInputMessage="1" showErrorMessage="1" sqref="X24">
      <formula1>0</formula1>
      <formula2>NaN</formula2>
    </dataValidation>
    <dataValidation type="whole" allowBlank="1" showInputMessage="1" showErrorMessage="1" sqref="X25">
      <formula1>0</formula1>
      <formula2>NaN</formula2>
    </dataValidation>
    <dataValidation type="whole" allowBlank="1" showInputMessage="1" showErrorMessage="1" sqref="X26">
      <formula1>0</formula1>
      <formula2>NaN</formula2>
    </dataValidation>
    <dataValidation type="whole" allowBlank="1" showInputMessage="1" showErrorMessage="1" sqref="X27">
      <formula1>0</formula1>
      <formula2>NaN</formula2>
    </dataValidation>
    <dataValidation type="whole" allowBlank="1" showInputMessage="1" showErrorMessage="1" sqref="X28">
      <formula1>0</formula1>
      <formula2>NaN</formula2>
    </dataValidation>
    <dataValidation type="whole" allowBlank="1" showInputMessage="1" showErrorMessage="1" sqref="X29">
      <formula1>0</formula1>
      <formula2>NaN</formula2>
    </dataValidation>
    <dataValidation type="whole" allowBlank="1" showInputMessage="1" showErrorMessage="1" sqref="X30">
      <formula1>0</formula1>
      <formula2>NaN</formula2>
    </dataValidation>
    <dataValidation type="whole" allowBlank="1" showInputMessage="1" showErrorMessage="1" sqref="X31">
      <formula1>0</formula1>
      <formula2>NaN</formula2>
    </dataValidation>
    <dataValidation type="whole" allowBlank="1" showInputMessage="1" showErrorMessage="1" sqref="X32">
      <formula1>0</formula1>
      <formula2>NaN</formula2>
    </dataValidation>
    <dataValidation type="whole" allowBlank="1" showInputMessage="1" showErrorMessage="1" sqref="X33">
      <formula1>0</formula1>
      <formula2>NaN</formula2>
    </dataValidation>
    <dataValidation type="whole" allowBlank="1" showInputMessage="1" showErrorMessage="1" sqref="X34">
      <formula1>0</formula1>
      <formula2>NaN</formula2>
    </dataValidation>
    <dataValidation type="whole" allowBlank="1" showInputMessage="1" showErrorMessage="1" sqref="X35">
      <formula1>0</formula1>
      <formula2>NaN</formula2>
    </dataValidation>
    <dataValidation type="whole" allowBlank="1" showInputMessage="1" showErrorMessage="1" sqref="X36">
      <formula1>0</formula1>
      <formula2>NaN</formula2>
    </dataValidation>
    <dataValidation type="whole" allowBlank="1" showInputMessage="1" showErrorMessage="1" sqref="X37">
      <formula1>0</formula1>
      <formula2>NaN</formula2>
    </dataValidation>
    <dataValidation type="whole" allowBlank="1" showInputMessage="1" showErrorMessage="1" sqref="X38">
      <formula1>0</formula1>
      <formula2>NaN</formula2>
    </dataValidation>
    <dataValidation type="whole" allowBlank="1" showInputMessage="1" showErrorMessage="1" sqref="X39">
      <formula1>0</formula1>
      <formula2>NaN</formula2>
    </dataValidation>
    <dataValidation type="whole" allowBlank="1" showInputMessage="1" showErrorMessage="1" sqref="X40">
      <formula1>0</formula1>
      <formula2>NaN</formula2>
    </dataValidation>
    <dataValidation type="whole" allowBlank="1" showInputMessage="1" showErrorMessage="1" sqref="X41">
      <formula1>0</formula1>
      <formula2>NaN</formula2>
    </dataValidation>
    <dataValidation type="whole" allowBlank="1" showInputMessage="1" showErrorMessage="1" sqref="X42">
      <formula1>0</formula1>
      <formula2>NaN</formula2>
    </dataValidation>
    <dataValidation type="whole" allowBlank="1" showInputMessage="1" showErrorMessage="1" sqref="X43">
      <formula1>0</formula1>
      <formula2>NaN</formula2>
    </dataValidation>
    <dataValidation type="whole" allowBlank="1" showInputMessage="1" showErrorMessage="1" sqref="X44">
      <formula1>0</formula1>
      <formula2>NaN</formula2>
    </dataValidation>
    <dataValidation type="whole" allowBlank="1" showInputMessage="1" showErrorMessage="1" sqref="X45">
      <formula1>0</formula1>
      <formula2>NaN</formula2>
    </dataValidation>
    <dataValidation type="whole" allowBlank="1" showInputMessage="1" showErrorMessage="1" sqref="X46">
      <formula1>0</formula1>
      <formula2>NaN</formula2>
    </dataValidation>
    <dataValidation type="whole" allowBlank="1" showInputMessage="1" showErrorMessage="1" sqref="X47">
      <formula1>0</formula1>
      <formula2>NaN</formula2>
    </dataValidation>
    <dataValidation type="whole" allowBlank="1" showInputMessage="1" showErrorMessage="1" sqref="X48">
      <formula1>0</formula1>
      <formula2>NaN</formula2>
    </dataValidation>
    <dataValidation type="whole" allowBlank="1" showInputMessage="1" showErrorMessage="1" sqref="X49">
      <formula1>0</formula1>
      <formula2>NaN</formula2>
    </dataValidation>
    <dataValidation type="whole" allowBlank="1" showInputMessage="1" showErrorMessage="1" sqref="X50">
      <formula1>0</formula1>
      <formula2>NaN</formula2>
    </dataValidation>
    <dataValidation type="whole" allowBlank="1" showInputMessage="1" showErrorMessage="1" sqref="X51">
      <formula1>0</formula1>
      <formula2>NaN</formula2>
    </dataValidation>
    <dataValidation type="whole" allowBlank="1" showInputMessage="1" showErrorMessage="1" sqref="X52">
      <formula1>0</formula1>
      <formula2>NaN</formula2>
    </dataValidation>
    <dataValidation type="whole" allowBlank="1" showInputMessage="1" showErrorMessage="1" sqref="X53">
      <formula1>0</formula1>
      <formula2>NaN</formula2>
    </dataValidation>
    <dataValidation type="whole" allowBlank="1" showInputMessage="1" showErrorMessage="1" sqref="X54">
      <formula1>0</formula1>
      <formula2>NaN</formula2>
    </dataValidation>
    <dataValidation type="whole" allowBlank="1" showInputMessage="1" showErrorMessage="1" sqref="X55">
      <formula1>0</formula1>
      <formula2>NaN</formula2>
    </dataValidation>
    <dataValidation type="whole" allowBlank="1" showInputMessage="1" showErrorMessage="1" sqref="X56">
      <formula1>0</formula1>
      <formula2>NaN</formula2>
    </dataValidation>
    <dataValidation type="whole" allowBlank="1" showInputMessage="1" showErrorMessage="1" sqref="X57">
      <formula1>0</formula1>
      <formula2>NaN</formula2>
    </dataValidation>
    <dataValidation type="whole" allowBlank="1" showInputMessage="1" showErrorMessage="1" sqref="X58">
      <formula1>0</formula1>
      <formula2>NaN</formula2>
    </dataValidation>
    <dataValidation type="whole" allowBlank="1" showInputMessage="1" showErrorMessage="1" sqref="X59">
      <formula1>0</formula1>
      <formula2>NaN</formula2>
    </dataValidation>
    <dataValidation type="whole" allowBlank="1" showInputMessage="1" showErrorMessage="1" sqref="X60">
      <formula1>0</formula1>
      <formula2>NaN</formula2>
    </dataValidation>
    <dataValidation type="whole" allowBlank="1" showInputMessage="1" showErrorMessage="1" sqref="X61">
      <formula1>0</formula1>
      <formula2>NaN</formula2>
    </dataValidation>
    <dataValidation type="whole" allowBlank="1" showInputMessage="1" showErrorMessage="1" sqref="X62">
      <formula1>0</formula1>
      <formula2>NaN</formula2>
    </dataValidation>
    <dataValidation type="whole" allowBlank="1" showInputMessage="1" showErrorMessage="1" sqref="X63">
      <formula1>0</formula1>
      <formula2>NaN</formula2>
    </dataValidation>
    <dataValidation type="whole" allowBlank="1" showInputMessage="1" showErrorMessage="1" sqref="X64">
      <formula1>0</formula1>
      <formula2>NaN</formula2>
    </dataValidation>
    <dataValidation type="whole" allowBlank="1" showInputMessage="1" showErrorMessage="1" sqref="X65">
      <formula1>0</formula1>
      <formula2>NaN</formula2>
    </dataValidation>
    <dataValidation type="whole" allowBlank="1" showInputMessage="1" showErrorMessage="1" sqref="X66">
      <formula1>0</formula1>
      <formula2>NaN</formula2>
    </dataValidation>
    <dataValidation type="whole" allowBlank="1" showInputMessage="1" showErrorMessage="1" sqref="X67">
      <formula1>0</formula1>
      <formula2>NaN</formula2>
    </dataValidation>
    <dataValidation type="whole" allowBlank="1" showInputMessage="1" showErrorMessage="1" sqref="X68">
      <formula1>0</formula1>
      <formula2>NaN</formula2>
    </dataValidation>
    <dataValidation type="whole" allowBlank="1" showInputMessage="1" showErrorMessage="1" sqref="X9">
      <formula1>0</formula1>
      <formula2>NaN</formula2>
    </dataValidation>
    <dataValidation showInputMessage="1" prompt="Percentage Score" showErrorMessage="1" sqref="Z5"/>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G69"/>
  <sheetViews>
    <sheetView workbookViewId="0" showGridLines="0" zoomScale="100" zoomScaleNormal="100">
      <pane xSplit="4" ySplit="8" topLeftCell="E56" activePane="bottomRight" state="frozen"/>
      <selection pane="bottomRight" activeCell="E5" sqref="E5"/>
    </sheetView>
  </sheetViews>
  <sheetFormatPr defaultRowHeight="15" outlineLevelRow="0" outlineLevelCol="0" x14ac:dyDescent="0.25" defaultColWidth="8.85546875"/>
  <cols>
    <col min="1" max="1" width="2.140625" style="167" customWidth="1"/>
    <col min="2" max="2" width="3.85546875" style="167" customWidth="1"/>
    <col min="3" max="3" width="15.85546875" style="167" customWidth="1"/>
    <col min="4" max="4" width="35.85546875" style="167" customWidth="1"/>
    <col min="5" max="24" width="5.42578125" style="167" customWidth="1"/>
    <col min="25" max="27" width="7.42578125" style="167" customWidth="1"/>
    <col min="28" max="42" width="5.42578125" style="167" customWidth="1"/>
    <col min="43" max="45" width="7.42578125" style="167" customWidth="1"/>
    <col min="46" max="48" width="5.85546875" style="167" customWidth="1"/>
    <col min="49" max="51" width="6.85546875" style="167" customWidth="1"/>
    <col min="52" max="53" width="8.42578125" style="167" customWidth="1"/>
    <col min="54" max="54" width="5.85546875" style="167" customWidth="1"/>
    <col min="55" max="55" width="7.85546875" style="167" customWidth="1"/>
    <col min="56" max="59" width="12.85546875" style="167" customWidth="1"/>
    <col min="60" max="60" width="2.140625" style="167" customWidth="1"/>
    <col min="61" max="16384" width="8.85546875" style="167" customWidth="1"/>
  </cols>
  <sheetData>
    <row r="1" ht="9.95" customHeight="1" x14ac:dyDescent="0.25"/>
    <row r="2" ht="27.95" customHeight="1" spans="2:59" x14ac:dyDescent="0.25">
      <c r="B2" s="260" t="str">
        <f>IF('Data Input'!$G$6="","",'Data Input'!$G$6)</f>
        <v>Naga</v>
      </c>
      <c r="C2" s="261"/>
      <c r="D2" s="262" t="str">
        <f>IF('Data Input'!$G$7="","",('Data Input'!$G$7))</f>
        <v>Senior High School (SHS)</v>
      </c>
      <c r="E2" s="263" t="str">
        <f>IF('Data Input'!$G$12="","",PROPER('Data Input'!$G$12))</f>
        <v>General Mathematics</v>
      </c>
      <c r="F2" s="264"/>
      <c r="G2" s="264"/>
      <c r="H2" s="264"/>
      <c r="I2" s="264"/>
      <c r="J2" s="264"/>
      <c r="K2" s="264"/>
      <c r="L2" s="264"/>
      <c r="M2" s="264"/>
      <c r="N2" s="264"/>
      <c r="O2" s="264"/>
      <c r="P2" s="264"/>
      <c r="Q2" s="264"/>
      <c r="R2" s="264"/>
      <c r="S2" s="264"/>
      <c r="T2" s="264"/>
      <c r="U2" s="264"/>
      <c r="V2" s="264"/>
      <c r="W2" s="264"/>
      <c r="X2" s="265"/>
      <c r="Y2" s="266">
        <f>IF('Data Input'!$G$14="","",UPPER('Data Input'!$G$14))</f>
      </c>
      <c r="Z2" s="264"/>
      <c r="AA2" s="267"/>
      <c r="AB2" s="260" t="str">
        <f>IF('Data Input'!$G$8="","",'Data Input'!$G$8)</f>
        <v>2026 - 2027</v>
      </c>
      <c r="AC2" s="261"/>
      <c r="AD2" s="261"/>
      <c r="AE2" s="268" t="str">
        <f>IF(OR('Data Input'!$G$11="",'Data Input'!$G$16=""),"",UPPER('Data Input'!$G$11&amp;" - "&amp;'Data Input'!$G$16))</f>
        <v>11 - BE/ICT</v>
      </c>
      <c r="AF2" s="261"/>
      <c r="AG2" s="261"/>
      <c r="AH2" s="269"/>
      <c r="AI2" s="268" t="str">
        <f>IF('Data Input'!$G$10="","",PROPER('Data Input'!$G$10))</f>
        <v>John Marq E. Ramos</v>
      </c>
      <c r="AJ2" s="261"/>
      <c r="AK2" s="261"/>
      <c r="AL2" s="261"/>
      <c r="AM2" s="261"/>
      <c r="AN2" s="261"/>
      <c r="AO2" s="261"/>
      <c r="AP2" s="261"/>
      <c r="AQ2" s="269"/>
      <c r="AR2" s="266">
        <f>IF('Data Input'!$G$17="","",'Data Input'!$G$17)</f>
        <v>201</v>
      </c>
      <c r="AS2" s="267"/>
      <c r="AT2" s="260" t="str">
        <f>IF('Data Input'!$G$18="","",PROPER('Data Input'!$G$18))</f>
        <v>Mon &amp; Fri</v>
      </c>
      <c r="AU2" s="261"/>
      <c r="AV2" s="261"/>
      <c r="AW2" s="269"/>
      <c r="AX2" s="266" t="str">
        <f>IF('Data Input'!$G$19="","",'Data Input'!$G$19)</f>
        <v>09:00 to 10:30 AM</v>
      </c>
      <c r="AY2" s="264"/>
      <c r="AZ2" s="264"/>
      <c r="BA2" s="264"/>
      <c r="BB2" s="402" t="s">
        <v>199</v>
      </c>
      <c r="BC2" s="403"/>
      <c r="BD2" s="404"/>
      <c r="BE2" s="402" t="s">
        <v>200</v>
      </c>
      <c r="BF2" s="403"/>
      <c r="BG2" s="405"/>
    </row>
    <row r="3" ht="15.75" customHeight="1" spans="2:59" x14ac:dyDescent="0.25">
      <c r="B3" s="274" t="s">
        <v>145</v>
      </c>
      <c r="C3" s="275"/>
      <c r="D3" s="276" t="s">
        <v>149</v>
      </c>
      <c r="E3" s="274" t="s">
        <v>161</v>
      </c>
      <c r="F3" s="275"/>
      <c r="G3" s="275"/>
      <c r="H3" s="275"/>
      <c r="I3" s="275"/>
      <c r="J3" s="275"/>
      <c r="K3" s="275"/>
      <c r="L3" s="275"/>
      <c r="M3" s="275"/>
      <c r="N3" s="275"/>
      <c r="O3" s="275"/>
      <c r="P3" s="275"/>
      <c r="Q3" s="275"/>
      <c r="R3" s="275"/>
      <c r="S3" s="275"/>
      <c r="T3" s="275"/>
      <c r="U3" s="275"/>
      <c r="V3" s="275"/>
      <c r="W3" s="275"/>
      <c r="X3" s="277"/>
      <c r="Y3" s="278" t="s">
        <v>165</v>
      </c>
      <c r="Z3" s="275"/>
      <c r="AA3" s="279"/>
      <c r="AB3" s="274" t="s">
        <v>152</v>
      </c>
      <c r="AC3" s="275"/>
      <c r="AD3" s="275"/>
      <c r="AE3" s="278" t="s">
        <v>201</v>
      </c>
      <c r="AF3" s="275"/>
      <c r="AG3" s="275"/>
      <c r="AH3" s="277"/>
      <c r="AI3" s="278" t="s">
        <v>156</v>
      </c>
      <c r="AJ3" s="275"/>
      <c r="AK3" s="275"/>
      <c r="AL3" s="275"/>
      <c r="AM3" s="275"/>
      <c r="AN3" s="275"/>
      <c r="AO3" s="275"/>
      <c r="AP3" s="275"/>
      <c r="AQ3" s="277"/>
      <c r="AR3" s="278" t="s">
        <v>171</v>
      </c>
      <c r="AS3" s="279"/>
      <c r="AT3" s="274" t="s">
        <v>173</v>
      </c>
      <c r="AU3" s="275"/>
      <c r="AV3" s="275"/>
      <c r="AW3" s="277"/>
      <c r="AX3" s="278" t="s">
        <v>176</v>
      </c>
      <c r="AY3" s="275"/>
      <c r="AZ3" s="275"/>
      <c r="BA3" s="275"/>
      <c r="BB3" s="408"/>
      <c r="BC3" s="409"/>
      <c r="BD3" s="410"/>
      <c r="BE3" s="411"/>
      <c r="BF3" s="412"/>
      <c r="BG3" s="413"/>
    </row>
    <row r="4" ht="30" customHeight="1" spans="2:59" x14ac:dyDescent="0.25">
      <c r="B4" s="285" t="s">
        <v>72</v>
      </c>
      <c r="C4" s="286"/>
      <c r="D4" s="287"/>
      <c r="E4" s="289" t="s">
        <v>28</v>
      </c>
      <c r="F4" s="288"/>
      <c r="G4" s="288"/>
      <c r="H4" s="288"/>
      <c r="I4" s="288"/>
      <c r="J4" s="288"/>
      <c r="K4" s="288"/>
      <c r="L4" s="288"/>
      <c r="M4" s="288"/>
      <c r="N4" s="288"/>
      <c r="O4" s="288"/>
      <c r="P4" s="288"/>
      <c r="Q4" s="288"/>
      <c r="R4" s="288"/>
      <c r="S4" s="288"/>
      <c r="T4" s="288"/>
      <c r="U4" s="289"/>
      <c r="V4" s="289"/>
      <c r="W4" s="289"/>
      <c r="X4" s="289"/>
      <c r="Y4" s="289"/>
      <c r="Z4" s="289"/>
      <c r="AA4" s="289"/>
      <c r="AB4" s="290" t="s">
        <v>202</v>
      </c>
      <c r="AC4" s="291"/>
      <c r="AD4" s="291"/>
      <c r="AE4" s="291"/>
      <c r="AF4" s="291"/>
      <c r="AG4" s="291"/>
      <c r="AH4" s="291"/>
      <c r="AI4" s="291"/>
      <c r="AJ4" s="291"/>
      <c r="AK4" s="291"/>
      <c r="AL4" s="291"/>
      <c r="AM4" s="291"/>
      <c r="AN4" s="291"/>
      <c r="AO4" s="289"/>
      <c r="AP4" s="289"/>
      <c r="AQ4" s="289"/>
      <c r="AR4" s="289"/>
      <c r="AS4" s="289"/>
      <c r="AT4" s="291" t="s">
        <v>203</v>
      </c>
      <c r="AU4" s="289"/>
      <c r="AV4" s="289"/>
      <c r="AW4" s="289"/>
      <c r="AX4" s="289"/>
      <c r="AY4" s="289"/>
      <c r="AZ4" s="289"/>
      <c r="BA4" s="292"/>
      <c r="BB4" s="414"/>
      <c r="BC4" s="415"/>
      <c r="BD4" s="416"/>
      <c r="BE4" s="417" t="s">
        <v>35</v>
      </c>
      <c r="BF4" s="418" t="s">
        <v>61</v>
      </c>
      <c r="BG4" s="298" t="s">
        <v>62</v>
      </c>
    </row>
    <row r="5" ht="18" customHeight="1" spans="2:59" x14ac:dyDescent="0.25">
      <c r="B5" s="299" t="s">
        <v>148</v>
      </c>
      <c r="C5" s="300"/>
      <c r="D5" s="301" t="s">
        <v>8</v>
      </c>
      <c r="E5" s="305">
        <v>1</v>
      </c>
      <c r="F5" s="303">
        <v>2</v>
      </c>
      <c r="G5" s="303">
        <v>3</v>
      </c>
      <c r="H5" s="303">
        <v>4</v>
      </c>
      <c r="I5" s="303">
        <v>5</v>
      </c>
      <c r="J5" s="303">
        <v>6</v>
      </c>
      <c r="K5" s="303">
        <v>7</v>
      </c>
      <c r="L5" s="303">
        <v>8</v>
      </c>
      <c r="M5" s="303">
        <v>9</v>
      </c>
      <c r="N5" s="303">
        <v>10</v>
      </c>
      <c r="O5" s="303">
        <v>11</v>
      </c>
      <c r="P5" s="303">
        <v>12</v>
      </c>
      <c r="Q5" s="303">
        <v>13</v>
      </c>
      <c r="R5" s="303">
        <v>14</v>
      </c>
      <c r="S5" s="303">
        <v>15</v>
      </c>
      <c r="T5" s="303">
        <v>16</v>
      </c>
      <c r="U5" s="303">
        <v>17</v>
      </c>
      <c r="V5" s="303">
        <v>18</v>
      </c>
      <c r="W5" s="303">
        <v>19</v>
      </c>
      <c r="X5" s="303">
        <v>20</v>
      </c>
      <c r="Y5" s="303" t="s">
        <v>29</v>
      </c>
      <c r="Z5" s="303" t="s">
        <v>30</v>
      </c>
      <c r="AA5" s="304" t="s">
        <v>31</v>
      </c>
      <c r="AB5" s="305">
        <v>1</v>
      </c>
      <c r="AC5" s="302">
        <v>2</v>
      </c>
      <c r="AD5" s="302">
        <v>3</v>
      </c>
      <c r="AE5" s="302">
        <v>4</v>
      </c>
      <c r="AF5" s="302">
        <v>5</v>
      </c>
      <c r="AG5" s="302">
        <v>6</v>
      </c>
      <c r="AH5" s="302">
        <v>7</v>
      </c>
      <c r="AI5" s="302">
        <v>8</v>
      </c>
      <c r="AJ5" s="302">
        <v>9</v>
      </c>
      <c r="AK5" s="302">
        <v>10</v>
      </c>
      <c r="AL5" s="302">
        <v>11</v>
      </c>
      <c r="AM5" s="302">
        <v>12</v>
      </c>
      <c r="AN5" s="302">
        <v>13</v>
      </c>
      <c r="AO5" s="303">
        <v>14</v>
      </c>
      <c r="AP5" s="303">
        <v>15</v>
      </c>
      <c r="AQ5" s="303" t="s">
        <v>29</v>
      </c>
      <c r="AR5" s="303" t="s">
        <v>30</v>
      </c>
      <c r="AS5" s="304" t="s">
        <v>31</v>
      </c>
      <c r="AT5" s="302" t="s">
        <v>204</v>
      </c>
      <c r="AU5" s="303" t="s">
        <v>205</v>
      </c>
      <c r="AV5" s="306" t="s">
        <v>206</v>
      </c>
      <c r="AW5" s="307" t="s">
        <v>207</v>
      </c>
      <c r="AX5" s="307" t="s">
        <v>208</v>
      </c>
      <c r="AY5" s="307" t="s">
        <v>209</v>
      </c>
      <c r="AZ5" s="307" t="s">
        <v>210</v>
      </c>
      <c r="BA5" s="308" t="s">
        <v>211</v>
      </c>
      <c r="BB5" s="419" t="s">
        <v>212</v>
      </c>
      <c r="BC5" s="310" t="s">
        <v>30</v>
      </c>
      <c r="BD5" s="420" t="s">
        <v>213</v>
      </c>
      <c r="BE5" s="421"/>
      <c r="BF5" s="422"/>
      <c r="BG5" s="314"/>
    </row>
    <row r="6" ht="18" customHeight="1" spans="2:59" x14ac:dyDescent="0.25">
      <c r="B6" s="315"/>
      <c r="C6" s="316"/>
      <c r="D6" s="317"/>
      <c r="E6" s="322">
        <v>30</v>
      </c>
      <c r="F6" s="319">
        <v>30</v>
      </c>
      <c r="G6" s="319">
        <v>30</v>
      </c>
      <c r="H6" s="319">
        <v>30</v>
      </c>
      <c r="I6" s="319">
        <v>30</v>
      </c>
      <c r="J6" s="319"/>
      <c r="K6" s="319"/>
      <c r="L6" s="319"/>
      <c r="M6" s="319"/>
      <c r="N6" s="319"/>
      <c r="O6" s="319"/>
      <c r="P6" s="319"/>
      <c r="Q6" s="319"/>
      <c r="R6" s="319"/>
      <c r="S6" s="319"/>
      <c r="T6" s="319"/>
      <c r="U6" s="319"/>
      <c r="V6" s="319"/>
      <c r="W6" s="319"/>
      <c r="X6" s="319"/>
      <c r="Y6" s="320">
        <f>IF(COUNT($E6:$X6)=0,"",SUM($E6:$X6))</f>
        <v>150</v>
      </c>
      <c r="Z6" s="320">
        <v>100</v>
      </c>
      <c r="AA6" s="321">
        <f>IF(OR('Data Input'!$H$25="",'Data Input'!$H$25=0%),"--",
 IF('Data Input'!$H$28&lt;&gt;100%,"Error",'Data Input'!$H$25))</f>
        <v>0.2</v>
      </c>
      <c r="AB6" s="322">
        <v>50</v>
      </c>
      <c r="AC6" s="318">
        <v>50</v>
      </c>
      <c r="AD6" s="318">
        <v>50</v>
      </c>
      <c r="AE6" s="318">
        <v>50</v>
      </c>
      <c r="AF6" s="318">
        <v>50</v>
      </c>
      <c r="AG6" s="318"/>
      <c r="AH6" s="318"/>
      <c r="AI6" s="318"/>
      <c r="AJ6" s="318"/>
      <c r="AK6" s="318"/>
      <c r="AL6" s="318"/>
      <c r="AM6" s="318"/>
      <c r="AN6" s="318"/>
      <c r="AO6" s="319"/>
      <c r="AP6" s="319"/>
      <c r="AQ6" s="320">
        <f>IF(COUNT($AB6:$AP6)=0,"",SUM($AB6:$AP6))</f>
        <v>250</v>
      </c>
      <c r="AR6" s="320">
        <v>100</v>
      </c>
      <c r="AS6" s="321">
        <f>IF(OR('Data Input'!$H$26="",'Data Input'!$H$26=0%),"--",
 IF('Data Input'!$H$28&lt;&gt;100%,"Error",'Data Input'!$H$26))</f>
        <v>0.5</v>
      </c>
      <c r="AT6" s="323">
        <v>30</v>
      </c>
      <c r="AU6" s="319">
        <v>30</v>
      </c>
      <c r="AV6" s="323">
        <v>60</v>
      </c>
      <c r="AW6" s="324"/>
      <c r="AX6" s="324"/>
      <c r="AY6" s="324"/>
      <c r="AZ6" s="324"/>
      <c r="BA6" s="325"/>
      <c r="BB6" s="326">
        <v>100</v>
      </c>
      <c r="BC6" s="217">
        <v>100</v>
      </c>
      <c r="BD6" s="420"/>
      <c r="BE6" s="421"/>
      <c r="BF6" s="422"/>
      <c r="BG6" s="314"/>
    </row>
    <row r="7" ht="18" customHeight="1" spans="2:59" x14ac:dyDescent="0.25">
      <c r="B7" s="315"/>
      <c r="C7" s="316"/>
      <c r="D7" s="317"/>
      <c r="E7" s="332">
        <v>46237</v>
      </c>
      <c r="F7" s="329">
        <v>46238</v>
      </c>
      <c r="G7" s="329">
        <v>46239</v>
      </c>
      <c r="H7" s="329">
        <v>46240</v>
      </c>
      <c r="I7" s="329">
        <v>46241</v>
      </c>
      <c r="J7" s="329"/>
      <c r="K7" s="329"/>
      <c r="L7" s="329"/>
      <c r="M7" s="329"/>
      <c r="N7" s="329"/>
      <c r="O7" s="329"/>
      <c r="P7" s="329"/>
      <c r="Q7" s="329"/>
      <c r="R7" s="329"/>
      <c r="S7" s="329"/>
      <c r="T7" s="329"/>
      <c r="U7" s="329"/>
      <c r="V7" s="329"/>
      <c r="W7" s="329"/>
      <c r="X7" s="329"/>
      <c r="Y7" s="330"/>
      <c r="Z7" s="330"/>
      <c r="AA7" s="331"/>
      <c r="AB7" s="332">
        <v>46242</v>
      </c>
      <c r="AC7" s="329">
        <v>46243</v>
      </c>
      <c r="AD7" s="329">
        <v>46244</v>
      </c>
      <c r="AE7" s="329">
        <v>46245</v>
      </c>
      <c r="AF7" s="329">
        <v>46246</v>
      </c>
      <c r="AG7" s="329"/>
      <c r="AH7" s="329"/>
      <c r="AI7" s="329"/>
      <c r="AJ7" s="329"/>
      <c r="AK7" s="329"/>
      <c r="AL7" s="329"/>
      <c r="AM7" s="329"/>
      <c r="AN7" s="329"/>
      <c r="AO7" s="329"/>
      <c r="AP7" s="329"/>
      <c r="AQ7" s="330"/>
      <c r="AR7" s="330"/>
      <c r="AS7" s="331"/>
      <c r="AT7" s="335"/>
      <c r="AU7" s="334"/>
      <c r="AV7" s="335"/>
      <c r="AW7" s="336">
        <v>0.3</v>
      </c>
      <c r="AX7" s="336">
        <v>0.3</v>
      </c>
      <c r="AY7" s="336">
        <v>0.4</v>
      </c>
      <c r="AZ7" s="337">
        <v>100</v>
      </c>
      <c r="BA7" s="338">
        <f>IF(OR('Data Input'!$H$27="",'Data Input'!$H$27=0%),"--",
 IF('Data Input'!$H$28&lt;&gt;100%,"Error",'Data Input'!$H$27))</f>
        <v>0.3</v>
      </c>
      <c r="BB7" s="326"/>
      <c r="BC7" s="217"/>
      <c r="BD7" s="420"/>
      <c r="BE7" s="421"/>
      <c r="BF7" s="422"/>
      <c r="BG7" s="314"/>
    </row>
    <row r="8" ht="18" customHeight="1" spans="2:59" x14ac:dyDescent="0.25">
      <c r="B8" s="339"/>
      <c r="C8" s="340"/>
      <c r="D8" s="341"/>
      <c r="E8" s="346" t="s">
        <v>11</v>
      </c>
      <c r="F8" s="343" t="s">
        <v>219</v>
      </c>
      <c r="G8" s="343" t="s">
        <v>220</v>
      </c>
      <c r="H8" s="343" t="s">
        <v>221</v>
      </c>
      <c r="I8" s="343" t="s">
        <v>222</v>
      </c>
      <c r="J8" s="343"/>
      <c r="K8" s="343"/>
      <c r="L8" s="343"/>
      <c r="M8" s="343"/>
      <c r="N8" s="343"/>
      <c r="O8" s="343"/>
      <c r="P8" s="343"/>
      <c r="Q8" s="343"/>
      <c r="R8" s="343"/>
      <c r="S8" s="343"/>
      <c r="T8" s="343"/>
      <c r="U8" s="343"/>
      <c r="V8" s="343"/>
      <c r="W8" s="343"/>
      <c r="X8" s="343"/>
      <c r="Y8" s="344"/>
      <c r="Z8" s="344"/>
      <c r="AA8" s="345"/>
      <c r="AB8" s="346" t="s">
        <v>214</v>
      </c>
      <c r="AC8" s="343" t="s">
        <v>215</v>
      </c>
      <c r="AD8" s="343" t="s">
        <v>216</v>
      </c>
      <c r="AE8" s="343" t="s">
        <v>217</v>
      </c>
      <c r="AF8" s="343" t="s">
        <v>218</v>
      </c>
      <c r="AG8" s="343"/>
      <c r="AH8" s="343"/>
      <c r="AI8" s="343"/>
      <c r="AJ8" s="343"/>
      <c r="AK8" s="343"/>
      <c r="AL8" s="343"/>
      <c r="AM8" s="343"/>
      <c r="AN8" s="343"/>
      <c r="AO8" s="343"/>
      <c r="AP8" s="343"/>
      <c r="AQ8" s="344"/>
      <c r="AR8" s="344"/>
      <c r="AS8" s="345"/>
      <c r="AT8" s="342">
        <v>46247</v>
      </c>
      <c r="AU8" s="343">
        <v>46248</v>
      </c>
      <c r="AV8" s="347">
        <v>46249</v>
      </c>
      <c r="AW8" s="348"/>
      <c r="AX8" s="348"/>
      <c r="AY8" s="348"/>
      <c r="AZ8" s="349"/>
      <c r="BA8" s="350"/>
      <c r="BB8" s="423">
        <v>46250</v>
      </c>
      <c r="BC8" s="424"/>
      <c r="BD8" s="425"/>
      <c r="BE8" s="426"/>
      <c r="BF8" s="427"/>
      <c r="BG8" s="355"/>
    </row>
    <row r="9" ht="15.95" customHeight="1" spans="2:59" x14ac:dyDescent="0.25">
      <c r="B9" s="356">
        <v>1</v>
      </c>
      <c r="C9" s="357">
        <f>IF('Data Input'!M7="","",'Data Input'!M7)</f>
        <v>2000498439</v>
      </c>
      <c r="D9" s="358" t="str">
        <f>IF(ISBLANK('Data Input'!N7),"",PROPER('Data Input'!N7))</f>
        <v>Abendante, Carl Yuan</v>
      </c>
      <c r="E9" s="428">
        <v>29</v>
      </c>
      <c r="F9" s="359">
        <v>19</v>
      </c>
      <c r="G9" s="359">
        <v>25</v>
      </c>
      <c r="H9" s="359">
        <v>25</v>
      </c>
      <c r="I9" s="359">
        <v>25</v>
      </c>
      <c r="J9" s="359"/>
      <c r="K9" s="359"/>
      <c r="L9" s="359"/>
      <c r="M9" s="359"/>
      <c r="N9" s="359"/>
      <c r="O9" s="359"/>
      <c r="P9" s="359"/>
      <c r="Q9" s="359"/>
      <c r="R9" s="359"/>
      <c r="S9" s="359"/>
      <c r="T9" s="359"/>
      <c r="U9" s="360"/>
      <c r="V9" s="360"/>
      <c r="W9" s="360"/>
      <c r="X9" s="360"/>
      <c r="Y9" s="36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123</v>
      </c>
      <c r="Z9" s="362">
        <f>IF(D9="","",IF(Y9="Error","Error",IFERROR((Y9/$Y$6*$Z$6),"")))</f>
        <v>82</v>
      </c>
      <c r="AA9" s="363">
        <f>IFERROR(IF(D9="","",IF(Z9="Error","Error",(Z9*$AA$6))),"")</f>
        <v>16.400000000000002</v>
      </c>
      <c r="AB9" s="364">
        <v>27</v>
      </c>
      <c r="AC9" s="359">
        <v>50</v>
      </c>
      <c r="AD9" s="359">
        <v>40</v>
      </c>
      <c r="AE9" s="359">
        <v>29</v>
      </c>
      <c r="AF9" s="359">
        <v>48</v>
      </c>
      <c r="AG9" s="359"/>
      <c r="AH9" s="359"/>
      <c r="AI9" s="359"/>
      <c r="AJ9" s="359"/>
      <c r="AK9" s="359"/>
      <c r="AL9" s="359"/>
      <c r="AM9" s="359"/>
      <c r="AN9" s="359"/>
      <c r="AO9" s="360"/>
      <c r="AP9" s="360"/>
      <c r="AQ9" s="36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194</v>
      </c>
      <c r="AR9" s="362">
        <f>IF(D9="","",IF(AQ9="Error","Error",IFERROR((AQ9/$AQ$6*$AR$6),"")))</f>
        <v>77.60000000000001</v>
      </c>
      <c r="AS9" s="363">
        <f>IFERROR(IF(D9="","",IF(AR9="Error","Error",(AR9*$AS$6))),"")</f>
        <v>38.800000000000004</v>
      </c>
      <c r="AT9" s="359">
        <v>30</v>
      </c>
      <c r="AU9" s="360">
        <v>30</v>
      </c>
      <c r="AV9" s="367">
        <v>60</v>
      </c>
      <c r="AW9" s="362">
        <f>IF(OR(D9="",AT9=""),"",
 IF($AT$6=0,"Error",
 IF(OR(AND($AT$6="",AT9&lt;&gt;""),
 ISTEXT($AT$6),
 ISTEXT(AT9),
 ISLOGICAL($AT$6),
 ISLOGICAL(AT9),
 ISERROR($AT$6),
 ISERROR(AT9)),"Error",
 IF(AT9&gt;$AT$6,"Error",
 IF($AT$6=0,"",AT9/$AT$6*$AZ$7*$AW$7)))))</f>
        <v>30</v>
      </c>
      <c r="AX9" s="362">
        <f>IF(OR(D9="",AU9=""),"",
 IF($AU$6=0,"Error",
 IF(OR(AND($AU$6="",AU9&lt;&gt;""),
 ISTEXT($AU$6),
 ISTEXT(AU9),
 ISLOGICAL($AU$6),
 ISLOGICAL(AU9),
 ISERROR($AU$6),
 ISERROR(AU9)),"Error",
 IF(AU9&gt;$AU$6,"Error",
 IF($AU$6=0,"",AU9/$AU$6*$AZ$7*$AX$7)))))</f>
        <v>30</v>
      </c>
      <c r="AY9" s="362">
        <f>IF(OR(D9="",AV9=""),"",
 IF($AV$6=0,"Error",
 IF(OR(AND($AV$6="",AV9&lt;&gt;""),
 ISTEXT($AV$6),
 ISTEXT(AV9),
 ISLOGICAL($AV$6),
 ISLOGICAL(AV9),
 ISERROR($AV$6),
 ISERROR(AV9)),"Error",
 IF(AV9&gt;$AV$6,"Error",
 IF($AV$6=0,"",AV9/$AV$6*$AZ$7*$AY$7)))))</f>
        <v>40</v>
      </c>
      <c r="AZ9" s="362">
        <f>IF(D9="","",IF(COUNTIF(AW9:AY9,"Error")&gt;0,"Error",IFERROR(IF(COUNT(AW9:AY9)=0,"",SUM(AW9:AY9)),"")))</f>
        <v>100</v>
      </c>
      <c r="BA9" s="368">
        <f>IFERROR(IF(D9="","",IF(AZ9="Error","Error",(AZ9*$BA$7))),"")</f>
        <v>30</v>
      </c>
      <c r="BB9" s="429"/>
      <c r="BC9" s="362">
        <f>IF(OR(D9="",BB9=""),"",IF(BB9="Error","Error",IFERROR((BB9/$BB$6*$BC$6),"")))</f>
      </c>
      <c r="BD9" s="430">
        <f>IF(AND(AY9="",BB9&lt;&gt;""),"Error",IF(BB9="","",IF(BB9&gt;$BB$6,"Error",IF(BC9&gt;=75,"Passed","Failed"))))</f>
      </c>
      <c r="BE9" s="372">
        <f>_xlfn.LET(
_xlpm.total,ROUND((N(AA9)+N(AS9)+N(BA9)),2),
IF(OR(AA9="Error",AS9="Error",BA9="Error",BD9="Error"),"Error",
IF(AND(AA9="",AS9="",BA9=""),"",
IF(_xlpm.total&gt;=70,_xlpm.total,IF(BD9="Passed",70,_xlpm.total)))))</f>
        <v>85.2</v>
      </c>
      <c r="BF9" s="373">
        <f>IF(OR(AA9="Error",AS9="Error",BA9="Error",BD9="Error"),"Error",
 IF(D9="","",
 IF(AND(N($AA$6)+N($AS$6)+N($BA$7)=100%,
 OR(N($AA$6)=0,AA9&lt;&gt;""),OR(N($AS$6)=0,AS9&lt;&gt;""),OR(N($BA$7)=0,BA9&lt;&gt;""),BE9&lt;&gt;""),
 _xlfn.XLOOKUP(BE9,'Helper 1'!$B$3:$B$43,'Helper 1'!$D$3:$D$43,,-1),"")))</f>
        <v>87</v>
      </c>
      <c r="BG9" s="374" t="str">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ht="15.95" customHeight="1" spans="2:59" x14ac:dyDescent="0.25">
      <c r="B10" s="305">
        <v>2</v>
      </c>
      <c r="C10" s="375">
        <f>IF('Data Input'!M8="","",'Data Input'!M8)</f>
        <v>2000483599</v>
      </c>
      <c r="D10" s="376" t="str">
        <f>IF(ISBLANK('Data Input'!N8),"",PROPER('Data Input'!N8))</f>
        <v>Acala, Aji Rheyacelle</v>
      </c>
      <c r="E10" s="377"/>
      <c r="F10" s="377"/>
      <c r="G10" s="377"/>
      <c r="H10" s="377"/>
      <c r="I10" s="377"/>
      <c r="J10" s="377"/>
      <c r="K10" s="377"/>
      <c r="L10" s="377"/>
      <c r="M10" s="377"/>
      <c r="N10" s="377"/>
      <c r="O10" s="377"/>
      <c r="P10" s="377"/>
      <c r="Q10" s="377"/>
      <c r="R10" s="377"/>
      <c r="S10" s="377"/>
      <c r="T10" s="377"/>
      <c r="U10" s="378"/>
      <c r="V10" s="378"/>
      <c r="W10" s="378"/>
      <c r="X10" s="378"/>
      <c r="Y10" s="216">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0" s="381">
        <f t="shared" ref="Z10:Z68" si="0">IF(D10="","",IF(Y10="Error","Error",IFERROR((Y10/$Y$6*$Z$6),"")))</f>
      </c>
      <c r="AA10" s="382">
        <f t="shared" ref="AA10:AA68" si="1">IFERROR(IF(D10="","",IF(Z10="Error","Error",(Z10*$AA$6))),"")</f>
      </c>
      <c r="AB10" s="379"/>
      <c r="AC10" s="377"/>
      <c r="AD10" s="377"/>
      <c r="AE10" s="377"/>
      <c r="AF10" s="377"/>
      <c r="AG10" s="377"/>
      <c r="AH10" s="377"/>
      <c r="AI10" s="377"/>
      <c r="AJ10" s="377"/>
      <c r="AK10" s="377"/>
      <c r="AL10" s="377"/>
      <c r="AM10" s="377"/>
      <c r="AN10" s="377"/>
      <c r="AO10" s="378"/>
      <c r="AP10" s="378"/>
      <c r="AQ10" s="216">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0" s="381">
        <f t="shared" ref="AR10:AR68" si="2">IF(D10="","",IF(AQ10="Error","Error",IFERROR((AQ10/$AQ$6*$AR$6),"")))</f>
      </c>
      <c r="AS10" s="382">
        <f t="shared" ref="AS10:AS68" si="3">IFERROR(IF(D10="","",IF(AR10="Error","Error",(AR10*$AS$6))),"")</f>
      </c>
      <c r="AT10" s="377"/>
      <c r="AU10" s="378"/>
      <c r="AV10" s="383"/>
      <c r="AW10" s="362">
        <f t="shared" ref="AW10:AW68" si="4">IF(OR(D10="",AT10=""),"",
 IF($AT$6=0,"Error",
 IF(OR(AND($AT$6="",AT10&lt;&gt;""),
 ISTEXT($AT$6),
 ISTEXT(AT10),
 ISLOGICAL($AT$6),
 ISLOGICAL(AT10),
 ISERROR($AT$6),
 ISERROR(AT10)),"Error",
 IF(AT10&gt;$AT$6,"Error",
 IF($AT$6=0,"",AT10/$AT$6*$AZ$7*$AW$7)))))</f>
      </c>
      <c r="AX10" s="362">
        <f t="shared" ref="AX10:AX68" si="5">IF(OR(D10="",AU10=""),"",
 IF($AU$6=0,"Error",
 IF(OR(AND($AU$6="",AU10&lt;&gt;""),
 ISTEXT($AU$6),
 ISTEXT(AU10),
 ISLOGICAL($AU$6),
 ISLOGICAL(AU10),
 ISERROR($AU$6),
 ISERROR(AU10)),"Error",
 IF(AU10&gt;$AU$6,"Error",
 IF($AU$6=0,"",AU10/$AU$6*$AZ$7*$AX$7)))))</f>
      </c>
      <c r="AY10" s="362">
        <f t="shared" ref="AY10:AY68" si="6">IF(OR(D10="",AV10=""),"",
 IF($AV$6=0,"Error",
 IF(OR(AND($AV$6="",AV10&lt;&gt;""),
 ISTEXT($AV$6),
 ISTEXT(AV10),
 ISLOGICAL($AV$6),
 ISLOGICAL(AV10),
 ISERROR($AV$6),
 ISERROR(AV10)),"Error",
 IF(AV10&gt;$AV$6,"Error",
 IF($AV$6=0,"",AV10/$AV$6*$AZ$7*$AY$7)))))</f>
      </c>
      <c r="AZ10" s="381">
        <f t="shared" ref="AZ10:AZ68" si="7">IF(D10="","",IF(COUNTIF(AW10:AY10,"Error")&gt;0,"Error",IFERROR(IF(COUNT(AW10:AY10)=0,"",SUM(AW10:AY10)),"")))</f>
      </c>
      <c r="BA10" s="384">
        <f t="shared" ref="BA10:BA68" si="8">IFERROR(IF(D10="","",IF(AZ10="Error","Error",(AZ10*$BA$7))),"")</f>
      </c>
      <c r="BB10" s="429"/>
      <c r="BC10" s="362">
        <f t="shared" ref="BC10:BC68" si="9">IF(OR(D10="",BB10=""),"",IF(BB10="Error","Error",IFERROR((BB10/$BB$6*$BC$6),"")))</f>
      </c>
      <c r="BD10" s="430">
        <f t="shared" ref="BD10:BD68" si="10">IF(AND(AY10="",BB10&lt;&gt;""),"Error",IF(BB10="","",IF(BB10&gt;$BB$6,"Error",IF(BC10&gt;=75,"Passed","Failed"))))</f>
      </c>
      <c r="BE10" s="372">
        <f t="shared" ref="BE10:BE68" si="11">_xlfn.LET(
_xlpm.total,ROUND((N(AA10)+N(AS10)+N(BA10)),2),
IF(OR(AA10="Error",AS10="Error",BA10="Error",BD10="Error"),"Error",
IF(AND(AA10="",AS10="",BA10=""),"",
IF(_xlpm.total&gt;=70,_xlpm.total,IF(BD10="Passed",70,_xlpm.total)))))</f>
      </c>
      <c r="BF10" s="373">
        <f>IF(OR(AA10="Error",AS10="Error",BA10="Error",BD10="Error"),"Error",
 IF(D10="","",
 IF(AND(N($AA$6)+N($AS$6)+N($BA$7)=100%,
 OR(N($AA$6)=0,AA10&lt;&gt;""),OR(N($AS$6)=0,AS10&lt;&gt;""),OR(N($BA$7)=0,BA10&lt;&gt;""),BE10&lt;&gt;""),
 _xlfn.XLOOKUP(BE10,'Helper 1'!$B$3:$B$43,'Helper 1'!$D$3:$D$43,,-1),"")))</f>
      </c>
      <c r="BG10" s="374">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1" ht="15.95" customHeight="1" spans="2:59" x14ac:dyDescent="0.25">
      <c r="B11" s="305">
        <v>3</v>
      </c>
      <c r="C11" s="375">
        <f>IF('Data Input'!M9="","",'Data Input'!M9)</f>
        <v>2000480423</v>
      </c>
      <c r="D11" s="376" t="str">
        <f>IF(ISBLANK('Data Input'!N9),"",PROPER('Data Input'!N9))</f>
        <v>Baer, Shania Pearl</v>
      </c>
      <c r="E11" s="377"/>
      <c r="F11" s="377"/>
      <c r="G11" s="377"/>
      <c r="H11" s="377"/>
      <c r="I11" s="377"/>
      <c r="J11" s="377"/>
      <c r="K11" s="377"/>
      <c r="L11" s="377"/>
      <c r="M11" s="377"/>
      <c r="N11" s="377"/>
      <c r="O11" s="377"/>
      <c r="P11" s="377"/>
      <c r="Q11" s="377"/>
      <c r="R11" s="377"/>
      <c r="S11" s="377"/>
      <c r="T11" s="377"/>
      <c r="U11" s="378"/>
      <c r="V11" s="378"/>
      <c r="W11" s="378"/>
      <c r="X11" s="378"/>
      <c r="Y11" s="216">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1" s="381">
        <f t="shared" si="0"/>
      </c>
      <c r="AA11" s="382">
        <f t="shared" si="1"/>
      </c>
      <c r="AB11" s="379"/>
      <c r="AC11" s="377"/>
      <c r="AD11" s="377"/>
      <c r="AE11" s="377"/>
      <c r="AF11" s="377"/>
      <c r="AG11" s="377"/>
      <c r="AH11" s="377"/>
      <c r="AI11" s="377"/>
      <c r="AJ11" s="377"/>
      <c r="AK11" s="377"/>
      <c r="AL11" s="377"/>
      <c r="AM11" s="377"/>
      <c r="AN11" s="377"/>
      <c r="AO11" s="378"/>
      <c r="AP11" s="378"/>
      <c r="AQ11" s="216">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1" s="381">
        <f t="shared" si="2"/>
      </c>
      <c r="AS11" s="382">
        <f t="shared" si="3"/>
      </c>
      <c r="AT11" s="377"/>
      <c r="AU11" s="378"/>
      <c r="AV11" s="383"/>
      <c r="AW11" s="362">
        <f t="shared" si="4"/>
      </c>
      <c r="AX11" s="362">
        <f t="shared" si="5"/>
      </c>
      <c r="AY11" s="362">
        <f t="shared" si="6"/>
      </c>
      <c r="AZ11" s="381">
        <f t="shared" si="7"/>
      </c>
      <c r="BA11" s="384">
        <f t="shared" si="8"/>
      </c>
      <c r="BB11" s="429"/>
      <c r="BC11" s="362">
        <f t="shared" si="9"/>
      </c>
      <c r="BD11" s="430">
        <f t="shared" si="10"/>
      </c>
      <c r="BE11" s="372">
        <f t="shared" si="11"/>
      </c>
      <c r="BF11" s="373">
        <f>IF(OR(AA11="Error",AS11="Error",BA11="Error",BD11="Error"),"Error",
 IF(D11="","",
 IF(AND(N($AA$6)+N($AS$6)+N($BA$7)=100%,
 OR(N($AA$6)=0,AA11&lt;&gt;""),OR(N($AS$6)=0,AS11&lt;&gt;""),OR(N($BA$7)=0,BA11&lt;&gt;""),BE11&lt;&gt;""),
 _xlfn.XLOOKUP(BE11,'Helper 1'!$B$3:$B$43,'Helper 1'!$D$3:$D$43,,-1),"")))</f>
      </c>
      <c r="BG11" s="374">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2" ht="15.95" customHeight="1" spans="2:59" x14ac:dyDescent="0.25">
      <c r="B12" s="305">
        <v>4</v>
      </c>
      <c r="C12" s="375">
        <f>IF('Data Input'!M10="","",'Data Input'!M10)</f>
        <v>2000487858</v>
      </c>
      <c r="D12" s="376" t="str">
        <f>IF(ISBLANK('Data Input'!N10),"",PROPER('Data Input'!N10))</f>
        <v>Bagaporo, Ryeanna Mheryl</v>
      </c>
      <c r="E12" s="377"/>
      <c r="F12" s="377"/>
      <c r="G12" s="377"/>
      <c r="H12" s="377"/>
      <c r="I12" s="377"/>
      <c r="J12" s="377"/>
      <c r="K12" s="377"/>
      <c r="L12" s="377"/>
      <c r="M12" s="377"/>
      <c r="N12" s="377"/>
      <c r="O12" s="377"/>
      <c r="P12" s="377"/>
      <c r="Q12" s="377"/>
      <c r="R12" s="377"/>
      <c r="S12" s="377"/>
      <c r="T12" s="377"/>
      <c r="U12" s="378"/>
      <c r="V12" s="378"/>
      <c r="W12" s="378"/>
      <c r="X12" s="378"/>
      <c r="Y12" s="216">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2" s="381">
        <f t="shared" si="0"/>
      </c>
      <c r="AA12" s="382">
        <f t="shared" si="1"/>
      </c>
      <c r="AB12" s="379"/>
      <c r="AC12" s="377"/>
      <c r="AD12" s="377"/>
      <c r="AE12" s="377"/>
      <c r="AF12" s="377"/>
      <c r="AG12" s="377"/>
      <c r="AH12" s="377"/>
      <c r="AI12" s="377"/>
      <c r="AJ12" s="377"/>
      <c r="AK12" s="377"/>
      <c r="AL12" s="377"/>
      <c r="AM12" s="377"/>
      <c r="AN12" s="377"/>
      <c r="AO12" s="378"/>
      <c r="AP12" s="378"/>
      <c r="AQ12" s="216">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2" s="381">
        <f t="shared" si="2"/>
      </c>
      <c r="AS12" s="382">
        <f t="shared" si="3"/>
      </c>
      <c r="AT12" s="377"/>
      <c r="AU12" s="378"/>
      <c r="AV12" s="383"/>
      <c r="AW12" s="362">
        <f t="shared" si="4"/>
      </c>
      <c r="AX12" s="362">
        <f t="shared" si="5"/>
      </c>
      <c r="AY12" s="362">
        <f t="shared" si="6"/>
      </c>
      <c r="AZ12" s="381">
        <f t="shared" si="7"/>
      </c>
      <c r="BA12" s="384">
        <f t="shared" si="8"/>
      </c>
      <c r="BB12" s="429"/>
      <c r="BC12" s="362">
        <f t="shared" si="9"/>
      </c>
      <c r="BD12" s="430">
        <f t="shared" si="10"/>
      </c>
      <c r="BE12" s="372">
        <f t="shared" si="11"/>
      </c>
      <c r="BF12" s="373">
        <f>IF(OR(AA12="Error",AS12="Error",BA12="Error",BD12="Error"),"Error",
 IF(D12="","",
 IF(AND(N($AA$6)+N($AS$6)+N($BA$7)=100%,
 OR(N($AA$6)=0,AA12&lt;&gt;""),OR(N($AS$6)=0,AS12&lt;&gt;""),OR(N($BA$7)=0,BA12&lt;&gt;""),BE12&lt;&gt;""),
 _xlfn.XLOOKUP(BE12,'Helper 1'!$B$3:$B$43,'Helper 1'!$D$3:$D$43,,-1),"")))</f>
      </c>
      <c r="BG12" s="374">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3" ht="15.95" customHeight="1" spans="2:59" x14ac:dyDescent="0.25">
      <c r="B13" s="305">
        <v>5</v>
      </c>
      <c r="C13" s="375">
        <f>IF('Data Input'!M11="","",'Data Input'!M11)</f>
        <v>2000497598</v>
      </c>
      <c r="D13" s="376" t="str">
        <f>IF(ISBLANK('Data Input'!N11),"",PROPER('Data Input'!N11))</f>
        <v>Belarmino, Easean</v>
      </c>
      <c r="E13" s="377"/>
      <c r="F13" s="377"/>
      <c r="G13" s="377"/>
      <c r="H13" s="377"/>
      <c r="I13" s="377"/>
      <c r="J13" s="377"/>
      <c r="K13" s="377"/>
      <c r="L13" s="377"/>
      <c r="M13" s="377"/>
      <c r="N13" s="377"/>
      <c r="O13" s="377"/>
      <c r="P13" s="377"/>
      <c r="Q13" s="377"/>
      <c r="R13" s="377"/>
      <c r="S13" s="377"/>
      <c r="T13" s="377"/>
      <c r="U13" s="378"/>
      <c r="V13" s="378"/>
      <c r="W13" s="378"/>
      <c r="X13" s="378"/>
      <c r="Y13" s="216">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3" s="381">
        <f t="shared" si="0"/>
      </c>
      <c r="AA13" s="382">
        <f t="shared" si="1"/>
      </c>
      <c r="AB13" s="379"/>
      <c r="AC13" s="377"/>
      <c r="AD13" s="377"/>
      <c r="AE13" s="377"/>
      <c r="AF13" s="377"/>
      <c r="AG13" s="377"/>
      <c r="AH13" s="377"/>
      <c r="AI13" s="377"/>
      <c r="AJ13" s="377"/>
      <c r="AK13" s="377"/>
      <c r="AL13" s="377"/>
      <c r="AM13" s="377"/>
      <c r="AN13" s="377"/>
      <c r="AO13" s="378"/>
      <c r="AP13" s="378"/>
      <c r="AQ13" s="216">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3" s="381">
        <f t="shared" si="2"/>
      </c>
      <c r="AS13" s="382">
        <f t="shared" si="3"/>
      </c>
      <c r="AT13" s="377"/>
      <c r="AU13" s="378"/>
      <c r="AV13" s="383"/>
      <c r="AW13" s="362">
        <f t="shared" si="4"/>
      </c>
      <c r="AX13" s="362">
        <f t="shared" si="5"/>
      </c>
      <c r="AY13" s="362">
        <f t="shared" si="6"/>
      </c>
      <c r="AZ13" s="381">
        <f t="shared" si="7"/>
      </c>
      <c r="BA13" s="384">
        <f t="shared" si="8"/>
      </c>
      <c r="BB13" s="429"/>
      <c r="BC13" s="362">
        <f t="shared" si="9"/>
      </c>
      <c r="BD13" s="430">
        <f t="shared" si="10"/>
      </c>
      <c r="BE13" s="372">
        <f t="shared" si="11"/>
      </c>
      <c r="BF13" s="373">
        <f>IF(OR(AA13="Error",AS13="Error",BA13="Error",BD13="Error"),"Error",
 IF(D13="","",
 IF(AND(N($AA$6)+N($AS$6)+N($BA$7)=100%,
 OR(N($AA$6)=0,AA13&lt;&gt;""),OR(N($AS$6)=0,AS13&lt;&gt;""),OR(N($BA$7)=0,BA13&lt;&gt;""),BE13&lt;&gt;""),
 _xlfn.XLOOKUP(BE13,'Helper 1'!$B$3:$B$43,'Helper 1'!$D$3:$D$43,,-1),"")))</f>
      </c>
      <c r="BG13" s="374">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4" ht="15.95" customHeight="1" spans="2:59" x14ac:dyDescent="0.25">
      <c r="B14" s="305">
        <v>6</v>
      </c>
      <c r="C14" s="375">
        <f>IF('Data Input'!M12="","",'Data Input'!M12)</f>
        <v>2000504370</v>
      </c>
      <c r="D14" s="376" t="str">
        <f>IF(ISBLANK('Data Input'!N12),"",PROPER('Data Input'!N12))</f>
        <v>Borja, Greedy</v>
      </c>
      <c r="E14" s="377"/>
      <c r="F14" s="377"/>
      <c r="G14" s="377"/>
      <c r="H14" s="377"/>
      <c r="I14" s="377"/>
      <c r="J14" s="377"/>
      <c r="K14" s="377"/>
      <c r="L14" s="377"/>
      <c r="M14" s="377"/>
      <c r="N14" s="377"/>
      <c r="O14" s="377"/>
      <c r="P14" s="377"/>
      <c r="Q14" s="377"/>
      <c r="R14" s="377"/>
      <c r="S14" s="377"/>
      <c r="T14" s="377"/>
      <c r="U14" s="378"/>
      <c r="V14" s="378"/>
      <c r="W14" s="378"/>
      <c r="X14" s="378"/>
      <c r="Y14" s="216">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4" s="381">
        <f t="shared" si="0"/>
      </c>
      <c r="AA14" s="382">
        <f t="shared" si="1"/>
      </c>
      <c r="AB14" s="379"/>
      <c r="AC14" s="377"/>
      <c r="AD14" s="377"/>
      <c r="AE14" s="377"/>
      <c r="AF14" s="377"/>
      <c r="AG14" s="377"/>
      <c r="AH14" s="377"/>
      <c r="AI14" s="377"/>
      <c r="AJ14" s="377"/>
      <c r="AK14" s="377"/>
      <c r="AL14" s="377"/>
      <c r="AM14" s="377"/>
      <c r="AN14" s="377"/>
      <c r="AO14" s="378"/>
      <c r="AP14" s="378"/>
      <c r="AQ14" s="216">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4" s="381">
        <f t="shared" si="2"/>
      </c>
      <c r="AS14" s="382">
        <f t="shared" si="3"/>
      </c>
      <c r="AT14" s="377"/>
      <c r="AU14" s="378"/>
      <c r="AV14" s="383"/>
      <c r="AW14" s="362">
        <f t="shared" si="4"/>
      </c>
      <c r="AX14" s="362">
        <f t="shared" si="5"/>
      </c>
      <c r="AY14" s="362">
        <f t="shared" si="6"/>
      </c>
      <c r="AZ14" s="381">
        <f t="shared" si="7"/>
      </c>
      <c r="BA14" s="384">
        <f t="shared" si="8"/>
      </c>
      <c r="BB14" s="429"/>
      <c r="BC14" s="362">
        <f t="shared" si="9"/>
      </c>
      <c r="BD14" s="430">
        <f t="shared" si="10"/>
      </c>
      <c r="BE14" s="372">
        <f t="shared" si="11"/>
      </c>
      <c r="BF14" s="373">
        <f>IF(OR(AA14="Error",AS14="Error",BA14="Error",BD14="Error"),"Error",
 IF(D14="","",
 IF(AND(N($AA$6)+N($AS$6)+N($BA$7)=100%,
 OR(N($AA$6)=0,AA14&lt;&gt;""),OR(N($AS$6)=0,AS14&lt;&gt;""),OR(N($BA$7)=0,BA14&lt;&gt;""),BE14&lt;&gt;""),
 _xlfn.XLOOKUP(BE14,'Helper 1'!$B$3:$B$43,'Helper 1'!$D$3:$D$43,,-1),"")))</f>
      </c>
      <c r="BG14" s="374">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5" ht="15.95" customHeight="1" spans="2:59" x14ac:dyDescent="0.25">
      <c r="B15" s="305">
        <v>7</v>
      </c>
      <c r="C15" s="375">
        <f>IF('Data Input'!M13="","",'Data Input'!M13)</f>
        <v>2000480420</v>
      </c>
      <c r="D15" s="376" t="str">
        <f>IF(ISBLANK('Data Input'!N13),"",PROPER('Data Input'!N13))</f>
        <v>Cabalquinto, Juvy</v>
      </c>
      <c r="E15" s="377"/>
      <c r="F15" s="377"/>
      <c r="G15" s="377"/>
      <c r="H15" s="377"/>
      <c r="I15" s="377"/>
      <c r="J15" s="377"/>
      <c r="K15" s="377"/>
      <c r="L15" s="377"/>
      <c r="M15" s="377"/>
      <c r="N15" s="377"/>
      <c r="O15" s="377"/>
      <c r="P15" s="377"/>
      <c r="Q15" s="377"/>
      <c r="R15" s="377"/>
      <c r="S15" s="377"/>
      <c r="T15" s="377"/>
      <c r="U15" s="378"/>
      <c r="V15" s="378"/>
      <c r="W15" s="378"/>
      <c r="X15" s="378"/>
      <c r="Y15" s="216">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5" s="381">
        <f t="shared" si="0"/>
      </c>
      <c r="AA15" s="382">
        <f t="shared" si="1"/>
      </c>
      <c r="AB15" s="379"/>
      <c r="AC15" s="377"/>
      <c r="AD15" s="377"/>
      <c r="AE15" s="377"/>
      <c r="AF15" s="377"/>
      <c r="AG15" s="377"/>
      <c r="AH15" s="377"/>
      <c r="AI15" s="377"/>
      <c r="AJ15" s="377"/>
      <c r="AK15" s="377"/>
      <c r="AL15" s="377"/>
      <c r="AM15" s="377"/>
      <c r="AN15" s="377"/>
      <c r="AO15" s="378"/>
      <c r="AP15" s="378"/>
      <c r="AQ15" s="216">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5" s="381">
        <f t="shared" si="2"/>
      </c>
      <c r="AS15" s="382">
        <f t="shared" si="3"/>
      </c>
      <c r="AT15" s="377"/>
      <c r="AU15" s="378"/>
      <c r="AV15" s="383"/>
      <c r="AW15" s="362">
        <f t="shared" si="4"/>
      </c>
      <c r="AX15" s="362">
        <f t="shared" si="5"/>
      </c>
      <c r="AY15" s="362">
        <f t="shared" si="6"/>
      </c>
      <c r="AZ15" s="381">
        <f t="shared" si="7"/>
      </c>
      <c r="BA15" s="384">
        <f t="shared" si="8"/>
      </c>
      <c r="BB15" s="429"/>
      <c r="BC15" s="362">
        <f t="shared" si="9"/>
      </c>
      <c r="BD15" s="430">
        <f t="shared" si="10"/>
      </c>
      <c r="BE15" s="372">
        <f t="shared" si="11"/>
      </c>
      <c r="BF15" s="373">
        <f>IF(OR(AA15="Error",AS15="Error",BA15="Error",BD15="Error"),"Error",
 IF(D15="","",
 IF(AND(N($AA$6)+N($AS$6)+N($BA$7)=100%,
 OR(N($AA$6)=0,AA15&lt;&gt;""),OR(N($AS$6)=0,AS15&lt;&gt;""),OR(N($BA$7)=0,BA15&lt;&gt;""),BE15&lt;&gt;""),
 _xlfn.XLOOKUP(BE15,'Helper 1'!$B$3:$B$43,'Helper 1'!$D$3:$D$43,,-1),"")))</f>
      </c>
      <c r="BG15" s="374">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6" ht="15.95" customHeight="1" spans="2:59" x14ac:dyDescent="0.25">
      <c r="B16" s="305">
        <v>8</v>
      </c>
      <c r="C16" s="375">
        <f>IF('Data Input'!M14="","",'Data Input'!M14)</f>
        <v>2000487004</v>
      </c>
      <c r="D16" s="376" t="str">
        <f>IF(ISBLANK('Data Input'!N14),"",PROPER('Data Input'!N14))</f>
        <v>Conlu, Marc Jeffrey</v>
      </c>
      <c r="E16" s="377"/>
      <c r="F16" s="377"/>
      <c r="G16" s="377"/>
      <c r="H16" s="377"/>
      <c r="I16" s="377"/>
      <c r="J16" s="377"/>
      <c r="K16" s="377"/>
      <c r="L16" s="377"/>
      <c r="M16" s="377"/>
      <c r="N16" s="377"/>
      <c r="O16" s="377"/>
      <c r="P16" s="377"/>
      <c r="Q16" s="377"/>
      <c r="R16" s="377"/>
      <c r="S16" s="377"/>
      <c r="T16" s="377"/>
      <c r="U16" s="378"/>
      <c r="V16" s="378"/>
      <c r="W16" s="378"/>
      <c r="X16" s="378"/>
      <c r="Y16" s="216">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6" s="381">
        <f t="shared" si="0"/>
      </c>
      <c r="AA16" s="382">
        <f t="shared" si="1"/>
      </c>
      <c r="AB16" s="379"/>
      <c r="AC16" s="377"/>
      <c r="AD16" s="377"/>
      <c r="AE16" s="377"/>
      <c r="AF16" s="377"/>
      <c r="AG16" s="377"/>
      <c r="AH16" s="377"/>
      <c r="AI16" s="377"/>
      <c r="AJ16" s="377"/>
      <c r="AK16" s="377"/>
      <c r="AL16" s="377"/>
      <c r="AM16" s="377"/>
      <c r="AN16" s="377"/>
      <c r="AO16" s="378"/>
      <c r="AP16" s="378"/>
      <c r="AQ16" s="216">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6" s="381">
        <f t="shared" si="2"/>
      </c>
      <c r="AS16" s="382">
        <f t="shared" si="3"/>
      </c>
      <c r="AT16" s="377"/>
      <c r="AU16" s="378"/>
      <c r="AV16" s="383"/>
      <c r="AW16" s="362">
        <f t="shared" si="4"/>
      </c>
      <c r="AX16" s="362">
        <f t="shared" si="5"/>
      </c>
      <c r="AY16" s="362">
        <f t="shared" si="6"/>
      </c>
      <c r="AZ16" s="381">
        <f t="shared" si="7"/>
      </c>
      <c r="BA16" s="384">
        <f t="shared" si="8"/>
      </c>
      <c r="BB16" s="429"/>
      <c r="BC16" s="362">
        <f t="shared" si="9"/>
      </c>
      <c r="BD16" s="430">
        <f t="shared" si="10"/>
      </c>
      <c r="BE16" s="372">
        <f t="shared" si="11"/>
      </c>
      <c r="BF16" s="373">
        <f>IF(OR(AA16="Error",AS16="Error",BA16="Error",BD16="Error"),"Error",
 IF(D16="","",
 IF(AND(N($AA$6)+N($AS$6)+N($BA$7)=100%,
 OR(N($AA$6)=0,AA16&lt;&gt;""),OR(N($AS$6)=0,AS16&lt;&gt;""),OR(N($BA$7)=0,BA16&lt;&gt;""),BE16&lt;&gt;""),
 _xlfn.XLOOKUP(BE16,'Helper 1'!$B$3:$B$43,'Helper 1'!$D$3:$D$43,,-1),"")))</f>
      </c>
      <c r="BG16" s="374">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7" ht="15.95" customHeight="1" spans="2:59" x14ac:dyDescent="0.25">
      <c r="B17" s="305">
        <v>9</v>
      </c>
      <c r="C17" s="375">
        <f>IF('Data Input'!M15="","",'Data Input'!M15)</f>
        <v>2000488434</v>
      </c>
      <c r="D17" s="376" t="str">
        <f>IF(ISBLANK('Data Input'!N15),"",PROPER('Data Input'!N15))</f>
        <v>De Luna, Felicity Ryne</v>
      </c>
      <c r="E17" s="377"/>
      <c r="F17" s="377"/>
      <c r="G17" s="377"/>
      <c r="H17" s="377"/>
      <c r="I17" s="377"/>
      <c r="J17" s="377"/>
      <c r="K17" s="377"/>
      <c r="L17" s="377"/>
      <c r="M17" s="377"/>
      <c r="N17" s="377"/>
      <c r="O17" s="377"/>
      <c r="P17" s="377"/>
      <c r="Q17" s="377"/>
      <c r="R17" s="377"/>
      <c r="S17" s="377"/>
      <c r="T17" s="377"/>
      <c r="U17" s="378"/>
      <c r="V17" s="378"/>
      <c r="W17" s="378"/>
      <c r="X17" s="378"/>
      <c r="Y17" s="216">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7" s="381">
        <f t="shared" si="0"/>
      </c>
      <c r="AA17" s="382">
        <f t="shared" si="1"/>
      </c>
      <c r="AB17" s="379"/>
      <c r="AC17" s="377"/>
      <c r="AD17" s="377"/>
      <c r="AE17" s="377"/>
      <c r="AF17" s="377"/>
      <c r="AG17" s="377"/>
      <c r="AH17" s="377"/>
      <c r="AI17" s="377"/>
      <c r="AJ17" s="377"/>
      <c r="AK17" s="377"/>
      <c r="AL17" s="377"/>
      <c r="AM17" s="377"/>
      <c r="AN17" s="377"/>
      <c r="AO17" s="378"/>
      <c r="AP17" s="378"/>
      <c r="AQ17" s="216">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7" s="381">
        <f t="shared" si="2"/>
      </c>
      <c r="AS17" s="382">
        <f t="shared" si="3"/>
      </c>
      <c r="AT17" s="377"/>
      <c r="AU17" s="378"/>
      <c r="AV17" s="383"/>
      <c r="AW17" s="362">
        <f t="shared" si="4"/>
      </c>
      <c r="AX17" s="362">
        <f t="shared" si="5"/>
      </c>
      <c r="AY17" s="362">
        <f t="shared" si="6"/>
      </c>
      <c r="AZ17" s="381">
        <f t="shared" si="7"/>
      </c>
      <c r="BA17" s="384">
        <f t="shared" si="8"/>
      </c>
      <c r="BB17" s="429"/>
      <c r="BC17" s="362">
        <f t="shared" si="9"/>
      </c>
      <c r="BD17" s="430">
        <f t="shared" si="10"/>
      </c>
      <c r="BE17" s="372">
        <f t="shared" si="11"/>
      </c>
      <c r="BF17" s="373">
        <f>IF(OR(AA17="Error",AS17="Error",BA17="Error",BD17="Error"),"Error",
 IF(D17="","",
 IF(AND(N($AA$6)+N($AS$6)+N($BA$7)=100%,
 OR(N($AA$6)=0,AA17&lt;&gt;""),OR(N($AS$6)=0,AS17&lt;&gt;""),OR(N($BA$7)=0,BA17&lt;&gt;""),BE17&lt;&gt;""),
 _xlfn.XLOOKUP(BE17,'Helper 1'!$B$3:$B$43,'Helper 1'!$D$3:$D$43,,-1),"")))</f>
      </c>
      <c r="BG17" s="374">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8" ht="15.95" customHeight="1" spans="2:59" x14ac:dyDescent="0.25">
      <c r="B18" s="305">
        <v>10</v>
      </c>
      <c r="C18" s="375">
        <f>IF('Data Input'!M16="","",'Data Input'!M16)</f>
        <v>2000485973</v>
      </c>
      <c r="D18" s="376" t="str">
        <f>IF(ISBLANK('Data Input'!N16),"",PROPER('Data Input'!N16))</f>
        <v>Delos Reyes, Gavin Zue</v>
      </c>
      <c r="E18" s="377"/>
      <c r="F18" s="377"/>
      <c r="G18" s="377"/>
      <c r="H18" s="377"/>
      <c r="I18" s="377"/>
      <c r="J18" s="377"/>
      <c r="K18" s="377"/>
      <c r="L18" s="377"/>
      <c r="M18" s="377"/>
      <c r="N18" s="377"/>
      <c r="O18" s="377"/>
      <c r="P18" s="377"/>
      <c r="Q18" s="377"/>
      <c r="R18" s="377"/>
      <c r="S18" s="377"/>
      <c r="T18" s="377"/>
      <c r="U18" s="378"/>
      <c r="V18" s="378"/>
      <c r="W18" s="378"/>
      <c r="X18" s="378"/>
      <c r="Y18" s="216">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8" s="381">
        <f t="shared" si="0"/>
      </c>
      <c r="AA18" s="382">
        <f t="shared" si="1"/>
      </c>
      <c r="AB18" s="379"/>
      <c r="AC18" s="377"/>
      <c r="AD18" s="377"/>
      <c r="AE18" s="377"/>
      <c r="AF18" s="377"/>
      <c r="AG18" s="377"/>
      <c r="AH18" s="377"/>
      <c r="AI18" s="377"/>
      <c r="AJ18" s="377"/>
      <c r="AK18" s="377"/>
      <c r="AL18" s="377"/>
      <c r="AM18" s="377"/>
      <c r="AN18" s="377"/>
      <c r="AO18" s="378"/>
      <c r="AP18" s="378"/>
      <c r="AQ18" s="216">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8" s="381">
        <f t="shared" si="2"/>
      </c>
      <c r="AS18" s="382">
        <f t="shared" si="3"/>
      </c>
      <c r="AT18" s="377"/>
      <c r="AU18" s="378"/>
      <c r="AV18" s="383"/>
      <c r="AW18" s="362">
        <f t="shared" si="4"/>
      </c>
      <c r="AX18" s="362">
        <f t="shared" si="5"/>
      </c>
      <c r="AY18" s="362">
        <f t="shared" si="6"/>
      </c>
      <c r="AZ18" s="381">
        <f t="shared" si="7"/>
      </c>
      <c r="BA18" s="384">
        <f t="shared" si="8"/>
      </c>
      <c r="BB18" s="429"/>
      <c r="BC18" s="362">
        <f t="shared" si="9"/>
      </c>
      <c r="BD18" s="430">
        <f t="shared" si="10"/>
      </c>
      <c r="BE18" s="372">
        <f t="shared" si="11"/>
      </c>
      <c r="BF18" s="373">
        <f>IF(OR(AA18="Error",AS18="Error",BA18="Error",BD18="Error"),"Error",
 IF(D18="","",
 IF(AND(N($AA$6)+N($AS$6)+N($BA$7)=100%,
 OR(N($AA$6)=0,AA18&lt;&gt;""),OR(N($AS$6)=0,AS18&lt;&gt;""),OR(N($BA$7)=0,BA18&lt;&gt;""),BE18&lt;&gt;""),
 _xlfn.XLOOKUP(BE18,'Helper 1'!$B$3:$B$43,'Helper 1'!$D$3:$D$43,,-1),"")))</f>
      </c>
      <c r="BG18" s="374">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19" ht="15.95" customHeight="1" spans="2:59" x14ac:dyDescent="0.25">
      <c r="B19" s="305">
        <v>11</v>
      </c>
      <c r="C19" s="375">
        <f>IF('Data Input'!M17="","",'Data Input'!M17)</f>
        <v>2000486374</v>
      </c>
      <c r="D19" s="376" t="str">
        <f>IF(ISBLANK('Data Input'!N17),"",PROPER('Data Input'!N17))</f>
        <v>Dianela, Mary Diane</v>
      </c>
      <c r="E19" s="377"/>
      <c r="F19" s="377"/>
      <c r="G19" s="377"/>
      <c r="H19" s="377"/>
      <c r="I19" s="377"/>
      <c r="J19" s="377"/>
      <c r="K19" s="377"/>
      <c r="L19" s="377"/>
      <c r="M19" s="377"/>
      <c r="N19" s="377"/>
      <c r="O19" s="377"/>
      <c r="P19" s="377"/>
      <c r="Q19" s="377"/>
      <c r="R19" s="377"/>
      <c r="S19" s="377"/>
      <c r="T19" s="377"/>
      <c r="U19" s="378"/>
      <c r="V19" s="378"/>
      <c r="W19" s="378"/>
      <c r="X19" s="378"/>
      <c r="Y19" s="216">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19" s="381">
        <f t="shared" si="0"/>
      </c>
      <c r="AA19" s="382">
        <f t="shared" si="1"/>
      </c>
      <c r="AB19" s="379"/>
      <c r="AC19" s="377"/>
      <c r="AD19" s="377"/>
      <c r="AE19" s="377"/>
      <c r="AF19" s="377"/>
      <c r="AG19" s="377"/>
      <c r="AH19" s="377"/>
      <c r="AI19" s="377"/>
      <c r="AJ19" s="377"/>
      <c r="AK19" s="377"/>
      <c r="AL19" s="377"/>
      <c r="AM19" s="377"/>
      <c r="AN19" s="377"/>
      <c r="AO19" s="378"/>
      <c r="AP19" s="378"/>
      <c r="AQ19" s="216">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19" s="381">
        <f t="shared" si="2"/>
      </c>
      <c r="AS19" s="382">
        <f t="shared" si="3"/>
      </c>
      <c r="AT19" s="377"/>
      <c r="AU19" s="378"/>
      <c r="AV19" s="383"/>
      <c r="AW19" s="362">
        <f t="shared" si="4"/>
      </c>
      <c r="AX19" s="362">
        <f t="shared" si="5"/>
      </c>
      <c r="AY19" s="362">
        <f t="shared" si="6"/>
      </c>
      <c r="AZ19" s="381">
        <f t="shared" si="7"/>
      </c>
      <c r="BA19" s="384">
        <f t="shared" si="8"/>
      </c>
      <c r="BB19" s="429"/>
      <c r="BC19" s="362">
        <f t="shared" si="9"/>
      </c>
      <c r="BD19" s="430">
        <f t="shared" si="10"/>
      </c>
      <c r="BE19" s="372">
        <f t="shared" si="11"/>
      </c>
      <c r="BF19" s="373">
        <f>IF(OR(AA19="Error",AS19="Error",BA19="Error",BD19="Error"),"Error",
 IF(D19="","",
 IF(AND(N($AA$6)+N($AS$6)+N($BA$7)=100%,
 OR(N($AA$6)=0,AA19&lt;&gt;""),OR(N($AS$6)=0,AS19&lt;&gt;""),OR(N($BA$7)=0,BA19&lt;&gt;""),BE19&lt;&gt;""),
 _xlfn.XLOOKUP(BE19,'Helper 1'!$B$3:$B$43,'Helper 1'!$D$3:$D$43,,-1),"")))</f>
      </c>
      <c r="BG19" s="374">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0" ht="15.95" customHeight="1" spans="2:59" x14ac:dyDescent="0.25">
      <c r="B20" s="305">
        <v>12</v>
      </c>
      <c r="C20" s="375">
        <f>IF('Data Input'!M18="","",'Data Input'!M18)</f>
        <v>2000486376</v>
      </c>
      <c r="D20" s="376" t="str">
        <f>IF(ISBLANK('Data Input'!N18),"",PROPER('Data Input'!N18))</f>
        <v>Dikit, Jon Juin</v>
      </c>
      <c r="E20" s="377"/>
      <c r="F20" s="377"/>
      <c r="G20" s="377"/>
      <c r="H20" s="377"/>
      <c r="I20" s="377"/>
      <c r="J20" s="377"/>
      <c r="K20" s="377"/>
      <c r="L20" s="377"/>
      <c r="M20" s="377"/>
      <c r="N20" s="377"/>
      <c r="O20" s="377"/>
      <c r="P20" s="377"/>
      <c r="Q20" s="377"/>
      <c r="R20" s="377"/>
      <c r="S20" s="377"/>
      <c r="T20" s="377"/>
      <c r="U20" s="378"/>
      <c r="V20" s="378"/>
      <c r="W20" s="378"/>
      <c r="X20" s="378"/>
      <c r="Y20" s="216">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0" s="381">
        <f t="shared" si="0"/>
      </c>
      <c r="AA20" s="382">
        <f t="shared" si="1"/>
      </c>
      <c r="AB20" s="379"/>
      <c r="AC20" s="377"/>
      <c r="AD20" s="377"/>
      <c r="AE20" s="377"/>
      <c r="AF20" s="377"/>
      <c r="AG20" s="377"/>
      <c r="AH20" s="377"/>
      <c r="AI20" s="377"/>
      <c r="AJ20" s="377"/>
      <c r="AK20" s="377"/>
      <c r="AL20" s="377"/>
      <c r="AM20" s="377"/>
      <c r="AN20" s="377"/>
      <c r="AO20" s="378"/>
      <c r="AP20" s="378"/>
      <c r="AQ20" s="216">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0" s="381">
        <f t="shared" si="2"/>
      </c>
      <c r="AS20" s="382">
        <f t="shared" si="3"/>
      </c>
      <c r="AT20" s="377"/>
      <c r="AU20" s="378"/>
      <c r="AV20" s="383"/>
      <c r="AW20" s="362">
        <f t="shared" si="4"/>
      </c>
      <c r="AX20" s="362">
        <f t="shared" si="5"/>
      </c>
      <c r="AY20" s="362">
        <f t="shared" si="6"/>
      </c>
      <c r="AZ20" s="381">
        <f t="shared" si="7"/>
      </c>
      <c r="BA20" s="384">
        <f t="shared" si="8"/>
      </c>
      <c r="BB20" s="429"/>
      <c r="BC20" s="362">
        <f t="shared" si="9"/>
      </c>
      <c r="BD20" s="430">
        <f t="shared" si="10"/>
      </c>
      <c r="BE20" s="372">
        <f t="shared" si="11"/>
      </c>
      <c r="BF20" s="373">
        <f>IF(OR(AA20="Error",AS20="Error",BA20="Error",BD20="Error"),"Error",
 IF(D20="","",
 IF(AND(N($AA$6)+N($AS$6)+N($BA$7)=100%,
 OR(N($AA$6)=0,AA20&lt;&gt;""),OR(N($AS$6)=0,AS20&lt;&gt;""),OR(N($BA$7)=0,BA20&lt;&gt;""),BE20&lt;&gt;""),
 _xlfn.XLOOKUP(BE20,'Helper 1'!$B$3:$B$43,'Helper 1'!$D$3:$D$43,,-1),"")))</f>
      </c>
      <c r="BG20" s="374">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1" ht="15.95" customHeight="1" spans="2:59" x14ac:dyDescent="0.25">
      <c r="B21" s="305">
        <v>13</v>
      </c>
      <c r="C21" s="375">
        <f>IF('Data Input'!M19="","",'Data Input'!M19)</f>
        <v>2000490030</v>
      </c>
      <c r="D21" s="376" t="str">
        <f>IF(ISBLANK('Data Input'!N19),"",PROPER('Data Input'!N19))</f>
        <v>Estor, Phoeb Remedios</v>
      </c>
      <c r="E21" s="377"/>
      <c r="F21" s="377"/>
      <c r="G21" s="377"/>
      <c r="H21" s="377"/>
      <c r="I21" s="377"/>
      <c r="J21" s="377"/>
      <c r="K21" s="377"/>
      <c r="L21" s="377"/>
      <c r="M21" s="377"/>
      <c r="N21" s="377"/>
      <c r="O21" s="377"/>
      <c r="P21" s="377"/>
      <c r="Q21" s="377"/>
      <c r="R21" s="377"/>
      <c r="S21" s="377"/>
      <c r="T21" s="377"/>
      <c r="U21" s="378"/>
      <c r="V21" s="378"/>
      <c r="W21" s="378"/>
      <c r="X21" s="378"/>
      <c r="Y21" s="216">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1" s="381">
        <f t="shared" si="0"/>
      </c>
      <c r="AA21" s="382">
        <f t="shared" si="1"/>
      </c>
      <c r="AB21" s="379"/>
      <c r="AC21" s="377"/>
      <c r="AD21" s="377"/>
      <c r="AE21" s="377"/>
      <c r="AF21" s="377"/>
      <c r="AG21" s="377"/>
      <c r="AH21" s="377"/>
      <c r="AI21" s="377"/>
      <c r="AJ21" s="377"/>
      <c r="AK21" s="377"/>
      <c r="AL21" s="377"/>
      <c r="AM21" s="377"/>
      <c r="AN21" s="377"/>
      <c r="AO21" s="378"/>
      <c r="AP21" s="378"/>
      <c r="AQ21" s="216">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1" s="381">
        <f t="shared" si="2"/>
      </c>
      <c r="AS21" s="382">
        <f t="shared" si="3"/>
      </c>
      <c r="AT21" s="377"/>
      <c r="AU21" s="378"/>
      <c r="AV21" s="383"/>
      <c r="AW21" s="362">
        <f t="shared" si="4"/>
      </c>
      <c r="AX21" s="362">
        <f t="shared" si="5"/>
      </c>
      <c r="AY21" s="362">
        <f t="shared" si="6"/>
      </c>
      <c r="AZ21" s="381">
        <f t="shared" si="7"/>
      </c>
      <c r="BA21" s="384">
        <f t="shared" si="8"/>
      </c>
      <c r="BB21" s="429"/>
      <c r="BC21" s="362">
        <f t="shared" si="9"/>
      </c>
      <c r="BD21" s="430">
        <f t="shared" si="10"/>
      </c>
      <c r="BE21" s="372">
        <f t="shared" si="11"/>
      </c>
      <c r="BF21" s="373">
        <f>IF(OR(AA21="Error",AS21="Error",BA21="Error",BD21="Error"),"Error",
 IF(D21="","",
 IF(AND(N($AA$6)+N($AS$6)+N($BA$7)=100%,
 OR(N($AA$6)=0,AA21&lt;&gt;""),OR(N($AS$6)=0,AS21&lt;&gt;""),OR(N($BA$7)=0,BA21&lt;&gt;""),BE21&lt;&gt;""),
 _xlfn.XLOOKUP(BE21,'Helper 1'!$B$3:$B$43,'Helper 1'!$D$3:$D$43,,-1),"")))</f>
      </c>
      <c r="BG21" s="374">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2" ht="15.95" customHeight="1" spans="2:59" x14ac:dyDescent="0.25">
      <c r="B22" s="305">
        <v>14</v>
      </c>
      <c r="C22" s="375">
        <f>IF('Data Input'!M20="","",'Data Input'!M20)</f>
        <v>2000498660</v>
      </c>
      <c r="D22" s="376" t="str">
        <f>IF(ISBLANK('Data Input'!N20),"",PROPER('Data Input'!N20))</f>
        <v>Estoria, John Kyle Timothy</v>
      </c>
      <c r="E22" s="377"/>
      <c r="F22" s="377"/>
      <c r="G22" s="377"/>
      <c r="H22" s="377"/>
      <c r="I22" s="377"/>
      <c r="J22" s="377"/>
      <c r="K22" s="377"/>
      <c r="L22" s="377"/>
      <c r="M22" s="377"/>
      <c r="N22" s="377"/>
      <c r="O22" s="377"/>
      <c r="P22" s="377"/>
      <c r="Q22" s="377"/>
      <c r="R22" s="377"/>
      <c r="S22" s="377"/>
      <c r="T22" s="377"/>
      <c r="U22" s="378"/>
      <c r="V22" s="378"/>
      <c r="W22" s="378"/>
      <c r="X22" s="378"/>
      <c r="Y22" s="216">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2" s="381">
        <f t="shared" si="0"/>
      </c>
      <c r="AA22" s="382">
        <f t="shared" si="1"/>
      </c>
      <c r="AB22" s="379"/>
      <c r="AC22" s="377"/>
      <c r="AD22" s="377"/>
      <c r="AE22" s="377"/>
      <c r="AF22" s="377"/>
      <c r="AG22" s="377"/>
      <c r="AH22" s="377"/>
      <c r="AI22" s="377"/>
      <c r="AJ22" s="377"/>
      <c r="AK22" s="377"/>
      <c r="AL22" s="377"/>
      <c r="AM22" s="377"/>
      <c r="AN22" s="377"/>
      <c r="AO22" s="378"/>
      <c r="AP22" s="378"/>
      <c r="AQ22" s="216">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2" s="381">
        <f t="shared" si="2"/>
      </c>
      <c r="AS22" s="382">
        <f t="shared" si="3"/>
      </c>
      <c r="AT22" s="377"/>
      <c r="AU22" s="378"/>
      <c r="AV22" s="383"/>
      <c r="AW22" s="362">
        <f t="shared" si="4"/>
      </c>
      <c r="AX22" s="362">
        <f t="shared" si="5"/>
      </c>
      <c r="AY22" s="362">
        <f t="shared" si="6"/>
      </c>
      <c r="AZ22" s="381">
        <f t="shared" si="7"/>
      </c>
      <c r="BA22" s="384">
        <f t="shared" si="8"/>
      </c>
      <c r="BB22" s="429"/>
      <c r="BC22" s="362">
        <f t="shared" si="9"/>
      </c>
      <c r="BD22" s="430">
        <f t="shared" si="10"/>
      </c>
      <c r="BE22" s="372">
        <f t="shared" si="11"/>
      </c>
      <c r="BF22" s="373">
        <f>IF(OR(AA22="Error",AS22="Error",BA22="Error",BD22="Error"),"Error",
 IF(D22="","",
 IF(AND(N($AA$6)+N($AS$6)+N($BA$7)=100%,
 OR(N($AA$6)=0,AA22&lt;&gt;""),OR(N($AS$6)=0,AS22&lt;&gt;""),OR(N($BA$7)=0,BA22&lt;&gt;""),BE22&lt;&gt;""),
 _xlfn.XLOOKUP(BE22,'Helper 1'!$B$3:$B$43,'Helper 1'!$D$3:$D$43,,-1),"")))</f>
      </c>
      <c r="BG22" s="374">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3" ht="15.95" customHeight="1" spans="2:59" x14ac:dyDescent="0.25">
      <c r="B23" s="305">
        <v>15</v>
      </c>
      <c r="C23" s="375">
        <f>IF('Data Input'!M21="","",'Data Input'!M21)</f>
        <v>2000485981</v>
      </c>
      <c r="D23" s="376" t="str">
        <f>IF(ISBLANK('Data Input'!N21),"",PROPER('Data Input'!N21))</f>
        <v>Garcia, Ariorie Ven Amher</v>
      </c>
      <c r="E23" s="377"/>
      <c r="F23" s="377"/>
      <c r="G23" s="377"/>
      <c r="H23" s="377"/>
      <c r="I23" s="377"/>
      <c r="J23" s="377"/>
      <c r="K23" s="377"/>
      <c r="L23" s="377"/>
      <c r="M23" s="377"/>
      <c r="N23" s="377"/>
      <c r="O23" s="377"/>
      <c r="P23" s="377"/>
      <c r="Q23" s="377"/>
      <c r="R23" s="377"/>
      <c r="S23" s="377"/>
      <c r="T23" s="377"/>
      <c r="U23" s="378"/>
      <c r="V23" s="378"/>
      <c r="W23" s="378"/>
      <c r="X23" s="378"/>
      <c r="Y23" s="216">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3" s="381">
        <f t="shared" si="0"/>
      </c>
      <c r="AA23" s="382">
        <f t="shared" si="1"/>
      </c>
      <c r="AB23" s="379"/>
      <c r="AC23" s="377"/>
      <c r="AD23" s="377"/>
      <c r="AE23" s="377"/>
      <c r="AF23" s="377"/>
      <c r="AG23" s="377"/>
      <c r="AH23" s="377"/>
      <c r="AI23" s="377"/>
      <c r="AJ23" s="377"/>
      <c r="AK23" s="377"/>
      <c r="AL23" s="377"/>
      <c r="AM23" s="377"/>
      <c r="AN23" s="377"/>
      <c r="AO23" s="378"/>
      <c r="AP23" s="378"/>
      <c r="AQ23" s="216">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3" s="381">
        <f t="shared" si="2"/>
      </c>
      <c r="AS23" s="382">
        <f t="shared" si="3"/>
      </c>
      <c r="AT23" s="377"/>
      <c r="AU23" s="378"/>
      <c r="AV23" s="383"/>
      <c r="AW23" s="362">
        <f t="shared" si="4"/>
      </c>
      <c r="AX23" s="362">
        <f t="shared" si="5"/>
      </c>
      <c r="AY23" s="362">
        <f t="shared" si="6"/>
      </c>
      <c r="AZ23" s="381">
        <f t="shared" si="7"/>
      </c>
      <c r="BA23" s="384">
        <f t="shared" si="8"/>
      </c>
      <c r="BB23" s="429"/>
      <c r="BC23" s="362">
        <f t="shared" si="9"/>
      </c>
      <c r="BD23" s="430">
        <f t="shared" si="10"/>
      </c>
      <c r="BE23" s="372">
        <f t="shared" si="11"/>
      </c>
      <c r="BF23" s="373">
        <f>IF(OR(AA23="Error",AS23="Error",BA23="Error",BD23="Error"),"Error",
 IF(D23="","",
 IF(AND(N($AA$6)+N($AS$6)+N($BA$7)=100%,
 OR(N($AA$6)=0,AA23&lt;&gt;""),OR(N($AS$6)=0,AS23&lt;&gt;""),OR(N($BA$7)=0,BA23&lt;&gt;""),BE23&lt;&gt;""),
 _xlfn.XLOOKUP(BE23,'Helper 1'!$B$3:$B$43,'Helper 1'!$D$3:$D$43,,-1),"")))</f>
      </c>
      <c r="BG23" s="374">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4" ht="15.95" customHeight="1" spans="2:59" x14ac:dyDescent="0.25">
      <c r="B24" s="305">
        <v>16</v>
      </c>
      <c r="C24" s="375">
        <f>IF('Data Input'!M22="","",'Data Input'!M22)</f>
        <v>2000499229</v>
      </c>
      <c r="D24" s="376" t="str">
        <f>IF(ISBLANK('Data Input'!N22),"",PROPER('Data Input'!N22))</f>
        <v>Gavino, Reisha Lorriane</v>
      </c>
      <c r="E24" s="377"/>
      <c r="F24" s="377"/>
      <c r="G24" s="377"/>
      <c r="H24" s="377"/>
      <c r="I24" s="377"/>
      <c r="J24" s="377"/>
      <c r="K24" s="377"/>
      <c r="L24" s="377"/>
      <c r="M24" s="377"/>
      <c r="N24" s="377"/>
      <c r="O24" s="377"/>
      <c r="P24" s="377"/>
      <c r="Q24" s="377"/>
      <c r="R24" s="377"/>
      <c r="S24" s="377"/>
      <c r="T24" s="377"/>
      <c r="U24" s="378"/>
      <c r="V24" s="378"/>
      <c r="W24" s="378"/>
      <c r="X24" s="378"/>
      <c r="Y24" s="216">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4" s="381">
        <f t="shared" si="0"/>
      </c>
      <c r="AA24" s="382">
        <f t="shared" si="1"/>
      </c>
      <c r="AB24" s="379"/>
      <c r="AC24" s="377"/>
      <c r="AD24" s="377"/>
      <c r="AE24" s="377"/>
      <c r="AF24" s="377"/>
      <c r="AG24" s="377"/>
      <c r="AH24" s="377"/>
      <c r="AI24" s="377"/>
      <c r="AJ24" s="377"/>
      <c r="AK24" s="377"/>
      <c r="AL24" s="377"/>
      <c r="AM24" s="377"/>
      <c r="AN24" s="377"/>
      <c r="AO24" s="378"/>
      <c r="AP24" s="378"/>
      <c r="AQ24" s="216">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4" s="381">
        <f t="shared" si="2"/>
      </c>
      <c r="AS24" s="382">
        <f t="shared" si="3"/>
      </c>
      <c r="AT24" s="377"/>
      <c r="AU24" s="378"/>
      <c r="AV24" s="383"/>
      <c r="AW24" s="362">
        <f t="shared" si="4"/>
      </c>
      <c r="AX24" s="362">
        <f t="shared" si="5"/>
      </c>
      <c r="AY24" s="362">
        <f t="shared" si="6"/>
      </c>
      <c r="AZ24" s="381">
        <f t="shared" si="7"/>
      </c>
      <c r="BA24" s="384">
        <f t="shared" si="8"/>
      </c>
      <c r="BB24" s="429"/>
      <c r="BC24" s="362">
        <f t="shared" si="9"/>
      </c>
      <c r="BD24" s="430">
        <f t="shared" si="10"/>
      </c>
      <c r="BE24" s="372">
        <f t="shared" si="11"/>
      </c>
      <c r="BF24" s="373">
        <f>IF(OR(AA24="Error",AS24="Error",BA24="Error",BD24="Error"),"Error",
 IF(D24="","",
 IF(AND(N($AA$6)+N($AS$6)+N($BA$7)=100%,
 OR(N($AA$6)=0,AA24&lt;&gt;""),OR(N($AS$6)=0,AS24&lt;&gt;""),OR(N($BA$7)=0,BA24&lt;&gt;""),BE24&lt;&gt;""),
 _xlfn.XLOOKUP(BE24,'Helper 1'!$B$3:$B$43,'Helper 1'!$D$3:$D$43,,-1),"")))</f>
      </c>
      <c r="BG24" s="374">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5" ht="15.95" customHeight="1" spans="2:59" x14ac:dyDescent="0.25">
      <c r="B25" s="305">
        <v>17</v>
      </c>
      <c r="C25" s="375">
        <f>IF('Data Input'!M23="","",'Data Input'!M23)</f>
        <v>2000481947</v>
      </c>
      <c r="D25" s="376" t="str">
        <f>IF(ISBLANK('Data Input'!N23),"",PROPER('Data Input'!N23))</f>
        <v>Jacobo, Ezra</v>
      </c>
      <c r="E25" s="377"/>
      <c r="F25" s="377"/>
      <c r="G25" s="377"/>
      <c r="H25" s="377"/>
      <c r="I25" s="377"/>
      <c r="J25" s="377"/>
      <c r="K25" s="377"/>
      <c r="L25" s="377"/>
      <c r="M25" s="377"/>
      <c r="N25" s="377"/>
      <c r="O25" s="377"/>
      <c r="P25" s="377"/>
      <c r="Q25" s="377"/>
      <c r="R25" s="377"/>
      <c r="S25" s="377"/>
      <c r="T25" s="377"/>
      <c r="U25" s="378"/>
      <c r="V25" s="378"/>
      <c r="W25" s="378"/>
      <c r="X25" s="378"/>
      <c r="Y25" s="216">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5" s="381">
        <f t="shared" si="0"/>
      </c>
      <c r="AA25" s="382">
        <f t="shared" si="1"/>
      </c>
      <c r="AB25" s="379"/>
      <c r="AC25" s="377"/>
      <c r="AD25" s="377"/>
      <c r="AE25" s="377"/>
      <c r="AF25" s="377"/>
      <c r="AG25" s="377"/>
      <c r="AH25" s="377"/>
      <c r="AI25" s="377"/>
      <c r="AJ25" s="377"/>
      <c r="AK25" s="377"/>
      <c r="AL25" s="377"/>
      <c r="AM25" s="377"/>
      <c r="AN25" s="377"/>
      <c r="AO25" s="378"/>
      <c r="AP25" s="378"/>
      <c r="AQ25" s="216">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5" s="381">
        <f t="shared" si="2"/>
      </c>
      <c r="AS25" s="382">
        <f t="shared" si="3"/>
      </c>
      <c r="AT25" s="377"/>
      <c r="AU25" s="378"/>
      <c r="AV25" s="383"/>
      <c r="AW25" s="362">
        <f t="shared" si="4"/>
      </c>
      <c r="AX25" s="362">
        <f t="shared" si="5"/>
      </c>
      <c r="AY25" s="362">
        <f t="shared" si="6"/>
      </c>
      <c r="AZ25" s="381">
        <f t="shared" si="7"/>
      </c>
      <c r="BA25" s="384">
        <f t="shared" si="8"/>
      </c>
      <c r="BB25" s="429"/>
      <c r="BC25" s="362">
        <f t="shared" si="9"/>
      </c>
      <c r="BD25" s="430">
        <f t="shared" si="10"/>
      </c>
      <c r="BE25" s="372">
        <f t="shared" si="11"/>
      </c>
      <c r="BF25" s="373">
        <f>IF(OR(AA25="Error",AS25="Error",BA25="Error",BD25="Error"),"Error",
 IF(D25="","",
 IF(AND(N($AA$6)+N($AS$6)+N($BA$7)=100%,
 OR(N($AA$6)=0,AA25&lt;&gt;""),OR(N($AS$6)=0,AS25&lt;&gt;""),OR(N($BA$7)=0,BA25&lt;&gt;""),BE25&lt;&gt;""),
 _xlfn.XLOOKUP(BE25,'Helper 1'!$B$3:$B$43,'Helper 1'!$D$3:$D$43,,-1),"")))</f>
      </c>
      <c r="BG25" s="374">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6" ht="15.95" customHeight="1" spans="2:59" x14ac:dyDescent="0.25">
      <c r="B26" s="305">
        <v>18</v>
      </c>
      <c r="C26" s="375">
        <f>IF('Data Input'!M24="","",'Data Input'!M24)</f>
        <v>2000488472</v>
      </c>
      <c r="D26" s="376" t="str">
        <f>IF(ISBLANK('Data Input'!N24),"",PROPER('Data Input'!N24))</f>
        <v>Jani, Joseph Louie</v>
      </c>
      <c r="E26" s="377"/>
      <c r="F26" s="377"/>
      <c r="G26" s="377"/>
      <c r="H26" s="377"/>
      <c r="I26" s="377"/>
      <c r="J26" s="377"/>
      <c r="K26" s="377"/>
      <c r="L26" s="377"/>
      <c r="M26" s="377"/>
      <c r="N26" s="377"/>
      <c r="O26" s="377"/>
      <c r="P26" s="377"/>
      <c r="Q26" s="377"/>
      <c r="R26" s="377"/>
      <c r="S26" s="377"/>
      <c r="T26" s="377"/>
      <c r="U26" s="378"/>
      <c r="V26" s="378"/>
      <c r="W26" s="378"/>
      <c r="X26" s="378"/>
      <c r="Y26" s="216">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6" s="381">
        <f t="shared" si="0"/>
      </c>
      <c r="AA26" s="382">
        <f t="shared" si="1"/>
      </c>
      <c r="AB26" s="379"/>
      <c r="AC26" s="377"/>
      <c r="AD26" s="377"/>
      <c r="AE26" s="377"/>
      <c r="AF26" s="377"/>
      <c r="AG26" s="377"/>
      <c r="AH26" s="377"/>
      <c r="AI26" s="377"/>
      <c r="AJ26" s="377"/>
      <c r="AK26" s="377"/>
      <c r="AL26" s="377"/>
      <c r="AM26" s="377"/>
      <c r="AN26" s="377"/>
      <c r="AO26" s="378"/>
      <c r="AP26" s="378"/>
      <c r="AQ26" s="216">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6" s="381">
        <f t="shared" si="2"/>
      </c>
      <c r="AS26" s="382">
        <f t="shared" si="3"/>
      </c>
      <c r="AT26" s="377"/>
      <c r="AU26" s="378"/>
      <c r="AV26" s="383"/>
      <c r="AW26" s="362">
        <f t="shared" si="4"/>
      </c>
      <c r="AX26" s="362">
        <f t="shared" si="5"/>
      </c>
      <c r="AY26" s="362">
        <f t="shared" si="6"/>
      </c>
      <c r="AZ26" s="381">
        <f t="shared" si="7"/>
      </c>
      <c r="BA26" s="384">
        <f t="shared" si="8"/>
      </c>
      <c r="BB26" s="429"/>
      <c r="BC26" s="362">
        <f t="shared" si="9"/>
      </c>
      <c r="BD26" s="430">
        <f t="shared" si="10"/>
      </c>
      <c r="BE26" s="372">
        <f t="shared" si="11"/>
      </c>
      <c r="BF26" s="373">
        <f>IF(OR(AA26="Error",AS26="Error",BA26="Error",BD26="Error"),"Error",
 IF(D26="","",
 IF(AND(N($AA$6)+N($AS$6)+N($BA$7)=100%,
 OR(N($AA$6)=0,AA26&lt;&gt;""),OR(N($AS$6)=0,AS26&lt;&gt;""),OR(N($BA$7)=0,BA26&lt;&gt;""),BE26&lt;&gt;""),
 _xlfn.XLOOKUP(BE26,'Helper 1'!$B$3:$B$43,'Helper 1'!$D$3:$D$43,,-1),"")))</f>
      </c>
      <c r="BG26" s="374">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7" ht="15.95" customHeight="1" spans="2:59" x14ac:dyDescent="0.25">
      <c r="B27" s="305">
        <v>19</v>
      </c>
      <c r="C27" s="375">
        <f>IF('Data Input'!M25="","",'Data Input'!M25)</f>
        <v>2000494958</v>
      </c>
      <c r="D27" s="376" t="str">
        <f>IF(ISBLANK('Data Input'!N25),"",PROPER('Data Input'!N25))</f>
        <v>Ledesma, Carl Austin</v>
      </c>
      <c r="E27" s="377"/>
      <c r="F27" s="377"/>
      <c r="G27" s="377"/>
      <c r="H27" s="377"/>
      <c r="I27" s="377"/>
      <c r="J27" s="377"/>
      <c r="K27" s="377"/>
      <c r="L27" s="377"/>
      <c r="M27" s="377"/>
      <c r="N27" s="377"/>
      <c r="O27" s="377"/>
      <c r="P27" s="377"/>
      <c r="Q27" s="377"/>
      <c r="R27" s="377"/>
      <c r="S27" s="377"/>
      <c r="T27" s="377"/>
      <c r="U27" s="378"/>
      <c r="V27" s="378"/>
      <c r="W27" s="378"/>
      <c r="X27" s="378"/>
      <c r="Y27" s="216">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7" s="381">
        <f t="shared" si="0"/>
      </c>
      <c r="AA27" s="382">
        <f t="shared" si="1"/>
      </c>
      <c r="AB27" s="379"/>
      <c r="AC27" s="377"/>
      <c r="AD27" s="377"/>
      <c r="AE27" s="377"/>
      <c r="AF27" s="377"/>
      <c r="AG27" s="377"/>
      <c r="AH27" s="377"/>
      <c r="AI27" s="377"/>
      <c r="AJ27" s="377"/>
      <c r="AK27" s="377"/>
      <c r="AL27" s="377"/>
      <c r="AM27" s="377"/>
      <c r="AN27" s="377"/>
      <c r="AO27" s="378"/>
      <c r="AP27" s="378"/>
      <c r="AQ27" s="216">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7" s="381">
        <f t="shared" si="2"/>
      </c>
      <c r="AS27" s="382">
        <f t="shared" si="3"/>
      </c>
      <c r="AT27" s="377"/>
      <c r="AU27" s="378"/>
      <c r="AV27" s="383"/>
      <c r="AW27" s="362">
        <f t="shared" si="4"/>
      </c>
      <c r="AX27" s="362">
        <f t="shared" si="5"/>
      </c>
      <c r="AY27" s="362">
        <f t="shared" si="6"/>
      </c>
      <c r="AZ27" s="381">
        <f t="shared" si="7"/>
      </c>
      <c r="BA27" s="384">
        <f t="shared" si="8"/>
      </c>
      <c r="BB27" s="429"/>
      <c r="BC27" s="362">
        <f t="shared" si="9"/>
      </c>
      <c r="BD27" s="430">
        <f t="shared" si="10"/>
      </c>
      <c r="BE27" s="372">
        <f t="shared" si="11"/>
      </c>
      <c r="BF27" s="373">
        <f>IF(OR(AA27="Error",AS27="Error",BA27="Error",BD27="Error"),"Error",
 IF(D27="","",
 IF(AND(N($AA$6)+N($AS$6)+N($BA$7)=100%,
 OR(N($AA$6)=0,AA27&lt;&gt;""),OR(N($AS$6)=0,AS27&lt;&gt;""),OR(N($BA$7)=0,BA27&lt;&gt;""),BE27&lt;&gt;""),
 _xlfn.XLOOKUP(BE27,'Helper 1'!$B$3:$B$43,'Helper 1'!$D$3:$D$43,,-1),"")))</f>
      </c>
      <c r="BG27" s="374">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8" ht="15.95" customHeight="1" spans="2:59" x14ac:dyDescent="0.25">
      <c r="B28" s="305">
        <v>20</v>
      </c>
      <c r="C28" s="375">
        <f>IF('Data Input'!M26="","",'Data Input'!M26)</f>
        <v>2000498659</v>
      </c>
      <c r="D28" s="376" t="str">
        <f>IF(ISBLANK('Data Input'!N26),"",PROPER('Data Input'!N26))</f>
        <v>Llamado, John Jerome</v>
      </c>
      <c r="E28" s="377"/>
      <c r="F28" s="377"/>
      <c r="G28" s="377"/>
      <c r="H28" s="377"/>
      <c r="I28" s="377"/>
      <c r="J28" s="377"/>
      <c r="K28" s="377"/>
      <c r="L28" s="377"/>
      <c r="M28" s="377"/>
      <c r="N28" s="377"/>
      <c r="O28" s="377"/>
      <c r="P28" s="377"/>
      <c r="Q28" s="377"/>
      <c r="R28" s="377"/>
      <c r="S28" s="377"/>
      <c r="T28" s="377"/>
      <c r="U28" s="378"/>
      <c r="V28" s="378"/>
      <c r="W28" s="378"/>
      <c r="X28" s="378"/>
      <c r="Y28" s="216">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8" s="381">
        <f t="shared" si="0"/>
      </c>
      <c r="AA28" s="382">
        <f t="shared" si="1"/>
      </c>
      <c r="AB28" s="379"/>
      <c r="AC28" s="377"/>
      <c r="AD28" s="377"/>
      <c r="AE28" s="377"/>
      <c r="AF28" s="377"/>
      <c r="AG28" s="377"/>
      <c r="AH28" s="377"/>
      <c r="AI28" s="377"/>
      <c r="AJ28" s="377"/>
      <c r="AK28" s="377"/>
      <c r="AL28" s="377"/>
      <c r="AM28" s="377"/>
      <c r="AN28" s="377"/>
      <c r="AO28" s="378"/>
      <c r="AP28" s="378"/>
      <c r="AQ28" s="216">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8" s="381">
        <f t="shared" si="2"/>
      </c>
      <c r="AS28" s="382">
        <f t="shared" si="3"/>
      </c>
      <c r="AT28" s="377"/>
      <c r="AU28" s="378"/>
      <c r="AV28" s="383"/>
      <c r="AW28" s="362">
        <f t="shared" si="4"/>
      </c>
      <c r="AX28" s="362">
        <f t="shared" si="5"/>
      </c>
      <c r="AY28" s="362">
        <f t="shared" si="6"/>
      </c>
      <c r="AZ28" s="381">
        <f t="shared" si="7"/>
      </c>
      <c r="BA28" s="384">
        <f t="shared" si="8"/>
      </c>
      <c r="BB28" s="429"/>
      <c r="BC28" s="362">
        <f t="shared" si="9"/>
      </c>
      <c r="BD28" s="430">
        <f t="shared" si="10"/>
      </c>
      <c r="BE28" s="372">
        <f t="shared" si="11"/>
      </c>
      <c r="BF28" s="373">
        <f>IF(OR(AA28="Error",AS28="Error",BA28="Error",BD28="Error"),"Error",
 IF(D28="","",
 IF(AND(N($AA$6)+N($AS$6)+N($BA$7)=100%,
 OR(N($AA$6)=0,AA28&lt;&gt;""),OR(N($AS$6)=0,AS28&lt;&gt;""),OR(N($BA$7)=0,BA28&lt;&gt;""),BE28&lt;&gt;""),
 _xlfn.XLOOKUP(BE28,'Helper 1'!$B$3:$B$43,'Helper 1'!$D$3:$D$43,,-1),"")))</f>
      </c>
      <c r="BG28" s="374">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29" ht="15.95" customHeight="1" spans="2:59" x14ac:dyDescent="0.25">
      <c r="B29" s="305">
        <v>21</v>
      </c>
      <c r="C29" s="375">
        <f>IF('Data Input'!M27="","",'Data Input'!M27)</f>
        <v>2000496341</v>
      </c>
      <c r="D29" s="376" t="str">
        <f>IF(ISBLANK('Data Input'!N27),"",PROPER('Data Input'!N27))</f>
        <v>Maquite, John Michael</v>
      </c>
      <c r="E29" s="377"/>
      <c r="F29" s="377"/>
      <c r="G29" s="377"/>
      <c r="H29" s="377"/>
      <c r="I29" s="377"/>
      <c r="J29" s="377"/>
      <c r="K29" s="377"/>
      <c r="L29" s="377"/>
      <c r="M29" s="377"/>
      <c r="N29" s="377"/>
      <c r="O29" s="377"/>
      <c r="P29" s="377"/>
      <c r="Q29" s="377"/>
      <c r="R29" s="377"/>
      <c r="S29" s="377"/>
      <c r="T29" s="377"/>
      <c r="U29" s="378"/>
      <c r="V29" s="378"/>
      <c r="W29" s="378"/>
      <c r="X29" s="378"/>
      <c r="Y29" s="216">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29" s="381">
        <f t="shared" si="0"/>
      </c>
      <c r="AA29" s="382">
        <f t="shared" si="1"/>
      </c>
      <c r="AB29" s="379"/>
      <c r="AC29" s="377"/>
      <c r="AD29" s="377"/>
      <c r="AE29" s="377"/>
      <c r="AF29" s="377"/>
      <c r="AG29" s="377"/>
      <c r="AH29" s="377"/>
      <c r="AI29" s="377"/>
      <c r="AJ29" s="377"/>
      <c r="AK29" s="377"/>
      <c r="AL29" s="377"/>
      <c r="AM29" s="377"/>
      <c r="AN29" s="377"/>
      <c r="AO29" s="378"/>
      <c r="AP29" s="378"/>
      <c r="AQ29" s="216">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29" s="381">
        <f t="shared" si="2"/>
      </c>
      <c r="AS29" s="382">
        <f t="shared" si="3"/>
      </c>
      <c r="AT29" s="377"/>
      <c r="AU29" s="378"/>
      <c r="AV29" s="383"/>
      <c r="AW29" s="362">
        <f t="shared" si="4"/>
      </c>
      <c r="AX29" s="362">
        <f t="shared" si="5"/>
      </c>
      <c r="AY29" s="362">
        <f t="shared" si="6"/>
      </c>
      <c r="AZ29" s="381">
        <f t="shared" si="7"/>
      </c>
      <c r="BA29" s="384">
        <f t="shared" si="8"/>
      </c>
      <c r="BB29" s="429"/>
      <c r="BC29" s="362">
        <f t="shared" si="9"/>
      </c>
      <c r="BD29" s="430">
        <f t="shared" si="10"/>
      </c>
      <c r="BE29" s="372">
        <f t="shared" si="11"/>
      </c>
      <c r="BF29" s="373">
        <f>IF(OR(AA29="Error",AS29="Error",BA29="Error",BD29="Error"),"Error",
 IF(D29="","",
 IF(AND(N($AA$6)+N($AS$6)+N($BA$7)=100%,
 OR(N($AA$6)=0,AA29&lt;&gt;""),OR(N($AS$6)=0,AS29&lt;&gt;""),OR(N($BA$7)=0,BA29&lt;&gt;""),BE29&lt;&gt;""),
 _xlfn.XLOOKUP(BE29,'Helper 1'!$B$3:$B$43,'Helper 1'!$D$3:$D$43,,-1),"")))</f>
      </c>
      <c r="BG29" s="374">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0" ht="15.95" customHeight="1" spans="2:59" x14ac:dyDescent="0.25">
      <c r="B30" s="305">
        <v>22</v>
      </c>
      <c r="C30" s="375">
        <f>IF('Data Input'!M28="","",'Data Input'!M28)</f>
        <v>2000494490</v>
      </c>
      <c r="D30" s="376" t="str">
        <f>IF(ISBLANK('Data Input'!N28),"",PROPER('Data Input'!N28))</f>
        <v>Melgar, Niza Jade</v>
      </c>
      <c r="E30" s="377"/>
      <c r="F30" s="377"/>
      <c r="G30" s="377"/>
      <c r="H30" s="377"/>
      <c r="I30" s="377"/>
      <c r="J30" s="377"/>
      <c r="K30" s="377"/>
      <c r="L30" s="377"/>
      <c r="M30" s="377"/>
      <c r="N30" s="377"/>
      <c r="O30" s="377"/>
      <c r="P30" s="377"/>
      <c r="Q30" s="377"/>
      <c r="R30" s="377"/>
      <c r="S30" s="377"/>
      <c r="T30" s="377"/>
      <c r="U30" s="378"/>
      <c r="V30" s="378"/>
      <c r="W30" s="378"/>
      <c r="X30" s="378"/>
      <c r="Y30" s="216">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0" s="381">
        <f t="shared" si="0"/>
      </c>
      <c r="AA30" s="382">
        <f t="shared" si="1"/>
      </c>
      <c r="AB30" s="379"/>
      <c r="AC30" s="377"/>
      <c r="AD30" s="377"/>
      <c r="AE30" s="377"/>
      <c r="AF30" s="377"/>
      <c r="AG30" s="377"/>
      <c r="AH30" s="377"/>
      <c r="AI30" s="377"/>
      <c r="AJ30" s="377"/>
      <c r="AK30" s="377"/>
      <c r="AL30" s="377"/>
      <c r="AM30" s="377"/>
      <c r="AN30" s="377"/>
      <c r="AO30" s="378"/>
      <c r="AP30" s="378"/>
      <c r="AQ30" s="216">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0" s="381">
        <f t="shared" si="2"/>
      </c>
      <c r="AS30" s="382">
        <f t="shared" si="3"/>
      </c>
      <c r="AT30" s="377"/>
      <c r="AU30" s="378"/>
      <c r="AV30" s="383"/>
      <c r="AW30" s="362">
        <f t="shared" si="4"/>
      </c>
      <c r="AX30" s="362">
        <f t="shared" si="5"/>
      </c>
      <c r="AY30" s="362">
        <f t="shared" si="6"/>
      </c>
      <c r="AZ30" s="381">
        <f t="shared" si="7"/>
      </c>
      <c r="BA30" s="384">
        <f t="shared" si="8"/>
      </c>
      <c r="BB30" s="429"/>
      <c r="BC30" s="362">
        <f t="shared" si="9"/>
      </c>
      <c r="BD30" s="430">
        <f t="shared" si="10"/>
      </c>
      <c r="BE30" s="372">
        <f t="shared" si="11"/>
      </c>
      <c r="BF30" s="373">
        <f>IF(OR(AA30="Error",AS30="Error",BA30="Error",BD30="Error"),"Error",
 IF(D30="","",
 IF(AND(N($AA$6)+N($AS$6)+N($BA$7)=100%,
 OR(N($AA$6)=0,AA30&lt;&gt;""),OR(N($AS$6)=0,AS30&lt;&gt;""),OR(N($BA$7)=0,BA30&lt;&gt;""),BE30&lt;&gt;""),
 _xlfn.XLOOKUP(BE30,'Helper 1'!$B$3:$B$43,'Helper 1'!$D$3:$D$43,,-1),"")))</f>
      </c>
      <c r="BG30" s="374">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1" ht="15.95" customHeight="1" spans="2:59" x14ac:dyDescent="0.25">
      <c r="B31" s="305">
        <v>23</v>
      </c>
      <c r="C31" s="375">
        <f>IF('Data Input'!M29="","",'Data Input'!M29)</f>
        <v>2000492883</v>
      </c>
      <c r="D31" s="376" t="str">
        <f>IF(ISBLANK('Data Input'!N29),"",PROPER('Data Input'!N29))</f>
        <v>Morada, Carl Ely</v>
      </c>
      <c r="E31" s="377"/>
      <c r="F31" s="377"/>
      <c r="G31" s="377"/>
      <c r="H31" s="377"/>
      <c r="I31" s="377"/>
      <c r="J31" s="377"/>
      <c r="K31" s="377"/>
      <c r="L31" s="377"/>
      <c r="M31" s="377"/>
      <c r="N31" s="377"/>
      <c r="O31" s="377"/>
      <c r="P31" s="377"/>
      <c r="Q31" s="377"/>
      <c r="R31" s="377"/>
      <c r="S31" s="377"/>
      <c r="T31" s="377"/>
      <c r="U31" s="378"/>
      <c r="V31" s="378"/>
      <c r="W31" s="378"/>
      <c r="X31" s="378"/>
      <c r="Y31" s="216">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1" s="381">
        <f t="shared" si="0"/>
      </c>
      <c r="AA31" s="382">
        <f t="shared" si="1"/>
      </c>
      <c r="AB31" s="379"/>
      <c r="AC31" s="377"/>
      <c r="AD31" s="377"/>
      <c r="AE31" s="377"/>
      <c r="AF31" s="377"/>
      <c r="AG31" s="377"/>
      <c r="AH31" s="377"/>
      <c r="AI31" s="377"/>
      <c r="AJ31" s="377"/>
      <c r="AK31" s="377"/>
      <c r="AL31" s="377"/>
      <c r="AM31" s="377"/>
      <c r="AN31" s="377"/>
      <c r="AO31" s="378"/>
      <c r="AP31" s="378"/>
      <c r="AQ31" s="216">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1" s="381">
        <f t="shared" si="2"/>
      </c>
      <c r="AS31" s="382">
        <f t="shared" si="3"/>
      </c>
      <c r="AT31" s="377"/>
      <c r="AU31" s="378"/>
      <c r="AV31" s="383"/>
      <c r="AW31" s="362">
        <f t="shared" si="4"/>
      </c>
      <c r="AX31" s="362">
        <f t="shared" si="5"/>
      </c>
      <c r="AY31" s="362">
        <f t="shared" si="6"/>
      </c>
      <c r="AZ31" s="381">
        <f t="shared" si="7"/>
      </c>
      <c r="BA31" s="384">
        <f t="shared" si="8"/>
      </c>
      <c r="BB31" s="429"/>
      <c r="BC31" s="362">
        <f t="shared" si="9"/>
      </c>
      <c r="BD31" s="430">
        <f t="shared" si="10"/>
      </c>
      <c r="BE31" s="372">
        <f t="shared" si="11"/>
      </c>
      <c r="BF31" s="373">
        <f>IF(OR(AA31="Error",AS31="Error",BA31="Error",BD31="Error"),"Error",
 IF(D31="","",
 IF(AND(N($AA$6)+N($AS$6)+N($BA$7)=100%,
 OR(N($AA$6)=0,AA31&lt;&gt;""),OR(N($AS$6)=0,AS31&lt;&gt;""),OR(N($BA$7)=0,BA31&lt;&gt;""),BE31&lt;&gt;""),
 _xlfn.XLOOKUP(BE31,'Helper 1'!$B$3:$B$43,'Helper 1'!$D$3:$D$43,,-1),"")))</f>
      </c>
      <c r="BG31" s="374">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2" ht="15.95" customHeight="1" spans="2:59" x14ac:dyDescent="0.25">
      <c r="B32" s="305">
        <v>24</v>
      </c>
      <c r="C32" s="375">
        <f>IF('Data Input'!M30="","",'Data Input'!M30)</f>
        <v>2000493062</v>
      </c>
      <c r="D32" s="376" t="str">
        <f>IF(ISBLANK('Data Input'!N30),"",PROPER('Data Input'!N30))</f>
        <v>Olores, Frecious Natalie</v>
      </c>
      <c r="E32" s="377"/>
      <c r="F32" s="377"/>
      <c r="G32" s="377"/>
      <c r="H32" s="377"/>
      <c r="I32" s="377"/>
      <c r="J32" s="377"/>
      <c r="K32" s="377"/>
      <c r="L32" s="377"/>
      <c r="M32" s="377"/>
      <c r="N32" s="377"/>
      <c r="O32" s="377"/>
      <c r="P32" s="377"/>
      <c r="Q32" s="377"/>
      <c r="R32" s="377"/>
      <c r="S32" s="377"/>
      <c r="T32" s="377"/>
      <c r="U32" s="378"/>
      <c r="V32" s="378"/>
      <c r="W32" s="378"/>
      <c r="X32" s="378"/>
      <c r="Y32" s="216">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2" s="381">
        <f t="shared" si="0"/>
      </c>
      <c r="AA32" s="382">
        <f t="shared" si="1"/>
      </c>
      <c r="AB32" s="379"/>
      <c r="AC32" s="377"/>
      <c r="AD32" s="377"/>
      <c r="AE32" s="377"/>
      <c r="AF32" s="377"/>
      <c r="AG32" s="377"/>
      <c r="AH32" s="377"/>
      <c r="AI32" s="377"/>
      <c r="AJ32" s="377"/>
      <c r="AK32" s="377"/>
      <c r="AL32" s="377"/>
      <c r="AM32" s="377"/>
      <c r="AN32" s="377"/>
      <c r="AO32" s="378"/>
      <c r="AP32" s="378"/>
      <c r="AQ32" s="216">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2" s="381">
        <f t="shared" si="2"/>
      </c>
      <c r="AS32" s="382">
        <f t="shared" si="3"/>
      </c>
      <c r="AT32" s="377"/>
      <c r="AU32" s="378"/>
      <c r="AV32" s="383"/>
      <c r="AW32" s="362">
        <f t="shared" si="4"/>
      </c>
      <c r="AX32" s="362">
        <f t="shared" si="5"/>
      </c>
      <c r="AY32" s="362">
        <f t="shared" si="6"/>
      </c>
      <c r="AZ32" s="381">
        <f t="shared" si="7"/>
      </c>
      <c r="BA32" s="384">
        <f t="shared" si="8"/>
      </c>
      <c r="BB32" s="429"/>
      <c r="BC32" s="362">
        <f t="shared" si="9"/>
      </c>
      <c r="BD32" s="430">
        <f t="shared" si="10"/>
      </c>
      <c r="BE32" s="372">
        <f t="shared" si="11"/>
      </c>
      <c r="BF32" s="373">
        <f>IF(OR(AA32="Error",AS32="Error",BA32="Error",BD32="Error"),"Error",
 IF(D32="","",
 IF(AND(N($AA$6)+N($AS$6)+N($BA$7)=100%,
 OR(N($AA$6)=0,AA32&lt;&gt;""),OR(N($AS$6)=0,AS32&lt;&gt;""),OR(N($BA$7)=0,BA32&lt;&gt;""),BE32&lt;&gt;""),
 _xlfn.XLOOKUP(BE32,'Helper 1'!$B$3:$B$43,'Helper 1'!$D$3:$D$43,,-1),"")))</f>
      </c>
      <c r="BG32" s="374">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3" ht="15.95" customHeight="1" spans="2:59" x14ac:dyDescent="0.25">
      <c r="B33" s="305">
        <v>25</v>
      </c>
      <c r="C33" s="375">
        <f>IF('Data Input'!M31="","",'Data Input'!M31)</f>
        <v>2000499699</v>
      </c>
      <c r="D33" s="376" t="str">
        <f>IF(ISBLANK('Data Input'!N31),"",PROPER('Data Input'!N31))</f>
        <v>Ortinero, Christel Ace</v>
      </c>
      <c r="E33" s="377"/>
      <c r="F33" s="377"/>
      <c r="G33" s="377"/>
      <c r="H33" s="377"/>
      <c r="I33" s="377"/>
      <c r="J33" s="377"/>
      <c r="K33" s="377"/>
      <c r="L33" s="377"/>
      <c r="M33" s="377"/>
      <c r="N33" s="377"/>
      <c r="O33" s="377"/>
      <c r="P33" s="377"/>
      <c r="Q33" s="377"/>
      <c r="R33" s="377"/>
      <c r="S33" s="377"/>
      <c r="T33" s="377"/>
      <c r="U33" s="378"/>
      <c r="V33" s="378"/>
      <c r="W33" s="378"/>
      <c r="X33" s="378"/>
      <c r="Y33" s="216">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3" s="381">
        <f t="shared" si="0"/>
      </c>
      <c r="AA33" s="382">
        <f t="shared" si="1"/>
      </c>
      <c r="AB33" s="379"/>
      <c r="AC33" s="377"/>
      <c r="AD33" s="377"/>
      <c r="AE33" s="377"/>
      <c r="AF33" s="377"/>
      <c r="AG33" s="377"/>
      <c r="AH33" s="377"/>
      <c r="AI33" s="377"/>
      <c r="AJ33" s="377"/>
      <c r="AK33" s="377"/>
      <c r="AL33" s="377"/>
      <c r="AM33" s="377"/>
      <c r="AN33" s="377"/>
      <c r="AO33" s="378"/>
      <c r="AP33" s="378"/>
      <c r="AQ33" s="216">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3" s="381">
        <f t="shared" si="2"/>
      </c>
      <c r="AS33" s="382">
        <f t="shared" si="3"/>
      </c>
      <c r="AT33" s="377"/>
      <c r="AU33" s="378"/>
      <c r="AV33" s="383"/>
      <c r="AW33" s="362">
        <f t="shared" si="4"/>
      </c>
      <c r="AX33" s="362">
        <f t="shared" si="5"/>
      </c>
      <c r="AY33" s="362">
        <f t="shared" si="6"/>
      </c>
      <c r="AZ33" s="381">
        <f t="shared" si="7"/>
      </c>
      <c r="BA33" s="384">
        <f t="shared" si="8"/>
      </c>
      <c r="BB33" s="429"/>
      <c r="BC33" s="362">
        <f t="shared" si="9"/>
      </c>
      <c r="BD33" s="430">
        <f t="shared" si="10"/>
      </c>
      <c r="BE33" s="372">
        <f t="shared" si="11"/>
      </c>
      <c r="BF33" s="373">
        <f>IF(OR(AA33="Error",AS33="Error",BA33="Error",BD33="Error"),"Error",
 IF(D33="","",
 IF(AND(N($AA$6)+N($AS$6)+N($BA$7)=100%,
 OR(N($AA$6)=0,AA33&lt;&gt;""),OR(N($AS$6)=0,AS33&lt;&gt;""),OR(N($BA$7)=0,BA33&lt;&gt;""),BE33&lt;&gt;""),
 _xlfn.XLOOKUP(BE33,'Helper 1'!$B$3:$B$43,'Helper 1'!$D$3:$D$43,,-1),"")))</f>
      </c>
      <c r="BG33" s="374">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4" ht="15.95" customHeight="1" spans="2:59" x14ac:dyDescent="0.25">
      <c r="B34" s="305">
        <v>26</v>
      </c>
      <c r="C34" s="375">
        <f>IF('Data Input'!M32="","",'Data Input'!M32)</f>
        <v>2000481841</v>
      </c>
      <c r="D34" s="376" t="str">
        <f>IF(ISBLANK('Data Input'!N32),"",PROPER('Data Input'!N32))</f>
        <v>Pascua, Jhon Gavriel</v>
      </c>
      <c r="E34" s="377"/>
      <c r="F34" s="377"/>
      <c r="G34" s="377"/>
      <c r="H34" s="377"/>
      <c r="I34" s="377"/>
      <c r="J34" s="377"/>
      <c r="K34" s="377"/>
      <c r="L34" s="377"/>
      <c r="M34" s="377"/>
      <c r="N34" s="377"/>
      <c r="O34" s="377"/>
      <c r="P34" s="377"/>
      <c r="Q34" s="377"/>
      <c r="R34" s="377"/>
      <c r="S34" s="377"/>
      <c r="T34" s="377"/>
      <c r="U34" s="378"/>
      <c r="V34" s="378"/>
      <c r="W34" s="378"/>
      <c r="X34" s="378"/>
      <c r="Y34" s="216">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4" s="381">
        <f t="shared" si="0"/>
      </c>
      <c r="AA34" s="382">
        <f t="shared" si="1"/>
      </c>
      <c r="AB34" s="379"/>
      <c r="AC34" s="377"/>
      <c r="AD34" s="377"/>
      <c r="AE34" s="377"/>
      <c r="AF34" s="377"/>
      <c r="AG34" s="377"/>
      <c r="AH34" s="377"/>
      <c r="AI34" s="377"/>
      <c r="AJ34" s="377"/>
      <c r="AK34" s="377"/>
      <c r="AL34" s="377"/>
      <c r="AM34" s="377"/>
      <c r="AN34" s="377"/>
      <c r="AO34" s="378"/>
      <c r="AP34" s="378"/>
      <c r="AQ34" s="216">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4" s="381">
        <f t="shared" si="2"/>
      </c>
      <c r="AS34" s="382">
        <f t="shared" si="3"/>
      </c>
      <c r="AT34" s="377"/>
      <c r="AU34" s="378"/>
      <c r="AV34" s="383"/>
      <c r="AW34" s="362">
        <f t="shared" si="4"/>
      </c>
      <c r="AX34" s="362">
        <f t="shared" si="5"/>
      </c>
      <c r="AY34" s="362">
        <f t="shared" si="6"/>
      </c>
      <c r="AZ34" s="381">
        <f t="shared" si="7"/>
      </c>
      <c r="BA34" s="384">
        <f t="shared" si="8"/>
      </c>
      <c r="BB34" s="429"/>
      <c r="BC34" s="362">
        <f t="shared" si="9"/>
      </c>
      <c r="BD34" s="430">
        <f t="shared" si="10"/>
      </c>
      <c r="BE34" s="372">
        <f t="shared" si="11"/>
      </c>
      <c r="BF34" s="373">
        <f>IF(OR(AA34="Error",AS34="Error",BA34="Error",BD34="Error"),"Error",
 IF(D34="","",
 IF(AND(N($AA$6)+N($AS$6)+N($BA$7)=100%,
 OR(N($AA$6)=0,AA34&lt;&gt;""),OR(N($AS$6)=0,AS34&lt;&gt;""),OR(N($BA$7)=0,BA34&lt;&gt;""),BE34&lt;&gt;""),
 _xlfn.XLOOKUP(BE34,'Helper 1'!$B$3:$B$43,'Helper 1'!$D$3:$D$43,,-1),"")))</f>
      </c>
      <c r="BG34" s="374">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5" ht="15.95" customHeight="1" spans="2:59" x14ac:dyDescent="0.25">
      <c r="B35" s="305">
        <v>27</v>
      </c>
      <c r="C35" s="375">
        <f>IF('Data Input'!M33="","",'Data Input'!M33)</f>
        <v>2000492838</v>
      </c>
      <c r="D35" s="376" t="str">
        <f>IF(ISBLANK('Data Input'!N33),"",PROPER('Data Input'!N33))</f>
        <v>Pastor, Jaydhen</v>
      </c>
      <c r="E35" s="377"/>
      <c r="F35" s="377"/>
      <c r="G35" s="377"/>
      <c r="H35" s="377"/>
      <c r="I35" s="377"/>
      <c r="J35" s="377"/>
      <c r="K35" s="377"/>
      <c r="L35" s="377"/>
      <c r="M35" s="377"/>
      <c r="N35" s="377"/>
      <c r="O35" s="377"/>
      <c r="P35" s="377"/>
      <c r="Q35" s="377"/>
      <c r="R35" s="377"/>
      <c r="S35" s="377"/>
      <c r="T35" s="377"/>
      <c r="U35" s="378"/>
      <c r="V35" s="378"/>
      <c r="W35" s="378"/>
      <c r="X35" s="378"/>
      <c r="Y35" s="216">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5" s="381">
        <f t="shared" si="0"/>
      </c>
      <c r="AA35" s="382">
        <f t="shared" si="1"/>
      </c>
      <c r="AB35" s="379"/>
      <c r="AC35" s="377"/>
      <c r="AD35" s="377"/>
      <c r="AE35" s="377"/>
      <c r="AF35" s="377"/>
      <c r="AG35" s="377"/>
      <c r="AH35" s="377"/>
      <c r="AI35" s="377"/>
      <c r="AJ35" s="377"/>
      <c r="AK35" s="377"/>
      <c r="AL35" s="377"/>
      <c r="AM35" s="377"/>
      <c r="AN35" s="377"/>
      <c r="AO35" s="378"/>
      <c r="AP35" s="378"/>
      <c r="AQ35" s="216">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5" s="381">
        <f t="shared" si="2"/>
      </c>
      <c r="AS35" s="382">
        <f t="shared" si="3"/>
      </c>
      <c r="AT35" s="377"/>
      <c r="AU35" s="378"/>
      <c r="AV35" s="383"/>
      <c r="AW35" s="362">
        <f t="shared" si="4"/>
      </c>
      <c r="AX35" s="362">
        <f t="shared" si="5"/>
      </c>
      <c r="AY35" s="362">
        <f t="shared" si="6"/>
      </c>
      <c r="AZ35" s="381">
        <f t="shared" si="7"/>
      </c>
      <c r="BA35" s="384">
        <f t="shared" si="8"/>
      </c>
      <c r="BB35" s="429"/>
      <c r="BC35" s="362">
        <f t="shared" si="9"/>
      </c>
      <c r="BD35" s="430">
        <f t="shared" si="10"/>
      </c>
      <c r="BE35" s="372">
        <f t="shared" si="11"/>
      </c>
      <c r="BF35" s="373">
        <f>IF(OR(AA35="Error",AS35="Error",BA35="Error",BD35="Error"),"Error",
 IF(D35="","",
 IF(AND(N($AA$6)+N($AS$6)+N($BA$7)=100%,
 OR(N($AA$6)=0,AA35&lt;&gt;""),OR(N($AS$6)=0,AS35&lt;&gt;""),OR(N($BA$7)=0,BA35&lt;&gt;""),BE35&lt;&gt;""),
 _xlfn.XLOOKUP(BE35,'Helper 1'!$B$3:$B$43,'Helper 1'!$D$3:$D$43,,-1),"")))</f>
      </c>
      <c r="BG35" s="374">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6" ht="15.95" customHeight="1" spans="2:59" x14ac:dyDescent="0.25">
      <c r="B36" s="305">
        <v>28</v>
      </c>
      <c r="C36" s="375">
        <f>IF('Data Input'!M34="","",'Data Input'!M34)</f>
        <v>2000485198</v>
      </c>
      <c r="D36" s="376" t="str">
        <f>IF(ISBLANK('Data Input'!N34),"",PROPER('Data Input'!N34))</f>
        <v>Placente, Rhian</v>
      </c>
      <c r="E36" s="377"/>
      <c r="F36" s="377"/>
      <c r="G36" s="377"/>
      <c r="H36" s="377"/>
      <c r="I36" s="377"/>
      <c r="J36" s="377"/>
      <c r="K36" s="377"/>
      <c r="L36" s="377"/>
      <c r="M36" s="377"/>
      <c r="N36" s="377"/>
      <c r="O36" s="377"/>
      <c r="P36" s="377"/>
      <c r="Q36" s="377"/>
      <c r="R36" s="377"/>
      <c r="S36" s="377"/>
      <c r="T36" s="377"/>
      <c r="U36" s="378"/>
      <c r="V36" s="378"/>
      <c r="W36" s="378"/>
      <c r="X36" s="378"/>
      <c r="Y36" s="216">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6" s="381">
        <f t="shared" si="0"/>
      </c>
      <c r="AA36" s="382">
        <f t="shared" si="1"/>
      </c>
      <c r="AB36" s="379"/>
      <c r="AC36" s="377"/>
      <c r="AD36" s="377"/>
      <c r="AE36" s="377"/>
      <c r="AF36" s="377"/>
      <c r="AG36" s="377"/>
      <c r="AH36" s="377"/>
      <c r="AI36" s="377"/>
      <c r="AJ36" s="377"/>
      <c r="AK36" s="377"/>
      <c r="AL36" s="377"/>
      <c r="AM36" s="377"/>
      <c r="AN36" s="377"/>
      <c r="AO36" s="378"/>
      <c r="AP36" s="378"/>
      <c r="AQ36" s="216">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6" s="381">
        <f t="shared" si="2"/>
      </c>
      <c r="AS36" s="382">
        <f t="shared" si="3"/>
      </c>
      <c r="AT36" s="377"/>
      <c r="AU36" s="378"/>
      <c r="AV36" s="383"/>
      <c r="AW36" s="362">
        <f t="shared" si="4"/>
      </c>
      <c r="AX36" s="362">
        <f t="shared" si="5"/>
      </c>
      <c r="AY36" s="362">
        <f t="shared" si="6"/>
      </c>
      <c r="AZ36" s="381">
        <f t="shared" si="7"/>
      </c>
      <c r="BA36" s="384">
        <f t="shared" si="8"/>
      </c>
      <c r="BB36" s="429"/>
      <c r="BC36" s="362">
        <f t="shared" si="9"/>
      </c>
      <c r="BD36" s="430">
        <f t="shared" si="10"/>
      </c>
      <c r="BE36" s="372">
        <f t="shared" si="11"/>
      </c>
      <c r="BF36" s="373">
        <f>IF(OR(AA36="Error",AS36="Error",BA36="Error",BD36="Error"),"Error",
 IF(D36="","",
 IF(AND(N($AA$6)+N($AS$6)+N($BA$7)=100%,
 OR(N($AA$6)=0,AA36&lt;&gt;""),OR(N($AS$6)=0,AS36&lt;&gt;""),OR(N($BA$7)=0,BA36&lt;&gt;""),BE36&lt;&gt;""),
 _xlfn.XLOOKUP(BE36,'Helper 1'!$B$3:$B$43,'Helper 1'!$D$3:$D$43,,-1),"")))</f>
      </c>
      <c r="BG36" s="374">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7" ht="15.95" customHeight="1" spans="2:59" x14ac:dyDescent="0.25">
      <c r="B37" s="305">
        <v>29</v>
      </c>
      <c r="C37" s="375">
        <f>IF('Data Input'!M35="","",'Data Input'!M35)</f>
      </c>
      <c r="D37" s="376">
        <f>IF(ISBLANK('Data Input'!N35),"",PROPER('Data Input'!N35))</f>
      </c>
      <c r="E37" s="377"/>
      <c r="F37" s="377"/>
      <c r="G37" s="377"/>
      <c r="H37" s="377"/>
      <c r="I37" s="377"/>
      <c r="J37" s="377"/>
      <c r="K37" s="377"/>
      <c r="L37" s="377"/>
      <c r="M37" s="377"/>
      <c r="N37" s="377"/>
      <c r="O37" s="377"/>
      <c r="P37" s="377"/>
      <c r="Q37" s="377"/>
      <c r="R37" s="377"/>
      <c r="S37" s="377"/>
      <c r="T37" s="377"/>
      <c r="U37" s="378"/>
      <c r="V37" s="378"/>
      <c r="W37" s="378"/>
      <c r="X37" s="378"/>
      <c r="Y37" s="216">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7" s="381">
        <f t="shared" si="0"/>
      </c>
      <c r="AA37" s="382">
        <f t="shared" si="1"/>
      </c>
      <c r="AB37" s="379"/>
      <c r="AC37" s="377"/>
      <c r="AD37" s="377"/>
      <c r="AE37" s="377"/>
      <c r="AF37" s="377"/>
      <c r="AG37" s="377"/>
      <c r="AH37" s="377"/>
      <c r="AI37" s="377"/>
      <c r="AJ37" s="377"/>
      <c r="AK37" s="377"/>
      <c r="AL37" s="377"/>
      <c r="AM37" s="377"/>
      <c r="AN37" s="377"/>
      <c r="AO37" s="378"/>
      <c r="AP37" s="378"/>
      <c r="AQ37" s="216">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7" s="381">
        <f t="shared" si="2"/>
      </c>
      <c r="AS37" s="382">
        <f t="shared" si="3"/>
      </c>
      <c r="AT37" s="377"/>
      <c r="AU37" s="378"/>
      <c r="AV37" s="383"/>
      <c r="AW37" s="362">
        <f t="shared" si="4"/>
      </c>
      <c r="AX37" s="362">
        <f t="shared" si="5"/>
      </c>
      <c r="AY37" s="362">
        <f t="shared" si="6"/>
      </c>
      <c r="AZ37" s="381">
        <f t="shared" si="7"/>
      </c>
      <c r="BA37" s="384">
        <f t="shared" si="8"/>
      </c>
      <c r="BB37" s="429"/>
      <c r="BC37" s="362">
        <f t="shared" si="9"/>
      </c>
      <c r="BD37" s="430">
        <f t="shared" si="10"/>
      </c>
      <c r="BE37" s="372">
        <f t="shared" si="11"/>
      </c>
      <c r="BF37" s="373">
        <f>IF(OR(AA37="Error",AS37="Error",BA37="Error",BD37="Error"),"Error",
 IF(D37="","",
 IF(AND(N($AA$6)+N($AS$6)+N($BA$7)=100%,
 OR(N($AA$6)=0,AA37&lt;&gt;""),OR(N($AS$6)=0,AS37&lt;&gt;""),OR(N($BA$7)=0,BA37&lt;&gt;""),BE37&lt;&gt;""),
 _xlfn.XLOOKUP(BE37,'Helper 1'!$B$3:$B$43,'Helper 1'!$D$3:$D$43,,-1),"")))</f>
      </c>
      <c r="BG37" s="374">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8" ht="15.95" customHeight="1" spans="2:59" x14ac:dyDescent="0.25">
      <c r="B38" s="305">
        <v>30</v>
      </c>
      <c r="C38" s="375">
        <f>IF('Data Input'!M36="","",'Data Input'!M36)</f>
      </c>
      <c r="D38" s="376">
        <f>IF(ISBLANK('Data Input'!N36),"",PROPER('Data Input'!N36))</f>
      </c>
      <c r="E38" s="377"/>
      <c r="F38" s="377"/>
      <c r="G38" s="377"/>
      <c r="H38" s="377"/>
      <c r="I38" s="377"/>
      <c r="J38" s="377"/>
      <c r="K38" s="377"/>
      <c r="L38" s="377"/>
      <c r="M38" s="377"/>
      <c r="N38" s="377"/>
      <c r="O38" s="377"/>
      <c r="P38" s="377"/>
      <c r="Q38" s="377"/>
      <c r="R38" s="377"/>
      <c r="S38" s="377"/>
      <c r="T38" s="377"/>
      <c r="U38" s="378"/>
      <c r="V38" s="378"/>
      <c r="W38" s="378"/>
      <c r="X38" s="378"/>
      <c r="Y38" s="216">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8" s="381">
        <f t="shared" si="0"/>
      </c>
      <c r="AA38" s="382">
        <f t="shared" si="1"/>
      </c>
      <c r="AB38" s="379"/>
      <c r="AC38" s="377"/>
      <c r="AD38" s="377"/>
      <c r="AE38" s="377"/>
      <c r="AF38" s="377"/>
      <c r="AG38" s="377"/>
      <c r="AH38" s="377"/>
      <c r="AI38" s="377"/>
      <c r="AJ38" s="377"/>
      <c r="AK38" s="377"/>
      <c r="AL38" s="377"/>
      <c r="AM38" s="377"/>
      <c r="AN38" s="377"/>
      <c r="AO38" s="378"/>
      <c r="AP38" s="378"/>
      <c r="AQ38" s="216">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8" s="381">
        <f t="shared" si="2"/>
      </c>
      <c r="AS38" s="382">
        <f t="shared" si="3"/>
      </c>
      <c r="AT38" s="377"/>
      <c r="AU38" s="378"/>
      <c r="AV38" s="383"/>
      <c r="AW38" s="362">
        <f t="shared" si="4"/>
      </c>
      <c r="AX38" s="362">
        <f t="shared" si="5"/>
      </c>
      <c r="AY38" s="362">
        <f t="shared" si="6"/>
      </c>
      <c r="AZ38" s="381">
        <f t="shared" si="7"/>
      </c>
      <c r="BA38" s="384">
        <f t="shared" si="8"/>
      </c>
      <c r="BB38" s="429"/>
      <c r="BC38" s="362">
        <f t="shared" si="9"/>
      </c>
      <c r="BD38" s="430">
        <f t="shared" si="10"/>
      </c>
      <c r="BE38" s="372">
        <f t="shared" si="11"/>
      </c>
      <c r="BF38" s="373">
        <f>IF(OR(AA38="Error",AS38="Error",BA38="Error",BD38="Error"),"Error",
 IF(D38="","",
 IF(AND(N($AA$6)+N($AS$6)+N($BA$7)=100%,
 OR(N($AA$6)=0,AA38&lt;&gt;""),OR(N($AS$6)=0,AS38&lt;&gt;""),OR(N($BA$7)=0,BA38&lt;&gt;""),BE38&lt;&gt;""),
 _xlfn.XLOOKUP(BE38,'Helper 1'!$B$3:$B$43,'Helper 1'!$D$3:$D$43,,-1),"")))</f>
      </c>
      <c r="BG38" s="374">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39" ht="15.95" customHeight="1" spans="2:59" x14ac:dyDescent="0.25">
      <c r="B39" s="305">
        <v>31</v>
      </c>
      <c r="C39" s="375">
        <f>IF('Data Input'!M37="","",'Data Input'!M37)</f>
      </c>
      <c r="D39" s="376">
        <f>IF(ISBLANK('Data Input'!N37),"",PROPER('Data Input'!N37))</f>
      </c>
      <c r="E39" s="377"/>
      <c r="F39" s="377"/>
      <c r="G39" s="377"/>
      <c r="H39" s="377"/>
      <c r="I39" s="377"/>
      <c r="J39" s="377"/>
      <c r="K39" s="377"/>
      <c r="L39" s="377"/>
      <c r="M39" s="377"/>
      <c r="N39" s="377"/>
      <c r="O39" s="377"/>
      <c r="P39" s="377"/>
      <c r="Q39" s="377"/>
      <c r="R39" s="377"/>
      <c r="S39" s="377"/>
      <c r="T39" s="377"/>
      <c r="U39" s="378"/>
      <c r="V39" s="378"/>
      <c r="W39" s="378"/>
      <c r="X39" s="378"/>
      <c r="Y39" s="216">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39" s="381">
        <f t="shared" si="0"/>
      </c>
      <c r="AA39" s="382">
        <f t="shared" si="1"/>
      </c>
      <c r="AB39" s="379"/>
      <c r="AC39" s="377"/>
      <c r="AD39" s="377"/>
      <c r="AE39" s="377"/>
      <c r="AF39" s="377"/>
      <c r="AG39" s="377"/>
      <c r="AH39" s="377"/>
      <c r="AI39" s="377"/>
      <c r="AJ39" s="377"/>
      <c r="AK39" s="377"/>
      <c r="AL39" s="377"/>
      <c r="AM39" s="377"/>
      <c r="AN39" s="377"/>
      <c r="AO39" s="378"/>
      <c r="AP39" s="378"/>
      <c r="AQ39" s="216">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39" s="381">
        <f t="shared" si="2"/>
      </c>
      <c r="AS39" s="382">
        <f t="shared" si="3"/>
      </c>
      <c r="AT39" s="377"/>
      <c r="AU39" s="378"/>
      <c r="AV39" s="383"/>
      <c r="AW39" s="362">
        <f t="shared" si="4"/>
      </c>
      <c r="AX39" s="362">
        <f t="shared" si="5"/>
      </c>
      <c r="AY39" s="362">
        <f t="shared" si="6"/>
      </c>
      <c r="AZ39" s="381">
        <f t="shared" si="7"/>
      </c>
      <c r="BA39" s="384">
        <f t="shared" si="8"/>
      </c>
      <c r="BB39" s="429"/>
      <c r="BC39" s="362">
        <f t="shared" si="9"/>
      </c>
      <c r="BD39" s="430">
        <f t="shared" si="10"/>
      </c>
      <c r="BE39" s="372">
        <f t="shared" si="11"/>
      </c>
      <c r="BF39" s="373">
        <f>IF(OR(AA39="Error",AS39="Error",BA39="Error",BD39="Error"),"Error",
 IF(D39="","",
 IF(AND(N($AA$6)+N($AS$6)+N($BA$7)=100%,
 OR(N($AA$6)=0,AA39&lt;&gt;""),OR(N($AS$6)=0,AS39&lt;&gt;""),OR(N($BA$7)=0,BA39&lt;&gt;""),BE39&lt;&gt;""),
 _xlfn.XLOOKUP(BE39,'Helper 1'!$B$3:$B$43,'Helper 1'!$D$3:$D$43,,-1),"")))</f>
      </c>
      <c r="BG39" s="374">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0" ht="15.95" customHeight="1" spans="2:59" x14ac:dyDescent="0.25">
      <c r="B40" s="305">
        <v>32</v>
      </c>
      <c r="C40" s="375">
        <f>IF('Data Input'!M38="","",'Data Input'!M38)</f>
      </c>
      <c r="D40" s="376">
        <f>IF(ISBLANK('Data Input'!N38),"",PROPER('Data Input'!N38))</f>
      </c>
      <c r="E40" s="377"/>
      <c r="F40" s="377"/>
      <c r="G40" s="377"/>
      <c r="H40" s="377"/>
      <c r="I40" s="377"/>
      <c r="J40" s="377"/>
      <c r="K40" s="377"/>
      <c r="L40" s="377"/>
      <c r="M40" s="377"/>
      <c r="N40" s="377"/>
      <c r="O40" s="377"/>
      <c r="P40" s="377"/>
      <c r="Q40" s="377"/>
      <c r="R40" s="377"/>
      <c r="S40" s="377"/>
      <c r="T40" s="377"/>
      <c r="U40" s="378"/>
      <c r="V40" s="378"/>
      <c r="W40" s="378"/>
      <c r="X40" s="378"/>
      <c r="Y40" s="216">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0" s="381">
        <f t="shared" si="0"/>
      </c>
      <c r="AA40" s="382">
        <f t="shared" si="1"/>
      </c>
      <c r="AB40" s="379"/>
      <c r="AC40" s="377"/>
      <c r="AD40" s="377"/>
      <c r="AE40" s="377"/>
      <c r="AF40" s="377"/>
      <c r="AG40" s="377"/>
      <c r="AH40" s="377"/>
      <c r="AI40" s="377"/>
      <c r="AJ40" s="377"/>
      <c r="AK40" s="377"/>
      <c r="AL40" s="377"/>
      <c r="AM40" s="377"/>
      <c r="AN40" s="377"/>
      <c r="AO40" s="378"/>
      <c r="AP40" s="378"/>
      <c r="AQ40" s="216">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0" s="381">
        <f t="shared" si="2"/>
      </c>
      <c r="AS40" s="382">
        <f t="shared" si="3"/>
      </c>
      <c r="AT40" s="377"/>
      <c r="AU40" s="378"/>
      <c r="AV40" s="383"/>
      <c r="AW40" s="362">
        <f t="shared" si="4"/>
      </c>
      <c r="AX40" s="362">
        <f t="shared" si="5"/>
      </c>
      <c r="AY40" s="362">
        <f t="shared" si="6"/>
      </c>
      <c r="AZ40" s="381">
        <f t="shared" si="7"/>
      </c>
      <c r="BA40" s="384">
        <f t="shared" si="8"/>
      </c>
      <c r="BB40" s="429"/>
      <c r="BC40" s="362">
        <f t="shared" si="9"/>
      </c>
      <c r="BD40" s="430">
        <f t="shared" si="10"/>
      </c>
      <c r="BE40" s="372">
        <f t="shared" si="11"/>
      </c>
      <c r="BF40" s="373">
        <f>IF(OR(AA40="Error",AS40="Error",BA40="Error",BD40="Error"),"Error",
 IF(D40="","",
 IF(AND(N($AA$6)+N($AS$6)+N($BA$7)=100%,
 OR(N($AA$6)=0,AA40&lt;&gt;""),OR(N($AS$6)=0,AS40&lt;&gt;""),OR(N($BA$7)=0,BA40&lt;&gt;""),BE40&lt;&gt;""),
 _xlfn.XLOOKUP(BE40,'Helper 1'!$B$3:$B$43,'Helper 1'!$D$3:$D$43,,-1),"")))</f>
      </c>
      <c r="BG40" s="374">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1" ht="15.95" customHeight="1" spans="2:59" x14ac:dyDescent="0.25">
      <c r="B41" s="305">
        <v>33</v>
      </c>
      <c r="C41" s="375">
        <f>IF('Data Input'!M39="","",'Data Input'!M39)</f>
      </c>
      <c r="D41" s="376">
        <f>IF(ISBLANK('Data Input'!N39),"",PROPER('Data Input'!N39))</f>
      </c>
      <c r="E41" s="377"/>
      <c r="F41" s="377"/>
      <c r="G41" s="377"/>
      <c r="H41" s="377"/>
      <c r="I41" s="377"/>
      <c r="J41" s="377"/>
      <c r="K41" s="377"/>
      <c r="L41" s="377"/>
      <c r="M41" s="377"/>
      <c r="N41" s="377"/>
      <c r="O41" s="377"/>
      <c r="P41" s="377"/>
      <c r="Q41" s="377"/>
      <c r="R41" s="377"/>
      <c r="S41" s="377"/>
      <c r="T41" s="377"/>
      <c r="U41" s="378"/>
      <c r="V41" s="378"/>
      <c r="W41" s="378"/>
      <c r="X41" s="378"/>
      <c r="Y41" s="216">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1" s="381">
        <f t="shared" si="0"/>
      </c>
      <c r="AA41" s="382">
        <f t="shared" si="1"/>
      </c>
      <c r="AB41" s="379"/>
      <c r="AC41" s="377"/>
      <c r="AD41" s="377"/>
      <c r="AE41" s="377"/>
      <c r="AF41" s="377"/>
      <c r="AG41" s="377"/>
      <c r="AH41" s="377"/>
      <c r="AI41" s="377"/>
      <c r="AJ41" s="377"/>
      <c r="AK41" s="377"/>
      <c r="AL41" s="377"/>
      <c r="AM41" s="377"/>
      <c r="AN41" s="377"/>
      <c r="AO41" s="378"/>
      <c r="AP41" s="378"/>
      <c r="AQ41" s="216">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1" s="381">
        <f t="shared" si="2"/>
      </c>
      <c r="AS41" s="382">
        <f t="shared" si="3"/>
      </c>
      <c r="AT41" s="377"/>
      <c r="AU41" s="378"/>
      <c r="AV41" s="383"/>
      <c r="AW41" s="362">
        <f t="shared" si="4"/>
      </c>
      <c r="AX41" s="362">
        <f t="shared" si="5"/>
      </c>
      <c r="AY41" s="362">
        <f t="shared" si="6"/>
      </c>
      <c r="AZ41" s="381">
        <f t="shared" si="7"/>
      </c>
      <c r="BA41" s="384">
        <f t="shared" si="8"/>
      </c>
      <c r="BB41" s="429"/>
      <c r="BC41" s="362">
        <f t="shared" si="9"/>
      </c>
      <c r="BD41" s="430">
        <f t="shared" si="10"/>
      </c>
      <c r="BE41" s="372">
        <f t="shared" si="11"/>
      </c>
      <c r="BF41" s="373">
        <f>IF(OR(AA41="Error",AS41="Error",BA41="Error",BD41="Error"),"Error",
 IF(D41="","",
 IF(AND(N($AA$6)+N($AS$6)+N($BA$7)=100%,
 OR(N($AA$6)=0,AA41&lt;&gt;""),OR(N($AS$6)=0,AS41&lt;&gt;""),OR(N($BA$7)=0,BA41&lt;&gt;""),BE41&lt;&gt;""),
 _xlfn.XLOOKUP(BE41,'Helper 1'!$B$3:$B$43,'Helper 1'!$D$3:$D$43,,-1),"")))</f>
      </c>
      <c r="BG41" s="374">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2" ht="15.95" customHeight="1" spans="2:59" x14ac:dyDescent="0.25">
      <c r="B42" s="305">
        <v>34</v>
      </c>
      <c r="C42" s="375">
        <f>IF('Data Input'!M40="","",'Data Input'!M40)</f>
      </c>
      <c r="D42" s="376">
        <f>IF(ISBLANK('Data Input'!N40),"",PROPER('Data Input'!N40))</f>
      </c>
      <c r="E42" s="377"/>
      <c r="F42" s="377"/>
      <c r="G42" s="377"/>
      <c r="H42" s="377"/>
      <c r="I42" s="377"/>
      <c r="J42" s="377"/>
      <c r="K42" s="377"/>
      <c r="L42" s="377"/>
      <c r="M42" s="377"/>
      <c r="N42" s="377"/>
      <c r="O42" s="377"/>
      <c r="P42" s="377"/>
      <c r="Q42" s="377"/>
      <c r="R42" s="377"/>
      <c r="S42" s="377"/>
      <c r="T42" s="377"/>
      <c r="U42" s="378"/>
      <c r="V42" s="378"/>
      <c r="W42" s="378"/>
      <c r="X42" s="378"/>
      <c r="Y42" s="216">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2" s="381">
        <f t="shared" si="0"/>
      </c>
      <c r="AA42" s="382">
        <f t="shared" si="1"/>
      </c>
      <c r="AB42" s="379"/>
      <c r="AC42" s="377"/>
      <c r="AD42" s="377"/>
      <c r="AE42" s="377"/>
      <c r="AF42" s="377"/>
      <c r="AG42" s="377"/>
      <c r="AH42" s="377"/>
      <c r="AI42" s="377"/>
      <c r="AJ42" s="377"/>
      <c r="AK42" s="377"/>
      <c r="AL42" s="377"/>
      <c r="AM42" s="377"/>
      <c r="AN42" s="377"/>
      <c r="AO42" s="378"/>
      <c r="AP42" s="378"/>
      <c r="AQ42" s="216">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2" s="381">
        <f t="shared" si="2"/>
      </c>
      <c r="AS42" s="382">
        <f t="shared" si="3"/>
      </c>
      <c r="AT42" s="377"/>
      <c r="AU42" s="378"/>
      <c r="AV42" s="383"/>
      <c r="AW42" s="362">
        <f t="shared" si="4"/>
      </c>
      <c r="AX42" s="362">
        <f t="shared" si="5"/>
      </c>
      <c r="AY42" s="362">
        <f t="shared" si="6"/>
      </c>
      <c r="AZ42" s="381">
        <f t="shared" si="7"/>
      </c>
      <c r="BA42" s="384">
        <f t="shared" si="8"/>
      </c>
      <c r="BB42" s="429"/>
      <c r="BC42" s="362">
        <f t="shared" si="9"/>
      </c>
      <c r="BD42" s="430">
        <f t="shared" si="10"/>
      </c>
      <c r="BE42" s="372">
        <f t="shared" si="11"/>
      </c>
      <c r="BF42" s="373">
        <f>IF(OR(AA42="Error",AS42="Error",BA42="Error",BD42="Error"),"Error",
 IF(D42="","",
 IF(AND(N($AA$6)+N($AS$6)+N($BA$7)=100%,
 OR(N($AA$6)=0,AA42&lt;&gt;""),OR(N($AS$6)=0,AS42&lt;&gt;""),OR(N($BA$7)=0,BA42&lt;&gt;""),BE42&lt;&gt;""),
 _xlfn.XLOOKUP(BE42,'Helper 1'!$B$3:$B$43,'Helper 1'!$D$3:$D$43,,-1),"")))</f>
      </c>
      <c r="BG42" s="374">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3" ht="15.95" customHeight="1" spans="2:59" x14ac:dyDescent="0.25">
      <c r="B43" s="305">
        <v>35</v>
      </c>
      <c r="C43" s="375">
        <f>IF('Data Input'!M41="","",'Data Input'!M41)</f>
      </c>
      <c r="D43" s="376">
        <f>IF(ISBLANK('Data Input'!N41),"",PROPER('Data Input'!N41))</f>
      </c>
      <c r="E43" s="377"/>
      <c r="F43" s="377"/>
      <c r="G43" s="377"/>
      <c r="H43" s="377"/>
      <c r="I43" s="377"/>
      <c r="J43" s="377"/>
      <c r="K43" s="377"/>
      <c r="L43" s="377"/>
      <c r="M43" s="377"/>
      <c r="N43" s="377"/>
      <c r="O43" s="377"/>
      <c r="P43" s="377"/>
      <c r="Q43" s="377"/>
      <c r="R43" s="377"/>
      <c r="S43" s="377"/>
      <c r="T43" s="377"/>
      <c r="U43" s="378"/>
      <c r="V43" s="378"/>
      <c r="W43" s="378"/>
      <c r="X43" s="378"/>
      <c r="Y43" s="216">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3" s="381">
        <f t="shared" si="0"/>
      </c>
      <c r="AA43" s="382">
        <f t="shared" si="1"/>
      </c>
      <c r="AB43" s="379"/>
      <c r="AC43" s="377"/>
      <c r="AD43" s="377"/>
      <c r="AE43" s="377"/>
      <c r="AF43" s="377"/>
      <c r="AG43" s="377"/>
      <c r="AH43" s="377"/>
      <c r="AI43" s="377"/>
      <c r="AJ43" s="377"/>
      <c r="AK43" s="377"/>
      <c r="AL43" s="377"/>
      <c r="AM43" s="377"/>
      <c r="AN43" s="377"/>
      <c r="AO43" s="378"/>
      <c r="AP43" s="378"/>
      <c r="AQ43" s="216">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3" s="381">
        <f t="shared" si="2"/>
      </c>
      <c r="AS43" s="382">
        <f t="shared" si="3"/>
      </c>
      <c r="AT43" s="377"/>
      <c r="AU43" s="378"/>
      <c r="AV43" s="383"/>
      <c r="AW43" s="362">
        <f t="shared" si="4"/>
      </c>
      <c r="AX43" s="362">
        <f t="shared" si="5"/>
      </c>
      <c r="AY43" s="362">
        <f t="shared" si="6"/>
      </c>
      <c r="AZ43" s="381">
        <f t="shared" si="7"/>
      </c>
      <c r="BA43" s="384">
        <f t="shared" si="8"/>
      </c>
      <c r="BB43" s="429"/>
      <c r="BC43" s="362">
        <f t="shared" si="9"/>
      </c>
      <c r="BD43" s="430">
        <f t="shared" si="10"/>
      </c>
      <c r="BE43" s="372">
        <f t="shared" si="11"/>
      </c>
      <c r="BF43" s="373">
        <f>IF(OR(AA43="Error",AS43="Error",BA43="Error",BD43="Error"),"Error",
 IF(D43="","",
 IF(AND(N($AA$6)+N($AS$6)+N($BA$7)=100%,
 OR(N($AA$6)=0,AA43&lt;&gt;""),OR(N($AS$6)=0,AS43&lt;&gt;""),OR(N($BA$7)=0,BA43&lt;&gt;""),BE43&lt;&gt;""),
 _xlfn.XLOOKUP(BE43,'Helper 1'!$B$3:$B$43,'Helper 1'!$D$3:$D$43,,-1),"")))</f>
      </c>
      <c r="BG43" s="374">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4" ht="15.95" customHeight="1" spans="2:59" x14ac:dyDescent="0.25">
      <c r="B44" s="305">
        <v>36</v>
      </c>
      <c r="C44" s="375">
        <f>IF('Data Input'!M42="","",'Data Input'!M42)</f>
      </c>
      <c r="D44" s="376">
        <f>IF(ISBLANK('Data Input'!N42),"",PROPER('Data Input'!N42))</f>
      </c>
      <c r="E44" s="377"/>
      <c r="F44" s="377"/>
      <c r="G44" s="377"/>
      <c r="H44" s="377"/>
      <c r="I44" s="377"/>
      <c r="J44" s="377"/>
      <c r="K44" s="377"/>
      <c r="L44" s="377"/>
      <c r="M44" s="377"/>
      <c r="N44" s="377"/>
      <c r="O44" s="377"/>
      <c r="P44" s="377"/>
      <c r="Q44" s="377"/>
      <c r="R44" s="377"/>
      <c r="S44" s="377"/>
      <c r="T44" s="377"/>
      <c r="U44" s="378"/>
      <c r="V44" s="378"/>
      <c r="W44" s="378"/>
      <c r="X44" s="378"/>
      <c r="Y44" s="216">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4" s="381">
        <f t="shared" si="0"/>
      </c>
      <c r="AA44" s="382">
        <f t="shared" si="1"/>
      </c>
      <c r="AB44" s="379"/>
      <c r="AC44" s="377"/>
      <c r="AD44" s="377"/>
      <c r="AE44" s="377"/>
      <c r="AF44" s="377"/>
      <c r="AG44" s="377"/>
      <c r="AH44" s="377"/>
      <c r="AI44" s="377"/>
      <c r="AJ44" s="377"/>
      <c r="AK44" s="377"/>
      <c r="AL44" s="377"/>
      <c r="AM44" s="377"/>
      <c r="AN44" s="377"/>
      <c r="AO44" s="378"/>
      <c r="AP44" s="378"/>
      <c r="AQ44" s="216">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4" s="381">
        <f t="shared" si="2"/>
      </c>
      <c r="AS44" s="382">
        <f t="shared" si="3"/>
      </c>
      <c r="AT44" s="377"/>
      <c r="AU44" s="378"/>
      <c r="AV44" s="383"/>
      <c r="AW44" s="362">
        <f t="shared" si="4"/>
      </c>
      <c r="AX44" s="362">
        <f t="shared" si="5"/>
      </c>
      <c r="AY44" s="362">
        <f t="shared" si="6"/>
      </c>
      <c r="AZ44" s="381">
        <f t="shared" si="7"/>
      </c>
      <c r="BA44" s="384">
        <f t="shared" si="8"/>
      </c>
      <c r="BB44" s="429"/>
      <c r="BC44" s="362">
        <f t="shared" si="9"/>
      </c>
      <c r="BD44" s="430">
        <f t="shared" si="10"/>
      </c>
      <c r="BE44" s="372">
        <f t="shared" si="11"/>
      </c>
      <c r="BF44" s="373">
        <f>IF(OR(AA44="Error",AS44="Error",BA44="Error",BD44="Error"),"Error",
 IF(D44="","",
 IF(AND(N($AA$6)+N($AS$6)+N($BA$7)=100%,
 OR(N($AA$6)=0,AA44&lt;&gt;""),OR(N($AS$6)=0,AS44&lt;&gt;""),OR(N($BA$7)=0,BA44&lt;&gt;""),BE44&lt;&gt;""),
 _xlfn.XLOOKUP(BE44,'Helper 1'!$B$3:$B$43,'Helper 1'!$D$3:$D$43,,-1),"")))</f>
      </c>
      <c r="BG44" s="374">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5" ht="15.95" customHeight="1" spans="2:59" x14ac:dyDescent="0.25">
      <c r="B45" s="305">
        <v>37</v>
      </c>
      <c r="C45" s="375">
        <f>IF('Data Input'!M43="","",'Data Input'!M43)</f>
      </c>
      <c r="D45" s="376">
        <f>IF(ISBLANK('Data Input'!N43),"",PROPER('Data Input'!N43))</f>
      </c>
      <c r="E45" s="377"/>
      <c r="F45" s="377"/>
      <c r="G45" s="377"/>
      <c r="H45" s="377"/>
      <c r="I45" s="377"/>
      <c r="J45" s="377"/>
      <c r="K45" s="377"/>
      <c r="L45" s="377"/>
      <c r="M45" s="377"/>
      <c r="N45" s="377"/>
      <c r="O45" s="377"/>
      <c r="P45" s="377"/>
      <c r="Q45" s="377"/>
      <c r="R45" s="377"/>
      <c r="S45" s="377"/>
      <c r="T45" s="377"/>
      <c r="U45" s="378"/>
      <c r="V45" s="378"/>
      <c r="W45" s="378"/>
      <c r="X45" s="378"/>
      <c r="Y45" s="216">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5" s="381">
        <f t="shared" si="0"/>
      </c>
      <c r="AA45" s="382">
        <f t="shared" si="1"/>
      </c>
      <c r="AB45" s="379"/>
      <c r="AC45" s="377"/>
      <c r="AD45" s="377"/>
      <c r="AE45" s="377"/>
      <c r="AF45" s="377"/>
      <c r="AG45" s="377"/>
      <c r="AH45" s="377"/>
      <c r="AI45" s="377"/>
      <c r="AJ45" s="377"/>
      <c r="AK45" s="377"/>
      <c r="AL45" s="377"/>
      <c r="AM45" s="377"/>
      <c r="AN45" s="377"/>
      <c r="AO45" s="378"/>
      <c r="AP45" s="378"/>
      <c r="AQ45" s="216">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5" s="381">
        <f t="shared" si="2"/>
      </c>
      <c r="AS45" s="382">
        <f t="shared" si="3"/>
      </c>
      <c r="AT45" s="377"/>
      <c r="AU45" s="378"/>
      <c r="AV45" s="383"/>
      <c r="AW45" s="362">
        <f t="shared" si="4"/>
      </c>
      <c r="AX45" s="362">
        <f t="shared" si="5"/>
      </c>
      <c r="AY45" s="362">
        <f t="shared" si="6"/>
      </c>
      <c r="AZ45" s="381">
        <f t="shared" si="7"/>
      </c>
      <c r="BA45" s="384">
        <f t="shared" si="8"/>
      </c>
      <c r="BB45" s="429"/>
      <c r="BC45" s="362">
        <f t="shared" si="9"/>
      </c>
      <c r="BD45" s="430">
        <f t="shared" si="10"/>
      </c>
      <c r="BE45" s="372">
        <f t="shared" si="11"/>
      </c>
      <c r="BF45" s="373">
        <f>IF(OR(AA45="Error",AS45="Error",BA45="Error",BD45="Error"),"Error",
 IF(D45="","",
 IF(AND(N($AA$6)+N($AS$6)+N($BA$7)=100%,
 OR(N($AA$6)=0,AA45&lt;&gt;""),OR(N($AS$6)=0,AS45&lt;&gt;""),OR(N($BA$7)=0,BA45&lt;&gt;""),BE45&lt;&gt;""),
 _xlfn.XLOOKUP(BE45,'Helper 1'!$B$3:$B$43,'Helper 1'!$D$3:$D$43,,-1),"")))</f>
      </c>
      <c r="BG45" s="374">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6" ht="15.95" customHeight="1" spans="2:59" x14ac:dyDescent="0.25">
      <c r="B46" s="305">
        <v>38</v>
      </c>
      <c r="C46" s="375">
        <f>IF('Data Input'!M44="","",'Data Input'!M44)</f>
      </c>
      <c r="D46" s="376">
        <f>IF(ISBLANK('Data Input'!N44),"",PROPER('Data Input'!N44))</f>
      </c>
      <c r="E46" s="377"/>
      <c r="F46" s="377"/>
      <c r="G46" s="377"/>
      <c r="H46" s="377"/>
      <c r="I46" s="377"/>
      <c r="J46" s="377"/>
      <c r="K46" s="377"/>
      <c r="L46" s="377"/>
      <c r="M46" s="377"/>
      <c r="N46" s="377"/>
      <c r="O46" s="377"/>
      <c r="P46" s="377"/>
      <c r="Q46" s="377"/>
      <c r="R46" s="377"/>
      <c r="S46" s="377"/>
      <c r="T46" s="377"/>
      <c r="U46" s="378"/>
      <c r="V46" s="378"/>
      <c r="W46" s="378"/>
      <c r="X46" s="378"/>
      <c r="Y46" s="216">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6" s="381">
        <f t="shared" si="0"/>
      </c>
      <c r="AA46" s="382">
        <f t="shared" si="1"/>
      </c>
      <c r="AB46" s="379"/>
      <c r="AC46" s="377"/>
      <c r="AD46" s="377"/>
      <c r="AE46" s="377"/>
      <c r="AF46" s="377"/>
      <c r="AG46" s="377"/>
      <c r="AH46" s="377"/>
      <c r="AI46" s="377"/>
      <c r="AJ46" s="377"/>
      <c r="AK46" s="377"/>
      <c r="AL46" s="377"/>
      <c r="AM46" s="377"/>
      <c r="AN46" s="377"/>
      <c r="AO46" s="378"/>
      <c r="AP46" s="378"/>
      <c r="AQ46" s="216">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6" s="381">
        <f t="shared" si="2"/>
      </c>
      <c r="AS46" s="382">
        <f t="shared" si="3"/>
      </c>
      <c r="AT46" s="377"/>
      <c r="AU46" s="378"/>
      <c r="AV46" s="383"/>
      <c r="AW46" s="362">
        <f t="shared" si="4"/>
      </c>
      <c r="AX46" s="362">
        <f t="shared" si="5"/>
      </c>
      <c r="AY46" s="362">
        <f t="shared" si="6"/>
      </c>
      <c r="AZ46" s="381">
        <f t="shared" si="7"/>
      </c>
      <c r="BA46" s="384">
        <f t="shared" si="8"/>
      </c>
      <c r="BB46" s="429"/>
      <c r="BC46" s="362">
        <f t="shared" si="9"/>
      </c>
      <c r="BD46" s="430">
        <f t="shared" si="10"/>
      </c>
      <c r="BE46" s="372">
        <f t="shared" si="11"/>
      </c>
      <c r="BF46" s="373">
        <f>IF(OR(AA46="Error",AS46="Error",BA46="Error",BD46="Error"),"Error",
 IF(D46="","",
 IF(AND(N($AA$6)+N($AS$6)+N($BA$7)=100%,
 OR(N($AA$6)=0,AA46&lt;&gt;""),OR(N($AS$6)=0,AS46&lt;&gt;""),OR(N($BA$7)=0,BA46&lt;&gt;""),BE46&lt;&gt;""),
 _xlfn.XLOOKUP(BE46,'Helper 1'!$B$3:$B$43,'Helper 1'!$D$3:$D$43,,-1),"")))</f>
      </c>
      <c r="BG46" s="374">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7" ht="15.95" customHeight="1" spans="2:59" x14ac:dyDescent="0.25">
      <c r="B47" s="305">
        <v>39</v>
      </c>
      <c r="C47" s="375">
        <f>IF('Data Input'!M45="","",'Data Input'!M45)</f>
      </c>
      <c r="D47" s="376">
        <f>IF(ISBLANK('Data Input'!N45),"",PROPER('Data Input'!N45))</f>
      </c>
      <c r="E47" s="377"/>
      <c r="F47" s="377"/>
      <c r="G47" s="377"/>
      <c r="H47" s="377"/>
      <c r="I47" s="377"/>
      <c r="J47" s="377"/>
      <c r="K47" s="377"/>
      <c r="L47" s="377"/>
      <c r="M47" s="377"/>
      <c r="N47" s="377"/>
      <c r="O47" s="377"/>
      <c r="P47" s="377"/>
      <c r="Q47" s="377"/>
      <c r="R47" s="377"/>
      <c r="S47" s="377"/>
      <c r="T47" s="377"/>
      <c r="U47" s="378"/>
      <c r="V47" s="378"/>
      <c r="W47" s="378"/>
      <c r="X47" s="378"/>
      <c r="Y47" s="216">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7" s="381">
        <f t="shared" si="0"/>
      </c>
      <c r="AA47" s="382">
        <f t="shared" si="1"/>
      </c>
      <c r="AB47" s="379"/>
      <c r="AC47" s="377"/>
      <c r="AD47" s="377"/>
      <c r="AE47" s="377"/>
      <c r="AF47" s="377"/>
      <c r="AG47" s="377"/>
      <c r="AH47" s="377"/>
      <c r="AI47" s="377"/>
      <c r="AJ47" s="377"/>
      <c r="AK47" s="377"/>
      <c r="AL47" s="377"/>
      <c r="AM47" s="377"/>
      <c r="AN47" s="377"/>
      <c r="AO47" s="378"/>
      <c r="AP47" s="378"/>
      <c r="AQ47" s="216">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7" s="381">
        <f t="shared" si="2"/>
      </c>
      <c r="AS47" s="382">
        <f t="shared" si="3"/>
      </c>
      <c r="AT47" s="377"/>
      <c r="AU47" s="378"/>
      <c r="AV47" s="383"/>
      <c r="AW47" s="362">
        <f t="shared" si="4"/>
      </c>
      <c r="AX47" s="362">
        <f t="shared" si="5"/>
      </c>
      <c r="AY47" s="362">
        <f t="shared" si="6"/>
      </c>
      <c r="AZ47" s="381">
        <f t="shared" si="7"/>
      </c>
      <c r="BA47" s="384">
        <f t="shared" si="8"/>
      </c>
      <c r="BB47" s="429"/>
      <c r="BC47" s="362">
        <f t="shared" si="9"/>
      </c>
      <c r="BD47" s="430">
        <f t="shared" si="10"/>
      </c>
      <c r="BE47" s="372">
        <f t="shared" si="11"/>
      </c>
      <c r="BF47" s="373">
        <f>IF(OR(AA47="Error",AS47="Error",BA47="Error",BD47="Error"),"Error",
 IF(D47="","",
 IF(AND(N($AA$6)+N($AS$6)+N($BA$7)=100%,
 OR(N($AA$6)=0,AA47&lt;&gt;""),OR(N($AS$6)=0,AS47&lt;&gt;""),OR(N($BA$7)=0,BA47&lt;&gt;""),BE47&lt;&gt;""),
 _xlfn.XLOOKUP(BE47,'Helper 1'!$B$3:$B$43,'Helper 1'!$D$3:$D$43,,-1),"")))</f>
      </c>
      <c r="BG47" s="374">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8" ht="15.95" customHeight="1" spans="2:59" x14ac:dyDescent="0.25">
      <c r="B48" s="305">
        <v>40</v>
      </c>
      <c r="C48" s="375">
        <f>IF('Data Input'!M46="","",'Data Input'!M46)</f>
      </c>
      <c r="D48" s="376">
        <f>IF(ISBLANK('Data Input'!N46),"",PROPER('Data Input'!N46))</f>
      </c>
      <c r="E48" s="377"/>
      <c r="F48" s="377"/>
      <c r="G48" s="377"/>
      <c r="H48" s="377"/>
      <c r="I48" s="377"/>
      <c r="J48" s="377"/>
      <c r="K48" s="377"/>
      <c r="L48" s="377"/>
      <c r="M48" s="377"/>
      <c r="N48" s="377"/>
      <c r="O48" s="377"/>
      <c r="P48" s="377"/>
      <c r="Q48" s="377"/>
      <c r="R48" s="377"/>
      <c r="S48" s="377"/>
      <c r="T48" s="377"/>
      <c r="U48" s="378"/>
      <c r="V48" s="378"/>
      <c r="W48" s="378"/>
      <c r="X48" s="378"/>
      <c r="Y48" s="216">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8" s="381">
        <f t="shared" si="0"/>
      </c>
      <c r="AA48" s="382">
        <f t="shared" si="1"/>
      </c>
      <c r="AB48" s="379"/>
      <c r="AC48" s="377"/>
      <c r="AD48" s="377"/>
      <c r="AE48" s="377"/>
      <c r="AF48" s="377"/>
      <c r="AG48" s="377"/>
      <c r="AH48" s="377"/>
      <c r="AI48" s="377"/>
      <c r="AJ48" s="377"/>
      <c r="AK48" s="377"/>
      <c r="AL48" s="377"/>
      <c r="AM48" s="377"/>
      <c r="AN48" s="377"/>
      <c r="AO48" s="378"/>
      <c r="AP48" s="378"/>
      <c r="AQ48" s="216">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8" s="381">
        <f t="shared" si="2"/>
      </c>
      <c r="AS48" s="382">
        <f t="shared" si="3"/>
      </c>
      <c r="AT48" s="377"/>
      <c r="AU48" s="378"/>
      <c r="AV48" s="383"/>
      <c r="AW48" s="362">
        <f t="shared" si="4"/>
      </c>
      <c r="AX48" s="362">
        <f t="shared" si="5"/>
      </c>
      <c r="AY48" s="362">
        <f t="shared" si="6"/>
      </c>
      <c r="AZ48" s="381">
        <f t="shared" si="7"/>
      </c>
      <c r="BA48" s="384">
        <f t="shared" si="8"/>
      </c>
      <c r="BB48" s="429"/>
      <c r="BC48" s="362">
        <f t="shared" si="9"/>
      </c>
      <c r="BD48" s="430">
        <f t="shared" si="10"/>
      </c>
      <c r="BE48" s="372">
        <f t="shared" si="11"/>
      </c>
      <c r="BF48" s="373">
        <f>IF(OR(AA48="Error",AS48="Error",BA48="Error",BD48="Error"),"Error",
 IF(D48="","",
 IF(AND(N($AA$6)+N($AS$6)+N($BA$7)=100%,
 OR(N($AA$6)=0,AA48&lt;&gt;""),OR(N($AS$6)=0,AS48&lt;&gt;""),OR(N($BA$7)=0,BA48&lt;&gt;""),BE48&lt;&gt;""),
 _xlfn.XLOOKUP(BE48,'Helper 1'!$B$3:$B$43,'Helper 1'!$D$3:$D$43,,-1),"")))</f>
      </c>
      <c r="BG48" s="374">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49" ht="15.95" customHeight="1" spans="2:59" x14ac:dyDescent="0.25">
      <c r="B49" s="305">
        <v>41</v>
      </c>
      <c r="C49" s="375">
        <f>IF('Data Input'!M47="","",'Data Input'!M47)</f>
      </c>
      <c r="D49" s="376">
        <f>IF(ISBLANK('Data Input'!N47),"",PROPER('Data Input'!N47))</f>
      </c>
      <c r="E49" s="377"/>
      <c r="F49" s="377"/>
      <c r="G49" s="377"/>
      <c r="H49" s="377"/>
      <c r="I49" s="377"/>
      <c r="J49" s="377"/>
      <c r="K49" s="377"/>
      <c r="L49" s="377"/>
      <c r="M49" s="377"/>
      <c r="N49" s="377"/>
      <c r="O49" s="377"/>
      <c r="P49" s="377"/>
      <c r="Q49" s="377"/>
      <c r="R49" s="377"/>
      <c r="S49" s="377"/>
      <c r="T49" s="377"/>
      <c r="U49" s="378"/>
      <c r="V49" s="378"/>
      <c r="W49" s="378"/>
      <c r="X49" s="378"/>
      <c r="Y49" s="216">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49" s="381">
        <f t="shared" si="0"/>
      </c>
      <c r="AA49" s="382">
        <f t="shared" si="1"/>
      </c>
      <c r="AB49" s="379"/>
      <c r="AC49" s="377"/>
      <c r="AD49" s="377"/>
      <c r="AE49" s="377"/>
      <c r="AF49" s="377"/>
      <c r="AG49" s="377"/>
      <c r="AH49" s="377"/>
      <c r="AI49" s="377"/>
      <c r="AJ49" s="377"/>
      <c r="AK49" s="377"/>
      <c r="AL49" s="377"/>
      <c r="AM49" s="377"/>
      <c r="AN49" s="377"/>
      <c r="AO49" s="378"/>
      <c r="AP49" s="378"/>
      <c r="AQ49" s="216">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49" s="381">
        <f t="shared" si="2"/>
      </c>
      <c r="AS49" s="382">
        <f t="shared" si="3"/>
      </c>
      <c r="AT49" s="377"/>
      <c r="AU49" s="378"/>
      <c r="AV49" s="383"/>
      <c r="AW49" s="362">
        <f t="shared" si="4"/>
      </c>
      <c r="AX49" s="362">
        <f t="shared" si="5"/>
      </c>
      <c r="AY49" s="362">
        <f t="shared" si="6"/>
      </c>
      <c r="AZ49" s="381">
        <f t="shared" si="7"/>
      </c>
      <c r="BA49" s="384">
        <f t="shared" si="8"/>
      </c>
      <c r="BB49" s="429"/>
      <c r="BC49" s="362">
        <f t="shared" si="9"/>
      </c>
      <c r="BD49" s="430">
        <f t="shared" si="10"/>
      </c>
      <c r="BE49" s="372">
        <f t="shared" si="11"/>
      </c>
      <c r="BF49" s="373">
        <f>IF(OR(AA49="Error",AS49="Error",BA49="Error",BD49="Error"),"Error",
 IF(D49="","",
 IF(AND(N($AA$6)+N($AS$6)+N($BA$7)=100%,
 OR(N($AA$6)=0,AA49&lt;&gt;""),OR(N($AS$6)=0,AS49&lt;&gt;""),OR(N($BA$7)=0,BA49&lt;&gt;""),BE49&lt;&gt;""),
 _xlfn.XLOOKUP(BE49,'Helper 1'!$B$3:$B$43,'Helper 1'!$D$3:$D$43,,-1),"")))</f>
      </c>
      <c r="BG49" s="374">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0" ht="15.95" customHeight="1" spans="2:59" x14ac:dyDescent="0.25">
      <c r="B50" s="305">
        <v>42</v>
      </c>
      <c r="C50" s="375">
        <f>IF('Data Input'!M48="","",'Data Input'!M48)</f>
      </c>
      <c r="D50" s="376">
        <f>IF(ISBLANK('Data Input'!N48),"",PROPER('Data Input'!N48))</f>
      </c>
      <c r="E50" s="377"/>
      <c r="F50" s="377"/>
      <c r="G50" s="377"/>
      <c r="H50" s="377"/>
      <c r="I50" s="377"/>
      <c r="J50" s="377"/>
      <c r="K50" s="377"/>
      <c r="L50" s="377"/>
      <c r="M50" s="377"/>
      <c r="N50" s="377"/>
      <c r="O50" s="377"/>
      <c r="P50" s="377"/>
      <c r="Q50" s="377"/>
      <c r="R50" s="377"/>
      <c r="S50" s="377"/>
      <c r="T50" s="377"/>
      <c r="U50" s="378"/>
      <c r="V50" s="378"/>
      <c r="W50" s="378"/>
      <c r="X50" s="378"/>
      <c r="Y50" s="216">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0" s="381">
        <f t="shared" si="0"/>
      </c>
      <c r="AA50" s="382">
        <f t="shared" si="1"/>
      </c>
      <c r="AB50" s="379"/>
      <c r="AC50" s="377"/>
      <c r="AD50" s="377"/>
      <c r="AE50" s="377"/>
      <c r="AF50" s="377"/>
      <c r="AG50" s="377"/>
      <c r="AH50" s="377"/>
      <c r="AI50" s="377"/>
      <c r="AJ50" s="377"/>
      <c r="AK50" s="377"/>
      <c r="AL50" s="377"/>
      <c r="AM50" s="377"/>
      <c r="AN50" s="377"/>
      <c r="AO50" s="378"/>
      <c r="AP50" s="378"/>
      <c r="AQ50" s="216">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0" s="381">
        <f t="shared" si="2"/>
      </c>
      <c r="AS50" s="382">
        <f t="shared" si="3"/>
      </c>
      <c r="AT50" s="377"/>
      <c r="AU50" s="378"/>
      <c r="AV50" s="383"/>
      <c r="AW50" s="362">
        <f t="shared" si="4"/>
      </c>
      <c r="AX50" s="362">
        <f t="shared" si="5"/>
      </c>
      <c r="AY50" s="362">
        <f t="shared" si="6"/>
      </c>
      <c r="AZ50" s="381">
        <f t="shared" si="7"/>
      </c>
      <c r="BA50" s="384">
        <f t="shared" si="8"/>
      </c>
      <c r="BB50" s="429"/>
      <c r="BC50" s="362">
        <f t="shared" si="9"/>
      </c>
      <c r="BD50" s="430">
        <f t="shared" si="10"/>
      </c>
      <c r="BE50" s="372">
        <f t="shared" si="11"/>
      </c>
      <c r="BF50" s="373">
        <f>IF(OR(AA50="Error",AS50="Error",BA50="Error",BD50="Error"),"Error",
 IF(D50="","",
 IF(AND(N($AA$6)+N($AS$6)+N($BA$7)=100%,
 OR(N($AA$6)=0,AA50&lt;&gt;""),OR(N($AS$6)=0,AS50&lt;&gt;""),OR(N($BA$7)=0,BA50&lt;&gt;""),BE50&lt;&gt;""),
 _xlfn.XLOOKUP(BE50,'Helper 1'!$B$3:$B$43,'Helper 1'!$D$3:$D$43,,-1),"")))</f>
      </c>
      <c r="BG50" s="374">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1" ht="15.95" customHeight="1" spans="2:59" x14ac:dyDescent="0.25">
      <c r="B51" s="305">
        <v>43</v>
      </c>
      <c r="C51" s="375">
        <f>IF('Data Input'!M49="","",'Data Input'!M49)</f>
      </c>
      <c r="D51" s="376">
        <f>IF(ISBLANK('Data Input'!N49),"",PROPER('Data Input'!N49))</f>
      </c>
      <c r="E51" s="377"/>
      <c r="F51" s="377"/>
      <c r="G51" s="377"/>
      <c r="H51" s="377"/>
      <c r="I51" s="377"/>
      <c r="J51" s="377"/>
      <c r="K51" s="377"/>
      <c r="L51" s="377"/>
      <c r="M51" s="377"/>
      <c r="N51" s="377"/>
      <c r="O51" s="377"/>
      <c r="P51" s="377"/>
      <c r="Q51" s="377"/>
      <c r="R51" s="377"/>
      <c r="S51" s="377"/>
      <c r="T51" s="377"/>
      <c r="U51" s="378"/>
      <c r="V51" s="378"/>
      <c r="W51" s="378"/>
      <c r="X51" s="378"/>
      <c r="Y51" s="216">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1" s="381">
        <f t="shared" si="0"/>
      </c>
      <c r="AA51" s="382">
        <f t="shared" si="1"/>
      </c>
      <c r="AB51" s="379"/>
      <c r="AC51" s="377"/>
      <c r="AD51" s="377"/>
      <c r="AE51" s="377"/>
      <c r="AF51" s="377"/>
      <c r="AG51" s="377"/>
      <c r="AH51" s="377"/>
      <c r="AI51" s="377"/>
      <c r="AJ51" s="377"/>
      <c r="AK51" s="377"/>
      <c r="AL51" s="377"/>
      <c r="AM51" s="377"/>
      <c r="AN51" s="377"/>
      <c r="AO51" s="378"/>
      <c r="AP51" s="378"/>
      <c r="AQ51" s="216">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1" s="381">
        <f t="shared" si="2"/>
      </c>
      <c r="AS51" s="382">
        <f t="shared" si="3"/>
      </c>
      <c r="AT51" s="377"/>
      <c r="AU51" s="378"/>
      <c r="AV51" s="383"/>
      <c r="AW51" s="362">
        <f t="shared" si="4"/>
      </c>
      <c r="AX51" s="362">
        <f t="shared" si="5"/>
      </c>
      <c r="AY51" s="362">
        <f t="shared" si="6"/>
      </c>
      <c r="AZ51" s="381">
        <f t="shared" si="7"/>
      </c>
      <c r="BA51" s="384">
        <f t="shared" si="8"/>
      </c>
      <c r="BB51" s="429"/>
      <c r="BC51" s="362">
        <f t="shared" si="9"/>
      </c>
      <c r="BD51" s="430">
        <f t="shared" si="10"/>
      </c>
      <c r="BE51" s="372">
        <f t="shared" si="11"/>
      </c>
      <c r="BF51" s="373">
        <f>IF(OR(AA51="Error",AS51="Error",BA51="Error",BD51="Error"),"Error",
 IF(D51="","",
 IF(AND(N($AA$6)+N($AS$6)+N($BA$7)=100%,
 OR(N($AA$6)=0,AA51&lt;&gt;""),OR(N($AS$6)=0,AS51&lt;&gt;""),OR(N($BA$7)=0,BA51&lt;&gt;""),BE51&lt;&gt;""),
 _xlfn.XLOOKUP(BE51,'Helper 1'!$B$3:$B$43,'Helper 1'!$D$3:$D$43,,-1),"")))</f>
      </c>
      <c r="BG51" s="374">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2" ht="15.95" customHeight="1" spans="2:59" x14ac:dyDescent="0.25">
      <c r="B52" s="305">
        <v>44</v>
      </c>
      <c r="C52" s="375">
        <f>IF('Data Input'!M50="","",'Data Input'!M50)</f>
      </c>
      <c r="D52" s="376">
        <f>IF(ISBLANK('Data Input'!N50),"",PROPER('Data Input'!N50))</f>
      </c>
      <c r="E52" s="377"/>
      <c r="F52" s="377"/>
      <c r="G52" s="377"/>
      <c r="H52" s="377"/>
      <c r="I52" s="377"/>
      <c r="J52" s="377"/>
      <c r="K52" s="377"/>
      <c r="L52" s="377"/>
      <c r="M52" s="377"/>
      <c r="N52" s="377"/>
      <c r="O52" s="377"/>
      <c r="P52" s="377"/>
      <c r="Q52" s="377"/>
      <c r="R52" s="377"/>
      <c r="S52" s="377"/>
      <c r="T52" s="377"/>
      <c r="U52" s="378"/>
      <c r="V52" s="378"/>
      <c r="W52" s="378"/>
      <c r="X52" s="378"/>
      <c r="Y52" s="216">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2" s="381">
        <f t="shared" si="0"/>
      </c>
      <c r="AA52" s="382">
        <f t="shared" si="1"/>
      </c>
      <c r="AB52" s="379"/>
      <c r="AC52" s="377"/>
      <c r="AD52" s="377"/>
      <c r="AE52" s="377"/>
      <c r="AF52" s="377"/>
      <c r="AG52" s="377"/>
      <c r="AH52" s="377"/>
      <c r="AI52" s="377"/>
      <c r="AJ52" s="377"/>
      <c r="AK52" s="377"/>
      <c r="AL52" s="377"/>
      <c r="AM52" s="377"/>
      <c r="AN52" s="377"/>
      <c r="AO52" s="378"/>
      <c r="AP52" s="378"/>
      <c r="AQ52" s="216">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2" s="381">
        <f t="shared" si="2"/>
      </c>
      <c r="AS52" s="382">
        <f t="shared" si="3"/>
      </c>
      <c r="AT52" s="377"/>
      <c r="AU52" s="378"/>
      <c r="AV52" s="383"/>
      <c r="AW52" s="362">
        <f t="shared" si="4"/>
      </c>
      <c r="AX52" s="362">
        <f t="shared" si="5"/>
      </c>
      <c r="AY52" s="362">
        <f t="shared" si="6"/>
      </c>
      <c r="AZ52" s="381">
        <f t="shared" si="7"/>
      </c>
      <c r="BA52" s="384">
        <f t="shared" si="8"/>
      </c>
      <c r="BB52" s="429"/>
      <c r="BC52" s="362">
        <f t="shared" si="9"/>
      </c>
      <c r="BD52" s="430">
        <f t="shared" si="10"/>
      </c>
      <c r="BE52" s="372">
        <f t="shared" si="11"/>
      </c>
      <c r="BF52" s="373">
        <f>IF(OR(AA52="Error",AS52="Error",BA52="Error",BD52="Error"),"Error",
 IF(D52="","",
 IF(AND(N($AA$6)+N($AS$6)+N($BA$7)=100%,
 OR(N($AA$6)=0,AA52&lt;&gt;""),OR(N($AS$6)=0,AS52&lt;&gt;""),OR(N($BA$7)=0,BA52&lt;&gt;""),BE52&lt;&gt;""),
 _xlfn.XLOOKUP(BE52,'Helper 1'!$B$3:$B$43,'Helper 1'!$D$3:$D$43,,-1),"")))</f>
      </c>
      <c r="BG52" s="374">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3" ht="15.95" customHeight="1" spans="2:59" x14ac:dyDescent="0.25">
      <c r="B53" s="305">
        <v>45</v>
      </c>
      <c r="C53" s="375">
        <f>IF('Data Input'!M51="","",'Data Input'!M51)</f>
      </c>
      <c r="D53" s="376">
        <f>IF(ISBLANK('Data Input'!N51),"",PROPER('Data Input'!N51))</f>
      </c>
      <c r="E53" s="377"/>
      <c r="F53" s="377"/>
      <c r="G53" s="377"/>
      <c r="H53" s="377"/>
      <c r="I53" s="377"/>
      <c r="J53" s="377"/>
      <c r="K53" s="377"/>
      <c r="L53" s="377"/>
      <c r="M53" s="377"/>
      <c r="N53" s="377"/>
      <c r="O53" s="377"/>
      <c r="P53" s="377"/>
      <c r="Q53" s="377"/>
      <c r="R53" s="377"/>
      <c r="S53" s="377"/>
      <c r="T53" s="377"/>
      <c r="U53" s="378"/>
      <c r="V53" s="378"/>
      <c r="W53" s="378"/>
      <c r="X53" s="378"/>
      <c r="Y53" s="216">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3" s="381">
        <f t="shared" si="0"/>
      </c>
      <c r="AA53" s="382">
        <f t="shared" si="1"/>
      </c>
      <c r="AB53" s="379"/>
      <c r="AC53" s="377"/>
      <c r="AD53" s="377"/>
      <c r="AE53" s="377"/>
      <c r="AF53" s="377"/>
      <c r="AG53" s="377"/>
      <c r="AH53" s="377"/>
      <c r="AI53" s="377"/>
      <c r="AJ53" s="377"/>
      <c r="AK53" s="377"/>
      <c r="AL53" s="377"/>
      <c r="AM53" s="377"/>
      <c r="AN53" s="377"/>
      <c r="AO53" s="378"/>
      <c r="AP53" s="378"/>
      <c r="AQ53" s="216">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3" s="381">
        <f t="shared" si="2"/>
      </c>
      <c r="AS53" s="382">
        <f t="shared" si="3"/>
      </c>
      <c r="AT53" s="377"/>
      <c r="AU53" s="378"/>
      <c r="AV53" s="383"/>
      <c r="AW53" s="362">
        <f t="shared" si="4"/>
      </c>
      <c r="AX53" s="362">
        <f t="shared" si="5"/>
      </c>
      <c r="AY53" s="362">
        <f t="shared" si="6"/>
      </c>
      <c r="AZ53" s="381">
        <f t="shared" si="7"/>
      </c>
      <c r="BA53" s="384">
        <f t="shared" si="8"/>
      </c>
      <c r="BB53" s="429"/>
      <c r="BC53" s="362">
        <f t="shared" si="9"/>
      </c>
      <c r="BD53" s="430">
        <f t="shared" si="10"/>
      </c>
      <c r="BE53" s="372">
        <f t="shared" si="11"/>
      </c>
      <c r="BF53" s="373">
        <f>IF(OR(AA53="Error",AS53="Error",BA53="Error",BD53="Error"),"Error",
 IF(D53="","",
 IF(AND(N($AA$6)+N($AS$6)+N($BA$7)=100%,
 OR(N($AA$6)=0,AA53&lt;&gt;""),OR(N($AS$6)=0,AS53&lt;&gt;""),OR(N($BA$7)=0,BA53&lt;&gt;""),BE53&lt;&gt;""),
 _xlfn.XLOOKUP(BE53,'Helper 1'!$B$3:$B$43,'Helper 1'!$D$3:$D$43,,-1),"")))</f>
      </c>
      <c r="BG53" s="374">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4" ht="15.95" customHeight="1" spans="2:59" x14ac:dyDescent="0.25">
      <c r="B54" s="305">
        <v>46</v>
      </c>
      <c r="C54" s="375">
        <f>IF('Data Input'!M52="","",'Data Input'!M52)</f>
      </c>
      <c r="D54" s="376">
        <f>IF(ISBLANK('Data Input'!N52),"",PROPER('Data Input'!N52))</f>
      </c>
      <c r="E54" s="377"/>
      <c r="F54" s="377"/>
      <c r="G54" s="377"/>
      <c r="H54" s="377"/>
      <c r="I54" s="377"/>
      <c r="J54" s="377"/>
      <c r="K54" s="377"/>
      <c r="L54" s="377"/>
      <c r="M54" s="377"/>
      <c r="N54" s="377"/>
      <c r="O54" s="377"/>
      <c r="P54" s="377"/>
      <c r="Q54" s="377"/>
      <c r="R54" s="377"/>
      <c r="S54" s="377"/>
      <c r="T54" s="377"/>
      <c r="U54" s="378"/>
      <c r="V54" s="378"/>
      <c r="W54" s="378"/>
      <c r="X54" s="378"/>
      <c r="Y54" s="216">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4" s="381">
        <f t="shared" si="0"/>
      </c>
      <c r="AA54" s="382">
        <f t="shared" si="1"/>
      </c>
      <c r="AB54" s="379"/>
      <c r="AC54" s="377"/>
      <c r="AD54" s="377"/>
      <c r="AE54" s="377"/>
      <c r="AF54" s="377"/>
      <c r="AG54" s="377"/>
      <c r="AH54" s="377"/>
      <c r="AI54" s="377"/>
      <c r="AJ54" s="377"/>
      <c r="AK54" s="377"/>
      <c r="AL54" s="377"/>
      <c r="AM54" s="377"/>
      <c r="AN54" s="377"/>
      <c r="AO54" s="378"/>
      <c r="AP54" s="378"/>
      <c r="AQ54" s="216">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4" s="381">
        <f t="shared" si="2"/>
      </c>
      <c r="AS54" s="382">
        <f t="shared" si="3"/>
      </c>
      <c r="AT54" s="377"/>
      <c r="AU54" s="378"/>
      <c r="AV54" s="383"/>
      <c r="AW54" s="362">
        <f t="shared" si="4"/>
      </c>
      <c r="AX54" s="362">
        <f t="shared" si="5"/>
      </c>
      <c r="AY54" s="362">
        <f t="shared" si="6"/>
      </c>
      <c r="AZ54" s="381">
        <f t="shared" si="7"/>
      </c>
      <c r="BA54" s="384">
        <f t="shared" si="8"/>
      </c>
      <c r="BB54" s="429"/>
      <c r="BC54" s="362">
        <f t="shared" si="9"/>
      </c>
      <c r="BD54" s="430">
        <f t="shared" si="10"/>
      </c>
      <c r="BE54" s="372">
        <f t="shared" si="11"/>
      </c>
      <c r="BF54" s="373">
        <f>IF(OR(AA54="Error",AS54="Error",BA54="Error",BD54="Error"),"Error",
 IF(D54="","",
 IF(AND(N($AA$6)+N($AS$6)+N($BA$7)=100%,
 OR(N($AA$6)=0,AA54&lt;&gt;""),OR(N($AS$6)=0,AS54&lt;&gt;""),OR(N($BA$7)=0,BA54&lt;&gt;""),BE54&lt;&gt;""),
 _xlfn.XLOOKUP(BE54,'Helper 1'!$B$3:$B$43,'Helper 1'!$D$3:$D$43,,-1),"")))</f>
      </c>
      <c r="BG54" s="374">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5" ht="15.95" customHeight="1" spans="2:59" x14ac:dyDescent="0.25">
      <c r="B55" s="305">
        <v>47</v>
      </c>
      <c r="C55" s="375">
        <f>IF('Data Input'!M53="","",'Data Input'!M53)</f>
      </c>
      <c r="D55" s="376">
        <f>IF(ISBLANK('Data Input'!N53),"",PROPER('Data Input'!N53))</f>
      </c>
      <c r="E55" s="377"/>
      <c r="F55" s="377"/>
      <c r="G55" s="377"/>
      <c r="H55" s="377"/>
      <c r="I55" s="377"/>
      <c r="J55" s="377"/>
      <c r="K55" s="377"/>
      <c r="L55" s="377"/>
      <c r="M55" s="377"/>
      <c r="N55" s="377"/>
      <c r="O55" s="377"/>
      <c r="P55" s="377"/>
      <c r="Q55" s="377"/>
      <c r="R55" s="377"/>
      <c r="S55" s="377"/>
      <c r="T55" s="377"/>
      <c r="U55" s="378"/>
      <c r="V55" s="378"/>
      <c r="W55" s="378"/>
      <c r="X55" s="378"/>
      <c r="Y55" s="216">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5" s="381">
        <f t="shared" si="0"/>
      </c>
      <c r="AA55" s="382">
        <f t="shared" si="1"/>
      </c>
      <c r="AB55" s="379"/>
      <c r="AC55" s="377"/>
      <c r="AD55" s="377"/>
      <c r="AE55" s="377"/>
      <c r="AF55" s="377"/>
      <c r="AG55" s="377"/>
      <c r="AH55" s="377"/>
      <c r="AI55" s="377"/>
      <c r="AJ55" s="377"/>
      <c r="AK55" s="377"/>
      <c r="AL55" s="377"/>
      <c r="AM55" s="377"/>
      <c r="AN55" s="377"/>
      <c r="AO55" s="378"/>
      <c r="AP55" s="378"/>
      <c r="AQ55" s="216">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5" s="381">
        <f t="shared" si="2"/>
      </c>
      <c r="AS55" s="382">
        <f t="shared" si="3"/>
      </c>
      <c r="AT55" s="377"/>
      <c r="AU55" s="378"/>
      <c r="AV55" s="383"/>
      <c r="AW55" s="362">
        <f t="shared" si="4"/>
      </c>
      <c r="AX55" s="362">
        <f t="shared" si="5"/>
      </c>
      <c r="AY55" s="362">
        <f t="shared" si="6"/>
      </c>
      <c r="AZ55" s="381">
        <f t="shared" si="7"/>
      </c>
      <c r="BA55" s="384">
        <f t="shared" si="8"/>
      </c>
      <c r="BB55" s="429"/>
      <c r="BC55" s="362">
        <f t="shared" si="9"/>
      </c>
      <c r="BD55" s="430">
        <f t="shared" si="10"/>
      </c>
      <c r="BE55" s="372">
        <f t="shared" si="11"/>
      </c>
      <c r="BF55" s="373">
        <f>IF(OR(AA55="Error",AS55="Error",BA55="Error",BD55="Error"),"Error",
 IF(D55="","",
 IF(AND(N($AA$6)+N($AS$6)+N($BA$7)=100%,
 OR(N($AA$6)=0,AA55&lt;&gt;""),OR(N($AS$6)=0,AS55&lt;&gt;""),OR(N($BA$7)=0,BA55&lt;&gt;""),BE55&lt;&gt;""),
 _xlfn.XLOOKUP(BE55,'Helper 1'!$B$3:$B$43,'Helper 1'!$D$3:$D$43,,-1),"")))</f>
      </c>
      <c r="BG55" s="374">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6" ht="15.95" customHeight="1" spans="2:59" x14ac:dyDescent="0.25">
      <c r="B56" s="305">
        <v>48</v>
      </c>
      <c r="C56" s="375">
        <f>IF('Data Input'!M54="","",'Data Input'!M54)</f>
      </c>
      <c r="D56" s="376">
        <f>IF(ISBLANK('Data Input'!N54),"",PROPER('Data Input'!N54))</f>
      </c>
      <c r="E56" s="377"/>
      <c r="F56" s="377"/>
      <c r="G56" s="377"/>
      <c r="H56" s="377"/>
      <c r="I56" s="377"/>
      <c r="J56" s="377"/>
      <c r="K56" s="377"/>
      <c r="L56" s="377"/>
      <c r="M56" s="377"/>
      <c r="N56" s="377"/>
      <c r="O56" s="377"/>
      <c r="P56" s="377"/>
      <c r="Q56" s="377"/>
      <c r="R56" s="377"/>
      <c r="S56" s="377"/>
      <c r="T56" s="377"/>
      <c r="U56" s="378"/>
      <c r="V56" s="378"/>
      <c r="W56" s="378"/>
      <c r="X56" s="378"/>
      <c r="Y56" s="216">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6" s="381">
        <f t="shared" si="0"/>
      </c>
      <c r="AA56" s="382">
        <f t="shared" si="1"/>
      </c>
      <c r="AB56" s="379"/>
      <c r="AC56" s="377"/>
      <c r="AD56" s="377"/>
      <c r="AE56" s="377"/>
      <c r="AF56" s="377"/>
      <c r="AG56" s="377"/>
      <c r="AH56" s="377"/>
      <c r="AI56" s="377"/>
      <c r="AJ56" s="377"/>
      <c r="AK56" s="377"/>
      <c r="AL56" s="377"/>
      <c r="AM56" s="377"/>
      <c r="AN56" s="377"/>
      <c r="AO56" s="378"/>
      <c r="AP56" s="378"/>
      <c r="AQ56" s="216">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6" s="381">
        <f t="shared" si="2"/>
      </c>
      <c r="AS56" s="382">
        <f t="shared" si="3"/>
      </c>
      <c r="AT56" s="377"/>
      <c r="AU56" s="378"/>
      <c r="AV56" s="383"/>
      <c r="AW56" s="362">
        <f t="shared" si="4"/>
      </c>
      <c r="AX56" s="362">
        <f t="shared" si="5"/>
      </c>
      <c r="AY56" s="362">
        <f t="shared" si="6"/>
      </c>
      <c r="AZ56" s="381">
        <f t="shared" si="7"/>
      </c>
      <c r="BA56" s="384">
        <f t="shared" si="8"/>
      </c>
      <c r="BB56" s="429"/>
      <c r="BC56" s="362">
        <f t="shared" si="9"/>
      </c>
      <c r="BD56" s="430">
        <f t="shared" si="10"/>
      </c>
      <c r="BE56" s="372">
        <f t="shared" si="11"/>
      </c>
      <c r="BF56" s="373">
        <f>IF(OR(AA56="Error",AS56="Error",BA56="Error",BD56="Error"),"Error",
 IF(D56="","",
 IF(AND(N($AA$6)+N($AS$6)+N($BA$7)=100%,
 OR(N($AA$6)=0,AA56&lt;&gt;""),OR(N($AS$6)=0,AS56&lt;&gt;""),OR(N($BA$7)=0,BA56&lt;&gt;""),BE56&lt;&gt;""),
 _xlfn.XLOOKUP(BE56,'Helper 1'!$B$3:$B$43,'Helper 1'!$D$3:$D$43,,-1),"")))</f>
      </c>
      <c r="BG56" s="374">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7" ht="15.95" customHeight="1" spans="2:59" x14ac:dyDescent="0.25">
      <c r="B57" s="305">
        <v>49</v>
      </c>
      <c r="C57" s="375">
        <f>IF('Data Input'!M55="","",'Data Input'!M55)</f>
      </c>
      <c r="D57" s="376">
        <f>IF(ISBLANK('Data Input'!N55),"",PROPER('Data Input'!N55))</f>
      </c>
      <c r="E57" s="377"/>
      <c r="F57" s="377"/>
      <c r="G57" s="377"/>
      <c r="H57" s="377"/>
      <c r="I57" s="377"/>
      <c r="J57" s="377"/>
      <c r="K57" s="377"/>
      <c r="L57" s="377"/>
      <c r="M57" s="377"/>
      <c r="N57" s="377"/>
      <c r="O57" s="377"/>
      <c r="P57" s="377"/>
      <c r="Q57" s="377"/>
      <c r="R57" s="377"/>
      <c r="S57" s="377"/>
      <c r="T57" s="377"/>
      <c r="U57" s="378"/>
      <c r="V57" s="378"/>
      <c r="W57" s="378"/>
      <c r="X57" s="378"/>
      <c r="Y57" s="216">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7" s="381">
        <f t="shared" si="0"/>
      </c>
      <c r="AA57" s="382">
        <f t="shared" si="1"/>
      </c>
      <c r="AB57" s="379"/>
      <c r="AC57" s="377"/>
      <c r="AD57" s="377"/>
      <c r="AE57" s="377"/>
      <c r="AF57" s="377"/>
      <c r="AG57" s="377"/>
      <c r="AH57" s="377"/>
      <c r="AI57" s="377"/>
      <c r="AJ57" s="377"/>
      <c r="AK57" s="377"/>
      <c r="AL57" s="377"/>
      <c r="AM57" s="377"/>
      <c r="AN57" s="377"/>
      <c r="AO57" s="378"/>
      <c r="AP57" s="378"/>
      <c r="AQ57" s="216">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7" s="381">
        <f t="shared" si="2"/>
      </c>
      <c r="AS57" s="382">
        <f t="shared" si="3"/>
      </c>
      <c r="AT57" s="377"/>
      <c r="AU57" s="378"/>
      <c r="AV57" s="383"/>
      <c r="AW57" s="362">
        <f t="shared" si="4"/>
      </c>
      <c r="AX57" s="362">
        <f t="shared" si="5"/>
      </c>
      <c r="AY57" s="362">
        <f t="shared" si="6"/>
      </c>
      <c r="AZ57" s="381">
        <f t="shared" si="7"/>
      </c>
      <c r="BA57" s="384">
        <f t="shared" si="8"/>
      </c>
      <c r="BB57" s="429"/>
      <c r="BC57" s="362">
        <f t="shared" si="9"/>
      </c>
      <c r="BD57" s="430">
        <f t="shared" si="10"/>
      </c>
      <c r="BE57" s="372">
        <f t="shared" si="11"/>
      </c>
      <c r="BF57" s="373">
        <f>IF(OR(AA57="Error",AS57="Error",BA57="Error",BD57="Error"),"Error",
 IF(D57="","",
 IF(AND(N($AA$6)+N($AS$6)+N($BA$7)=100%,
 OR(N($AA$6)=0,AA57&lt;&gt;""),OR(N($AS$6)=0,AS57&lt;&gt;""),OR(N($BA$7)=0,BA57&lt;&gt;""),BE57&lt;&gt;""),
 _xlfn.XLOOKUP(BE57,'Helper 1'!$B$3:$B$43,'Helper 1'!$D$3:$D$43,,-1),"")))</f>
      </c>
      <c r="BG57" s="374">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8" ht="15.95" customHeight="1" spans="2:59" x14ac:dyDescent="0.25">
      <c r="B58" s="305">
        <v>50</v>
      </c>
      <c r="C58" s="375">
        <f>IF('Data Input'!M56="","",'Data Input'!M56)</f>
      </c>
      <c r="D58" s="376">
        <f>IF(ISBLANK('Data Input'!N56),"",PROPER('Data Input'!N56))</f>
      </c>
      <c r="E58" s="377"/>
      <c r="F58" s="377"/>
      <c r="G58" s="377"/>
      <c r="H58" s="377"/>
      <c r="I58" s="377"/>
      <c r="J58" s="377"/>
      <c r="K58" s="377"/>
      <c r="L58" s="377"/>
      <c r="M58" s="377"/>
      <c r="N58" s="377"/>
      <c r="O58" s="377"/>
      <c r="P58" s="377"/>
      <c r="Q58" s="377"/>
      <c r="R58" s="377"/>
      <c r="S58" s="377"/>
      <c r="T58" s="377"/>
      <c r="U58" s="378"/>
      <c r="V58" s="378"/>
      <c r="W58" s="378"/>
      <c r="X58" s="378"/>
      <c r="Y58" s="216">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8" s="381">
        <f t="shared" si="0"/>
      </c>
      <c r="AA58" s="382">
        <f t="shared" si="1"/>
      </c>
      <c r="AB58" s="379"/>
      <c r="AC58" s="377"/>
      <c r="AD58" s="377"/>
      <c r="AE58" s="377"/>
      <c r="AF58" s="377"/>
      <c r="AG58" s="377"/>
      <c r="AH58" s="377"/>
      <c r="AI58" s="377"/>
      <c r="AJ58" s="377"/>
      <c r="AK58" s="377"/>
      <c r="AL58" s="377"/>
      <c r="AM58" s="377"/>
      <c r="AN58" s="377"/>
      <c r="AO58" s="378"/>
      <c r="AP58" s="378"/>
      <c r="AQ58" s="216">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8" s="381">
        <f t="shared" si="2"/>
      </c>
      <c r="AS58" s="382">
        <f t="shared" si="3"/>
      </c>
      <c r="AT58" s="377"/>
      <c r="AU58" s="378"/>
      <c r="AV58" s="383"/>
      <c r="AW58" s="362">
        <f t="shared" si="4"/>
      </c>
      <c r="AX58" s="362">
        <f t="shared" si="5"/>
      </c>
      <c r="AY58" s="362">
        <f t="shared" si="6"/>
      </c>
      <c r="AZ58" s="381">
        <f t="shared" si="7"/>
      </c>
      <c r="BA58" s="384">
        <f t="shared" si="8"/>
      </c>
      <c r="BB58" s="429"/>
      <c r="BC58" s="362">
        <f t="shared" si="9"/>
      </c>
      <c r="BD58" s="430">
        <f t="shared" si="10"/>
      </c>
      <c r="BE58" s="372">
        <f t="shared" si="11"/>
      </c>
      <c r="BF58" s="373">
        <f>IF(OR(AA58="Error",AS58="Error",BA58="Error",BD58="Error"),"Error",
 IF(D58="","",
 IF(AND(N($AA$6)+N($AS$6)+N($BA$7)=100%,
 OR(N($AA$6)=0,AA58&lt;&gt;""),OR(N($AS$6)=0,AS58&lt;&gt;""),OR(N($BA$7)=0,BA58&lt;&gt;""),BE58&lt;&gt;""),
 _xlfn.XLOOKUP(BE58,'Helper 1'!$B$3:$B$43,'Helper 1'!$D$3:$D$43,,-1),"")))</f>
      </c>
      <c r="BG58" s="374">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59" ht="15.95" customHeight="1" spans="2:59" x14ac:dyDescent="0.25">
      <c r="B59" s="305">
        <v>51</v>
      </c>
      <c r="C59" s="375">
        <f>IF('Data Input'!M57="","",'Data Input'!M57)</f>
      </c>
      <c r="D59" s="376">
        <f>IF(ISBLANK('Data Input'!N57),"",PROPER('Data Input'!N57))</f>
      </c>
      <c r="E59" s="377"/>
      <c r="F59" s="377"/>
      <c r="G59" s="377"/>
      <c r="H59" s="377"/>
      <c r="I59" s="377"/>
      <c r="J59" s="377"/>
      <c r="K59" s="377"/>
      <c r="L59" s="377"/>
      <c r="M59" s="377"/>
      <c r="N59" s="377"/>
      <c r="O59" s="377"/>
      <c r="P59" s="377"/>
      <c r="Q59" s="377"/>
      <c r="R59" s="377"/>
      <c r="S59" s="377"/>
      <c r="T59" s="377"/>
      <c r="U59" s="378"/>
      <c r="V59" s="378"/>
      <c r="W59" s="378"/>
      <c r="X59" s="378"/>
      <c r="Y59" s="216">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59" s="381">
        <f t="shared" si="0"/>
      </c>
      <c r="AA59" s="382">
        <f t="shared" si="1"/>
      </c>
      <c r="AB59" s="379"/>
      <c r="AC59" s="377"/>
      <c r="AD59" s="377"/>
      <c r="AE59" s="377"/>
      <c r="AF59" s="377"/>
      <c r="AG59" s="377"/>
      <c r="AH59" s="377"/>
      <c r="AI59" s="377"/>
      <c r="AJ59" s="377"/>
      <c r="AK59" s="377"/>
      <c r="AL59" s="377"/>
      <c r="AM59" s="377"/>
      <c r="AN59" s="377"/>
      <c r="AO59" s="378"/>
      <c r="AP59" s="378"/>
      <c r="AQ59" s="216">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59" s="381">
        <f t="shared" si="2"/>
      </c>
      <c r="AS59" s="382">
        <f t="shared" si="3"/>
      </c>
      <c r="AT59" s="377"/>
      <c r="AU59" s="378"/>
      <c r="AV59" s="383"/>
      <c r="AW59" s="362">
        <f t="shared" si="4"/>
      </c>
      <c r="AX59" s="362">
        <f t="shared" si="5"/>
      </c>
      <c r="AY59" s="362">
        <f t="shared" si="6"/>
      </c>
      <c r="AZ59" s="381">
        <f t="shared" si="7"/>
      </c>
      <c r="BA59" s="384">
        <f t="shared" si="8"/>
      </c>
      <c r="BB59" s="429"/>
      <c r="BC59" s="362">
        <f t="shared" si="9"/>
      </c>
      <c r="BD59" s="430">
        <f t="shared" si="10"/>
      </c>
      <c r="BE59" s="372">
        <f t="shared" si="11"/>
      </c>
      <c r="BF59" s="373">
        <f>IF(OR(AA59="Error",AS59="Error",BA59="Error",BD59="Error"),"Error",
 IF(D59="","",
 IF(AND(N($AA$6)+N($AS$6)+N($BA$7)=100%,
 OR(N($AA$6)=0,AA59&lt;&gt;""),OR(N($AS$6)=0,AS59&lt;&gt;""),OR(N($BA$7)=0,BA59&lt;&gt;""),BE59&lt;&gt;""),
 _xlfn.XLOOKUP(BE59,'Helper 1'!$B$3:$B$43,'Helper 1'!$D$3:$D$43,,-1),"")))</f>
      </c>
      <c r="BG59" s="374">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0" ht="15.95" customHeight="1" spans="2:59" x14ac:dyDescent="0.25">
      <c r="B60" s="305">
        <v>52</v>
      </c>
      <c r="C60" s="375">
        <f>IF('Data Input'!M58="","",'Data Input'!M58)</f>
      </c>
      <c r="D60" s="376">
        <f>IF(ISBLANK('Data Input'!N58),"",PROPER('Data Input'!N58))</f>
      </c>
      <c r="E60" s="377"/>
      <c r="F60" s="377"/>
      <c r="G60" s="377"/>
      <c r="H60" s="377"/>
      <c r="I60" s="377"/>
      <c r="J60" s="377"/>
      <c r="K60" s="377"/>
      <c r="L60" s="377"/>
      <c r="M60" s="377"/>
      <c r="N60" s="377"/>
      <c r="O60" s="377"/>
      <c r="P60" s="377"/>
      <c r="Q60" s="377"/>
      <c r="R60" s="377"/>
      <c r="S60" s="377"/>
      <c r="T60" s="377"/>
      <c r="U60" s="378"/>
      <c r="V60" s="378"/>
      <c r="W60" s="378"/>
      <c r="X60" s="378"/>
      <c r="Y60" s="216">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0" s="381">
        <f t="shared" si="0"/>
      </c>
      <c r="AA60" s="382">
        <f t="shared" si="1"/>
      </c>
      <c r="AB60" s="379"/>
      <c r="AC60" s="377"/>
      <c r="AD60" s="377"/>
      <c r="AE60" s="377"/>
      <c r="AF60" s="377"/>
      <c r="AG60" s="377"/>
      <c r="AH60" s="377"/>
      <c r="AI60" s="377"/>
      <c r="AJ60" s="377"/>
      <c r="AK60" s="377"/>
      <c r="AL60" s="377"/>
      <c r="AM60" s="377"/>
      <c r="AN60" s="377"/>
      <c r="AO60" s="378"/>
      <c r="AP60" s="378"/>
      <c r="AQ60" s="216">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0" s="381">
        <f t="shared" si="2"/>
      </c>
      <c r="AS60" s="382">
        <f t="shared" si="3"/>
      </c>
      <c r="AT60" s="377"/>
      <c r="AU60" s="378"/>
      <c r="AV60" s="383"/>
      <c r="AW60" s="362">
        <f t="shared" si="4"/>
      </c>
      <c r="AX60" s="362">
        <f t="shared" si="5"/>
      </c>
      <c r="AY60" s="362">
        <f t="shared" si="6"/>
      </c>
      <c r="AZ60" s="381">
        <f t="shared" si="7"/>
      </c>
      <c r="BA60" s="384">
        <f t="shared" si="8"/>
      </c>
      <c r="BB60" s="429"/>
      <c r="BC60" s="362">
        <f t="shared" si="9"/>
      </c>
      <c r="BD60" s="430">
        <f t="shared" si="10"/>
      </c>
      <c r="BE60" s="372">
        <f t="shared" si="11"/>
      </c>
      <c r="BF60" s="373">
        <f>IF(OR(AA60="Error",AS60="Error",BA60="Error",BD60="Error"),"Error",
 IF(D60="","",
 IF(AND(N($AA$6)+N($AS$6)+N($BA$7)=100%,
 OR(N($AA$6)=0,AA60&lt;&gt;""),OR(N($AS$6)=0,AS60&lt;&gt;""),OR(N($BA$7)=0,BA60&lt;&gt;""),BE60&lt;&gt;""),
 _xlfn.XLOOKUP(BE60,'Helper 1'!$B$3:$B$43,'Helper 1'!$D$3:$D$43,,-1),"")))</f>
      </c>
      <c r="BG60" s="374">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1" ht="15.95" customHeight="1" spans="2:59" x14ac:dyDescent="0.25">
      <c r="B61" s="305">
        <v>53</v>
      </c>
      <c r="C61" s="375">
        <f>IF('Data Input'!M59="","",'Data Input'!M59)</f>
      </c>
      <c r="D61" s="376">
        <f>IF(ISBLANK('Data Input'!N59),"",PROPER('Data Input'!N59))</f>
      </c>
      <c r="E61" s="377"/>
      <c r="F61" s="377"/>
      <c r="G61" s="377"/>
      <c r="H61" s="377"/>
      <c r="I61" s="377"/>
      <c r="J61" s="377"/>
      <c r="K61" s="377"/>
      <c r="L61" s="377"/>
      <c r="M61" s="377"/>
      <c r="N61" s="377"/>
      <c r="O61" s="377"/>
      <c r="P61" s="377"/>
      <c r="Q61" s="377"/>
      <c r="R61" s="377"/>
      <c r="S61" s="377"/>
      <c r="T61" s="377"/>
      <c r="U61" s="378"/>
      <c r="V61" s="378"/>
      <c r="W61" s="378"/>
      <c r="X61" s="378"/>
      <c r="Y61" s="216">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1" s="381">
        <f t="shared" si="0"/>
      </c>
      <c r="AA61" s="382">
        <f t="shared" si="1"/>
      </c>
      <c r="AB61" s="379"/>
      <c r="AC61" s="377"/>
      <c r="AD61" s="377"/>
      <c r="AE61" s="377"/>
      <c r="AF61" s="377"/>
      <c r="AG61" s="377"/>
      <c r="AH61" s="377"/>
      <c r="AI61" s="377"/>
      <c r="AJ61" s="377"/>
      <c r="AK61" s="377"/>
      <c r="AL61" s="377"/>
      <c r="AM61" s="377"/>
      <c r="AN61" s="377"/>
      <c r="AO61" s="378"/>
      <c r="AP61" s="378"/>
      <c r="AQ61" s="216">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1" s="381">
        <f t="shared" si="2"/>
      </c>
      <c r="AS61" s="382">
        <f t="shared" si="3"/>
      </c>
      <c r="AT61" s="377"/>
      <c r="AU61" s="378"/>
      <c r="AV61" s="383"/>
      <c r="AW61" s="362">
        <f t="shared" si="4"/>
      </c>
      <c r="AX61" s="362">
        <f t="shared" si="5"/>
      </c>
      <c r="AY61" s="362">
        <f t="shared" si="6"/>
      </c>
      <c r="AZ61" s="381">
        <f t="shared" si="7"/>
      </c>
      <c r="BA61" s="384">
        <f t="shared" si="8"/>
      </c>
      <c r="BB61" s="429"/>
      <c r="BC61" s="362">
        <f t="shared" si="9"/>
      </c>
      <c r="BD61" s="430">
        <f t="shared" si="10"/>
      </c>
      <c r="BE61" s="372">
        <f t="shared" si="11"/>
      </c>
      <c r="BF61" s="373">
        <f>IF(OR(AA61="Error",AS61="Error",BA61="Error",BD61="Error"),"Error",
 IF(D61="","",
 IF(AND(N($AA$6)+N($AS$6)+N($BA$7)=100%,
 OR(N($AA$6)=0,AA61&lt;&gt;""),OR(N($AS$6)=0,AS61&lt;&gt;""),OR(N($BA$7)=0,BA61&lt;&gt;""),BE61&lt;&gt;""),
 _xlfn.XLOOKUP(BE61,'Helper 1'!$B$3:$B$43,'Helper 1'!$D$3:$D$43,,-1),"")))</f>
      </c>
      <c r="BG61" s="374">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2" ht="15.95" customHeight="1" spans="2:59" x14ac:dyDescent="0.25">
      <c r="B62" s="305">
        <v>54</v>
      </c>
      <c r="C62" s="375">
        <f>IF('Data Input'!M60="","",'Data Input'!M60)</f>
      </c>
      <c r="D62" s="376">
        <f>IF(ISBLANK('Data Input'!N60),"",PROPER('Data Input'!N60))</f>
      </c>
      <c r="E62" s="377"/>
      <c r="F62" s="377"/>
      <c r="G62" s="377"/>
      <c r="H62" s="377"/>
      <c r="I62" s="377"/>
      <c r="J62" s="377"/>
      <c r="K62" s="377"/>
      <c r="L62" s="377"/>
      <c r="M62" s="377"/>
      <c r="N62" s="377"/>
      <c r="O62" s="377"/>
      <c r="P62" s="377"/>
      <c r="Q62" s="377"/>
      <c r="R62" s="377"/>
      <c r="S62" s="377"/>
      <c r="T62" s="377"/>
      <c r="U62" s="378"/>
      <c r="V62" s="378"/>
      <c r="W62" s="378"/>
      <c r="X62" s="378"/>
      <c r="Y62" s="216">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2" s="381">
        <f t="shared" si="0"/>
      </c>
      <c r="AA62" s="382">
        <f t="shared" si="1"/>
      </c>
      <c r="AB62" s="379"/>
      <c r="AC62" s="377"/>
      <c r="AD62" s="377"/>
      <c r="AE62" s="377"/>
      <c r="AF62" s="377"/>
      <c r="AG62" s="377"/>
      <c r="AH62" s="377"/>
      <c r="AI62" s="377"/>
      <c r="AJ62" s="377"/>
      <c r="AK62" s="377"/>
      <c r="AL62" s="377"/>
      <c r="AM62" s="377"/>
      <c r="AN62" s="377"/>
      <c r="AO62" s="378"/>
      <c r="AP62" s="378"/>
      <c r="AQ62" s="216">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2" s="381">
        <f t="shared" si="2"/>
      </c>
      <c r="AS62" s="382">
        <f t="shared" si="3"/>
      </c>
      <c r="AT62" s="377"/>
      <c r="AU62" s="378"/>
      <c r="AV62" s="383"/>
      <c r="AW62" s="362">
        <f t="shared" si="4"/>
      </c>
      <c r="AX62" s="362">
        <f t="shared" si="5"/>
      </c>
      <c r="AY62" s="362">
        <f t="shared" si="6"/>
      </c>
      <c r="AZ62" s="381">
        <f t="shared" si="7"/>
      </c>
      <c r="BA62" s="384">
        <f t="shared" si="8"/>
      </c>
      <c r="BB62" s="429"/>
      <c r="BC62" s="362">
        <f t="shared" si="9"/>
      </c>
      <c r="BD62" s="430">
        <f t="shared" si="10"/>
      </c>
      <c r="BE62" s="372">
        <f t="shared" si="11"/>
      </c>
      <c r="BF62" s="373">
        <f>IF(OR(AA62="Error",AS62="Error",BA62="Error",BD62="Error"),"Error",
 IF(D62="","",
 IF(AND(N($AA$6)+N($AS$6)+N($BA$7)=100%,
 OR(N($AA$6)=0,AA62&lt;&gt;""),OR(N($AS$6)=0,AS62&lt;&gt;""),OR(N($BA$7)=0,BA62&lt;&gt;""),BE62&lt;&gt;""),
 _xlfn.XLOOKUP(BE62,'Helper 1'!$B$3:$B$43,'Helper 1'!$D$3:$D$43,,-1),"")))</f>
      </c>
      <c r="BG62" s="374">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3" ht="15.95" customHeight="1" spans="2:59" x14ac:dyDescent="0.25">
      <c r="B63" s="305">
        <v>55</v>
      </c>
      <c r="C63" s="375">
        <f>IF('Data Input'!M61="","",'Data Input'!M61)</f>
      </c>
      <c r="D63" s="376">
        <f>IF(ISBLANK('Data Input'!N61),"",PROPER('Data Input'!N61))</f>
      </c>
      <c r="E63" s="377"/>
      <c r="F63" s="377"/>
      <c r="G63" s="377"/>
      <c r="H63" s="377"/>
      <c r="I63" s="377"/>
      <c r="J63" s="377"/>
      <c r="K63" s="377"/>
      <c r="L63" s="377"/>
      <c r="M63" s="377"/>
      <c r="N63" s="377"/>
      <c r="O63" s="377"/>
      <c r="P63" s="377"/>
      <c r="Q63" s="377"/>
      <c r="R63" s="377"/>
      <c r="S63" s="377"/>
      <c r="T63" s="377"/>
      <c r="U63" s="378"/>
      <c r="V63" s="378"/>
      <c r="W63" s="378"/>
      <c r="X63" s="378"/>
      <c r="Y63" s="216">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3" s="381">
        <f t="shared" si="0"/>
      </c>
      <c r="AA63" s="382">
        <f t="shared" si="1"/>
      </c>
      <c r="AB63" s="379"/>
      <c r="AC63" s="377"/>
      <c r="AD63" s="377"/>
      <c r="AE63" s="377"/>
      <c r="AF63" s="377"/>
      <c r="AG63" s="377"/>
      <c r="AH63" s="377"/>
      <c r="AI63" s="377"/>
      <c r="AJ63" s="377"/>
      <c r="AK63" s="377"/>
      <c r="AL63" s="377"/>
      <c r="AM63" s="377"/>
      <c r="AN63" s="377"/>
      <c r="AO63" s="378"/>
      <c r="AP63" s="378"/>
      <c r="AQ63" s="216">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3" s="381">
        <f t="shared" si="2"/>
      </c>
      <c r="AS63" s="382">
        <f t="shared" si="3"/>
      </c>
      <c r="AT63" s="377"/>
      <c r="AU63" s="378"/>
      <c r="AV63" s="383"/>
      <c r="AW63" s="362">
        <f t="shared" si="4"/>
      </c>
      <c r="AX63" s="362">
        <f t="shared" si="5"/>
      </c>
      <c r="AY63" s="362">
        <f t="shared" si="6"/>
      </c>
      <c r="AZ63" s="381">
        <f t="shared" si="7"/>
      </c>
      <c r="BA63" s="384">
        <f t="shared" si="8"/>
      </c>
      <c r="BB63" s="429"/>
      <c r="BC63" s="362">
        <f t="shared" si="9"/>
      </c>
      <c r="BD63" s="430">
        <f t="shared" si="10"/>
      </c>
      <c r="BE63" s="372">
        <f t="shared" si="11"/>
      </c>
      <c r="BF63" s="373">
        <f>IF(OR(AA63="Error",AS63="Error",BA63="Error",BD63="Error"),"Error",
 IF(D63="","",
 IF(AND(N($AA$6)+N($AS$6)+N($BA$7)=100%,
 OR(N($AA$6)=0,AA63&lt;&gt;""),OR(N($AS$6)=0,AS63&lt;&gt;""),OR(N($BA$7)=0,BA63&lt;&gt;""),BE63&lt;&gt;""),
 _xlfn.XLOOKUP(BE63,'Helper 1'!$B$3:$B$43,'Helper 1'!$D$3:$D$43,,-1),"")))</f>
      </c>
      <c r="BG63" s="374">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4" ht="15.95" customHeight="1" spans="2:59" x14ac:dyDescent="0.25">
      <c r="B64" s="305">
        <v>56</v>
      </c>
      <c r="C64" s="375">
        <f>IF('Data Input'!M62="","",'Data Input'!M62)</f>
      </c>
      <c r="D64" s="376">
        <f>IF(ISBLANK('Data Input'!N62),"",PROPER('Data Input'!N62))</f>
      </c>
      <c r="E64" s="377"/>
      <c r="F64" s="377"/>
      <c r="G64" s="377"/>
      <c r="H64" s="377"/>
      <c r="I64" s="377"/>
      <c r="J64" s="377"/>
      <c r="K64" s="377"/>
      <c r="L64" s="377"/>
      <c r="M64" s="377"/>
      <c r="N64" s="377"/>
      <c r="O64" s="377"/>
      <c r="P64" s="377"/>
      <c r="Q64" s="377"/>
      <c r="R64" s="377"/>
      <c r="S64" s="377"/>
      <c r="T64" s="377"/>
      <c r="U64" s="378"/>
      <c r="V64" s="378"/>
      <c r="W64" s="378"/>
      <c r="X64" s="378"/>
      <c r="Y64" s="216">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4" s="381">
        <f t="shared" si="0"/>
      </c>
      <c r="AA64" s="382">
        <f t="shared" si="1"/>
      </c>
      <c r="AB64" s="379"/>
      <c r="AC64" s="377"/>
      <c r="AD64" s="377"/>
      <c r="AE64" s="377"/>
      <c r="AF64" s="377"/>
      <c r="AG64" s="377"/>
      <c r="AH64" s="377"/>
      <c r="AI64" s="377"/>
      <c r="AJ64" s="377"/>
      <c r="AK64" s="377"/>
      <c r="AL64" s="377"/>
      <c r="AM64" s="377"/>
      <c r="AN64" s="377"/>
      <c r="AO64" s="378"/>
      <c r="AP64" s="378"/>
      <c r="AQ64" s="216">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4" s="381">
        <f t="shared" si="2"/>
      </c>
      <c r="AS64" s="382">
        <f t="shared" si="3"/>
      </c>
      <c r="AT64" s="377"/>
      <c r="AU64" s="378"/>
      <c r="AV64" s="383"/>
      <c r="AW64" s="362">
        <f t="shared" si="4"/>
      </c>
      <c r="AX64" s="362">
        <f t="shared" si="5"/>
      </c>
      <c r="AY64" s="362">
        <f t="shared" si="6"/>
      </c>
      <c r="AZ64" s="381">
        <f t="shared" si="7"/>
      </c>
      <c r="BA64" s="384">
        <f t="shared" si="8"/>
      </c>
      <c r="BB64" s="429"/>
      <c r="BC64" s="362">
        <f t="shared" si="9"/>
      </c>
      <c r="BD64" s="430">
        <f t="shared" si="10"/>
      </c>
      <c r="BE64" s="372">
        <f t="shared" si="11"/>
      </c>
      <c r="BF64" s="373">
        <f>IF(OR(AA64="Error",AS64="Error",BA64="Error",BD64="Error"),"Error",
 IF(D64="","",
 IF(AND(N($AA$6)+N($AS$6)+N($BA$7)=100%,
 OR(N($AA$6)=0,AA64&lt;&gt;""),OR(N($AS$6)=0,AS64&lt;&gt;""),OR(N($BA$7)=0,BA64&lt;&gt;""),BE64&lt;&gt;""),
 _xlfn.XLOOKUP(BE64,'Helper 1'!$B$3:$B$43,'Helper 1'!$D$3:$D$43,,-1),"")))</f>
      </c>
      <c r="BG64" s="374">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5" ht="15.95" customHeight="1" spans="2:59" x14ac:dyDescent="0.25">
      <c r="B65" s="305">
        <v>57</v>
      </c>
      <c r="C65" s="375">
        <f>IF('Data Input'!M63="","",'Data Input'!M63)</f>
      </c>
      <c r="D65" s="376">
        <f>IF(ISBLANK('Data Input'!N63),"",PROPER('Data Input'!N63))</f>
      </c>
      <c r="E65" s="377"/>
      <c r="F65" s="377"/>
      <c r="G65" s="377"/>
      <c r="H65" s="377"/>
      <c r="I65" s="377"/>
      <c r="J65" s="377"/>
      <c r="K65" s="377"/>
      <c r="L65" s="377"/>
      <c r="M65" s="377"/>
      <c r="N65" s="377"/>
      <c r="O65" s="377"/>
      <c r="P65" s="377"/>
      <c r="Q65" s="377"/>
      <c r="R65" s="377"/>
      <c r="S65" s="377"/>
      <c r="T65" s="377"/>
      <c r="U65" s="378"/>
      <c r="V65" s="378"/>
      <c r="W65" s="378"/>
      <c r="X65" s="378"/>
      <c r="Y65" s="216">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5" s="381">
        <f t="shared" si="0"/>
      </c>
      <c r="AA65" s="382">
        <f t="shared" si="1"/>
      </c>
      <c r="AB65" s="379"/>
      <c r="AC65" s="377"/>
      <c r="AD65" s="377"/>
      <c r="AE65" s="377"/>
      <c r="AF65" s="377"/>
      <c r="AG65" s="377"/>
      <c r="AH65" s="377"/>
      <c r="AI65" s="377"/>
      <c r="AJ65" s="377"/>
      <c r="AK65" s="377"/>
      <c r="AL65" s="377"/>
      <c r="AM65" s="377"/>
      <c r="AN65" s="377"/>
      <c r="AO65" s="378"/>
      <c r="AP65" s="378"/>
      <c r="AQ65" s="216">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5" s="381">
        <f t="shared" si="2"/>
      </c>
      <c r="AS65" s="382">
        <f t="shared" si="3"/>
      </c>
      <c r="AT65" s="377"/>
      <c r="AU65" s="378"/>
      <c r="AV65" s="383"/>
      <c r="AW65" s="362">
        <f t="shared" si="4"/>
      </c>
      <c r="AX65" s="362">
        <f t="shared" si="5"/>
      </c>
      <c r="AY65" s="362">
        <f t="shared" si="6"/>
      </c>
      <c r="AZ65" s="381">
        <f t="shared" si="7"/>
      </c>
      <c r="BA65" s="384">
        <f t="shared" si="8"/>
      </c>
      <c r="BB65" s="429"/>
      <c r="BC65" s="362">
        <f t="shared" si="9"/>
      </c>
      <c r="BD65" s="430">
        <f t="shared" si="10"/>
      </c>
      <c r="BE65" s="372">
        <f t="shared" si="11"/>
      </c>
      <c r="BF65" s="373">
        <f>IF(OR(AA65="Error",AS65="Error",BA65="Error",BD65="Error"),"Error",
 IF(D65="","",
 IF(AND(N($AA$6)+N($AS$6)+N($BA$7)=100%,
 OR(N($AA$6)=0,AA65&lt;&gt;""),OR(N($AS$6)=0,AS65&lt;&gt;""),OR(N($BA$7)=0,BA65&lt;&gt;""),BE65&lt;&gt;""),
 _xlfn.XLOOKUP(BE65,'Helper 1'!$B$3:$B$43,'Helper 1'!$D$3:$D$43,,-1),"")))</f>
      </c>
      <c r="BG65" s="374">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6" ht="15.95" customHeight="1" spans="2:59" x14ac:dyDescent="0.25">
      <c r="B66" s="305">
        <v>58</v>
      </c>
      <c r="C66" s="375">
        <f>IF('Data Input'!M64="","",'Data Input'!M64)</f>
      </c>
      <c r="D66" s="376">
        <f>IF(ISBLANK('Data Input'!N64),"",PROPER('Data Input'!N64))</f>
      </c>
      <c r="E66" s="377"/>
      <c r="F66" s="377"/>
      <c r="G66" s="377"/>
      <c r="H66" s="377"/>
      <c r="I66" s="377"/>
      <c r="J66" s="377"/>
      <c r="K66" s="377"/>
      <c r="L66" s="377"/>
      <c r="M66" s="377"/>
      <c r="N66" s="377"/>
      <c r="O66" s="377"/>
      <c r="P66" s="377"/>
      <c r="Q66" s="377"/>
      <c r="R66" s="377"/>
      <c r="S66" s="377"/>
      <c r="T66" s="377"/>
      <c r="U66" s="378"/>
      <c r="V66" s="378"/>
      <c r="W66" s="378"/>
      <c r="X66" s="378"/>
      <c r="Y66" s="216">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6" s="381">
        <f t="shared" si="0"/>
      </c>
      <c r="AA66" s="382">
        <f t="shared" si="1"/>
      </c>
      <c r="AB66" s="379"/>
      <c r="AC66" s="377"/>
      <c r="AD66" s="377"/>
      <c r="AE66" s="377"/>
      <c r="AF66" s="377"/>
      <c r="AG66" s="377"/>
      <c r="AH66" s="377"/>
      <c r="AI66" s="377"/>
      <c r="AJ66" s="377"/>
      <c r="AK66" s="377"/>
      <c r="AL66" s="377"/>
      <c r="AM66" s="377"/>
      <c r="AN66" s="377"/>
      <c r="AO66" s="378"/>
      <c r="AP66" s="378"/>
      <c r="AQ66" s="216">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6" s="381">
        <f t="shared" si="2"/>
      </c>
      <c r="AS66" s="382">
        <f t="shared" si="3"/>
      </c>
      <c r="AT66" s="377"/>
      <c r="AU66" s="378"/>
      <c r="AV66" s="383"/>
      <c r="AW66" s="362">
        <f t="shared" si="4"/>
      </c>
      <c r="AX66" s="362">
        <f t="shared" si="5"/>
      </c>
      <c r="AY66" s="362">
        <f t="shared" si="6"/>
      </c>
      <c r="AZ66" s="381">
        <f t="shared" si="7"/>
      </c>
      <c r="BA66" s="384">
        <f t="shared" si="8"/>
      </c>
      <c r="BB66" s="429"/>
      <c r="BC66" s="362">
        <f t="shared" si="9"/>
      </c>
      <c r="BD66" s="430">
        <f t="shared" si="10"/>
      </c>
      <c r="BE66" s="372">
        <f t="shared" si="11"/>
      </c>
      <c r="BF66" s="373">
        <f>IF(OR(AA66="Error",AS66="Error",BA66="Error",BD66="Error"),"Error",
 IF(D66="","",
 IF(AND(N($AA$6)+N($AS$6)+N($BA$7)=100%,
 OR(N($AA$6)=0,AA66&lt;&gt;""),OR(N($AS$6)=0,AS66&lt;&gt;""),OR(N($BA$7)=0,BA66&lt;&gt;""),BE66&lt;&gt;""),
 _xlfn.XLOOKUP(BE66,'Helper 1'!$B$3:$B$43,'Helper 1'!$D$3:$D$43,,-1),"")))</f>
      </c>
      <c r="BG66" s="374">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7" ht="15.95" customHeight="1" spans="2:59" x14ac:dyDescent="0.25">
      <c r="B67" s="305">
        <v>59</v>
      </c>
      <c r="C67" s="375">
        <f>IF('Data Input'!M65="","",'Data Input'!M65)</f>
      </c>
      <c r="D67" s="376">
        <f>IF(ISBLANK('Data Input'!N65),"",PROPER('Data Input'!N65))</f>
      </c>
      <c r="E67" s="377"/>
      <c r="F67" s="377"/>
      <c r="G67" s="377"/>
      <c r="H67" s="377"/>
      <c r="I67" s="377"/>
      <c r="J67" s="377"/>
      <c r="K67" s="377"/>
      <c r="L67" s="377"/>
      <c r="M67" s="377"/>
      <c r="N67" s="377"/>
      <c r="O67" s="377"/>
      <c r="P67" s="377"/>
      <c r="Q67" s="377"/>
      <c r="R67" s="377"/>
      <c r="S67" s="377"/>
      <c r="T67" s="377"/>
      <c r="U67" s="378"/>
      <c r="V67" s="378"/>
      <c r="W67" s="378"/>
      <c r="X67" s="378"/>
      <c r="Y67" s="216">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7" s="381">
        <f t="shared" si="0"/>
      </c>
      <c r="AA67" s="382">
        <f t="shared" si="1"/>
      </c>
      <c r="AB67" s="379"/>
      <c r="AC67" s="377"/>
      <c r="AD67" s="377"/>
      <c r="AE67" s="377"/>
      <c r="AF67" s="377"/>
      <c r="AG67" s="377"/>
      <c r="AH67" s="377"/>
      <c r="AI67" s="377"/>
      <c r="AJ67" s="377"/>
      <c r="AK67" s="377"/>
      <c r="AL67" s="377"/>
      <c r="AM67" s="377"/>
      <c r="AN67" s="377"/>
      <c r="AO67" s="378"/>
      <c r="AP67" s="378"/>
      <c r="AQ67" s="216">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7" s="381">
        <f t="shared" si="2"/>
      </c>
      <c r="AS67" s="382">
        <f t="shared" si="3"/>
      </c>
      <c r="AT67" s="377"/>
      <c r="AU67" s="378"/>
      <c r="AV67" s="383"/>
      <c r="AW67" s="362">
        <f t="shared" si="4"/>
      </c>
      <c r="AX67" s="362">
        <f t="shared" si="5"/>
      </c>
      <c r="AY67" s="362">
        <f t="shared" si="6"/>
      </c>
      <c r="AZ67" s="381">
        <f t="shared" si="7"/>
      </c>
      <c r="BA67" s="384">
        <f t="shared" si="8"/>
      </c>
      <c r="BB67" s="429"/>
      <c r="BC67" s="362">
        <f t="shared" si="9"/>
      </c>
      <c r="BD67" s="430">
        <f t="shared" si="10"/>
      </c>
      <c r="BE67" s="372">
        <f t="shared" si="11"/>
      </c>
      <c r="BF67" s="373">
        <f>IF(OR(AA67="Error",AS67="Error",BA67="Error",BD67="Error"),"Error",
 IF(D67="","",
 IF(AND(N($AA$6)+N($AS$6)+N($BA$7)=100%,
 OR(N($AA$6)=0,AA67&lt;&gt;""),OR(N($AS$6)=0,AS67&lt;&gt;""),OR(N($BA$7)=0,BA67&lt;&gt;""),BE67&lt;&gt;""),
 _xlfn.XLOOKUP(BE67,'Helper 1'!$B$3:$B$43,'Helper 1'!$D$3:$D$43,,-1),"")))</f>
      </c>
      <c r="BG67" s="374">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8" ht="15.95" customHeight="1" spans="2:59" x14ac:dyDescent="0.25">
      <c r="B68" s="387">
        <v>60</v>
      </c>
      <c r="C68" s="162">
        <f>IF('Data Input'!M66="","",'Data Input'!M66)</f>
      </c>
      <c r="D68" s="388">
        <f>IF(ISBLANK('Data Input'!N66),"",PROPER('Data Input'!N66))</f>
      </c>
      <c r="E68" s="389"/>
      <c r="F68" s="389"/>
      <c r="G68" s="389"/>
      <c r="H68" s="389"/>
      <c r="I68" s="389"/>
      <c r="J68" s="389"/>
      <c r="K68" s="389"/>
      <c r="L68" s="389"/>
      <c r="M68" s="389"/>
      <c r="N68" s="389"/>
      <c r="O68" s="389"/>
      <c r="P68" s="389"/>
      <c r="Q68" s="389"/>
      <c r="R68" s="389"/>
      <c r="S68" s="389"/>
      <c r="T68" s="389"/>
      <c r="U68" s="390"/>
      <c r="V68" s="390"/>
      <c r="W68" s="390"/>
      <c r="X68" s="390"/>
      <c r="Y68" s="393">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c>
      <c r="Z68" s="394">
        <f t="shared" si="0"/>
      </c>
      <c r="AA68" s="395">
        <f t="shared" si="1"/>
      </c>
      <c r="AB68" s="391"/>
      <c r="AC68" s="389"/>
      <c r="AD68" s="389"/>
      <c r="AE68" s="389"/>
      <c r="AF68" s="389"/>
      <c r="AG68" s="389"/>
      <c r="AH68" s="389"/>
      <c r="AI68" s="389"/>
      <c r="AJ68" s="389"/>
      <c r="AK68" s="389"/>
      <c r="AL68" s="389"/>
      <c r="AM68" s="389"/>
      <c r="AN68" s="389"/>
      <c r="AO68" s="390"/>
      <c r="AP68" s="390"/>
      <c r="AQ68" s="393">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c>
      <c r="AR68" s="394">
        <f t="shared" si="2"/>
      </c>
      <c r="AS68" s="395">
        <f t="shared" si="3"/>
      </c>
      <c r="AT68" s="389"/>
      <c r="AU68" s="390"/>
      <c r="AV68" s="396"/>
      <c r="AW68" s="397">
        <f t="shared" si="4"/>
      </c>
      <c r="AX68" s="397">
        <f t="shared" si="5"/>
      </c>
      <c r="AY68" s="397">
        <f t="shared" si="6"/>
      </c>
      <c r="AZ68" s="394">
        <f t="shared" si="7"/>
      </c>
      <c r="BA68" s="398">
        <f t="shared" si="8"/>
      </c>
      <c r="BB68" s="431"/>
      <c r="BC68" s="397">
        <f t="shared" si="9"/>
      </c>
      <c r="BD68" s="432">
        <f t="shared" si="10"/>
      </c>
      <c r="BE68" s="372">
        <f t="shared" si="11"/>
      </c>
      <c r="BF68" s="373">
        <f>IF(OR(AA68="Error",AS68="Error",BA68="Error",BD68="Error"),"Error",
 IF(D68="","",
 IF(AND(N($AA$6)+N($AS$6)+N($BA$7)=100%,
 OR(N($AA$6)=0,AA68&lt;&gt;""),OR(N($AS$6)=0,AS68&lt;&gt;""),OR(N($BA$7)=0,BA68&lt;&gt;""),BE68&lt;&gt;""),
 _xlfn.XLOOKUP(BE68,'Helper 1'!$B$3:$B$43,'Helper 1'!$D$3:$D$43,,-1),"")))</f>
      </c>
      <c r="BG68" s="374">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c>
    </row>
    <row r="69" spans="2:59" x14ac:dyDescent="0.25">
      <c r="B69" s="401"/>
      <c r="C69" s="401"/>
      <c r="D69" s="401"/>
      <c r="E69" s="401"/>
      <c r="F69" s="401"/>
      <c r="G69" s="401"/>
      <c r="H69" s="401"/>
      <c r="I69" s="401"/>
      <c r="J69" s="401"/>
      <c r="K69" s="401"/>
      <c r="L69" s="401"/>
      <c r="M69" s="401"/>
      <c r="N69" s="401"/>
      <c r="O69" s="401"/>
      <c r="P69" s="401"/>
      <c r="Q69" s="401"/>
      <c r="R69" s="401"/>
      <c r="S69" s="401"/>
      <c r="T69" s="401"/>
      <c r="U69" s="401"/>
      <c r="V69" s="401"/>
      <c r="W69" s="401"/>
      <c r="X69" s="401"/>
      <c r="Y69" s="401"/>
      <c r="Z69" s="401"/>
      <c r="AA69" s="401"/>
      <c r="AB69" s="401"/>
      <c r="AC69" s="401"/>
      <c r="AD69" s="401"/>
      <c r="AE69" s="401"/>
      <c r="AF69" s="401"/>
      <c r="AG69" s="401"/>
      <c r="AH69" s="401"/>
      <c r="AI69" s="401"/>
      <c r="AJ69" s="401"/>
      <c r="AK69" s="401"/>
      <c r="AL69" s="401"/>
      <c r="AM69" s="401"/>
      <c r="AN69" s="401"/>
      <c r="AO69" s="401"/>
      <c r="AP69" s="401"/>
      <c r="AQ69" s="401"/>
      <c r="AR69" s="401"/>
      <c r="AS69" s="401"/>
      <c r="AT69" s="401"/>
      <c r="AU69" s="401"/>
      <c r="AV69" s="401"/>
      <c r="AW69" s="401"/>
      <c r="AX69" s="401"/>
      <c r="AY69" s="401"/>
      <c r="AZ69" s="401"/>
      <c r="BA69" s="401"/>
      <c r="BB69" s="401"/>
      <c r="BC69" s="401"/>
      <c r="BD69" s="401"/>
      <c r="BE69" s="401"/>
      <c r="BF69" s="401"/>
      <c r="BG69" s="401"/>
    </row>
  </sheetData>
  <sheetProtection sheet="1" algorithmName="SHA-512" hashValue="RY4Sj0H8ZAqLxyhRqXNhRZm1gYDDAIno/u9OtpaOcxM3waJ9lKctIdwo1+F3rfP3dcahnLTRkco7fq5ZUlruEw==" saltValue="wTWgtaW9Wpf2aCGEGZZpbQ==" spinCount="100000" objects="1" scenarios="1"/>
  <mergeCells count="51">
    <mergeCell ref="B2:C2"/>
    <mergeCell ref="E2:X2"/>
    <mergeCell ref="Y2:AA2"/>
    <mergeCell ref="AB2:AD2"/>
    <mergeCell ref="AE2:AH2"/>
    <mergeCell ref="AI2:AQ2"/>
    <mergeCell ref="AR2:AS2"/>
    <mergeCell ref="AT2:AW2"/>
    <mergeCell ref="AX2:BA2"/>
    <mergeCell ref="BB2:BD4"/>
    <mergeCell ref="BE2:BG3"/>
    <mergeCell ref="B3:C3"/>
    <mergeCell ref="E3:X3"/>
    <mergeCell ref="Y3:AA3"/>
    <mergeCell ref="AB3:AD3"/>
    <mergeCell ref="AE3:AH3"/>
    <mergeCell ref="AI3:AQ3"/>
    <mergeCell ref="AR3:AS3"/>
    <mergeCell ref="AT3:AW3"/>
    <mergeCell ref="AX3:BA3"/>
    <mergeCell ref="B4:D4"/>
    <mergeCell ref="E4:AA4"/>
    <mergeCell ref="AB4:AS4"/>
    <mergeCell ref="AT4:BA4"/>
    <mergeCell ref="B5:C8"/>
    <mergeCell ref="BE4:BE8"/>
    <mergeCell ref="BF4:BF8"/>
    <mergeCell ref="BG4:BG8"/>
    <mergeCell ref="D5:D8"/>
    <mergeCell ref="AW5:AW6"/>
    <mergeCell ref="AX5:AX6"/>
    <mergeCell ref="AY5:AY6"/>
    <mergeCell ref="AZ5:AZ6"/>
    <mergeCell ref="BA5:BA6"/>
    <mergeCell ref="BD5:BD8"/>
    <mergeCell ref="Y6:Y8"/>
    <mergeCell ref="Z6:Z8"/>
    <mergeCell ref="AA6:AA8"/>
    <mergeCell ref="AQ6:AQ8"/>
    <mergeCell ref="AR6:AR8"/>
    <mergeCell ref="AS6:AS8"/>
    <mergeCell ref="AT6:AT7"/>
    <mergeCell ref="AU6:AU7"/>
    <mergeCell ref="AV6:AV7"/>
    <mergeCell ref="BB6:BB7"/>
    <mergeCell ref="BC6:BC8"/>
    <mergeCell ref="AW7:AW8"/>
    <mergeCell ref="AX7:AX8"/>
    <mergeCell ref="AY7:AY8"/>
    <mergeCell ref="AZ7:AZ8"/>
    <mergeCell ref="BA7:BA8"/>
  </mergeCells>
  <conditionalFormatting sqref="E6:X6">
    <cfRule type="expression" dxfId="25" priority="11">
      <formula>AND(ISTEXT(E$6),(E$6&lt;&gt;""))</formula>
    </cfRule>
  </conditionalFormatting>
  <conditionalFormatting sqref="E9:X68">
    <cfRule type="expression" dxfId="26" priority="3">
      <formula>AND($D9&lt;&gt;"",E$6&lt;&gt;"",E9="")</formula>
    </cfRule>
    <cfRule type="expression" dxfId="27" priority="14">
      <formula>OR(ISTEXT(E9),E9&gt;E$6)</formula>
    </cfRule>
  </conditionalFormatting>
  <conditionalFormatting sqref="AB6:AP6">
    <cfRule type="expression" dxfId="28" priority="12">
      <formula>AND(ISTEXT(AB$6),(AB$6&lt;&gt;""))</formula>
    </cfRule>
  </conditionalFormatting>
  <conditionalFormatting sqref="AB9:AP68">
    <cfRule type="expression" dxfId="29" priority="2">
      <formula>AND($D9&lt;&gt;"",AB$6&lt;&gt;"",AB9="")</formula>
    </cfRule>
    <cfRule type="expression" dxfId="30" priority="15">
      <formula>OR(ISTEXT(AB9),AB9&gt;AB$6)</formula>
    </cfRule>
  </conditionalFormatting>
  <conditionalFormatting sqref="AT6:AV6">
    <cfRule type="expression" dxfId="31" priority="13">
      <formula>AND(ISTEXT(AT$6),(AT$6&lt;&gt;""))</formula>
    </cfRule>
  </conditionalFormatting>
  <conditionalFormatting sqref="AT9:AV68">
    <cfRule type="expression" dxfId="32" priority="1">
      <formula>AND($D9&lt;&gt;"",AT$6&lt;&gt;"",AT9="")</formula>
    </cfRule>
    <cfRule type="expression" dxfId="33" priority="16">
      <formula>OR(ISTEXT(AT9),AT9&gt;AT$6)</formula>
    </cfRule>
  </conditionalFormatting>
  <conditionalFormatting sqref="BB9:BB68">
    <cfRule type="expression" dxfId="34" priority="7">
      <formula>BB9&gt;$BB$6</formula>
    </cfRule>
  </conditionalFormatting>
  <conditionalFormatting sqref="BF9:BF68">
    <cfRule type="cellIs" dxfId="35" priority="8" operator="lessThan">
      <formula>75</formula>
    </cfRule>
  </conditionalFormatting>
  <conditionalFormatting sqref="BD9:BD68">
    <cfRule priority="5"/>
  </conditionalFormatting>
  <conditionalFormatting sqref="BG9:BG68">
    <cfRule priority="4"/>
  </conditionalFormatting>
  <conditionalFormatting sqref="BG9:BG68">
    <cfRule priority="9"/>
  </conditionalFormatting>
  <conditionalFormatting sqref="BG9:BG68">
    <cfRule priority="10"/>
  </conditionalFormatting>
  <dataValidations count="2299">
    <dataValidation showInputMessage="1" prompt="Weighted Score" showErrorMessage="1" sqref="AA5"/>
    <dataValidation type="whole" allowBlank="1" showInputMessage="1" showErrorMessage="1" sqref="AB10">
      <formula1>0</formula1>
      <formula2>NaN</formula2>
    </dataValidation>
    <dataValidation type="whole" allowBlank="1" showInputMessage="1" showErrorMessage="1" sqref="AB11">
      <formula1>0</formula1>
      <formula2>NaN</formula2>
    </dataValidation>
    <dataValidation type="whole" allowBlank="1" showInputMessage="1" showErrorMessage="1" sqref="AB12">
      <formula1>0</formula1>
      <formula2>NaN</formula2>
    </dataValidation>
    <dataValidation type="whole" allowBlank="1" showInputMessage="1" showErrorMessage="1" sqref="AB13">
      <formula1>0</formula1>
      <formula2>NaN</formula2>
    </dataValidation>
    <dataValidation type="whole" allowBlank="1" showInputMessage="1" showErrorMessage="1" sqref="AB14">
      <formula1>0</formula1>
      <formula2>NaN</formula2>
    </dataValidation>
    <dataValidation type="whole" allowBlank="1" showInputMessage="1" showErrorMessage="1" sqref="AB15">
      <formula1>0</formula1>
      <formula2>NaN</formula2>
    </dataValidation>
    <dataValidation type="whole" allowBlank="1" showInputMessage="1" showErrorMessage="1" sqref="AB16">
      <formula1>0</formula1>
      <formula2>NaN</formula2>
    </dataValidation>
    <dataValidation type="whole" allowBlank="1" showInputMessage="1" showErrorMessage="1" sqref="AB17">
      <formula1>0</formula1>
      <formula2>NaN</formula2>
    </dataValidation>
    <dataValidation type="whole" allowBlank="1" showInputMessage="1" showErrorMessage="1" sqref="AB18">
      <formula1>0</formula1>
      <formula2>NaN</formula2>
    </dataValidation>
    <dataValidation type="whole" allowBlank="1" showInputMessage="1" showErrorMessage="1" sqref="AB19">
      <formula1>0</formula1>
      <formula2>NaN</formula2>
    </dataValidation>
    <dataValidation type="whole" allowBlank="1" showInputMessage="1" showErrorMessage="1" sqref="AB20">
      <formula1>0</formula1>
      <formula2>NaN</formula2>
    </dataValidation>
    <dataValidation type="whole" allowBlank="1" showInputMessage="1" showErrorMessage="1" sqref="AB21">
      <formula1>0</formula1>
      <formula2>NaN</formula2>
    </dataValidation>
    <dataValidation type="whole" allowBlank="1" showInputMessage="1" showErrorMessage="1" sqref="AB22">
      <formula1>0</formula1>
      <formula2>NaN</formula2>
    </dataValidation>
    <dataValidation type="whole" allowBlank="1" showInputMessage="1" showErrorMessage="1" sqref="AB23">
      <formula1>0</formula1>
      <formula2>NaN</formula2>
    </dataValidation>
    <dataValidation type="whole" allowBlank="1" showInputMessage="1" showErrorMessage="1" sqref="AB24">
      <formula1>0</formula1>
      <formula2>NaN</formula2>
    </dataValidation>
    <dataValidation type="whole" allowBlank="1" showInputMessage="1" showErrorMessage="1" sqref="AB25">
      <formula1>0</formula1>
      <formula2>NaN</formula2>
    </dataValidation>
    <dataValidation type="whole" allowBlank="1" showInputMessage="1" showErrorMessage="1" sqref="AB26">
      <formula1>0</formula1>
      <formula2>NaN</formula2>
    </dataValidation>
    <dataValidation type="whole" allowBlank="1" showInputMessage="1" showErrorMessage="1" sqref="AB27">
      <formula1>0</formula1>
      <formula2>NaN</formula2>
    </dataValidation>
    <dataValidation type="whole" allowBlank="1" showInputMessage="1" showErrorMessage="1" sqref="AB28">
      <formula1>0</formula1>
      <formula2>NaN</formula2>
    </dataValidation>
    <dataValidation type="whole" allowBlank="1" showInputMessage="1" showErrorMessage="1" sqref="AB29">
      <formula1>0</formula1>
      <formula2>NaN</formula2>
    </dataValidation>
    <dataValidation type="whole" allowBlank="1" showInputMessage="1" showErrorMessage="1" sqref="AB30">
      <formula1>0</formula1>
      <formula2>NaN</formula2>
    </dataValidation>
    <dataValidation type="whole" allowBlank="1" showInputMessage="1" showErrorMessage="1" sqref="AB31">
      <formula1>0</formula1>
      <formula2>NaN</formula2>
    </dataValidation>
    <dataValidation type="whole" allowBlank="1" showInputMessage="1" showErrorMessage="1" sqref="AB32">
      <formula1>0</formula1>
      <formula2>NaN</formula2>
    </dataValidation>
    <dataValidation type="whole" allowBlank="1" showInputMessage="1" showErrorMessage="1" sqref="AB33">
      <formula1>0</formula1>
      <formula2>NaN</formula2>
    </dataValidation>
    <dataValidation type="whole" allowBlank="1" showInputMessage="1" showErrorMessage="1" sqref="AB34">
      <formula1>0</formula1>
      <formula2>NaN</formula2>
    </dataValidation>
    <dataValidation type="whole" allowBlank="1" showInputMessage="1" showErrorMessage="1" sqref="AB35">
      <formula1>0</formula1>
      <formula2>NaN</formula2>
    </dataValidation>
    <dataValidation type="whole" allowBlank="1" showInputMessage="1" showErrorMessage="1" sqref="AB36">
      <formula1>0</formula1>
      <formula2>NaN</formula2>
    </dataValidation>
    <dataValidation type="whole" allowBlank="1" showInputMessage="1" showErrorMessage="1" sqref="AB37">
      <formula1>0</formula1>
      <formula2>NaN</formula2>
    </dataValidation>
    <dataValidation type="whole" allowBlank="1" showInputMessage="1" showErrorMessage="1" sqref="AB38">
      <formula1>0</formula1>
      <formula2>NaN</formula2>
    </dataValidation>
    <dataValidation type="whole" allowBlank="1" showInputMessage="1" showErrorMessage="1" sqref="AB39">
      <formula1>0</formula1>
      <formula2>NaN</formula2>
    </dataValidation>
    <dataValidation type="whole" allowBlank="1" showInputMessage="1" showErrorMessage="1" sqref="AB40">
      <formula1>0</formula1>
      <formula2>NaN</formula2>
    </dataValidation>
    <dataValidation type="whole" allowBlank="1" showInputMessage="1" showErrorMessage="1" sqref="AB41">
      <formula1>0</formula1>
      <formula2>NaN</formula2>
    </dataValidation>
    <dataValidation type="whole" allowBlank="1" showInputMessage="1" showErrorMessage="1" sqref="AB42">
      <formula1>0</formula1>
      <formula2>NaN</formula2>
    </dataValidation>
    <dataValidation type="whole" allowBlank="1" showInputMessage="1" showErrorMessage="1" sqref="AB43">
      <formula1>0</formula1>
      <formula2>NaN</formula2>
    </dataValidation>
    <dataValidation type="whole" allowBlank="1" showInputMessage="1" showErrorMessage="1" sqref="AB44">
      <formula1>0</formula1>
      <formula2>NaN</formula2>
    </dataValidation>
    <dataValidation type="whole" allowBlank="1" showInputMessage="1" showErrorMessage="1" sqref="AB45">
      <formula1>0</formula1>
      <formula2>NaN</formula2>
    </dataValidation>
    <dataValidation type="whole" allowBlank="1" showInputMessage="1" showErrorMessage="1" sqref="AB46">
      <formula1>0</formula1>
      <formula2>NaN</formula2>
    </dataValidation>
    <dataValidation type="whole" allowBlank="1" showInputMessage="1" showErrorMessage="1" sqref="AB47">
      <formula1>0</formula1>
      <formula2>NaN</formula2>
    </dataValidation>
    <dataValidation type="whole" allowBlank="1" showInputMessage="1" showErrorMessage="1" sqref="AB48">
      <formula1>0</formula1>
      <formula2>NaN</formula2>
    </dataValidation>
    <dataValidation type="whole" allowBlank="1" showInputMessage="1" showErrorMessage="1" sqref="AB49">
      <formula1>0</formula1>
      <formula2>NaN</formula2>
    </dataValidation>
    <dataValidation type="whole" allowBlank="1" showInputMessage="1" showErrorMessage="1" sqref="AB50">
      <formula1>0</formula1>
      <formula2>NaN</formula2>
    </dataValidation>
    <dataValidation type="whole" allowBlank="1" showInputMessage="1" showErrorMessage="1" sqref="AB51">
      <formula1>0</formula1>
      <formula2>NaN</formula2>
    </dataValidation>
    <dataValidation type="whole" allowBlank="1" showInputMessage="1" showErrorMessage="1" sqref="AB52">
      <formula1>0</formula1>
      <formula2>NaN</formula2>
    </dataValidation>
    <dataValidation type="whole" allowBlank="1" showInputMessage="1" showErrorMessage="1" sqref="AB53">
      <formula1>0</formula1>
      <formula2>NaN</formula2>
    </dataValidation>
    <dataValidation type="whole" allowBlank="1" showInputMessage="1" showErrorMessage="1" sqref="AB54">
      <formula1>0</formula1>
      <formula2>NaN</formula2>
    </dataValidation>
    <dataValidation type="whole" allowBlank="1" showInputMessage="1" showErrorMessage="1" sqref="AB55">
      <formula1>0</formula1>
      <formula2>NaN</formula2>
    </dataValidation>
    <dataValidation type="whole" allowBlank="1" showInputMessage="1" showErrorMessage="1" sqref="AB56">
      <formula1>0</formula1>
      <formula2>NaN</formula2>
    </dataValidation>
    <dataValidation type="whole" allowBlank="1" showInputMessage="1" showErrorMessage="1" sqref="AB57">
      <formula1>0</formula1>
      <formula2>NaN</formula2>
    </dataValidation>
    <dataValidation type="whole" allowBlank="1" showInputMessage="1" showErrorMessage="1" sqref="AB58">
      <formula1>0</formula1>
      <formula2>NaN</formula2>
    </dataValidation>
    <dataValidation type="whole" allowBlank="1" showInputMessage="1" showErrorMessage="1" sqref="AB59">
      <formula1>0</formula1>
      <formula2>NaN</formula2>
    </dataValidation>
    <dataValidation showInputMessage="1" prompt="Input possible highest score here" showErrorMessage="1" sqref="AB6:AP6"/>
    <dataValidation type="whole" allowBlank="1" showInputMessage="1" showErrorMessage="1" sqref="AB60">
      <formula1>0</formula1>
      <formula2>NaN</formula2>
    </dataValidation>
    <dataValidation type="whole" allowBlank="1" showInputMessage="1" showErrorMessage="1" sqref="AB61">
      <formula1>0</formula1>
      <formula2>NaN</formula2>
    </dataValidation>
    <dataValidation type="whole" allowBlank="1" showInputMessage="1" showErrorMessage="1" sqref="AB62">
      <formula1>0</formula1>
      <formula2>NaN</formula2>
    </dataValidation>
    <dataValidation type="whole" allowBlank="1" showInputMessage="1" showErrorMessage="1" sqref="AB63">
      <formula1>0</formula1>
      <formula2>NaN</formula2>
    </dataValidation>
    <dataValidation type="whole" allowBlank="1" showInputMessage="1" showErrorMessage="1" sqref="AB64">
      <formula1>0</formula1>
      <formula2>NaN</formula2>
    </dataValidation>
    <dataValidation type="whole" allowBlank="1" showInputMessage="1" showErrorMessage="1" sqref="AB65">
      <formula1>0</formula1>
      <formula2>NaN</formula2>
    </dataValidation>
    <dataValidation type="whole" allowBlank="1" showInputMessage="1" showErrorMessage="1" sqref="AB66">
      <formula1>0</formula1>
      <formula2>NaN</formula2>
    </dataValidation>
    <dataValidation type="whole" allowBlank="1" showInputMessage="1" showErrorMessage="1" sqref="AB67">
      <formula1>0</formula1>
      <formula2>NaN</formula2>
    </dataValidation>
    <dataValidation type="whole" allowBlank="1" showInputMessage="1" showErrorMessage="1" sqref="AB68">
      <formula1>0</formula1>
      <formula2>NaN</formula2>
    </dataValidation>
    <dataValidation type="date" allowBlank="1" showInputMessage="1" prompt="Input date here_x000a_" showErrorMessage="1" sqref="AB7:AP7">
      <formula1>1</formula1>
      <formula2>NaN</formula2>
    </dataValidation>
    <dataValidation showInputMessage="1" prompt="Personal Remarks for FMs – You may enter any remarks here. Sample tags include:_x000a_ _x000a_A1 - Activity 1_x000a_REC1 - Recitation 1_x000a_Q1 - Quiz 1_x000a_1L1 - 01 LMS Activity 1" showErrorMessage="1" sqref="AB8:AP8"/>
    <dataValidation type="whole" allowBlank="1" showInputMessage="1" showErrorMessage="1" sqref="AB9">
      <formula1>0</formula1>
      <formula2>NaN</formula2>
    </dataValidation>
    <dataValidation type="whole" allowBlank="1" showInputMessage="1" showErrorMessage="1" sqref="AC10">
      <formula1>0</formula1>
      <formula2>NaN</formula2>
    </dataValidation>
    <dataValidation type="whole" allowBlank="1" showInputMessage="1" showErrorMessage="1" sqref="AC11">
      <formula1>0</formula1>
      <formula2>NaN</formula2>
    </dataValidation>
    <dataValidation type="whole" allowBlank="1" showInputMessage="1" showErrorMessage="1" sqref="AC12">
      <formula1>0</formula1>
      <formula2>NaN</formula2>
    </dataValidation>
    <dataValidation type="whole" allowBlank="1" showInputMessage="1" showErrorMessage="1" sqref="AC13">
      <formula1>0</formula1>
      <formula2>NaN</formula2>
    </dataValidation>
    <dataValidation type="whole" allowBlank="1" showInputMessage="1" showErrorMessage="1" sqref="AC14">
      <formula1>0</formula1>
      <formula2>NaN</formula2>
    </dataValidation>
    <dataValidation type="whole" allowBlank="1" showInputMessage="1" showErrorMessage="1" sqref="AC15">
      <formula1>0</formula1>
      <formula2>NaN</formula2>
    </dataValidation>
    <dataValidation type="whole" allowBlank="1" showInputMessage="1" showErrorMessage="1" sqref="AC16">
      <formula1>0</formula1>
      <formula2>NaN</formula2>
    </dataValidation>
    <dataValidation type="whole" allowBlank="1" showInputMessage="1" showErrorMessage="1" sqref="AC17">
      <formula1>0</formula1>
      <formula2>NaN</formula2>
    </dataValidation>
    <dataValidation type="whole" allowBlank="1" showInputMessage="1" showErrorMessage="1" sqref="AC18">
      <formula1>0</formula1>
      <formula2>NaN</formula2>
    </dataValidation>
    <dataValidation type="whole" allowBlank="1" showInputMessage="1" showErrorMessage="1" sqref="AC19">
      <formula1>0</formula1>
      <formula2>NaN</formula2>
    </dataValidation>
    <dataValidation type="whole" allowBlank="1" showInputMessage="1" showErrorMessage="1" sqref="AC20">
      <formula1>0</formula1>
      <formula2>NaN</formula2>
    </dataValidation>
    <dataValidation type="whole" allowBlank="1" showInputMessage="1" showErrorMessage="1" sqref="AC21">
      <formula1>0</formula1>
      <formula2>NaN</formula2>
    </dataValidation>
    <dataValidation type="whole" allowBlank="1" showInputMessage="1" showErrorMessage="1" sqref="AC22">
      <formula1>0</formula1>
      <formula2>NaN</formula2>
    </dataValidation>
    <dataValidation type="whole" allowBlank="1" showInputMessage="1" showErrorMessage="1" sqref="AC23">
      <formula1>0</formula1>
      <formula2>NaN</formula2>
    </dataValidation>
    <dataValidation type="whole" allowBlank="1" showInputMessage="1" showErrorMessage="1" sqref="AC24">
      <formula1>0</formula1>
      <formula2>NaN</formula2>
    </dataValidation>
    <dataValidation type="whole" allowBlank="1" showInputMessage="1" showErrorMessage="1" sqref="AC25">
      <formula1>0</formula1>
      <formula2>NaN</formula2>
    </dataValidation>
    <dataValidation type="whole" allowBlank="1" showInputMessage="1" showErrorMessage="1" sqref="AC26">
      <formula1>0</formula1>
      <formula2>NaN</formula2>
    </dataValidation>
    <dataValidation type="whole" allowBlank="1" showInputMessage="1" showErrorMessage="1" sqref="AC27">
      <formula1>0</formula1>
      <formula2>NaN</formula2>
    </dataValidation>
    <dataValidation type="whole" allowBlank="1" showInputMessage="1" showErrorMessage="1" sqref="AC28">
      <formula1>0</formula1>
      <formula2>NaN</formula2>
    </dataValidation>
    <dataValidation type="whole" allowBlank="1" showInputMessage="1" showErrorMessage="1" sqref="AC29">
      <formula1>0</formula1>
      <formula2>NaN</formula2>
    </dataValidation>
    <dataValidation type="whole" allowBlank="1" showInputMessage="1" showErrorMessage="1" sqref="AC30">
      <formula1>0</formula1>
      <formula2>NaN</formula2>
    </dataValidation>
    <dataValidation type="whole" allowBlank="1" showInputMessage="1" showErrorMessage="1" sqref="AC31">
      <formula1>0</formula1>
      <formula2>NaN</formula2>
    </dataValidation>
    <dataValidation type="whole" allowBlank="1" showInputMessage="1" showErrorMessage="1" sqref="AC32">
      <formula1>0</formula1>
      <formula2>NaN</formula2>
    </dataValidation>
    <dataValidation type="whole" allowBlank="1" showInputMessage="1" showErrorMessage="1" sqref="AC33">
      <formula1>0</formula1>
      <formula2>NaN</formula2>
    </dataValidation>
    <dataValidation type="whole" allowBlank="1" showInputMessage="1" showErrorMessage="1" sqref="AC34">
      <formula1>0</formula1>
      <formula2>NaN</formula2>
    </dataValidation>
    <dataValidation type="whole" allowBlank="1" showInputMessage="1" showErrorMessage="1" sqref="AC35">
      <formula1>0</formula1>
      <formula2>NaN</formula2>
    </dataValidation>
    <dataValidation type="whole" allowBlank="1" showInputMessage="1" showErrorMessage="1" sqref="AC36">
      <formula1>0</formula1>
      <formula2>NaN</formula2>
    </dataValidation>
    <dataValidation type="whole" allowBlank="1" showInputMessage="1" showErrorMessage="1" sqref="AC37">
      <formula1>0</formula1>
      <formula2>NaN</formula2>
    </dataValidation>
    <dataValidation type="whole" allowBlank="1" showInputMessage="1" showErrorMessage="1" sqref="AC38">
      <formula1>0</formula1>
      <formula2>NaN</formula2>
    </dataValidation>
    <dataValidation type="whole" allowBlank="1" showInputMessage="1" showErrorMessage="1" sqref="AC39">
      <formula1>0</formula1>
      <formula2>NaN</formula2>
    </dataValidation>
    <dataValidation type="whole" allowBlank="1" showInputMessage="1" showErrorMessage="1" sqref="AC40">
      <formula1>0</formula1>
      <formula2>NaN</formula2>
    </dataValidation>
    <dataValidation type="whole" allowBlank="1" showInputMessage="1" showErrorMessage="1" sqref="AC41">
      <formula1>0</formula1>
      <formula2>NaN</formula2>
    </dataValidation>
    <dataValidation type="whole" allowBlank="1" showInputMessage="1" showErrorMessage="1" sqref="AC42">
      <formula1>0</formula1>
      <formula2>NaN</formula2>
    </dataValidation>
    <dataValidation type="whole" allowBlank="1" showInputMessage="1" showErrorMessage="1" sqref="AC43">
      <formula1>0</formula1>
      <formula2>NaN</formula2>
    </dataValidation>
    <dataValidation type="whole" allowBlank="1" showInputMessage="1" showErrorMessage="1" sqref="AC44">
      <formula1>0</formula1>
      <formula2>NaN</formula2>
    </dataValidation>
    <dataValidation type="whole" allowBlank="1" showInputMessage="1" showErrorMessage="1" sqref="AC45">
      <formula1>0</formula1>
      <formula2>NaN</formula2>
    </dataValidation>
    <dataValidation type="whole" allowBlank="1" showInputMessage="1" showErrorMessage="1" sqref="AC46">
      <formula1>0</formula1>
      <formula2>NaN</formula2>
    </dataValidation>
    <dataValidation type="whole" allowBlank="1" showInputMessage="1" showErrorMessage="1" sqref="AC47">
      <formula1>0</formula1>
      <formula2>NaN</formula2>
    </dataValidation>
    <dataValidation type="whole" allowBlank="1" showInputMessage="1" showErrorMessage="1" sqref="AC48">
      <formula1>0</formula1>
      <formula2>NaN</formula2>
    </dataValidation>
    <dataValidation type="whole" allowBlank="1" showInputMessage="1" showErrorMessage="1" sqref="AC49">
      <formula1>0</formula1>
      <formula2>NaN</formula2>
    </dataValidation>
    <dataValidation type="whole" allowBlank="1" showInputMessage="1" showErrorMessage="1" sqref="AC50">
      <formula1>0</formula1>
      <formula2>NaN</formula2>
    </dataValidation>
    <dataValidation type="whole" allowBlank="1" showInputMessage="1" showErrorMessage="1" sqref="AC51">
      <formula1>0</formula1>
      <formula2>NaN</formula2>
    </dataValidation>
    <dataValidation type="whole" allowBlank="1" showInputMessage="1" showErrorMessage="1" sqref="AC52">
      <formula1>0</formula1>
      <formula2>NaN</formula2>
    </dataValidation>
    <dataValidation type="whole" allowBlank="1" showInputMessage="1" showErrorMessage="1" sqref="AC53">
      <formula1>0</formula1>
      <formula2>NaN</formula2>
    </dataValidation>
    <dataValidation type="whole" allowBlank="1" showInputMessage="1" showErrorMessage="1" sqref="AC54">
      <formula1>0</formula1>
      <formula2>NaN</formula2>
    </dataValidation>
    <dataValidation type="whole" allowBlank="1" showInputMessage="1" showErrorMessage="1" sqref="AC55">
      <formula1>0</formula1>
      <formula2>NaN</formula2>
    </dataValidation>
    <dataValidation type="whole" allowBlank="1" showInputMessage="1" showErrorMessage="1" sqref="AC56">
      <formula1>0</formula1>
      <formula2>NaN</formula2>
    </dataValidation>
    <dataValidation type="whole" allowBlank="1" showInputMessage="1" showErrorMessage="1" sqref="AC57">
      <formula1>0</formula1>
      <formula2>NaN</formula2>
    </dataValidation>
    <dataValidation type="whole" allowBlank="1" showInputMessage="1" showErrorMessage="1" sqref="AC58">
      <formula1>0</formula1>
      <formula2>NaN</formula2>
    </dataValidation>
    <dataValidation type="whole" allowBlank="1" showInputMessage="1" showErrorMessage="1" sqref="AC59">
      <formula1>0</formula1>
      <formula2>NaN</formula2>
    </dataValidation>
    <dataValidation type="whole" allowBlank="1" showInputMessage="1" showErrorMessage="1" sqref="AC60">
      <formula1>0</formula1>
      <formula2>NaN</formula2>
    </dataValidation>
    <dataValidation type="whole" allowBlank="1" showInputMessage="1" showErrorMessage="1" sqref="AC61">
      <formula1>0</formula1>
      <formula2>NaN</formula2>
    </dataValidation>
    <dataValidation type="whole" allowBlank="1" showInputMessage="1" showErrorMessage="1" sqref="AC62">
      <formula1>0</formula1>
      <formula2>NaN</formula2>
    </dataValidation>
    <dataValidation type="whole" allowBlank="1" showInputMessage="1" showErrorMessage="1" sqref="AC63">
      <formula1>0</formula1>
      <formula2>NaN</formula2>
    </dataValidation>
    <dataValidation type="whole" allowBlank="1" showInputMessage="1" showErrorMessage="1" sqref="AC64">
      <formula1>0</formula1>
      <formula2>NaN</formula2>
    </dataValidation>
    <dataValidation type="whole" allowBlank="1" showInputMessage="1" showErrorMessage="1" sqref="AC65">
      <formula1>0</formula1>
      <formula2>NaN</formula2>
    </dataValidation>
    <dataValidation type="whole" allowBlank="1" showInputMessage="1" showErrorMessage="1" sqref="AC66">
      <formula1>0</formula1>
      <formula2>NaN</formula2>
    </dataValidation>
    <dataValidation type="whole" allowBlank="1" showInputMessage="1" showErrorMessage="1" sqref="AC67">
      <formula1>0</formula1>
      <formula2>NaN</formula2>
    </dataValidation>
    <dataValidation type="whole" allowBlank="1" showInputMessage="1" showErrorMessage="1" sqref="AC68">
      <formula1>0</formula1>
      <formula2>NaN</formula2>
    </dataValidation>
    <dataValidation type="whole" allowBlank="1" showInputMessage="1" showErrorMessage="1" sqref="AC9">
      <formula1>0</formula1>
      <formula2>NaN</formula2>
    </dataValidation>
    <dataValidation type="whole" allowBlank="1" showInputMessage="1" showErrorMessage="1" sqref="AD10">
      <formula1>0</formula1>
      <formula2>NaN</formula2>
    </dataValidation>
    <dataValidation type="whole" allowBlank="1" showInputMessage="1" showErrorMessage="1" sqref="AD11">
      <formula1>0</formula1>
      <formula2>NaN</formula2>
    </dataValidation>
    <dataValidation type="whole" allowBlank="1" showInputMessage="1" showErrorMessage="1" sqref="AD12">
      <formula1>0</formula1>
      <formula2>NaN</formula2>
    </dataValidation>
    <dataValidation type="whole" allowBlank="1" showInputMessage="1" showErrorMessage="1" sqref="AD13">
      <formula1>0</formula1>
      <formula2>NaN</formula2>
    </dataValidation>
    <dataValidation type="whole" allowBlank="1" showInputMessage="1" showErrorMessage="1" sqref="AD14">
      <formula1>0</formula1>
      <formula2>NaN</formula2>
    </dataValidation>
    <dataValidation type="whole" allowBlank="1" showInputMessage="1" showErrorMessage="1" sqref="AD15">
      <formula1>0</formula1>
      <formula2>NaN</formula2>
    </dataValidation>
    <dataValidation type="whole" allowBlank="1" showInputMessage="1" showErrorMessage="1" sqref="AD16">
      <formula1>0</formula1>
      <formula2>NaN</formula2>
    </dataValidation>
    <dataValidation type="whole" allowBlank="1" showInputMessage="1" showErrorMessage="1" sqref="AD17">
      <formula1>0</formula1>
      <formula2>NaN</formula2>
    </dataValidation>
    <dataValidation type="whole" allowBlank="1" showInputMessage="1" showErrorMessage="1" sqref="AD18">
      <formula1>0</formula1>
      <formula2>NaN</formula2>
    </dataValidation>
    <dataValidation type="whole" allowBlank="1" showInputMessage="1" showErrorMessage="1" sqref="AD19">
      <formula1>0</formula1>
      <formula2>NaN</formula2>
    </dataValidation>
    <dataValidation type="whole" allowBlank="1" showInputMessage="1" showErrorMessage="1" sqref="AD20">
      <formula1>0</formula1>
      <formula2>NaN</formula2>
    </dataValidation>
    <dataValidation type="whole" allowBlank="1" showInputMessage="1" showErrorMessage="1" sqref="AD21">
      <formula1>0</formula1>
      <formula2>NaN</formula2>
    </dataValidation>
    <dataValidation type="whole" allowBlank="1" showInputMessage="1" showErrorMessage="1" sqref="AD22">
      <formula1>0</formula1>
      <formula2>NaN</formula2>
    </dataValidation>
    <dataValidation type="whole" allowBlank="1" showInputMessage="1" showErrorMessage="1" sqref="AD23">
      <formula1>0</formula1>
      <formula2>NaN</formula2>
    </dataValidation>
    <dataValidation type="whole" allowBlank="1" showInputMessage="1" showErrorMessage="1" sqref="AD24">
      <formula1>0</formula1>
      <formula2>NaN</formula2>
    </dataValidation>
    <dataValidation type="whole" allowBlank="1" showInputMessage="1" showErrorMessage="1" sqref="AD25">
      <formula1>0</formula1>
      <formula2>NaN</formula2>
    </dataValidation>
    <dataValidation type="whole" allowBlank="1" showInputMessage="1" showErrorMessage="1" sqref="AD26">
      <formula1>0</formula1>
      <formula2>NaN</formula2>
    </dataValidation>
    <dataValidation type="whole" allowBlank="1" showInputMessage="1" showErrorMessage="1" sqref="AD27">
      <formula1>0</formula1>
      <formula2>NaN</formula2>
    </dataValidation>
    <dataValidation type="whole" allowBlank="1" showInputMessage="1" showErrorMessage="1" sqref="AD28">
      <formula1>0</formula1>
      <formula2>NaN</formula2>
    </dataValidation>
    <dataValidation type="whole" allowBlank="1" showInputMessage="1" showErrorMessage="1" sqref="AD29">
      <formula1>0</formula1>
      <formula2>NaN</formula2>
    </dataValidation>
    <dataValidation type="whole" allowBlank="1" showInputMessage="1" showErrorMessage="1" sqref="AD30">
      <formula1>0</formula1>
      <formula2>NaN</formula2>
    </dataValidation>
    <dataValidation type="whole" allowBlank="1" showInputMessage="1" showErrorMessage="1" sqref="AD31">
      <formula1>0</formula1>
      <formula2>NaN</formula2>
    </dataValidation>
    <dataValidation type="whole" allowBlank="1" showInputMessage="1" showErrorMessage="1" sqref="AD32">
      <formula1>0</formula1>
      <formula2>NaN</formula2>
    </dataValidation>
    <dataValidation type="whole" allowBlank="1" showInputMessage="1" showErrorMessage="1" sqref="AD33">
      <formula1>0</formula1>
      <formula2>NaN</formula2>
    </dataValidation>
    <dataValidation type="whole" allowBlank="1" showInputMessage="1" showErrorMessage="1" sqref="AD34">
      <formula1>0</formula1>
      <formula2>NaN</formula2>
    </dataValidation>
    <dataValidation type="whole" allowBlank="1" showInputMessage="1" showErrorMessage="1" sqref="AD35">
      <formula1>0</formula1>
      <formula2>NaN</formula2>
    </dataValidation>
    <dataValidation type="whole" allowBlank="1" showInputMessage="1" showErrorMessage="1" sqref="AD36">
      <formula1>0</formula1>
      <formula2>NaN</formula2>
    </dataValidation>
    <dataValidation type="whole" allowBlank="1" showInputMessage="1" showErrorMessage="1" sqref="AD37">
      <formula1>0</formula1>
      <formula2>NaN</formula2>
    </dataValidation>
    <dataValidation type="whole" allowBlank="1" showInputMessage="1" showErrorMessage="1" sqref="AD38">
      <formula1>0</formula1>
      <formula2>NaN</formula2>
    </dataValidation>
    <dataValidation type="whole" allowBlank="1" showInputMessage="1" showErrorMessage="1" sqref="AD39">
      <formula1>0</formula1>
      <formula2>NaN</formula2>
    </dataValidation>
    <dataValidation type="whole" allowBlank="1" showInputMessage="1" showErrorMessage="1" sqref="AD40">
      <formula1>0</formula1>
      <formula2>NaN</formula2>
    </dataValidation>
    <dataValidation type="whole" allowBlank="1" showInputMessage="1" showErrorMessage="1" sqref="AD41">
      <formula1>0</formula1>
      <formula2>NaN</formula2>
    </dataValidation>
    <dataValidation type="whole" allowBlank="1" showInputMessage="1" showErrorMessage="1" sqref="AD42">
      <formula1>0</formula1>
      <formula2>NaN</formula2>
    </dataValidation>
    <dataValidation type="whole" allowBlank="1" showInputMessage="1" showErrorMessage="1" sqref="AD43">
      <formula1>0</formula1>
      <formula2>NaN</formula2>
    </dataValidation>
    <dataValidation type="whole" allowBlank="1" showInputMessage="1" showErrorMessage="1" sqref="AD44">
      <formula1>0</formula1>
      <formula2>NaN</formula2>
    </dataValidation>
    <dataValidation type="whole" allowBlank="1" showInputMessage="1" showErrorMessage="1" sqref="AD45">
      <formula1>0</formula1>
      <formula2>NaN</formula2>
    </dataValidation>
    <dataValidation type="whole" allowBlank="1" showInputMessage="1" showErrorMessage="1" sqref="AD46">
      <formula1>0</formula1>
      <formula2>NaN</formula2>
    </dataValidation>
    <dataValidation type="whole" allowBlank="1" showInputMessage="1" showErrorMessage="1" sqref="AD47">
      <formula1>0</formula1>
      <formula2>NaN</formula2>
    </dataValidation>
    <dataValidation type="whole" allowBlank="1" showInputMessage="1" showErrorMessage="1" sqref="AD48">
      <formula1>0</formula1>
      <formula2>NaN</formula2>
    </dataValidation>
    <dataValidation type="whole" allowBlank="1" showInputMessage="1" showErrorMessage="1" sqref="AD49">
      <formula1>0</formula1>
      <formula2>NaN</formula2>
    </dataValidation>
    <dataValidation type="whole" allowBlank="1" showInputMessage="1" showErrorMessage="1" sqref="AD50">
      <formula1>0</formula1>
      <formula2>NaN</formula2>
    </dataValidation>
    <dataValidation type="whole" allowBlank="1" showInputMessage="1" showErrorMessage="1" sqref="AD51">
      <formula1>0</formula1>
      <formula2>NaN</formula2>
    </dataValidation>
    <dataValidation type="whole" allowBlank="1" showInputMessage="1" showErrorMessage="1" sqref="AD52">
      <formula1>0</formula1>
      <formula2>NaN</formula2>
    </dataValidation>
    <dataValidation type="whole" allowBlank="1" showInputMessage="1" showErrorMessage="1" sqref="AD53">
      <formula1>0</formula1>
      <formula2>NaN</formula2>
    </dataValidation>
    <dataValidation type="whole" allowBlank="1" showInputMessage="1" showErrorMessage="1" sqref="AD54">
      <formula1>0</formula1>
      <formula2>NaN</formula2>
    </dataValidation>
    <dataValidation type="whole" allowBlank="1" showInputMessage="1" showErrorMessage="1" sqref="AD55">
      <formula1>0</formula1>
      <formula2>NaN</formula2>
    </dataValidation>
    <dataValidation type="whole" allowBlank="1" showInputMessage="1" showErrorMessage="1" sqref="AD56">
      <formula1>0</formula1>
      <formula2>NaN</formula2>
    </dataValidation>
    <dataValidation type="whole" allowBlank="1" showInputMessage="1" showErrorMessage="1" sqref="AD57">
      <formula1>0</formula1>
      <formula2>NaN</formula2>
    </dataValidation>
    <dataValidation type="whole" allowBlank="1" showInputMessage="1" showErrorMessage="1" sqref="AD58">
      <formula1>0</formula1>
      <formula2>NaN</formula2>
    </dataValidation>
    <dataValidation type="whole" allowBlank="1" showInputMessage="1" showErrorMessage="1" sqref="AD59">
      <formula1>0</formula1>
      <formula2>NaN</formula2>
    </dataValidation>
    <dataValidation type="whole" allowBlank="1" showInputMessage="1" showErrorMessage="1" sqref="AD60">
      <formula1>0</formula1>
      <formula2>NaN</formula2>
    </dataValidation>
    <dataValidation type="whole" allowBlank="1" showInputMessage="1" showErrorMessage="1" sqref="AD61">
      <formula1>0</formula1>
      <formula2>NaN</formula2>
    </dataValidation>
    <dataValidation type="whole" allowBlank="1" showInputMessage="1" showErrorMessage="1" sqref="AD62">
      <formula1>0</formula1>
      <formula2>NaN</formula2>
    </dataValidation>
    <dataValidation type="whole" allowBlank="1" showInputMessage="1" showErrorMessage="1" sqref="AD63">
      <formula1>0</formula1>
      <formula2>NaN</formula2>
    </dataValidation>
    <dataValidation type="whole" allowBlank="1" showInputMessage="1" showErrorMessage="1" sqref="AD64">
      <formula1>0</formula1>
      <formula2>NaN</formula2>
    </dataValidation>
    <dataValidation type="whole" allowBlank="1" showInputMessage="1" showErrorMessage="1" sqref="AD65">
      <formula1>0</formula1>
      <formula2>NaN</formula2>
    </dataValidation>
    <dataValidation type="whole" allowBlank="1" showInputMessage="1" showErrorMessage="1" sqref="AD66">
      <formula1>0</formula1>
      <formula2>NaN</formula2>
    </dataValidation>
    <dataValidation type="whole" allowBlank="1" showInputMessage="1" showErrorMessage="1" sqref="AD67">
      <formula1>0</formula1>
      <formula2>NaN</formula2>
    </dataValidation>
    <dataValidation type="whole" allowBlank="1" showInputMessage="1" showErrorMessage="1" sqref="AD68">
      <formula1>0</formula1>
      <formula2>NaN</formula2>
    </dataValidation>
    <dataValidation type="whole" allowBlank="1" showInputMessage="1" showErrorMessage="1" sqref="AD9">
      <formula1>0</formula1>
      <formula2>NaN</formula2>
    </dataValidation>
    <dataValidation type="whole" allowBlank="1" showInputMessage="1" showErrorMessage="1" sqref="AE10">
      <formula1>0</formula1>
      <formula2>NaN</formula2>
    </dataValidation>
    <dataValidation type="whole" allowBlank="1" showInputMessage="1" showErrorMessage="1" sqref="AE11">
      <formula1>0</formula1>
      <formula2>NaN</formula2>
    </dataValidation>
    <dataValidation type="whole" allowBlank="1" showInputMessage="1" showErrorMessage="1" sqref="AE12">
      <formula1>0</formula1>
      <formula2>NaN</formula2>
    </dataValidation>
    <dataValidation type="whole" allowBlank="1" showInputMessage="1" showErrorMessage="1" sqref="AE13">
      <formula1>0</formula1>
      <formula2>NaN</formula2>
    </dataValidation>
    <dataValidation type="whole" allowBlank="1" showInputMessage="1" showErrorMessage="1" sqref="AE14">
      <formula1>0</formula1>
      <formula2>NaN</formula2>
    </dataValidation>
    <dataValidation type="whole" allowBlank="1" showInputMessage="1" showErrorMessage="1" sqref="AE15">
      <formula1>0</formula1>
      <formula2>NaN</formula2>
    </dataValidation>
    <dataValidation type="whole" allowBlank="1" showInputMessage="1" showErrorMessage="1" sqref="AE16">
      <formula1>0</formula1>
      <formula2>NaN</formula2>
    </dataValidation>
    <dataValidation type="whole" allowBlank="1" showInputMessage="1" showErrorMessage="1" sqref="AE17">
      <formula1>0</formula1>
      <formula2>NaN</formula2>
    </dataValidation>
    <dataValidation type="whole" allowBlank="1" showInputMessage="1" showErrorMessage="1" sqref="AE18">
      <formula1>0</formula1>
      <formula2>NaN</formula2>
    </dataValidation>
    <dataValidation type="whole" allowBlank="1" showInputMessage="1" showErrorMessage="1" sqref="AE19">
      <formula1>0</formula1>
      <formula2>NaN</formula2>
    </dataValidation>
    <dataValidation type="whole" allowBlank="1" showInputMessage="1" showErrorMessage="1" sqref="AE20">
      <formula1>0</formula1>
      <formula2>NaN</formula2>
    </dataValidation>
    <dataValidation type="whole" allowBlank="1" showInputMessage="1" showErrorMessage="1" sqref="AE21">
      <formula1>0</formula1>
      <formula2>NaN</formula2>
    </dataValidation>
    <dataValidation type="whole" allowBlank="1" showInputMessage="1" showErrorMessage="1" sqref="AE22">
      <formula1>0</formula1>
      <formula2>NaN</formula2>
    </dataValidation>
    <dataValidation type="whole" allowBlank="1" showInputMessage="1" showErrorMessage="1" sqref="AE23">
      <formula1>0</formula1>
      <formula2>NaN</formula2>
    </dataValidation>
    <dataValidation type="whole" allowBlank="1" showInputMessage="1" showErrorMessage="1" sqref="AE24">
      <formula1>0</formula1>
      <formula2>NaN</formula2>
    </dataValidation>
    <dataValidation type="whole" allowBlank="1" showInputMessage="1" showErrorMessage="1" sqref="AE25">
      <formula1>0</formula1>
      <formula2>NaN</formula2>
    </dataValidation>
    <dataValidation type="whole" allowBlank="1" showInputMessage="1" showErrorMessage="1" sqref="AE26">
      <formula1>0</formula1>
      <formula2>NaN</formula2>
    </dataValidation>
    <dataValidation type="whole" allowBlank="1" showInputMessage="1" showErrorMessage="1" sqref="AE27">
      <formula1>0</formula1>
      <formula2>NaN</formula2>
    </dataValidation>
    <dataValidation type="whole" allowBlank="1" showInputMessage="1" showErrorMessage="1" sqref="AE28">
      <formula1>0</formula1>
      <formula2>NaN</formula2>
    </dataValidation>
    <dataValidation type="whole" allowBlank="1" showInputMessage="1" showErrorMessage="1" sqref="AE29">
      <formula1>0</formula1>
      <formula2>NaN</formula2>
    </dataValidation>
    <dataValidation type="whole" allowBlank="1" showInputMessage="1" showErrorMessage="1" sqref="AE30">
      <formula1>0</formula1>
      <formula2>NaN</formula2>
    </dataValidation>
    <dataValidation type="whole" allowBlank="1" showInputMessage="1" showErrorMessage="1" sqref="AE31">
      <formula1>0</formula1>
      <formula2>NaN</formula2>
    </dataValidation>
    <dataValidation type="whole" allowBlank="1" showInputMessage="1" showErrorMessage="1" sqref="AE32">
      <formula1>0</formula1>
      <formula2>NaN</formula2>
    </dataValidation>
    <dataValidation type="whole" allowBlank="1" showInputMessage="1" showErrorMessage="1" sqref="AE33">
      <formula1>0</formula1>
      <formula2>NaN</formula2>
    </dataValidation>
    <dataValidation type="whole" allowBlank="1" showInputMessage="1" showErrorMessage="1" sqref="AE34">
      <formula1>0</formula1>
      <formula2>NaN</formula2>
    </dataValidation>
    <dataValidation type="whole" allowBlank="1" showInputMessage="1" showErrorMessage="1" sqref="AE35">
      <formula1>0</formula1>
      <formula2>NaN</formula2>
    </dataValidation>
    <dataValidation type="whole" allowBlank="1" showInputMessage="1" showErrorMessage="1" sqref="AE36">
      <formula1>0</formula1>
      <formula2>NaN</formula2>
    </dataValidation>
    <dataValidation type="whole" allowBlank="1" showInputMessage="1" showErrorMessage="1" sqref="AE37">
      <formula1>0</formula1>
      <formula2>NaN</formula2>
    </dataValidation>
    <dataValidation type="whole" allowBlank="1" showInputMessage="1" showErrorMessage="1" sqref="AE38">
      <formula1>0</formula1>
      <formula2>NaN</formula2>
    </dataValidation>
    <dataValidation type="whole" allowBlank="1" showInputMessage="1" showErrorMessage="1" sqref="AE39">
      <formula1>0</formula1>
      <formula2>NaN</formula2>
    </dataValidation>
    <dataValidation type="whole" allowBlank="1" showInputMessage="1" showErrorMessage="1" sqref="AE40">
      <formula1>0</formula1>
      <formula2>NaN</formula2>
    </dataValidation>
    <dataValidation type="whole" allowBlank="1" showInputMessage="1" showErrorMessage="1" sqref="AE41">
      <formula1>0</formula1>
      <formula2>NaN</formula2>
    </dataValidation>
    <dataValidation type="whole" allowBlank="1" showInputMessage="1" showErrorMessage="1" sqref="AE42">
      <formula1>0</formula1>
      <formula2>NaN</formula2>
    </dataValidation>
    <dataValidation type="whole" allowBlank="1" showInputMessage="1" showErrorMessage="1" sqref="AE43">
      <formula1>0</formula1>
      <formula2>NaN</formula2>
    </dataValidation>
    <dataValidation type="whole" allowBlank="1" showInputMessage="1" showErrorMessage="1" sqref="AE44">
      <formula1>0</formula1>
      <formula2>NaN</formula2>
    </dataValidation>
    <dataValidation type="whole" allowBlank="1" showInputMessage="1" showErrorMessage="1" sqref="AE45">
      <formula1>0</formula1>
      <formula2>NaN</formula2>
    </dataValidation>
    <dataValidation type="whole" allowBlank="1" showInputMessage="1" showErrorMessage="1" sqref="AE46">
      <formula1>0</formula1>
      <formula2>NaN</formula2>
    </dataValidation>
    <dataValidation type="whole" allowBlank="1" showInputMessage="1" showErrorMessage="1" sqref="AE47">
      <formula1>0</formula1>
      <formula2>NaN</formula2>
    </dataValidation>
    <dataValidation type="whole" allowBlank="1" showInputMessage="1" showErrorMessage="1" sqref="AE48">
      <formula1>0</formula1>
      <formula2>NaN</formula2>
    </dataValidation>
    <dataValidation type="whole" allowBlank="1" showInputMessage="1" showErrorMessage="1" sqref="AE49">
      <formula1>0</formula1>
      <formula2>NaN</formula2>
    </dataValidation>
    <dataValidation type="whole" allowBlank="1" showInputMessage="1" showErrorMessage="1" sqref="AE50">
      <formula1>0</formula1>
      <formula2>NaN</formula2>
    </dataValidation>
    <dataValidation type="whole" allowBlank="1" showInputMessage="1" showErrorMessage="1" sqref="AE51">
      <formula1>0</formula1>
      <formula2>NaN</formula2>
    </dataValidation>
    <dataValidation type="whole" allowBlank="1" showInputMessage="1" showErrorMessage="1" sqref="AE52">
      <formula1>0</formula1>
      <formula2>NaN</formula2>
    </dataValidation>
    <dataValidation type="whole" allowBlank="1" showInputMessage="1" showErrorMessage="1" sqref="AE53">
      <formula1>0</formula1>
      <formula2>NaN</formula2>
    </dataValidation>
    <dataValidation type="whole" allowBlank="1" showInputMessage="1" showErrorMessage="1" sqref="AE54">
      <formula1>0</formula1>
      <formula2>NaN</formula2>
    </dataValidation>
    <dataValidation type="whole" allowBlank="1" showInputMessage="1" showErrorMessage="1" sqref="AE55">
      <formula1>0</formula1>
      <formula2>NaN</formula2>
    </dataValidation>
    <dataValidation type="whole" allowBlank="1" showInputMessage="1" showErrorMessage="1" sqref="AE56">
      <formula1>0</formula1>
      <formula2>NaN</formula2>
    </dataValidation>
    <dataValidation type="whole" allowBlank="1" showInputMessage="1" showErrorMessage="1" sqref="AE57">
      <formula1>0</formula1>
      <formula2>NaN</formula2>
    </dataValidation>
    <dataValidation type="whole" allowBlank="1" showInputMessage="1" showErrorMessage="1" sqref="AE58">
      <formula1>0</formula1>
      <formula2>NaN</formula2>
    </dataValidation>
    <dataValidation type="whole" allowBlank="1" showInputMessage="1" showErrorMessage="1" sqref="AE59">
      <formula1>0</formula1>
      <formula2>NaN</formula2>
    </dataValidation>
    <dataValidation type="whole" allowBlank="1" showInputMessage="1" showErrorMessage="1" sqref="AE60">
      <formula1>0</formula1>
      <formula2>NaN</formula2>
    </dataValidation>
    <dataValidation type="whole" allowBlank="1" showInputMessage="1" showErrorMessage="1" sqref="AE61">
      <formula1>0</formula1>
      <formula2>NaN</formula2>
    </dataValidation>
    <dataValidation type="whole" allowBlank="1" showInputMessage="1" showErrorMessage="1" sqref="AE62">
      <formula1>0</formula1>
      <formula2>NaN</formula2>
    </dataValidation>
    <dataValidation type="whole" allowBlank="1" showInputMessage="1" showErrorMessage="1" sqref="AE63">
      <formula1>0</formula1>
      <formula2>NaN</formula2>
    </dataValidation>
    <dataValidation type="whole" allowBlank="1" showInputMessage="1" showErrorMessage="1" sqref="AE64">
      <formula1>0</formula1>
      <formula2>NaN</formula2>
    </dataValidation>
    <dataValidation type="whole" allowBlank="1" showInputMessage="1" showErrorMessage="1" sqref="AE65">
      <formula1>0</formula1>
      <formula2>NaN</formula2>
    </dataValidation>
    <dataValidation type="whole" allowBlank="1" showInputMessage="1" showErrorMessage="1" sqref="AE66">
      <formula1>0</formula1>
      <formula2>NaN</formula2>
    </dataValidation>
    <dataValidation type="whole" allowBlank="1" showInputMessage="1" showErrorMessage="1" sqref="AE67">
      <formula1>0</formula1>
      <formula2>NaN</formula2>
    </dataValidation>
    <dataValidation type="whole" allowBlank="1" showInputMessage="1" showErrorMessage="1" sqref="AE68">
      <formula1>0</formula1>
      <formula2>NaN</formula2>
    </dataValidation>
    <dataValidation type="whole" allowBlank="1" showInputMessage="1" showErrorMessage="1" sqref="AE9">
      <formula1>0</formula1>
      <formula2>NaN</formula2>
    </dataValidation>
    <dataValidation type="whole" allowBlank="1" showInputMessage="1" showErrorMessage="1" sqref="AF10">
      <formula1>0</formula1>
      <formula2>NaN</formula2>
    </dataValidation>
    <dataValidation type="whole" allowBlank="1" showInputMessage="1" showErrorMessage="1" sqref="AF11">
      <formula1>0</formula1>
      <formula2>NaN</formula2>
    </dataValidation>
    <dataValidation type="whole" allowBlank="1" showInputMessage="1" showErrorMessage="1" sqref="AF12">
      <formula1>0</formula1>
      <formula2>NaN</formula2>
    </dataValidation>
    <dataValidation type="whole" allowBlank="1" showInputMessage="1" showErrorMessage="1" sqref="AF13">
      <formula1>0</formula1>
      <formula2>NaN</formula2>
    </dataValidation>
    <dataValidation type="whole" allowBlank="1" showInputMessage="1" showErrorMessage="1" sqref="AF14">
      <formula1>0</formula1>
      <formula2>NaN</formula2>
    </dataValidation>
    <dataValidation type="whole" allowBlank="1" showInputMessage="1" showErrorMessage="1" sqref="AF15">
      <formula1>0</formula1>
      <formula2>NaN</formula2>
    </dataValidation>
    <dataValidation type="whole" allowBlank="1" showInputMessage="1" showErrorMessage="1" sqref="AF16">
      <formula1>0</formula1>
      <formula2>NaN</formula2>
    </dataValidation>
    <dataValidation type="whole" allowBlank="1" showInputMessage="1" showErrorMessage="1" sqref="AF17">
      <formula1>0</formula1>
      <formula2>NaN</formula2>
    </dataValidation>
    <dataValidation type="whole" allowBlank="1" showInputMessage="1" showErrorMessage="1" sqref="AF18">
      <formula1>0</formula1>
      <formula2>NaN</formula2>
    </dataValidation>
    <dataValidation type="whole" allowBlank="1" showInputMessage="1" showErrorMessage="1" sqref="AF19">
      <formula1>0</formula1>
      <formula2>NaN</formula2>
    </dataValidation>
    <dataValidation type="whole" allowBlank="1" showInputMessage="1" showErrorMessage="1" sqref="AF20">
      <formula1>0</formula1>
      <formula2>NaN</formula2>
    </dataValidation>
    <dataValidation type="whole" allowBlank="1" showInputMessage="1" showErrorMessage="1" sqref="AF21">
      <formula1>0</formula1>
      <formula2>NaN</formula2>
    </dataValidation>
    <dataValidation type="whole" allowBlank="1" showInputMessage="1" showErrorMessage="1" sqref="AF22">
      <formula1>0</formula1>
      <formula2>NaN</formula2>
    </dataValidation>
    <dataValidation type="whole" allowBlank="1" showInputMessage="1" showErrorMessage="1" sqref="AF23">
      <formula1>0</formula1>
      <formula2>NaN</formula2>
    </dataValidation>
    <dataValidation type="whole" allowBlank="1" showInputMessage="1" showErrorMessage="1" sqref="AF24">
      <formula1>0</formula1>
      <formula2>NaN</formula2>
    </dataValidation>
    <dataValidation type="whole" allowBlank="1" showInputMessage="1" showErrorMessage="1" sqref="AF25">
      <formula1>0</formula1>
      <formula2>NaN</formula2>
    </dataValidation>
    <dataValidation type="whole" allowBlank="1" showInputMessage="1" showErrorMessage="1" sqref="AF26">
      <formula1>0</formula1>
      <formula2>NaN</formula2>
    </dataValidation>
    <dataValidation type="whole" allowBlank="1" showInputMessage="1" showErrorMessage="1" sqref="AF27">
      <formula1>0</formula1>
      <formula2>NaN</formula2>
    </dataValidation>
    <dataValidation type="whole" allowBlank="1" showInputMessage="1" showErrorMessage="1" sqref="AF28">
      <formula1>0</formula1>
      <formula2>NaN</formula2>
    </dataValidation>
    <dataValidation type="whole" allowBlank="1" showInputMessage="1" showErrorMessage="1" sqref="AF29">
      <formula1>0</formula1>
      <formula2>NaN</formula2>
    </dataValidation>
    <dataValidation type="whole" allowBlank="1" showInputMessage="1" showErrorMessage="1" sqref="AF30">
      <formula1>0</formula1>
      <formula2>NaN</formula2>
    </dataValidation>
    <dataValidation type="whole" allowBlank="1" showInputMessage="1" showErrorMessage="1" sqref="AF31">
      <formula1>0</formula1>
      <formula2>NaN</formula2>
    </dataValidation>
    <dataValidation type="whole" allowBlank="1" showInputMessage="1" showErrorMessage="1" sqref="AF32">
      <formula1>0</formula1>
      <formula2>NaN</formula2>
    </dataValidation>
    <dataValidation type="whole" allowBlank="1" showInputMessage="1" showErrorMessage="1" sqref="AF33">
      <formula1>0</formula1>
      <formula2>NaN</formula2>
    </dataValidation>
    <dataValidation type="whole" allowBlank="1" showInputMessage="1" showErrorMessage="1" sqref="AF34">
      <formula1>0</formula1>
      <formula2>NaN</formula2>
    </dataValidation>
    <dataValidation type="whole" allowBlank="1" showInputMessage="1" showErrorMessage="1" sqref="AF35">
      <formula1>0</formula1>
      <formula2>NaN</formula2>
    </dataValidation>
    <dataValidation type="whole" allowBlank="1" showInputMessage="1" showErrorMessage="1" sqref="AF36">
      <formula1>0</formula1>
      <formula2>NaN</formula2>
    </dataValidation>
    <dataValidation type="whole" allowBlank="1" showInputMessage="1" showErrorMessage="1" sqref="AF37">
      <formula1>0</formula1>
      <formula2>NaN</formula2>
    </dataValidation>
    <dataValidation type="whole" allowBlank="1" showInputMessage="1" showErrorMessage="1" sqref="AF38">
      <formula1>0</formula1>
      <formula2>NaN</formula2>
    </dataValidation>
    <dataValidation type="whole" allowBlank="1" showInputMessage="1" showErrorMessage="1" sqref="AF39">
      <formula1>0</formula1>
      <formula2>NaN</formula2>
    </dataValidation>
    <dataValidation type="whole" allowBlank="1" showInputMessage="1" showErrorMessage="1" sqref="AF40">
      <formula1>0</formula1>
      <formula2>NaN</formula2>
    </dataValidation>
    <dataValidation type="whole" allowBlank="1" showInputMessage="1" showErrorMessage="1" sqref="AF41">
      <formula1>0</formula1>
      <formula2>NaN</formula2>
    </dataValidation>
    <dataValidation type="whole" allowBlank="1" showInputMessage="1" showErrorMessage="1" sqref="AF42">
      <formula1>0</formula1>
      <formula2>NaN</formula2>
    </dataValidation>
    <dataValidation type="whole" allowBlank="1" showInputMessage="1" showErrorMessage="1" sqref="AF43">
      <formula1>0</formula1>
      <formula2>NaN</formula2>
    </dataValidation>
    <dataValidation type="whole" allowBlank="1" showInputMessage="1" showErrorMessage="1" sqref="AF44">
      <formula1>0</formula1>
      <formula2>NaN</formula2>
    </dataValidation>
    <dataValidation type="whole" allowBlank="1" showInputMessage="1" showErrorMessage="1" sqref="AF45">
      <formula1>0</formula1>
      <formula2>NaN</formula2>
    </dataValidation>
    <dataValidation type="whole" allowBlank="1" showInputMessage="1" showErrorMessage="1" sqref="AF46">
      <formula1>0</formula1>
      <formula2>NaN</formula2>
    </dataValidation>
    <dataValidation type="whole" allowBlank="1" showInputMessage="1" showErrorMessage="1" sqref="AF47">
      <formula1>0</formula1>
      <formula2>NaN</formula2>
    </dataValidation>
    <dataValidation type="whole" allowBlank="1" showInputMessage="1" showErrorMessage="1" sqref="AF48">
      <formula1>0</formula1>
      <formula2>NaN</formula2>
    </dataValidation>
    <dataValidation type="whole" allowBlank="1" showInputMessage="1" showErrorMessage="1" sqref="AF49">
      <formula1>0</formula1>
      <formula2>NaN</formula2>
    </dataValidation>
    <dataValidation type="whole" allowBlank="1" showInputMessage="1" showErrorMessage="1" sqref="AF50">
      <formula1>0</formula1>
      <formula2>NaN</formula2>
    </dataValidation>
    <dataValidation type="whole" allowBlank="1" showInputMessage="1" showErrorMessage="1" sqref="AF51">
      <formula1>0</formula1>
      <formula2>NaN</formula2>
    </dataValidation>
    <dataValidation type="whole" allowBlank="1" showInputMessage="1" showErrorMessage="1" sqref="AF52">
      <formula1>0</formula1>
      <formula2>NaN</formula2>
    </dataValidation>
    <dataValidation type="whole" allowBlank="1" showInputMessage="1" showErrorMessage="1" sqref="AF53">
      <formula1>0</formula1>
      <formula2>NaN</formula2>
    </dataValidation>
    <dataValidation type="whole" allowBlank="1" showInputMessage="1" showErrorMessage="1" sqref="AF54">
      <formula1>0</formula1>
      <formula2>NaN</formula2>
    </dataValidation>
    <dataValidation type="whole" allowBlank="1" showInputMessage="1" showErrorMessage="1" sqref="AF55">
      <formula1>0</formula1>
      <formula2>NaN</formula2>
    </dataValidation>
    <dataValidation type="whole" allowBlank="1" showInputMessage="1" showErrorMessage="1" sqref="AF56">
      <formula1>0</formula1>
      <formula2>NaN</formula2>
    </dataValidation>
    <dataValidation type="whole" allowBlank="1" showInputMessage="1" showErrorMessage="1" sqref="AF57">
      <formula1>0</formula1>
      <formula2>NaN</formula2>
    </dataValidation>
    <dataValidation type="whole" allowBlank="1" showInputMessage="1" showErrorMessage="1" sqref="AF58">
      <formula1>0</formula1>
      <formula2>NaN</formula2>
    </dataValidation>
    <dataValidation type="whole" allowBlank="1" showInputMessage="1" showErrorMessage="1" sqref="AF59">
      <formula1>0</formula1>
      <formula2>NaN</formula2>
    </dataValidation>
    <dataValidation type="whole" allowBlank="1" showInputMessage="1" showErrorMessage="1" sqref="AF60">
      <formula1>0</formula1>
      <formula2>NaN</formula2>
    </dataValidation>
    <dataValidation type="whole" allowBlank="1" showInputMessage="1" showErrorMessage="1" sqref="AF61">
      <formula1>0</formula1>
      <formula2>NaN</formula2>
    </dataValidation>
    <dataValidation type="whole" allowBlank="1" showInputMessage="1" showErrorMessage="1" sqref="AF62">
      <formula1>0</formula1>
      <formula2>NaN</formula2>
    </dataValidation>
    <dataValidation type="whole" allowBlank="1" showInputMessage="1" showErrorMessage="1" sqref="AF63">
      <formula1>0</formula1>
      <formula2>NaN</formula2>
    </dataValidation>
    <dataValidation type="whole" allowBlank="1" showInputMessage="1" showErrorMessage="1" sqref="AF64">
      <formula1>0</formula1>
      <formula2>NaN</formula2>
    </dataValidation>
    <dataValidation type="whole" allowBlank="1" showInputMessage="1" showErrorMessage="1" sqref="AF65">
      <formula1>0</formula1>
      <formula2>NaN</formula2>
    </dataValidation>
    <dataValidation type="whole" allowBlank="1" showInputMessage="1" showErrorMessage="1" sqref="AF66">
      <formula1>0</formula1>
      <formula2>NaN</formula2>
    </dataValidation>
    <dataValidation type="whole" allowBlank="1" showInputMessage="1" showErrorMessage="1" sqref="AF67">
      <formula1>0</formula1>
      <formula2>NaN</formula2>
    </dataValidation>
    <dataValidation type="whole" allowBlank="1" showInputMessage="1" showErrorMessage="1" sqref="AF68">
      <formula1>0</formula1>
      <formula2>NaN</formula2>
    </dataValidation>
    <dataValidation type="whole" allowBlank="1" showInputMessage="1" showErrorMessage="1" sqref="AF9">
      <formula1>0</formula1>
      <formula2>NaN</formula2>
    </dataValidation>
    <dataValidation type="whole" allowBlank="1" showInputMessage="1" showErrorMessage="1" sqref="AG10">
      <formula1>0</formula1>
      <formula2>NaN</formula2>
    </dataValidation>
    <dataValidation type="whole" allowBlank="1" showInputMessage="1" showErrorMessage="1" sqref="AG11">
      <formula1>0</formula1>
      <formula2>NaN</formula2>
    </dataValidation>
    <dataValidation type="whole" allowBlank="1" showInputMessage="1" showErrorMessage="1" sqref="AG12">
      <formula1>0</formula1>
      <formula2>NaN</formula2>
    </dataValidation>
    <dataValidation type="whole" allowBlank="1" showInputMessage="1" showErrorMessage="1" sqref="AG13">
      <formula1>0</formula1>
      <formula2>NaN</formula2>
    </dataValidation>
    <dataValidation type="whole" allowBlank="1" showInputMessage="1" showErrorMessage="1" sqref="AG14">
      <formula1>0</formula1>
      <formula2>NaN</formula2>
    </dataValidation>
    <dataValidation type="whole" allowBlank="1" showInputMessage="1" showErrorMessage="1" sqref="AG15">
      <formula1>0</formula1>
      <formula2>NaN</formula2>
    </dataValidation>
    <dataValidation type="whole" allowBlank="1" showInputMessage="1" showErrorMessage="1" sqref="AG16">
      <formula1>0</formula1>
      <formula2>NaN</formula2>
    </dataValidation>
    <dataValidation type="whole" allowBlank="1" showInputMessage="1" showErrorMessage="1" sqref="AG17">
      <formula1>0</formula1>
      <formula2>NaN</formula2>
    </dataValidation>
    <dataValidation type="whole" allowBlank="1" showInputMessage="1" showErrorMessage="1" sqref="AG18">
      <formula1>0</formula1>
      <formula2>NaN</formula2>
    </dataValidation>
    <dataValidation type="whole" allowBlank="1" showInputMessage="1" showErrorMessage="1" sqref="AG19">
      <formula1>0</formula1>
      <formula2>NaN</formula2>
    </dataValidation>
    <dataValidation type="whole" allowBlank="1" showInputMessage="1" showErrorMessage="1" sqref="AG20">
      <formula1>0</formula1>
      <formula2>NaN</formula2>
    </dataValidation>
    <dataValidation type="whole" allowBlank="1" showInputMessage="1" showErrorMessage="1" sqref="AG21">
      <formula1>0</formula1>
      <formula2>NaN</formula2>
    </dataValidation>
    <dataValidation type="whole" allowBlank="1" showInputMessage="1" showErrorMessage="1" sqref="AG22">
      <formula1>0</formula1>
      <formula2>NaN</formula2>
    </dataValidation>
    <dataValidation type="whole" allowBlank="1" showInputMessage="1" showErrorMessage="1" sqref="AG23">
      <formula1>0</formula1>
      <formula2>NaN</formula2>
    </dataValidation>
    <dataValidation type="whole" allowBlank="1" showInputMessage="1" showErrorMessage="1" sqref="AG24">
      <formula1>0</formula1>
      <formula2>NaN</formula2>
    </dataValidation>
    <dataValidation type="whole" allowBlank="1" showInputMessage="1" showErrorMessage="1" sqref="AG25">
      <formula1>0</formula1>
      <formula2>NaN</formula2>
    </dataValidation>
    <dataValidation type="whole" allowBlank="1" showInputMessage="1" showErrorMessage="1" sqref="AG26">
      <formula1>0</formula1>
      <formula2>NaN</formula2>
    </dataValidation>
    <dataValidation type="whole" allowBlank="1" showInputMessage="1" showErrorMessage="1" sqref="AG27">
      <formula1>0</formula1>
      <formula2>NaN</formula2>
    </dataValidation>
    <dataValidation type="whole" allowBlank="1" showInputMessage="1" showErrorMessage="1" sqref="AG28">
      <formula1>0</formula1>
      <formula2>NaN</formula2>
    </dataValidation>
    <dataValidation type="whole" allowBlank="1" showInputMessage="1" showErrorMessage="1" sqref="AG29">
      <formula1>0</formula1>
      <formula2>NaN</formula2>
    </dataValidation>
    <dataValidation type="whole" allowBlank="1" showInputMessage="1" showErrorMessage="1" sqref="AG30">
      <formula1>0</formula1>
      <formula2>NaN</formula2>
    </dataValidation>
    <dataValidation type="whole" allowBlank="1" showInputMessage="1" showErrorMessage="1" sqref="AG31">
      <formula1>0</formula1>
      <formula2>NaN</formula2>
    </dataValidation>
    <dataValidation type="whole" allowBlank="1" showInputMessage="1" showErrorMessage="1" sqref="AG32">
      <formula1>0</formula1>
      <formula2>NaN</formula2>
    </dataValidation>
    <dataValidation type="whole" allowBlank="1" showInputMessage="1" showErrorMessage="1" sqref="AG33">
      <formula1>0</formula1>
      <formula2>NaN</formula2>
    </dataValidation>
    <dataValidation type="whole" allowBlank="1" showInputMessage="1" showErrorMessage="1" sqref="AG34">
      <formula1>0</formula1>
      <formula2>NaN</formula2>
    </dataValidation>
    <dataValidation type="whole" allowBlank="1" showInputMessage="1" showErrorMessage="1" sqref="AG35">
      <formula1>0</formula1>
      <formula2>NaN</formula2>
    </dataValidation>
    <dataValidation type="whole" allowBlank="1" showInputMessage="1" showErrorMessage="1" sqref="AG36">
      <formula1>0</formula1>
      <formula2>NaN</formula2>
    </dataValidation>
    <dataValidation type="whole" allowBlank="1" showInputMessage="1" showErrorMessage="1" sqref="AG37">
      <formula1>0</formula1>
      <formula2>NaN</formula2>
    </dataValidation>
    <dataValidation type="whole" allowBlank="1" showInputMessage="1" showErrorMessage="1" sqref="AG38">
      <formula1>0</formula1>
      <formula2>NaN</formula2>
    </dataValidation>
    <dataValidation type="whole" allowBlank="1" showInputMessage="1" showErrorMessage="1" sqref="AG39">
      <formula1>0</formula1>
      <formula2>NaN</formula2>
    </dataValidation>
    <dataValidation type="whole" allowBlank="1" showInputMessage="1" showErrorMessage="1" sqref="AG40">
      <formula1>0</formula1>
      <formula2>NaN</formula2>
    </dataValidation>
    <dataValidation type="whole" allowBlank="1" showInputMessage="1" showErrorMessage="1" sqref="AG41">
      <formula1>0</formula1>
      <formula2>NaN</formula2>
    </dataValidation>
    <dataValidation type="whole" allowBlank="1" showInputMessage="1" showErrorMessage="1" sqref="AG42">
      <formula1>0</formula1>
      <formula2>NaN</formula2>
    </dataValidation>
    <dataValidation type="whole" allowBlank="1" showInputMessage="1" showErrorMessage="1" sqref="AG43">
      <formula1>0</formula1>
      <formula2>NaN</formula2>
    </dataValidation>
    <dataValidation type="whole" allowBlank="1" showInputMessage="1" showErrorMessage="1" sqref="AG44">
      <formula1>0</formula1>
      <formula2>NaN</formula2>
    </dataValidation>
    <dataValidation type="whole" allowBlank="1" showInputMessage="1" showErrorMessage="1" sqref="AG45">
      <formula1>0</formula1>
      <formula2>NaN</formula2>
    </dataValidation>
    <dataValidation type="whole" allowBlank="1" showInputMessage="1" showErrorMessage="1" sqref="AG46">
      <formula1>0</formula1>
      <formula2>NaN</formula2>
    </dataValidation>
    <dataValidation type="whole" allowBlank="1" showInputMessage="1" showErrorMessage="1" sqref="AG47">
      <formula1>0</formula1>
      <formula2>NaN</formula2>
    </dataValidation>
    <dataValidation type="whole" allowBlank="1" showInputMessage="1" showErrorMessage="1" sqref="AG48">
      <formula1>0</formula1>
      <formula2>NaN</formula2>
    </dataValidation>
    <dataValidation type="whole" allowBlank="1" showInputMessage="1" showErrorMessage="1" sqref="AG49">
      <formula1>0</formula1>
      <formula2>NaN</formula2>
    </dataValidation>
    <dataValidation type="whole" allowBlank="1" showInputMessage="1" showErrorMessage="1" sqref="AG50">
      <formula1>0</formula1>
      <formula2>NaN</formula2>
    </dataValidation>
    <dataValidation type="whole" allowBlank="1" showInputMessage="1" showErrorMessage="1" sqref="AG51">
      <formula1>0</formula1>
      <formula2>NaN</formula2>
    </dataValidation>
    <dataValidation type="whole" allowBlank="1" showInputMessage="1" showErrorMessage="1" sqref="AG52">
      <formula1>0</formula1>
      <formula2>NaN</formula2>
    </dataValidation>
    <dataValidation type="whole" allowBlank="1" showInputMessage="1" showErrorMessage="1" sqref="AG53">
      <formula1>0</formula1>
      <formula2>NaN</formula2>
    </dataValidation>
    <dataValidation type="whole" allowBlank="1" showInputMessage="1" showErrorMessage="1" sqref="AG54">
      <formula1>0</formula1>
      <formula2>NaN</formula2>
    </dataValidation>
    <dataValidation type="whole" allowBlank="1" showInputMessage="1" showErrorMessage="1" sqref="AG55">
      <formula1>0</formula1>
      <formula2>NaN</formula2>
    </dataValidation>
    <dataValidation type="whole" allowBlank="1" showInputMessage="1" showErrorMessage="1" sqref="AG56">
      <formula1>0</formula1>
      <formula2>NaN</formula2>
    </dataValidation>
    <dataValidation type="whole" allowBlank="1" showInputMessage="1" showErrorMessage="1" sqref="AG57">
      <formula1>0</formula1>
      <formula2>NaN</formula2>
    </dataValidation>
    <dataValidation type="whole" allowBlank="1" showInputMessage="1" showErrorMessage="1" sqref="AG58">
      <formula1>0</formula1>
      <formula2>NaN</formula2>
    </dataValidation>
    <dataValidation type="whole" allowBlank="1" showInputMessage="1" showErrorMessage="1" sqref="AG59">
      <formula1>0</formula1>
      <formula2>NaN</formula2>
    </dataValidation>
    <dataValidation type="whole" allowBlank="1" showInputMessage="1" showErrorMessage="1" sqref="AG60">
      <formula1>0</formula1>
      <formula2>NaN</formula2>
    </dataValidation>
    <dataValidation type="whole" allowBlank="1" showInputMessage="1" showErrorMessage="1" sqref="AG61">
      <formula1>0</formula1>
      <formula2>NaN</formula2>
    </dataValidation>
    <dataValidation type="whole" allowBlank="1" showInputMessage="1" showErrorMessage="1" sqref="AG62">
      <formula1>0</formula1>
      <formula2>NaN</formula2>
    </dataValidation>
    <dataValidation type="whole" allowBlank="1" showInputMessage="1" showErrorMessage="1" sqref="AG63">
      <formula1>0</formula1>
      <formula2>NaN</formula2>
    </dataValidation>
    <dataValidation type="whole" allowBlank="1" showInputMessage="1" showErrorMessage="1" sqref="AG64">
      <formula1>0</formula1>
      <formula2>NaN</formula2>
    </dataValidation>
    <dataValidation type="whole" allowBlank="1" showInputMessage="1" showErrorMessage="1" sqref="AG65">
      <formula1>0</formula1>
      <formula2>NaN</formula2>
    </dataValidation>
    <dataValidation type="whole" allowBlank="1" showInputMessage="1" showErrorMessage="1" sqref="AG66">
      <formula1>0</formula1>
      <formula2>NaN</formula2>
    </dataValidation>
    <dataValidation type="whole" allowBlank="1" showInputMessage="1" showErrorMessage="1" sqref="AG67">
      <formula1>0</formula1>
      <formula2>NaN</formula2>
    </dataValidation>
    <dataValidation type="whole" allowBlank="1" showInputMessage="1" showErrorMessage="1" sqref="AG68">
      <formula1>0</formula1>
      <formula2>NaN</formula2>
    </dataValidation>
    <dataValidation type="whole" allowBlank="1" showInputMessage="1" showErrorMessage="1" sqref="AG9">
      <formula1>0</formula1>
      <formula2>NaN</formula2>
    </dataValidation>
    <dataValidation type="whole" allowBlank="1" showInputMessage="1" showErrorMessage="1" sqref="AH10">
      <formula1>0</formula1>
      <formula2>NaN</formula2>
    </dataValidation>
    <dataValidation type="whole" allowBlank="1" showInputMessage="1" showErrorMessage="1" sqref="AH11">
      <formula1>0</formula1>
      <formula2>NaN</formula2>
    </dataValidation>
    <dataValidation type="whole" allowBlank="1" showInputMessage="1" showErrorMessage="1" sqref="AH12">
      <formula1>0</formula1>
      <formula2>NaN</formula2>
    </dataValidation>
    <dataValidation type="whole" allowBlank="1" showInputMessage="1" showErrorMessage="1" sqref="AH13">
      <formula1>0</formula1>
      <formula2>NaN</formula2>
    </dataValidation>
    <dataValidation type="whole" allowBlank="1" showInputMessage="1" showErrorMessage="1" sqref="AH14">
      <formula1>0</formula1>
      <formula2>NaN</formula2>
    </dataValidation>
    <dataValidation type="whole" allowBlank="1" showInputMessage="1" showErrorMessage="1" sqref="AH15">
      <formula1>0</formula1>
      <formula2>NaN</formula2>
    </dataValidation>
    <dataValidation type="whole" allowBlank="1" showInputMessage="1" showErrorMessage="1" sqref="AH16">
      <formula1>0</formula1>
      <formula2>NaN</formula2>
    </dataValidation>
    <dataValidation type="whole" allowBlank="1" showInputMessage="1" showErrorMessage="1" sqref="AH17">
      <formula1>0</formula1>
      <formula2>NaN</formula2>
    </dataValidation>
    <dataValidation type="whole" allowBlank="1" showInputMessage="1" showErrorMessage="1" sqref="AH18">
      <formula1>0</formula1>
      <formula2>NaN</formula2>
    </dataValidation>
    <dataValidation type="whole" allowBlank="1" showInputMessage="1" showErrorMessage="1" sqref="AH19">
      <formula1>0</formula1>
      <formula2>NaN</formula2>
    </dataValidation>
    <dataValidation type="whole" allowBlank="1" showInputMessage="1" showErrorMessage="1" sqref="AH20">
      <formula1>0</formula1>
      <formula2>NaN</formula2>
    </dataValidation>
    <dataValidation type="whole" allowBlank="1" showInputMessage="1" showErrorMessage="1" sqref="AH21">
      <formula1>0</formula1>
      <formula2>NaN</formula2>
    </dataValidation>
    <dataValidation type="whole" allowBlank="1" showInputMessage="1" showErrorMessage="1" sqref="AH22">
      <formula1>0</formula1>
      <formula2>NaN</formula2>
    </dataValidation>
    <dataValidation type="whole" allowBlank="1" showInputMessage="1" showErrorMessage="1" sqref="AH23">
      <formula1>0</formula1>
      <formula2>NaN</formula2>
    </dataValidation>
    <dataValidation type="whole" allowBlank="1" showInputMessage="1" showErrorMessage="1" sqref="AH24">
      <formula1>0</formula1>
      <formula2>NaN</formula2>
    </dataValidation>
    <dataValidation type="whole" allowBlank="1" showInputMessage="1" showErrorMessage="1" sqref="AH25">
      <formula1>0</formula1>
      <formula2>NaN</formula2>
    </dataValidation>
    <dataValidation type="whole" allowBlank="1" showInputMessage="1" showErrorMessage="1" sqref="AH26">
      <formula1>0</formula1>
      <formula2>NaN</formula2>
    </dataValidation>
    <dataValidation type="whole" allowBlank="1" showInputMessage="1" showErrorMessage="1" sqref="AH27">
      <formula1>0</formula1>
      <formula2>NaN</formula2>
    </dataValidation>
    <dataValidation type="whole" allowBlank="1" showInputMessage="1" showErrorMessage="1" sqref="AH28">
      <formula1>0</formula1>
      <formula2>NaN</formula2>
    </dataValidation>
    <dataValidation type="whole" allowBlank="1" showInputMessage="1" showErrorMessage="1" sqref="AH29">
      <formula1>0</formula1>
      <formula2>NaN</formula2>
    </dataValidation>
    <dataValidation type="whole" allowBlank="1" showInputMessage="1" showErrorMessage="1" sqref="AH30">
      <formula1>0</formula1>
      <formula2>NaN</formula2>
    </dataValidation>
    <dataValidation type="whole" allowBlank="1" showInputMessage="1" showErrorMessage="1" sqref="AH31">
      <formula1>0</formula1>
      <formula2>NaN</formula2>
    </dataValidation>
    <dataValidation type="whole" allowBlank="1" showInputMessage="1" showErrorMessage="1" sqref="AH32">
      <formula1>0</formula1>
      <formula2>NaN</formula2>
    </dataValidation>
    <dataValidation type="whole" allowBlank="1" showInputMessage="1" showErrorMessage="1" sqref="AH33">
      <formula1>0</formula1>
      <formula2>NaN</formula2>
    </dataValidation>
    <dataValidation type="whole" allowBlank="1" showInputMessage="1" showErrorMessage="1" sqref="AH34">
      <formula1>0</formula1>
      <formula2>NaN</formula2>
    </dataValidation>
    <dataValidation type="whole" allowBlank="1" showInputMessage="1" showErrorMessage="1" sqref="AH35">
      <formula1>0</formula1>
      <formula2>NaN</formula2>
    </dataValidation>
    <dataValidation type="whole" allowBlank="1" showInputMessage="1" showErrorMessage="1" sqref="AH36">
      <formula1>0</formula1>
      <formula2>NaN</formula2>
    </dataValidation>
    <dataValidation type="whole" allowBlank="1" showInputMessage="1" showErrorMessage="1" sqref="AH37">
      <formula1>0</formula1>
      <formula2>NaN</formula2>
    </dataValidation>
    <dataValidation type="whole" allowBlank="1" showInputMessage="1" showErrorMessage="1" sqref="AH38">
      <formula1>0</formula1>
      <formula2>NaN</formula2>
    </dataValidation>
    <dataValidation type="whole" allowBlank="1" showInputMessage="1" showErrorMessage="1" sqref="AH39">
      <formula1>0</formula1>
      <formula2>NaN</formula2>
    </dataValidation>
    <dataValidation type="whole" allowBlank="1" showInputMessage="1" showErrorMessage="1" sqref="AH40">
      <formula1>0</formula1>
      <formula2>NaN</formula2>
    </dataValidation>
    <dataValidation type="whole" allowBlank="1" showInputMessage="1" showErrorMessage="1" sqref="AH41">
      <formula1>0</formula1>
      <formula2>NaN</formula2>
    </dataValidation>
    <dataValidation type="whole" allowBlank="1" showInputMessage="1" showErrorMessage="1" sqref="AH42">
      <formula1>0</formula1>
      <formula2>NaN</formula2>
    </dataValidation>
    <dataValidation type="whole" allowBlank="1" showInputMessage="1" showErrorMessage="1" sqref="AH43">
      <formula1>0</formula1>
      <formula2>NaN</formula2>
    </dataValidation>
    <dataValidation type="whole" allowBlank="1" showInputMessage="1" showErrorMessage="1" sqref="AH44">
      <formula1>0</formula1>
      <formula2>NaN</formula2>
    </dataValidation>
    <dataValidation type="whole" allowBlank="1" showInputMessage="1" showErrorMessage="1" sqref="AH45">
      <formula1>0</formula1>
      <formula2>NaN</formula2>
    </dataValidation>
    <dataValidation type="whole" allowBlank="1" showInputMessage="1" showErrorMessage="1" sqref="AH46">
      <formula1>0</formula1>
      <formula2>NaN</formula2>
    </dataValidation>
    <dataValidation type="whole" allowBlank="1" showInputMessage="1" showErrorMessage="1" sqref="AH47">
      <formula1>0</formula1>
      <formula2>NaN</formula2>
    </dataValidation>
    <dataValidation type="whole" allowBlank="1" showInputMessage="1" showErrorMessage="1" sqref="AH48">
      <formula1>0</formula1>
      <formula2>NaN</formula2>
    </dataValidation>
    <dataValidation type="whole" allowBlank="1" showInputMessage="1" showErrorMessage="1" sqref="AH49">
      <formula1>0</formula1>
      <formula2>NaN</formula2>
    </dataValidation>
    <dataValidation type="whole" allowBlank="1" showInputMessage="1" showErrorMessage="1" sqref="AH50">
      <formula1>0</formula1>
      <formula2>NaN</formula2>
    </dataValidation>
    <dataValidation type="whole" allowBlank="1" showInputMessage="1" showErrorMessage="1" sqref="AH51">
      <formula1>0</formula1>
      <formula2>NaN</formula2>
    </dataValidation>
    <dataValidation type="whole" allowBlank="1" showInputMessage="1" showErrorMessage="1" sqref="AH52">
      <formula1>0</formula1>
      <formula2>NaN</formula2>
    </dataValidation>
    <dataValidation type="whole" allowBlank="1" showInputMessage="1" showErrorMessage="1" sqref="AH53">
      <formula1>0</formula1>
      <formula2>NaN</formula2>
    </dataValidation>
    <dataValidation type="whole" allowBlank="1" showInputMessage="1" showErrorMessage="1" sqref="AH54">
      <formula1>0</formula1>
      <formula2>NaN</formula2>
    </dataValidation>
    <dataValidation type="whole" allowBlank="1" showInputMessage="1" showErrorMessage="1" sqref="AH55">
      <formula1>0</formula1>
      <formula2>NaN</formula2>
    </dataValidation>
    <dataValidation type="whole" allowBlank="1" showInputMessage="1" showErrorMessage="1" sqref="AH56">
      <formula1>0</formula1>
      <formula2>NaN</formula2>
    </dataValidation>
    <dataValidation type="whole" allowBlank="1" showInputMessage="1" showErrorMessage="1" sqref="AH57">
      <formula1>0</formula1>
      <formula2>NaN</formula2>
    </dataValidation>
    <dataValidation type="whole" allowBlank="1" showInputMessage="1" showErrorMessage="1" sqref="AH58">
      <formula1>0</formula1>
      <formula2>NaN</formula2>
    </dataValidation>
    <dataValidation type="whole" allowBlank="1" showInputMessage="1" showErrorMessage="1" sqref="AH59">
      <formula1>0</formula1>
      <formula2>NaN</formula2>
    </dataValidation>
    <dataValidation type="whole" allowBlank="1" showInputMessage="1" showErrorMessage="1" sqref="AH60">
      <formula1>0</formula1>
      <formula2>NaN</formula2>
    </dataValidation>
    <dataValidation type="whole" allowBlank="1" showInputMessage="1" showErrorMessage="1" sqref="AH61">
      <formula1>0</formula1>
      <formula2>NaN</formula2>
    </dataValidation>
    <dataValidation type="whole" allowBlank="1" showInputMessage="1" showErrorMessage="1" sqref="AH62">
      <formula1>0</formula1>
      <formula2>NaN</formula2>
    </dataValidation>
    <dataValidation type="whole" allowBlank="1" showInputMessage="1" showErrorMessage="1" sqref="AH63">
      <formula1>0</formula1>
      <formula2>NaN</formula2>
    </dataValidation>
    <dataValidation type="whole" allowBlank="1" showInputMessage="1" showErrorMessage="1" sqref="AH64">
      <formula1>0</formula1>
      <formula2>NaN</formula2>
    </dataValidation>
    <dataValidation type="whole" allowBlank="1" showInputMessage="1" showErrorMessage="1" sqref="AH65">
      <formula1>0</formula1>
      <formula2>NaN</formula2>
    </dataValidation>
    <dataValidation type="whole" allowBlank="1" showInputMessage="1" showErrorMessage="1" sqref="AH66">
      <formula1>0</formula1>
      <formula2>NaN</formula2>
    </dataValidation>
    <dataValidation type="whole" allowBlank="1" showInputMessage="1" showErrorMessage="1" sqref="AH67">
      <formula1>0</formula1>
      <formula2>NaN</formula2>
    </dataValidation>
    <dataValidation type="whole" allowBlank="1" showInputMessage="1" showErrorMessage="1" sqref="AH68">
      <formula1>0</formula1>
      <formula2>NaN</formula2>
    </dataValidation>
    <dataValidation type="whole" allowBlank="1" showInputMessage="1" showErrorMessage="1" sqref="AH9">
      <formula1>0</formula1>
      <formula2>NaN</formula2>
    </dataValidation>
    <dataValidation type="whole" allowBlank="1" showInputMessage="1" showErrorMessage="1" sqref="AI10">
      <formula1>0</formula1>
      <formula2>NaN</formula2>
    </dataValidation>
    <dataValidation type="whole" allowBlank="1" showInputMessage="1" showErrorMessage="1" sqref="AI11">
      <formula1>0</formula1>
      <formula2>NaN</formula2>
    </dataValidation>
    <dataValidation type="whole" allowBlank="1" showInputMessage="1" showErrorMessage="1" sqref="AI12">
      <formula1>0</formula1>
      <formula2>NaN</formula2>
    </dataValidation>
    <dataValidation type="whole" allowBlank="1" showInputMessage="1" showErrorMessage="1" sqref="AI13">
      <formula1>0</formula1>
      <formula2>NaN</formula2>
    </dataValidation>
    <dataValidation type="whole" allowBlank="1" showInputMessage="1" showErrorMessage="1" sqref="AI14">
      <formula1>0</formula1>
      <formula2>NaN</formula2>
    </dataValidation>
    <dataValidation type="whole" allowBlank="1" showInputMessage="1" showErrorMessage="1" sqref="AI15">
      <formula1>0</formula1>
      <formula2>NaN</formula2>
    </dataValidation>
    <dataValidation type="whole" allowBlank="1" showInputMessage="1" showErrorMessage="1" sqref="AI16">
      <formula1>0</formula1>
      <formula2>NaN</formula2>
    </dataValidation>
    <dataValidation type="whole" allowBlank="1" showInputMessage="1" showErrorMessage="1" sqref="AI17">
      <formula1>0</formula1>
      <formula2>NaN</formula2>
    </dataValidation>
    <dataValidation type="whole" allowBlank="1" showInputMessage="1" showErrorMessage="1" sqref="AI18">
      <formula1>0</formula1>
      <formula2>NaN</formula2>
    </dataValidation>
    <dataValidation type="whole" allowBlank="1" showInputMessage="1" showErrorMessage="1" sqref="AI19">
      <formula1>0</formula1>
      <formula2>NaN</formula2>
    </dataValidation>
    <dataValidation type="whole" allowBlank="1" showInputMessage="1" showErrorMessage="1" sqref="AI20">
      <formula1>0</formula1>
      <formula2>NaN</formula2>
    </dataValidation>
    <dataValidation type="whole" allowBlank="1" showInputMessage="1" showErrorMessage="1" sqref="AI21">
      <formula1>0</formula1>
      <formula2>NaN</formula2>
    </dataValidation>
    <dataValidation type="whole" allowBlank="1" showInputMessage="1" showErrorMessage="1" sqref="AI22">
      <formula1>0</formula1>
      <formula2>NaN</formula2>
    </dataValidation>
    <dataValidation type="whole" allowBlank="1" showInputMessage="1" showErrorMessage="1" sqref="AI23">
      <formula1>0</formula1>
      <formula2>NaN</formula2>
    </dataValidation>
    <dataValidation type="whole" allowBlank="1" showInputMessage="1" showErrorMessage="1" sqref="AI24">
      <formula1>0</formula1>
      <formula2>NaN</formula2>
    </dataValidation>
    <dataValidation type="whole" allowBlank="1" showInputMessage="1" showErrorMessage="1" sqref="AI25">
      <formula1>0</formula1>
      <formula2>NaN</formula2>
    </dataValidation>
    <dataValidation type="whole" allowBlank="1" showInputMessage="1" showErrorMessage="1" sqref="AI26">
      <formula1>0</formula1>
      <formula2>NaN</formula2>
    </dataValidation>
    <dataValidation type="whole" allowBlank="1" showInputMessage="1" showErrorMessage="1" sqref="AI27">
      <formula1>0</formula1>
      <formula2>NaN</formula2>
    </dataValidation>
    <dataValidation type="whole" allowBlank="1" showInputMessage="1" showErrorMessage="1" sqref="AI28">
      <formula1>0</formula1>
      <formula2>NaN</formula2>
    </dataValidation>
    <dataValidation type="whole" allowBlank="1" showInputMessage="1" showErrorMessage="1" sqref="AI29">
      <formula1>0</formula1>
      <formula2>NaN</formula2>
    </dataValidation>
    <dataValidation type="whole" allowBlank="1" showInputMessage="1" showErrorMessage="1" sqref="AI30">
      <formula1>0</formula1>
      <formula2>NaN</formula2>
    </dataValidation>
    <dataValidation type="whole" allowBlank="1" showInputMessage="1" showErrorMessage="1" sqref="AI31">
      <formula1>0</formula1>
      <formula2>NaN</formula2>
    </dataValidation>
    <dataValidation type="whole" allowBlank="1" showInputMessage="1" showErrorMessage="1" sqref="AI32">
      <formula1>0</formula1>
      <formula2>NaN</formula2>
    </dataValidation>
    <dataValidation type="whole" allowBlank="1" showInputMessage="1" showErrorMessage="1" sqref="AI33">
      <formula1>0</formula1>
      <formula2>NaN</formula2>
    </dataValidation>
    <dataValidation type="whole" allowBlank="1" showInputMessage="1" showErrorMessage="1" sqref="AI34">
      <formula1>0</formula1>
      <formula2>NaN</formula2>
    </dataValidation>
    <dataValidation type="whole" allowBlank="1" showInputMessage="1" showErrorMessage="1" sqref="AI35">
      <formula1>0</formula1>
      <formula2>NaN</formula2>
    </dataValidation>
    <dataValidation type="whole" allowBlank="1" showInputMessage="1" showErrorMessage="1" sqref="AI36">
      <formula1>0</formula1>
      <formula2>NaN</formula2>
    </dataValidation>
    <dataValidation type="whole" allowBlank="1" showInputMessage="1" showErrorMessage="1" sqref="AI37">
      <formula1>0</formula1>
      <formula2>NaN</formula2>
    </dataValidation>
    <dataValidation type="whole" allowBlank="1" showInputMessage="1" showErrorMessage="1" sqref="AI38">
      <formula1>0</formula1>
      <formula2>NaN</formula2>
    </dataValidation>
    <dataValidation type="whole" allowBlank="1" showInputMessage="1" showErrorMessage="1" sqref="AI39">
      <formula1>0</formula1>
      <formula2>NaN</formula2>
    </dataValidation>
    <dataValidation type="whole" allowBlank="1" showInputMessage="1" showErrorMessage="1" sqref="AI40">
      <formula1>0</formula1>
      <formula2>NaN</formula2>
    </dataValidation>
    <dataValidation type="whole" allowBlank="1" showInputMessage="1" showErrorMessage="1" sqref="AI41">
      <formula1>0</formula1>
      <formula2>NaN</formula2>
    </dataValidation>
    <dataValidation type="whole" allowBlank="1" showInputMessage="1" showErrorMessage="1" sqref="AI42">
      <formula1>0</formula1>
      <formula2>NaN</formula2>
    </dataValidation>
    <dataValidation type="whole" allowBlank="1" showInputMessage="1" showErrorMessage="1" sqref="AI43">
      <formula1>0</formula1>
      <formula2>NaN</formula2>
    </dataValidation>
    <dataValidation type="whole" allowBlank="1" showInputMessage="1" showErrorMessage="1" sqref="AI44">
      <formula1>0</formula1>
      <formula2>NaN</formula2>
    </dataValidation>
    <dataValidation type="whole" allowBlank="1" showInputMessage="1" showErrorMessage="1" sqref="AI45">
      <formula1>0</formula1>
      <formula2>NaN</formula2>
    </dataValidation>
    <dataValidation type="whole" allowBlank="1" showInputMessage="1" showErrorMessage="1" sqref="AI46">
      <formula1>0</formula1>
      <formula2>NaN</formula2>
    </dataValidation>
    <dataValidation type="whole" allowBlank="1" showInputMessage="1" showErrorMessage="1" sqref="AI47">
      <formula1>0</formula1>
      <formula2>NaN</formula2>
    </dataValidation>
    <dataValidation type="whole" allowBlank="1" showInputMessage="1" showErrorMessage="1" sqref="AI48">
      <formula1>0</formula1>
      <formula2>NaN</formula2>
    </dataValidation>
    <dataValidation type="whole" allowBlank="1" showInputMessage="1" showErrorMessage="1" sqref="AI49">
      <formula1>0</formula1>
      <formula2>NaN</formula2>
    </dataValidation>
    <dataValidation type="whole" allowBlank="1" showInputMessage="1" showErrorMessage="1" sqref="AI50">
      <formula1>0</formula1>
      <formula2>NaN</formula2>
    </dataValidation>
    <dataValidation type="whole" allowBlank="1" showInputMessage="1" showErrorMessage="1" sqref="AI51">
      <formula1>0</formula1>
      <formula2>NaN</formula2>
    </dataValidation>
    <dataValidation type="whole" allowBlank="1" showInputMessage="1" showErrorMessage="1" sqref="AI52">
      <formula1>0</formula1>
      <formula2>NaN</formula2>
    </dataValidation>
    <dataValidation type="whole" allowBlank="1" showInputMessage="1" showErrorMessage="1" sqref="AI53">
      <formula1>0</formula1>
      <formula2>NaN</formula2>
    </dataValidation>
    <dataValidation type="whole" allowBlank="1" showInputMessage="1" showErrorMessage="1" sqref="AI54">
      <formula1>0</formula1>
      <formula2>NaN</formula2>
    </dataValidation>
    <dataValidation type="whole" allowBlank="1" showInputMessage="1" showErrorMessage="1" sqref="AI55">
      <formula1>0</formula1>
      <formula2>NaN</formula2>
    </dataValidation>
    <dataValidation type="whole" allowBlank="1" showInputMessage="1" showErrorMessage="1" sqref="AI56">
      <formula1>0</formula1>
      <formula2>NaN</formula2>
    </dataValidation>
    <dataValidation type="whole" allowBlank="1" showInputMessage="1" showErrorMessage="1" sqref="AI57">
      <formula1>0</formula1>
      <formula2>NaN</formula2>
    </dataValidation>
    <dataValidation type="whole" allowBlank="1" showInputMessage="1" showErrorMessage="1" sqref="AI58">
      <formula1>0</formula1>
      <formula2>NaN</formula2>
    </dataValidation>
    <dataValidation type="whole" allowBlank="1" showInputMessage="1" showErrorMessage="1" sqref="AI59">
      <formula1>0</formula1>
      <formula2>NaN</formula2>
    </dataValidation>
    <dataValidation type="whole" allowBlank="1" showInputMessage="1" showErrorMessage="1" sqref="AI60">
      <formula1>0</formula1>
      <formula2>NaN</formula2>
    </dataValidation>
    <dataValidation type="whole" allowBlank="1" showInputMessage="1" showErrorMessage="1" sqref="AI61">
      <formula1>0</formula1>
      <formula2>NaN</formula2>
    </dataValidation>
    <dataValidation type="whole" allowBlank="1" showInputMessage="1" showErrorMessage="1" sqref="AI62">
      <formula1>0</formula1>
      <formula2>NaN</formula2>
    </dataValidation>
    <dataValidation type="whole" allowBlank="1" showInputMessage="1" showErrorMessage="1" sqref="AI63">
      <formula1>0</formula1>
      <formula2>NaN</formula2>
    </dataValidation>
    <dataValidation type="whole" allowBlank="1" showInputMessage="1" showErrorMessage="1" sqref="AI64">
      <formula1>0</formula1>
      <formula2>NaN</formula2>
    </dataValidation>
    <dataValidation type="whole" allowBlank="1" showInputMessage="1" showErrorMessage="1" sqref="AI65">
      <formula1>0</formula1>
      <formula2>NaN</formula2>
    </dataValidation>
    <dataValidation type="whole" allowBlank="1" showInputMessage="1" showErrorMessage="1" sqref="AI66">
      <formula1>0</formula1>
      <formula2>NaN</formula2>
    </dataValidation>
    <dataValidation type="whole" allowBlank="1" showInputMessage="1" showErrorMessage="1" sqref="AI67">
      <formula1>0</formula1>
      <formula2>NaN</formula2>
    </dataValidation>
    <dataValidation type="whole" allowBlank="1" showInputMessage="1" showErrorMessage="1" sqref="AI68">
      <formula1>0</formula1>
      <formula2>NaN</formula2>
    </dataValidation>
    <dataValidation type="whole" allowBlank="1" showInputMessage="1" showErrorMessage="1" sqref="AI9">
      <formula1>0</formula1>
      <formula2>NaN</formula2>
    </dataValidation>
    <dataValidation type="whole" allowBlank="1" showInputMessage="1" showErrorMessage="1" sqref="AJ10">
      <formula1>0</formula1>
      <formula2>NaN</formula2>
    </dataValidation>
    <dataValidation type="whole" allowBlank="1" showInputMessage="1" showErrorMessage="1" sqref="AJ11">
      <formula1>0</formula1>
      <formula2>NaN</formula2>
    </dataValidation>
    <dataValidation type="whole" allowBlank="1" showInputMessage="1" showErrorMessage="1" sqref="AJ12">
      <formula1>0</formula1>
      <formula2>NaN</formula2>
    </dataValidation>
    <dataValidation type="whole" allowBlank="1" showInputMessage="1" showErrorMessage="1" sqref="AJ13">
      <formula1>0</formula1>
      <formula2>NaN</formula2>
    </dataValidation>
    <dataValidation type="whole" allowBlank="1" showInputMessage="1" showErrorMessage="1" sqref="AJ14">
      <formula1>0</formula1>
      <formula2>NaN</formula2>
    </dataValidation>
    <dataValidation type="whole" allowBlank="1" showInputMessage="1" showErrorMessage="1" sqref="AJ15">
      <formula1>0</formula1>
      <formula2>NaN</formula2>
    </dataValidation>
    <dataValidation type="whole" allowBlank="1" showInputMessage="1" showErrorMessage="1" sqref="AJ16">
      <formula1>0</formula1>
      <formula2>NaN</formula2>
    </dataValidation>
    <dataValidation type="whole" allowBlank="1" showInputMessage="1" showErrorMessage="1" sqref="AJ17">
      <formula1>0</formula1>
      <formula2>NaN</formula2>
    </dataValidation>
    <dataValidation type="whole" allowBlank="1" showInputMessage="1" showErrorMessage="1" sqref="AJ18">
      <formula1>0</formula1>
      <formula2>NaN</formula2>
    </dataValidation>
    <dataValidation type="whole" allowBlank="1" showInputMessage="1" showErrorMessage="1" sqref="AJ19">
      <formula1>0</formula1>
      <formula2>NaN</formula2>
    </dataValidation>
    <dataValidation type="whole" allowBlank="1" showInputMessage="1" showErrorMessage="1" sqref="AJ20">
      <formula1>0</formula1>
      <formula2>NaN</formula2>
    </dataValidation>
    <dataValidation type="whole" allowBlank="1" showInputMessage="1" showErrorMessage="1" sqref="AJ21">
      <formula1>0</formula1>
      <formula2>NaN</formula2>
    </dataValidation>
    <dataValidation type="whole" allowBlank="1" showInputMessage="1" showErrorMessage="1" sqref="AJ22">
      <formula1>0</formula1>
      <formula2>NaN</formula2>
    </dataValidation>
    <dataValidation type="whole" allowBlank="1" showInputMessage="1" showErrorMessage="1" sqref="AJ23">
      <formula1>0</formula1>
      <formula2>NaN</formula2>
    </dataValidation>
    <dataValidation type="whole" allowBlank="1" showInputMessage="1" showErrorMessage="1" sqref="AJ24">
      <formula1>0</formula1>
      <formula2>NaN</formula2>
    </dataValidation>
    <dataValidation type="whole" allowBlank="1" showInputMessage="1" showErrorMessage="1" sqref="AJ25">
      <formula1>0</formula1>
      <formula2>NaN</formula2>
    </dataValidation>
    <dataValidation type="whole" allowBlank="1" showInputMessage="1" showErrorMessage="1" sqref="AJ26">
      <formula1>0</formula1>
      <formula2>NaN</formula2>
    </dataValidation>
    <dataValidation type="whole" allowBlank="1" showInputMessage="1" showErrorMessage="1" sqref="AJ27">
      <formula1>0</formula1>
      <formula2>NaN</formula2>
    </dataValidation>
    <dataValidation type="whole" allowBlank="1" showInputMessage="1" showErrorMessage="1" sqref="AJ28">
      <formula1>0</formula1>
      <formula2>NaN</formula2>
    </dataValidation>
    <dataValidation type="whole" allowBlank="1" showInputMessage="1" showErrorMessage="1" sqref="AJ29">
      <formula1>0</formula1>
      <formula2>NaN</formula2>
    </dataValidation>
    <dataValidation type="whole" allowBlank="1" showInputMessage="1" showErrorMessage="1" sqref="AJ30">
      <formula1>0</formula1>
      <formula2>NaN</formula2>
    </dataValidation>
    <dataValidation type="whole" allowBlank="1" showInputMessage="1" showErrorMessage="1" sqref="AJ31">
      <formula1>0</formula1>
      <formula2>NaN</formula2>
    </dataValidation>
    <dataValidation type="whole" allowBlank="1" showInputMessage="1" showErrorMessage="1" sqref="AJ32">
      <formula1>0</formula1>
      <formula2>NaN</formula2>
    </dataValidation>
    <dataValidation type="whole" allowBlank="1" showInputMessage="1" showErrorMessage="1" sqref="AJ33">
      <formula1>0</formula1>
      <formula2>NaN</formula2>
    </dataValidation>
    <dataValidation type="whole" allowBlank="1" showInputMessage="1" showErrorMessage="1" sqref="AJ34">
      <formula1>0</formula1>
      <formula2>NaN</formula2>
    </dataValidation>
    <dataValidation type="whole" allowBlank="1" showInputMessage="1" showErrorMessage="1" sqref="AJ35">
      <formula1>0</formula1>
      <formula2>NaN</formula2>
    </dataValidation>
    <dataValidation type="whole" allowBlank="1" showInputMessage="1" showErrorMessage="1" sqref="AJ36">
      <formula1>0</formula1>
      <formula2>NaN</formula2>
    </dataValidation>
    <dataValidation type="whole" allowBlank="1" showInputMessage="1" showErrorMessage="1" sqref="AJ37">
      <formula1>0</formula1>
      <formula2>NaN</formula2>
    </dataValidation>
    <dataValidation type="whole" allowBlank="1" showInputMessage="1" showErrorMessage="1" sqref="AJ38">
      <formula1>0</formula1>
      <formula2>NaN</formula2>
    </dataValidation>
    <dataValidation type="whole" allowBlank="1" showInputMessage="1" showErrorMessage="1" sqref="AJ39">
      <formula1>0</formula1>
      <formula2>NaN</formula2>
    </dataValidation>
    <dataValidation type="whole" allowBlank="1" showInputMessage="1" showErrorMessage="1" sqref="AJ40">
      <formula1>0</formula1>
      <formula2>NaN</formula2>
    </dataValidation>
    <dataValidation type="whole" allowBlank="1" showInputMessage="1" showErrorMessage="1" sqref="AJ41">
      <formula1>0</formula1>
      <formula2>NaN</formula2>
    </dataValidation>
    <dataValidation type="whole" allowBlank="1" showInputMessage="1" showErrorMessage="1" sqref="AJ42">
      <formula1>0</formula1>
      <formula2>NaN</formula2>
    </dataValidation>
    <dataValidation type="whole" allowBlank="1" showInputMessage="1" showErrorMessage="1" sqref="AJ43">
      <formula1>0</formula1>
      <formula2>NaN</formula2>
    </dataValidation>
    <dataValidation type="whole" allowBlank="1" showInputMessage="1" showErrorMessage="1" sqref="AJ44">
      <formula1>0</formula1>
      <formula2>NaN</formula2>
    </dataValidation>
    <dataValidation type="whole" allowBlank="1" showInputMessage="1" showErrorMessage="1" sqref="AJ45">
      <formula1>0</formula1>
      <formula2>NaN</formula2>
    </dataValidation>
    <dataValidation type="whole" allowBlank="1" showInputMessage="1" showErrorMessage="1" sqref="AJ46">
      <formula1>0</formula1>
      <formula2>NaN</formula2>
    </dataValidation>
    <dataValidation type="whole" allowBlank="1" showInputMessage="1" showErrorMessage="1" sqref="AJ47">
      <formula1>0</formula1>
      <formula2>NaN</formula2>
    </dataValidation>
    <dataValidation type="whole" allowBlank="1" showInputMessage="1" showErrorMessage="1" sqref="AJ48">
      <formula1>0</formula1>
      <formula2>NaN</formula2>
    </dataValidation>
    <dataValidation type="whole" allowBlank="1" showInputMessage="1" showErrorMessage="1" sqref="AJ49">
      <formula1>0</formula1>
      <formula2>NaN</formula2>
    </dataValidation>
    <dataValidation type="whole" allowBlank="1" showInputMessage="1" showErrorMessage="1" sqref="AJ50">
      <formula1>0</formula1>
      <formula2>NaN</formula2>
    </dataValidation>
    <dataValidation type="whole" allowBlank="1" showInputMessage="1" showErrorMessage="1" sqref="AJ51">
      <formula1>0</formula1>
      <formula2>NaN</formula2>
    </dataValidation>
    <dataValidation type="whole" allowBlank="1" showInputMessage="1" showErrorMessage="1" sqref="AJ52">
      <formula1>0</formula1>
      <formula2>NaN</formula2>
    </dataValidation>
    <dataValidation type="whole" allowBlank="1" showInputMessage="1" showErrorMessage="1" sqref="AJ53">
      <formula1>0</formula1>
      <formula2>NaN</formula2>
    </dataValidation>
    <dataValidation type="whole" allowBlank="1" showInputMessage="1" showErrorMessage="1" sqref="AJ54">
      <formula1>0</formula1>
      <formula2>NaN</formula2>
    </dataValidation>
    <dataValidation type="whole" allowBlank="1" showInputMessage="1" showErrorMessage="1" sqref="AJ55">
      <formula1>0</formula1>
      <formula2>NaN</formula2>
    </dataValidation>
    <dataValidation type="whole" allowBlank="1" showInputMessage="1" showErrorMessage="1" sqref="AJ56">
      <formula1>0</formula1>
      <formula2>NaN</formula2>
    </dataValidation>
    <dataValidation type="whole" allowBlank="1" showInputMessage="1" showErrorMessage="1" sqref="AJ57">
      <formula1>0</formula1>
      <formula2>NaN</formula2>
    </dataValidation>
    <dataValidation type="whole" allowBlank="1" showInputMessage="1" showErrorMessage="1" sqref="AJ58">
      <formula1>0</formula1>
      <formula2>NaN</formula2>
    </dataValidation>
    <dataValidation type="whole" allowBlank="1" showInputMessage="1" showErrorMessage="1" sqref="AJ59">
      <formula1>0</formula1>
      <formula2>NaN</formula2>
    </dataValidation>
    <dataValidation type="whole" allowBlank="1" showInputMessage="1" showErrorMessage="1" sqref="AJ60">
      <formula1>0</formula1>
      <formula2>NaN</formula2>
    </dataValidation>
    <dataValidation type="whole" allowBlank="1" showInputMessage="1" showErrorMessage="1" sqref="AJ61">
      <formula1>0</formula1>
      <formula2>NaN</formula2>
    </dataValidation>
    <dataValidation type="whole" allowBlank="1" showInputMessage="1" showErrorMessage="1" sqref="AJ62">
      <formula1>0</formula1>
      <formula2>NaN</formula2>
    </dataValidation>
    <dataValidation type="whole" allowBlank="1" showInputMessage="1" showErrorMessage="1" sqref="AJ63">
      <formula1>0</formula1>
      <formula2>NaN</formula2>
    </dataValidation>
    <dataValidation type="whole" allowBlank="1" showInputMessage="1" showErrorMessage="1" sqref="AJ64">
      <formula1>0</formula1>
      <formula2>NaN</formula2>
    </dataValidation>
    <dataValidation type="whole" allowBlank="1" showInputMessage="1" showErrorMessage="1" sqref="AJ65">
      <formula1>0</formula1>
      <formula2>NaN</formula2>
    </dataValidation>
    <dataValidation type="whole" allowBlank="1" showInputMessage="1" showErrorMessage="1" sqref="AJ66">
      <formula1>0</formula1>
      <formula2>NaN</formula2>
    </dataValidation>
    <dataValidation type="whole" allowBlank="1" showInputMessage="1" showErrorMessage="1" sqref="AJ67">
      <formula1>0</formula1>
      <formula2>NaN</formula2>
    </dataValidation>
    <dataValidation type="whole" allowBlank="1" showInputMessage="1" showErrorMessage="1" sqref="AJ68">
      <formula1>0</formula1>
      <formula2>NaN</formula2>
    </dataValidation>
    <dataValidation type="whole" allowBlank="1" showInputMessage="1" showErrorMessage="1" sqref="AJ9">
      <formula1>0</formula1>
      <formula2>NaN</formula2>
    </dataValidation>
    <dataValidation type="whole" allowBlank="1" showInputMessage="1" showErrorMessage="1" sqref="AK10">
      <formula1>0</formula1>
      <formula2>NaN</formula2>
    </dataValidation>
    <dataValidation type="whole" allowBlank="1" showInputMessage="1" showErrorMessage="1" sqref="AK11">
      <formula1>0</formula1>
      <formula2>NaN</formula2>
    </dataValidation>
    <dataValidation type="whole" allowBlank="1" showInputMessage="1" showErrorMessage="1" sqref="AK12">
      <formula1>0</formula1>
      <formula2>NaN</formula2>
    </dataValidation>
    <dataValidation type="whole" allowBlank="1" showInputMessage="1" showErrorMessage="1" sqref="AK13">
      <formula1>0</formula1>
      <formula2>NaN</formula2>
    </dataValidation>
    <dataValidation type="whole" allowBlank="1" showInputMessage="1" showErrorMessage="1" sqref="AK14">
      <formula1>0</formula1>
      <formula2>NaN</formula2>
    </dataValidation>
    <dataValidation type="whole" allowBlank="1" showInputMessage="1" showErrorMessage="1" sqref="AK15">
      <formula1>0</formula1>
      <formula2>NaN</formula2>
    </dataValidation>
    <dataValidation type="whole" allowBlank="1" showInputMessage="1" showErrorMessage="1" sqref="AK16">
      <formula1>0</formula1>
      <formula2>NaN</formula2>
    </dataValidation>
    <dataValidation type="whole" allowBlank="1" showInputMessage="1" showErrorMessage="1" sqref="AK17">
      <formula1>0</formula1>
      <formula2>NaN</formula2>
    </dataValidation>
    <dataValidation type="whole" allowBlank="1" showInputMessage="1" showErrorMessage="1" sqref="AK18">
      <formula1>0</formula1>
      <formula2>NaN</formula2>
    </dataValidation>
    <dataValidation type="whole" allowBlank="1" showInputMessage="1" showErrorMessage="1" sqref="AK19">
      <formula1>0</formula1>
      <formula2>NaN</formula2>
    </dataValidation>
    <dataValidation type="whole" allowBlank="1" showInputMessage="1" showErrorMessage="1" sqref="AK20">
      <formula1>0</formula1>
      <formula2>NaN</formula2>
    </dataValidation>
    <dataValidation type="whole" allowBlank="1" showInputMessage="1" showErrorMessage="1" sqref="AK21">
      <formula1>0</formula1>
      <formula2>NaN</formula2>
    </dataValidation>
    <dataValidation type="whole" allowBlank="1" showInputMessage="1" showErrorMessage="1" sqref="AK22">
      <formula1>0</formula1>
      <formula2>NaN</formula2>
    </dataValidation>
    <dataValidation type="whole" allowBlank="1" showInputMessage="1" showErrorMessage="1" sqref="AK23">
      <formula1>0</formula1>
      <formula2>NaN</formula2>
    </dataValidation>
    <dataValidation type="whole" allowBlank="1" showInputMessage="1" showErrorMessage="1" sqref="AK24">
      <formula1>0</formula1>
      <formula2>NaN</formula2>
    </dataValidation>
    <dataValidation type="whole" allowBlank="1" showInputMessage="1" showErrorMessage="1" sqref="AK25">
      <formula1>0</formula1>
      <formula2>NaN</formula2>
    </dataValidation>
    <dataValidation type="whole" allowBlank="1" showInputMessage="1" showErrorMessage="1" sqref="AK26">
      <formula1>0</formula1>
      <formula2>NaN</formula2>
    </dataValidation>
    <dataValidation type="whole" allowBlank="1" showInputMessage="1" showErrorMessage="1" sqref="AK27">
      <formula1>0</formula1>
      <formula2>NaN</formula2>
    </dataValidation>
    <dataValidation type="whole" allowBlank="1" showInputMessage="1" showErrorMessage="1" sqref="AK28">
      <formula1>0</formula1>
      <formula2>NaN</formula2>
    </dataValidation>
    <dataValidation type="whole" allowBlank="1" showInputMessage="1" showErrorMessage="1" sqref="AK29">
      <formula1>0</formula1>
      <formula2>NaN</formula2>
    </dataValidation>
    <dataValidation type="whole" allowBlank="1" showInputMessage="1" showErrorMessage="1" sqref="AK30">
      <formula1>0</formula1>
      <formula2>NaN</formula2>
    </dataValidation>
    <dataValidation type="whole" allowBlank="1" showInputMessage="1" showErrorMessage="1" sqref="AK31">
      <formula1>0</formula1>
      <formula2>NaN</formula2>
    </dataValidation>
    <dataValidation type="whole" allowBlank="1" showInputMessage="1" showErrorMessage="1" sqref="AK32">
      <formula1>0</formula1>
      <formula2>NaN</formula2>
    </dataValidation>
    <dataValidation type="whole" allowBlank="1" showInputMessage="1" showErrorMessage="1" sqref="AK33">
      <formula1>0</formula1>
      <formula2>NaN</formula2>
    </dataValidation>
    <dataValidation type="whole" allowBlank="1" showInputMessage="1" showErrorMessage="1" sqref="AK34">
      <formula1>0</formula1>
      <formula2>NaN</formula2>
    </dataValidation>
    <dataValidation type="whole" allowBlank="1" showInputMessage="1" showErrorMessage="1" sqref="AK35">
      <formula1>0</formula1>
      <formula2>NaN</formula2>
    </dataValidation>
    <dataValidation type="whole" allowBlank="1" showInputMessage="1" showErrorMessage="1" sqref="AK36">
      <formula1>0</formula1>
      <formula2>NaN</formula2>
    </dataValidation>
    <dataValidation type="whole" allowBlank="1" showInputMessage="1" showErrorMessage="1" sqref="AK37">
      <formula1>0</formula1>
      <formula2>NaN</formula2>
    </dataValidation>
    <dataValidation type="whole" allowBlank="1" showInputMessage="1" showErrorMessage="1" sqref="AK38">
      <formula1>0</formula1>
      <formula2>NaN</formula2>
    </dataValidation>
    <dataValidation type="whole" allowBlank="1" showInputMessage="1" showErrorMessage="1" sqref="AK39">
      <formula1>0</formula1>
      <formula2>NaN</formula2>
    </dataValidation>
    <dataValidation type="whole" allowBlank="1" showInputMessage="1" showErrorMessage="1" sqref="AK40">
      <formula1>0</formula1>
      <formula2>NaN</formula2>
    </dataValidation>
    <dataValidation type="whole" allowBlank="1" showInputMessage="1" showErrorMessage="1" sqref="AK41">
      <formula1>0</formula1>
      <formula2>NaN</formula2>
    </dataValidation>
    <dataValidation type="whole" allowBlank="1" showInputMessage="1" showErrorMessage="1" sqref="AK42">
      <formula1>0</formula1>
      <formula2>NaN</formula2>
    </dataValidation>
    <dataValidation type="whole" allowBlank="1" showInputMessage="1" showErrorMessage="1" sqref="AK43">
      <formula1>0</formula1>
      <formula2>NaN</formula2>
    </dataValidation>
    <dataValidation type="whole" allowBlank="1" showInputMessage="1" showErrorMessage="1" sqref="AK44">
      <formula1>0</formula1>
      <formula2>NaN</formula2>
    </dataValidation>
    <dataValidation type="whole" allowBlank="1" showInputMessage="1" showErrorMessage="1" sqref="AK45">
      <formula1>0</formula1>
      <formula2>NaN</formula2>
    </dataValidation>
    <dataValidation type="whole" allowBlank="1" showInputMessage="1" showErrorMessage="1" sqref="AK46">
      <formula1>0</formula1>
      <formula2>NaN</formula2>
    </dataValidation>
    <dataValidation type="whole" allowBlank="1" showInputMessage="1" showErrorMessage="1" sqref="AK47">
      <formula1>0</formula1>
      <formula2>NaN</formula2>
    </dataValidation>
    <dataValidation type="whole" allowBlank="1" showInputMessage="1" showErrorMessage="1" sqref="AK48">
      <formula1>0</formula1>
      <formula2>NaN</formula2>
    </dataValidation>
    <dataValidation type="whole" allowBlank="1" showInputMessage="1" showErrorMessage="1" sqref="AK49">
      <formula1>0</formula1>
      <formula2>NaN</formula2>
    </dataValidation>
    <dataValidation type="whole" allowBlank="1" showInputMessage="1" showErrorMessage="1" sqref="AK50">
      <formula1>0</formula1>
      <formula2>NaN</formula2>
    </dataValidation>
    <dataValidation type="whole" allowBlank="1" showInputMessage="1" showErrorMessage="1" sqref="AK51">
      <formula1>0</formula1>
      <formula2>NaN</formula2>
    </dataValidation>
    <dataValidation type="whole" allowBlank="1" showInputMessage="1" showErrorMessage="1" sqref="AK52">
      <formula1>0</formula1>
      <formula2>NaN</formula2>
    </dataValidation>
    <dataValidation type="whole" allowBlank="1" showInputMessage="1" showErrorMessage="1" sqref="AK53">
      <formula1>0</formula1>
      <formula2>NaN</formula2>
    </dataValidation>
    <dataValidation type="whole" allowBlank="1" showInputMessage="1" showErrorMessage="1" sqref="AK54">
      <formula1>0</formula1>
      <formula2>NaN</formula2>
    </dataValidation>
    <dataValidation type="whole" allowBlank="1" showInputMessage="1" showErrorMessage="1" sqref="AK55">
      <formula1>0</formula1>
      <formula2>NaN</formula2>
    </dataValidation>
    <dataValidation type="whole" allowBlank="1" showInputMessage="1" showErrorMessage="1" sqref="AK56">
      <formula1>0</formula1>
      <formula2>NaN</formula2>
    </dataValidation>
    <dataValidation type="whole" allowBlank="1" showInputMessage="1" showErrorMessage="1" sqref="AK57">
      <formula1>0</formula1>
      <formula2>NaN</formula2>
    </dataValidation>
    <dataValidation type="whole" allowBlank="1" showInputMessage="1" showErrorMessage="1" sqref="AK58">
      <formula1>0</formula1>
      <formula2>NaN</formula2>
    </dataValidation>
    <dataValidation type="whole" allowBlank="1" showInputMessage="1" showErrorMessage="1" sqref="AK59">
      <formula1>0</formula1>
      <formula2>NaN</formula2>
    </dataValidation>
    <dataValidation type="whole" allowBlank="1" showInputMessage="1" showErrorMessage="1" sqref="AK60">
      <formula1>0</formula1>
      <formula2>NaN</formula2>
    </dataValidation>
    <dataValidation type="whole" allowBlank="1" showInputMessage="1" showErrorMessage="1" sqref="AK61">
      <formula1>0</formula1>
      <formula2>NaN</formula2>
    </dataValidation>
    <dataValidation type="whole" allowBlank="1" showInputMessage="1" showErrorMessage="1" sqref="AK62">
      <formula1>0</formula1>
      <formula2>NaN</formula2>
    </dataValidation>
    <dataValidation type="whole" allowBlank="1" showInputMessage="1" showErrorMessage="1" sqref="AK63">
      <formula1>0</formula1>
      <formula2>NaN</formula2>
    </dataValidation>
    <dataValidation type="whole" allowBlank="1" showInputMessage="1" showErrorMessage="1" sqref="AK64">
      <formula1>0</formula1>
      <formula2>NaN</formula2>
    </dataValidation>
    <dataValidation type="whole" allowBlank="1" showInputMessage="1" showErrorMessage="1" sqref="AK65">
      <formula1>0</formula1>
      <formula2>NaN</formula2>
    </dataValidation>
    <dataValidation type="whole" allowBlank="1" showInputMessage="1" showErrorMessage="1" sqref="AK66">
      <formula1>0</formula1>
      <formula2>NaN</formula2>
    </dataValidation>
    <dataValidation type="whole" allowBlank="1" showInputMessage="1" showErrorMessage="1" sqref="AK67">
      <formula1>0</formula1>
      <formula2>NaN</formula2>
    </dataValidation>
    <dataValidation type="whole" allowBlank="1" showInputMessage="1" showErrorMessage="1" sqref="AK68">
      <formula1>0</formula1>
      <formula2>NaN</formula2>
    </dataValidation>
    <dataValidation type="whole" allowBlank="1" showInputMessage="1" showErrorMessage="1" sqref="AK9">
      <formula1>0</formula1>
      <formula2>NaN</formula2>
    </dataValidation>
    <dataValidation type="whole" allowBlank="1" showInputMessage="1" showErrorMessage="1" sqref="AL10">
      <formula1>0</formula1>
      <formula2>NaN</formula2>
    </dataValidation>
    <dataValidation type="whole" allowBlank="1" showInputMessage="1" showErrorMessage="1" sqref="AL11">
      <formula1>0</formula1>
      <formula2>NaN</formula2>
    </dataValidation>
    <dataValidation type="whole" allowBlank="1" showInputMessage="1" showErrorMessage="1" sqref="AL12">
      <formula1>0</formula1>
      <formula2>NaN</formula2>
    </dataValidation>
    <dataValidation type="whole" allowBlank="1" showInputMessage="1" showErrorMessage="1" sqref="AL13">
      <formula1>0</formula1>
      <formula2>NaN</formula2>
    </dataValidation>
    <dataValidation type="whole" allowBlank="1" showInputMessage="1" showErrorMessage="1" sqref="AL14">
      <formula1>0</formula1>
      <formula2>NaN</formula2>
    </dataValidation>
    <dataValidation type="whole" allowBlank="1" showInputMessage="1" showErrorMessage="1" sqref="AL15">
      <formula1>0</formula1>
      <formula2>NaN</formula2>
    </dataValidation>
    <dataValidation type="whole" allowBlank="1" showInputMessage="1" showErrorMessage="1" sqref="AL16">
      <formula1>0</formula1>
      <formula2>NaN</formula2>
    </dataValidation>
    <dataValidation type="whole" allowBlank="1" showInputMessage="1" showErrorMessage="1" sqref="AL17">
      <formula1>0</formula1>
      <formula2>NaN</formula2>
    </dataValidation>
    <dataValidation type="whole" allowBlank="1" showInputMessage="1" showErrorMessage="1" sqref="AL18">
      <formula1>0</formula1>
      <formula2>NaN</formula2>
    </dataValidation>
    <dataValidation type="whole" allowBlank="1" showInputMessage="1" showErrorMessage="1" sqref="AL19">
      <formula1>0</formula1>
      <formula2>NaN</formula2>
    </dataValidation>
    <dataValidation type="whole" allowBlank="1" showInputMessage="1" showErrorMessage="1" sqref="AL20">
      <formula1>0</formula1>
      <formula2>NaN</formula2>
    </dataValidation>
    <dataValidation type="whole" allowBlank="1" showInputMessage="1" showErrorMessage="1" sqref="AL21">
      <formula1>0</formula1>
      <formula2>NaN</formula2>
    </dataValidation>
    <dataValidation type="whole" allowBlank="1" showInputMessage="1" showErrorMessage="1" sqref="AL22">
      <formula1>0</formula1>
      <formula2>NaN</formula2>
    </dataValidation>
    <dataValidation type="whole" allowBlank="1" showInputMessage="1" showErrorMessage="1" sqref="AL23">
      <formula1>0</formula1>
      <formula2>NaN</formula2>
    </dataValidation>
    <dataValidation type="whole" allowBlank="1" showInputMessage="1" showErrorMessage="1" sqref="AL24">
      <formula1>0</formula1>
      <formula2>NaN</formula2>
    </dataValidation>
    <dataValidation type="whole" allowBlank="1" showInputMessage="1" showErrorMessage="1" sqref="AL25">
      <formula1>0</formula1>
      <formula2>NaN</formula2>
    </dataValidation>
    <dataValidation type="whole" allowBlank="1" showInputMessage="1" showErrorMessage="1" sqref="AL26">
      <formula1>0</formula1>
      <formula2>NaN</formula2>
    </dataValidation>
    <dataValidation type="whole" allowBlank="1" showInputMessage="1" showErrorMessage="1" sqref="AL27">
      <formula1>0</formula1>
      <formula2>NaN</formula2>
    </dataValidation>
    <dataValidation type="whole" allowBlank="1" showInputMessage="1" showErrorMessage="1" sqref="AL28">
      <formula1>0</formula1>
      <formula2>NaN</formula2>
    </dataValidation>
    <dataValidation type="whole" allowBlank="1" showInputMessage="1" showErrorMessage="1" sqref="AL29">
      <formula1>0</formula1>
      <formula2>NaN</formula2>
    </dataValidation>
    <dataValidation type="whole" allowBlank="1" showInputMessage="1" showErrorMessage="1" sqref="AL30">
      <formula1>0</formula1>
      <formula2>NaN</formula2>
    </dataValidation>
    <dataValidation type="whole" allowBlank="1" showInputMessage="1" showErrorMessage="1" sqref="AL31">
      <formula1>0</formula1>
      <formula2>NaN</formula2>
    </dataValidation>
    <dataValidation type="whole" allowBlank="1" showInputMessage="1" showErrorMessage="1" sqref="AL32">
      <formula1>0</formula1>
      <formula2>NaN</formula2>
    </dataValidation>
    <dataValidation type="whole" allowBlank="1" showInputMessage="1" showErrorMessage="1" sqref="AL33">
      <formula1>0</formula1>
      <formula2>NaN</formula2>
    </dataValidation>
    <dataValidation type="whole" allowBlank="1" showInputMessage="1" showErrorMessage="1" sqref="AL34">
      <formula1>0</formula1>
      <formula2>NaN</formula2>
    </dataValidation>
    <dataValidation type="whole" allowBlank="1" showInputMessage="1" showErrorMessage="1" sqref="AL35">
      <formula1>0</formula1>
      <formula2>NaN</formula2>
    </dataValidation>
    <dataValidation type="whole" allowBlank="1" showInputMessage="1" showErrorMessage="1" sqref="AL36">
      <formula1>0</formula1>
      <formula2>NaN</formula2>
    </dataValidation>
    <dataValidation type="whole" allowBlank="1" showInputMessage="1" showErrorMessage="1" sqref="AL37">
      <formula1>0</formula1>
      <formula2>NaN</formula2>
    </dataValidation>
    <dataValidation type="whole" allowBlank="1" showInputMessage="1" showErrorMessage="1" sqref="AL38">
      <formula1>0</formula1>
      <formula2>NaN</formula2>
    </dataValidation>
    <dataValidation type="whole" allowBlank="1" showInputMessage="1" showErrorMessage="1" sqref="AL39">
      <formula1>0</formula1>
      <formula2>NaN</formula2>
    </dataValidation>
    <dataValidation type="whole" allowBlank="1" showInputMessage="1" showErrorMessage="1" sqref="AL40">
      <formula1>0</formula1>
      <formula2>NaN</formula2>
    </dataValidation>
    <dataValidation type="whole" allowBlank="1" showInputMessage="1" showErrorMessage="1" sqref="AL41">
      <formula1>0</formula1>
      <formula2>NaN</formula2>
    </dataValidation>
    <dataValidation type="whole" allowBlank="1" showInputMessage="1" showErrorMessage="1" sqref="AL42">
      <formula1>0</formula1>
      <formula2>NaN</formula2>
    </dataValidation>
    <dataValidation type="whole" allowBlank="1" showInputMessage="1" showErrorMessage="1" sqref="AL43">
      <formula1>0</formula1>
      <formula2>NaN</formula2>
    </dataValidation>
    <dataValidation type="whole" allowBlank="1" showInputMessage="1" showErrorMessage="1" sqref="AL44">
      <formula1>0</formula1>
      <formula2>NaN</formula2>
    </dataValidation>
    <dataValidation type="whole" allowBlank="1" showInputMessage="1" showErrorMessage="1" sqref="AL45">
      <formula1>0</formula1>
      <formula2>NaN</formula2>
    </dataValidation>
    <dataValidation type="whole" allowBlank="1" showInputMessage="1" showErrorMessage="1" sqref="AL46">
      <formula1>0</formula1>
      <formula2>NaN</formula2>
    </dataValidation>
    <dataValidation type="whole" allowBlank="1" showInputMessage="1" showErrorMessage="1" sqref="AL47">
      <formula1>0</formula1>
      <formula2>NaN</formula2>
    </dataValidation>
    <dataValidation type="whole" allowBlank="1" showInputMessage="1" showErrorMessage="1" sqref="AL48">
      <formula1>0</formula1>
      <formula2>NaN</formula2>
    </dataValidation>
    <dataValidation type="whole" allowBlank="1" showInputMessage="1" showErrorMessage="1" sqref="AL49">
      <formula1>0</formula1>
      <formula2>NaN</formula2>
    </dataValidation>
    <dataValidation type="whole" allowBlank="1" showInputMessage="1" showErrorMessage="1" sqref="AL50">
      <formula1>0</formula1>
      <formula2>NaN</formula2>
    </dataValidation>
    <dataValidation type="whole" allowBlank="1" showInputMessage="1" showErrorMessage="1" sqref="AL51">
      <formula1>0</formula1>
      <formula2>NaN</formula2>
    </dataValidation>
    <dataValidation type="whole" allowBlank="1" showInputMessage="1" showErrorMessage="1" sqref="AL52">
      <formula1>0</formula1>
      <formula2>NaN</formula2>
    </dataValidation>
    <dataValidation type="whole" allowBlank="1" showInputMessage="1" showErrorMessage="1" sqref="AL53">
      <formula1>0</formula1>
      <formula2>NaN</formula2>
    </dataValidation>
    <dataValidation type="whole" allowBlank="1" showInputMessage="1" showErrorMessage="1" sqref="AL54">
      <formula1>0</formula1>
      <formula2>NaN</formula2>
    </dataValidation>
    <dataValidation type="whole" allowBlank="1" showInputMessage="1" showErrorMessage="1" sqref="AL55">
      <formula1>0</formula1>
      <formula2>NaN</formula2>
    </dataValidation>
    <dataValidation type="whole" allowBlank="1" showInputMessage="1" showErrorMessage="1" sqref="AL56">
      <formula1>0</formula1>
      <formula2>NaN</formula2>
    </dataValidation>
    <dataValidation type="whole" allowBlank="1" showInputMessage="1" showErrorMessage="1" sqref="AL57">
      <formula1>0</formula1>
      <formula2>NaN</formula2>
    </dataValidation>
    <dataValidation type="whole" allowBlank="1" showInputMessage="1" showErrorMessage="1" sqref="AL58">
      <formula1>0</formula1>
      <formula2>NaN</formula2>
    </dataValidation>
    <dataValidation type="whole" allowBlank="1" showInputMessage="1" showErrorMessage="1" sqref="AL59">
      <formula1>0</formula1>
      <formula2>NaN</formula2>
    </dataValidation>
    <dataValidation type="whole" allowBlank="1" showInputMessage="1" showErrorMessage="1" sqref="AL60">
      <formula1>0</formula1>
      <formula2>NaN</formula2>
    </dataValidation>
    <dataValidation type="whole" allowBlank="1" showInputMessage="1" showErrorMessage="1" sqref="AL61">
      <formula1>0</formula1>
      <formula2>NaN</formula2>
    </dataValidation>
    <dataValidation type="whole" allowBlank="1" showInputMessage="1" showErrorMessage="1" sqref="AL62">
      <formula1>0</formula1>
      <formula2>NaN</formula2>
    </dataValidation>
    <dataValidation type="whole" allowBlank="1" showInputMessage="1" showErrorMessage="1" sqref="AL63">
      <formula1>0</formula1>
      <formula2>NaN</formula2>
    </dataValidation>
    <dataValidation type="whole" allowBlank="1" showInputMessage="1" showErrorMessage="1" sqref="AL64">
      <formula1>0</formula1>
      <formula2>NaN</formula2>
    </dataValidation>
    <dataValidation type="whole" allowBlank="1" showInputMessage="1" showErrorMessage="1" sqref="AL65">
      <formula1>0</formula1>
      <formula2>NaN</formula2>
    </dataValidation>
    <dataValidation type="whole" allowBlank="1" showInputMessage="1" showErrorMessage="1" sqref="AL66">
      <formula1>0</formula1>
      <formula2>NaN</formula2>
    </dataValidation>
    <dataValidation type="whole" allowBlank="1" showInputMessage="1" showErrorMessage="1" sqref="AL67">
      <formula1>0</formula1>
      <formula2>NaN</formula2>
    </dataValidation>
    <dataValidation type="whole" allowBlank="1" showInputMessage="1" showErrorMessage="1" sqref="AL68">
      <formula1>0</formula1>
      <formula2>NaN</formula2>
    </dataValidation>
    <dataValidation type="whole" allowBlank="1" showInputMessage="1" showErrorMessage="1" sqref="AL9">
      <formula1>0</formula1>
      <formula2>NaN</formula2>
    </dataValidation>
    <dataValidation type="whole" allowBlank="1" showInputMessage="1" showErrorMessage="1" sqref="AM10">
      <formula1>0</formula1>
      <formula2>NaN</formula2>
    </dataValidation>
    <dataValidation type="whole" allowBlank="1" showInputMessage="1" showErrorMessage="1" sqref="AM11">
      <formula1>0</formula1>
      <formula2>NaN</formula2>
    </dataValidation>
    <dataValidation type="whole" allowBlank="1" showInputMessage="1" showErrorMessage="1" sqref="AM12">
      <formula1>0</formula1>
      <formula2>NaN</formula2>
    </dataValidation>
    <dataValidation type="whole" allowBlank="1" showInputMessage="1" showErrorMessage="1" sqref="AM13">
      <formula1>0</formula1>
      <formula2>NaN</formula2>
    </dataValidation>
    <dataValidation type="whole" allowBlank="1" showInputMessage="1" showErrorMessage="1" sqref="AM14">
      <formula1>0</formula1>
      <formula2>NaN</formula2>
    </dataValidation>
    <dataValidation type="whole" allowBlank="1" showInputMessage="1" showErrorMessage="1" sqref="AM15">
      <formula1>0</formula1>
      <formula2>NaN</formula2>
    </dataValidation>
    <dataValidation type="whole" allowBlank="1" showInputMessage="1" showErrorMessage="1" sqref="AM16">
      <formula1>0</formula1>
      <formula2>NaN</formula2>
    </dataValidation>
    <dataValidation type="whole" allowBlank="1" showInputMessage="1" showErrorMessage="1" sqref="AM17">
      <formula1>0</formula1>
      <formula2>NaN</formula2>
    </dataValidation>
    <dataValidation type="whole" allowBlank="1" showInputMessage="1" showErrorMessage="1" sqref="AM18">
      <formula1>0</formula1>
      <formula2>NaN</formula2>
    </dataValidation>
    <dataValidation type="whole" allowBlank="1" showInputMessage="1" showErrorMessage="1" sqref="AM19">
      <formula1>0</formula1>
      <formula2>NaN</formula2>
    </dataValidation>
    <dataValidation type="whole" allowBlank="1" showInputMessage="1" showErrorMessage="1" sqref="AM20">
      <formula1>0</formula1>
      <formula2>NaN</formula2>
    </dataValidation>
    <dataValidation type="whole" allowBlank="1" showInputMessage="1" showErrorMessage="1" sqref="AM21">
      <formula1>0</formula1>
      <formula2>NaN</formula2>
    </dataValidation>
    <dataValidation type="whole" allowBlank="1" showInputMessage="1" showErrorMessage="1" sqref="AM22">
      <formula1>0</formula1>
      <formula2>NaN</formula2>
    </dataValidation>
    <dataValidation type="whole" allowBlank="1" showInputMessage="1" showErrorMessage="1" sqref="AM23">
      <formula1>0</formula1>
      <formula2>NaN</formula2>
    </dataValidation>
    <dataValidation type="whole" allowBlank="1" showInputMessage="1" showErrorMessage="1" sqref="AM24">
      <formula1>0</formula1>
      <formula2>NaN</formula2>
    </dataValidation>
    <dataValidation type="whole" allowBlank="1" showInputMessage="1" showErrorMessage="1" sqref="AM25">
      <formula1>0</formula1>
      <formula2>NaN</formula2>
    </dataValidation>
    <dataValidation type="whole" allowBlank="1" showInputMessage="1" showErrorMessage="1" sqref="AM26">
      <formula1>0</formula1>
      <formula2>NaN</formula2>
    </dataValidation>
    <dataValidation type="whole" allowBlank="1" showInputMessage="1" showErrorMessage="1" sqref="AM27">
      <formula1>0</formula1>
      <formula2>NaN</formula2>
    </dataValidation>
    <dataValidation type="whole" allowBlank="1" showInputMessage="1" showErrorMessage="1" sqref="AM28">
      <formula1>0</formula1>
      <formula2>NaN</formula2>
    </dataValidation>
    <dataValidation type="whole" allowBlank="1" showInputMessage="1" showErrorMessage="1" sqref="AM29">
      <formula1>0</formula1>
      <formula2>NaN</formula2>
    </dataValidation>
    <dataValidation type="whole" allowBlank="1" showInputMessage="1" showErrorMessage="1" sqref="AM30">
      <formula1>0</formula1>
      <formula2>NaN</formula2>
    </dataValidation>
    <dataValidation type="whole" allowBlank="1" showInputMessage="1" showErrorMessage="1" sqref="AM31">
      <formula1>0</formula1>
      <formula2>NaN</formula2>
    </dataValidation>
    <dataValidation type="whole" allowBlank="1" showInputMessage="1" showErrorMessage="1" sqref="AM32">
      <formula1>0</formula1>
      <formula2>NaN</formula2>
    </dataValidation>
    <dataValidation type="whole" allowBlank="1" showInputMessage="1" showErrorMessage="1" sqref="AM33">
      <formula1>0</formula1>
      <formula2>NaN</formula2>
    </dataValidation>
    <dataValidation type="whole" allowBlank="1" showInputMessage="1" showErrorMessage="1" sqref="AM34">
      <formula1>0</formula1>
      <formula2>NaN</formula2>
    </dataValidation>
    <dataValidation type="whole" allowBlank="1" showInputMessage="1" showErrorMessage="1" sqref="AM35">
      <formula1>0</formula1>
      <formula2>NaN</formula2>
    </dataValidation>
    <dataValidation type="whole" allowBlank="1" showInputMessage="1" showErrorMessage="1" sqref="AM36">
      <formula1>0</formula1>
      <formula2>NaN</formula2>
    </dataValidation>
    <dataValidation type="whole" allowBlank="1" showInputMessage="1" showErrorMessage="1" sqref="AM37">
      <formula1>0</formula1>
      <formula2>NaN</formula2>
    </dataValidation>
    <dataValidation type="whole" allowBlank="1" showInputMessage="1" showErrorMessage="1" sqref="AM38">
      <formula1>0</formula1>
      <formula2>NaN</formula2>
    </dataValidation>
    <dataValidation type="whole" allowBlank="1" showInputMessage="1" showErrorMessage="1" sqref="AM39">
      <formula1>0</formula1>
      <formula2>NaN</formula2>
    </dataValidation>
    <dataValidation type="whole" allowBlank="1" showInputMessage="1" showErrorMessage="1" sqref="AM40">
      <formula1>0</formula1>
      <formula2>NaN</formula2>
    </dataValidation>
    <dataValidation type="whole" allowBlank="1" showInputMessage="1" showErrorMessage="1" sqref="AM41">
      <formula1>0</formula1>
      <formula2>NaN</formula2>
    </dataValidation>
    <dataValidation type="whole" allowBlank="1" showInputMessage="1" showErrorMessage="1" sqref="AM42">
      <formula1>0</formula1>
      <formula2>NaN</formula2>
    </dataValidation>
    <dataValidation type="whole" allowBlank="1" showInputMessage="1" showErrorMessage="1" sqref="AM43">
      <formula1>0</formula1>
      <formula2>NaN</formula2>
    </dataValidation>
    <dataValidation type="whole" allowBlank="1" showInputMessage="1" showErrorMessage="1" sqref="AM44">
      <formula1>0</formula1>
      <formula2>NaN</formula2>
    </dataValidation>
    <dataValidation type="whole" allowBlank="1" showInputMessage="1" showErrorMessage="1" sqref="AM45">
      <formula1>0</formula1>
      <formula2>NaN</formula2>
    </dataValidation>
    <dataValidation type="whole" allowBlank="1" showInputMessage="1" showErrorMessage="1" sqref="AM46">
      <formula1>0</formula1>
      <formula2>NaN</formula2>
    </dataValidation>
    <dataValidation type="whole" allowBlank="1" showInputMessage="1" showErrorMessage="1" sqref="AM47">
      <formula1>0</formula1>
      <formula2>NaN</formula2>
    </dataValidation>
    <dataValidation type="whole" allowBlank="1" showInputMessage="1" showErrorMessage="1" sqref="AM48">
      <formula1>0</formula1>
      <formula2>NaN</formula2>
    </dataValidation>
    <dataValidation type="whole" allowBlank="1" showInputMessage="1" showErrorMessage="1" sqref="AM49">
      <formula1>0</formula1>
      <formula2>NaN</formula2>
    </dataValidation>
    <dataValidation type="whole" allowBlank="1" showInputMessage="1" showErrorMessage="1" sqref="AM50">
      <formula1>0</formula1>
      <formula2>NaN</formula2>
    </dataValidation>
    <dataValidation type="whole" allowBlank="1" showInputMessage="1" showErrorMessage="1" sqref="AM51">
      <formula1>0</formula1>
      <formula2>NaN</formula2>
    </dataValidation>
    <dataValidation type="whole" allowBlank="1" showInputMessage="1" showErrorMessage="1" sqref="AM52">
      <formula1>0</formula1>
      <formula2>NaN</formula2>
    </dataValidation>
    <dataValidation type="whole" allowBlank="1" showInputMessage="1" showErrorMessage="1" sqref="AM53">
      <formula1>0</formula1>
      <formula2>NaN</formula2>
    </dataValidation>
    <dataValidation type="whole" allowBlank="1" showInputMessage="1" showErrorMessage="1" sqref="AM54">
      <formula1>0</formula1>
      <formula2>NaN</formula2>
    </dataValidation>
    <dataValidation type="whole" allowBlank="1" showInputMessage="1" showErrorMessage="1" sqref="AM55">
      <formula1>0</formula1>
      <formula2>NaN</formula2>
    </dataValidation>
    <dataValidation type="whole" allowBlank="1" showInputMessage="1" showErrorMessage="1" sqref="AM56">
      <formula1>0</formula1>
      <formula2>NaN</formula2>
    </dataValidation>
    <dataValidation type="whole" allowBlank="1" showInputMessage="1" showErrorMessage="1" sqref="AM57">
      <formula1>0</formula1>
      <formula2>NaN</formula2>
    </dataValidation>
    <dataValidation type="whole" allowBlank="1" showInputMessage="1" showErrorMessage="1" sqref="AM58">
      <formula1>0</formula1>
      <formula2>NaN</formula2>
    </dataValidation>
    <dataValidation type="whole" allowBlank="1" showInputMessage="1" showErrorMessage="1" sqref="AM59">
      <formula1>0</formula1>
      <formula2>NaN</formula2>
    </dataValidation>
    <dataValidation type="whole" allowBlank="1" showInputMessage="1" showErrorMessage="1" sqref="AM60">
      <formula1>0</formula1>
      <formula2>NaN</formula2>
    </dataValidation>
    <dataValidation type="whole" allowBlank="1" showInputMessage="1" showErrorMessage="1" sqref="AM61">
      <formula1>0</formula1>
      <formula2>NaN</formula2>
    </dataValidation>
    <dataValidation type="whole" allowBlank="1" showInputMessage="1" showErrorMessage="1" sqref="AM62">
      <formula1>0</formula1>
      <formula2>NaN</formula2>
    </dataValidation>
    <dataValidation type="whole" allowBlank="1" showInputMessage="1" showErrorMessage="1" sqref="AM63">
      <formula1>0</formula1>
      <formula2>NaN</formula2>
    </dataValidation>
    <dataValidation type="whole" allowBlank="1" showInputMessage="1" showErrorMessage="1" sqref="AM64">
      <formula1>0</formula1>
      <formula2>NaN</formula2>
    </dataValidation>
    <dataValidation type="whole" allowBlank="1" showInputMessage="1" showErrorMessage="1" sqref="AM65">
      <formula1>0</formula1>
      <formula2>NaN</formula2>
    </dataValidation>
    <dataValidation type="whole" allowBlank="1" showInputMessage="1" showErrorMessage="1" sqref="AM66">
      <formula1>0</formula1>
      <formula2>NaN</formula2>
    </dataValidation>
    <dataValidation type="whole" allowBlank="1" showInputMessage="1" showErrorMessage="1" sqref="AM67">
      <formula1>0</formula1>
      <formula2>NaN</formula2>
    </dataValidation>
    <dataValidation type="whole" allowBlank="1" showInputMessage="1" showErrorMessage="1" sqref="AM68">
      <formula1>0</formula1>
      <formula2>NaN</formula2>
    </dataValidation>
    <dataValidation type="whole" allowBlank="1" showInputMessage="1" showErrorMessage="1" sqref="AM9">
      <formula1>0</formula1>
      <formula2>NaN</formula2>
    </dataValidation>
    <dataValidation type="whole" allowBlank="1" showInputMessage="1" showErrorMessage="1" sqref="AN10">
      <formula1>0</formula1>
      <formula2>NaN</formula2>
    </dataValidation>
    <dataValidation type="whole" allowBlank="1" showInputMessage="1" showErrorMessage="1" sqref="AN11">
      <formula1>0</formula1>
      <formula2>NaN</formula2>
    </dataValidation>
    <dataValidation type="whole" allowBlank="1" showInputMessage="1" showErrorMessage="1" sqref="AN12">
      <formula1>0</formula1>
      <formula2>NaN</formula2>
    </dataValidation>
    <dataValidation type="whole" allowBlank="1" showInputMessage="1" showErrorMessage="1" sqref="AN13">
      <formula1>0</formula1>
      <formula2>NaN</formula2>
    </dataValidation>
    <dataValidation type="whole" allowBlank="1" showInputMessage="1" showErrorMessage="1" sqref="AN14">
      <formula1>0</formula1>
      <formula2>NaN</formula2>
    </dataValidation>
    <dataValidation type="whole" allowBlank="1" showInputMessage="1" showErrorMessage="1" sqref="AN15">
      <formula1>0</formula1>
      <formula2>NaN</formula2>
    </dataValidation>
    <dataValidation type="whole" allowBlank="1" showInputMessage="1" showErrorMessage="1" sqref="AN16">
      <formula1>0</formula1>
      <formula2>NaN</formula2>
    </dataValidation>
    <dataValidation type="whole" allowBlank="1" showInputMessage="1" showErrorMessage="1" sqref="AN17">
      <formula1>0</formula1>
      <formula2>NaN</formula2>
    </dataValidation>
    <dataValidation type="whole" allowBlank="1" showInputMessage="1" showErrorMessage="1" sqref="AN18">
      <formula1>0</formula1>
      <formula2>NaN</formula2>
    </dataValidation>
    <dataValidation type="whole" allowBlank="1" showInputMessage="1" showErrorMessage="1" sqref="AN19">
      <formula1>0</formula1>
      <formula2>NaN</formula2>
    </dataValidation>
    <dataValidation type="whole" allowBlank="1" showInputMessage="1" showErrorMessage="1" sqref="AN20">
      <formula1>0</formula1>
      <formula2>NaN</formula2>
    </dataValidation>
    <dataValidation type="whole" allowBlank="1" showInputMessage="1" showErrorMessage="1" sqref="AN21">
      <formula1>0</formula1>
      <formula2>NaN</formula2>
    </dataValidation>
    <dataValidation type="whole" allowBlank="1" showInputMessage="1" showErrorMessage="1" sqref="AN22">
      <formula1>0</formula1>
      <formula2>NaN</formula2>
    </dataValidation>
    <dataValidation type="whole" allowBlank="1" showInputMessage="1" showErrorMessage="1" sqref="AN23">
      <formula1>0</formula1>
      <formula2>NaN</formula2>
    </dataValidation>
    <dataValidation type="whole" allowBlank="1" showInputMessage="1" showErrorMessage="1" sqref="AN24">
      <formula1>0</formula1>
      <formula2>NaN</formula2>
    </dataValidation>
    <dataValidation type="whole" allowBlank="1" showInputMessage="1" showErrorMessage="1" sqref="AN25">
      <formula1>0</formula1>
      <formula2>NaN</formula2>
    </dataValidation>
    <dataValidation type="whole" allowBlank="1" showInputMessage="1" showErrorMessage="1" sqref="AN26">
      <formula1>0</formula1>
      <formula2>NaN</formula2>
    </dataValidation>
    <dataValidation type="whole" allowBlank="1" showInputMessage="1" showErrorMessage="1" sqref="AN27">
      <formula1>0</formula1>
      <formula2>NaN</formula2>
    </dataValidation>
    <dataValidation type="whole" allowBlank="1" showInputMessage="1" showErrorMessage="1" sqref="AN28">
      <formula1>0</formula1>
      <formula2>NaN</formula2>
    </dataValidation>
    <dataValidation type="whole" allowBlank="1" showInputMessage="1" showErrorMessage="1" sqref="AN29">
      <formula1>0</formula1>
      <formula2>NaN</formula2>
    </dataValidation>
    <dataValidation type="whole" allowBlank="1" showInputMessage="1" showErrorMessage="1" sqref="AN30">
      <formula1>0</formula1>
      <formula2>NaN</formula2>
    </dataValidation>
    <dataValidation type="whole" allowBlank="1" showInputMessage="1" showErrorMessage="1" sqref="AN31">
      <formula1>0</formula1>
      <formula2>NaN</formula2>
    </dataValidation>
    <dataValidation type="whole" allowBlank="1" showInputMessage="1" showErrorMessage="1" sqref="AN32">
      <formula1>0</formula1>
      <formula2>NaN</formula2>
    </dataValidation>
    <dataValidation type="whole" allowBlank="1" showInputMessage="1" showErrorMessage="1" sqref="AN33">
      <formula1>0</formula1>
      <formula2>NaN</formula2>
    </dataValidation>
    <dataValidation type="whole" allowBlank="1" showInputMessage="1" showErrorMessage="1" sqref="AN34">
      <formula1>0</formula1>
      <formula2>NaN</formula2>
    </dataValidation>
    <dataValidation type="whole" allowBlank="1" showInputMessage="1" showErrorMessage="1" sqref="AN35">
      <formula1>0</formula1>
      <formula2>NaN</formula2>
    </dataValidation>
    <dataValidation type="whole" allowBlank="1" showInputMessage="1" showErrorMessage="1" sqref="AN36">
      <formula1>0</formula1>
      <formula2>NaN</formula2>
    </dataValidation>
    <dataValidation type="whole" allowBlank="1" showInputMessage="1" showErrorMessage="1" sqref="AN37">
      <formula1>0</formula1>
      <formula2>NaN</formula2>
    </dataValidation>
    <dataValidation type="whole" allowBlank="1" showInputMessage="1" showErrorMessage="1" sqref="AN38">
      <formula1>0</formula1>
      <formula2>NaN</formula2>
    </dataValidation>
    <dataValidation type="whole" allowBlank="1" showInputMessage="1" showErrorMessage="1" sqref="AN39">
      <formula1>0</formula1>
      <formula2>NaN</formula2>
    </dataValidation>
    <dataValidation type="whole" allowBlank="1" showInputMessage="1" showErrorMessage="1" sqref="AN40">
      <formula1>0</formula1>
      <formula2>NaN</formula2>
    </dataValidation>
    <dataValidation type="whole" allowBlank="1" showInputMessage="1" showErrorMessage="1" sqref="AN41">
      <formula1>0</formula1>
      <formula2>NaN</formula2>
    </dataValidation>
    <dataValidation type="whole" allowBlank="1" showInputMessage="1" showErrorMessage="1" sqref="AN42">
      <formula1>0</formula1>
      <formula2>NaN</formula2>
    </dataValidation>
    <dataValidation type="whole" allowBlank="1" showInputMessage="1" showErrorMessage="1" sqref="AN43">
      <formula1>0</formula1>
      <formula2>NaN</formula2>
    </dataValidation>
    <dataValidation type="whole" allowBlank="1" showInputMessage="1" showErrorMessage="1" sqref="AN44">
      <formula1>0</formula1>
      <formula2>NaN</formula2>
    </dataValidation>
    <dataValidation type="whole" allowBlank="1" showInputMessage="1" showErrorMessage="1" sqref="AN45">
      <formula1>0</formula1>
      <formula2>NaN</formula2>
    </dataValidation>
    <dataValidation type="whole" allowBlank="1" showInputMessage="1" showErrorMessage="1" sqref="AN46">
      <formula1>0</formula1>
      <formula2>NaN</formula2>
    </dataValidation>
    <dataValidation type="whole" allowBlank="1" showInputMessage="1" showErrorMessage="1" sqref="AN47">
      <formula1>0</formula1>
      <formula2>NaN</formula2>
    </dataValidation>
    <dataValidation type="whole" allowBlank="1" showInputMessage="1" showErrorMessage="1" sqref="AN48">
      <formula1>0</formula1>
      <formula2>NaN</formula2>
    </dataValidation>
    <dataValidation type="whole" allowBlank="1" showInputMessage="1" showErrorMessage="1" sqref="AN49">
      <formula1>0</formula1>
      <formula2>NaN</formula2>
    </dataValidation>
    <dataValidation type="whole" allowBlank="1" showInputMessage="1" showErrorMessage="1" sqref="AN50">
      <formula1>0</formula1>
      <formula2>NaN</formula2>
    </dataValidation>
    <dataValidation type="whole" allowBlank="1" showInputMessage="1" showErrorMessage="1" sqref="AN51">
      <formula1>0</formula1>
      <formula2>NaN</formula2>
    </dataValidation>
    <dataValidation type="whole" allowBlank="1" showInputMessage="1" showErrorMessage="1" sqref="AN52">
      <formula1>0</formula1>
      <formula2>NaN</formula2>
    </dataValidation>
    <dataValidation type="whole" allowBlank="1" showInputMessage="1" showErrorMessage="1" sqref="AN53">
      <formula1>0</formula1>
      <formula2>NaN</formula2>
    </dataValidation>
    <dataValidation type="whole" allowBlank="1" showInputMessage="1" showErrorMessage="1" sqref="AN54">
      <formula1>0</formula1>
      <formula2>NaN</formula2>
    </dataValidation>
    <dataValidation type="whole" allowBlank="1" showInputMessage="1" showErrorMessage="1" sqref="AN55">
      <formula1>0</formula1>
      <formula2>NaN</formula2>
    </dataValidation>
    <dataValidation type="whole" allowBlank="1" showInputMessage="1" showErrorMessage="1" sqref="AN56">
      <formula1>0</formula1>
      <formula2>NaN</formula2>
    </dataValidation>
    <dataValidation type="whole" allowBlank="1" showInputMessage="1" showErrorMessage="1" sqref="AN57">
      <formula1>0</formula1>
      <formula2>NaN</formula2>
    </dataValidation>
    <dataValidation type="whole" allowBlank="1" showInputMessage="1" showErrorMessage="1" sqref="AN58">
      <formula1>0</formula1>
      <formula2>NaN</formula2>
    </dataValidation>
    <dataValidation type="whole" allowBlank="1" showInputMessage="1" showErrorMessage="1" sqref="AN59">
      <formula1>0</formula1>
      <formula2>NaN</formula2>
    </dataValidation>
    <dataValidation type="whole" allowBlank="1" showInputMessage="1" showErrorMessage="1" sqref="AN60">
      <formula1>0</formula1>
      <formula2>NaN</formula2>
    </dataValidation>
    <dataValidation type="whole" allowBlank="1" showInputMessage="1" showErrorMessage="1" sqref="AN61">
      <formula1>0</formula1>
      <formula2>NaN</formula2>
    </dataValidation>
    <dataValidation type="whole" allowBlank="1" showInputMessage="1" showErrorMessage="1" sqref="AN62">
      <formula1>0</formula1>
      <formula2>NaN</formula2>
    </dataValidation>
    <dataValidation type="whole" allowBlank="1" showInputMessage="1" showErrorMessage="1" sqref="AN63">
      <formula1>0</formula1>
      <formula2>NaN</formula2>
    </dataValidation>
    <dataValidation type="whole" allowBlank="1" showInputMessage="1" showErrorMessage="1" sqref="AN64">
      <formula1>0</formula1>
      <formula2>NaN</formula2>
    </dataValidation>
    <dataValidation type="whole" allowBlank="1" showInputMessage="1" showErrorMessage="1" sqref="AN65">
      <formula1>0</formula1>
      <formula2>NaN</formula2>
    </dataValidation>
    <dataValidation type="whole" allowBlank="1" showInputMessage="1" showErrorMessage="1" sqref="AN66">
      <formula1>0</formula1>
      <formula2>NaN</formula2>
    </dataValidation>
    <dataValidation type="whole" allowBlank="1" showInputMessage="1" showErrorMessage="1" sqref="AN67">
      <formula1>0</formula1>
      <formula2>NaN</formula2>
    </dataValidation>
    <dataValidation type="whole" allowBlank="1" showInputMessage="1" showErrorMessage="1" sqref="AN68">
      <formula1>0</formula1>
      <formula2>NaN</formula2>
    </dataValidation>
    <dataValidation type="whole" allowBlank="1" showInputMessage="1" showErrorMessage="1" sqref="AN9">
      <formula1>0</formula1>
      <formula2>NaN</formula2>
    </dataValidation>
    <dataValidation type="whole" allowBlank="1" showInputMessage="1" showErrorMessage="1" sqref="AO10">
      <formula1>0</formula1>
      <formula2>NaN</formula2>
    </dataValidation>
    <dataValidation type="whole" allowBlank="1" showInputMessage="1" showErrorMessage="1" sqref="AO11">
      <formula1>0</formula1>
      <formula2>NaN</formula2>
    </dataValidation>
    <dataValidation type="whole" allowBlank="1" showInputMessage="1" showErrorMessage="1" sqref="AO12">
      <formula1>0</formula1>
      <formula2>NaN</formula2>
    </dataValidation>
    <dataValidation type="whole" allowBlank="1" showInputMessage="1" showErrorMessage="1" sqref="AO13">
      <formula1>0</formula1>
      <formula2>NaN</formula2>
    </dataValidation>
    <dataValidation type="whole" allowBlank="1" showInputMessage="1" showErrorMessage="1" sqref="AO14">
      <formula1>0</formula1>
      <formula2>NaN</formula2>
    </dataValidation>
    <dataValidation type="whole" allowBlank="1" showInputMessage="1" showErrorMessage="1" sqref="AO15">
      <formula1>0</formula1>
      <formula2>NaN</formula2>
    </dataValidation>
    <dataValidation type="whole" allowBlank="1" showInputMessage="1" showErrorMessage="1" sqref="AO16">
      <formula1>0</formula1>
      <formula2>NaN</formula2>
    </dataValidation>
    <dataValidation type="whole" allowBlank="1" showInputMessage="1" showErrorMessage="1" sqref="AO17">
      <formula1>0</formula1>
      <formula2>NaN</formula2>
    </dataValidation>
    <dataValidation type="whole" allowBlank="1" showInputMessage="1" showErrorMessage="1" sqref="AO18">
      <formula1>0</formula1>
      <formula2>NaN</formula2>
    </dataValidation>
    <dataValidation type="whole" allowBlank="1" showInputMessage="1" showErrorMessage="1" sqref="AO19">
      <formula1>0</formula1>
      <formula2>NaN</formula2>
    </dataValidation>
    <dataValidation type="whole" allowBlank="1" showInputMessage="1" showErrorMessage="1" sqref="AO20">
      <formula1>0</formula1>
      <formula2>NaN</formula2>
    </dataValidation>
    <dataValidation type="whole" allowBlank="1" showInputMessage="1" showErrorMessage="1" sqref="AO21">
      <formula1>0</formula1>
      <formula2>NaN</formula2>
    </dataValidation>
    <dataValidation type="whole" allowBlank="1" showInputMessage="1" showErrorMessage="1" sqref="AO22">
      <formula1>0</formula1>
      <formula2>NaN</formula2>
    </dataValidation>
    <dataValidation type="whole" allowBlank="1" showInputMessage="1" showErrorMessage="1" sqref="AO23">
      <formula1>0</formula1>
      <formula2>NaN</formula2>
    </dataValidation>
    <dataValidation type="whole" allowBlank="1" showInputMessage="1" showErrorMessage="1" sqref="AO24">
      <formula1>0</formula1>
      <formula2>NaN</formula2>
    </dataValidation>
    <dataValidation type="whole" allowBlank="1" showInputMessage="1" showErrorMessage="1" sqref="AO25">
      <formula1>0</formula1>
      <formula2>NaN</formula2>
    </dataValidation>
    <dataValidation type="whole" allowBlank="1" showInputMessage="1" showErrorMessage="1" sqref="AO26">
      <formula1>0</formula1>
      <formula2>NaN</formula2>
    </dataValidation>
    <dataValidation type="whole" allowBlank="1" showInputMessage="1" showErrorMessage="1" sqref="AO27">
      <formula1>0</formula1>
      <formula2>NaN</formula2>
    </dataValidation>
    <dataValidation type="whole" allowBlank="1" showInputMessage="1" showErrorMessage="1" sqref="AO28">
      <formula1>0</formula1>
      <formula2>NaN</formula2>
    </dataValidation>
    <dataValidation type="whole" allowBlank="1" showInputMessage="1" showErrorMessage="1" sqref="AO29">
      <formula1>0</formula1>
      <formula2>NaN</formula2>
    </dataValidation>
    <dataValidation type="whole" allowBlank="1" showInputMessage="1" showErrorMessage="1" sqref="AO30">
      <formula1>0</formula1>
      <formula2>NaN</formula2>
    </dataValidation>
    <dataValidation type="whole" allowBlank="1" showInputMessage="1" showErrorMessage="1" sqref="AO31">
      <formula1>0</formula1>
      <formula2>NaN</formula2>
    </dataValidation>
    <dataValidation type="whole" allowBlank="1" showInputMessage="1" showErrorMessage="1" sqref="AO32">
      <formula1>0</formula1>
      <formula2>NaN</formula2>
    </dataValidation>
    <dataValidation type="whole" allowBlank="1" showInputMessage="1" showErrorMessage="1" sqref="AO33">
      <formula1>0</formula1>
      <formula2>NaN</formula2>
    </dataValidation>
    <dataValidation type="whole" allowBlank="1" showInputMessage="1" showErrorMessage="1" sqref="AO34">
      <formula1>0</formula1>
      <formula2>NaN</formula2>
    </dataValidation>
    <dataValidation type="whole" allowBlank="1" showInputMessage="1" showErrorMessage="1" sqref="AO35">
      <formula1>0</formula1>
      <formula2>NaN</formula2>
    </dataValidation>
    <dataValidation type="whole" allowBlank="1" showInputMessage="1" showErrorMessage="1" sqref="AO36">
      <formula1>0</formula1>
      <formula2>NaN</formula2>
    </dataValidation>
    <dataValidation type="whole" allowBlank="1" showInputMessage="1" showErrorMessage="1" sqref="AO37">
      <formula1>0</formula1>
      <formula2>NaN</formula2>
    </dataValidation>
    <dataValidation type="whole" allowBlank="1" showInputMessage="1" showErrorMessage="1" sqref="AO38">
      <formula1>0</formula1>
      <formula2>NaN</formula2>
    </dataValidation>
    <dataValidation type="whole" allowBlank="1" showInputMessage="1" showErrorMessage="1" sqref="AO39">
      <formula1>0</formula1>
      <formula2>NaN</formula2>
    </dataValidation>
    <dataValidation type="whole" allowBlank="1" showInputMessage="1" showErrorMessage="1" sqref="AO40">
      <formula1>0</formula1>
      <formula2>NaN</formula2>
    </dataValidation>
    <dataValidation type="whole" allowBlank="1" showInputMessage="1" showErrorMessage="1" sqref="AO41">
      <formula1>0</formula1>
      <formula2>NaN</formula2>
    </dataValidation>
    <dataValidation type="whole" allowBlank="1" showInputMessage="1" showErrorMessage="1" sqref="AO42">
      <formula1>0</formula1>
      <formula2>NaN</formula2>
    </dataValidation>
    <dataValidation type="whole" allowBlank="1" showInputMessage="1" showErrorMessage="1" sqref="AO43">
      <formula1>0</formula1>
      <formula2>NaN</formula2>
    </dataValidation>
    <dataValidation type="whole" allowBlank="1" showInputMessage="1" showErrorMessage="1" sqref="AO44">
      <formula1>0</formula1>
      <formula2>NaN</formula2>
    </dataValidation>
    <dataValidation type="whole" allowBlank="1" showInputMessage="1" showErrorMessage="1" sqref="AO45">
      <formula1>0</formula1>
      <formula2>NaN</formula2>
    </dataValidation>
    <dataValidation type="whole" allowBlank="1" showInputMessage="1" showErrorMessage="1" sqref="AO46">
      <formula1>0</formula1>
      <formula2>NaN</formula2>
    </dataValidation>
    <dataValidation type="whole" allowBlank="1" showInputMessage="1" showErrorMessage="1" sqref="AO47">
      <formula1>0</formula1>
      <formula2>NaN</formula2>
    </dataValidation>
    <dataValidation type="whole" allowBlank="1" showInputMessage="1" showErrorMessage="1" sqref="AO48">
      <formula1>0</formula1>
      <formula2>NaN</formula2>
    </dataValidation>
    <dataValidation type="whole" allowBlank="1" showInputMessage="1" showErrorMessage="1" sqref="AO49">
      <formula1>0</formula1>
      <formula2>NaN</formula2>
    </dataValidation>
    <dataValidation type="whole" allowBlank="1" showInputMessage="1" showErrorMessage="1" sqref="AO50">
      <formula1>0</formula1>
      <formula2>NaN</formula2>
    </dataValidation>
    <dataValidation type="whole" allowBlank="1" showInputMessage="1" showErrorMessage="1" sqref="AO51">
      <formula1>0</formula1>
      <formula2>NaN</formula2>
    </dataValidation>
    <dataValidation type="whole" allowBlank="1" showInputMessage="1" showErrorMessage="1" sqref="AO52">
      <formula1>0</formula1>
      <formula2>NaN</formula2>
    </dataValidation>
    <dataValidation type="whole" allowBlank="1" showInputMessage="1" showErrorMessage="1" sqref="AO53">
      <formula1>0</formula1>
      <formula2>NaN</formula2>
    </dataValidation>
    <dataValidation type="whole" allowBlank="1" showInputMessage="1" showErrorMessage="1" sqref="AO54">
      <formula1>0</formula1>
      <formula2>NaN</formula2>
    </dataValidation>
    <dataValidation type="whole" allowBlank="1" showInputMessage="1" showErrorMessage="1" sqref="AO55">
      <formula1>0</formula1>
      <formula2>NaN</formula2>
    </dataValidation>
    <dataValidation type="whole" allowBlank="1" showInputMessage="1" showErrorMessage="1" sqref="AO56">
      <formula1>0</formula1>
      <formula2>NaN</formula2>
    </dataValidation>
    <dataValidation type="whole" allowBlank="1" showInputMessage="1" showErrorMessage="1" sqref="AO57">
      <formula1>0</formula1>
      <formula2>NaN</formula2>
    </dataValidation>
    <dataValidation type="whole" allowBlank="1" showInputMessage="1" showErrorMessage="1" sqref="AO58">
      <formula1>0</formula1>
      <formula2>NaN</formula2>
    </dataValidation>
    <dataValidation type="whole" allowBlank="1" showInputMessage="1" showErrorMessage="1" sqref="AO59">
      <formula1>0</formula1>
      <formula2>NaN</formula2>
    </dataValidation>
    <dataValidation type="whole" allowBlank="1" showInputMessage="1" showErrorMessage="1" sqref="AO60">
      <formula1>0</formula1>
      <formula2>NaN</formula2>
    </dataValidation>
    <dataValidation type="whole" allowBlank="1" showInputMessage="1" showErrorMessage="1" sqref="AO61">
      <formula1>0</formula1>
      <formula2>NaN</formula2>
    </dataValidation>
    <dataValidation type="whole" allowBlank="1" showInputMessage="1" showErrorMessage="1" sqref="AO62">
      <formula1>0</formula1>
      <formula2>NaN</formula2>
    </dataValidation>
    <dataValidation type="whole" allowBlank="1" showInputMessage="1" showErrorMessage="1" sqref="AO63">
      <formula1>0</formula1>
      <formula2>NaN</formula2>
    </dataValidation>
    <dataValidation type="whole" allowBlank="1" showInputMessage="1" showErrorMessage="1" sqref="AO64">
      <formula1>0</formula1>
      <formula2>NaN</formula2>
    </dataValidation>
    <dataValidation type="whole" allowBlank="1" showInputMessage="1" showErrorMessage="1" sqref="AO65">
      <formula1>0</formula1>
      <formula2>NaN</formula2>
    </dataValidation>
    <dataValidation type="whole" allowBlank="1" showInputMessage="1" showErrorMessage="1" sqref="AO66">
      <formula1>0</formula1>
      <formula2>NaN</formula2>
    </dataValidation>
    <dataValidation type="whole" allowBlank="1" showInputMessage="1" showErrorMessage="1" sqref="AO67">
      <formula1>0</formula1>
      <formula2>NaN</formula2>
    </dataValidation>
    <dataValidation type="whole" allowBlank="1" showInputMessage="1" showErrorMessage="1" sqref="AO68">
      <formula1>0</formula1>
      <formula2>NaN</formula2>
    </dataValidation>
    <dataValidation type="whole" allowBlank="1" showInputMessage="1" showErrorMessage="1" sqref="AO9">
      <formula1>0</formula1>
      <formula2>NaN</formula2>
    </dataValidation>
    <dataValidation type="whole" allowBlank="1" showInputMessage="1" showErrorMessage="1" sqref="AP10">
      <formula1>0</formula1>
      <formula2>NaN</formula2>
    </dataValidation>
    <dataValidation type="whole" allowBlank="1" showInputMessage="1" showErrorMessage="1" sqref="AP11">
      <formula1>0</formula1>
      <formula2>NaN</formula2>
    </dataValidation>
    <dataValidation type="whole" allowBlank="1" showInputMessage="1" showErrorMessage="1" sqref="AP12">
      <formula1>0</formula1>
      <formula2>NaN</formula2>
    </dataValidation>
    <dataValidation type="whole" allowBlank="1" showInputMessage="1" showErrorMessage="1" sqref="AP13">
      <formula1>0</formula1>
      <formula2>NaN</formula2>
    </dataValidation>
    <dataValidation type="whole" allowBlank="1" showInputMessage="1" showErrorMessage="1" sqref="AP14">
      <formula1>0</formula1>
      <formula2>NaN</formula2>
    </dataValidation>
    <dataValidation type="whole" allowBlank="1" showInputMessage="1" showErrorMessage="1" sqref="AP15">
      <formula1>0</formula1>
      <formula2>NaN</formula2>
    </dataValidation>
    <dataValidation type="whole" allowBlank="1" showInputMessage="1" showErrorMessage="1" sqref="AP16">
      <formula1>0</formula1>
      <formula2>NaN</formula2>
    </dataValidation>
    <dataValidation type="whole" allowBlank="1" showInputMessage="1" showErrorMessage="1" sqref="AP17">
      <formula1>0</formula1>
      <formula2>NaN</formula2>
    </dataValidation>
    <dataValidation type="whole" allowBlank="1" showInputMessage="1" showErrorMessage="1" sqref="AP18">
      <formula1>0</formula1>
      <formula2>NaN</formula2>
    </dataValidation>
    <dataValidation type="whole" allowBlank="1" showInputMessage="1" showErrorMessage="1" sqref="AP19">
      <formula1>0</formula1>
      <formula2>NaN</formula2>
    </dataValidation>
    <dataValidation type="whole" allowBlank="1" showInputMessage="1" showErrorMessage="1" sqref="AP20">
      <formula1>0</formula1>
      <formula2>NaN</formula2>
    </dataValidation>
    <dataValidation type="whole" allowBlank="1" showInputMessage="1" showErrorMessage="1" sqref="AP21">
      <formula1>0</formula1>
      <formula2>NaN</formula2>
    </dataValidation>
    <dataValidation type="whole" allowBlank="1" showInputMessage="1" showErrorMessage="1" sqref="AP22">
      <formula1>0</formula1>
      <formula2>NaN</formula2>
    </dataValidation>
    <dataValidation type="whole" allowBlank="1" showInputMessage="1" showErrorMessage="1" sqref="AP23">
      <formula1>0</formula1>
      <formula2>NaN</formula2>
    </dataValidation>
    <dataValidation type="whole" allowBlank="1" showInputMessage="1" showErrorMessage="1" sqref="AP24">
      <formula1>0</formula1>
      <formula2>NaN</formula2>
    </dataValidation>
    <dataValidation type="whole" allowBlank="1" showInputMessage="1" showErrorMessage="1" sqref="AP25">
      <formula1>0</formula1>
      <formula2>NaN</formula2>
    </dataValidation>
    <dataValidation type="whole" allowBlank="1" showInputMessage="1" showErrorMessage="1" sqref="AP26">
      <formula1>0</formula1>
      <formula2>NaN</formula2>
    </dataValidation>
    <dataValidation type="whole" allowBlank="1" showInputMessage="1" showErrorMessage="1" sqref="AP27">
      <formula1>0</formula1>
      <formula2>NaN</formula2>
    </dataValidation>
    <dataValidation type="whole" allowBlank="1" showInputMessage="1" showErrorMessage="1" sqref="AP28">
      <formula1>0</formula1>
      <formula2>NaN</formula2>
    </dataValidation>
    <dataValidation type="whole" allowBlank="1" showInputMessage="1" showErrorMessage="1" sqref="AP29">
      <formula1>0</formula1>
      <formula2>NaN</formula2>
    </dataValidation>
    <dataValidation type="whole" allowBlank="1" showInputMessage="1" showErrorMessage="1" sqref="AP30">
      <formula1>0</formula1>
      <formula2>NaN</formula2>
    </dataValidation>
    <dataValidation type="whole" allowBlank="1" showInputMessage="1" showErrorMessage="1" sqref="AP31">
      <formula1>0</formula1>
      <formula2>NaN</formula2>
    </dataValidation>
    <dataValidation type="whole" allowBlank="1" showInputMessage="1" showErrorMessage="1" sqref="AP32">
      <formula1>0</formula1>
      <formula2>NaN</formula2>
    </dataValidation>
    <dataValidation type="whole" allowBlank="1" showInputMessage="1" showErrorMessage="1" sqref="AP33">
      <formula1>0</formula1>
      <formula2>NaN</formula2>
    </dataValidation>
    <dataValidation type="whole" allowBlank="1" showInputMessage="1" showErrorMessage="1" sqref="AP34">
      <formula1>0</formula1>
      <formula2>NaN</formula2>
    </dataValidation>
    <dataValidation type="whole" allowBlank="1" showInputMessage="1" showErrorMessage="1" sqref="AP35">
      <formula1>0</formula1>
      <formula2>NaN</formula2>
    </dataValidation>
    <dataValidation type="whole" allowBlank="1" showInputMessage="1" showErrorMessage="1" sqref="AP36">
      <formula1>0</formula1>
      <formula2>NaN</formula2>
    </dataValidation>
    <dataValidation type="whole" allowBlank="1" showInputMessage="1" showErrorMessage="1" sqref="AP37">
      <formula1>0</formula1>
      <formula2>NaN</formula2>
    </dataValidation>
    <dataValidation type="whole" allowBlank="1" showInputMessage="1" showErrorMessage="1" sqref="AP38">
      <formula1>0</formula1>
      <formula2>NaN</formula2>
    </dataValidation>
    <dataValidation type="whole" allowBlank="1" showInputMessage="1" showErrorMessage="1" sqref="AP39">
      <formula1>0</formula1>
      <formula2>NaN</formula2>
    </dataValidation>
    <dataValidation type="whole" allowBlank="1" showInputMessage="1" showErrorMessage="1" sqref="AP40">
      <formula1>0</formula1>
      <formula2>NaN</formula2>
    </dataValidation>
    <dataValidation type="whole" allowBlank="1" showInputMessage="1" showErrorMessage="1" sqref="AP41">
      <formula1>0</formula1>
      <formula2>NaN</formula2>
    </dataValidation>
    <dataValidation type="whole" allowBlank="1" showInputMessage="1" showErrorMessage="1" sqref="AP42">
      <formula1>0</formula1>
      <formula2>NaN</formula2>
    </dataValidation>
    <dataValidation type="whole" allowBlank="1" showInputMessage="1" showErrorMessage="1" sqref="AP43">
      <formula1>0</formula1>
      <formula2>NaN</formula2>
    </dataValidation>
    <dataValidation type="whole" allowBlank="1" showInputMessage="1" showErrorMessage="1" sqref="AP44">
      <formula1>0</formula1>
      <formula2>NaN</formula2>
    </dataValidation>
    <dataValidation type="whole" allowBlank="1" showInputMessage="1" showErrorMessage="1" sqref="AP45">
      <formula1>0</formula1>
      <formula2>NaN</formula2>
    </dataValidation>
    <dataValidation type="whole" allowBlank="1" showInputMessage="1" showErrorMessage="1" sqref="AP46">
      <formula1>0</formula1>
      <formula2>NaN</formula2>
    </dataValidation>
    <dataValidation type="whole" allowBlank="1" showInputMessage="1" showErrorMessage="1" sqref="AP47">
      <formula1>0</formula1>
      <formula2>NaN</formula2>
    </dataValidation>
    <dataValidation type="whole" allowBlank="1" showInputMessage="1" showErrorMessage="1" sqref="AP48">
      <formula1>0</formula1>
      <formula2>NaN</formula2>
    </dataValidation>
    <dataValidation type="whole" allowBlank="1" showInputMessage="1" showErrorMessage="1" sqref="AP49">
      <formula1>0</formula1>
      <formula2>NaN</formula2>
    </dataValidation>
    <dataValidation type="whole" allowBlank="1" showInputMessage="1" showErrorMessage="1" sqref="AP50">
      <formula1>0</formula1>
      <formula2>NaN</formula2>
    </dataValidation>
    <dataValidation type="whole" allowBlank="1" showInputMessage="1" showErrorMessage="1" sqref="AP51">
      <formula1>0</formula1>
      <formula2>NaN</formula2>
    </dataValidation>
    <dataValidation type="whole" allowBlank="1" showInputMessage="1" showErrorMessage="1" sqref="AP52">
      <formula1>0</formula1>
      <formula2>NaN</formula2>
    </dataValidation>
    <dataValidation type="whole" allowBlank="1" showInputMessage="1" showErrorMessage="1" sqref="AP53">
      <formula1>0</formula1>
      <formula2>NaN</formula2>
    </dataValidation>
    <dataValidation type="whole" allowBlank="1" showInputMessage="1" showErrorMessage="1" sqref="AP54">
      <formula1>0</formula1>
      <formula2>NaN</formula2>
    </dataValidation>
    <dataValidation type="whole" allowBlank="1" showInputMessage="1" showErrorMessage="1" sqref="AP55">
      <formula1>0</formula1>
      <formula2>NaN</formula2>
    </dataValidation>
    <dataValidation type="whole" allowBlank="1" showInputMessage="1" showErrorMessage="1" sqref="AP56">
      <formula1>0</formula1>
      <formula2>NaN</formula2>
    </dataValidation>
    <dataValidation type="whole" allowBlank="1" showInputMessage="1" showErrorMessage="1" sqref="AP57">
      <formula1>0</formula1>
      <formula2>NaN</formula2>
    </dataValidation>
    <dataValidation type="whole" allowBlank="1" showInputMessage="1" showErrorMessage="1" sqref="AP58">
      <formula1>0</formula1>
      <formula2>NaN</formula2>
    </dataValidation>
    <dataValidation type="whole" allowBlank="1" showInputMessage="1" showErrorMessage="1" sqref="AP59">
      <formula1>0</formula1>
      <formula2>NaN</formula2>
    </dataValidation>
    <dataValidation type="whole" allowBlank="1" showInputMessage="1" showErrorMessage="1" sqref="AP60">
      <formula1>0</formula1>
      <formula2>NaN</formula2>
    </dataValidation>
    <dataValidation type="whole" allowBlank="1" showInputMessage="1" showErrorMessage="1" sqref="AP61">
      <formula1>0</formula1>
      <formula2>NaN</formula2>
    </dataValidation>
    <dataValidation type="whole" allowBlank="1" showInputMessage="1" showErrorMessage="1" sqref="AP62">
      <formula1>0</formula1>
      <formula2>NaN</formula2>
    </dataValidation>
    <dataValidation type="whole" allowBlank="1" showInputMessage="1" showErrorMessage="1" sqref="AP63">
      <formula1>0</formula1>
      <formula2>NaN</formula2>
    </dataValidation>
    <dataValidation type="whole" allowBlank="1" showInputMessage="1" showErrorMessage="1" sqref="AP64">
      <formula1>0</formula1>
      <formula2>NaN</formula2>
    </dataValidation>
    <dataValidation type="whole" allowBlank="1" showInputMessage="1" showErrorMessage="1" sqref="AP65">
      <formula1>0</formula1>
      <formula2>NaN</formula2>
    </dataValidation>
    <dataValidation type="whole" allowBlank="1" showInputMessage="1" showErrorMessage="1" sqref="AP66">
      <formula1>0</formula1>
      <formula2>NaN</formula2>
    </dataValidation>
    <dataValidation type="whole" allowBlank="1" showInputMessage="1" showErrorMessage="1" sqref="AP67">
      <formula1>0</formula1>
      <formula2>NaN</formula2>
    </dataValidation>
    <dataValidation type="whole" allowBlank="1" showInputMessage="1" showErrorMessage="1" sqref="AP68">
      <formula1>0</formula1>
      <formula2>NaN</formula2>
    </dataValidation>
    <dataValidation type="whole" allowBlank="1" showInputMessage="1" showErrorMessage="1" sqref="AP9">
      <formula1>0</formula1>
      <formula2>NaN</formula2>
    </dataValidation>
    <dataValidation showInputMessage="1" prompt="Percentage Score" showErrorMessage="1" sqref="AR5"/>
    <dataValidation showInputMessage="1" prompt="Weighted Score" showErrorMessage="1" sqref="AS5"/>
    <dataValidation type="whole" allowBlank="1" showInputMessage="1" showErrorMessage="1" sqref="AT10">
      <formula1>0</formula1>
      <formula2>NaN</formula2>
    </dataValidation>
    <dataValidation type="whole" allowBlank="1" showInputMessage="1" showErrorMessage="1" sqref="AT11">
      <formula1>0</formula1>
      <formula2>NaN</formula2>
    </dataValidation>
    <dataValidation type="whole" allowBlank="1" showInputMessage="1" showErrorMessage="1" sqref="AT12">
      <formula1>0</formula1>
      <formula2>NaN</formula2>
    </dataValidation>
    <dataValidation type="whole" allowBlank="1" showInputMessage="1" showErrorMessage="1" sqref="AT13">
      <formula1>0</formula1>
      <formula2>NaN</formula2>
    </dataValidation>
    <dataValidation type="whole" allowBlank="1" showInputMessage="1" showErrorMessage="1" sqref="AT14">
      <formula1>0</formula1>
      <formula2>NaN</formula2>
    </dataValidation>
    <dataValidation type="whole" allowBlank="1" showInputMessage="1" showErrorMessage="1" sqref="AT15">
      <formula1>0</formula1>
      <formula2>NaN</formula2>
    </dataValidation>
    <dataValidation type="whole" allowBlank="1" showInputMessage="1" showErrorMessage="1" sqref="AT16">
      <formula1>0</formula1>
      <formula2>NaN</formula2>
    </dataValidation>
    <dataValidation type="whole" allowBlank="1" showInputMessage="1" showErrorMessage="1" sqref="AT17">
      <formula1>0</formula1>
      <formula2>NaN</formula2>
    </dataValidation>
    <dataValidation type="whole" allowBlank="1" showInputMessage="1" showErrorMessage="1" sqref="AT18">
      <formula1>0</formula1>
      <formula2>NaN</formula2>
    </dataValidation>
    <dataValidation type="whole" allowBlank="1" showInputMessage="1" showErrorMessage="1" sqref="AT19">
      <formula1>0</formula1>
      <formula2>NaN</formula2>
    </dataValidation>
    <dataValidation type="whole" allowBlank="1" showInputMessage="1" showErrorMessage="1" sqref="AT20">
      <formula1>0</formula1>
      <formula2>NaN</formula2>
    </dataValidation>
    <dataValidation type="whole" allowBlank="1" showInputMessage="1" showErrorMessage="1" sqref="AT21">
      <formula1>0</formula1>
      <formula2>NaN</formula2>
    </dataValidation>
    <dataValidation type="whole" allowBlank="1" showInputMessage="1" showErrorMessage="1" sqref="AT22">
      <formula1>0</formula1>
      <formula2>NaN</formula2>
    </dataValidation>
    <dataValidation type="whole" allowBlank="1" showInputMessage="1" showErrorMessage="1" sqref="AT23">
      <formula1>0</formula1>
      <formula2>NaN</formula2>
    </dataValidation>
    <dataValidation type="whole" allowBlank="1" showInputMessage="1" showErrorMessage="1" sqref="AT24">
      <formula1>0</formula1>
      <formula2>NaN</formula2>
    </dataValidation>
    <dataValidation type="whole" allowBlank="1" showInputMessage="1" showErrorMessage="1" sqref="AT25">
      <formula1>0</formula1>
      <formula2>NaN</formula2>
    </dataValidation>
    <dataValidation type="whole" allowBlank="1" showInputMessage="1" showErrorMessage="1" sqref="AT26">
      <formula1>0</formula1>
      <formula2>NaN</formula2>
    </dataValidation>
    <dataValidation type="whole" allowBlank="1" showInputMessage="1" showErrorMessage="1" sqref="AT27">
      <formula1>0</formula1>
      <formula2>NaN</formula2>
    </dataValidation>
    <dataValidation type="whole" allowBlank="1" showInputMessage="1" showErrorMessage="1" sqref="AT28">
      <formula1>0</formula1>
      <formula2>NaN</formula2>
    </dataValidation>
    <dataValidation type="whole" allowBlank="1" showInputMessage="1" showErrorMessage="1" sqref="AT29">
      <formula1>0</formula1>
      <formula2>NaN</formula2>
    </dataValidation>
    <dataValidation type="whole" allowBlank="1" showInputMessage="1" showErrorMessage="1" sqref="AT30">
      <formula1>0</formula1>
      <formula2>NaN</formula2>
    </dataValidation>
    <dataValidation type="whole" allowBlank="1" showInputMessage="1" showErrorMessage="1" sqref="AT31">
      <formula1>0</formula1>
      <formula2>NaN</formula2>
    </dataValidation>
    <dataValidation type="whole" allowBlank="1" showInputMessage="1" showErrorMessage="1" sqref="AT32">
      <formula1>0</formula1>
      <formula2>NaN</formula2>
    </dataValidation>
    <dataValidation type="whole" allowBlank="1" showInputMessage="1" showErrorMessage="1" sqref="AT33">
      <formula1>0</formula1>
      <formula2>NaN</formula2>
    </dataValidation>
    <dataValidation type="whole" allowBlank="1" showInputMessage="1" showErrorMessage="1" sqref="AT34">
      <formula1>0</formula1>
      <formula2>NaN</formula2>
    </dataValidation>
    <dataValidation type="whole" allowBlank="1" showInputMessage="1" showErrorMessage="1" sqref="AT35">
      <formula1>0</formula1>
      <formula2>NaN</formula2>
    </dataValidation>
    <dataValidation type="whole" allowBlank="1" showInputMessage="1" showErrorMessage="1" sqref="AT36">
      <formula1>0</formula1>
      <formula2>NaN</formula2>
    </dataValidation>
    <dataValidation type="whole" allowBlank="1" showInputMessage="1" showErrorMessage="1" sqref="AT37">
      <formula1>0</formula1>
      <formula2>NaN</formula2>
    </dataValidation>
    <dataValidation type="whole" allowBlank="1" showInputMessage="1" showErrorMessage="1" sqref="AT38">
      <formula1>0</formula1>
      <formula2>NaN</formula2>
    </dataValidation>
    <dataValidation type="whole" allowBlank="1" showInputMessage="1" showErrorMessage="1" sqref="AT39">
      <formula1>0</formula1>
      <formula2>NaN</formula2>
    </dataValidation>
    <dataValidation type="whole" allowBlank="1" showInputMessage="1" showErrorMessage="1" sqref="AT40">
      <formula1>0</formula1>
      <formula2>NaN</formula2>
    </dataValidation>
    <dataValidation type="whole" allowBlank="1" showInputMessage="1" showErrorMessage="1" sqref="AT41">
      <formula1>0</formula1>
      <formula2>NaN</formula2>
    </dataValidation>
    <dataValidation type="whole" allowBlank="1" showInputMessage="1" showErrorMessage="1" sqref="AT42">
      <formula1>0</formula1>
      <formula2>NaN</formula2>
    </dataValidation>
    <dataValidation type="whole" allowBlank="1" showInputMessage="1" showErrorMessage="1" sqref="AT43">
      <formula1>0</formula1>
      <formula2>NaN</formula2>
    </dataValidation>
    <dataValidation type="whole" allowBlank="1" showInputMessage="1" showErrorMessage="1" sqref="AT44">
      <formula1>0</formula1>
      <formula2>NaN</formula2>
    </dataValidation>
    <dataValidation type="whole" allowBlank="1" showInputMessage="1" showErrorMessage="1" sqref="AT45">
      <formula1>0</formula1>
      <formula2>NaN</formula2>
    </dataValidation>
    <dataValidation type="whole" allowBlank="1" showInputMessage="1" showErrorMessage="1" sqref="AT46">
      <formula1>0</formula1>
      <formula2>NaN</formula2>
    </dataValidation>
    <dataValidation type="whole" allowBlank="1" showInputMessage="1" showErrorMessage="1" sqref="AT47">
      <formula1>0</formula1>
      <formula2>NaN</formula2>
    </dataValidation>
    <dataValidation type="whole" allowBlank="1" showInputMessage="1" showErrorMessage="1" sqref="AT48">
      <formula1>0</formula1>
      <formula2>NaN</formula2>
    </dataValidation>
    <dataValidation type="whole" allowBlank="1" showInputMessage="1" showErrorMessage="1" sqref="AT49">
      <formula1>0</formula1>
      <formula2>NaN</formula2>
    </dataValidation>
    <dataValidation type="whole" allowBlank="1" showInputMessage="1" showErrorMessage="1" sqref="AT50">
      <formula1>0</formula1>
      <formula2>NaN</formula2>
    </dataValidation>
    <dataValidation type="whole" allowBlank="1" showInputMessage="1" showErrorMessage="1" sqref="AT51">
      <formula1>0</formula1>
      <formula2>NaN</formula2>
    </dataValidation>
    <dataValidation type="whole" allowBlank="1" showInputMessage="1" showErrorMessage="1" sqref="AT52">
      <formula1>0</formula1>
      <formula2>NaN</formula2>
    </dataValidation>
    <dataValidation type="whole" allowBlank="1" showInputMessage="1" showErrorMessage="1" sqref="AT53">
      <formula1>0</formula1>
      <formula2>NaN</formula2>
    </dataValidation>
    <dataValidation type="whole" allowBlank="1" showInputMessage="1" showErrorMessage="1" sqref="AT54">
      <formula1>0</formula1>
      <formula2>NaN</formula2>
    </dataValidation>
    <dataValidation type="whole" allowBlank="1" showInputMessage="1" showErrorMessage="1" sqref="AT55">
      <formula1>0</formula1>
      <formula2>NaN</formula2>
    </dataValidation>
    <dataValidation type="whole" allowBlank="1" showInputMessage="1" showErrorMessage="1" sqref="AT56">
      <formula1>0</formula1>
      <formula2>NaN</formula2>
    </dataValidation>
    <dataValidation type="whole" allowBlank="1" showInputMessage="1" showErrorMessage="1" sqref="AT57">
      <formula1>0</formula1>
      <formula2>NaN</formula2>
    </dataValidation>
    <dataValidation type="whole" allowBlank="1" showInputMessage="1" showErrorMessage="1" sqref="AT58">
      <formula1>0</formula1>
      <formula2>NaN</formula2>
    </dataValidation>
    <dataValidation type="whole" allowBlank="1" showInputMessage="1" showErrorMessage="1" sqref="AT59">
      <formula1>0</formula1>
      <formula2>NaN</formula2>
    </dataValidation>
    <dataValidation showInputMessage="1" prompt="Input possible highest score here" showErrorMessage="1" sqref="AT6:AV6"/>
    <dataValidation type="whole" allowBlank="1" showInputMessage="1" showErrorMessage="1" sqref="AT60">
      <formula1>0</formula1>
      <formula2>NaN</formula2>
    </dataValidation>
    <dataValidation type="whole" allowBlank="1" showInputMessage="1" showErrorMessage="1" sqref="AT61">
      <formula1>0</formula1>
      <formula2>NaN</formula2>
    </dataValidation>
    <dataValidation type="whole" allowBlank="1" showInputMessage="1" showErrorMessage="1" sqref="AT62">
      <formula1>0</formula1>
      <formula2>NaN</formula2>
    </dataValidation>
    <dataValidation type="whole" allowBlank="1" showInputMessage="1" showErrorMessage="1" sqref="AT63">
      <formula1>0</formula1>
      <formula2>NaN</formula2>
    </dataValidation>
    <dataValidation type="whole" allowBlank="1" showInputMessage="1" showErrorMessage="1" sqref="AT64">
      <formula1>0</formula1>
      <formula2>NaN</formula2>
    </dataValidation>
    <dataValidation type="whole" allowBlank="1" showInputMessage="1" showErrorMessage="1" sqref="AT65">
      <formula1>0</formula1>
      <formula2>NaN</formula2>
    </dataValidation>
    <dataValidation type="whole" allowBlank="1" showInputMessage="1" showErrorMessage="1" sqref="AT66">
      <formula1>0</formula1>
      <formula2>NaN</formula2>
    </dataValidation>
    <dataValidation type="whole" allowBlank="1" showInputMessage="1" showErrorMessage="1" sqref="AT67">
      <formula1>0</formula1>
      <formula2>NaN</formula2>
    </dataValidation>
    <dataValidation type="whole" allowBlank="1" showInputMessage="1" showErrorMessage="1" sqref="AT68">
      <formula1>0</formula1>
      <formula2>NaN</formula2>
    </dataValidation>
    <dataValidation type="date" allowBlank="1" showInputMessage="1" prompt="Input date here_x000a_" showErrorMessage="1" sqref="AT8:AV8">
      <formula1>1</formula1>
      <formula2>NaN</formula2>
    </dataValidation>
    <dataValidation type="whole" allowBlank="1" showInputMessage="1" showErrorMessage="1" sqref="AT9">
      <formula1>0</formula1>
      <formula2>NaN</formula2>
    </dataValidation>
    <dataValidation type="whole" allowBlank="1" showInputMessage="1" showErrorMessage="1" sqref="AU10">
      <formula1>0</formula1>
      <formula2>NaN</formula2>
    </dataValidation>
    <dataValidation type="whole" allowBlank="1" showInputMessage="1" showErrorMessage="1" sqref="AU11">
      <formula1>0</formula1>
      <formula2>NaN</formula2>
    </dataValidation>
    <dataValidation type="whole" allowBlank="1" showInputMessage="1" showErrorMessage="1" sqref="AU12">
      <formula1>0</formula1>
      <formula2>NaN</formula2>
    </dataValidation>
    <dataValidation type="whole" allowBlank="1" showInputMessage="1" showErrorMessage="1" sqref="AU13">
      <formula1>0</formula1>
      <formula2>NaN</formula2>
    </dataValidation>
    <dataValidation type="whole" allowBlank="1" showInputMessage="1" showErrorMessage="1" sqref="AU14">
      <formula1>0</formula1>
      <formula2>NaN</formula2>
    </dataValidation>
    <dataValidation type="whole" allowBlank="1" showInputMessage="1" showErrorMessage="1" sqref="AU15">
      <formula1>0</formula1>
      <formula2>NaN</formula2>
    </dataValidation>
    <dataValidation type="whole" allowBlank="1" showInputMessage="1" showErrorMessage="1" sqref="AU16">
      <formula1>0</formula1>
      <formula2>NaN</formula2>
    </dataValidation>
    <dataValidation type="whole" allowBlank="1" showInputMessage="1" showErrorMessage="1" sqref="AU17">
      <formula1>0</formula1>
      <formula2>NaN</formula2>
    </dataValidation>
    <dataValidation type="whole" allowBlank="1" showInputMessage="1" showErrorMessage="1" sqref="AU18">
      <formula1>0</formula1>
      <formula2>NaN</formula2>
    </dataValidation>
    <dataValidation type="whole" allowBlank="1" showInputMessage="1" showErrorMessage="1" sqref="AU19">
      <formula1>0</formula1>
      <formula2>NaN</formula2>
    </dataValidation>
    <dataValidation type="whole" allowBlank="1" showInputMessage="1" showErrorMessage="1" sqref="AU20">
      <formula1>0</formula1>
      <formula2>NaN</formula2>
    </dataValidation>
    <dataValidation type="whole" allowBlank="1" showInputMessage="1" showErrorMessage="1" sqref="AU21">
      <formula1>0</formula1>
      <formula2>NaN</formula2>
    </dataValidation>
    <dataValidation type="whole" allowBlank="1" showInputMessage="1" showErrorMessage="1" sqref="AU22">
      <formula1>0</formula1>
      <formula2>NaN</formula2>
    </dataValidation>
    <dataValidation type="whole" allowBlank="1" showInputMessage="1" showErrorMessage="1" sqref="AU23">
      <formula1>0</formula1>
      <formula2>NaN</formula2>
    </dataValidation>
    <dataValidation type="whole" allowBlank="1" showInputMessage="1" showErrorMessage="1" sqref="AU24">
      <formula1>0</formula1>
      <formula2>NaN</formula2>
    </dataValidation>
    <dataValidation type="whole" allowBlank="1" showInputMessage="1" showErrorMessage="1" sqref="AU25">
      <formula1>0</formula1>
      <formula2>NaN</formula2>
    </dataValidation>
    <dataValidation type="whole" allowBlank="1" showInputMessage="1" showErrorMessage="1" sqref="AU26">
      <formula1>0</formula1>
      <formula2>NaN</formula2>
    </dataValidation>
    <dataValidation type="whole" allowBlank="1" showInputMessage="1" showErrorMessage="1" sqref="AU27">
      <formula1>0</formula1>
      <formula2>NaN</formula2>
    </dataValidation>
    <dataValidation type="whole" allowBlank="1" showInputMessage="1" showErrorMessage="1" sqref="AU28">
      <formula1>0</formula1>
      <formula2>NaN</formula2>
    </dataValidation>
    <dataValidation type="whole" allowBlank="1" showInputMessage="1" showErrorMessage="1" sqref="AU29">
      <formula1>0</formula1>
      <formula2>NaN</formula2>
    </dataValidation>
    <dataValidation type="whole" allowBlank="1" showInputMessage="1" showErrorMessage="1" sqref="AU30">
      <formula1>0</formula1>
      <formula2>NaN</formula2>
    </dataValidation>
    <dataValidation type="whole" allowBlank="1" showInputMessage="1" showErrorMessage="1" sqref="AU31">
      <formula1>0</formula1>
      <formula2>NaN</formula2>
    </dataValidation>
    <dataValidation type="whole" allowBlank="1" showInputMessage="1" showErrorMessage="1" sqref="AU32">
      <formula1>0</formula1>
      <formula2>NaN</formula2>
    </dataValidation>
    <dataValidation type="whole" allowBlank="1" showInputMessage="1" showErrorMessage="1" sqref="AU33">
      <formula1>0</formula1>
      <formula2>NaN</formula2>
    </dataValidation>
    <dataValidation type="whole" allowBlank="1" showInputMessage="1" showErrorMessage="1" sqref="AU34">
      <formula1>0</formula1>
      <formula2>NaN</formula2>
    </dataValidation>
    <dataValidation type="whole" allowBlank="1" showInputMessage="1" showErrorMessage="1" sqref="AU35">
      <formula1>0</formula1>
      <formula2>NaN</formula2>
    </dataValidation>
    <dataValidation type="whole" allowBlank="1" showInputMessage="1" showErrorMessage="1" sqref="AU36">
      <formula1>0</formula1>
      <formula2>NaN</formula2>
    </dataValidation>
    <dataValidation type="whole" allowBlank="1" showInputMessage="1" showErrorMessage="1" sqref="AU37">
      <formula1>0</formula1>
      <formula2>NaN</formula2>
    </dataValidation>
    <dataValidation type="whole" allowBlank="1" showInputMessage="1" showErrorMessage="1" sqref="AU38">
      <formula1>0</formula1>
      <formula2>NaN</formula2>
    </dataValidation>
    <dataValidation type="whole" allowBlank="1" showInputMessage="1" showErrorMessage="1" sqref="AU39">
      <formula1>0</formula1>
      <formula2>NaN</formula2>
    </dataValidation>
    <dataValidation type="whole" allowBlank="1" showInputMessage="1" showErrorMessage="1" sqref="AU40">
      <formula1>0</formula1>
      <formula2>NaN</formula2>
    </dataValidation>
    <dataValidation type="whole" allowBlank="1" showInputMessage="1" showErrorMessage="1" sqref="AU41">
      <formula1>0</formula1>
      <formula2>NaN</formula2>
    </dataValidation>
    <dataValidation type="whole" allowBlank="1" showInputMessage="1" showErrorMessage="1" sqref="AU42">
      <formula1>0</formula1>
      <formula2>NaN</formula2>
    </dataValidation>
    <dataValidation type="whole" allowBlank="1" showInputMessage="1" showErrorMessage="1" sqref="AU43">
      <formula1>0</formula1>
      <formula2>NaN</formula2>
    </dataValidation>
    <dataValidation type="whole" allowBlank="1" showInputMessage="1" showErrorMessage="1" sqref="AU44">
      <formula1>0</formula1>
      <formula2>NaN</formula2>
    </dataValidation>
    <dataValidation type="whole" allowBlank="1" showInputMessage="1" showErrorMessage="1" sqref="AU45">
      <formula1>0</formula1>
      <formula2>NaN</formula2>
    </dataValidation>
    <dataValidation type="whole" allowBlank="1" showInputMessage="1" showErrorMessage="1" sqref="AU46">
      <formula1>0</formula1>
      <formula2>NaN</formula2>
    </dataValidation>
    <dataValidation type="whole" allowBlank="1" showInputMessage="1" showErrorMessage="1" sqref="AU47">
      <formula1>0</formula1>
      <formula2>NaN</formula2>
    </dataValidation>
    <dataValidation type="whole" allowBlank="1" showInputMessage="1" showErrorMessage="1" sqref="AU48">
      <formula1>0</formula1>
      <formula2>NaN</formula2>
    </dataValidation>
    <dataValidation type="whole" allowBlank="1" showInputMessage="1" showErrorMessage="1" sqref="AU49">
      <formula1>0</formula1>
      <formula2>NaN</formula2>
    </dataValidation>
    <dataValidation type="whole" allowBlank="1" showInputMessage="1" showErrorMessage="1" sqref="AU50">
      <formula1>0</formula1>
      <formula2>NaN</formula2>
    </dataValidation>
    <dataValidation type="whole" allowBlank="1" showInputMessage="1" showErrorMessage="1" sqref="AU51">
      <formula1>0</formula1>
      <formula2>NaN</formula2>
    </dataValidation>
    <dataValidation type="whole" allowBlank="1" showInputMessage="1" showErrorMessage="1" sqref="AU52">
      <formula1>0</formula1>
      <formula2>NaN</formula2>
    </dataValidation>
    <dataValidation type="whole" allowBlank="1" showInputMessage="1" showErrorMessage="1" sqref="AU53">
      <formula1>0</formula1>
      <formula2>NaN</formula2>
    </dataValidation>
    <dataValidation type="whole" allowBlank="1" showInputMessage="1" showErrorMessage="1" sqref="AU54">
      <formula1>0</formula1>
      <formula2>NaN</formula2>
    </dataValidation>
    <dataValidation type="whole" allowBlank="1" showInputMessage="1" showErrorMessage="1" sqref="AU55">
      <formula1>0</formula1>
      <formula2>NaN</formula2>
    </dataValidation>
    <dataValidation type="whole" allowBlank="1" showInputMessage="1" showErrorMessage="1" sqref="AU56">
      <formula1>0</formula1>
      <formula2>NaN</formula2>
    </dataValidation>
    <dataValidation type="whole" allowBlank="1" showInputMessage="1" showErrorMessage="1" sqref="AU57">
      <formula1>0</formula1>
      <formula2>NaN</formula2>
    </dataValidation>
    <dataValidation type="whole" allowBlank="1" showInputMessage="1" showErrorMessage="1" sqref="AU58">
      <formula1>0</formula1>
      <formula2>NaN</formula2>
    </dataValidation>
    <dataValidation type="whole" allowBlank="1" showInputMessage="1" showErrorMessage="1" sqref="AU59">
      <formula1>0</formula1>
      <formula2>NaN</formula2>
    </dataValidation>
    <dataValidation type="whole" allowBlank="1" showInputMessage="1" showErrorMessage="1" sqref="AU60">
      <formula1>0</formula1>
      <formula2>NaN</formula2>
    </dataValidation>
    <dataValidation type="whole" allowBlank="1" showInputMessage="1" showErrorMessage="1" sqref="AU61">
      <formula1>0</formula1>
      <formula2>NaN</formula2>
    </dataValidation>
    <dataValidation type="whole" allowBlank="1" showInputMessage="1" showErrorMessage="1" sqref="AU62">
      <formula1>0</formula1>
      <formula2>NaN</formula2>
    </dataValidation>
    <dataValidation type="whole" allowBlank="1" showInputMessage="1" showErrorMessage="1" sqref="AU63">
      <formula1>0</formula1>
      <formula2>NaN</formula2>
    </dataValidation>
    <dataValidation type="whole" allowBlank="1" showInputMessage="1" showErrorMessage="1" sqref="AU64">
      <formula1>0</formula1>
      <formula2>NaN</formula2>
    </dataValidation>
    <dataValidation type="whole" allowBlank="1" showInputMessage="1" showErrorMessage="1" sqref="AU65">
      <formula1>0</formula1>
      <formula2>NaN</formula2>
    </dataValidation>
    <dataValidation type="whole" allowBlank="1" showInputMessage="1" showErrorMessage="1" sqref="AU66">
      <formula1>0</formula1>
      <formula2>NaN</formula2>
    </dataValidation>
    <dataValidation type="whole" allowBlank="1" showInputMessage="1" showErrorMessage="1" sqref="AU67">
      <formula1>0</formula1>
      <formula2>NaN</formula2>
    </dataValidation>
    <dataValidation type="whole" allowBlank="1" showInputMessage="1" showErrorMessage="1" sqref="AU68">
      <formula1>0</formula1>
      <formula2>NaN</formula2>
    </dataValidation>
    <dataValidation type="whole" allowBlank="1" showInputMessage="1" showErrorMessage="1" sqref="AU9">
      <formula1>0</formula1>
      <formula2>NaN</formula2>
    </dataValidation>
    <dataValidation type="whole" allowBlank="1" showInputMessage="1" showErrorMessage="1" sqref="AV10">
      <formula1>0</formula1>
      <formula2>NaN</formula2>
    </dataValidation>
    <dataValidation type="whole" allowBlank="1" showInputMessage="1" showErrorMessage="1" sqref="AV11">
      <formula1>0</formula1>
      <formula2>NaN</formula2>
    </dataValidation>
    <dataValidation type="whole" allowBlank="1" showInputMessage="1" showErrorMessage="1" sqref="AV12">
      <formula1>0</formula1>
      <formula2>NaN</formula2>
    </dataValidation>
    <dataValidation type="whole" allowBlank="1" showInputMessage="1" showErrorMessage="1" sqref="AV13">
      <formula1>0</formula1>
      <formula2>NaN</formula2>
    </dataValidation>
    <dataValidation type="whole" allowBlank="1" showInputMessage="1" showErrorMessage="1" sqref="AV14">
      <formula1>0</formula1>
      <formula2>NaN</formula2>
    </dataValidation>
    <dataValidation type="whole" allowBlank="1" showInputMessage="1" showErrorMessage="1" sqref="AV15">
      <formula1>0</formula1>
      <formula2>NaN</formula2>
    </dataValidation>
    <dataValidation type="whole" allowBlank="1" showInputMessage="1" showErrorMessage="1" sqref="AV16">
      <formula1>0</formula1>
      <formula2>NaN</formula2>
    </dataValidation>
    <dataValidation type="whole" allowBlank="1" showInputMessage="1" showErrorMessage="1" sqref="AV17">
      <formula1>0</formula1>
      <formula2>NaN</formula2>
    </dataValidation>
    <dataValidation type="whole" allowBlank="1" showInputMessage="1" showErrorMessage="1" sqref="AV18">
      <formula1>0</formula1>
      <formula2>NaN</formula2>
    </dataValidation>
    <dataValidation type="whole" allowBlank="1" showInputMessage="1" showErrorMessage="1" sqref="AV19">
      <formula1>0</formula1>
      <formula2>NaN</formula2>
    </dataValidation>
    <dataValidation type="whole" allowBlank="1" showInputMessage="1" showErrorMessage="1" sqref="AV20">
      <formula1>0</formula1>
      <formula2>NaN</formula2>
    </dataValidation>
    <dataValidation type="whole" allowBlank="1" showInputMessage="1" showErrorMessage="1" sqref="AV21">
      <formula1>0</formula1>
      <formula2>NaN</formula2>
    </dataValidation>
    <dataValidation type="whole" allowBlank="1" showInputMessage="1" showErrorMessage="1" sqref="AV22">
      <formula1>0</formula1>
      <formula2>NaN</formula2>
    </dataValidation>
    <dataValidation type="whole" allowBlank="1" showInputMessage="1" showErrorMessage="1" sqref="AV23">
      <formula1>0</formula1>
      <formula2>NaN</formula2>
    </dataValidation>
    <dataValidation type="whole" allowBlank="1" showInputMessage="1" showErrorMessage="1" sqref="AV24">
      <formula1>0</formula1>
      <formula2>NaN</formula2>
    </dataValidation>
    <dataValidation type="whole" allowBlank="1" showInputMessage="1" showErrorMessage="1" sqref="AV25">
      <formula1>0</formula1>
      <formula2>NaN</formula2>
    </dataValidation>
    <dataValidation type="whole" allowBlank="1" showInputMessage="1" showErrorMessage="1" sqref="AV26">
      <formula1>0</formula1>
      <formula2>NaN</formula2>
    </dataValidation>
    <dataValidation type="whole" allowBlank="1" showInputMessage="1" showErrorMessage="1" sqref="AV27">
      <formula1>0</formula1>
      <formula2>NaN</formula2>
    </dataValidation>
    <dataValidation type="whole" allowBlank="1" showInputMessage="1" showErrorMessage="1" sqref="AV28">
      <formula1>0</formula1>
      <formula2>NaN</formula2>
    </dataValidation>
    <dataValidation type="whole" allowBlank="1" showInputMessage="1" showErrorMessage="1" sqref="AV29">
      <formula1>0</formula1>
      <formula2>NaN</formula2>
    </dataValidation>
    <dataValidation type="whole" allowBlank="1" showInputMessage="1" showErrorMessage="1" sqref="AV30">
      <formula1>0</formula1>
      <formula2>NaN</formula2>
    </dataValidation>
    <dataValidation type="whole" allowBlank="1" showInputMessage="1" showErrorMessage="1" sqref="AV31">
      <formula1>0</formula1>
      <formula2>NaN</formula2>
    </dataValidation>
    <dataValidation type="whole" allowBlank="1" showInputMessage="1" showErrorMessage="1" sqref="AV32">
      <formula1>0</formula1>
      <formula2>NaN</formula2>
    </dataValidation>
    <dataValidation type="whole" allowBlank="1" showInputMessage="1" showErrorMessage="1" sqref="AV33">
      <formula1>0</formula1>
      <formula2>NaN</formula2>
    </dataValidation>
    <dataValidation type="whole" allowBlank="1" showInputMessage="1" showErrorMessage="1" sqref="AV34">
      <formula1>0</formula1>
      <formula2>NaN</formula2>
    </dataValidation>
    <dataValidation type="whole" allowBlank="1" showInputMessage="1" showErrorMessage="1" sqref="AV35">
      <formula1>0</formula1>
      <formula2>NaN</formula2>
    </dataValidation>
    <dataValidation type="whole" allowBlank="1" showInputMessage="1" showErrorMessage="1" sqref="AV36">
      <formula1>0</formula1>
      <formula2>NaN</formula2>
    </dataValidation>
    <dataValidation type="whole" allowBlank="1" showInputMessage="1" showErrorMessage="1" sqref="AV37">
      <formula1>0</formula1>
      <formula2>NaN</formula2>
    </dataValidation>
    <dataValidation type="whole" allowBlank="1" showInputMessage="1" showErrorMessage="1" sqref="AV38">
      <formula1>0</formula1>
      <formula2>NaN</formula2>
    </dataValidation>
    <dataValidation type="whole" allowBlank="1" showInputMessage="1" showErrorMessage="1" sqref="AV39">
      <formula1>0</formula1>
      <formula2>NaN</formula2>
    </dataValidation>
    <dataValidation type="whole" allowBlank="1" showInputMessage="1" showErrorMessage="1" sqref="AV40">
      <formula1>0</formula1>
      <formula2>NaN</formula2>
    </dataValidation>
    <dataValidation type="whole" allowBlank="1" showInputMessage="1" showErrorMessage="1" sqref="AV41">
      <formula1>0</formula1>
      <formula2>NaN</formula2>
    </dataValidation>
    <dataValidation type="whole" allowBlank="1" showInputMessage="1" showErrorMessage="1" sqref="AV42">
      <formula1>0</formula1>
      <formula2>NaN</formula2>
    </dataValidation>
    <dataValidation type="whole" allowBlank="1" showInputMessage="1" showErrorMessage="1" sqref="AV43">
      <formula1>0</formula1>
      <formula2>NaN</formula2>
    </dataValidation>
    <dataValidation type="whole" allowBlank="1" showInputMessage="1" showErrorMessage="1" sqref="AV44">
      <formula1>0</formula1>
      <formula2>NaN</formula2>
    </dataValidation>
    <dataValidation type="whole" allowBlank="1" showInputMessage="1" showErrorMessage="1" sqref="AV45">
      <formula1>0</formula1>
      <formula2>NaN</formula2>
    </dataValidation>
    <dataValidation type="whole" allowBlank="1" showInputMessage="1" showErrorMessage="1" sqref="AV46">
      <formula1>0</formula1>
      <formula2>NaN</formula2>
    </dataValidation>
    <dataValidation type="whole" allowBlank="1" showInputMessage="1" showErrorMessage="1" sqref="AV47">
      <formula1>0</formula1>
      <formula2>NaN</formula2>
    </dataValidation>
    <dataValidation type="whole" allowBlank="1" showInputMessage="1" showErrorMessage="1" sqref="AV48">
      <formula1>0</formula1>
      <formula2>NaN</formula2>
    </dataValidation>
    <dataValidation type="whole" allowBlank="1" showInputMessage="1" showErrorMessage="1" sqref="AV49">
      <formula1>0</formula1>
      <formula2>NaN</formula2>
    </dataValidation>
    <dataValidation type="whole" allowBlank="1" showInputMessage="1" showErrorMessage="1" sqref="AV50">
      <formula1>0</formula1>
      <formula2>NaN</formula2>
    </dataValidation>
    <dataValidation type="whole" allowBlank="1" showInputMessage="1" showErrorMessage="1" sqref="AV51">
      <formula1>0</formula1>
      <formula2>NaN</formula2>
    </dataValidation>
    <dataValidation type="whole" allowBlank="1" showInputMessage="1" showErrorMessage="1" sqref="AV52">
      <formula1>0</formula1>
      <formula2>NaN</formula2>
    </dataValidation>
    <dataValidation type="whole" allowBlank="1" showInputMessage="1" showErrorMessage="1" sqref="AV53">
      <formula1>0</formula1>
      <formula2>NaN</formula2>
    </dataValidation>
    <dataValidation type="whole" allowBlank="1" showInputMessage="1" showErrorMessage="1" sqref="AV54">
      <formula1>0</formula1>
      <formula2>NaN</formula2>
    </dataValidation>
    <dataValidation type="whole" allowBlank="1" showInputMessage="1" showErrorMessage="1" sqref="AV55">
      <formula1>0</formula1>
      <formula2>NaN</formula2>
    </dataValidation>
    <dataValidation type="whole" allowBlank="1" showInputMessage="1" showErrorMessage="1" sqref="AV56">
      <formula1>0</formula1>
      <formula2>NaN</formula2>
    </dataValidation>
    <dataValidation type="whole" allowBlank="1" showInputMessage="1" showErrorMessage="1" sqref="AV57">
      <formula1>0</formula1>
      <formula2>NaN</formula2>
    </dataValidation>
    <dataValidation type="whole" allowBlank="1" showInputMessage="1" showErrorMessage="1" sqref="AV58">
      <formula1>0</formula1>
      <formula2>NaN</formula2>
    </dataValidation>
    <dataValidation type="whole" allowBlank="1" showInputMessage="1" showErrorMessage="1" sqref="AV59">
      <formula1>0</formula1>
      <formula2>NaN</formula2>
    </dataValidation>
    <dataValidation type="whole" allowBlank="1" showInputMessage="1" showErrorMessage="1" sqref="AV60">
      <formula1>0</formula1>
      <formula2>NaN</formula2>
    </dataValidation>
    <dataValidation type="whole" allowBlank="1" showInputMessage="1" showErrorMessage="1" sqref="AV61">
      <formula1>0</formula1>
      <formula2>NaN</formula2>
    </dataValidation>
    <dataValidation type="whole" allowBlank="1" showInputMessage="1" showErrorMessage="1" sqref="AV62">
      <formula1>0</formula1>
      <formula2>NaN</formula2>
    </dataValidation>
    <dataValidation type="whole" allowBlank="1" showInputMessage="1" showErrorMessage="1" sqref="AV63">
      <formula1>0</formula1>
      <formula2>NaN</formula2>
    </dataValidation>
    <dataValidation type="whole" allowBlank="1" showInputMessage="1" showErrorMessage="1" sqref="AV64">
      <formula1>0</formula1>
      <formula2>NaN</formula2>
    </dataValidation>
    <dataValidation type="whole" allowBlank="1" showInputMessage="1" showErrorMessage="1" sqref="AV65">
      <formula1>0</formula1>
      <formula2>NaN</formula2>
    </dataValidation>
    <dataValidation type="whole" allowBlank="1" showInputMessage="1" showErrorMessage="1" sqref="AV66">
      <formula1>0</formula1>
      <formula2>NaN</formula2>
    </dataValidation>
    <dataValidation type="whole" allowBlank="1" showInputMessage="1" showErrorMessage="1" sqref="AV67">
      <formula1>0</formula1>
      <formula2>NaN</formula2>
    </dataValidation>
    <dataValidation type="whole" allowBlank="1" showInputMessage="1" showErrorMessage="1" sqref="AV68">
      <formula1>0</formula1>
      <formula2>NaN</formula2>
    </dataValidation>
    <dataValidation type="whole" allowBlank="1" showInputMessage="1" showErrorMessage="1" sqref="AV9">
      <formula1>0</formula1>
      <formula2>NaN</formula2>
    </dataValidation>
    <dataValidation showInputMessage="1" prompt="Percentage Score" showErrorMessage="1" sqref="AZ5"/>
    <dataValidation showInputMessage="1" prompt="Weighted Score" showErrorMessage="1" sqref="BA5"/>
    <dataValidation type="custom" allowBlank="1" showInputMessage="1" showErrorMessage="1" sqref="BB10:BB68">
      <formula1>AND($AY9&lt;&gt;"",ROUND(SUM(AA9,AS9,BA9),2)&lt;70,$BB9&lt;=$BB$6)</formula1>
    </dataValidation>
    <dataValidation showInputMessage="1" prompt="Input possible highest score here" showErrorMessage="1" sqref="BB6:BB7"/>
    <dataValidation showInputMessage="1" prompt="Input date here" showErrorMessage="1" sqref="BB8"/>
    <dataValidation type="custom" allowBlank="1" showInputMessage="1" showErrorMessage="1" sqref="BB9:BB68">
      <formula1>AND($AY9&lt;&gt;"",ROUND(SUM(AA9,AS9,BA9),2)&lt;70,$BB9&lt;=$BB$6)</formula1>
    </dataValidation>
    <dataValidation showInputMessage="1" prompt="Percentage Score" showErrorMessage="1" sqref="BC5"/>
    <dataValidation type="whole" allowBlank="1" showInputMessage="1" showErrorMessage="1" sqref="E10">
      <formula1>0</formula1>
      <formula2>NaN</formula2>
    </dataValidation>
    <dataValidation type="whole" allowBlank="1" showInputMessage="1" showErrorMessage="1" sqref="E11">
      <formula1>0</formula1>
      <formula2>NaN</formula2>
    </dataValidation>
    <dataValidation type="whole" allowBlank="1" showInputMessage="1" showErrorMessage="1" sqref="E12">
      <formula1>0</formula1>
      <formula2>NaN</formula2>
    </dataValidation>
    <dataValidation type="whole" allowBlank="1" showInputMessage="1" showErrorMessage="1" sqref="E13">
      <formula1>0</formula1>
      <formula2>NaN</formula2>
    </dataValidation>
    <dataValidation type="whole" allowBlank="1" showInputMessage="1" showErrorMessage="1" sqref="E14">
      <formula1>0</formula1>
      <formula2>NaN</formula2>
    </dataValidation>
    <dataValidation type="whole" allowBlank="1" showInputMessage="1" showErrorMessage="1" sqref="E15">
      <formula1>0</formula1>
      <formula2>NaN</formula2>
    </dataValidation>
    <dataValidation type="whole" allowBlank="1" showInputMessage="1" showErrorMessage="1" sqref="E16">
      <formula1>0</formula1>
      <formula2>NaN</formula2>
    </dataValidation>
    <dataValidation type="whole" allowBlank="1" showInputMessage="1" showErrorMessage="1" sqref="E17">
      <formula1>0</formula1>
      <formula2>NaN</formula2>
    </dataValidation>
    <dataValidation type="whole" allowBlank="1" showInputMessage="1" showErrorMessage="1" sqref="E18">
      <formula1>0</formula1>
      <formula2>NaN</formula2>
    </dataValidation>
    <dataValidation type="whole" allowBlank="1" showInputMessage="1" showErrorMessage="1" sqref="E19">
      <formula1>0</formula1>
      <formula2>NaN</formula2>
    </dataValidation>
    <dataValidation type="whole" allowBlank="1" showInputMessage="1" showErrorMessage="1" sqref="E20">
      <formula1>0</formula1>
      <formula2>NaN</formula2>
    </dataValidation>
    <dataValidation type="whole" allowBlank="1" showInputMessage="1" showErrorMessage="1" sqref="E21">
      <formula1>0</formula1>
      <formula2>NaN</formula2>
    </dataValidation>
    <dataValidation type="whole" allowBlank="1" showInputMessage="1" showErrorMessage="1" sqref="E22">
      <formula1>0</formula1>
      <formula2>NaN</formula2>
    </dataValidation>
    <dataValidation type="whole" allowBlank="1" showInputMessage="1" showErrorMessage="1" sqref="E23">
      <formula1>0</formula1>
      <formula2>NaN</formula2>
    </dataValidation>
    <dataValidation type="whole" allowBlank="1" showInputMessage="1" showErrorMessage="1" sqref="E24">
      <formula1>0</formula1>
      <formula2>NaN</formula2>
    </dataValidation>
    <dataValidation type="whole" allowBlank="1" showInputMessage="1" showErrorMessage="1" sqref="E25">
      <formula1>0</formula1>
      <formula2>NaN</formula2>
    </dataValidation>
    <dataValidation type="whole" allowBlank="1" showInputMessage="1" showErrorMessage="1" sqref="E26">
      <formula1>0</formula1>
      <formula2>NaN</formula2>
    </dataValidation>
    <dataValidation type="whole" allowBlank="1" showInputMessage="1" showErrorMessage="1" sqref="E27">
      <formula1>0</formula1>
      <formula2>NaN</formula2>
    </dataValidation>
    <dataValidation type="whole" allowBlank="1" showInputMessage="1" showErrorMessage="1" sqref="E28">
      <formula1>0</formula1>
      <formula2>NaN</formula2>
    </dataValidation>
    <dataValidation type="whole" allowBlank="1" showInputMessage="1" showErrorMessage="1" sqref="E29">
      <formula1>0</formula1>
      <formula2>NaN</formula2>
    </dataValidation>
    <dataValidation type="whole" allowBlank="1" showInputMessage="1" showErrorMessage="1" sqref="E30">
      <formula1>0</formula1>
      <formula2>NaN</formula2>
    </dataValidation>
    <dataValidation type="whole" allowBlank="1" showInputMessage="1" showErrorMessage="1" sqref="E31">
      <formula1>0</formula1>
      <formula2>NaN</formula2>
    </dataValidation>
    <dataValidation type="whole" allowBlank="1" showInputMessage="1" showErrorMessage="1" sqref="E32">
      <formula1>0</formula1>
      <formula2>NaN</formula2>
    </dataValidation>
    <dataValidation type="whole" allowBlank="1" showInputMessage="1" showErrorMessage="1" sqref="E33">
      <formula1>0</formula1>
      <formula2>NaN</formula2>
    </dataValidation>
    <dataValidation type="whole" allowBlank="1" showInputMessage="1" showErrorMessage="1" sqref="E34">
      <formula1>0</formula1>
      <formula2>NaN</formula2>
    </dataValidation>
    <dataValidation type="whole" allowBlank="1" showInputMessage="1" showErrorMessage="1" sqref="E35">
      <formula1>0</formula1>
      <formula2>NaN</formula2>
    </dataValidation>
    <dataValidation type="whole" allowBlank="1" showInputMessage="1" showErrorMessage="1" sqref="E36">
      <formula1>0</formula1>
      <formula2>NaN</formula2>
    </dataValidation>
    <dataValidation type="whole" allowBlank="1" showInputMessage="1" showErrorMessage="1" sqref="E37">
      <formula1>0</formula1>
      <formula2>NaN</formula2>
    </dataValidation>
    <dataValidation type="whole" allowBlank="1" showInputMessage="1" showErrorMessage="1" sqref="E38">
      <formula1>0</formula1>
      <formula2>NaN</formula2>
    </dataValidation>
    <dataValidation type="whole" allowBlank="1" showInputMessage="1" showErrorMessage="1" sqref="E39">
      <formula1>0</formula1>
      <formula2>NaN</formula2>
    </dataValidation>
    <dataValidation type="whole" allowBlank="1" showInputMessage="1" showErrorMessage="1" sqref="E40">
      <formula1>0</formula1>
      <formula2>NaN</formula2>
    </dataValidation>
    <dataValidation type="whole" allowBlank="1" showInputMessage="1" showErrorMessage="1" sqref="E41">
      <formula1>0</formula1>
      <formula2>NaN</formula2>
    </dataValidation>
    <dataValidation type="whole" allowBlank="1" showInputMessage="1" showErrorMessage="1" sqref="E42">
      <formula1>0</formula1>
      <formula2>NaN</formula2>
    </dataValidation>
    <dataValidation type="whole" allowBlank="1" showInputMessage="1" showErrorMessage="1" sqref="E43">
      <formula1>0</formula1>
      <formula2>NaN</formula2>
    </dataValidation>
    <dataValidation type="whole" allowBlank="1" showInputMessage="1" showErrorMessage="1" sqref="E44">
      <formula1>0</formula1>
      <formula2>NaN</formula2>
    </dataValidation>
    <dataValidation type="whole" allowBlank="1" showInputMessage="1" showErrorMessage="1" sqref="E45">
      <formula1>0</formula1>
      <formula2>NaN</formula2>
    </dataValidation>
    <dataValidation type="whole" allowBlank="1" showInputMessage="1" showErrorMessage="1" sqref="E46">
      <formula1>0</formula1>
      <formula2>NaN</formula2>
    </dataValidation>
    <dataValidation type="whole" allowBlank="1" showInputMessage="1" showErrorMessage="1" sqref="E47">
      <formula1>0</formula1>
      <formula2>NaN</formula2>
    </dataValidation>
    <dataValidation type="whole" allowBlank="1" showInputMessage="1" showErrorMessage="1" sqref="E48">
      <formula1>0</formula1>
      <formula2>NaN</formula2>
    </dataValidation>
    <dataValidation type="whole" allowBlank="1" showInputMessage="1" showErrorMessage="1" sqref="E49">
      <formula1>0</formula1>
      <formula2>NaN</formula2>
    </dataValidation>
    <dataValidation type="whole" allowBlank="1" showInputMessage="1" showErrorMessage="1" sqref="E50">
      <formula1>0</formula1>
      <formula2>NaN</formula2>
    </dataValidation>
    <dataValidation type="whole" allowBlank="1" showInputMessage="1" showErrorMessage="1" sqref="E51">
      <formula1>0</formula1>
      <formula2>NaN</formula2>
    </dataValidation>
    <dataValidation type="whole" allowBlank="1" showInputMessage="1" showErrorMessage="1" sqref="E52">
      <formula1>0</formula1>
      <formula2>NaN</formula2>
    </dataValidation>
    <dataValidation type="whole" allowBlank="1" showInputMessage="1" showErrorMessage="1" sqref="E53">
      <formula1>0</formula1>
      <formula2>NaN</formula2>
    </dataValidation>
    <dataValidation type="whole" allowBlank="1" showInputMessage="1" showErrorMessage="1" sqref="E54">
      <formula1>0</formula1>
      <formula2>NaN</formula2>
    </dataValidation>
    <dataValidation type="whole" allowBlank="1" showInputMessage="1" showErrorMessage="1" sqref="E55">
      <formula1>0</formula1>
      <formula2>NaN</formula2>
    </dataValidation>
    <dataValidation type="whole" allowBlank="1" showInputMessage="1" showErrorMessage="1" sqref="E56">
      <formula1>0</formula1>
      <formula2>NaN</formula2>
    </dataValidation>
    <dataValidation type="whole" allowBlank="1" showInputMessage="1" showErrorMessage="1" sqref="E57">
      <formula1>0</formula1>
      <formula2>NaN</formula2>
    </dataValidation>
    <dataValidation type="whole" allowBlank="1" showInputMessage="1" showErrorMessage="1" sqref="E58">
      <formula1>0</formula1>
      <formula2>NaN</formula2>
    </dataValidation>
    <dataValidation type="whole" allowBlank="1" showInputMessage="1" showErrorMessage="1" sqref="E59">
      <formula1>0</formula1>
      <formula2>NaN</formula2>
    </dataValidation>
    <dataValidation showInputMessage="1" prompt="Input possible highest score here" showErrorMessage="1" sqref="E6:X6"/>
    <dataValidation type="whole" allowBlank="1" showInputMessage="1" showErrorMessage="1" sqref="E60">
      <formula1>0</formula1>
      <formula2>NaN</formula2>
    </dataValidation>
    <dataValidation type="whole" allowBlank="1" showInputMessage="1" showErrorMessage="1" sqref="E61">
      <formula1>0</formula1>
      <formula2>NaN</formula2>
    </dataValidation>
    <dataValidation type="whole" allowBlank="1" showInputMessage="1" showErrorMessage="1" sqref="E62">
      <formula1>0</formula1>
      <formula2>NaN</formula2>
    </dataValidation>
    <dataValidation type="whole" allowBlank="1" showInputMessage="1" showErrorMessage="1" sqref="E63">
      <formula1>0</formula1>
      <formula2>NaN</formula2>
    </dataValidation>
    <dataValidation type="whole" allowBlank="1" showInputMessage="1" showErrorMessage="1" sqref="E64">
      <formula1>0</formula1>
      <formula2>NaN</formula2>
    </dataValidation>
    <dataValidation type="whole" allowBlank="1" showInputMessage="1" showErrorMessage="1" sqref="E65">
      <formula1>0</formula1>
      <formula2>NaN</formula2>
    </dataValidation>
    <dataValidation type="whole" allowBlank="1" showInputMessage="1" showErrorMessage="1" sqref="E66">
      <formula1>0</formula1>
      <formula2>NaN</formula2>
    </dataValidation>
    <dataValidation type="whole" allowBlank="1" showInputMessage="1" showErrorMessage="1" sqref="E67">
      <formula1>0</formula1>
      <formula2>NaN</formula2>
    </dataValidation>
    <dataValidation type="whole" allowBlank="1" showInputMessage="1" showErrorMessage="1" sqref="E68">
      <formula1>0</formula1>
      <formula2>NaN</formula2>
    </dataValidation>
    <dataValidation type="date" allowBlank="1" showInputMessage="1" prompt="Input date here_x000a_" showErrorMessage="1" sqref="E7:X7">
      <formula1>1</formula1>
      <formula2>NaN</formula2>
    </dataValidation>
    <dataValidation showInputMessage="1" prompt="Personal Remarks for FMs – You may enter any remarks here. Sample tags include:_x000a_ _x000a_A1 - Activity 1_x000a_REC1 - Recitation 1_x000a_Q1 - Quiz 1_x000a_1L1 - 01 LMS Activity 1" showErrorMessage="1" sqref="E8:X8"/>
    <dataValidation type="whole" allowBlank="1" showInputMessage="1" showErrorMessage="1" sqref="E9">
      <formula1>0</formula1>
      <formula2>NaN</formula2>
    </dataValidation>
    <dataValidation type="whole" allowBlank="1" showInputMessage="1" showErrorMessage="1" sqref="F10">
      <formula1>0</formula1>
      <formula2>NaN</formula2>
    </dataValidation>
    <dataValidation type="whole" allowBlank="1" showInputMessage="1" showErrorMessage="1" sqref="F11">
      <formula1>0</formula1>
      <formula2>NaN</formula2>
    </dataValidation>
    <dataValidation type="whole" allowBlank="1" showInputMessage="1" showErrorMessage="1" sqref="F12">
      <formula1>0</formula1>
      <formula2>NaN</formula2>
    </dataValidation>
    <dataValidation type="whole" allowBlank="1" showInputMessage="1" showErrorMessage="1" sqref="F13">
      <formula1>0</formula1>
      <formula2>NaN</formula2>
    </dataValidation>
    <dataValidation type="whole" allowBlank="1" showInputMessage="1" showErrorMessage="1" sqref="F14">
      <formula1>0</formula1>
      <formula2>NaN</formula2>
    </dataValidation>
    <dataValidation type="whole" allowBlank="1" showInputMessage="1" showErrorMessage="1" sqref="F15">
      <formula1>0</formula1>
      <formula2>NaN</formula2>
    </dataValidation>
    <dataValidation type="whole" allowBlank="1" showInputMessage="1" showErrorMessage="1" sqref="F16">
      <formula1>0</formula1>
      <formula2>NaN</formula2>
    </dataValidation>
    <dataValidation type="whole" allowBlank="1" showInputMessage="1" showErrorMessage="1" sqref="F17">
      <formula1>0</formula1>
      <formula2>NaN</formula2>
    </dataValidation>
    <dataValidation type="whole" allowBlank="1" showInputMessage="1" showErrorMessage="1" sqref="F18">
      <formula1>0</formula1>
      <formula2>NaN</formula2>
    </dataValidation>
    <dataValidation type="whole" allowBlank="1" showInputMessage="1" showErrorMessage="1" sqref="F19">
      <formula1>0</formula1>
      <formula2>NaN</formula2>
    </dataValidation>
    <dataValidation type="whole" allowBlank="1" showInputMessage="1" showErrorMessage="1" sqref="F20">
      <formula1>0</formula1>
      <formula2>NaN</formula2>
    </dataValidation>
    <dataValidation type="whole" allowBlank="1" showInputMessage="1" showErrorMessage="1" sqref="F21">
      <formula1>0</formula1>
      <formula2>NaN</formula2>
    </dataValidation>
    <dataValidation type="whole" allowBlank="1" showInputMessage="1" showErrorMessage="1" sqref="F22">
      <formula1>0</formula1>
      <formula2>NaN</formula2>
    </dataValidation>
    <dataValidation type="whole" allowBlank="1" showInputMessage="1" showErrorMessage="1" sqref="F23">
      <formula1>0</formula1>
      <formula2>NaN</formula2>
    </dataValidation>
    <dataValidation type="whole" allowBlank="1" showInputMessage="1" showErrorMessage="1" sqref="F24">
      <formula1>0</formula1>
      <formula2>NaN</formula2>
    </dataValidation>
    <dataValidation type="whole" allowBlank="1" showInputMessage="1" showErrorMessage="1" sqref="F25">
      <formula1>0</formula1>
      <formula2>NaN</formula2>
    </dataValidation>
    <dataValidation type="whole" allowBlank="1" showInputMessage="1" showErrorMessage="1" sqref="F26">
      <formula1>0</formula1>
      <formula2>NaN</formula2>
    </dataValidation>
    <dataValidation type="whole" allowBlank="1" showInputMessage="1" showErrorMessage="1" sqref="F27">
      <formula1>0</formula1>
      <formula2>NaN</formula2>
    </dataValidation>
    <dataValidation type="whole" allowBlank="1" showInputMessage="1" showErrorMessage="1" sqref="F28">
      <formula1>0</formula1>
      <formula2>NaN</formula2>
    </dataValidation>
    <dataValidation type="whole" allowBlank="1" showInputMessage="1" showErrorMessage="1" sqref="F29">
      <formula1>0</formula1>
      <formula2>NaN</formula2>
    </dataValidation>
    <dataValidation type="whole" allowBlank="1" showInputMessage="1" showErrorMessage="1" sqref="F30">
      <formula1>0</formula1>
      <formula2>NaN</formula2>
    </dataValidation>
    <dataValidation type="whole" allowBlank="1" showInputMessage="1" showErrorMessage="1" sqref="F31">
      <formula1>0</formula1>
      <formula2>NaN</formula2>
    </dataValidation>
    <dataValidation type="whole" allowBlank="1" showInputMessage="1" showErrorMessage="1" sqref="F32">
      <formula1>0</formula1>
      <formula2>NaN</formula2>
    </dataValidation>
    <dataValidation type="whole" allowBlank="1" showInputMessage="1" showErrorMessage="1" sqref="F33">
      <formula1>0</formula1>
      <formula2>NaN</formula2>
    </dataValidation>
    <dataValidation type="whole" allowBlank="1" showInputMessage="1" showErrorMessage="1" sqref="F34">
      <formula1>0</formula1>
      <formula2>NaN</formula2>
    </dataValidation>
    <dataValidation type="whole" allowBlank="1" showInputMessage="1" showErrorMessage="1" sqref="F35">
      <formula1>0</formula1>
      <formula2>NaN</formula2>
    </dataValidation>
    <dataValidation type="whole" allowBlank="1" showInputMessage="1" showErrorMessage="1" sqref="F36">
      <formula1>0</formula1>
      <formula2>NaN</formula2>
    </dataValidation>
    <dataValidation type="whole" allowBlank="1" showInputMessage="1" showErrorMessage="1" sqref="F37">
      <formula1>0</formula1>
      <formula2>NaN</formula2>
    </dataValidation>
    <dataValidation type="whole" allowBlank="1" showInputMessage="1" showErrorMessage="1" sqref="F38">
      <formula1>0</formula1>
      <formula2>NaN</formula2>
    </dataValidation>
    <dataValidation type="whole" allowBlank="1" showInputMessage="1" showErrorMessage="1" sqref="F39">
      <formula1>0</formula1>
      <formula2>NaN</formula2>
    </dataValidation>
    <dataValidation type="whole" allowBlank="1" showInputMessage="1" showErrorMessage="1" sqref="F40">
      <formula1>0</formula1>
      <formula2>NaN</formula2>
    </dataValidation>
    <dataValidation type="whole" allowBlank="1" showInputMessage="1" showErrorMessage="1" sqref="F41">
      <formula1>0</formula1>
      <formula2>NaN</formula2>
    </dataValidation>
    <dataValidation type="whole" allowBlank="1" showInputMessage="1" showErrorMessage="1" sqref="F42">
      <formula1>0</formula1>
      <formula2>NaN</formula2>
    </dataValidation>
    <dataValidation type="whole" allowBlank="1" showInputMessage="1" showErrorMessage="1" sqref="F43">
      <formula1>0</formula1>
      <formula2>NaN</formula2>
    </dataValidation>
    <dataValidation type="whole" allowBlank="1" showInputMessage="1" showErrorMessage="1" sqref="F44">
      <formula1>0</formula1>
      <formula2>NaN</formula2>
    </dataValidation>
    <dataValidation type="whole" allowBlank="1" showInputMessage="1" showErrorMessage="1" sqref="F45">
      <formula1>0</formula1>
      <formula2>NaN</formula2>
    </dataValidation>
    <dataValidation type="whole" allowBlank="1" showInputMessage="1" showErrorMessage="1" sqref="F46">
      <formula1>0</formula1>
      <formula2>NaN</formula2>
    </dataValidation>
    <dataValidation type="whole" allowBlank="1" showInputMessage="1" showErrorMessage="1" sqref="F47">
      <formula1>0</formula1>
      <formula2>NaN</formula2>
    </dataValidation>
    <dataValidation type="whole" allowBlank="1" showInputMessage="1" showErrorMessage="1" sqref="F48">
      <formula1>0</formula1>
      <formula2>NaN</formula2>
    </dataValidation>
    <dataValidation type="whole" allowBlank="1" showInputMessage="1" showErrorMessage="1" sqref="F49">
      <formula1>0</formula1>
      <formula2>NaN</formula2>
    </dataValidation>
    <dataValidation type="whole" allowBlank="1" showInputMessage="1" showErrorMessage="1" sqref="F50">
      <formula1>0</formula1>
      <formula2>NaN</formula2>
    </dataValidation>
    <dataValidation type="whole" allowBlank="1" showInputMessage="1" showErrorMessage="1" sqref="F51">
      <formula1>0</formula1>
      <formula2>NaN</formula2>
    </dataValidation>
    <dataValidation type="whole" allowBlank="1" showInputMessage="1" showErrorMessage="1" sqref="F52">
      <formula1>0</formula1>
      <formula2>NaN</formula2>
    </dataValidation>
    <dataValidation type="whole" allowBlank="1" showInputMessage="1" showErrorMessage="1" sqref="F53">
      <formula1>0</formula1>
      <formula2>NaN</formula2>
    </dataValidation>
    <dataValidation type="whole" allowBlank="1" showInputMessage="1" showErrorMessage="1" sqref="F54">
      <formula1>0</formula1>
      <formula2>NaN</formula2>
    </dataValidation>
    <dataValidation type="whole" allowBlank="1" showInputMessage="1" showErrorMessage="1" sqref="F55">
      <formula1>0</formula1>
      <formula2>NaN</formula2>
    </dataValidation>
    <dataValidation type="whole" allowBlank="1" showInputMessage="1" showErrorMessage="1" sqref="F56">
      <formula1>0</formula1>
      <formula2>NaN</formula2>
    </dataValidation>
    <dataValidation type="whole" allowBlank="1" showInputMessage="1" showErrorMessage="1" sqref="F57">
      <formula1>0</formula1>
      <formula2>NaN</formula2>
    </dataValidation>
    <dataValidation type="whole" allowBlank="1" showInputMessage="1" showErrorMessage="1" sqref="F58">
      <formula1>0</formula1>
      <formula2>NaN</formula2>
    </dataValidation>
    <dataValidation type="whole" allowBlank="1" showInputMessage="1" showErrorMessage="1" sqref="F59">
      <formula1>0</formula1>
      <formula2>NaN</formula2>
    </dataValidation>
    <dataValidation type="whole" allowBlank="1" showInputMessage="1" showErrorMessage="1" sqref="F60">
      <formula1>0</formula1>
      <formula2>NaN</formula2>
    </dataValidation>
    <dataValidation type="whole" allowBlank="1" showInputMessage="1" showErrorMessage="1" sqref="F61">
      <formula1>0</formula1>
      <formula2>NaN</formula2>
    </dataValidation>
    <dataValidation type="whole" allowBlank="1" showInputMessage="1" showErrorMessage="1" sqref="F62">
      <formula1>0</formula1>
      <formula2>NaN</formula2>
    </dataValidation>
    <dataValidation type="whole" allowBlank="1" showInputMessage="1" showErrorMessage="1" sqref="F63">
      <formula1>0</formula1>
      <formula2>NaN</formula2>
    </dataValidation>
    <dataValidation type="whole" allowBlank="1" showInputMessage="1" showErrorMessage="1" sqref="F64">
      <formula1>0</formula1>
      <formula2>NaN</formula2>
    </dataValidation>
    <dataValidation type="whole" allowBlank="1" showInputMessage="1" showErrorMessage="1" sqref="F65">
      <formula1>0</formula1>
      <formula2>NaN</formula2>
    </dataValidation>
    <dataValidation type="whole" allowBlank="1" showInputMessage="1" showErrorMessage="1" sqref="F66">
      <formula1>0</formula1>
      <formula2>NaN</formula2>
    </dataValidation>
    <dataValidation type="whole" allowBlank="1" showInputMessage="1" showErrorMessage="1" sqref="F67">
      <formula1>0</formula1>
      <formula2>NaN</formula2>
    </dataValidation>
    <dataValidation type="whole" allowBlank="1" showInputMessage="1" showErrorMessage="1" sqref="F68">
      <formula1>0</formula1>
      <formula2>NaN</formula2>
    </dataValidation>
    <dataValidation type="whole" allowBlank="1" showInputMessage="1" showErrorMessage="1" sqref="F9">
      <formula1>0</formula1>
      <formula2>NaN</formula2>
    </dataValidation>
    <dataValidation type="whole" allowBlank="1" showInputMessage="1" showErrorMessage="1" sqref="G10">
      <formula1>0</formula1>
      <formula2>NaN</formula2>
    </dataValidation>
    <dataValidation type="whole" allowBlank="1" showInputMessage="1" showErrorMessage="1" sqref="G11">
      <formula1>0</formula1>
      <formula2>NaN</formula2>
    </dataValidation>
    <dataValidation type="whole" allowBlank="1" showInputMessage="1" showErrorMessage="1" sqref="G12">
      <formula1>0</formula1>
      <formula2>NaN</formula2>
    </dataValidation>
    <dataValidation type="whole" allowBlank="1" showInputMessage="1" showErrorMessage="1" sqref="G13">
      <formula1>0</formula1>
      <formula2>NaN</formula2>
    </dataValidation>
    <dataValidation type="whole" allowBlank="1" showInputMessage="1" showErrorMessage="1" sqref="G14">
      <formula1>0</formula1>
      <formula2>NaN</formula2>
    </dataValidation>
    <dataValidation type="whole" allowBlank="1" showInputMessage="1" showErrorMessage="1" sqref="G15">
      <formula1>0</formula1>
      <formula2>NaN</formula2>
    </dataValidation>
    <dataValidation type="whole" allowBlank="1" showInputMessage="1" showErrorMessage="1" sqref="G16">
      <formula1>0</formula1>
      <formula2>NaN</formula2>
    </dataValidation>
    <dataValidation type="whole" allowBlank="1" showInputMessage="1" showErrorMessage="1" sqref="G17">
      <formula1>0</formula1>
      <formula2>NaN</formula2>
    </dataValidation>
    <dataValidation type="whole" allowBlank="1" showInputMessage="1" showErrorMessage="1" sqref="G18">
      <formula1>0</formula1>
      <formula2>NaN</formula2>
    </dataValidation>
    <dataValidation type="whole" allowBlank="1" showInputMessage="1" showErrorMessage="1" sqref="G19">
      <formula1>0</formula1>
      <formula2>NaN</formula2>
    </dataValidation>
    <dataValidation type="whole" allowBlank="1" showInputMessage="1" showErrorMessage="1" sqref="G20">
      <formula1>0</formula1>
      <formula2>NaN</formula2>
    </dataValidation>
    <dataValidation type="whole" allowBlank="1" showInputMessage="1" showErrorMessage="1" sqref="G21">
      <formula1>0</formula1>
      <formula2>NaN</formula2>
    </dataValidation>
    <dataValidation type="whole" allowBlank="1" showInputMessage="1" showErrorMessage="1" sqref="G22">
      <formula1>0</formula1>
      <formula2>NaN</formula2>
    </dataValidation>
    <dataValidation type="whole" allowBlank="1" showInputMessage="1" showErrorMessage="1" sqref="G23">
      <formula1>0</formula1>
      <formula2>NaN</formula2>
    </dataValidation>
    <dataValidation type="whole" allowBlank="1" showInputMessage="1" showErrorMessage="1" sqref="G24">
      <formula1>0</formula1>
      <formula2>NaN</formula2>
    </dataValidation>
    <dataValidation type="whole" allowBlank="1" showInputMessage="1" showErrorMessage="1" sqref="G25">
      <formula1>0</formula1>
      <formula2>NaN</formula2>
    </dataValidation>
    <dataValidation type="whole" allowBlank="1" showInputMessage="1" showErrorMessage="1" sqref="G26">
      <formula1>0</formula1>
      <formula2>NaN</formula2>
    </dataValidation>
    <dataValidation type="whole" allowBlank="1" showInputMessage="1" showErrorMessage="1" sqref="G27">
      <formula1>0</formula1>
      <formula2>NaN</formula2>
    </dataValidation>
    <dataValidation type="whole" allowBlank="1" showInputMessage="1" showErrorMessage="1" sqref="G28">
      <formula1>0</formula1>
      <formula2>NaN</formula2>
    </dataValidation>
    <dataValidation type="whole" allowBlank="1" showInputMessage="1" showErrorMessage="1" sqref="G29">
      <formula1>0</formula1>
      <formula2>NaN</formula2>
    </dataValidation>
    <dataValidation type="whole" allowBlank="1" showInputMessage="1" showErrorMessage="1" sqref="G30">
      <formula1>0</formula1>
      <formula2>NaN</formula2>
    </dataValidation>
    <dataValidation type="whole" allowBlank="1" showInputMessage="1" showErrorMessage="1" sqref="G31">
      <formula1>0</formula1>
      <formula2>NaN</formula2>
    </dataValidation>
    <dataValidation type="whole" allowBlank="1" showInputMessage="1" showErrorMessage="1" sqref="G32">
      <formula1>0</formula1>
      <formula2>NaN</formula2>
    </dataValidation>
    <dataValidation type="whole" allowBlank="1" showInputMessage="1" showErrorMessage="1" sqref="G33">
      <formula1>0</formula1>
      <formula2>NaN</formula2>
    </dataValidation>
    <dataValidation type="whole" allowBlank="1" showInputMessage="1" showErrorMessage="1" sqref="G34">
      <formula1>0</formula1>
      <formula2>NaN</formula2>
    </dataValidation>
    <dataValidation type="whole" allowBlank="1" showInputMessage="1" showErrorMessage="1" sqref="G35">
      <formula1>0</formula1>
      <formula2>NaN</formula2>
    </dataValidation>
    <dataValidation type="whole" allowBlank="1" showInputMessage="1" showErrorMessage="1" sqref="G36">
      <formula1>0</formula1>
      <formula2>NaN</formula2>
    </dataValidation>
    <dataValidation type="whole" allowBlank="1" showInputMessage="1" showErrorMessage="1" sqref="G37">
      <formula1>0</formula1>
      <formula2>NaN</formula2>
    </dataValidation>
    <dataValidation type="whole" allowBlank="1" showInputMessage="1" showErrorMessage="1" sqref="G38">
      <formula1>0</formula1>
      <formula2>NaN</formula2>
    </dataValidation>
    <dataValidation type="whole" allowBlank="1" showInputMessage="1" showErrorMessage="1" sqref="G39">
      <formula1>0</formula1>
      <formula2>NaN</formula2>
    </dataValidation>
    <dataValidation type="whole" allowBlank="1" showInputMessage="1" showErrorMessage="1" sqref="G40">
      <formula1>0</formula1>
      <formula2>NaN</formula2>
    </dataValidation>
    <dataValidation type="whole" allowBlank="1" showInputMessage="1" showErrorMessage="1" sqref="G41">
      <formula1>0</formula1>
      <formula2>NaN</formula2>
    </dataValidation>
    <dataValidation type="whole" allowBlank="1" showInputMessage="1" showErrorMessage="1" sqref="G42">
      <formula1>0</formula1>
      <formula2>NaN</formula2>
    </dataValidation>
    <dataValidation type="whole" allowBlank="1" showInputMessage="1" showErrorMessage="1" sqref="G43">
      <formula1>0</formula1>
      <formula2>NaN</formula2>
    </dataValidation>
    <dataValidation type="whole" allowBlank="1" showInputMessage="1" showErrorMessage="1" sqref="G44">
      <formula1>0</formula1>
      <formula2>NaN</formula2>
    </dataValidation>
    <dataValidation type="whole" allowBlank="1" showInputMessage="1" showErrorMessage="1" sqref="G45">
      <formula1>0</formula1>
      <formula2>NaN</formula2>
    </dataValidation>
    <dataValidation type="whole" allowBlank="1" showInputMessage="1" showErrorMessage="1" sqref="G46">
      <formula1>0</formula1>
      <formula2>NaN</formula2>
    </dataValidation>
    <dataValidation type="whole" allowBlank="1" showInputMessage="1" showErrorMessage="1" sqref="G47">
      <formula1>0</formula1>
      <formula2>NaN</formula2>
    </dataValidation>
    <dataValidation type="whole" allowBlank="1" showInputMessage="1" showErrorMessage="1" sqref="G48">
      <formula1>0</formula1>
      <formula2>NaN</formula2>
    </dataValidation>
    <dataValidation type="whole" allowBlank="1" showInputMessage="1" showErrorMessage="1" sqref="G49">
      <formula1>0</formula1>
      <formula2>NaN</formula2>
    </dataValidation>
    <dataValidation type="whole" allowBlank="1" showInputMessage="1" showErrorMessage="1" sqref="G50">
      <formula1>0</formula1>
      <formula2>NaN</formula2>
    </dataValidation>
    <dataValidation type="whole" allowBlank="1" showInputMessage="1" showErrorMessage="1" sqref="G51">
      <formula1>0</formula1>
      <formula2>NaN</formula2>
    </dataValidation>
    <dataValidation type="whole" allowBlank="1" showInputMessage="1" showErrorMessage="1" sqref="G52">
      <formula1>0</formula1>
      <formula2>NaN</formula2>
    </dataValidation>
    <dataValidation type="whole" allowBlank="1" showInputMessage="1" showErrorMessage="1" sqref="G53">
      <formula1>0</formula1>
      <formula2>NaN</formula2>
    </dataValidation>
    <dataValidation type="whole" allowBlank="1" showInputMessage="1" showErrorMessage="1" sqref="G54">
      <formula1>0</formula1>
      <formula2>NaN</formula2>
    </dataValidation>
    <dataValidation type="whole" allowBlank="1" showInputMessage="1" showErrorMessage="1" sqref="G55">
      <formula1>0</formula1>
      <formula2>NaN</formula2>
    </dataValidation>
    <dataValidation type="whole" allowBlank="1" showInputMessage="1" showErrorMessage="1" sqref="G56">
      <formula1>0</formula1>
      <formula2>NaN</formula2>
    </dataValidation>
    <dataValidation type="whole" allowBlank="1" showInputMessage="1" showErrorMessage="1" sqref="G57">
      <formula1>0</formula1>
      <formula2>NaN</formula2>
    </dataValidation>
    <dataValidation type="whole" allowBlank="1" showInputMessage="1" showErrorMessage="1" sqref="G58">
      <formula1>0</formula1>
      <formula2>NaN</formula2>
    </dataValidation>
    <dataValidation type="whole" allowBlank="1" showInputMessage="1" showErrorMessage="1" sqref="G59">
      <formula1>0</formula1>
      <formula2>NaN</formula2>
    </dataValidation>
    <dataValidation type="whole" allowBlank="1" showInputMessage="1" showErrorMessage="1" sqref="G60">
      <formula1>0</formula1>
      <formula2>NaN</formula2>
    </dataValidation>
    <dataValidation type="whole" allowBlank="1" showInputMessage="1" showErrorMessage="1" sqref="G61">
      <formula1>0</formula1>
      <formula2>NaN</formula2>
    </dataValidation>
    <dataValidation type="whole" allowBlank="1" showInputMessage="1" showErrorMessage="1" sqref="G62">
      <formula1>0</formula1>
      <formula2>NaN</formula2>
    </dataValidation>
    <dataValidation type="whole" allowBlank="1" showInputMessage="1" showErrorMessage="1" sqref="G63">
      <formula1>0</formula1>
      <formula2>NaN</formula2>
    </dataValidation>
    <dataValidation type="whole" allowBlank="1" showInputMessage="1" showErrorMessage="1" sqref="G64">
      <formula1>0</formula1>
      <formula2>NaN</formula2>
    </dataValidation>
    <dataValidation type="whole" allowBlank="1" showInputMessage="1" showErrorMessage="1" sqref="G65">
      <formula1>0</formula1>
      <formula2>NaN</formula2>
    </dataValidation>
    <dataValidation type="whole" allowBlank="1" showInputMessage="1" showErrorMessage="1" sqref="G66">
      <formula1>0</formula1>
      <formula2>NaN</formula2>
    </dataValidation>
    <dataValidation type="whole" allowBlank="1" showInputMessage="1" showErrorMessage="1" sqref="G67">
      <formula1>0</formula1>
      <formula2>NaN</formula2>
    </dataValidation>
    <dataValidation type="whole" allowBlank="1" showInputMessage="1" showErrorMessage="1" sqref="G68">
      <formula1>0</formula1>
      <formula2>NaN</formula2>
    </dataValidation>
    <dataValidation type="whole" allowBlank="1" showInputMessage="1" showErrorMessage="1" sqref="G9">
      <formula1>0</formula1>
      <formula2>NaN</formula2>
    </dataValidation>
    <dataValidation type="whole" allowBlank="1" showInputMessage="1" showErrorMessage="1" sqref="H10">
      <formula1>0</formula1>
      <formula2>NaN</formula2>
    </dataValidation>
    <dataValidation type="whole" allowBlank="1" showInputMessage="1" showErrorMessage="1" sqref="H11">
      <formula1>0</formula1>
      <formula2>NaN</formula2>
    </dataValidation>
    <dataValidation type="whole" allowBlank="1" showInputMessage="1" showErrorMessage="1" sqref="H12">
      <formula1>0</formula1>
      <formula2>NaN</formula2>
    </dataValidation>
    <dataValidation type="whole" allowBlank="1" showInputMessage="1" showErrorMessage="1" sqref="H13">
      <formula1>0</formula1>
      <formula2>NaN</formula2>
    </dataValidation>
    <dataValidation type="whole" allowBlank="1" showInputMessage="1" showErrorMessage="1" sqref="H14">
      <formula1>0</formula1>
      <formula2>NaN</formula2>
    </dataValidation>
    <dataValidation type="whole" allowBlank="1" showInputMessage="1" showErrorMessage="1" sqref="H15">
      <formula1>0</formula1>
      <formula2>NaN</formula2>
    </dataValidation>
    <dataValidation type="whole" allowBlank="1" showInputMessage="1" showErrorMessage="1" sqref="H16">
      <formula1>0</formula1>
      <formula2>NaN</formula2>
    </dataValidation>
    <dataValidation type="whole" allowBlank="1" showInputMessage="1" showErrorMessage="1" sqref="H17">
      <formula1>0</formula1>
      <formula2>NaN</formula2>
    </dataValidation>
    <dataValidation type="whole" allowBlank="1" showInputMessage="1" showErrorMessage="1" sqref="H18">
      <formula1>0</formula1>
      <formula2>NaN</formula2>
    </dataValidation>
    <dataValidation type="whole" allowBlank="1" showInputMessage="1" showErrorMessage="1" sqref="H19">
      <formula1>0</formula1>
      <formula2>NaN</formula2>
    </dataValidation>
    <dataValidation type="whole" allowBlank="1" showInputMessage="1" showErrorMessage="1" sqref="H20">
      <formula1>0</formula1>
      <formula2>NaN</formula2>
    </dataValidation>
    <dataValidation type="whole" allowBlank="1" showInputMessage="1" showErrorMessage="1" sqref="H21">
      <formula1>0</formula1>
      <formula2>NaN</formula2>
    </dataValidation>
    <dataValidation type="whole" allowBlank="1" showInputMessage="1" showErrorMessage="1" sqref="H22">
      <formula1>0</formula1>
      <formula2>NaN</formula2>
    </dataValidation>
    <dataValidation type="whole" allowBlank="1" showInputMessage="1" showErrorMessage="1" sqref="H23">
      <formula1>0</formula1>
      <formula2>NaN</formula2>
    </dataValidation>
    <dataValidation type="whole" allowBlank="1" showInputMessage="1" showErrorMessage="1" sqref="H24">
      <formula1>0</formula1>
      <formula2>NaN</formula2>
    </dataValidation>
    <dataValidation type="whole" allowBlank="1" showInputMessage="1" showErrorMessage="1" sqref="H25">
      <formula1>0</formula1>
      <formula2>NaN</formula2>
    </dataValidation>
    <dataValidation type="whole" allowBlank="1" showInputMessage="1" showErrorMessage="1" sqref="H26">
      <formula1>0</formula1>
      <formula2>NaN</formula2>
    </dataValidation>
    <dataValidation type="whole" allowBlank="1" showInputMessage="1" showErrorMessage="1" sqref="H27">
      <formula1>0</formula1>
      <formula2>NaN</formula2>
    </dataValidation>
    <dataValidation type="whole" allowBlank="1" showInputMessage="1" showErrorMessage="1" sqref="H28">
      <formula1>0</formula1>
      <formula2>NaN</formula2>
    </dataValidation>
    <dataValidation type="whole" allowBlank="1" showInputMessage="1" showErrorMessage="1" sqref="H29">
      <formula1>0</formula1>
      <formula2>NaN</formula2>
    </dataValidation>
    <dataValidation type="whole" allowBlank="1" showInputMessage="1" showErrorMessage="1" sqref="H30">
      <formula1>0</formula1>
      <formula2>NaN</formula2>
    </dataValidation>
    <dataValidation type="whole" allowBlank="1" showInputMessage="1" showErrorMessage="1" sqref="H31">
      <formula1>0</formula1>
      <formula2>NaN</formula2>
    </dataValidation>
    <dataValidation type="whole" allowBlank="1" showInputMessage="1" showErrorMessage="1" sqref="H32">
      <formula1>0</formula1>
      <formula2>NaN</formula2>
    </dataValidation>
    <dataValidation type="whole" allowBlank="1" showInputMessage="1" showErrorMessage="1" sqref="H33">
      <formula1>0</formula1>
      <formula2>NaN</formula2>
    </dataValidation>
    <dataValidation type="whole" allowBlank="1" showInputMessage="1" showErrorMessage="1" sqref="H34">
      <formula1>0</formula1>
      <formula2>NaN</formula2>
    </dataValidation>
    <dataValidation type="whole" allowBlank="1" showInputMessage="1" showErrorMessage="1" sqref="H35">
      <formula1>0</formula1>
      <formula2>NaN</formula2>
    </dataValidation>
    <dataValidation type="whole" allowBlank="1" showInputMessage="1" showErrorMessage="1" sqref="H36">
      <formula1>0</formula1>
      <formula2>NaN</formula2>
    </dataValidation>
    <dataValidation type="whole" allowBlank="1" showInputMessage="1" showErrorMessage="1" sqref="H37">
      <formula1>0</formula1>
      <formula2>NaN</formula2>
    </dataValidation>
    <dataValidation type="whole" allowBlank="1" showInputMessage="1" showErrorMessage="1" sqref="H38">
      <formula1>0</formula1>
      <formula2>NaN</formula2>
    </dataValidation>
    <dataValidation type="whole" allowBlank="1" showInputMessage="1" showErrorMessage="1" sqref="H39">
      <formula1>0</formula1>
      <formula2>NaN</formula2>
    </dataValidation>
    <dataValidation type="whole" allowBlank="1" showInputMessage="1" showErrorMessage="1" sqref="H40">
      <formula1>0</formula1>
      <formula2>NaN</formula2>
    </dataValidation>
    <dataValidation type="whole" allowBlank="1" showInputMessage="1" showErrorMessage="1" sqref="H41">
      <formula1>0</formula1>
      <formula2>NaN</formula2>
    </dataValidation>
    <dataValidation type="whole" allowBlank="1" showInputMessage="1" showErrorMessage="1" sqref="H42">
      <formula1>0</formula1>
      <formula2>NaN</formula2>
    </dataValidation>
    <dataValidation type="whole" allowBlank="1" showInputMessage="1" showErrorMessage="1" sqref="H43">
      <formula1>0</formula1>
      <formula2>NaN</formula2>
    </dataValidation>
    <dataValidation type="whole" allowBlank="1" showInputMessage="1" showErrorMessage="1" sqref="H44">
      <formula1>0</formula1>
      <formula2>NaN</formula2>
    </dataValidation>
    <dataValidation type="whole" allowBlank="1" showInputMessage="1" showErrorMessage="1" sqref="H45">
      <formula1>0</formula1>
      <formula2>NaN</formula2>
    </dataValidation>
    <dataValidation type="whole" allowBlank="1" showInputMessage="1" showErrorMessage="1" sqref="H46">
      <formula1>0</formula1>
      <formula2>NaN</formula2>
    </dataValidation>
    <dataValidation type="whole" allowBlank="1" showInputMessage="1" showErrorMessage="1" sqref="H47">
      <formula1>0</formula1>
      <formula2>NaN</formula2>
    </dataValidation>
    <dataValidation type="whole" allowBlank="1" showInputMessage="1" showErrorMessage="1" sqref="H48">
      <formula1>0</formula1>
      <formula2>NaN</formula2>
    </dataValidation>
    <dataValidation type="whole" allowBlank="1" showInputMessage="1" showErrorMessage="1" sqref="H49">
      <formula1>0</formula1>
      <formula2>NaN</formula2>
    </dataValidation>
    <dataValidation type="whole" allowBlank="1" showInputMessage="1" showErrorMessage="1" sqref="H50">
      <formula1>0</formula1>
      <formula2>NaN</formula2>
    </dataValidation>
    <dataValidation type="whole" allowBlank="1" showInputMessage="1" showErrorMessage="1" sqref="H51">
      <formula1>0</formula1>
      <formula2>NaN</formula2>
    </dataValidation>
    <dataValidation type="whole" allowBlank="1" showInputMessage="1" showErrorMessage="1" sqref="H52">
      <formula1>0</formula1>
      <formula2>NaN</formula2>
    </dataValidation>
    <dataValidation type="whole" allowBlank="1" showInputMessage="1" showErrorMessage="1" sqref="H53">
      <formula1>0</formula1>
      <formula2>NaN</formula2>
    </dataValidation>
    <dataValidation type="whole" allowBlank="1" showInputMessage="1" showErrorMessage="1" sqref="H54">
      <formula1>0</formula1>
      <formula2>NaN</formula2>
    </dataValidation>
    <dataValidation type="whole" allowBlank="1" showInputMessage="1" showErrorMessage="1" sqref="H55">
      <formula1>0</formula1>
      <formula2>NaN</formula2>
    </dataValidation>
    <dataValidation type="whole" allowBlank="1" showInputMessage="1" showErrorMessage="1" sqref="H56">
      <formula1>0</formula1>
      <formula2>NaN</formula2>
    </dataValidation>
    <dataValidation type="whole" allowBlank="1" showInputMessage="1" showErrorMessage="1" sqref="H57">
      <formula1>0</formula1>
      <formula2>NaN</formula2>
    </dataValidation>
    <dataValidation type="whole" allowBlank="1" showInputMessage="1" showErrorMessage="1" sqref="H58">
      <formula1>0</formula1>
      <formula2>NaN</formula2>
    </dataValidation>
    <dataValidation type="whole" allowBlank="1" showInputMessage="1" showErrorMessage="1" sqref="H59">
      <formula1>0</formula1>
      <formula2>NaN</formula2>
    </dataValidation>
    <dataValidation type="whole" allowBlank="1" showInputMessage="1" showErrorMessage="1" sqref="H60">
      <formula1>0</formula1>
      <formula2>NaN</formula2>
    </dataValidation>
    <dataValidation type="whole" allowBlank="1" showInputMessage="1" showErrorMessage="1" sqref="H61">
      <formula1>0</formula1>
      <formula2>NaN</formula2>
    </dataValidation>
    <dataValidation type="whole" allowBlank="1" showInputMessage="1" showErrorMessage="1" sqref="H62">
      <formula1>0</formula1>
      <formula2>NaN</formula2>
    </dataValidation>
    <dataValidation type="whole" allowBlank="1" showInputMessage="1" showErrorMessage="1" sqref="H63">
      <formula1>0</formula1>
      <formula2>NaN</formula2>
    </dataValidation>
    <dataValidation type="whole" allowBlank="1" showInputMessage="1" showErrorMessage="1" sqref="H64">
      <formula1>0</formula1>
      <formula2>NaN</formula2>
    </dataValidation>
    <dataValidation type="whole" allowBlank="1" showInputMessage="1" showErrorMessage="1" sqref="H65">
      <formula1>0</formula1>
      <formula2>NaN</formula2>
    </dataValidation>
    <dataValidation type="whole" allowBlank="1" showInputMessage="1" showErrorMessage="1" sqref="H66">
      <formula1>0</formula1>
      <formula2>NaN</formula2>
    </dataValidation>
    <dataValidation type="whole" allowBlank="1" showInputMessage="1" showErrorMessage="1" sqref="H67">
      <formula1>0</formula1>
      <formula2>NaN</formula2>
    </dataValidation>
    <dataValidation type="whole" allowBlank="1" showInputMessage="1" showErrorMessage="1" sqref="H68">
      <formula1>0</formula1>
      <formula2>NaN</formula2>
    </dataValidation>
    <dataValidation type="whole" allowBlank="1" showInputMessage="1" showErrorMessage="1" sqref="H9">
      <formula1>0</formula1>
      <formula2>NaN</formula2>
    </dataValidation>
    <dataValidation type="whole" allowBlank="1" showInputMessage="1" showErrorMessage="1" sqref="I10">
      <formula1>0</formula1>
      <formula2>NaN</formula2>
    </dataValidation>
    <dataValidation type="whole" allowBlank="1" showInputMessage="1" showErrorMessage="1" sqref="I11">
      <formula1>0</formula1>
      <formula2>NaN</formula2>
    </dataValidation>
    <dataValidation type="whole" allowBlank="1" showInputMessage="1" showErrorMessage="1" sqref="I12">
      <formula1>0</formula1>
      <formula2>NaN</formula2>
    </dataValidation>
    <dataValidation type="whole" allowBlank="1" showInputMessage="1" showErrorMessage="1" sqref="I13">
      <formula1>0</formula1>
      <formula2>NaN</formula2>
    </dataValidation>
    <dataValidation type="whole" allowBlank="1" showInputMessage="1" showErrorMessage="1" sqref="I14">
      <formula1>0</formula1>
      <formula2>NaN</formula2>
    </dataValidation>
    <dataValidation type="whole" allowBlank="1" showInputMessage="1" showErrorMessage="1" sqref="I15">
      <formula1>0</formula1>
      <formula2>NaN</formula2>
    </dataValidation>
    <dataValidation type="whole" allowBlank="1" showInputMessage="1" showErrorMessage="1" sqref="I16">
      <formula1>0</formula1>
      <formula2>NaN</formula2>
    </dataValidation>
    <dataValidation type="whole" allowBlank="1" showInputMessage="1" showErrorMessage="1" sqref="I17">
      <formula1>0</formula1>
      <formula2>NaN</formula2>
    </dataValidation>
    <dataValidation type="whole" allowBlank="1" showInputMessage="1" showErrorMessage="1" sqref="I18">
      <formula1>0</formula1>
      <formula2>NaN</formula2>
    </dataValidation>
    <dataValidation type="whole" allowBlank="1" showInputMessage="1" showErrorMessage="1" sqref="I19">
      <formula1>0</formula1>
      <formula2>NaN</formula2>
    </dataValidation>
    <dataValidation type="whole" allowBlank="1" showInputMessage="1" showErrorMessage="1" sqref="I20">
      <formula1>0</formula1>
      <formula2>NaN</formula2>
    </dataValidation>
    <dataValidation type="whole" allowBlank="1" showInputMessage="1" showErrorMessage="1" sqref="I21">
      <formula1>0</formula1>
      <formula2>NaN</formula2>
    </dataValidation>
    <dataValidation type="whole" allowBlank="1" showInputMessage="1" showErrorMessage="1" sqref="I22">
      <formula1>0</formula1>
      <formula2>NaN</formula2>
    </dataValidation>
    <dataValidation type="whole" allowBlank="1" showInputMessage="1" showErrorMessage="1" sqref="I23">
      <formula1>0</formula1>
      <formula2>NaN</formula2>
    </dataValidation>
    <dataValidation type="whole" allowBlank="1" showInputMessage="1" showErrorMessage="1" sqref="I24">
      <formula1>0</formula1>
      <formula2>NaN</formula2>
    </dataValidation>
    <dataValidation type="whole" allowBlank="1" showInputMessage="1" showErrorMessage="1" sqref="I25">
      <formula1>0</formula1>
      <formula2>NaN</formula2>
    </dataValidation>
    <dataValidation type="whole" allowBlank="1" showInputMessage="1" showErrorMessage="1" sqref="I26">
      <formula1>0</formula1>
      <formula2>NaN</formula2>
    </dataValidation>
    <dataValidation type="whole" allowBlank="1" showInputMessage="1" showErrorMessage="1" sqref="I27">
      <formula1>0</formula1>
      <formula2>NaN</formula2>
    </dataValidation>
    <dataValidation type="whole" allowBlank="1" showInputMessage="1" showErrorMessage="1" sqref="I28">
      <formula1>0</formula1>
      <formula2>NaN</formula2>
    </dataValidation>
    <dataValidation type="whole" allowBlank="1" showInputMessage="1" showErrorMessage="1" sqref="I29">
      <formula1>0</formula1>
      <formula2>NaN</formula2>
    </dataValidation>
    <dataValidation type="whole" allowBlank="1" showInputMessage="1" showErrorMessage="1" sqref="I30">
      <formula1>0</formula1>
      <formula2>NaN</formula2>
    </dataValidation>
    <dataValidation type="whole" allowBlank="1" showInputMessage="1" showErrorMessage="1" sqref="I31">
      <formula1>0</formula1>
      <formula2>NaN</formula2>
    </dataValidation>
    <dataValidation type="whole" allowBlank="1" showInputMessage="1" showErrorMessage="1" sqref="I32">
      <formula1>0</formula1>
      <formula2>NaN</formula2>
    </dataValidation>
    <dataValidation type="whole" allowBlank="1" showInputMessage="1" showErrorMessage="1" sqref="I33">
      <formula1>0</formula1>
      <formula2>NaN</formula2>
    </dataValidation>
    <dataValidation type="whole" allowBlank="1" showInputMessage="1" showErrorMessage="1" sqref="I34">
      <formula1>0</formula1>
      <formula2>NaN</formula2>
    </dataValidation>
    <dataValidation type="whole" allowBlank="1" showInputMessage="1" showErrorMessage="1" sqref="I35">
      <formula1>0</formula1>
      <formula2>NaN</formula2>
    </dataValidation>
    <dataValidation type="whole" allowBlank="1" showInputMessage="1" showErrorMessage="1" sqref="I36">
      <formula1>0</formula1>
      <formula2>NaN</formula2>
    </dataValidation>
    <dataValidation type="whole" allowBlank="1" showInputMessage="1" showErrorMessage="1" sqref="I37">
      <formula1>0</formula1>
      <formula2>NaN</formula2>
    </dataValidation>
    <dataValidation type="whole" allowBlank="1" showInputMessage="1" showErrorMessage="1" sqref="I38">
      <formula1>0</formula1>
      <formula2>NaN</formula2>
    </dataValidation>
    <dataValidation type="whole" allowBlank="1" showInputMessage="1" showErrorMessage="1" sqref="I39">
      <formula1>0</formula1>
      <formula2>NaN</formula2>
    </dataValidation>
    <dataValidation type="whole" allowBlank="1" showInputMessage="1" showErrorMessage="1" sqref="I40">
      <formula1>0</formula1>
      <formula2>NaN</formula2>
    </dataValidation>
    <dataValidation type="whole" allowBlank="1" showInputMessage="1" showErrorMessage="1" sqref="I41">
      <formula1>0</formula1>
      <formula2>NaN</formula2>
    </dataValidation>
    <dataValidation type="whole" allowBlank="1" showInputMessage="1" showErrorMessage="1" sqref="I42">
      <formula1>0</formula1>
      <formula2>NaN</formula2>
    </dataValidation>
    <dataValidation type="whole" allowBlank="1" showInputMessage="1" showErrorMessage="1" sqref="I43">
      <formula1>0</formula1>
      <formula2>NaN</formula2>
    </dataValidation>
    <dataValidation type="whole" allowBlank="1" showInputMessage="1" showErrorMessage="1" sqref="I44">
      <formula1>0</formula1>
      <formula2>NaN</formula2>
    </dataValidation>
    <dataValidation type="whole" allowBlank="1" showInputMessage="1" showErrorMessage="1" sqref="I45">
      <formula1>0</formula1>
      <formula2>NaN</formula2>
    </dataValidation>
    <dataValidation type="whole" allowBlank="1" showInputMessage="1" showErrorMessage="1" sqref="I46">
      <formula1>0</formula1>
      <formula2>NaN</formula2>
    </dataValidation>
    <dataValidation type="whole" allowBlank="1" showInputMessage="1" showErrorMessage="1" sqref="I47">
      <formula1>0</formula1>
      <formula2>NaN</formula2>
    </dataValidation>
    <dataValidation type="whole" allowBlank="1" showInputMessage="1" showErrorMessage="1" sqref="I48">
      <formula1>0</formula1>
      <formula2>NaN</formula2>
    </dataValidation>
    <dataValidation type="whole" allowBlank="1" showInputMessage="1" showErrorMessage="1" sqref="I49">
      <formula1>0</formula1>
      <formula2>NaN</formula2>
    </dataValidation>
    <dataValidation type="whole" allowBlank="1" showInputMessage="1" showErrorMessage="1" sqref="I50">
      <formula1>0</formula1>
      <formula2>NaN</formula2>
    </dataValidation>
    <dataValidation type="whole" allowBlank="1" showInputMessage="1" showErrorMessage="1" sqref="I51">
      <formula1>0</formula1>
      <formula2>NaN</formula2>
    </dataValidation>
    <dataValidation type="whole" allowBlank="1" showInputMessage="1" showErrorMessage="1" sqref="I52">
      <formula1>0</formula1>
      <formula2>NaN</formula2>
    </dataValidation>
    <dataValidation type="whole" allowBlank="1" showInputMessage="1" showErrorMessage="1" sqref="I53">
      <formula1>0</formula1>
      <formula2>NaN</formula2>
    </dataValidation>
    <dataValidation type="whole" allowBlank="1" showInputMessage="1" showErrorMessage="1" sqref="I54">
      <formula1>0</formula1>
      <formula2>NaN</formula2>
    </dataValidation>
    <dataValidation type="whole" allowBlank="1" showInputMessage="1" showErrorMessage="1" sqref="I55">
      <formula1>0</formula1>
      <formula2>NaN</formula2>
    </dataValidation>
    <dataValidation type="whole" allowBlank="1" showInputMessage="1" showErrorMessage="1" sqref="I56">
      <formula1>0</formula1>
      <formula2>NaN</formula2>
    </dataValidation>
    <dataValidation type="whole" allowBlank="1" showInputMessage="1" showErrorMessage="1" sqref="I57">
      <formula1>0</formula1>
      <formula2>NaN</formula2>
    </dataValidation>
    <dataValidation type="whole" allowBlank="1" showInputMessage="1" showErrorMessage="1" sqref="I58">
      <formula1>0</formula1>
      <formula2>NaN</formula2>
    </dataValidation>
    <dataValidation type="whole" allowBlank="1" showInputMessage="1" showErrorMessage="1" sqref="I59">
      <formula1>0</formula1>
      <formula2>NaN</formula2>
    </dataValidation>
    <dataValidation type="whole" allowBlank="1" showInputMessage="1" showErrorMessage="1" sqref="I60">
      <formula1>0</formula1>
      <formula2>NaN</formula2>
    </dataValidation>
    <dataValidation type="whole" allowBlank="1" showInputMessage="1" showErrorMessage="1" sqref="I61">
      <formula1>0</formula1>
      <formula2>NaN</formula2>
    </dataValidation>
    <dataValidation type="whole" allowBlank="1" showInputMessage="1" showErrorMessage="1" sqref="I62">
      <formula1>0</formula1>
      <formula2>NaN</formula2>
    </dataValidation>
    <dataValidation type="whole" allowBlank="1" showInputMessage="1" showErrorMessage="1" sqref="I63">
      <formula1>0</formula1>
      <formula2>NaN</formula2>
    </dataValidation>
    <dataValidation type="whole" allowBlank="1" showInputMessage="1" showErrorMessage="1" sqref="I64">
      <formula1>0</formula1>
      <formula2>NaN</formula2>
    </dataValidation>
    <dataValidation type="whole" allowBlank="1" showInputMessage="1" showErrorMessage="1" sqref="I65">
      <formula1>0</formula1>
      <formula2>NaN</formula2>
    </dataValidation>
    <dataValidation type="whole" allowBlank="1" showInputMessage="1" showErrorMessage="1" sqref="I66">
      <formula1>0</formula1>
      <formula2>NaN</formula2>
    </dataValidation>
    <dataValidation type="whole" allowBlank="1" showInputMessage="1" showErrorMessage="1" sqref="I67">
      <formula1>0</formula1>
      <formula2>NaN</formula2>
    </dataValidation>
    <dataValidation type="whole" allowBlank="1" showInputMessage="1" showErrorMessage="1" sqref="I68">
      <formula1>0</formula1>
      <formula2>NaN</formula2>
    </dataValidation>
    <dataValidation type="whole" allowBlank="1" showInputMessage="1" showErrorMessage="1" sqref="I9">
      <formula1>0</formula1>
      <formula2>NaN</formula2>
    </dataValidation>
    <dataValidation type="whole" allowBlank="1" showInputMessage="1" showErrorMessage="1" sqref="J10">
      <formula1>0</formula1>
      <formula2>NaN</formula2>
    </dataValidation>
    <dataValidation type="whole" allowBlank="1" showInputMessage="1" showErrorMessage="1" sqref="J11">
      <formula1>0</formula1>
      <formula2>NaN</formula2>
    </dataValidation>
    <dataValidation type="whole" allowBlank="1" showInputMessage="1" showErrorMessage="1" sqref="J12">
      <formula1>0</formula1>
      <formula2>NaN</formula2>
    </dataValidation>
    <dataValidation type="whole" allowBlank="1" showInputMessage="1" showErrorMessage="1" sqref="J13">
      <formula1>0</formula1>
      <formula2>NaN</formula2>
    </dataValidation>
    <dataValidation type="whole" allowBlank="1" showInputMessage="1" showErrorMessage="1" sqref="J14">
      <formula1>0</formula1>
      <formula2>NaN</formula2>
    </dataValidation>
    <dataValidation type="whole" allowBlank="1" showInputMessage="1" showErrorMessage="1" sqref="J15">
      <formula1>0</formula1>
      <formula2>NaN</formula2>
    </dataValidation>
    <dataValidation type="whole" allowBlank="1" showInputMessage="1" showErrorMessage="1" sqref="J16">
      <formula1>0</formula1>
      <formula2>NaN</formula2>
    </dataValidation>
    <dataValidation type="whole" allowBlank="1" showInputMessage="1" showErrorMessage="1" sqref="J17">
      <formula1>0</formula1>
      <formula2>NaN</formula2>
    </dataValidation>
    <dataValidation type="whole" allowBlank="1" showInputMessage="1" showErrorMessage="1" sqref="J18">
      <formula1>0</formula1>
      <formula2>NaN</formula2>
    </dataValidation>
    <dataValidation type="whole" allowBlank="1" showInputMessage="1" showErrorMessage="1" sqref="J19">
      <formula1>0</formula1>
      <formula2>NaN</formula2>
    </dataValidation>
    <dataValidation type="whole" allowBlank="1" showInputMessage="1" showErrorMessage="1" sqref="J20">
      <formula1>0</formula1>
      <formula2>NaN</formula2>
    </dataValidation>
    <dataValidation type="whole" allowBlank="1" showInputMessage="1" showErrorMessage="1" sqref="J21">
      <formula1>0</formula1>
      <formula2>NaN</formula2>
    </dataValidation>
    <dataValidation type="whole" allowBlank="1" showInputMessage="1" showErrorMessage="1" sqref="J22">
      <formula1>0</formula1>
      <formula2>NaN</formula2>
    </dataValidation>
    <dataValidation type="whole" allowBlank="1" showInputMessage="1" showErrorMessage="1" sqref="J23">
      <formula1>0</formula1>
      <formula2>NaN</formula2>
    </dataValidation>
    <dataValidation type="whole" allowBlank="1" showInputMessage="1" showErrorMessage="1" sqref="J24">
      <formula1>0</formula1>
      <formula2>NaN</formula2>
    </dataValidation>
    <dataValidation type="whole" allowBlank="1" showInputMessage="1" showErrorMessage="1" sqref="J25">
      <formula1>0</formula1>
      <formula2>NaN</formula2>
    </dataValidation>
    <dataValidation type="whole" allowBlank="1" showInputMessage="1" showErrorMessage="1" sqref="J26">
      <formula1>0</formula1>
      <formula2>NaN</formula2>
    </dataValidation>
    <dataValidation type="whole" allowBlank="1" showInputMessage="1" showErrorMessage="1" sqref="J27">
      <formula1>0</formula1>
      <formula2>NaN</formula2>
    </dataValidation>
    <dataValidation type="whole" allowBlank="1" showInputMessage="1" showErrorMessage="1" sqref="J28">
      <formula1>0</formula1>
      <formula2>NaN</formula2>
    </dataValidation>
    <dataValidation type="whole" allowBlank="1" showInputMessage="1" showErrorMessage="1" sqref="J29">
      <formula1>0</formula1>
      <formula2>NaN</formula2>
    </dataValidation>
    <dataValidation type="whole" allowBlank="1" showInputMessage="1" showErrorMessage="1" sqref="J30">
      <formula1>0</formula1>
      <formula2>NaN</formula2>
    </dataValidation>
    <dataValidation type="whole" allowBlank="1" showInputMessage="1" showErrorMessage="1" sqref="J31">
      <formula1>0</formula1>
      <formula2>NaN</formula2>
    </dataValidation>
    <dataValidation type="whole" allowBlank="1" showInputMessage="1" showErrorMessage="1" sqref="J32">
      <formula1>0</formula1>
      <formula2>NaN</formula2>
    </dataValidation>
    <dataValidation type="whole" allowBlank="1" showInputMessage="1" showErrorMessage="1" sqref="J33">
      <formula1>0</formula1>
      <formula2>NaN</formula2>
    </dataValidation>
    <dataValidation type="whole" allowBlank="1" showInputMessage="1" showErrorMessage="1" sqref="J34">
      <formula1>0</formula1>
      <formula2>NaN</formula2>
    </dataValidation>
    <dataValidation type="whole" allowBlank="1" showInputMessage="1" showErrorMessage="1" sqref="J35">
      <formula1>0</formula1>
      <formula2>NaN</formula2>
    </dataValidation>
    <dataValidation type="whole" allowBlank="1" showInputMessage="1" showErrorMessage="1" sqref="J36">
      <formula1>0</formula1>
      <formula2>NaN</formula2>
    </dataValidation>
    <dataValidation type="whole" allowBlank="1" showInputMessage="1" showErrorMessage="1" sqref="J37">
      <formula1>0</formula1>
      <formula2>NaN</formula2>
    </dataValidation>
    <dataValidation type="whole" allowBlank="1" showInputMessage="1" showErrorMessage="1" sqref="J38">
      <formula1>0</formula1>
      <formula2>NaN</formula2>
    </dataValidation>
    <dataValidation type="whole" allowBlank="1" showInputMessage="1" showErrorMessage="1" sqref="J39">
      <formula1>0</formula1>
      <formula2>NaN</formula2>
    </dataValidation>
    <dataValidation type="whole" allowBlank="1" showInputMessage="1" showErrorMessage="1" sqref="J40">
      <formula1>0</formula1>
      <formula2>NaN</formula2>
    </dataValidation>
    <dataValidation type="whole" allowBlank="1" showInputMessage="1" showErrorMessage="1" sqref="J41">
      <formula1>0</formula1>
      <formula2>NaN</formula2>
    </dataValidation>
    <dataValidation type="whole" allowBlank="1" showInputMessage="1" showErrorMessage="1" sqref="J42">
      <formula1>0</formula1>
      <formula2>NaN</formula2>
    </dataValidation>
    <dataValidation type="whole" allowBlank="1" showInputMessage="1" showErrorMessage="1" sqref="J43">
      <formula1>0</formula1>
      <formula2>NaN</formula2>
    </dataValidation>
    <dataValidation type="whole" allowBlank="1" showInputMessage="1" showErrorMessage="1" sqref="J44">
      <formula1>0</formula1>
      <formula2>NaN</formula2>
    </dataValidation>
    <dataValidation type="whole" allowBlank="1" showInputMessage="1" showErrorMessage="1" sqref="J45">
      <formula1>0</formula1>
      <formula2>NaN</formula2>
    </dataValidation>
    <dataValidation type="whole" allowBlank="1" showInputMessage="1" showErrorMessage="1" sqref="J46">
      <formula1>0</formula1>
      <formula2>NaN</formula2>
    </dataValidation>
    <dataValidation type="whole" allowBlank="1" showInputMessage="1" showErrorMessage="1" sqref="J47">
      <formula1>0</formula1>
      <formula2>NaN</formula2>
    </dataValidation>
    <dataValidation type="whole" allowBlank="1" showInputMessage="1" showErrorMessage="1" sqref="J48">
      <formula1>0</formula1>
      <formula2>NaN</formula2>
    </dataValidation>
    <dataValidation type="whole" allowBlank="1" showInputMessage="1" showErrorMessage="1" sqref="J49">
      <formula1>0</formula1>
      <formula2>NaN</formula2>
    </dataValidation>
    <dataValidation type="whole" allowBlank="1" showInputMessage="1" showErrorMessage="1" sqref="J50">
      <formula1>0</formula1>
      <formula2>NaN</formula2>
    </dataValidation>
    <dataValidation type="whole" allowBlank="1" showInputMessage="1" showErrorMessage="1" sqref="J51">
      <formula1>0</formula1>
      <formula2>NaN</formula2>
    </dataValidation>
    <dataValidation type="whole" allowBlank="1" showInputMessage="1" showErrorMessage="1" sqref="J52">
      <formula1>0</formula1>
      <formula2>NaN</formula2>
    </dataValidation>
    <dataValidation type="whole" allowBlank="1" showInputMessage="1" showErrorMessage="1" sqref="J53">
      <formula1>0</formula1>
      <formula2>NaN</formula2>
    </dataValidation>
    <dataValidation type="whole" allowBlank="1" showInputMessage="1" showErrorMessage="1" sqref="J54">
      <formula1>0</formula1>
      <formula2>NaN</formula2>
    </dataValidation>
    <dataValidation type="whole" allowBlank="1" showInputMessage="1" showErrorMessage="1" sqref="J55">
      <formula1>0</formula1>
      <formula2>NaN</formula2>
    </dataValidation>
    <dataValidation type="whole" allowBlank="1" showInputMessage="1" showErrorMessage="1" sqref="J56">
      <formula1>0</formula1>
      <formula2>NaN</formula2>
    </dataValidation>
    <dataValidation type="whole" allowBlank="1" showInputMessage="1" showErrorMessage="1" sqref="J57">
      <formula1>0</formula1>
      <formula2>NaN</formula2>
    </dataValidation>
    <dataValidation type="whole" allowBlank="1" showInputMessage="1" showErrorMessage="1" sqref="J58">
      <formula1>0</formula1>
      <formula2>NaN</formula2>
    </dataValidation>
    <dataValidation type="whole" allowBlank="1" showInputMessage="1" showErrorMessage="1" sqref="J59">
      <formula1>0</formula1>
      <formula2>NaN</formula2>
    </dataValidation>
    <dataValidation type="whole" allowBlank="1" showInputMessage="1" showErrorMessage="1" sqref="J60">
      <formula1>0</formula1>
      <formula2>NaN</formula2>
    </dataValidation>
    <dataValidation type="whole" allowBlank="1" showInputMessage="1" showErrorMessage="1" sqref="J61">
      <formula1>0</formula1>
      <formula2>NaN</formula2>
    </dataValidation>
    <dataValidation type="whole" allowBlank="1" showInputMessage="1" showErrorMessage="1" sqref="J62">
      <formula1>0</formula1>
      <formula2>NaN</formula2>
    </dataValidation>
    <dataValidation type="whole" allowBlank="1" showInputMessage="1" showErrorMessage="1" sqref="J63">
      <formula1>0</formula1>
      <formula2>NaN</formula2>
    </dataValidation>
    <dataValidation type="whole" allowBlank="1" showInputMessage="1" showErrorMessage="1" sqref="J64">
      <formula1>0</formula1>
      <formula2>NaN</formula2>
    </dataValidation>
    <dataValidation type="whole" allowBlank="1" showInputMessage="1" showErrorMessage="1" sqref="J65">
      <formula1>0</formula1>
      <formula2>NaN</formula2>
    </dataValidation>
    <dataValidation type="whole" allowBlank="1" showInputMessage="1" showErrorMessage="1" sqref="J66">
      <formula1>0</formula1>
      <formula2>NaN</formula2>
    </dataValidation>
    <dataValidation type="whole" allowBlank="1" showInputMessage="1" showErrorMessage="1" sqref="J67">
      <formula1>0</formula1>
      <formula2>NaN</formula2>
    </dataValidation>
    <dataValidation type="whole" allowBlank="1" showInputMessage="1" showErrorMessage="1" sqref="J68">
      <formula1>0</formula1>
      <formula2>NaN</formula2>
    </dataValidation>
    <dataValidation type="whole" allowBlank="1" showInputMessage="1" showErrorMessage="1" sqref="J9">
      <formula1>0</formula1>
      <formula2>NaN</formula2>
    </dataValidation>
    <dataValidation type="whole" allowBlank="1" showInputMessage="1" showErrorMessage="1" sqref="K10">
      <formula1>0</formula1>
      <formula2>NaN</formula2>
    </dataValidation>
    <dataValidation type="whole" allowBlank="1" showInputMessage="1" showErrorMessage="1" sqref="K11">
      <formula1>0</formula1>
      <formula2>NaN</formula2>
    </dataValidation>
    <dataValidation type="whole" allowBlank="1" showInputMessage="1" showErrorMessage="1" sqref="K12">
      <formula1>0</formula1>
      <formula2>NaN</formula2>
    </dataValidation>
    <dataValidation type="whole" allowBlank="1" showInputMessage="1" showErrorMessage="1" sqref="K13">
      <formula1>0</formula1>
      <formula2>NaN</formula2>
    </dataValidation>
    <dataValidation type="whole" allowBlank="1" showInputMessage="1" showErrorMessage="1" sqref="K14">
      <formula1>0</formula1>
      <formula2>NaN</formula2>
    </dataValidation>
    <dataValidation type="whole" allowBlank="1" showInputMessage="1" showErrorMessage="1" sqref="K15">
      <formula1>0</formula1>
      <formula2>NaN</formula2>
    </dataValidation>
    <dataValidation type="whole" allowBlank="1" showInputMessage="1" showErrorMessage="1" sqref="K16">
      <formula1>0</formula1>
      <formula2>NaN</formula2>
    </dataValidation>
    <dataValidation type="whole" allowBlank="1" showInputMessage="1" showErrorMessage="1" sqref="K17">
      <formula1>0</formula1>
      <formula2>NaN</formula2>
    </dataValidation>
    <dataValidation type="whole" allowBlank="1" showInputMessage="1" showErrorMessage="1" sqref="K18">
      <formula1>0</formula1>
      <formula2>NaN</formula2>
    </dataValidation>
    <dataValidation type="whole" allowBlank="1" showInputMessage="1" showErrorMessage="1" sqref="K19">
      <formula1>0</formula1>
      <formula2>NaN</formula2>
    </dataValidation>
    <dataValidation type="whole" allowBlank="1" showInputMessage="1" showErrorMessage="1" sqref="K20">
      <formula1>0</formula1>
      <formula2>NaN</formula2>
    </dataValidation>
    <dataValidation type="whole" allowBlank="1" showInputMessage="1" showErrorMessage="1" sqref="K21">
      <formula1>0</formula1>
      <formula2>NaN</formula2>
    </dataValidation>
    <dataValidation type="whole" allowBlank="1" showInputMessage="1" showErrorMessage="1" sqref="K22">
      <formula1>0</formula1>
      <formula2>NaN</formula2>
    </dataValidation>
    <dataValidation type="whole" allowBlank="1" showInputMessage="1" showErrorMessage="1" sqref="K23">
      <formula1>0</formula1>
      <formula2>NaN</formula2>
    </dataValidation>
    <dataValidation type="whole" allowBlank="1" showInputMessage="1" showErrorMessage="1" sqref="K24">
      <formula1>0</formula1>
      <formula2>NaN</formula2>
    </dataValidation>
    <dataValidation type="whole" allowBlank="1" showInputMessage="1" showErrorMessage="1" sqref="K25">
      <formula1>0</formula1>
      <formula2>NaN</formula2>
    </dataValidation>
    <dataValidation type="whole" allowBlank="1" showInputMessage="1" showErrorMessage="1" sqref="K26">
      <formula1>0</formula1>
      <formula2>NaN</formula2>
    </dataValidation>
    <dataValidation type="whole" allowBlank="1" showInputMessage="1" showErrorMessage="1" sqref="K27">
      <formula1>0</formula1>
      <formula2>NaN</formula2>
    </dataValidation>
    <dataValidation type="whole" allowBlank="1" showInputMessage="1" showErrorMessage="1" sqref="K28">
      <formula1>0</formula1>
      <formula2>NaN</formula2>
    </dataValidation>
    <dataValidation type="whole" allowBlank="1" showInputMessage="1" showErrorMessage="1" sqref="K29">
      <formula1>0</formula1>
      <formula2>NaN</formula2>
    </dataValidation>
    <dataValidation type="whole" allowBlank="1" showInputMessage="1" showErrorMessage="1" sqref="K30">
      <formula1>0</formula1>
      <formula2>NaN</formula2>
    </dataValidation>
    <dataValidation type="whole" allowBlank="1" showInputMessage="1" showErrorMessage="1" sqref="K31">
      <formula1>0</formula1>
      <formula2>NaN</formula2>
    </dataValidation>
    <dataValidation type="whole" allowBlank="1" showInputMessage="1" showErrorMessage="1" sqref="K32">
      <formula1>0</formula1>
      <formula2>NaN</formula2>
    </dataValidation>
    <dataValidation type="whole" allowBlank="1" showInputMessage="1" showErrorMessage="1" sqref="K33">
      <formula1>0</formula1>
      <formula2>NaN</formula2>
    </dataValidation>
    <dataValidation type="whole" allowBlank="1" showInputMessage="1" showErrorMessage="1" sqref="K34">
      <formula1>0</formula1>
      <formula2>NaN</formula2>
    </dataValidation>
    <dataValidation type="whole" allowBlank="1" showInputMessage="1" showErrorMessage="1" sqref="K35">
      <formula1>0</formula1>
      <formula2>NaN</formula2>
    </dataValidation>
    <dataValidation type="whole" allowBlank="1" showInputMessage="1" showErrorMessage="1" sqref="K36">
      <formula1>0</formula1>
      <formula2>NaN</formula2>
    </dataValidation>
    <dataValidation type="whole" allowBlank="1" showInputMessage="1" showErrorMessage="1" sqref="K37">
      <formula1>0</formula1>
      <formula2>NaN</formula2>
    </dataValidation>
    <dataValidation type="whole" allowBlank="1" showInputMessage="1" showErrorMessage="1" sqref="K38">
      <formula1>0</formula1>
      <formula2>NaN</formula2>
    </dataValidation>
    <dataValidation type="whole" allowBlank="1" showInputMessage="1" showErrorMessage="1" sqref="K39">
      <formula1>0</formula1>
      <formula2>NaN</formula2>
    </dataValidation>
    <dataValidation type="whole" allowBlank="1" showInputMessage="1" showErrorMessage="1" sqref="K40">
      <formula1>0</formula1>
      <formula2>NaN</formula2>
    </dataValidation>
    <dataValidation type="whole" allowBlank="1" showInputMessage="1" showErrorMessage="1" sqref="K41">
      <formula1>0</formula1>
      <formula2>NaN</formula2>
    </dataValidation>
    <dataValidation type="whole" allowBlank="1" showInputMessage="1" showErrorMessage="1" sqref="K42">
      <formula1>0</formula1>
      <formula2>NaN</formula2>
    </dataValidation>
    <dataValidation type="whole" allowBlank="1" showInputMessage="1" showErrorMessage="1" sqref="K43">
      <formula1>0</formula1>
      <formula2>NaN</formula2>
    </dataValidation>
    <dataValidation type="whole" allowBlank="1" showInputMessage="1" showErrorMessage="1" sqref="K44">
      <formula1>0</formula1>
      <formula2>NaN</formula2>
    </dataValidation>
    <dataValidation type="whole" allowBlank="1" showInputMessage="1" showErrorMessage="1" sqref="K45">
      <formula1>0</formula1>
      <formula2>NaN</formula2>
    </dataValidation>
    <dataValidation type="whole" allowBlank="1" showInputMessage="1" showErrorMessage="1" sqref="K46">
      <formula1>0</formula1>
      <formula2>NaN</formula2>
    </dataValidation>
    <dataValidation type="whole" allowBlank="1" showInputMessage="1" showErrorMessage="1" sqref="K47">
      <formula1>0</formula1>
      <formula2>NaN</formula2>
    </dataValidation>
    <dataValidation type="whole" allowBlank="1" showInputMessage="1" showErrorMessage="1" sqref="K48">
      <formula1>0</formula1>
      <formula2>NaN</formula2>
    </dataValidation>
    <dataValidation type="whole" allowBlank="1" showInputMessage="1" showErrorMessage="1" sqref="K49">
      <formula1>0</formula1>
      <formula2>NaN</formula2>
    </dataValidation>
    <dataValidation type="whole" allowBlank="1" showInputMessage="1" showErrorMessage="1" sqref="K50">
      <formula1>0</formula1>
      <formula2>NaN</formula2>
    </dataValidation>
    <dataValidation type="whole" allowBlank="1" showInputMessage="1" showErrorMessage="1" sqref="K51">
      <formula1>0</formula1>
      <formula2>NaN</formula2>
    </dataValidation>
    <dataValidation type="whole" allowBlank="1" showInputMessage="1" showErrorMessage="1" sqref="K52">
      <formula1>0</formula1>
      <formula2>NaN</formula2>
    </dataValidation>
    <dataValidation type="whole" allowBlank="1" showInputMessage="1" showErrorMessage="1" sqref="K53">
      <formula1>0</formula1>
      <formula2>NaN</formula2>
    </dataValidation>
    <dataValidation type="whole" allowBlank="1" showInputMessage="1" showErrorMessage="1" sqref="K54">
      <formula1>0</formula1>
      <formula2>NaN</formula2>
    </dataValidation>
    <dataValidation type="whole" allowBlank="1" showInputMessage="1" showErrorMessage="1" sqref="K55">
      <formula1>0</formula1>
      <formula2>NaN</formula2>
    </dataValidation>
    <dataValidation type="whole" allowBlank="1" showInputMessage="1" showErrorMessage="1" sqref="K56">
      <formula1>0</formula1>
      <formula2>NaN</formula2>
    </dataValidation>
    <dataValidation type="whole" allowBlank="1" showInputMessage="1" showErrorMessage="1" sqref="K57">
      <formula1>0</formula1>
      <formula2>NaN</formula2>
    </dataValidation>
    <dataValidation type="whole" allowBlank="1" showInputMessage="1" showErrorMessage="1" sqref="K58">
      <formula1>0</formula1>
      <formula2>NaN</formula2>
    </dataValidation>
    <dataValidation type="whole" allowBlank="1" showInputMessage="1" showErrorMessage="1" sqref="K59">
      <formula1>0</formula1>
      <formula2>NaN</formula2>
    </dataValidation>
    <dataValidation type="whole" allowBlank="1" showInputMessage="1" showErrorMessage="1" sqref="K60">
      <formula1>0</formula1>
      <formula2>NaN</formula2>
    </dataValidation>
    <dataValidation type="whole" allowBlank="1" showInputMessage="1" showErrorMessage="1" sqref="K61">
      <formula1>0</formula1>
      <formula2>NaN</formula2>
    </dataValidation>
    <dataValidation type="whole" allowBlank="1" showInputMessage="1" showErrorMessage="1" sqref="K62">
      <formula1>0</formula1>
      <formula2>NaN</formula2>
    </dataValidation>
    <dataValidation type="whole" allowBlank="1" showInputMessage="1" showErrorMessage="1" sqref="K63">
      <formula1>0</formula1>
      <formula2>NaN</formula2>
    </dataValidation>
    <dataValidation type="whole" allowBlank="1" showInputMessage="1" showErrorMessage="1" sqref="K64">
      <formula1>0</formula1>
      <formula2>NaN</formula2>
    </dataValidation>
    <dataValidation type="whole" allowBlank="1" showInputMessage="1" showErrorMessage="1" sqref="K65">
      <formula1>0</formula1>
      <formula2>NaN</formula2>
    </dataValidation>
    <dataValidation type="whole" allowBlank="1" showInputMessage="1" showErrorMessage="1" sqref="K66">
      <formula1>0</formula1>
      <formula2>NaN</formula2>
    </dataValidation>
    <dataValidation type="whole" allowBlank="1" showInputMessage="1" showErrorMessage="1" sqref="K67">
      <formula1>0</formula1>
      <formula2>NaN</formula2>
    </dataValidation>
    <dataValidation type="whole" allowBlank="1" showInputMessage="1" showErrorMessage="1" sqref="K68">
      <formula1>0</formula1>
      <formula2>NaN</formula2>
    </dataValidation>
    <dataValidation type="whole" allowBlank="1" showInputMessage="1" showErrorMessage="1" sqref="K9">
      <formula1>0</formula1>
      <formula2>NaN</formula2>
    </dataValidation>
    <dataValidation type="whole" allowBlank="1" showInputMessage="1" showErrorMessage="1" sqref="L10">
      <formula1>0</formula1>
      <formula2>NaN</formula2>
    </dataValidation>
    <dataValidation type="whole" allowBlank="1" showInputMessage="1" showErrorMessage="1" sqref="L11">
      <formula1>0</formula1>
      <formula2>NaN</formula2>
    </dataValidation>
    <dataValidation type="whole" allowBlank="1" showInputMessage="1" showErrorMessage="1" sqref="L12">
      <formula1>0</formula1>
      <formula2>NaN</formula2>
    </dataValidation>
    <dataValidation type="whole" allowBlank="1" showInputMessage="1" showErrorMessage="1" sqref="L13">
      <formula1>0</formula1>
      <formula2>NaN</formula2>
    </dataValidation>
    <dataValidation type="whole" allowBlank="1" showInputMessage="1" showErrorMessage="1" sqref="L14">
      <formula1>0</formula1>
      <formula2>NaN</formula2>
    </dataValidation>
    <dataValidation type="whole" allowBlank="1" showInputMessage="1" showErrorMessage="1" sqref="L15">
      <formula1>0</formula1>
      <formula2>NaN</formula2>
    </dataValidation>
    <dataValidation type="whole" allowBlank="1" showInputMessage="1" showErrorMessage="1" sqref="L16">
      <formula1>0</formula1>
      <formula2>NaN</formula2>
    </dataValidation>
    <dataValidation type="whole" allowBlank="1" showInputMessage="1" showErrorMessage="1" sqref="L17">
      <formula1>0</formula1>
      <formula2>NaN</formula2>
    </dataValidation>
    <dataValidation type="whole" allowBlank="1" showInputMessage="1" showErrorMessage="1" sqref="L18">
      <formula1>0</formula1>
      <formula2>NaN</formula2>
    </dataValidation>
    <dataValidation type="whole" allowBlank="1" showInputMessage="1" showErrorMessage="1" sqref="L19">
      <formula1>0</formula1>
      <formula2>NaN</formula2>
    </dataValidation>
    <dataValidation type="whole" allowBlank="1" showInputMessage="1" showErrorMessage="1" sqref="L20">
      <formula1>0</formula1>
      <formula2>NaN</formula2>
    </dataValidation>
    <dataValidation type="whole" allowBlank="1" showInputMessage="1" showErrorMessage="1" sqref="L21">
      <formula1>0</formula1>
      <formula2>NaN</formula2>
    </dataValidation>
    <dataValidation type="whole" allowBlank="1" showInputMessage="1" showErrorMessage="1" sqref="L22">
      <formula1>0</formula1>
      <formula2>NaN</formula2>
    </dataValidation>
    <dataValidation type="whole" allowBlank="1" showInputMessage="1" showErrorMessage="1" sqref="L23">
      <formula1>0</formula1>
      <formula2>NaN</formula2>
    </dataValidation>
    <dataValidation type="whole" allowBlank="1" showInputMessage="1" showErrorMessage="1" sqref="L24">
      <formula1>0</formula1>
      <formula2>NaN</formula2>
    </dataValidation>
    <dataValidation type="whole" allowBlank="1" showInputMessage="1" showErrorMessage="1" sqref="L25">
      <formula1>0</formula1>
      <formula2>NaN</formula2>
    </dataValidation>
    <dataValidation type="whole" allowBlank="1" showInputMessage="1" showErrorMessage="1" sqref="L26">
      <formula1>0</formula1>
      <formula2>NaN</formula2>
    </dataValidation>
    <dataValidation type="whole" allowBlank="1" showInputMessage="1" showErrorMessage="1" sqref="L27">
      <formula1>0</formula1>
      <formula2>NaN</formula2>
    </dataValidation>
    <dataValidation type="whole" allowBlank="1" showInputMessage="1" showErrorMessage="1" sqref="L28">
      <formula1>0</formula1>
      <formula2>NaN</formula2>
    </dataValidation>
    <dataValidation type="whole" allowBlank="1" showInputMessage="1" showErrorMessage="1" sqref="L29">
      <formula1>0</formula1>
      <formula2>NaN</formula2>
    </dataValidation>
    <dataValidation type="whole" allowBlank="1" showInputMessage="1" showErrorMessage="1" sqref="L30">
      <formula1>0</formula1>
      <formula2>NaN</formula2>
    </dataValidation>
    <dataValidation type="whole" allowBlank="1" showInputMessage="1" showErrorMessage="1" sqref="L31">
      <formula1>0</formula1>
      <formula2>NaN</formula2>
    </dataValidation>
    <dataValidation type="whole" allowBlank="1" showInputMessage="1" showErrorMessage="1" sqref="L32">
      <formula1>0</formula1>
      <formula2>NaN</formula2>
    </dataValidation>
    <dataValidation type="whole" allowBlank="1" showInputMessage="1" showErrorMessage="1" sqref="L33">
      <formula1>0</formula1>
      <formula2>NaN</formula2>
    </dataValidation>
    <dataValidation type="whole" allowBlank="1" showInputMessage="1" showErrorMessage="1" sqref="L34">
      <formula1>0</formula1>
      <formula2>NaN</formula2>
    </dataValidation>
    <dataValidation type="whole" allowBlank="1" showInputMessage="1" showErrorMessage="1" sqref="L35">
      <formula1>0</formula1>
      <formula2>NaN</formula2>
    </dataValidation>
    <dataValidation type="whole" allowBlank="1" showInputMessage="1" showErrorMessage="1" sqref="L36">
      <formula1>0</formula1>
      <formula2>NaN</formula2>
    </dataValidation>
    <dataValidation type="whole" allowBlank="1" showInputMessage="1" showErrorMessage="1" sqref="L37">
      <formula1>0</formula1>
      <formula2>NaN</formula2>
    </dataValidation>
    <dataValidation type="whole" allowBlank="1" showInputMessage="1" showErrorMessage="1" sqref="L38">
      <formula1>0</formula1>
      <formula2>NaN</formula2>
    </dataValidation>
    <dataValidation type="whole" allowBlank="1" showInputMessage="1" showErrorMessage="1" sqref="L39">
      <formula1>0</formula1>
      <formula2>NaN</formula2>
    </dataValidation>
    <dataValidation type="whole" allowBlank="1" showInputMessage="1" showErrorMessage="1" sqref="L40">
      <formula1>0</formula1>
      <formula2>NaN</formula2>
    </dataValidation>
    <dataValidation type="whole" allowBlank="1" showInputMessage="1" showErrorMessage="1" sqref="L41">
      <formula1>0</formula1>
      <formula2>NaN</formula2>
    </dataValidation>
    <dataValidation type="whole" allowBlank="1" showInputMessage="1" showErrorMessage="1" sqref="L42">
      <formula1>0</formula1>
      <formula2>NaN</formula2>
    </dataValidation>
    <dataValidation type="whole" allowBlank="1" showInputMessage="1" showErrorMessage="1" sqref="L43">
      <formula1>0</formula1>
      <formula2>NaN</formula2>
    </dataValidation>
    <dataValidation type="whole" allowBlank="1" showInputMessage="1" showErrorMessage="1" sqref="L44">
      <formula1>0</formula1>
      <formula2>NaN</formula2>
    </dataValidation>
    <dataValidation type="whole" allowBlank="1" showInputMessage="1" showErrorMessage="1" sqref="L45">
      <formula1>0</formula1>
      <formula2>NaN</formula2>
    </dataValidation>
    <dataValidation type="whole" allowBlank="1" showInputMessage="1" showErrorMessage="1" sqref="L46">
      <formula1>0</formula1>
      <formula2>NaN</formula2>
    </dataValidation>
    <dataValidation type="whole" allowBlank="1" showInputMessage="1" showErrorMessage="1" sqref="L47">
      <formula1>0</formula1>
      <formula2>NaN</formula2>
    </dataValidation>
    <dataValidation type="whole" allowBlank="1" showInputMessage="1" showErrorMessage="1" sqref="L48">
      <formula1>0</formula1>
      <formula2>NaN</formula2>
    </dataValidation>
    <dataValidation type="whole" allowBlank="1" showInputMessage="1" showErrorMessage="1" sqref="L49">
      <formula1>0</formula1>
      <formula2>NaN</formula2>
    </dataValidation>
    <dataValidation type="whole" allowBlank="1" showInputMessage="1" showErrorMessage="1" sqref="L50">
      <formula1>0</formula1>
      <formula2>NaN</formula2>
    </dataValidation>
    <dataValidation type="whole" allowBlank="1" showInputMessage="1" showErrorMessage="1" sqref="L51">
      <formula1>0</formula1>
      <formula2>NaN</formula2>
    </dataValidation>
    <dataValidation type="whole" allowBlank="1" showInputMessage="1" showErrorMessage="1" sqref="L52">
      <formula1>0</formula1>
      <formula2>NaN</formula2>
    </dataValidation>
    <dataValidation type="whole" allowBlank="1" showInputMessage="1" showErrorMessage="1" sqref="L53">
      <formula1>0</formula1>
      <formula2>NaN</formula2>
    </dataValidation>
    <dataValidation type="whole" allowBlank="1" showInputMessage="1" showErrorMessage="1" sqref="L54">
      <formula1>0</formula1>
      <formula2>NaN</formula2>
    </dataValidation>
    <dataValidation type="whole" allowBlank="1" showInputMessage="1" showErrorMessage="1" sqref="L55">
      <formula1>0</formula1>
      <formula2>NaN</formula2>
    </dataValidation>
    <dataValidation type="whole" allowBlank="1" showInputMessage="1" showErrorMessage="1" sqref="L56">
      <formula1>0</formula1>
      <formula2>NaN</formula2>
    </dataValidation>
    <dataValidation type="whole" allowBlank="1" showInputMessage="1" showErrorMessage="1" sqref="L57">
      <formula1>0</formula1>
      <formula2>NaN</formula2>
    </dataValidation>
    <dataValidation type="whole" allowBlank="1" showInputMessage="1" showErrorMessage="1" sqref="L58">
      <formula1>0</formula1>
      <formula2>NaN</formula2>
    </dataValidation>
    <dataValidation type="whole" allowBlank="1" showInputMessage="1" showErrorMessage="1" sqref="L59">
      <formula1>0</formula1>
      <formula2>NaN</formula2>
    </dataValidation>
    <dataValidation type="whole" allowBlank="1" showInputMessage="1" showErrorMessage="1" sqref="L60">
      <formula1>0</formula1>
      <formula2>NaN</formula2>
    </dataValidation>
    <dataValidation type="whole" allowBlank="1" showInputMessage="1" showErrorMessage="1" sqref="L61">
      <formula1>0</formula1>
      <formula2>NaN</formula2>
    </dataValidation>
    <dataValidation type="whole" allowBlank="1" showInputMessage="1" showErrorMessage="1" sqref="L62">
      <formula1>0</formula1>
      <formula2>NaN</formula2>
    </dataValidation>
    <dataValidation type="whole" allowBlank="1" showInputMessage="1" showErrorMessage="1" sqref="L63">
      <formula1>0</formula1>
      <formula2>NaN</formula2>
    </dataValidation>
    <dataValidation type="whole" allowBlank="1" showInputMessage="1" showErrorMessage="1" sqref="L64">
      <formula1>0</formula1>
      <formula2>NaN</formula2>
    </dataValidation>
    <dataValidation type="whole" allowBlank="1" showInputMessage="1" showErrorMessage="1" sqref="L65">
      <formula1>0</formula1>
      <formula2>NaN</formula2>
    </dataValidation>
    <dataValidation type="whole" allowBlank="1" showInputMessage="1" showErrorMessage="1" sqref="L66">
      <formula1>0</formula1>
      <formula2>NaN</formula2>
    </dataValidation>
    <dataValidation type="whole" allowBlank="1" showInputMessage="1" showErrorMessage="1" sqref="L67">
      <formula1>0</formula1>
      <formula2>NaN</formula2>
    </dataValidation>
    <dataValidation type="whole" allowBlank="1" showInputMessage="1" showErrorMessage="1" sqref="L68">
      <formula1>0</formula1>
      <formula2>NaN</formula2>
    </dataValidation>
    <dataValidation type="whole" allowBlank="1" showInputMessage="1" showErrorMessage="1" sqref="L9">
      <formula1>0</formula1>
      <formula2>NaN</formula2>
    </dataValidation>
    <dataValidation type="whole" allowBlank="1" showInputMessage="1" showErrorMessage="1" sqref="M10">
      <formula1>0</formula1>
      <formula2>NaN</formula2>
    </dataValidation>
    <dataValidation type="whole" allowBlank="1" showInputMessage="1" showErrorMessage="1" sqref="M11">
      <formula1>0</formula1>
      <formula2>NaN</formula2>
    </dataValidation>
    <dataValidation type="whole" allowBlank="1" showInputMessage="1" showErrorMessage="1" sqref="M12">
      <formula1>0</formula1>
      <formula2>NaN</formula2>
    </dataValidation>
    <dataValidation type="whole" allowBlank="1" showInputMessage="1" showErrorMessage="1" sqref="M13">
      <formula1>0</formula1>
      <formula2>NaN</formula2>
    </dataValidation>
    <dataValidation type="whole" allowBlank="1" showInputMessage="1" showErrorMessage="1" sqref="M14">
      <formula1>0</formula1>
      <formula2>NaN</formula2>
    </dataValidation>
    <dataValidation type="whole" allowBlank="1" showInputMessage="1" showErrorMessage="1" sqref="M15">
      <formula1>0</formula1>
      <formula2>NaN</formula2>
    </dataValidation>
    <dataValidation type="whole" allowBlank="1" showInputMessage="1" showErrorMessage="1" sqref="M16">
      <formula1>0</formula1>
      <formula2>NaN</formula2>
    </dataValidation>
    <dataValidation type="whole" allowBlank="1" showInputMessage="1" showErrorMessage="1" sqref="M17">
      <formula1>0</formula1>
      <formula2>NaN</formula2>
    </dataValidation>
    <dataValidation type="whole" allowBlank="1" showInputMessage="1" showErrorMessage="1" sqref="M18">
      <formula1>0</formula1>
      <formula2>NaN</formula2>
    </dataValidation>
    <dataValidation type="whole" allowBlank="1" showInputMessage="1" showErrorMessage="1" sqref="M19">
      <formula1>0</formula1>
      <formula2>NaN</formula2>
    </dataValidation>
    <dataValidation type="whole" allowBlank="1" showInputMessage="1" showErrorMessage="1" sqref="M20">
      <formula1>0</formula1>
      <formula2>NaN</formula2>
    </dataValidation>
    <dataValidation type="whole" allowBlank="1" showInputMessage="1" showErrorMessage="1" sqref="M21">
      <formula1>0</formula1>
      <formula2>NaN</formula2>
    </dataValidation>
    <dataValidation type="whole" allowBlank="1" showInputMessage="1" showErrorMessage="1" sqref="M22">
      <formula1>0</formula1>
      <formula2>NaN</formula2>
    </dataValidation>
    <dataValidation type="whole" allowBlank="1" showInputMessage="1" showErrorMessage="1" sqref="M23">
      <formula1>0</formula1>
      <formula2>NaN</formula2>
    </dataValidation>
    <dataValidation type="whole" allowBlank="1" showInputMessage="1" showErrorMessage="1" sqref="M24">
      <formula1>0</formula1>
      <formula2>NaN</formula2>
    </dataValidation>
    <dataValidation type="whole" allowBlank="1" showInputMessage="1" showErrorMessage="1" sqref="M25">
      <formula1>0</formula1>
      <formula2>NaN</formula2>
    </dataValidation>
    <dataValidation type="whole" allowBlank="1" showInputMessage="1" showErrorMessage="1" sqref="M26">
      <formula1>0</formula1>
      <formula2>NaN</formula2>
    </dataValidation>
    <dataValidation type="whole" allowBlank="1" showInputMessage="1" showErrorMessage="1" sqref="M27">
      <formula1>0</formula1>
      <formula2>NaN</formula2>
    </dataValidation>
    <dataValidation type="whole" allowBlank="1" showInputMessage="1" showErrorMessage="1" sqref="M28">
      <formula1>0</formula1>
      <formula2>NaN</formula2>
    </dataValidation>
    <dataValidation type="whole" allowBlank="1" showInputMessage="1" showErrorMessage="1" sqref="M29">
      <formula1>0</formula1>
      <formula2>NaN</formula2>
    </dataValidation>
    <dataValidation type="whole" allowBlank="1" showInputMessage="1" showErrorMessage="1" sqref="M30">
      <formula1>0</formula1>
      <formula2>NaN</formula2>
    </dataValidation>
    <dataValidation type="whole" allowBlank="1" showInputMessage="1" showErrorMessage="1" sqref="M31">
      <formula1>0</formula1>
      <formula2>NaN</formula2>
    </dataValidation>
    <dataValidation type="whole" allowBlank="1" showInputMessage="1" showErrorMessage="1" sqref="M32">
      <formula1>0</formula1>
      <formula2>NaN</formula2>
    </dataValidation>
    <dataValidation type="whole" allowBlank="1" showInputMessage="1" showErrorMessage="1" sqref="M33">
      <formula1>0</formula1>
      <formula2>NaN</formula2>
    </dataValidation>
    <dataValidation type="whole" allowBlank="1" showInputMessage="1" showErrorMessage="1" sqref="M34">
      <formula1>0</formula1>
      <formula2>NaN</formula2>
    </dataValidation>
    <dataValidation type="whole" allowBlank="1" showInputMessage="1" showErrorMessage="1" sqref="M35">
      <formula1>0</formula1>
      <formula2>NaN</formula2>
    </dataValidation>
    <dataValidation type="whole" allowBlank="1" showInputMessage="1" showErrorMessage="1" sqref="M36">
      <formula1>0</formula1>
      <formula2>NaN</formula2>
    </dataValidation>
    <dataValidation type="whole" allowBlank="1" showInputMessage="1" showErrorMessage="1" sqref="M37">
      <formula1>0</formula1>
      <formula2>NaN</formula2>
    </dataValidation>
    <dataValidation type="whole" allowBlank="1" showInputMessage="1" showErrorMessage="1" sqref="M38">
      <formula1>0</formula1>
      <formula2>NaN</formula2>
    </dataValidation>
    <dataValidation type="whole" allowBlank="1" showInputMessage="1" showErrorMessage="1" sqref="M39">
      <formula1>0</formula1>
      <formula2>NaN</formula2>
    </dataValidation>
    <dataValidation type="whole" allowBlank="1" showInputMessage="1" showErrorMessage="1" sqref="M40">
      <formula1>0</formula1>
      <formula2>NaN</formula2>
    </dataValidation>
    <dataValidation type="whole" allowBlank="1" showInputMessage="1" showErrorMessage="1" sqref="M41">
      <formula1>0</formula1>
      <formula2>NaN</formula2>
    </dataValidation>
    <dataValidation type="whole" allowBlank="1" showInputMessage="1" showErrorMessage="1" sqref="M42">
      <formula1>0</formula1>
      <formula2>NaN</formula2>
    </dataValidation>
    <dataValidation type="whole" allowBlank="1" showInputMessage="1" showErrorMessage="1" sqref="M43">
      <formula1>0</formula1>
      <formula2>NaN</formula2>
    </dataValidation>
    <dataValidation type="whole" allowBlank="1" showInputMessage="1" showErrorMessage="1" sqref="M44">
      <formula1>0</formula1>
      <formula2>NaN</formula2>
    </dataValidation>
    <dataValidation type="whole" allowBlank="1" showInputMessage="1" showErrorMessage="1" sqref="M45">
      <formula1>0</formula1>
      <formula2>NaN</formula2>
    </dataValidation>
    <dataValidation type="whole" allowBlank="1" showInputMessage="1" showErrorMessage="1" sqref="M46">
      <formula1>0</formula1>
      <formula2>NaN</formula2>
    </dataValidation>
    <dataValidation type="whole" allowBlank="1" showInputMessage="1" showErrorMessage="1" sqref="M47">
      <formula1>0</formula1>
      <formula2>NaN</formula2>
    </dataValidation>
    <dataValidation type="whole" allowBlank="1" showInputMessage="1" showErrorMessage="1" sqref="M48">
      <formula1>0</formula1>
      <formula2>NaN</formula2>
    </dataValidation>
    <dataValidation type="whole" allowBlank="1" showInputMessage="1" showErrorMessage="1" sqref="M49">
      <formula1>0</formula1>
      <formula2>NaN</formula2>
    </dataValidation>
    <dataValidation type="whole" allowBlank="1" showInputMessage="1" showErrorMessage="1" sqref="M50">
      <formula1>0</formula1>
      <formula2>NaN</formula2>
    </dataValidation>
    <dataValidation type="whole" allowBlank="1" showInputMessage="1" showErrorMessage="1" sqref="M51">
      <formula1>0</formula1>
      <formula2>NaN</formula2>
    </dataValidation>
    <dataValidation type="whole" allowBlank="1" showInputMessage="1" showErrorMessage="1" sqref="M52">
      <formula1>0</formula1>
      <formula2>NaN</formula2>
    </dataValidation>
    <dataValidation type="whole" allowBlank="1" showInputMessage="1" showErrorMessage="1" sqref="M53">
      <formula1>0</formula1>
      <formula2>NaN</formula2>
    </dataValidation>
    <dataValidation type="whole" allowBlank="1" showInputMessage="1" showErrorMessage="1" sqref="M54">
      <formula1>0</formula1>
      <formula2>NaN</formula2>
    </dataValidation>
    <dataValidation type="whole" allowBlank="1" showInputMessage="1" showErrorMessage="1" sqref="M55">
      <formula1>0</formula1>
      <formula2>NaN</formula2>
    </dataValidation>
    <dataValidation type="whole" allowBlank="1" showInputMessage="1" showErrorMessage="1" sqref="M56">
      <formula1>0</formula1>
      <formula2>NaN</formula2>
    </dataValidation>
    <dataValidation type="whole" allowBlank="1" showInputMessage="1" showErrorMessage="1" sqref="M57">
      <formula1>0</formula1>
      <formula2>NaN</formula2>
    </dataValidation>
    <dataValidation type="whole" allowBlank="1" showInputMessage="1" showErrorMessage="1" sqref="M58">
      <formula1>0</formula1>
      <formula2>NaN</formula2>
    </dataValidation>
    <dataValidation type="whole" allowBlank="1" showInputMessage="1" showErrorMessage="1" sqref="M59">
      <formula1>0</formula1>
      <formula2>NaN</formula2>
    </dataValidation>
    <dataValidation type="whole" allowBlank="1" showInputMessage="1" showErrorMessage="1" sqref="M60">
      <formula1>0</formula1>
      <formula2>NaN</formula2>
    </dataValidation>
    <dataValidation type="whole" allowBlank="1" showInputMessage="1" showErrorMessage="1" sqref="M61">
      <formula1>0</formula1>
      <formula2>NaN</formula2>
    </dataValidation>
    <dataValidation type="whole" allowBlank="1" showInputMessage="1" showErrorMessage="1" sqref="M62">
      <formula1>0</formula1>
      <formula2>NaN</formula2>
    </dataValidation>
    <dataValidation type="whole" allowBlank="1" showInputMessage="1" showErrorMessage="1" sqref="M63">
      <formula1>0</formula1>
      <formula2>NaN</formula2>
    </dataValidation>
    <dataValidation type="whole" allowBlank="1" showInputMessage="1" showErrorMessage="1" sqref="M64">
      <formula1>0</formula1>
      <formula2>NaN</formula2>
    </dataValidation>
    <dataValidation type="whole" allowBlank="1" showInputMessage="1" showErrorMessage="1" sqref="M65">
      <formula1>0</formula1>
      <formula2>NaN</formula2>
    </dataValidation>
    <dataValidation type="whole" allowBlank="1" showInputMessage="1" showErrorMessage="1" sqref="M66">
      <formula1>0</formula1>
      <formula2>NaN</formula2>
    </dataValidation>
    <dataValidation type="whole" allowBlank="1" showInputMessage="1" showErrorMessage="1" sqref="M67">
      <formula1>0</formula1>
      <formula2>NaN</formula2>
    </dataValidation>
    <dataValidation type="whole" allowBlank="1" showInputMessage="1" showErrorMessage="1" sqref="M68">
      <formula1>0</formula1>
      <formula2>NaN</formula2>
    </dataValidation>
    <dataValidation type="whole" allowBlank="1" showInputMessage="1" showErrorMessage="1" sqref="M9">
      <formula1>0</formula1>
      <formula2>NaN</formula2>
    </dataValidation>
    <dataValidation type="whole" allowBlank="1" showInputMessage="1" showErrorMessage="1" sqref="N10">
      <formula1>0</formula1>
      <formula2>NaN</formula2>
    </dataValidation>
    <dataValidation type="whole" allowBlank="1" showInputMessage="1" showErrorMessage="1" sqref="N11">
      <formula1>0</formula1>
      <formula2>NaN</formula2>
    </dataValidation>
    <dataValidation type="whole" allowBlank="1" showInputMessage="1" showErrorMessage="1" sqref="N12">
      <formula1>0</formula1>
      <formula2>NaN</formula2>
    </dataValidation>
    <dataValidation type="whole" allowBlank="1" showInputMessage="1" showErrorMessage="1" sqref="N13">
      <formula1>0</formula1>
      <formula2>NaN</formula2>
    </dataValidation>
    <dataValidation type="whole" allowBlank="1" showInputMessage="1" showErrorMessage="1" sqref="N14">
      <formula1>0</formula1>
      <formula2>NaN</formula2>
    </dataValidation>
    <dataValidation type="whole" allowBlank="1" showInputMessage="1" showErrorMessage="1" sqref="N15">
      <formula1>0</formula1>
      <formula2>NaN</formula2>
    </dataValidation>
    <dataValidation type="whole" allowBlank="1" showInputMessage="1" showErrorMessage="1" sqref="N16">
      <formula1>0</formula1>
      <formula2>NaN</formula2>
    </dataValidation>
    <dataValidation type="whole" allowBlank="1" showInputMessage="1" showErrorMessage="1" sqref="N17">
      <formula1>0</formula1>
      <formula2>NaN</formula2>
    </dataValidation>
    <dataValidation type="whole" allowBlank="1" showInputMessage="1" showErrorMessage="1" sqref="N18">
      <formula1>0</formula1>
      <formula2>NaN</formula2>
    </dataValidation>
    <dataValidation type="whole" allowBlank="1" showInputMessage="1" showErrorMessage="1" sqref="N19">
      <formula1>0</formula1>
      <formula2>NaN</formula2>
    </dataValidation>
    <dataValidation type="whole" allowBlank="1" showInputMessage="1" showErrorMessage="1" sqref="N20">
      <formula1>0</formula1>
      <formula2>NaN</formula2>
    </dataValidation>
    <dataValidation type="whole" allowBlank="1" showInputMessage="1" showErrorMessage="1" sqref="N21">
      <formula1>0</formula1>
      <formula2>NaN</formula2>
    </dataValidation>
    <dataValidation type="whole" allowBlank="1" showInputMessage="1" showErrorMessage="1" sqref="N22">
      <formula1>0</formula1>
      <formula2>NaN</formula2>
    </dataValidation>
    <dataValidation type="whole" allowBlank="1" showInputMessage="1" showErrorMessage="1" sqref="N23">
      <formula1>0</formula1>
      <formula2>NaN</formula2>
    </dataValidation>
    <dataValidation type="whole" allowBlank="1" showInputMessage="1" showErrorMessage="1" sqref="N24">
      <formula1>0</formula1>
      <formula2>NaN</formula2>
    </dataValidation>
    <dataValidation type="whole" allowBlank="1" showInputMessage="1" showErrorMessage="1" sqref="N25">
      <formula1>0</formula1>
      <formula2>NaN</formula2>
    </dataValidation>
    <dataValidation type="whole" allowBlank="1" showInputMessage="1" showErrorMessage="1" sqref="N26">
      <formula1>0</formula1>
      <formula2>NaN</formula2>
    </dataValidation>
    <dataValidation type="whole" allowBlank="1" showInputMessage="1" showErrorMessage="1" sqref="N27">
      <formula1>0</formula1>
      <formula2>NaN</formula2>
    </dataValidation>
    <dataValidation type="whole" allowBlank="1" showInputMessage="1" showErrorMessage="1" sqref="N28">
      <formula1>0</formula1>
      <formula2>NaN</formula2>
    </dataValidation>
    <dataValidation type="whole" allowBlank="1" showInputMessage="1" showErrorMessage="1" sqref="N29">
      <formula1>0</formula1>
      <formula2>NaN</formula2>
    </dataValidation>
    <dataValidation type="whole" allowBlank="1" showInputMessage="1" showErrorMessage="1" sqref="N30">
      <formula1>0</formula1>
      <formula2>NaN</formula2>
    </dataValidation>
    <dataValidation type="whole" allowBlank="1" showInputMessage="1" showErrorMessage="1" sqref="N31">
      <formula1>0</formula1>
      <formula2>NaN</formula2>
    </dataValidation>
    <dataValidation type="whole" allowBlank="1" showInputMessage="1" showErrorMessage="1" sqref="N32">
      <formula1>0</formula1>
      <formula2>NaN</formula2>
    </dataValidation>
    <dataValidation type="whole" allowBlank="1" showInputMessage="1" showErrorMessage="1" sqref="N33">
      <formula1>0</formula1>
      <formula2>NaN</formula2>
    </dataValidation>
    <dataValidation type="whole" allowBlank="1" showInputMessage="1" showErrorMessage="1" sqref="N34">
      <formula1>0</formula1>
      <formula2>NaN</formula2>
    </dataValidation>
    <dataValidation type="whole" allowBlank="1" showInputMessage="1" showErrorMessage="1" sqref="N35">
      <formula1>0</formula1>
      <formula2>NaN</formula2>
    </dataValidation>
    <dataValidation type="whole" allowBlank="1" showInputMessage="1" showErrorMessage="1" sqref="N36">
      <formula1>0</formula1>
      <formula2>NaN</formula2>
    </dataValidation>
    <dataValidation type="whole" allowBlank="1" showInputMessage="1" showErrorMessage="1" sqref="N37">
      <formula1>0</formula1>
      <formula2>NaN</formula2>
    </dataValidation>
    <dataValidation type="whole" allowBlank="1" showInputMessage="1" showErrorMessage="1" sqref="N38">
      <formula1>0</formula1>
      <formula2>NaN</formula2>
    </dataValidation>
    <dataValidation type="whole" allowBlank="1" showInputMessage="1" showErrorMessage="1" sqref="N39">
      <formula1>0</formula1>
      <formula2>NaN</formula2>
    </dataValidation>
    <dataValidation type="whole" allowBlank="1" showInputMessage="1" showErrorMessage="1" sqref="N40">
      <formula1>0</formula1>
      <formula2>NaN</formula2>
    </dataValidation>
    <dataValidation type="whole" allowBlank="1" showInputMessage="1" showErrorMessage="1" sqref="N41">
      <formula1>0</formula1>
      <formula2>NaN</formula2>
    </dataValidation>
    <dataValidation type="whole" allowBlank="1" showInputMessage="1" showErrorMessage="1" sqref="N42">
      <formula1>0</formula1>
      <formula2>NaN</formula2>
    </dataValidation>
    <dataValidation type="whole" allowBlank="1" showInputMessage="1" showErrorMessage="1" sqref="N43">
      <formula1>0</formula1>
      <formula2>NaN</formula2>
    </dataValidation>
    <dataValidation type="whole" allowBlank="1" showInputMessage="1" showErrorMessage="1" sqref="N44">
      <formula1>0</formula1>
      <formula2>NaN</formula2>
    </dataValidation>
    <dataValidation type="whole" allowBlank="1" showInputMessage="1" showErrorMessage="1" sqref="N45">
      <formula1>0</formula1>
      <formula2>NaN</formula2>
    </dataValidation>
    <dataValidation type="whole" allowBlank="1" showInputMessage="1" showErrorMessage="1" sqref="N46">
      <formula1>0</formula1>
      <formula2>NaN</formula2>
    </dataValidation>
    <dataValidation type="whole" allowBlank="1" showInputMessage="1" showErrorMessage="1" sqref="N47">
      <formula1>0</formula1>
      <formula2>NaN</formula2>
    </dataValidation>
    <dataValidation type="whole" allowBlank="1" showInputMessage="1" showErrorMessage="1" sqref="N48">
      <formula1>0</formula1>
      <formula2>NaN</formula2>
    </dataValidation>
    <dataValidation type="whole" allowBlank="1" showInputMessage="1" showErrorMessage="1" sqref="N49">
      <formula1>0</formula1>
      <formula2>NaN</formula2>
    </dataValidation>
    <dataValidation type="whole" allowBlank="1" showInputMessage="1" showErrorMessage="1" sqref="N50">
      <formula1>0</formula1>
      <formula2>NaN</formula2>
    </dataValidation>
    <dataValidation type="whole" allowBlank="1" showInputMessage="1" showErrorMessage="1" sqref="N51">
      <formula1>0</formula1>
      <formula2>NaN</formula2>
    </dataValidation>
    <dataValidation type="whole" allowBlank="1" showInputMessage="1" showErrorMessage="1" sqref="N52">
      <formula1>0</formula1>
      <formula2>NaN</formula2>
    </dataValidation>
    <dataValidation type="whole" allowBlank="1" showInputMessage="1" showErrorMessage="1" sqref="N53">
      <formula1>0</formula1>
      <formula2>NaN</formula2>
    </dataValidation>
    <dataValidation type="whole" allowBlank="1" showInputMessage="1" showErrorMessage="1" sqref="N54">
      <formula1>0</formula1>
      <formula2>NaN</formula2>
    </dataValidation>
    <dataValidation type="whole" allowBlank="1" showInputMessage="1" showErrorMessage="1" sqref="N55">
      <formula1>0</formula1>
      <formula2>NaN</formula2>
    </dataValidation>
    <dataValidation type="whole" allowBlank="1" showInputMessage="1" showErrorMessage="1" sqref="N56">
      <formula1>0</formula1>
      <formula2>NaN</formula2>
    </dataValidation>
    <dataValidation type="whole" allowBlank="1" showInputMessage="1" showErrorMessage="1" sqref="N57">
      <formula1>0</formula1>
      <formula2>NaN</formula2>
    </dataValidation>
    <dataValidation type="whole" allowBlank="1" showInputMessage="1" showErrorMessage="1" sqref="N58">
      <formula1>0</formula1>
      <formula2>NaN</formula2>
    </dataValidation>
    <dataValidation type="whole" allowBlank="1" showInputMessage="1" showErrorMessage="1" sqref="N59">
      <formula1>0</formula1>
      <formula2>NaN</formula2>
    </dataValidation>
    <dataValidation type="whole" allowBlank="1" showInputMessage="1" showErrorMessage="1" sqref="N60">
      <formula1>0</formula1>
      <formula2>NaN</formula2>
    </dataValidation>
    <dataValidation type="whole" allowBlank="1" showInputMessage="1" showErrorMessage="1" sqref="N61">
      <formula1>0</formula1>
      <formula2>NaN</formula2>
    </dataValidation>
    <dataValidation type="whole" allowBlank="1" showInputMessage="1" showErrorMessage="1" sqref="N62">
      <formula1>0</formula1>
      <formula2>NaN</formula2>
    </dataValidation>
    <dataValidation type="whole" allowBlank="1" showInputMessage="1" showErrorMessage="1" sqref="N63">
      <formula1>0</formula1>
      <formula2>NaN</formula2>
    </dataValidation>
    <dataValidation type="whole" allowBlank="1" showInputMessage="1" showErrorMessage="1" sqref="N64">
      <formula1>0</formula1>
      <formula2>NaN</formula2>
    </dataValidation>
    <dataValidation type="whole" allowBlank="1" showInputMessage="1" showErrorMessage="1" sqref="N65">
      <formula1>0</formula1>
      <formula2>NaN</formula2>
    </dataValidation>
    <dataValidation type="whole" allowBlank="1" showInputMessage="1" showErrorMessage="1" sqref="N66">
      <formula1>0</formula1>
      <formula2>NaN</formula2>
    </dataValidation>
    <dataValidation type="whole" allowBlank="1" showInputMessage="1" showErrorMessage="1" sqref="N67">
      <formula1>0</formula1>
      <formula2>NaN</formula2>
    </dataValidation>
    <dataValidation type="whole" allowBlank="1" showInputMessage="1" showErrorMessage="1" sqref="N68">
      <formula1>0</formula1>
      <formula2>NaN</formula2>
    </dataValidation>
    <dataValidation type="whole" allowBlank="1" showInputMessage="1" showErrorMessage="1" sqref="N9">
      <formula1>0</formula1>
      <formula2>NaN</formula2>
    </dataValidation>
    <dataValidation type="whole" allowBlank="1" showInputMessage="1" showErrorMessage="1" sqref="O10">
      <formula1>0</formula1>
      <formula2>NaN</formula2>
    </dataValidation>
    <dataValidation type="whole" allowBlank="1" showInputMessage="1" showErrorMessage="1" sqref="O11">
      <formula1>0</formula1>
      <formula2>NaN</formula2>
    </dataValidation>
    <dataValidation type="whole" allowBlank="1" showInputMessage="1" showErrorMessage="1" sqref="O12">
      <formula1>0</formula1>
      <formula2>NaN</formula2>
    </dataValidation>
    <dataValidation type="whole" allowBlank="1" showInputMessage="1" showErrorMessage="1" sqref="O13">
      <formula1>0</formula1>
      <formula2>NaN</formula2>
    </dataValidation>
    <dataValidation type="whole" allowBlank="1" showInputMessage="1" showErrorMessage="1" sqref="O14">
      <formula1>0</formula1>
      <formula2>NaN</formula2>
    </dataValidation>
    <dataValidation type="whole" allowBlank="1" showInputMessage="1" showErrorMessage="1" sqref="O15">
      <formula1>0</formula1>
      <formula2>NaN</formula2>
    </dataValidation>
    <dataValidation type="whole" allowBlank="1" showInputMessage="1" showErrorMessage="1" sqref="O16">
      <formula1>0</formula1>
      <formula2>NaN</formula2>
    </dataValidation>
    <dataValidation type="whole" allowBlank="1" showInputMessage="1" showErrorMessage="1" sqref="O17">
      <formula1>0</formula1>
      <formula2>NaN</formula2>
    </dataValidation>
    <dataValidation type="whole" allowBlank="1" showInputMessage="1" showErrorMessage="1" sqref="O18">
      <formula1>0</formula1>
      <formula2>NaN</formula2>
    </dataValidation>
    <dataValidation type="whole" allowBlank="1" showInputMessage="1" showErrorMessage="1" sqref="O19">
      <formula1>0</formula1>
      <formula2>NaN</formula2>
    </dataValidation>
    <dataValidation type="whole" allowBlank="1" showInputMessage="1" showErrorMessage="1" sqref="O20">
      <formula1>0</formula1>
      <formula2>NaN</formula2>
    </dataValidation>
    <dataValidation type="whole" allowBlank="1" showInputMessage="1" showErrorMessage="1" sqref="O21">
      <formula1>0</formula1>
      <formula2>NaN</formula2>
    </dataValidation>
    <dataValidation type="whole" allowBlank="1" showInputMessage="1" showErrorMessage="1" sqref="O22">
      <formula1>0</formula1>
      <formula2>NaN</formula2>
    </dataValidation>
    <dataValidation type="whole" allowBlank="1" showInputMessage="1" showErrorMessage="1" sqref="O23">
      <formula1>0</formula1>
      <formula2>NaN</formula2>
    </dataValidation>
    <dataValidation type="whole" allowBlank="1" showInputMessage="1" showErrorMessage="1" sqref="O24">
      <formula1>0</formula1>
      <formula2>NaN</formula2>
    </dataValidation>
    <dataValidation type="whole" allowBlank="1" showInputMessage="1" showErrorMessage="1" sqref="O25">
      <formula1>0</formula1>
      <formula2>NaN</formula2>
    </dataValidation>
    <dataValidation type="whole" allowBlank="1" showInputMessage="1" showErrorMessage="1" sqref="O26">
      <formula1>0</formula1>
      <formula2>NaN</formula2>
    </dataValidation>
    <dataValidation type="whole" allowBlank="1" showInputMessage="1" showErrorMessage="1" sqref="O27">
      <formula1>0</formula1>
      <formula2>NaN</formula2>
    </dataValidation>
    <dataValidation type="whole" allowBlank="1" showInputMessage="1" showErrorMessage="1" sqref="O28">
      <formula1>0</formula1>
      <formula2>NaN</formula2>
    </dataValidation>
    <dataValidation type="whole" allowBlank="1" showInputMessage="1" showErrorMessage="1" sqref="O29">
      <formula1>0</formula1>
      <formula2>NaN</formula2>
    </dataValidation>
    <dataValidation type="whole" allowBlank="1" showInputMessage="1" showErrorMessage="1" sqref="O30">
      <formula1>0</formula1>
      <formula2>NaN</formula2>
    </dataValidation>
    <dataValidation type="whole" allowBlank="1" showInputMessage="1" showErrorMessage="1" sqref="O31">
      <formula1>0</formula1>
      <formula2>NaN</formula2>
    </dataValidation>
    <dataValidation type="whole" allowBlank="1" showInputMessage="1" showErrorMessage="1" sqref="O32">
      <formula1>0</formula1>
      <formula2>NaN</formula2>
    </dataValidation>
    <dataValidation type="whole" allowBlank="1" showInputMessage="1" showErrorMessage="1" sqref="O33">
      <formula1>0</formula1>
      <formula2>NaN</formula2>
    </dataValidation>
    <dataValidation type="whole" allowBlank="1" showInputMessage="1" showErrorMessage="1" sqref="O34">
      <formula1>0</formula1>
      <formula2>NaN</formula2>
    </dataValidation>
    <dataValidation type="whole" allowBlank="1" showInputMessage="1" showErrorMessage="1" sqref="O35">
      <formula1>0</formula1>
      <formula2>NaN</formula2>
    </dataValidation>
    <dataValidation type="whole" allowBlank="1" showInputMessage="1" showErrorMessage="1" sqref="O36">
      <formula1>0</formula1>
      <formula2>NaN</formula2>
    </dataValidation>
    <dataValidation type="whole" allowBlank="1" showInputMessage="1" showErrorMessage="1" sqref="O37">
      <formula1>0</formula1>
      <formula2>NaN</formula2>
    </dataValidation>
    <dataValidation type="whole" allowBlank="1" showInputMessage="1" showErrorMessage="1" sqref="O38">
      <formula1>0</formula1>
      <formula2>NaN</formula2>
    </dataValidation>
    <dataValidation type="whole" allowBlank="1" showInputMessage="1" showErrorMessage="1" sqref="O39">
      <formula1>0</formula1>
      <formula2>NaN</formula2>
    </dataValidation>
    <dataValidation type="whole" allowBlank="1" showInputMessage="1" showErrorMessage="1" sqref="O40">
      <formula1>0</formula1>
      <formula2>NaN</formula2>
    </dataValidation>
    <dataValidation type="whole" allowBlank="1" showInputMessage="1" showErrorMessage="1" sqref="O41">
      <formula1>0</formula1>
      <formula2>NaN</formula2>
    </dataValidation>
    <dataValidation type="whole" allowBlank="1" showInputMessage="1" showErrorMessage="1" sqref="O42">
      <formula1>0</formula1>
      <formula2>NaN</formula2>
    </dataValidation>
    <dataValidation type="whole" allowBlank="1" showInputMessage="1" showErrorMessage="1" sqref="O43">
      <formula1>0</formula1>
      <formula2>NaN</formula2>
    </dataValidation>
    <dataValidation type="whole" allowBlank="1" showInputMessage="1" showErrorMessage="1" sqref="O44">
      <formula1>0</formula1>
      <formula2>NaN</formula2>
    </dataValidation>
    <dataValidation type="whole" allowBlank="1" showInputMessage="1" showErrorMessage="1" sqref="O45">
      <formula1>0</formula1>
      <formula2>NaN</formula2>
    </dataValidation>
    <dataValidation type="whole" allowBlank="1" showInputMessage="1" showErrorMessage="1" sqref="O46">
      <formula1>0</formula1>
      <formula2>NaN</formula2>
    </dataValidation>
    <dataValidation type="whole" allowBlank="1" showInputMessage="1" showErrorMessage="1" sqref="O47">
      <formula1>0</formula1>
      <formula2>NaN</formula2>
    </dataValidation>
    <dataValidation type="whole" allowBlank="1" showInputMessage="1" showErrorMessage="1" sqref="O48">
      <formula1>0</formula1>
      <formula2>NaN</formula2>
    </dataValidation>
    <dataValidation type="whole" allowBlank="1" showInputMessage="1" showErrorMessage="1" sqref="O49">
      <formula1>0</formula1>
      <formula2>NaN</formula2>
    </dataValidation>
    <dataValidation type="whole" allowBlank="1" showInputMessage="1" showErrorMessage="1" sqref="O50">
      <formula1>0</formula1>
      <formula2>NaN</formula2>
    </dataValidation>
    <dataValidation type="whole" allowBlank="1" showInputMessage="1" showErrorMessage="1" sqref="O51">
      <formula1>0</formula1>
      <formula2>NaN</formula2>
    </dataValidation>
    <dataValidation type="whole" allowBlank="1" showInputMessage="1" showErrorMessage="1" sqref="O52">
      <formula1>0</formula1>
      <formula2>NaN</formula2>
    </dataValidation>
    <dataValidation type="whole" allowBlank="1" showInputMessage="1" showErrorMessage="1" sqref="O53">
      <formula1>0</formula1>
      <formula2>NaN</formula2>
    </dataValidation>
    <dataValidation type="whole" allowBlank="1" showInputMessage="1" showErrorMessage="1" sqref="O54">
      <formula1>0</formula1>
      <formula2>NaN</formula2>
    </dataValidation>
    <dataValidation type="whole" allowBlank="1" showInputMessage="1" showErrorMessage="1" sqref="O55">
      <formula1>0</formula1>
      <formula2>NaN</formula2>
    </dataValidation>
    <dataValidation type="whole" allowBlank="1" showInputMessage="1" showErrorMessage="1" sqref="O56">
      <formula1>0</formula1>
      <formula2>NaN</formula2>
    </dataValidation>
    <dataValidation type="whole" allowBlank="1" showInputMessage="1" showErrorMessage="1" sqref="O57">
      <formula1>0</formula1>
      <formula2>NaN</formula2>
    </dataValidation>
    <dataValidation type="whole" allowBlank="1" showInputMessage="1" showErrorMessage="1" sqref="O58">
      <formula1>0</formula1>
      <formula2>NaN</formula2>
    </dataValidation>
    <dataValidation type="whole" allowBlank="1" showInputMessage="1" showErrorMessage="1" sqref="O59">
      <formula1>0</formula1>
      <formula2>NaN</formula2>
    </dataValidation>
    <dataValidation type="whole" allowBlank="1" showInputMessage="1" showErrorMessage="1" sqref="O60">
      <formula1>0</formula1>
      <formula2>NaN</formula2>
    </dataValidation>
    <dataValidation type="whole" allowBlank="1" showInputMessage="1" showErrorMessage="1" sqref="O61">
      <formula1>0</formula1>
      <formula2>NaN</formula2>
    </dataValidation>
    <dataValidation type="whole" allowBlank="1" showInputMessage="1" showErrorMessage="1" sqref="O62">
      <formula1>0</formula1>
      <formula2>NaN</formula2>
    </dataValidation>
    <dataValidation type="whole" allowBlank="1" showInputMessage="1" showErrorMessage="1" sqref="O63">
      <formula1>0</formula1>
      <formula2>NaN</formula2>
    </dataValidation>
    <dataValidation type="whole" allowBlank="1" showInputMessage="1" showErrorMessage="1" sqref="O64">
      <formula1>0</formula1>
      <formula2>NaN</formula2>
    </dataValidation>
    <dataValidation type="whole" allowBlank="1" showInputMessage="1" showErrorMessage="1" sqref="O65">
      <formula1>0</formula1>
      <formula2>NaN</formula2>
    </dataValidation>
    <dataValidation type="whole" allowBlank="1" showInputMessage="1" showErrorMessage="1" sqref="O66">
      <formula1>0</formula1>
      <formula2>NaN</formula2>
    </dataValidation>
    <dataValidation type="whole" allowBlank="1" showInputMessage="1" showErrorMessage="1" sqref="O67">
      <formula1>0</formula1>
      <formula2>NaN</formula2>
    </dataValidation>
    <dataValidation type="whole" allowBlank="1" showInputMessage="1" showErrorMessage="1" sqref="O68">
      <formula1>0</formula1>
      <formula2>NaN</formula2>
    </dataValidation>
    <dataValidation type="whole" allowBlank="1" showInputMessage="1" showErrorMessage="1" sqref="O9">
      <formula1>0</formula1>
      <formula2>NaN</formula2>
    </dataValidation>
    <dataValidation type="whole" allowBlank="1" showInputMessage="1" showErrorMessage="1" sqref="P10">
      <formula1>0</formula1>
      <formula2>NaN</formula2>
    </dataValidation>
    <dataValidation type="whole" allowBlank="1" showInputMessage="1" showErrorMessage="1" sqref="P11">
      <formula1>0</formula1>
      <formula2>NaN</formula2>
    </dataValidation>
    <dataValidation type="whole" allowBlank="1" showInputMessage="1" showErrorMessage="1" sqref="P12">
      <formula1>0</formula1>
      <formula2>NaN</formula2>
    </dataValidation>
    <dataValidation type="whole" allowBlank="1" showInputMessage="1" showErrorMessage="1" sqref="P13">
      <formula1>0</formula1>
      <formula2>NaN</formula2>
    </dataValidation>
    <dataValidation type="whole" allowBlank="1" showInputMessage="1" showErrorMessage="1" sqref="P14">
      <formula1>0</formula1>
      <formula2>NaN</formula2>
    </dataValidation>
    <dataValidation type="whole" allowBlank="1" showInputMessage="1" showErrorMessage="1" sqref="P15">
      <formula1>0</formula1>
      <formula2>NaN</formula2>
    </dataValidation>
    <dataValidation type="whole" allowBlank="1" showInputMessage="1" showErrorMessage="1" sqref="P16">
      <formula1>0</formula1>
      <formula2>NaN</formula2>
    </dataValidation>
    <dataValidation type="whole" allowBlank="1" showInputMessage="1" showErrorMessage="1" sqref="P17">
      <formula1>0</formula1>
      <formula2>NaN</formula2>
    </dataValidation>
    <dataValidation type="whole" allowBlank="1" showInputMessage="1" showErrorMessage="1" sqref="P18">
      <formula1>0</formula1>
      <formula2>NaN</formula2>
    </dataValidation>
    <dataValidation type="whole" allowBlank="1" showInputMessage="1" showErrorMessage="1" sqref="P19">
      <formula1>0</formula1>
      <formula2>NaN</formula2>
    </dataValidation>
    <dataValidation type="whole" allowBlank="1" showInputMessage="1" showErrorMessage="1" sqref="P20">
      <formula1>0</formula1>
      <formula2>NaN</formula2>
    </dataValidation>
    <dataValidation type="whole" allowBlank="1" showInputMessage="1" showErrorMessage="1" sqref="P21">
      <formula1>0</formula1>
      <formula2>NaN</formula2>
    </dataValidation>
    <dataValidation type="whole" allowBlank="1" showInputMessage="1" showErrorMessage="1" sqref="P22">
      <formula1>0</formula1>
      <formula2>NaN</formula2>
    </dataValidation>
    <dataValidation type="whole" allowBlank="1" showInputMessage="1" showErrorMessage="1" sqref="P23">
      <formula1>0</formula1>
      <formula2>NaN</formula2>
    </dataValidation>
    <dataValidation type="whole" allowBlank="1" showInputMessage="1" showErrorMessage="1" sqref="P24">
      <formula1>0</formula1>
      <formula2>NaN</formula2>
    </dataValidation>
    <dataValidation type="whole" allowBlank="1" showInputMessage="1" showErrorMessage="1" sqref="P25">
      <formula1>0</formula1>
      <formula2>NaN</formula2>
    </dataValidation>
    <dataValidation type="whole" allowBlank="1" showInputMessage="1" showErrorMessage="1" sqref="P26">
      <formula1>0</formula1>
      <formula2>NaN</formula2>
    </dataValidation>
    <dataValidation type="whole" allowBlank="1" showInputMessage="1" showErrorMessage="1" sqref="P27">
      <formula1>0</formula1>
      <formula2>NaN</formula2>
    </dataValidation>
    <dataValidation type="whole" allowBlank="1" showInputMessage="1" showErrorMessage="1" sqref="P28">
      <formula1>0</formula1>
      <formula2>NaN</formula2>
    </dataValidation>
    <dataValidation type="whole" allowBlank="1" showInputMessage="1" showErrorMessage="1" sqref="P29">
      <formula1>0</formula1>
      <formula2>NaN</formula2>
    </dataValidation>
    <dataValidation type="whole" allowBlank="1" showInputMessage="1" showErrorMessage="1" sqref="P30">
      <formula1>0</formula1>
      <formula2>NaN</formula2>
    </dataValidation>
    <dataValidation type="whole" allowBlank="1" showInputMessage="1" showErrorMessage="1" sqref="P31">
      <formula1>0</formula1>
      <formula2>NaN</formula2>
    </dataValidation>
    <dataValidation type="whole" allowBlank="1" showInputMessage="1" showErrorMessage="1" sqref="P32">
      <formula1>0</formula1>
      <formula2>NaN</formula2>
    </dataValidation>
    <dataValidation type="whole" allowBlank="1" showInputMessage="1" showErrorMessage="1" sqref="P33">
      <formula1>0</formula1>
      <formula2>NaN</formula2>
    </dataValidation>
    <dataValidation type="whole" allowBlank="1" showInputMessage="1" showErrorMessage="1" sqref="P34">
      <formula1>0</formula1>
      <formula2>NaN</formula2>
    </dataValidation>
    <dataValidation type="whole" allowBlank="1" showInputMessage="1" showErrorMessage="1" sqref="P35">
      <formula1>0</formula1>
      <formula2>NaN</formula2>
    </dataValidation>
    <dataValidation type="whole" allowBlank="1" showInputMessage="1" showErrorMessage="1" sqref="P36">
      <formula1>0</formula1>
      <formula2>NaN</formula2>
    </dataValidation>
    <dataValidation type="whole" allowBlank="1" showInputMessage="1" showErrorMessage="1" sqref="P37">
      <formula1>0</formula1>
      <formula2>NaN</formula2>
    </dataValidation>
    <dataValidation type="whole" allowBlank="1" showInputMessage="1" showErrorMessage="1" sqref="P38">
      <formula1>0</formula1>
      <formula2>NaN</formula2>
    </dataValidation>
    <dataValidation type="whole" allowBlank="1" showInputMessage="1" showErrorMessage="1" sqref="P39">
      <formula1>0</formula1>
      <formula2>NaN</formula2>
    </dataValidation>
    <dataValidation type="whole" allowBlank="1" showInputMessage="1" showErrorMessage="1" sqref="P40">
      <formula1>0</formula1>
      <formula2>NaN</formula2>
    </dataValidation>
    <dataValidation type="whole" allowBlank="1" showInputMessage="1" showErrorMessage="1" sqref="P41">
      <formula1>0</formula1>
      <formula2>NaN</formula2>
    </dataValidation>
    <dataValidation type="whole" allowBlank="1" showInputMessage="1" showErrorMessage="1" sqref="P42">
      <formula1>0</formula1>
      <formula2>NaN</formula2>
    </dataValidation>
    <dataValidation type="whole" allowBlank="1" showInputMessage="1" showErrorMessage="1" sqref="P43">
      <formula1>0</formula1>
      <formula2>NaN</formula2>
    </dataValidation>
    <dataValidation type="whole" allowBlank="1" showInputMessage="1" showErrorMessage="1" sqref="P44">
      <formula1>0</formula1>
      <formula2>NaN</formula2>
    </dataValidation>
    <dataValidation type="whole" allowBlank="1" showInputMessage="1" showErrorMessage="1" sqref="P45">
      <formula1>0</formula1>
      <formula2>NaN</formula2>
    </dataValidation>
    <dataValidation type="whole" allowBlank="1" showInputMessage="1" showErrorMessage="1" sqref="P46">
      <formula1>0</formula1>
      <formula2>NaN</formula2>
    </dataValidation>
    <dataValidation type="whole" allowBlank="1" showInputMessage="1" showErrorMessage="1" sqref="P47">
      <formula1>0</formula1>
      <formula2>NaN</formula2>
    </dataValidation>
    <dataValidation type="whole" allowBlank="1" showInputMessage="1" showErrorMessage="1" sqref="P48">
      <formula1>0</formula1>
      <formula2>NaN</formula2>
    </dataValidation>
    <dataValidation type="whole" allowBlank="1" showInputMessage="1" showErrorMessage="1" sqref="P49">
      <formula1>0</formula1>
      <formula2>NaN</formula2>
    </dataValidation>
    <dataValidation type="whole" allowBlank="1" showInputMessage="1" showErrorMessage="1" sqref="P50">
      <formula1>0</formula1>
      <formula2>NaN</formula2>
    </dataValidation>
    <dataValidation type="whole" allowBlank="1" showInputMessage="1" showErrorMessage="1" sqref="P51">
      <formula1>0</formula1>
      <formula2>NaN</formula2>
    </dataValidation>
    <dataValidation type="whole" allowBlank="1" showInputMessage="1" showErrorMessage="1" sqref="P52">
      <formula1>0</formula1>
      <formula2>NaN</formula2>
    </dataValidation>
    <dataValidation type="whole" allowBlank="1" showInputMessage="1" showErrorMessage="1" sqref="P53">
      <formula1>0</formula1>
      <formula2>NaN</formula2>
    </dataValidation>
    <dataValidation type="whole" allowBlank="1" showInputMessage="1" showErrorMessage="1" sqref="P54">
      <formula1>0</formula1>
      <formula2>NaN</formula2>
    </dataValidation>
    <dataValidation type="whole" allowBlank="1" showInputMessage="1" showErrorMessage="1" sqref="P55">
      <formula1>0</formula1>
      <formula2>NaN</formula2>
    </dataValidation>
    <dataValidation type="whole" allowBlank="1" showInputMessage="1" showErrorMessage="1" sqref="P56">
      <formula1>0</formula1>
      <formula2>NaN</formula2>
    </dataValidation>
    <dataValidation type="whole" allowBlank="1" showInputMessage="1" showErrorMessage="1" sqref="P57">
      <formula1>0</formula1>
      <formula2>NaN</formula2>
    </dataValidation>
    <dataValidation type="whole" allowBlank="1" showInputMessage="1" showErrorMessage="1" sqref="P58">
      <formula1>0</formula1>
      <formula2>NaN</formula2>
    </dataValidation>
    <dataValidation type="whole" allowBlank="1" showInputMessage="1" showErrorMessage="1" sqref="P59">
      <formula1>0</formula1>
      <formula2>NaN</formula2>
    </dataValidation>
    <dataValidation type="whole" allowBlank="1" showInputMessage="1" showErrorMessage="1" sqref="P60">
      <formula1>0</formula1>
      <formula2>NaN</formula2>
    </dataValidation>
    <dataValidation type="whole" allowBlank="1" showInputMessage="1" showErrorMessage="1" sqref="P61">
      <formula1>0</formula1>
      <formula2>NaN</formula2>
    </dataValidation>
    <dataValidation type="whole" allowBlank="1" showInputMessage="1" showErrorMessage="1" sqref="P62">
      <formula1>0</formula1>
      <formula2>NaN</formula2>
    </dataValidation>
    <dataValidation type="whole" allowBlank="1" showInputMessage="1" showErrorMessage="1" sqref="P63">
      <formula1>0</formula1>
      <formula2>NaN</formula2>
    </dataValidation>
    <dataValidation type="whole" allowBlank="1" showInputMessage="1" showErrorMessage="1" sqref="P64">
      <formula1>0</formula1>
      <formula2>NaN</formula2>
    </dataValidation>
    <dataValidation type="whole" allowBlank="1" showInputMessage="1" showErrorMessage="1" sqref="P65">
      <formula1>0</formula1>
      <formula2>NaN</formula2>
    </dataValidation>
    <dataValidation type="whole" allowBlank="1" showInputMessage="1" showErrorMessage="1" sqref="P66">
      <formula1>0</formula1>
      <formula2>NaN</formula2>
    </dataValidation>
    <dataValidation type="whole" allowBlank="1" showInputMessage="1" showErrorMessage="1" sqref="P67">
      <formula1>0</formula1>
      <formula2>NaN</formula2>
    </dataValidation>
    <dataValidation type="whole" allowBlank="1" showInputMessage="1" showErrorMessage="1" sqref="P68">
      <formula1>0</formula1>
      <formula2>NaN</formula2>
    </dataValidation>
    <dataValidation type="whole" allowBlank="1" showInputMessage="1" showErrorMessage="1" sqref="P9">
      <formula1>0</formula1>
      <formula2>NaN</formula2>
    </dataValidation>
    <dataValidation type="whole" allowBlank="1" showInputMessage="1" showErrorMessage="1" sqref="Q10">
      <formula1>0</formula1>
      <formula2>NaN</formula2>
    </dataValidation>
    <dataValidation type="whole" allowBlank="1" showInputMessage="1" showErrorMessage="1" sqref="Q11">
      <formula1>0</formula1>
      <formula2>NaN</formula2>
    </dataValidation>
    <dataValidation type="whole" allowBlank="1" showInputMessage="1" showErrorMessage="1" sqref="Q12">
      <formula1>0</formula1>
      <formula2>NaN</formula2>
    </dataValidation>
    <dataValidation type="whole" allowBlank="1" showInputMessage="1" showErrorMessage="1" sqref="Q13">
      <formula1>0</formula1>
      <formula2>NaN</formula2>
    </dataValidation>
    <dataValidation type="whole" allowBlank="1" showInputMessage="1" showErrorMessage="1" sqref="Q14">
      <formula1>0</formula1>
      <formula2>NaN</formula2>
    </dataValidation>
    <dataValidation type="whole" allowBlank="1" showInputMessage="1" showErrorMessage="1" sqref="Q15">
      <formula1>0</formula1>
      <formula2>NaN</formula2>
    </dataValidation>
    <dataValidation type="whole" allowBlank="1" showInputMessage="1" showErrorMessage="1" sqref="Q16">
      <formula1>0</formula1>
      <formula2>NaN</formula2>
    </dataValidation>
    <dataValidation type="whole" allowBlank="1" showInputMessage="1" showErrorMessage="1" sqref="Q17">
      <formula1>0</formula1>
      <formula2>NaN</formula2>
    </dataValidation>
    <dataValidation type="whole" allowBlank="1" showInputMessage="1" showErrorMessage="1" sqref="Q18">
      <formula1>0</formula1>
      <formula2>NaN</formula2>
    </dataValidation>
    <dataValidation type="whole" allowBlank="1" showInputMessage="1" showErrorMessage="1" sqref="Q19">
      <formula1>0</formula1>
      <formula2>NaN</formula2>
    </dataValidation>
    <dataValidation type="whole" allowBlank="1" showInputMessage="1" showErrorMessage="1" sqref="Q20">
      <formula1>0</formula1>
      <formula2>NaN</formula2>
    </dataValidation>
    <dataValidation type="whole" allowBlank="1" showInputMessage="1" showErrorMessage="1" sqref="Q21">
      <formula1>0</formula1>
      <formula2>NaN</formula2>
    </dataValidation>
    <dataValidation type="whole" allowBlank="1" showInputMessage="1" showErrorMessage="1" sqref="Q22">
      <formula1>0</formula1>
      <formula2>NaN</formula2>
    </dataValidation>
    <dataValidation type="whole" allowBlank="1" showInputMessage="1" showErrorMessage="1" sqref="Q23">
      <formula1>0</formula1>
      <formula2>NaN</formula2>
    </dataValidation>
    <dataValidation type="whole" allowBlank="1" showInputMessage="1" showErrorMessage="1" sqref="Q24">
      <formula1>0</formula1>
      <formula2>NaN</formula2>
    </dataValidation>
    <dataValidation type="whole" allowBlank="1" showInputMessage="1" showErrorMessage="1" sqref="Q25">
      <formula1>0</formula1>
      <formula2>NaN</formula2>
    </dataValidation>
    <dataValidation type="whole" allowBlank="1" showInputMessage="1" showErrorMessage="1" sqref="Q26">
      <formula1>0</formula1>
      <formula2>NaN</formula2>
    </dataValidation>
    <dataValidation type="whole" allowBlank="1" showInputMessage="1" showErrorMessage="1" sqref="Q27">
      <formula1>0</formula1>
      <formula2>NaN</formula2>
    </dataValidation>
    <dataValidation type="whole" allowBlank="1" showInputMessage="1" showErrorMessage="1" sqref="Q28">
      <formula1>0</formula1>
      <formula2>NaN</formula2>
    </dataValidation>
    <dataValidation type="whole" allowBlank="1" showInputMessage="1" showErrorMessage="1" sqref="Q29">
      <formula1>0</formula1>
      <formula2>NaN</formula2>
    </dataValidation>
    <dataValidation type="whole" allowBlank="1" showInputMessage="1" showErrorMessage="1" sqref="Q30">
      <formula1>0</formula1>
      <formula2>NaN</formula2>
    </dataValidation>
    <dataValidation type="whole" allowBlank="1" showInputMessage="1" showErrorMessage="1" sqref="Q31">
      <formula1>0</formula1>
      <formula2>NaN</formula2>
    </dataValidation>
    <dataValidation type="whole" allowBlank="1" showInputMessage="1" showErrorMessage="1" sqref="Q32">
      <formula1>0</formula1>
      <formula2>NaN</formula2>
    </dataValidation>
    <dataValidation type="whole" allowBlank="1" showInputMessage="1" showErrorMessage="1" sqref="Q33">
      <formula1>0</formula1>
      <formula2>NaN</formula2>
    </dataValidation>
    <dataValidation type="whole" allowBlank="1" showInputMessage="1" showErrorMessage="1" sqref="Q34">
      <formula1>0</formula1>
      <formula2>NaN</formula2>
    </dataValidation>
    <dataValidation type="whole" allowBlank="1" showInputMessage="1" showErrorMessage="1" sqref="Q35">
      <formula1>0</formula1>
      <formula2>NaN</formula2>
    </dataValidation>
    <dataValidation type="whole" allowBlank="1" showInputMessage="1" showErrorMessage="1" sqref="Q36">
      <formula1>0</formula1>
      <formula2>NaN</formula2>
    </dataValidation>
    <dataValidation type="whole" allowBlank="1" showInputMessage="1" showErrorMessage="1" sqref="Q37">
      <formula1>0</formula1>
      <formula2>NaN</formula2>
    </dataValidation>
    <dataValidation type="whole" allowBlank="1" showInputMessage="1" showErrorMessage="1" sqref="Q38">
      <formula1>0</formula1>
      <formula2>NaN</formula2>
    </dataValidation>
    <dataValidation type="whole" allowBlank="1" showInputMessage="1" showErrorMessage="1" sqref="Q39">
      <formula1>0</formula1>
      <formula2>NaN</formula2>
    </dataValidation>
    <dataValidation type="whole" allowBlank="1" showInputMessage="1" showErrorMessage="1" sqref="Q40">
      <formula1>0</formula1>
      <formula2>NaN</formula2>
    </dataValidation>
    <dataValidation type="whole" allowBlank="1" showInputMessage="1" showErrorMessage="1" sqref="Q41">
      <formula1>0</formula1>
      <formula2>NaN</formula2>
    </dataValidation>
    <dataValidation type="whole" allowBlank="1" showInputMessage="1" showErrorMessage="1" sqref="Q42">
      <formula1>0</formula1>
      <formula2>NaN</formula2>
    </dataValidation>
    <dataValidation type="whole" allowBlank="1" showInputMessage="1" showErrorMessage="1" sqref="Q43">
      <formula1>0</formula1>
      <formula2>NaN</formula2>
    </dataValidation>
    <dataValidation type="whole" allowBlank="1" showInputMessage="1" showErrorMessage="1" sqref="Q44">
      <formula1>0</formula1>
      <formula2>NaN</formula2>
    </dataValidation>
    <dataValidation type="whole" allowBlank="1" showInputMessage="1" showErrorMessage="1" sqref="Q45">
      <formula1>0</formula1>
      <formula2>NaN</formula2>
    </dataValidation>
    <dataValidation type="whole" allowBlank="1" showInputMessage="1" showErrorMessage="1" sqref="Q46">
      <formula1>0</formula1>
      <formula2>NaN</formula2>
    </dataValidation>
    <dataValidation type="whole" allowBlank="1" showInputMessage="1" showErrorMessage="1" sqref="Q47">
      <formula1>0</formula1>
      <formula2>NaN</formula2>
    </dataValidation>
    <dataValidation type="whole" allowBlank="1" showInputMessage="1" showErrorMessage="1" sqref="Q48">
      <formula1>0</formula1>
      <formula2>NaN</formula2>
    </dataValidation>
    <dataValidation type="whole" allowBlank="1" showInputMessage="1" showErrorMessage="1" sqref="Q49">
      <formula1>0</formula1>
      <formula2>NaN</formula2>
    </dataValidation>
    <dataValidation type="whole" allowBlank="1" showInputMessage="1" showErrorMessage="1" sqref="Q50">
      <formula1>0</formula1>
      <formula2>NaN</formula2>
    </dataValidation>
    <dataValidation type="whole" allowBlank="1" showInputMessage="1" showErrorMessage="1" sqref="Q51">
      <formula1>0</formula1>
      <formula2>NaN</formula2>
    </dataValidation>
    <dataValidation type="whole" allowBlank="1" showInputMessage="1" showErrorMessage="1" sqref="Q52">
      <formula1>0</formula1>
      <formula2>NaN</formula2>
    </dataValidation>
    <dataValidation type="whole" allowBlank="1" showInputMessage="1" showErrorMessage="1" sqref="Q53">
      <formula1>0</formula1>
      <formula2>NaN</formula2>
    </dataValidation>
    <dataValidation type="whole" allowBlank="1" showInputMessage="1" showErrorMessage="1" sqref="Q54">
      <formula1>0</formula1>
      <formula2>NaN</formula2>
    </dataValidation>
    <dataValidation type="whole" allowBlank="1" showInputMessage="1" showErrorMessage="1" sqref="Q55">
      <formula1>0</formula1>
      <formula2>NaN</formula2>
    </dataValidation>
    <dataValidation type="whole" allowBlank="1" showInputMessage="1" showErrorMessage="1" sqref="Q56">
      <formula1>0</formula1>
      <formula2>NaN</formula2>
    </dataValidation>
    <dataValidation type="whole" allowBlank="1" showInputMessage="1" showErrorMessage="1" sqref="Q57">
      <formula1>0</formula1>
      <formula2>NaN</formula2>
    </dataValidation>
    <dataValidation type="whole" allowBlank="1" showInputMessage="1" showErrorMessage="1" sqref="Q58">
      <formula1>0</formula1>
      <formula2>NaN</formula2>
    </dataValidation>
    <dataValidation type="whole" allowBlank="1" showInputMessage="1" showErrorMessage="1" sqref="Q59">
      <formula1>0</formula1>
      <formula2>NaN</formula2>
    </dataValidation>
    <dataValidation type="whole" allowBlank="1" showInputMessage="1" showErrorMessage="1" sqref="Q60">
      <formula1>0</formula1>
      <formula2>NaN</formula2>
    </dataValidation>
    <dataValidation type="whole" allowBlank="1" showInputMessage="1" showErrorMessage="1" sqref="Q61">
      <formula1>0</formula1>
      <formula2>NaN</formula2>
    </dataValidation>
    <dataValidation type="whole" allowBlank="1" showInputMessage="1" showErrorMessage="1" sqref="Q62">
      <formula1>0</formula1>
      <formula2>NaN</formula2>
    </dataValidation>
    <dataValidation type="whole" allowBlank="1" showInputMessage="1" showErrorMessage="1" sqref="Q63">
      <formula1>0</formula1>
      <formula2>NaN</formula2>
    </dataValidation>
    <dataValidation type="whole" allowBlank="1" showInputMessage="1" showErrorMessage="1" sqref="Q64">
      <formula1>0</formula1>
      <formula2>NaN</formula2>
    </dataValidation>
    <dataValidation type="whole" allowBlank="1" showInputMessage="1" showErrorMessage="1" sqref="Q65">
      <formula1>0</formula1>
      <formula2>NaN</formula2>
    </dataValidation>
    <dataValidation type="whole" allowBlank="1" showInputMessage="1" showErrorMessage="1" sqref="Q66">
      <formula1>0</formula1>
      <formula2>NaN</formula2>
    </dataValidation>
    <dataValidation type="whole" allowBlank="1" showInputMessage="1" showErrorMessage="1" sqref="Q67">
      <formula1>0</formula1>
      <formula2>NaN</formula2>
    </dataValidation>
    <dataValidation type="whole" allowBlank="1" showInputMessage="1" showErrorMessage="1" sqref="Q68">
      <formula1>0</formula1>
      <formula2>NaN</formula2>
    </dataValidation>
    <dataValidation type="whole" allowBlank="1" showInputMessage="1" showErrorMessage="1" sqref="Q9">
      <formula1>0</formula1>
      <formula2>NaN</formula2>
    </dataValidation>
    <dataValidation type="whole" allowBlank="1" showInputMessage="1" showErrorMessage="1" sqref="R10">
      <formula1>0</formula1>
      <formula2>NaN</formula2>
    </dataValidation>
    <dataValidation type="whole" allowBlank="1" showInputMessage="1" showErrorMessage="1" sqref="R11">
      <formula1>0</formula1>
      <formula2>NaN</formula2>
    </dataValidation>
    <dataValidation type="whole" allowBlank="1" showInputMessage="1" showErrorMessage="1" sqref="R12">
      <formula1>0</formula1>
      <formula2>NaN</formula2>
    </dataValidation>
    <dataValidation type="whole" allowBlank="1" showInputMessage="1" showErrorMessage="1" sqref="R13">
      <formula1>0</formula1>
      <formula2>NaN</formula2>
    </dataValidation>
    <dataValidation type="whole" allowBlank="1" showInputMessage="1" showErrorMessage="1" sqref="R14">
      <formula1>0</formula1>
      <formula2>NaN</formula2>
    </dataValidation>
    <dataValidation type="whole" allowBlank="1" showInputMessage="1" showErrorMessage="1" sqref="R15">
      <formula1>0</formula1>
      <formula2>NaN</formula2>
    </dataValidation>
    <dataValidation type="whole" allowBlank="1" showInputMessage="1" showErrorMessage="1" sqref="R16">
      <formula1>0</formula1>
      <formula2>NaN</formula2>
    </dataValidation>
    <dataValidation type="whole" allowBlank="1" showInputMessage="1" showErrorMessage="1" sqref="R17">
      <formula1>0</formula1>
      <formula2>NaN</formula2>
    </dataValidation>
    <dataValidation type="whole" allowBlank="1" showInputMessage="1" showErrorMessage="1" sqref="R18">
      <formula1>0</formula1>
      <formula2>NaN</formula2>
    </dataValidation>
    <dataValidation type="whole" allowBlank="1" showInputMessage="1" showErrorMessage="1" sqref="R19">
      <formula1>0</formula1>
      <formula2>NaN</formula2>
    </dataValidation>
    <dataValidation type="whole" allowBlank="1" showInputMessage="1" showErrorMessage="1" sqref="R20">
      <formula1>0</formula1>
      <formula2>NaN</formula2>
    </dataValidation>
    <dataValidation type="whole" allowBlank="1" showInputMessage="1" showErrorMessage="1" sqref="R21">
      <formula1>0</formula1>
      <formula2>NaN</formula2>
    </dataValidation>
    <dataValidation type="whole" allowBlank="1" showInputMessage="1" showErrorMessage="1" sqref="R22">
      <formula1>0</formula1>
      <formula2>NaN</formula2>
    </dataValidation>
    <dataValidation type="whole" allowBlank="1" showInputMessage="1" showErrorMessage="1" sqref="R23">
      <formula1>0</formula1>
      <formula2>NaN</formula2>
    </dataValidation>
    <dataValidation type="whole" allowBlank="1" showInputMessage="1" showErrorMessage="1" sqref="R24">
      <formula1>0</formula1>
      <formula2>NaN</formula2>
    </dataValidation>
    <dataValidation type="whole" allowBlank="1" showInputMessage="1" showErrorMessage="1" sqref="R25">
      <formula1>0</formula1>
      <formula2>NaN</formula2>
    </dataValidation>
    <dataValidation type="whole" allowBlank="1" showInputMessage="1" showErrorMessage="1" sqref="R26">
      <formula1>0</formula1>
      <formula2>NaN</formula2>
    </dataValidation>
    <dataValidation type="whole" allowBlank="1" showInputMessage="1" showErrorMessage="1" sqref="R27">
      <formula1>0</formula1>
      <formula2>NaN</formula2>
    </dataValidation>
    <dataValidation type="whole" allowBlank="1" showInputMessage="1" showErrorMessage="1" sqref="R28">
      <formula1>0</formula1>
      <formula2>NaN</formula2>
    </dataValidation>
    <dataValidation type="whole" allowBlank="1" showInputMessage="1" showErrorMessage="1" sqref="R29">
      <formula1>0</formula1>
      <formula2>NaN</formula2>
    </dataValidation>
    <dataValidation type="whole" allowBlank="1" showInputMessage="1" showErrorMessage="1" sqref="R30">
      <formula1>0</formula1>
      <formula2>NaN</formula2>
    </dataValidation>
    <dataValidation type="whole" allowBlank="1" showInputMessage="1" showErrorMessage="1" sqref="R31">
      <formula1>0</formula1>
      <formula2>NaN</formula2>
    </dataValidation>
    <dataValidation type="whole" allowBlank="1" showInputMessage="1" showErrorMessage="1" sqref="R32">
      <formula1>0</formula1>
      <formula2>NaN</formula2>
    </dataValidation>
    <dataValidation type="whole" allowBlank="1" showInputMessage="1" showErrorMessage="1" sqref="R33">
      <formula1>0</formula1>
      <formula2>NaN</formula2>
    </dataValidation>
    <dataValidation type="whole" allowBlank="1" showInputMessage="1" showErrorMessage="1" sqref="R34">
      <formula1>0</formula1>
      <formula2>NaN</formula2>
    </dataValidation>
    <dataValidation type="whole" allowBlank="1" showInputMessage="1" showErrorMessage="1" sqref="R35">
      <formula1>0</formula1>
      <formula2>NaN</formula2>
    </dataValidation>
    <dataValidation type="whole" allowBlank="1" showInputMessage="1" showErrorMessage="1" sqref="R36">
      <formula1>0</formula1>
      <formula2>NaN</formula2>
    </dataValidation>
    <dataValidation type="whole" allowBlank="1" showInputMessage="1" showErrorMessage="1" sqref="R37">
      <formula1>0</formula1>
      <formula2>NaN</formula2>
    </dataValidation>
    <dataValidation type="whole" allowBlank="1" showInputMessage="1" showErrorMessage="1" sqref="R38">
      <formula1>0</formula1>
      <formula2>NaN</formula2>
    </dataValidation>
    <dataValidation type="whole" allowBlank="1" showInputMessage="1" showErrorMessage="1" sqref="R39">
      <formula1>0</formula1>
      <formula2>NaN</formula2>
    </dataValidation>
    <dataValidation type="whole" allowBlank="1" showInputMessage="1" showErrorMessage="1" sqref="R40">
      <formula1>0</formula1>
      <formula2>NaN</formula2>
    </dataValidation>
    <dataValidation type="whole" allowBlank="1" showInputMessage="1" showErrorMessage="1" sqref="R41">
      <formula1>0</formula1>
      <formula2>NaN</formula2>
    </dataValidation>
    <dataValidation type="whole" allowBlank="1" showInputMessage="1" showErrorMessage="1" sqref="R42">
      <formula1>0</formula1>
      <formula2>NaN</formula2>
    </dataValidation>
    <dataValidation type="whole" allowBlank="1" showInputMessage="1" showErrorMessage="1" sqref="R43">
      <formula1>0</formula1>
      <formula2>NaN</formula2>
    </dataValidation>
    <dataValidation type="whole" allowBlank="1" showInputMessage="1" showErrorMessage="1" sqref="R44">
      <formula1>0</formula1>
      <formula2>NaN</formula2>
    </dataValidation>
    <dataValidation type="whole" allowBlank="1" showInputMessage="1" showErrorMessage="1" sqref="R45">
      <formula1>0</formula1>
      <formula2>NaN</formula2>
    </dataValidation>
    <dataValidation type="whole" allowBlank="1" showInputMessage="1" showErrorMessage="1" sqref="R46">
      <formula1>0</formula1>
      <formula2>NaN</formula2>
    </dataValidation>
    <dataValidation type="whole" allowBlank="1" showInputMessage="1" showErrorMessage="1" sqref="R47">
      <formula1>0</formula1>
      <formula2>NaN</formula2>
    </dataValidation>
    <dataValidation type="whole" allowBlank="1" showInputMessage="1" showErrorMessage="1" sqref="R48">
      <formula1>0</formula1>
      <formula2>NaN</formula2>
    </dataValidation>
    <dataValidation type="whole" allowBlank="1" showInputMessage="1" showErrorMessage="1" sqref="R49">
      <formula1>0</formula1>
      <formula2>NaN</formula2>
    </dataValidation>
    <dataValidation type="whole" allowBlank="1" showInputMessage="1" showErrorMessage="1" sqref="R50">
      <formula1>0</formula1>
      <formula2>NaN</formula2>
    </dataValidation>
    <dataValidation type="whole" allowBlank="1" showInputMessage="1" showErrorMessage="1" sqref="R51">
      <formula1>0</formula1>
      <formula2>NaN</formula2>
    </dataValidation>
    <dataValidation type="whole" allowBlank="1" showInputMessage="1" showErrorMessage="1" sqref="R52">
      <formula1>0</formula1>
      <formula2>NaN</formula2>
    </dataValidation>
    <dataValidation type="whole" allowBlank="1" showInputMessage="1" showErrorMessage="1" sqref="R53">
      <formula1>0</formula1>
      <formula2>NaN</formula2>
    </dataValidation>
    <dataValidation type="whole" allowBlank="1" showInputMessage="1" showErrorMessage="1" sqref="R54">
      <formula1>0</formula1>
      <formula2>NaN</formula2>
    </dataValidation>
    <dataValidation type="whole" allowBlank="1" showInputMessage="1" showErrorMessage="1" sqref="R55">
      <formula1>0</formula1>
      <formula2>NaN</formula2>
    </dataValidation>
    <dataValidation type="whole" allowBlank="1" showInputMessage="1" showErrorMessage="1" sqref="R56">
      <formula1>0</formula1>
      <formula2>NaN</formula2>
    </dataValidation>
    <dataValidation type="whole" allowBlank="1" showInputMessage="1" showErrorMessage="1" sqref="R57">
      <formula1>0</formula1>
      <formula2>NaN</formula2>
    </dataValidation>
    <dataValidation type="whole" allowBlank="1" showInputMessage="1" showErrorMessage="1" sqref="R58">
      <formula1>0</formula1>
      <formula2>NaN</formula2>
    </dataValidation>
    <dataValidation type="whole" allowBlank="1" showInputMessage="1" showErrorMessage="1" sqref="R59">
      <formula1>0</formula1>
      <formula2>NaN</formula2>
    </dataValidation>
    <dataValidation type="whole" allowBlank="1" showInputMessage="1" showErrorMessage="1" sqref="R60">
      <formula1>0</formula1>
      <formula2>NaN</formula2>
    </dataValidation>
    <dataValidation type="whole" allowBlank="1" showInputMessage="1" showErrorMessage="1" sqref="R61">
      <formula1>0</formula1>
      <formula2>NaN</formula2>
    </dataValidation>
    <dataValidation type="whole" allowBlank="1" showInputMessage="1" showErrorMessage="1" sqref="R62">
      <formula1>0</formula1>
      <formula2>NaN</formula2>
    </dataValidation>
    <dataValidation type="whole" allowBlank="1" showInputMessage="1" showErrorMessage="1" sqref="R63">
      <formula1>0</formula1>
      <formula2>NaN</formula2>
    </dataValidation>
    <dataValidation type="whole" allowBlank="1" showInputMessage="1" showErrorMessage="1" sqref="R64">
      <formula1>0</formula1>
      <formula2>NaN</formula2>
    </dataValidation>
    <dataValidation type="whole" allowBlank="1" showInputMessage="1" showErrorMessage="1" sqref="R65">
      <formula1>0</formula1>
      <formula2>NaN</formula2>
    </dataValidation>
    <dataValidation type="whole" allowBlank="1" showInputMessage="1" showErrorMessage="1" sqref="R66">
      <formula1>0</formula1>
      <formula2>NaN</formula2>
    </dataValidation>
    <dataValidation type="whole" allowBlank="1" showInputMessage="1" showErrorMessage="1" sqref="R67">
      <formula1>0</formula1>
      <formula2>NaN</formula2>
    </dataValidation>
    <dataValidation type="whole" allowBlank="1" showInputMessage="1" showErrorMessage="1" sqref="R68">
      <formula1>0</formula1>
      <formula2>NaN</formula2>
    </dataValidation>
    <dataValidation type="whole" allowBlank="1" showInputMessage="1" showErrorMessage="1" sqref="R9">
      <formula1>0</formula1>
      <formula2>NaN</formula2>
    </dataValidation>
    <dataValidation type="whole" allowBlank="1" showInputMessage="1" showErrorMessage="1" sqref="S10">
      <formula1>0</formula1>
      <formula2>NaN</formula2>
    </dataValidation>
    <dataValidation type="whole" allowBlank="1" showInputMessage="1" showErrorMessage="1" sqref="S11">
      <formula1>0</formula1>
      <formula2>NaN</formula2>
    </dataValidation>
    <dataValidation type="whole" allowBlank="1" showInputMessage="1" showErrorMessage="1" sqref="S12">
      <formula1>0</formula1>
      <formula2>NaN</formula2>
    </dataValidation>
    <dataValidation type="whole" allowBlank="1" showInputMessage="1" showErrorMessage="1" sqref="S13">
      <formula1>0</formula1>
      <formula2>NaN</formula2>
    </dataValidation>
    <dataValidation type="whole" allowBlank="1" showInputMessage="1" showErrorMessage="1" sqref="S14">
      <formula1>0</formula1>
      <formula2>NaN</formula2>
    </dataValidation>
    <dataValidation type="whole" allowBlank="1" showInputMessage="1" showErrorMessage="1" sqref="S15">
      <formula1>0</formula1>
      <formula2>NaN</formula2>
    </dataValidation>
    <dataValidation type="whole" allowBlank="1" showInputMessage="1" showErrorMessage="1" sqref="S16">
      <formula1>0</formula1>
      <formula2>NaN</formula2>
    </dataValidation>
    <dataValidation type="whole" allowBlank="1" showInputMessage="1" showErrorMessage="1" sqref="S17">
      <formula1>0</formula1>
      <formula2>NaN</formula2>
    </dataValidation>
    <dataValidation type="whole" allowBlank="1" showInputMessage="1" showErrorMessage="1" sqref="S18">
      <formula1>0</formula1>
      <formula2>NaN</formula2>
    </dataValidation>
    <dataValidation type="whole" allowBlank="1" showInputMessage="1" showErrorMessage="1" sqref="S19">
      <formula1>0</formula1>
      <formula2>NaN</formula2>
    </dataValidation>
    <dataValidation type="whole" allowBlank="1" showInputMessage="1" showErrorMessage="1" sqref="S20">
      <formula1>0</formula1>
      <formula2>NaN</formula2>
    </dataValidation>
    <dataValidation type="whole" allowBlank="1" showInputMessage="1" showErrorMessage="1" sqref="S21">
      <formula1>0</formula1>
      <formula2>NaN</formula2>
    </dataValidation>
    <dataValidation type="whole" allowBlank="1" showInputMessage="1" showErrorMessage="1" sqref="S22">
      <formula1>0</formula1>
      <formula2>NaN</formula2>
    </dataValidation>
    <dataValidation type="whole" allowBlank="1" showInputMessage="1" showErrorMessage="1" sqref="S23">
      <formula1>0</formula1>
      <formula2>NaN</formula2>
    </dataValidation>
    <dataValidation type="whole" allowBlank="1" showInputMessage="1" showErrorMessage="1" sqref="S24">
      <formula1>0</formula1>
      <formula2>NaN</formula2>
    </dataValidation>
    <dataValidation type="whole" allowBlank="1" showInputMessage="1" showErrorMessage="1" sqref="S25">
      <formula1>0</formula1>
      <formula2>NaN</formula2>
    </dataValidation>
    <dataValidation type="whole" allowBlank="1" showInputMessage="1" showErrorMessage="1" sqref="S26">
      <formula1>0</formula1>
      <formula2>NaN</formula2>
    </dataValidation>
    <dataValidation type="whole" allowBlank="1" showInputMessage="1" showErrorMessage="1" sqref="S27">
      <formula1>0</formula1>
      <formula2>NaN</formula2>
    </dataValidation>
    <dataValidation type="whole" allowBlank="1" showInputMessage="1" showErrorMessage="1" sqref="S28">
      <formula1>0</formula1>
      <formula2>NaN</formula2>
    </dataValidation>
    <dataValidation type="whole" allowBlank="1" showInputMessage="1" showErrorMessage="1" sqref="S29">
      <formula1>0</formula1>
      <formula2>NaN</formula2>
    </dataValidation>
    <dataValidation type="whole" allowBlank="1" showInputMessage="1" showErrorMessage="1" sqref="S30">
      <formula1>0</formula1>
      <formula2>NaN</formula2>
    </dataValidation>
    <dataValidation type="whole" allowBlank="1" showInputMessage="1" showErrorMessage="1" sqref="S31">
      <formula1>0</formula1>
      <formula2>NaN</formula2>
    </dataValidation>
    <dataValidation type="whole" allowBlank="1" showInputMessage="1" showErrorMessage="1" sqref="S32">
      <formula1>0</formula1>
      <formula2>NaN</formula2>
    </dataValidation>
    <dataValidation type="whole" allowBlank="1" showInputMessage="1" showErrorMessage="1" sqref="S33">
      <formula1>0</formula1>
      <formula2>NaN</formula2>
    </dataValidation>
    <dataValidation type="whole" allowBlank="1" showInputMessage="1" showErrorMessage="1" sqref="S34">
      <formula1>0</formula1>
      <formula2>NaN</formula2>
    </dataValidation>
    <dataValidation type="whole" allowBlank="1" showInputMessage="1" showErrorMessage="1" sqref="S35">
      <formula1>0</formula1>
      <formula2>NaN</formula2>
    </dataValidation>
    <dataValidation type="whole" allowBlank="1" showInputMessage="1" showErrorMessage="1" sqref="S36">
      <formula1>0</formula1>
      <formula2>NaN</formula2>
    </dataValidation>
    <dataValidation type="whole" allowBlank="1" showInputMessage="1" showErrorMessage="1" sqref="S37">
      <formula1>0</formula1>
      <formula2>NaN</formula2>
    </dataValidation>
    <dataValidation type="whole" allowBlank="1" showInputMessage="1" showErrorMessage="1" sqref="S38">
      <formula1>0</formula1>
      <formula2>NaN</formula2>
    </dataValidation>
    <dataValidation type="whole" allowBlank="1" showInputMessage="1" showErrorMessage="1" sqref="S39">
      <formula1>0</formula1>
      <formula2>NaN</formula2>
    </dataValidation>
    <dataValidation type="whole" allowBlank="1" showInputMessage="1" showErrorMessage="1" sqref="S40">
      <formula1>0</formula1>
      <formula2>NaN</formula2>
    </dataValidation>
    <dataValidation type="whole" allowBlank="1" showInputMessage="1" showErrorMessage="1" sqref="S41">
      <formula1>0</formula1>
      <formula2>NaN</formula2>
    </dataValidation>
    <dataValidation type="whole" allowBlank="1" showInputMessage="1" showErrorMessage="1" sqref="S42">
      <formula1>0</formula1>
      <formula2>NaN</formula2>
    </dataValidation>
    <dataValidation type="whole" allowBlank="1" showInputMessage="1" showErrorMessage="1" sqref="S43">
      <formula1>0</formula1>
      <formula2>NaN</formula2>
    </dataValidation>
    <dataValidation type="whole" allowBlank="1" showInputMessage="1" showErrorMessage="1" sqref="S44">
      <formula1>0</formula1>
      <formula2>NaN</formula2>
    </dataValidation>
    <dataValidation type="whole" allowBlank="1" showInputMessage="1" showErrorMessage="1" sqref="S45">
      <formula1>0</formula1>
      <formula2>NaN</formula2>
    </dataValidation>
    <dataValidation type="whole" allowBlank="1" showInputMessage="1" showErrorMessage="1" sqref="S46">
      <formula1>0</formula1>
      <formula2>NaN</formula2>
    </dataValidation>
    <dataValidation type="whole" allowBlank="1" showInputMessage="1" showErrorMessage="1" sqref="S47">
      <formula1>0</formula1>
      <formula2>NaN</formula2>
    </dataValidation>
    <dataValidation type="whole" allowBlank="1" showInputMessage="1" showErrorMessage="1" sqref="S48">
      <formula1>0</formula1>
      <formula2>NaN</formula2>
    </dataValidation>
    <dataValidation type="whole" allowBlank="1" showInputMessage="1" showErrorMessage="1" sqref="S49">
      <formula1>0</formula1>
      <formula2>NaN</formula2>
    </dataValidation>
    <dataValidation type="whole" allowBlank="1" showInputMessage="1" showErrorMessage="1" sqref="S50">
      <formula1>0</formula1>
      <formula2>NaN</formula2>
    </dataValidation>
    <dataValidation type="whole" allowBlank="1" showInputMessage="1" showErrorMessage="1" sqref="S51">
      <formula1>0</formula1>
      <formula2>NaN</formula2>
    </dataValidation>
    <dataValidation type="whole" allowBlank="1" showInputMessage="1" showErrorMessage="1" sqref="S52">
      <formula1>0</formula1>
      <formula2>NaN</formula2>
    </dataValidation>
    <dataValidation type="whole" allowBlank="1" showInputMessage="1" showErrorMessage="1" sqref="S53">
      <formula1>0</formula1>
      <formula2>NaN</formula2>
    </dataValidation>
    <dataValidation type="whole" allowBlank="1" showInputMessage="1" showErrorMessage="1" sqref="S54">
      <formula1>0</formula1>
      <formula2>NaN</formula2>
    </dataValidation>
    <dataValidation type="whole" allowBlank="1" showInputMessage="1" showErrorMessage="1" sqref="S55">
      <formula1>0</formula1>
      <formula2>NaN</formula2>
    </dataValidation>
    <dataValidation type="whole" allowBlank="1" showInputMessage="1" showErrorMessage="1" sqref="S56">
      <formula1>0</formula1>
      <formula2>NaN</formula2>
    </dataValidation>
    <dataValidation type="whole" allowBlank="1" showInputMessage="1" showErrorMessage="1" sqref="S57">
      <formula1>0</formula1>
      <formula2>NaN</formula2>
    </dataValidation>
    <dataValidation type="whole" allowBlank="1" showInputMessage="1" showErrorMessage="1" sqref="S58">
      <formula1>0</formula1>
      <formula2>NaN</formula2>
    </dataValidation>
    <dataValidation type="whole" allowBlank="1" showInputMessage="1" showErrorMessage="1" sqref="S59">
      <formula1>0</formula1>
      <formula2>NaN</formula2>
    </dataValidation>
    <dataValidation type="whole" allowBlank="1" showInputMessage="1" showErrorMessage="1" sqref="S60">
      <formula1>0</formula1>
      <formula2>NaN</formula2>
    </dataValidation>
    <dataValidation type="whole" allowBlank="1" showInputMessage="1" showErrorMessage="1" sqref="S61">
      <formula1>0</formula1>
      <formula2>NaN</formula2>
    </dataValidation>
    <dataValidation type="whole" allowBlank="1" showInputMessage="1" showErrorMessage="1" sqref="S62">
      <formula1>0</formula1>
      <formula2>NaN</formula2>
    </dataValidation>
    <dataValidation type="whole" allowBlank="1" showInputMessage="1" showErrorMessage="1" sqref="S63">
      <formula1>0</formula1>
      <formula2>NaN</formula2>
    </dataValidation>
    <dataValidation type="whole" allowBlank="1" showInputMessage="1" showErrorMessage="1" sqref="S64">
      <formula1>0</formula1>
      <formula2>NaN</formula2>
    </dataValidation>
    <dataValidation type="whole" allowBlank="1" showInputMessage="1" showErrorMessage="1" sqref="S65">
      <formula1>0</formula1>
      <formula2>NaN</formula2>
    </dataValidation>
    <dataValidation type="whole" allowBlank="1" showInputMessage="1" showErrorMessage="1" sqref="S66">
      <formula1>0</formula1>
      <formula2>NaN</formula2>
    </dataValidation>
    <dataValidation type="whole" allowBlank="1" showInputMessage="1" showErrorMessage="1" sqref="S67">
      <formula1>0</formula1>
      <formula2>NaN</formula2>
    </dataValidation>
    <dataValidation type="whole" allowBlank="1" showInputMessage="1" showErrorMessage="1" sqref="S68">
      <formula1>0</formula1>
      <formula2>NaN</formula2>
    </dataValidation>
    <dataValidation type="whole" allowBlank="1" showInputMessage="1" showErrorMessage="1" sqref="S9">
      <formula1>0</formula1>
      <formula2>NaN</formula2>
    </dataValidation>
    <dataValidation type="whole" allowBlank="1" showInputMessage="1" showErrorMessage="1" sqref="T10">
      <formula1>0</formula1>
      <formula2>NaN</formula2>
    </dataValidation>
    <dataValidation type="whole" allowBlank="1" showInputMessage="1" showErrorMessage="1" sqref="T11">
      <formula1>0</formula1>
      <formula2>NaN</formula2>
    </dataValidation>
    <dataValidation type="whole" allowBlank="1" showInputMessage="1" showErrorMessage="1" sqref="T12">
      <formula1>0</formula1>
      <formula2>NaN</formula2>
    </dataValidation>
    <dataValidation type="whole" allowBlank="1" showInputMessage="1" showErrorMessage="1" sqref="T13">
      <formula1>0</formula1>
      <formula2>NaN</formula2>
    </dataValidation>
    <dataValidation type="whole" allowBlank="1" showInputMessage="1" showErrorMessage="1" sqref="T14">
      <formula1>0</formula1>
      <formula2>NaN</formula2>
    </dataValidation>
    <dataValidation type="whole" allowBlank="1" showInputMessage="1" showErrorMessage="1" sqref="T15">
      <formula1>0</formula1>
      <formula2>NaN</formula2>
    </dataValidation>
    <dataValidation type="whole" allowBlank="1" showInputMessage="1" showErrorMessage="1" sqref="T16">
      <formula1>0</formula1>
      <formula2>NaN</formula2>
    </dataValidation>
    <dataValidation type="whole" allowBlank="1" showInputMessage="1" showErrorMessage="1" sqref="T17">
      <formula1>0</formula1>
      <formula2>NaN</formula2>
    </dataValidation>
    <dataValidation type="whole" allowBlank="1" showInputMessage="1" showErrorMessage="1" sqref="T18">
      <formula1>0</formula1>
      <formula2>NaN</formula2>
    </dataValidation>
    <dataValidation type="whole" allowBlank="1" showInputMessage="1" showErrorMessage="1" sqref="T19">
      <formula1>0</formula1>
      <formula2>NaN</formula2>
    </dataValidation>
    <dataValidation type="whole" allowBlank="1" showInputMessage="1" showErrorMessage="1" sqref="T20">
      <formula1>0</formula1>
      <formula2>NaN</formula2>
    </dataValidation>
    <dataValidation type="whole" allowBlank="1" showInputMessage="1" showErrorMessage="1" sqref="T21">
      <formula1>0</formula1>
      <formula2>NaN</formula2>
    </dataValidation>
    <dataValidation type="whole" allowBlank="1" showInputMessage="1" showErrorMessage="1" sqref="T22">
      <formula1>0</formula1>
      <formula2>NaN</formula2>
    </dataValidation>
    <dataValidation type="whole" allowBlank="1" showInputMessage="1" showErrorMessage="1" sqref="T23">
      <formula1>0</formula1>
      <formula2>NaN</formula2>
    </dataValidation>
    <dataValidation type="whole" allowBlank="1" showInputMessage="1" showErrorMessage="1" sqref="T24">
      <formula1>0</formula1>
      <formula2>NaN</formula2>
    </dataValidation>
    <dataValidation type="whole" allowBlank="1" showInputMessage="1" showErrorMessage="1" sqref="T25">
      <formula1>0</formula1>
      <formula2>NaN</formula2>
    </dataValidation>
    <dataValidation type="whole" allowBlank="1" showInputMessage="1" showErrorMessage="1" sqref="T26">
      <formula1>0</formula1>
      <formula2>NaN</formula2>
    </dataValidation>
    <dataValidation type="whole" allowBlank="1" showInputMessage="1" showErrorMessage="1" sqref="T27">
      <formula1>0</formula1>
      <formula2>NaN</formula2>
    </dataValidation>
    <dataValidation type="whole" allowBlank="1" showInputMessage="1" showErrorMessage="1" sqref="T28">
      <formula1>0</formula1>
      <formula2>NaN</formula2>
    </dataValidation>
    <dataValidation type="whole" allowBlank="1" showInputMessage="1" showErrorMessage="1" sqref="T29">
      <formula1>0</formula1>
      <formula2>NaN</formula2>
    </dataValidation>
    <dataValidation type="whole" allowBlank="1" showInputMessage="1" showErrorMessage="1" sqref="T30">
      <formula1>0</formula1>
      <formula2>NaN</formula2>
    </dataValidation>
    <dataValidation type="whole" allowBlank="1" showInputMessage="1" showErrorMessage="1" sqref="T31">
      <formula1>0</formula1>
      <formula2>NaN</formula2>
    </dataValidation>
    <dataValidation type="whole" allowBlank="1" showInputMessage="1" showErrorMessage="1" sqref="T32">
      <formula1>0</formula1>
      <formula2>NaN</formula2>
    </dataValidation>
    <dataValidation type="whole" allowBlank="1" showInputMessage="1" showErrorMessage="1" sqref="T33">
      <formula1>0</formula1>
      <formula2>NaN</formula2>
    </dataValidation>
    <dataValidation type="whole" allowBlank="1" showInputMessage="1" showErrorMessage="1" sqref="T34">
      <formula1>0</formula1>
      <formula2>NaN</formula2>
    </dataValidation>
    <dataValidation type="whole" allowBlank="1" showInputMessage="1" showErrorMessage="1" sqref="T35">
      <formula1>0</formula1>
      <formula2>NaN</formula2>
    </dataValidation>
    <dataValidation type="whole" allowBlank="1" showInputMessage="1" showErrorMessage="1" sqref="T36">
      <formula1>0</formula1>
      <formula2>NaN</formula2>
    </dataValidation>
    <dataValidation type="whole" allowBlank="1" showInputMessage="1" showErrorMessage="1" sqref="T37">
      <formula1>0</formula1>
      <formula2>NaN</formula2>
    </dataValidation>
    <dataValidation type="whole" allowBlank="1" showInputMessage="1" showErrorMessage="1" sqref="T38">
      <formula1>0</formula1>
      <formula2>NaN</formula2>
    </dataValidation>
    <dataValidation type="whole" allowBlank="1" showInputMessage="1" showErrorMessage="1" sqref="T39">
      <formula1>0</formula1>
      <formula2>NaN</formula2>
    </dataValidation>
    <dataValidation type="whole" allowBlank="1" showInputMessage="1" showErrorMessage="1" sqref="T40">
      <formula1>0</formula1>
      <formula2>NaN</formula2>
    </dataValidation>
    <dataValidation type="whole" allowBlank="1" showInputMessage="1" showErrorMessage="1" sqref="T41">
      <formula1>0</formula1>
      <formula2>NaN</formula2>
    </dataValidation>
    <dataValidation type="whole" allowBlank="1" showInputMessage="1" showErrorMessage="1" sqref="T42">
      <formula1>0</formula1>
      <formula2>NaN</formula2>
    </dataValidation>
    <dataValidation type="whole" allowBlank="1" showInputMessage="1" showErrorMessage="1" sqref="T43">
      <formula1>0</formula1>
      <formula2>NaN</formula2>
    </dataValidation>
    <dataValidation type="whole" allowBlank="1" showInputMessage="1" showErrorMessage="1" sqref="T44">
      <formula1>0</formula1>
      <formula2>NaN</formula2>
    </dataValidation>
    <dataValidation type="whole" allowBlank="1" showInputMessage="1" showErrorMessage="1" sqref="T45">
      <formula1>0</formula1>
      <formula2>NaN</formula2>
    </dataValidation>
    <dataValidation type="whole" allowBlank="1" showInputMessage="1" showErrorMessage="1" sqref="T46">
      <formula1>0</formula1>
      <formula2>NaN</formula2>
    </dataValidation>
    <dataValidation type="whole" allowBlank="1" showInputMessage="1" showErrorMessage="1" sqref="T47">
      <formula1>0</formula1>
      <formula2>NaN</formula2>
    </dataValidation>
    <dataValidation type="whole" allowBlank="1" showInputMessage="1" showErrorMessage="1" sqref="T48">
      <formula1>0</formula1>
      <formula2>NaN</formula2>
    </dataValidation>
    <dataValidation type="whole" allowBlank="1" showInputMessage="1" showErrorMessage="1" sqref="T49">
      <formula1>0</formula1>
      <formula2>NaN</formula2>
    </dataValidation>
    <dataValidation type="whole" allowBlank="1" showInputMessage="1" showErrorMessage="1" sqref="T50">
      <formula1>0</formula1>
      <formula2>NaN</formula2>
    </dataValidation>
    <dataValidation type="whole" allowBlank="1" showInputMessage="1" showErrorMessage="1" sqref="T51">
      <formula1>0</formula1>
      <formula2>NaN</formula2>
    </dataValidation>
    <dataValidation type="whole" allowBlank="1" showInputMessage="1" showErrorMessage="1" sqref="T52">
      <formula1>0</formula1>
      <formula2>NaN</formula2>
    </dataValidation>
    <dataValidation type="whole" allowBlank="1" showInputMessage="1" showErrorMessage="1" sqref="T53">
      <formula1>0</formula1>
      <formula2>NaN</formula2>
    </dataValidation>
    <dataValidation type="whole" allowBlank="1" showInputMessage="1" showErrorMessage="1" sqref="T54">
      <formula1>0</formula1>
      <formula2>NaN</formula2>
    </dataValidation>
    <dataValidation type="whole" allowBlank="1" showInputMessage="1" showErrorMessage="1" sqref="T55">
      <formula1>0</formula1>
      <formula2>NaN</formula2>
    </dataValidation>
    <dataValidation type="whole" allowBlank="1" showInputMessage="1" showErrorMessage="1" sqref="T56">
      <formula1>0</formula1>
      <formula2>NaN</formula2>
    </dataValidation>
    <dataValidation type="whole" allowBlank="1" showInputMessage="1" showErrorMessage="1" sqref="T57">
      <formula1>0</formula1>
      <formula2>NaN</formula2>
    </dataValidation>
    <dataValidation type="whole" allowBlank="1" showInputMessage="1" showErrorMessage="1" sqref="T58">
      <formula1>0</formula1>
      <formula2>NaN</formula2>
    </dataValidation>
    <dataValidation type="whole" allowBlank="1" showInputMessage="1" showErrorMessage="1" sqref="T59">
      <formula1>0</formula1>
      <formula2>NaN</formula2>
    </dataValidation>
    <dataValidation type="whole" allowBlank="1" showInputMessage="1" showErrorMessage="1" sqref="T60">
      <formula1>0</formula1>
      <formula2>NaN</formula2>
    </dataValidation>
    <dataValidation type="whole" allowBlank="1" showInputMessage="1" showErrorMessage="1" sqref="T61">
      <formula1>0</formula1>
      <formula2>NaN</formula2>
    </dataValidation>
    <dataValidation type="whole" allowBlank="1" showInputMessage="1" showErrorMessage="1" sqref="T62">
      <formula1>0</formula1>
      <formula2>NaN</formula2>
    </dataValidation>
    <dataValidation type="whole" allowBlank="1" showInputMessage="1" showErrorMessage="1" sqref="T63">
      <formula1>0</formula1>
      <formula2>NaN</formula2>
    </dataValidation>
    <dataValidation type="whole" allowBlank="1" showInputMessage="1" showErrorMessage="1" sqref="T64">
      <formula1>0</formula1>
      <formula2>NaN</formula2>
    </dataValidation>
    <dataValidation type="whole" allowBlank="1" showInputMessage="1" showErrorMessage="1" sqref="T65">
      <formula1>0</formula1>
      <formula2>NaN</formula2>
    </dataValidation>
    <dataValidation type="whole" allowBlank="1" showInputMessage="1" showErrorMessage="1" sqref="T66">
      <formula1>0</formula1>
      <formula2>NaN</formula2>
    </dataValidation>
    <dataValidation type="whole" allowBlank="1" showInputMessage="1" showErrorMessage="1" sqref="T67">
      <formula1>0</formula1>
      <formula2>NaN</formula2>
    </dataValidation>
    <dataValidation type="whole" allowBlank="1" showInputMessage="1" showErrorMessage="1" sqref="T68">
      <formula1>0</formula1>
      <formula2>NaN</formula2>
    </dataValidation>
    <dataValidation type="whole" allowBlank="1" showInputMessage="1" showErrorMessage="1" sqref="T9">
      <formula1>0</formula1>
      <formula2>NaN</formula2>
    </dataValidation>
    <dataValidation type="whole" allowBlank="1" showInputMessage="1" showErrorMessage="1" sqref="U10">
      <formula1>0</formula1>
      <formula2>NaN</formula2>
    </dataValidation>
    <dataValidation type="whole" allowBlank="1" showInputMessage="1" showErrorMessage="1" sqref="U11">
      <formula1>0</formula1>
      <formula2>NaN</formula2>
    </dataValidation>
    <dataValidation type="whole" allowBlank="1" showInputMessage="1" showErrorMessage="1" sqref="U12">
      <formula1>0</formula1>
      <formula2>NaN</formula2>
    </dataValidation>
    <dataValidation type="whole" allowBlank="1" showInputMessage="1" showErrorMessage="1" sqref="U13">
      <formula1>0</formula1>
      <formula2>NaN</formula2>
    </dataValidation>
    <dataValidation type="whole" allowBlank="1" showInputMessage="1" showErrorMessage="1" sqref="U14">
      <formula1>0</formula1>
      <formula2>NaN</formula2>
    </dataValidation>
    <dataValidation type="whole" allowBlank="1" showInputMessage="1" showErrorMessage="1" sqref="U15">
      <formula1>0</formula1>
      <formula2>NaN</formula2>
    </dataValidation>
    <dataValidation type="whole" allowBlank="1" showInputMessage="1" showErrorMessage="1" sqref="U16">
      <formula1>0</formula1>
      <formula2>NaN</formula2>
    </dataValidation>
    <dataValidation type="whole" allowBlank="1" showInputMessage="1" showErrorMessage="1" sqref="U17">
      <formula1>0</formula1>
      <formula2>NaN</formula2>
    </dataValidation>
    <dataValidation type="whole" allowBlank="1" showInputMessage="1" showErrorMessage="1" sqref="U18">
      <formula1>0</formula1>
      <formula2>NaN</formula2>
    </dataValidation>
    <dataValidation type="whole" allowBlank="1" showInputMessage="1" showErrorMessage="1" sqref="U19">
      <formula1>0</formula1>
      <formula2>NaN</formula2>
    </dataValidation>
    <dataValidation type="whole" allowBlank="1" showInputMessage="1" showErrorMessage="1" sqref="U20">
      <formula1>0</formula1>
      <formula2>NaN</formula2>
    </dataValidation>
    <dataValidation type="whole" allowBlank="1" showInputMessage="1" showErrorMessage="1" sqref="U21">
      <formula1>0</formula1>
      <formula2>NaN</formula2>
    </dataValidation>
    <dataValidation type="whole" allowBlank="1" showInputMessage="1" showErrorMessage="1" sqref="U22">
      <formula1>0</formula1>
      <formula2>NaN</formula2>
    </dataValidation>
    <dataValidation type="whole" allowBlank="1" showInputMessage="1" showErrorMessage="1" sqref="U23">
      <formula1>0</formula1>
      <formula2>NaN</formula2>
    </dataValidation>
    <dataValidation type="whole" allowBlank="1" showInputMessage="1" showErrorMessage="1" sqref="U24">
      <formula1>0</formula1>
      <formula2>NaN</formula2>
    </dataValidation>
    <dataValidation type="whole" allowBlank="1" showInputMessage="1" showErrorMessage="1" sqref="U25">
      <formula1>0</formula1>
      <formula2>NaN</formula2>
    </dataValidation>
    <dataValidation type="whole" allowBlank="1" showInputMessage="1" showErrorMessage="1" sqref="U26">
      <formula1>0</formula1>
      <formula2>NaN</formula2>
    </dataValidation>
    <dataValidation type="whole" allowBlank="1" showInputMessage="1" showErrorMessage="1" sqref="U27">
      <formula1>0</formula1>
      <formula2>NaN</formula2>
    </dataValidation>
    <dataValidation type="whole" allowBlank="1" showInputMessage="1" showErrorMessage="1" sqref="U28">
      <formula1>0</formula1>
      <formula2>NaN</formula2>
    </dataValidation>
    <dataValidation type="whole" allowBlank="1" showInputMessage="1" showErrorMessage="1" sqref="U29">
      <formula1>0</formula1>
      <formula2>NaN</formula2>
    </dataValidation>
    <dataValidation type="whole" allowBlank="1" showInputMessage="1" showErrorMessage="1" sqref="U30">
      <formula1>0</formula1>
      <formula2>NaN</formula2>
    </dataValidation>
    <dataValidation type="whole" allowBlank="1" showInputMessage="1" showErrorMessage="1" sqref="U31">
      <formula1>0</formula1>
      <formula2>NaN</formula2>
    </dataValidation>
    <dataValidation type="whole" allowBlank="1" showInputMessage="1" showErrorMessage="1" sqref="U32">
      <formula1>0</formula1>
      <formula2>NaN</formula2>
    </dataValidation>
    <dataValidation type="whole" allowBlank="1" showInputMessage="1" showErrorMessage="1" sqref="U33">
      <formula1>0</formula1>
      <formula2>NaN</formula2>
    </dataValidation>
    <dataValidation type="whole" allowBlank="1" showInputMessage="1" showErrorMessage="1" sqref="U34">
      <formula1>0</formula1>
      <formula2>NaN</formula2>
    </dataValidation>
    <dataValidation type="whole" allowBlank="1" showInputMessage="1" showErrorMessage="1" sqref="U35">
      <formula1>0</formula1>
      <formula2>NaN</formula2>
    </dataValidation>
    <dataValidation type="whole" allowBlank="1" showInputMessage="1" showErrorMessage="1" sqref="U36">
      <formula1>0</formula1>
      <formula2>NaN</formula2>
    </dataValidation>
    <dataValidation type="whole" allowBlank="1" showInputMessage="1" showErrorMessage="1" sqref="U37">
      <formula1>0</formula1>
      <formula2>NaN</formula2>
    </dataValidation>
    <dataValidation type="whole" allowBlank="1" showInputMessage="1" showErrorMessage="1" sqref="U38">
      <formula1>0</formula1>
      <formula2>NaN</formula2>
    </dataValidation>
    <dataValidation type="whole" allowBlank="1" showInputMessage="1" showErrorMessage="1" sqref="U39">
      <formula1>0</formula1>
      <formula2>NaN</formula2>
    </dataValidation>
    <dataValidation type="whole" allowBlank="1" showInputMessage="1" showErrorMessage="1" sqref="U40">
      <formula1>0</formula1>
      <formula2>NaN</formula2>
    </dataValidation>
    <dataValidation type="whole" allowBlank="1" showInputMessage="1" showErrorMessage="1" sqref="U41">
      <formula1>0</formula1>
      <formula2>NaN</formula2>
    </dataValidation>
    <dataValidation type="whole" allowBlank="1" showInputMessage="1" showErrorMessage="1" sqref="U42">
      <formula1>0</formula1>
      <formula2>NaN</formula2>
    </dataValidation>
    <dataValidation type="whole" allowBlank="1" showInputMessage="1" showErrorMessage="1" sqref="U43">
      <formula1>0</formula1>
      <formula2>NaN</formula2>
    </dataValidation>
    <dataValidation type="whole" allowBlank="1" showInputMessage="1" showErrorMessage="1" sqref="U44">
      <formula1>0</formula1>
      <formula2>NaN</formula2>
    </dataValidation>
    <dataValidation type="whole" allowBlank="1" showInputMessage="1" showErrorMessage="1" sqref="U45">
      <formula1>0</formula1>
      <formula2>NaN</formula2>
    </dataValidation>
    <dataValidation type="whole" allowBlank="1" showInputMessage="1" showErrorMessage="1" sqref="U46">
      <formula1>0</formula1>
      <formula2>NaN</formula2>
    </dataValidation>
    <dataValidation type="whole" allowBlank="1" showInputMessage="1" showErrorMessage="1" sqref="U47">
      <formula1>0</formula1>
      <formula2>NaN</formula2>
    </dataValidation>
    <dataValidation type="whole" allowBlank="1" showInputMessage="1" showErrorMessage="1" sqref="U48">
      <formula1>0</formula1>
      <formula2>NaN</formula2>
    </dataValidation>
    <dataValidation type="whole" allowBlank="1" showInputMessage="1" showErrorMessage="1" sqref="U49">
      <formula1>0</formula1>
      <formula2>NaN</formula2>
    </dataValidation>
    <dataValidation type="whole" allowBlank="1" showInputMessage="1" showErrorMessage="1" sqref="U50">
      <formula1>0</formula1>
      <formula2>NaN</formula2>
    </dataValidation>
    <dataValidation type="whole" allowBlank="1" showInputMessage="1" showErrorMessage="1" sqref="U51">
      <formula1>0</formula1>
      <formula2>NaN</formula2>
    </dataValidation>
    <dataValidation type="whole" allowBlank="1" showInputMessage="1" showErrorMessage="1" sqref="U52">
      <formula1>0</formula1>
      <formula2>NaN</formula2>
    </dataValidation>
    <dataValidation type="whole" allowBlank="1" showInputMessage="1" showErrorMessage="1" sqref="U53">
      <formula1>0</formula1>
      <formula2>NaN</formula2>
    </dataValidation>
    <dataValidation type="whole" allowBlank="1" showInputMessage="1" showErrorMessage="1" sqref="U54">
      <formula1>0</formula1>
      <formula2>NaN</formula2>
    </dataValidation>
    <dataValidation type="whole" allowBlank="1" showInputMessage="1" showErrorMessage="1" sqref="U55">
      <formula1>0</formula1>
      <formula2>NaN</formula2>
    </dataValidation>
    <dataValidation type="whole" allowBlank="1" showInputMessage="1" showErrorMessage="1" sqref="U56">
      <formula1>0</formula1>
      <formula2>NaN</formula2>
    </dataValidation>
    <dataValidation type="whole" allowBlank="1" showInputMessage="1" showErrorMessage="1" sqref="U57">
      <formula1>0</formula1>
      <formula2>NaN</formula2>
    </dataValidation>
    <dataValidation type="whole" allowBlank="1" showInputMessage="1" showErrorMessage="1" sqref="U58">
      <formula1>0</formula1>
      <formula2>NaN</formula2>
    </dataValidation>
    <dataValidation type="whole" allowBlank="1" showInputMessage="1" showErrorMessage="1" sqref="U59">
      <formula1>0</formula1>
      <formula2>NaN</formula2>
    </dataValidation>
    <dataValidation type="whole" allowBlank="1" showInputMessage="1" showErrorMessage="1" sqref="U60">
      <formula1>0</formula1>
      <formula2>NaN</formula2>
    </dataValidation>
    <dataValidation type="whole" allowBlank="1" showInputMessage="1" showErrorMessage="1" sqref="U61">
      <formula1>0</formula1>
      <formula2>NaN</formula2>
    </dataValidation>
    <dataValidation type="whole" allowBlank="1" showInputMessage="1" showErrorMessage="1" sqref="U62">
      <formula1>0</formula1>
      <formula2>NaN</formula2>
    </dataValidation>
    <dataValidation type="whole" allowBlank="1" showInputMessage="1" showErrorMessage="1" sqref="U63">
      <formula1>0</formula1>
      <formula2>NaN</formula2>
    </dataValidation>
    <dataValidation type="whole" allowBlank="1" showInputMessage="1" showErrorMessage="1" sqref="U64">
      <formula1>0</formula1>
      <formula2>NaN</formula2>
    </dataValidation>
    <dataValidation type="whole" allowBlank="1" showInputMessage="1" showErrorMessage="1" sqref="U65">
      <formula1>0</formula1>
      <formula2>NaN</formula2>
    </dataValidation>
    <dataValidation type="whole" allowBlank="1" showInputMessage="1" showErrorMessage="1" sqref="U66">
      <formula1>0</formula1>
      <formula2>NaN</formula2>
    </dataValidation>
    <dataValidation type="whole" allowBlank="1" showInputMessage="1" showErrorMessage="1" sqref="U67">
      <formula1>0</formula1>
      <formula2>NaN</formula2>
    </dataValidation>
    <dataValidation type="whole" allowBlank="1" showInputMessage="1" showErrorMessage="1" sqref="U68">
      <formula1>0</formula1>
      <formula2>NaN</formula2>
    </dataValidation>
    <dataValidation type="whole" allowBlank="1" showInputMessage="1" showErrorMessage="1" sqref="U9">
      <formula1>0</formula1>
      <formula2>NaN</formula2>
    </dataValidation>
    <dataValidation type="whole" allowBlank="1" showInputMessage="1" showErrorMessage="1" sqref="V10">
      <formula1>0</formula1>
      <formula2>NaN</formula2>
    </dataValidation>
    <dataValidation type="whole" allowBlank="1" showInputMessage="1" showErrorMessage="1" sqref="V11">
      <formula1>0</formula1>
      <formula2>NaN</formula2>
    </dataValidation>
    <dataValidation type="whole" allowBlank="1" showInputMessage="1" showErrorMessage="1" sqref="V12">
      <formula1>0</formula1>
      <formula2>NaN</formula2>
    </dataValidation>
    <dataValidation type="whole" allowBlank="1" showInputMessage="1" showErrorMessage="1" sqref="V13">
      <formula1>0</formula1>
      <formula2>NaN</formula2>
    </dataValidation>
    <dataValidation type="whole" allowBlank="1" showInputMessage="1" showErrorMessage="1" sqref="V14">
      <formula1>0</formula1>
      <formula2>NaN</formula2>
    </dataValidation>
    <dataValidation type="whole" allowBlank="1" showInputMessage="1" showErrorMessage="1" sqref="V15">
      <formula1>0</formula1>
      <formula2>NaN</formula2>
    </dataValidation>
    <dataValidation type="whole" allowBlank="1" showInputMessage="1" showErrorMessage="1" sqref="V16">
      <formula1>0</formula1>
      <formula2>NaN</formula2>
    </dataValidation>
    <dataValidation type="whole" allowBlank="1" showInputMessage="1" showErrorMessage="1" sqref="V17">
      <formula1>0</formula1>
      <formula2>NaN</formula2>
    </dataValidation>
    <dataValidation type="whole" allowBlank="1" showInputMessage="1" showErrorMessage="1" sqref="V18">
      <formula1>0</formula1>
      <formula2>NaN</formula2>
    </dataValidation>
    <dataValidation type="whole" allowBlank="1" showInputMessage="1" showErrorMessage="1" sqref="V19">
      <formula1>0</formula1>
      <formula2>NaN</formula2>
    </dataValidation>
    <dataValidation type="whole" allowBlank="1" showInputMessage="1" showErrorMessage="1" sqref="V20">
      <formula1>0</formula1>
      <formula2>NaN</formula2>
    </dataValidation>
    <dataValidation type="whole" allowBlank="1" showInputMessage="1" showErrorMessage="1" sqref="V21">
      <formula1>0</formula1>
      <formula2>NaN</formula2>
    </dataValidation>
    <dataValidation type="whole" allowBlank="1" showInputMessage="1" showErrorMessage="1" sqref="V22">
      <formula1>0</formula1>
      <formula2>NaN</formula2>
    </dataValidation>
    <dataValidation type="whole" allowBlank="1" showInputMessage="1" showErrorMessage="1" sqref="V23">
      <formula1>0</formula1>
      <formula2>NaN</formula2>
    </dataValidation>
    <dataValidation type="whole" allowBlank="1" showInputMessage="1" showErrorMessage="1" sqref="V24">
      <formula1>0</formula1>
      <formula2>NaN</formula2>
    </dataValidation>
    <dataValidation type="whole" allowBlank="1" showInputMessage="1" showErrorMessage="1" sqref="V25">
      <formula1>0</formula1>
      <formula2>NaN</formula2>
    </dataValidation>
    <dataValidation type="whole" allowBlank="1" showInputMessage="1" showErrorMessage="1" sqref="V26">
      <formula1>0</formula1>
      <formula2>NaN</formula2>
    </dataValidation>
    <dataValidation type="whole" allowBlank="1" showInputMessage="1" showErrorMessage="1" sqref="V27">
      <formula1>0</formula1>
      <formula2>NaN</formula2>
    </dataValidation>
    <dataValidation type="whole" allowBlank="1" showInputMessage="1" showErrorMessage="1" sqref="V28">
      <formula1>0</formula1>
      <formula2>NaN</formula2>
    </dataValidation>
    <dataValidation type="whole" allowBlank="1" showInputMessage="1" showErrorMessage="1" sqref="V29">
      <formula1>0</formula1>
      <formula2>NaN</formula2>
    </dataValidation>
    <dataValidation type="whole" allowBlank="1" showInputMessage="1" showErrorMessage="1" sqref="V30">
      <formula1>0</formula1>
      <formula2>NaN</formula2>
    </dataValidation>
    <dataValidation type="whole" allowBlank="1" showInputMessage="1" showErrorMessage="1" sqref="V31">
      <formula1>0</formula1>
      <formula2>NaN</formula2>
    </dataValidation>
    <dataValidation type="whole" allowBlank="1" showInputMessage="1" showErrorMessage="1" sqref="V32">
      <formula1>0</formula1>
      <formula2>NaN</formula2>
    </dataValidation>
    <dataValidation type="whole" allowBlank="1" showInputMessage="1" showErrorMessage="1" sqref="V33">
      <formula1>0</formula1>
      <formula2>NaN</formula2>
    </dataValidation>
    <dataValidation type="whole" allowBlank="1" showInputMessage="1" showErrorMessage="1" sqref="V34">
      <formula1>0</formula1>
      <formula2>NaN</formula2>
    </dataValidation>
    <dataValidation type="whole" allowBlank="1" showInputMessage="1" showErrorMessage="1" sqref="V35">
      <formula1>0</formula1>
      <formula2>NaN</formula2>
    </dataValidation>
    <dataValidation type="whole" allowBlank="1" showInputMessage="1" showErrorMessage="1" sqref="V36">
      <formula1>0</formula1>
      <formula2>NaN</formula2>
    </dataValidation>
    <dataValidation type="whole" allowBlank="1" showInputMessage="1" showErrorMessage="1" sqref="V37">
      <formula1>0</formula1>
      <formula2>NaN</formula2>
    </dataValidation>
    <dataValidation type="whole" allowBlank="1" showInputMessage="1" showErrorMessage="1" sqref="V38">
      <formula1>0</formula1>
      <formula2>NaN</formula2>
    </dataValidation>
    <dataValidation type="whole" allowBlank="1" showInputMessage="1" showErrorMessage="1" sqref="V39">
      <formula1>0</formula1>
      <formula2>NaN</formula2>
    </dataValidation>
    <dataValidation type="whole" allowBlank="1" showInputMessage="1" showErrorMessage="1" sqref="V40">
      <formula1>0</formula1>
      <formula2>NaN</formula2>
    </dataValidation>
    <dataValidation type="whole" allowBlank="1" showInputMessage="1" showErrorMessage="1" sqref="V41">
      <formula1>0</formula1>
      <formula2>NaN</formula2>
    </dataValidation>
    <dataValidation type="whole" allowBlank="1" showInputMessage="1" showErrorMessage="1" sqref="V42">
      <formula1>0</formula1>
      <formula2>NaN</formula2>
    </dataValidation>
    <dataValidation type="whole" allowBlank="1" showInputMessage="1" showErrorMessage="1" sqref="V43">
      <formula1>0</formula1>
      <formula2>NaN</formula2>
    </dataValidation>
    <dataValidation type="whole" allowBlank="1" showInputMessage="1" showErrorMessage="1" sqref="V44">
      <formula1>0</formula1>
      <formula2>NaN</formula2>
    </dataValidation>
    <dataValidation type="whole" allowBlank="1" showInputMessage="1" showErrorMessage="1" sqref="V45">
      <formula1>0</formula1>
      <formula2>NaN</formula2>
    </dataValidation>
    <dataValidation type="whole" allowBlank="1" showInputMessage="1" showErrorMessage="1" sqref="V46">
      <formula1>0</formula1>
      <formula2>NaN</formula2>
    </dataValidation>
    <dataValidation type="whole" allowBlank="1" showInputMessage="1" showErrorMessage="1" sqref="V47">
      <formula1>0</formula1>
      <formula2>NaN</formula2>
    </dataValidation>
    <dataValidation type="whole" allowBlank="1" showInputMessage="1" showErrorMessage="1" sqref="V48">
      <formula1>0</formula1>
      <formula2>NaN</formula2>
    </dataValidation>
    <dataValidation type="whole" allowBlank="1" showInputMessage="1" showErrorMessage="1" sqref="V49">
      <formula1>0</formula1>
      <formula2>NaN</formula2>
    </dataValidation>
    <dataValidation type="whole" allowBlank="1" showInputMessage="1" showErrorMessage="1" sqref="V50">
      <formula1>0</formula1>
      <formula2>NaN</formula2>
    </dataValidation>
    <dataValidation type="whole" allowBlank="1" showInputMessage="1" showErrorMessage="1" sqref="V51">
      <formula1>0</formula1>
      <formula2>NaN</formula2>
    </dataValidation>
    <dataValidation type="whole" allowBlank="1" showInputMessage="1" showErrorMessage="1" sqref="V52">
      <formula1>0</formula1>
      <formula2>NaN</formula2>
    </dataValidation>
    <dataValidation type="whole" allowBlank="1" showInputMessage="1" showErrorMessage="1" sqref="V53">
      <formula1>0</formula1>
      <formula2>NaN</formula2>
    </dataValidation>
    <dataValidation type="whole" allowBlank="1" showInputMessage="1" showErrorMessage="1" sqref="V54">
      <formula1>0</formula1>
      <formula2>NaN</formula2>
    </dataValidation>
    <dataValidation type="whole" allowBlank="1" showInputMessage="1" showErrorMessage="1" sqref="V55">
      <formula1>0</formula1>
      <formula2>NaN</formula2>
    </dataValidation>
    <dataValidation type="whole" allowBlank="1" showInputMessage="1" showErrorMessage="1" sqref="V56">
      <formula1>0</formula1>
      <formula2>NaN</formula2>
    </dataValidation>
    <dataValidation type="whole" allowBlank="1" showInputMessage="1" showErrorMessage="1" sqref="V57">
      <formula1>0</formula1>
      <formula2>NaN</formula2>
    </dataValidation>
    <dataValidation type="whole" allowBlank="1" showInputMessage="1" showErrorMessage="1" sqref="V58">
      <formula1>0</formula1>
      <formula2>NaN</formula2>
    </dataValidation>
    <dataValidation type="whole" allowBlank="1" showInputMessage="1" showErrorMessage="1" sqref="V59">
      <formula1>0</formula1>
      <formula2>NaN</formula2>
    </dataValidation>
    <dataValidation type="whole" allowBlank="1" showInputMessage="1" showErrorMessage="1" sqref="V60">
      <formula1>0</formula1>
      <formula2>NaN</formula2>
    </dataValidation>
    <dataValidation type="whole" allowBlank="1" showInputMessage="1" showErrorMessage="1" sqref="V61">
      <formula1>0</formula1>
      <formula2>NaN</formula2>
    </dataValidation>
    <dataValidation type="whole" allowBlank="1" showInputMessage="1" showErrorMessage="1" sqref="V62">
      <formula1>0</formula1>
      <formula2>NaN</formula2>
    </dataValidation>
    <dataValidation type="whole" allowBlank="1" showInputMessage="1" showErrorMessage="1" sqref="V63">
      <formula1>0</formula1>
      <formula2>NaN</formula2>
    </dataValidation>
    <dataValidation type="whole" allowBlank="1" showInputMessage="1" showErrorMessage="1" sqref="V64">
      <formula1>0</formula1>
      <formula2>NaN</formula2>
    </dataValidation>
    <dataValidation type="whole" allowBlank="1" showInputMessage="1" showErrorMessage="1" sqref="V65">
      <formula1>0</formula1>
      <formula2>NaN</formula2>
    </dataValidation>
    <dataValidation type="whole" allowBlank="1" showInputMessage="1" showErrorMessage="1" sqref="V66">
      <formula1>0</formula1>
      <formula2>NaN</formula2>
    </dataValidation>
    <dataValidation type="whole" allowBlank="1" showInputMessage="1" showErrorMessage="1" sqref="V67">
      <formula1>0</formula1>
      <formula2>NaN</formula2>
    </dataValidation>
    <dataValidation type="whole" allowBlank="1" showInputMessage="1" showErrorMessage="1" sqref="V68">
      <formula1>0</formula1>
      <formula2>NaN</formula2>
    </dataValidation>
    <dataValidation type="whole" allowBlank="1" showInputMessage="1" showErrorMessage="1" sqref="V9">
      <formula1>0</formula1>
      <formula2>NaN</formula2>
    </dataValidation>
    <dataValidation type="whole" allowBlank="1" showInputMessage="1" showErrorMessage="1" sqref="W10">
      <formula1>0</formula1>
      <formula2>NaN</formula2>
    </dataValidation>
    <dataValidation type="whole" allowBlank="1" showInputMessage="1" showErrorMessage="1" sqref="W11">
      <formula1>0</formula1>
      <formula2>NaN</formula2>
    </dataValidation>
    <dataValidation type="whole" allowBlank="1" showInputMessage="1" showErrorMessage="1" sqref="W12">
      <formula1>0</formula1>
      <formula2>NaN</formula2>
    </dataValidation>
    <dataValidation type="whole" allowBlank="1" showInputMessage="1" showErrorMessage="1" sqref="W13">
      <formula1>0</formula1>
      <formula2>NaN</formula2>
    </dataValidation>
    <dataValidation type="whole" allowBlank="1" showInputMessage="1" showErrorMessage="1" sqref="W14">
      <formula1>0</formula1>
      <formula2>NaN</formula2>
    </dataValidation>
    <dataValidation type="whole" allowBlank="1" showInputMessage="1" showErrorMessage="1" sqref="W15">
      <formula1>0</formula1>
      <formula2>NaN</formula2>
    </dataValidation>
    <dataValidation type="whole" allowBlank="1" showInputMessage="1" showErrorMessage="1" sqref="W16">
      <formula1>0</formula1>
      <formula2>NaN</formula2>
    </dataValidation>
    <dataValidation type="whole" allowBlank="1" showInputMessage="1" showErrorMessage="1" sqref="W17">
      <formula1>0</formula1>
      <formula2>NaN</formula2>
    </dataValidation>
    <dataValidation type="whole" allowBlank="1" showInputMessage="1" showErrorMessage="1" sqref="W18">
      <formula1>0</formula1>
      <formula2>NaN</formula2>
    </dataValidation>
    <dataValidation type="whole" allowBlank="1" showInputMessage="1" showErrorMessage="1" sqref="W19">
      <formula1>0</formula1>
      <formula2>NaN</formula2>
    </dataValidation>
    <dataValidation type="whole" allowBlank="1" showInputMessage="1" showErrorMessage="1" sqref="W20">
      <formula1>0</formula1>
      <formula2>NaN</formula2>
    </dataValidation>
    <dataValidation type="whole" allowBlank="1" showInputMessage="1" showErrorMessage="1" sqref="W21">
      <formula1>0</formula1>
      <formula2>NaN</formula2>
    </dataValidation>
    <dataValidation type="whole" allowBlank="1" showInputMessage="1" showErrorMessage="1" sqref="W22">
      <formula1>0</formula1>
      <formula2>NaN</formula2>
    </dataValidation>
    <dataValidation type="whole" allowBlank="1" showInputMessage="1" showErrorMessage="1" sqref="W23">
      <formula1>0</formula1>
      <formula2>NaN</formula2>
    </dataValidation>
    <dataValidation type="whole" allowBlank="1" showInputMessage="1" showErrorMessage="1" sqref="W24">
      <formula1>0</formula1>
      <formula2>NaN</formula2>
    </dataValidation>
    <dataValidation type="whole" allowBlank="1" showInputMessage="1" showErrorMessage="1" sqref="W25">
      <formula1>0</formula1>
      <formula2>NaN</formula2>
    </dataValidation>
    <dataValidation type="whole" allowBlank="1" showInputMessage="1" showErrorMessage="1" sqref="W26">
      <formula1>0</formula1>
      <formula2>NaN</formula2>
    </dataValidation>
    <dataValidation type="whole" allowBlank="1" showInputMessage="1" showErrorMessage="1" sqref="W27">
      <formula1>0</formula1>
      <formula2>NaN</formula2>
    </dataValidation>
    <dataValidation type="whole" allowBlank="1" showInputMessage="1" showErrorMessage="1" sqref="W28">
      <formula1>0</formula1>
      <formula2>NaN</formula2>
    </dataValidation>
    <dataValidation type="whole" allowBlank="1" showInputMessage="1" showErrorMessage="1" sqref="W29">
      <formula1>0</formula1>
      <formula2>NaN</formula2>
    </dataValidation>
    <dataValidation type="whole" allowBlank="1" showInputMessage="1" showErrorMessage="1" sqref="W30">
      <formula1>0</formula1>
      <formula2>NaN</formula2>
    </dataValidation>
    <dataValidation type="whole" allowBlank="1" showInputMessage="1" showErrorMessage="1" sqref="W31">
      <formula1>0</formula1>
      <formula2>NaN</formula2>
    </dataValidation>
    <dataValidation type="whole" allowBlank="1" showInputMessage="1" showErrorMessage="1" sqref="W32">
      <formula1>0</formula1>
      <formula2>NaN</formula2>
    </dataValidation>
    <dataValidation type="whole" allowBlank="1" showInputMessage="1" showErrorMessage="1" sqref="W33">
      <formula1>0</formula1>
      <formula2>NaN</formula2>
    </dataValidation>
    <dataValidation type="whole" allowBlank="1" showInputMessage="1" showErrorMessage="1" sqref="W34">
      <formula1>0</formula1>
      <formula2>NaN</formula2>
    </dataValidation>
    <dataValidation type="whole" allowBlank="1" showInputMessage="1" showErrorMessage="1" sqref="W35">
      <formula1>0</formula1>
      <formula2>NaN</formula2>
    </dataValidation>
    <dataValidation type="whole" allowBlank="1" showInputMessage="1" showErrorMessage="1" sqref="W36">
      <formula1>0</formula1>
      <formula2>NaN</formula2>
    </dataValidation>
    <dataValidation type="whole" allowBlank="1" showInputMessage="1" showErrorMessage="1" sqref="W37">
      <formula1>0</formula1>
      <formula2>NaN</formula2>
    </dataValidation>
    <dataValidation type="whole" allowBlank="1" showInputMessage="1" showErrorMessage="1" sqref="W38">
      <formula1>0</formula1>
      <formula2>NaN</formula2>
    </dataValidation>
    <dataValidation type="whole" allowBlank="1" showInputMessage="1" showErrorMessage="1" sqref="W39">
      <formula1>0</formula1>
      <formula2>NaN</formula2>
    </dataValidation>
    <dataValidation type="whole" allowBlank="1" showInputMessage="1" showErrorMessage="1" sqref="W40">
      <formula1>0</formula1>
      <formula2>NaN</formula2>
    </dataValidation>
    <dataValidation type="whole" allowBlank="1" showInputMessage="1" showErrorMessage="1" sqref="W41">
      <formula1>0</formula1>
      <formula2>NaN</formula2>
    </dataValidation>
    <dataValidation type="whole" allowBlank="1" showInputMessage="1" showErrorMessage="1" sqref="W42">
      <formula1>0</formula1>
      <formula2>NaN</formula2>
    </dataValidation>
    <dataValidation type="whole" allowBlank="1" showInputMessage="1" showErrorMessage="1" sqref="W43">
      <formula1>0</formula1>
      <formula2>NaN</formula2>
    </dataValidation>
    <dataValidation type="whole" allowBlank="1" showInputMessage="1" showErrorMessage="1" sqref="W44">
      <formula1>0</formula1>
      <formula2>NaN</formula2>
    </dataValidation>
    <dataValidation type="whole" allowBlank="1" showInputMessage="1" showErrorMessage="1" sqref="W45">
      <formula1>0</formula1>
      <formula2>NaN</formula2>
    </dataValidation>
    <dataValidation type="whole" allowBlank="1" showInputMessage="1" showErrorMessage="1" sqref="W46">
      <formula1>0</formula1>
      <formula2>NaN</formula2>
    </dataValidation>
    <dataValidation type="whole" allowBlank="1" showInputMessage="1" showErrorMessage="1" sqref="W47">
      <formula1>0</formula1>
      <formula2>NaN</formula2>
    </dataValidation>
    <dataValidation type="whole" allowBlank="1" showInputMessage="1" showErrorMessage="1" sqref="W48">
      <formula1>0</formula1>
      <formula2>NaN</formula2>
    </dataValidation>
    <dataValidation type="whole" allowBlank="1" showInputMessage="1" showErrorMessage="1" sqref="W49">
      <formula1>0</formula1>
      <formula2>NaN</formula2>
    </dataValidation>
    <dataValidation type="whole" allowBlank="1" showInputMessage="1" showErrorMessage="1" sqref="W50">
      <formula1>0</formula1>
      <formula2>NaN</formula2>
    </dataValidation>
    <dataValidation type="whole" allowBlank="1" showInputMessage="1" showErrorMessage="1" sqref="W51">
      <formula1>0</formula1>
      <formula2>NaN</formula2>
    </dataValidation>
    <dataValidation type="whole" allowBlank="1" showInputMessage="1" showErrorMessage="1" sqref="W52">
      <formula1>0</formula1>
      <formula2>NaN</formula2>
    </dataValidation>
    <dataValidation type="whole" allowBlank="1" showInputMessage="1" showErrorMessage="1" sqref="W53">
      <formula1>0</formula1>
      <formula2>NaN</formula2>
    </dataValidation>
    <dataValidation type="whole" allowBlank="1" showInputMessage="1" showErrorMessage="1" sqref="W54">
      <formula1>0</formula1>
      <formula2>NaN</formula2>
    </dataValidation>
    <dataValidation type="whole" allowBlank="1" showInputMessage="1" showErrorMessage="1" sqref="W55">
      <formula1>0</formula1>
      <formula2>NaN</formula2>
    </dataValidation>
    <dataValidation type="whole" allowBlank="1" showInputMessage="1" showErrorMessage="1" sqref="W56">
      <formula1>0</formula1>
      <formula2>NaN</formula2>
    </dataValidation>
    <dataValidation type="whole" allowBlank="1" showInputMessage="1" showErrorMessage="1" sqref="W57">
      <formula1>0</formula1>
      <formula2>NaN</formula2>
    </dataValidation>
    <dataValidation type="whole" allowBlank="1" showInputMessage="1" showErrorMessage="1" sqref="W58">
      <formula1>0</formula1>
      <formula2>NaN</formula2>
    </dataValidation>
    <dataValidation type="whole" allowBlank="1" showInputMessage="1" showErrorMessage="1" sqref="W59">
      <formula1>0</formula1>
      <formula2>NaN</formula2>
    </dataValidation>
    <dataValidation type="whole" allowBlank="1" showInputMessage="1" showErrorMessage="1" sqref="W60">
      <formula1>0</formula1>
      <formula2>NaN</formula2>
    </dataValidation>
    <dataValidation type="whole" allowBlank="1" showInputMessage="1" showErrorMessage="1" sqref="W61">
      <formula1>0</formula1>
      <formula2>NaN</formula2>
    </dataValidation>
    <dataValidation type="whole" allowBlank="1" showInputMessage="1" showErrorMessage="1" sqref="W62">
      <formula1>0</formula1>
      <formula2>NaN</formula2>
    </dataValidation>
    <dataValidation type="whole" allowBlank="1" showInputMessage="1" showErrorMessage="1" sqref="W63">
      <formula1>0</formula1>
      <formula2>NaN</formula2>
    </dataValidation>
    <dataValidation type="whole" allowBlank="1" showInputMessage="1" showErrorMessage="1" sqref="W64">
      <formula1>0</formula1>
      <formula2>NaN</formula2>
    </dataValidation>
    <dataValidation type="whole" allowBlank="1" showInputMessage="1" showErrorMessage="1" sqref="W65">
      <formula1>0</formula1>
      <formula2>NaN</formula2>
    </dataValidation>
    <dataValidation type="whole" allowBlank="1" showInputMessage="1" showErrorMessage="1" sqref="W66">
      <formula1>0</formula1>
      <formula2>NaN</formula2>
    </dataValidation>
    <dataValidation type="whole" allowBlank="1" showInputMessage="1" showErrorMessage="1" sqref="W67">
      <formula1>0</formula1>
      <formula2>NaN</formula2>
    </dataValidation>
    <dataValidation type="whole" allowBlank="1" showInputMessage="1" showErrorMessage="1" sqref="W68">
      <formula1>0</formula1>
      <formula2>NaN</formula2>
    </dataValidation>
    <dataValidation type="whole" allowBlank="1" showInputMessage="1" showErrorMessage="1" sqref="W9">
      <formula1>0</formula1>
      <formula2>NaN</formula2>
    </dataValidation>
    <dataValidation type="whole" allowBlank="1" showInputMessage="1" showErrorMessage="1" sqref="X10">
      <formula1>0</formula1>
      <formula2>NaN</formula2>
    </dataValidation>
    <dataValidation type="whole" allowBlank="1" showInputMessage="1" showErrorMessage="1" sqref="X11">
      <formula1>0</formula1>
      <formula2>NaN</formula2>
    </dataValidation>
    <dataValidation type="whole" allowBlank="1" showInputMessage="1" showErrorMessage="1" sqref="X12">
      <formula1>0</formula1>
      <formula2>NaN</formula2>
    </dataValidation>
    <dataValidation type="whole" allowBlank="1" showInputMessage="1" showErrorMessage="1" sqref="X13">
      <formula1>0</formula1>
      <formula2>NaN</formula2>
    </dataValidation>
    <dataValidation type="whole" allowBlank="1" showInputMessage="1" showErrorMessage="1" sqref="X14">
      <formula1>0</formula1>
      <formula2>NaN</formula2>
    </dataValidation>
    <dataValidation type="whole" allowBlank="1" showInputMessage="1" showErrorMessage="1" sqref="X15">
      <formula1>0</formula1>
      <formula2>NaN</formula2>
    </dataValidation>
    <dataValidation type="whole" allowBlank="1" showInputMessage="1" showErrorMessage="1" sqref="X16">
      <formula1>0</formula1>
      <formula2>NaN</formula2>
    </dataValidation>
    <dataValidation type="whole" allowBlank="1" showInputMessage="1" showErrorMessage="1" sqref="X17">
      <formula1>0</formula1>
      <formula2>NaN</formula2>
    </dataValidation>
    <dataValidation type="whole" allowBlank="1" showInputMessage="1" showErrorMessage="1" sqref="X18">
      <formula1>0</formula1>
      <formula2>NaN</formula2>
    </dataValidation>
    <dataValidation type="whole" allowBlank="1" showInputMessage="1" showErrorMessage="1" sqref="X19">
      <formula1>0</formula1>
      <formula2>NaN</formula2>
    </dataValidation>
    <dataValidation type="whole" allowBlank="1" showInputMessage="1" showErrorMessage="1" sqref="X20">
      <formula1>0</formula1>
      <formula2>NaN</formula2>
    </dataValidation>
    <dataValidation type="whole" allowBlank="1" showInputMessage="1" showErrorMessage="1" sqref="X21">
      <formula1>0</formula1>
      <formula2>NaN</formula2>
    </dataValidation>
    <dataValidation type="whole" allowBlank="1" showInputMessage="1" showErrorMessage="1" sqref="X22">
      <formula1>0</formula1>
      <formula2>NaN</formula2>
    </dataValidation>
    <dataValidation type="whole" allowBlank="1" showInputMessage="1" showErrorMessage="1" sqref="X23">
      <formula1>0</formula1>
      <formula2>NaN</formula2>
    </dataValidation>
    <dataValidation type="whole" allowBlank="1" showInputMessage="1" showErrorMessage="1" sqref="X24">
      <formula1>0</formula1>
      <formula2>NaN</formula2>
    </dataValidation>
    <dataValidation type="whole" allowBlank="1" showInputMessage="1" showErrorMessage="1" sqref="X25">
      <formula1>0</formula1>
      <formula2>NaN</formula2>
    </dataValidation>
    <dataValidation type="whole" allowBlank="1" showInputMessage="1" showErrorMessage="1" sqref="X26">
      <formula1>0</formula1>
      <formula2>NaN</formula2>
    </dataValidation>
    <dataValidation type="whole" allowBlank="1" showInputMessage="1" showErrorMessage="1" sqref="X27">
      <formula1>0</formula1>
      <formula2>NaN</formula2>
    </dataValidation>
    <dataValidation type="whole" allowBlank="1" showInputMessage="1" showErrorMessage="1" sqref="X28">
      <formula1>0</formula1>
      <formula2>NaN</formula2>
    </dataValidation>
    <dataValidation type="whole" allowBlank="1" showInputMessage="1" showErrorMessage="1" sqref="X29">
      <formula1>0</formula1>
      <formula2>NaN</formula2>
    </dataValidation>
    <dataValidation type="whole" allowBlank="1" showInputMessage="1" showErrorMessage="1" sqref="X30">
      <formula1>0</formula1>
      <formula2>NaN</formula2>
    </dataValidation>
    <dataValidation type="whole" allowBlank="1" showInputMessage="1" showErrorMessage="1" sqref="X31">
      <formula1>0</formula1>
      <formula2>NaN</formula2>
    </dataValidation>
    <dataValidation type="whole" allowBlank="1" showInputMessage="1" showErrorMessage="1" sqref="X32">
      <formula1>0</formula1>
      <formula2>NaN</formula2>
    </dataValidation>
    <dataValidation type="whole" allowBlank="1" showInputMessage="1" showErrorMessage="1" sqref="X33">
      <formula1>0</formula1>
      <formula2>NaN</formula2>
    </dataValidation>
    <dataValidation type="whole" allowBlank="1" showInputMessage="1" showErrorMessage="1" sqref="X34">
      <formula1>0</formula1>
      <formula2>NaN</formula2>
    </dataValidation>
    <dataValidation type="whole" allowBlank="1" showInputMessage="1" showErrorMessage="1" sqref="X35">
      <formula1>0</formula1>
      <formula2>NaN</formula2>
    </dataValidation>
    <dataValidation type="whole" allowBlank="1" showInputMessage="1" showErrorMessage="1" sqref="X36">
      <formula1>0</formula1>
      <formula2>NaN</formula2>
    </dataValidation>
    <dataValidation type="whole" allowBlank="1" showInputMessage="1" showErrorMessage="1" sqref="X37">
      <formula1>0</formula1>
      <formula2>NaN</formula2>
    </dataValidation>
    <dataValidation type="whole" allowBlank="1" showInputMessage="1" showErrorMessage="1" sqref="X38">
      <formula1>0</formula1>
      <formula2>NaN</formula2>
    </dataValidation>
    <dataValidation type="whole" allowBlank="1" showInputMessage="1" showErrorMessage="1" sqref="X39">
      <formula1>0</formula1>
      <formula2>NaN</formula2>
    </dataValidation>
    <dataValidation type="whole" allowBlank="1" showInputMessage="1" showErrorMessage="1" sqref="X40">
      <formula1>0</formula1>
      <formula2>NaN</formula2>
    </dataValidation>
    <dataValidation type="whole" allowBlank="1" showInputMessage="1" showErrorMessage="1" sqref="X41">
      <formula1>0</formula1>
      <formula2>NaN</formula2>
    </dataValidation>
    <dataValidation type="whole" allowBlank="1" showInputMessage="1" showErrorMessage="1" sqref="X42">
      <formula1>0</formula1>
      <formula2>NaN</formula2>
    </dataValidation>
    <dataValidation type="whole" allowBlank="1" showInputMessage="1" showErrorMessage="1" sqref="X43">
      <formula1>0</formula1>
      <formula2>NaN</formula2>
    </dataValidation>
    <dataValidation type="whole" allowBlank="1" showInputMessage="1" showErrorMessage="1" sqref="X44">
      <formula1>0</formula1>
      <formula2>NaN</formula2>
    </dataValidation>
    <dataValidation type="whole" allowBlank="1" showInputMessage="1" showErrorMessage="1" sqref="X45">
      <formula1>0</formula1>
      <formula2>NaN</formula2>
    </dataValidation>
    <dataValidation type="whole" allowBlank="1" showInputMessage="1" showErrorMessage="1" sqref="X46">
      <formula1>0</formula1>
      <formula2>NaN</formula2>
    </dataValidation>
    <dataValidation type="whole" allowBlank="1" showInputMessage="1" showErrorMessage="1" sqref="X47">
      <formula1>0</formula1>
      <formula2>NaN</formula2>
    </dataValidation>
    <dataValidation type="whole" allowBlank="1" showInputMessage="1" showErrorMessage="1" sqref="X48">
      <formula1>0</formula1>
      <formula2>NaN</formula2>
    </dataValidation>
    <dataValidation type="whole" allowBlank="1" showInputMessage="1" showErrorMessage="1" sqref="X49">
      <formula1>0</formula1>
      <formula2>NaN</formula2>
    </dataValidation>
    <dataValidation type="whole" allowBlank="1" showInputMessage="1" showErrorMessage="1" sqref="X50">
      <formula1>0</formula1>
      <formula2>NaN</formula2>
    </dataValidation>
    <dataValidation type="whole" allowBlank="1" showInputMessage="1" showErrorMessage="1" sqref="X51">
      <formula1>0</formula1>
      <formula2>NaN</formula2>
    </dataValidation>
    <dataValidation type="whole" allowBlank="1" showInputMessage="1" showErrorMessage="1" sqref="X52">
      <formula1>0</formula1>
      <formula2>NaN</formula2>
    </dataValidation>
    <dataValidation type="whole" allowBlank="1" showInputMessage="1" showErrorMessage="1" sqref="X53">
      <formula1>0</formula1>
      <formula2>NaN</formula2>
    </dataValidation>
    <dataValidation type="whole" allowBlank="1" showInputMessage="1" showErrorMessage="1" sqref="X54">
      <formula1>0</formula1>
      <formula2>NaN</formula2>
    </dataValidation>
    <dataValidation type="whole" allowBlank="1" showInputMessage="1" showErrorMessage="1" sqref="X55">
      <formula1>0</formula1>
      <formula2>NaN</formula2>
    </dataValidation>
    <dataValidation type="whole" allowBlank="1" showInputMessage="1" showErrorMessage="1" sqref="X56">
      <formula1>0</formula1>
      <formula2>NaN</formula2>
    </dataValidation>
    <dataValidation type="whole" allowBlank="1" showInputMessage="1" showErrorMessage="1" sqref="X57">
      <formula1>0</formula1>
      <formula2>NaN</formula2>
    </dataValidation>
    <dataValidation type="whole" allowBlank="1" showInputMessage="1" showErrorMessage="1" sqref="X58">
      <formula1>0</formula1>
      <formula2>NaN</formula2>
    </dataValidation>
    <dataValidation type="whole" allowBlank="1" showInputMessage="1" showErrorMessage="1" sqref="X59">
      <formula1>0</formula1>
      <formula2>NaN</formula2>
    </dataValidation>
    <dataValidation type="whole" allowBlank="1" showInputMessage="1" showErrorMessage="1" sqref="X60">
      <formula1>0</formula1>
      <formula2>NaN</formula2>
    </dataValidation>
    <dataValidation type="whole" allowBlank="1" showInputMessage="1" showErrorMessage="1" sqref="X61">
      <formula1>0</formula1>
      <formula2>NaN</formula2>
    </dataValidation>
    <dataValidation type="whole" allowBlank="1" showInputMessage="1" showErrorMessage="1" sqref="X62">
      <formula1>0</formula1>
      <formula2>NaN</formula2>
    </dataValidation>
    <dataValidation type="whole" allowBlank="1" showInputMessage="1" showErrorMessage="1" sqref="X63">
      <formula1>0</formula1>
      <formula2>NaN</formula2>
    </dataValidation>
    <dataValidation type="whole" allowBlank="1" showInputMessage="1" showErrorMessage="1" sqref="X64">
      <formula1>0</formula1>
      <formula2>NaN</formula2>
    </dataValidation>
    <dataValidation type="whole" allowBlank="1" showInputMessage="1" showErrorMessage="1" sqref="X65">
      <formula1>0</formula1>
      <formula2>NaN</formula2>
    </dataValidation>
    <dataValidation type="whole" allowBlank="1" showInputMessage="1" showErrorMessage="1" sqref="X66">
      <formula1>0</formula1>
      <formula2>NaN</formula2>
    </dataValidation>
    <dataValidation type="whole" allowBlank="1" showInputMessage="1" showErrorMessage="1" sqref="X67">
      <formula1>0</formula1>
      <formula2>NaN</formula2>
    </dataValidation>
    <dataValidation type="whole" allowBlank="1" showInputMessage="1" showErrorMessage="1" sqref="X68">
      <formula1>0</formula1>
      <formula2>NaN</formula2>
    </dataValidation>
    <dataValidation type="whole" allowBlank="1" showInputMessage="1" showErrorMessage="1" sqref="X9">
      <formula1>0</formula1>
      <formula2>NaN</formula2>
    </dataValidation>
    <dataValidation showInputMessage="1" prompt="Percentage Score" showErrorMessage="1" sqref="Z5"/>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9"/>
  <sheetViews>
    <sheetView workbookViewId="0" showGridLines="0" zoomScale="100" zoomScaleNormal="100">
      <pane ySplit="8" topLeftCell="A9" activePane="bottomLeft" state="frozen"/>
      <selection pane="bottomLeft" activeCell="F9" sqref="F9"/>
    </sheetView>
  </sheetViews>
  <sheetFormatPr defaultRowHeight="15" outlineLevelRow="0" outlineLevelCol="0" x14ac:dyDescent="0.25"/>
  <cols>
    <col min="1" max="1" width="2.140625" style="143" customWidth="1"/>
    <col min="2" max="2" width="5.85546875" style="143" customWidth="1"/>
    <col min="3" max="3" width="19.85546875" style="143" customWidth="1"/>
    <col min="4" max="4" width="30.85546875" style="143" customWidth="1"/>
    <col min="5" max="7" width="16.85546875" style="143" customWidth="1"/>
    <col min="8" max="8" width="19.85546875" style="143" customWidth="1"/>
    <col min="9" max="9" width="25.85546875" style="143" customWidth="1"/>
    <col min="10" max="10" width="2.140625" style="143" customWidth="1"/>
    <col min="11" max="59" width="5.85546875" style="143" hidden="1" customWidth="1"/>
    <col min="60" max="16384" width="8.85546875" style="143" hidden="1" customWidth="1"/>
  </cols>
  <sheetData>
    <row r="1" ht="9.6" customHeight="1" spans="1:1" x14ac:dyDescent="0.25">
      <c r="A1" s="143" t="s">
        <v>198</v>
      </c>
    </row>
    <row r="2" ht="39.95" customHeight="1" spans="2:9" x14ac:dyDescent="0.25">
      <c r="B2" s="433" t="s">
        <v>223</v>
      </c>
      <c r="C2" s="434"/>
      <c r="D2" s="434"/>
      <c r="E2" s="434"/>
      <c r="F2" s="434"/>
      <c r="G2" s="434"/>
      <c r="H2" s="434"/>
      <c r="I2" s="435"/>
    </row>
    <row r="3" ht="15" customHeight="1" spans="2:9" x14ac:dyDescent="0.25">
      <c r="B3" s="436"/>
      <c r="I3" s="437"/>
    </row>
    <row r="4" ht="27.95" customHeight="1" spans="2:9" x14ac:dyDescent="0.25">
      <c r="B4" s="438" t="str">
        <f>IF('Data Input'!$G$6="","",'Data Input'!$G$6)</f>
        <v>Naga</v>
      </c>
      <c r="C4" s="439"/>
      <c r="D4" s="440" t="str">
        <f>IF('Data Input'!$G$12="","",PROPER('Data Input'!$G$12))</f>
        <v>General Mathematics</v>
      </c>
      <c r="E4" s="441"/>
      <c r="F4" s="441"/>
      <c r="G4" s="441"/>
      <c r="H4" s="439"/>
      <c r="I4" s="442">
        <f>IF('Data Input'!$G$14="","",UPPER('Data Input'!$G$14))</f>
      </c>
    </row>
    <row r="5" ht="15" customHeight="1" spans="2:9" x14ac:dyDescent="0.25">
      <c r="B5" s="443" t="s">
        <v>224</v>
      </c>
      <c r="C5" s="444"/>
      <c r="D5" s="445" t="s">
        <v>161</v>
      </c>
      <c r="E5" s="446"/>
      <c r="F5" s="446"/>
      <c r="G5" s="446"/>
      <c r="H5" s="444"/>
      <c r="I5" s="447" t="s">
        <v>165</v>
      </c>
    </row>
    <row r="6" ht="27.95" customHeight="1" spans="2:9" x14ac:dyDescent="0.25">
      <c r="B6" s="448" t="str">
        <f>IF('Data Input'!$G$7="","",('Data Input'!$G$7))</f>
        <v>Senior High School (SHS)</v>
      </c>
      <c r="C6" s="449"/>
      <c r="D6" s="450" t="str">
        <f>IF(OR('Data Input'!$G$11="",'Data Input'!$G$16=""),"",UPPER('Data Input'!$G$11&amp;" - "&amp;'Data Input'!$G$16))</f>
        <v>11 - BE/ICT</v>
      </c>
      <c r="E6" s="451" t="str">
        <f>IF('Data Input'!$G$8="","",'Data Input'!$G$8)</f>
        <v>2026 - 2027</v>
      </c>
      <c r="F6" s="450" t="str">
        <f>IF('Data Input'!$G$10="","",PROPER('Data Input'!$G$10))</f>
        <v>John Marq E. Ramos</v>
      </c>
      <c r="G6" s="452"/>
      <c r="H6" s="451" t="str">
        <f>IF('Data Input'!$G$19="","",'Data Input'!$G$19)</f>
        <v>09:00 to 10:30 AM</v>
      </c>
      <c r="I6" s="453" t="str">
        <f>IF('Data Input'!$G$18="","",PROPER('Data Input'!$G$18))</f>
        <v>Mon &amp; Fri</v>
      </c>
    </row>
    <row r="7" ht="15" customHeight="1" spans="2:9" x14ac:dyDescent="0.25">
      <c r="B7" s="454" t="s">
        <v>149</v>
      </c>
      <c r="C7" s="455"/>
      <c r="D7" s="456" t="s">
        <v>225</v>
      </c>
      <c r="E7" s="457" t="s">
        <v>152</v>
      </c>
      <c r="F7" s="456" t="s">
        <v>156</v>
      </c>
      <c r="G7" s="458"/>
      <c r="H7" s="457" t="s">
        <v>176</v>
      </c>
      <c r="I7" s="459" t="s">
        <v>226</v>
      </c>
    </row>
    <row r="8" ht="30" customHeight="1" spans="2:9" s="460" customFormat="1" x14ac:dyDescent="0.25">
      <c r="B8" s="461" t="s">
        <v>227</v>
      </c>
      <c r="C8" s="462" t="s">
        <v>228</v>
      </c>
      <c r="D8" s="463" t="s">
        <v>85</v>
      </c>
      <c r="E8" s="463" t="s">
        <v>70</v>
      </c>
      <c r="F8" s="463" t="s">
        <v>71</v>
      </c>
      <c r="G8" s="463" t="s">
        <v>72</v>
      </c>
      <c r="H8" s="463" t="s">
        <v>73</v>
      </c>
      <c r="I8" s="464" t="s">
        <v>229</v>
      </c>
    </row>
    <row r="9" ht="15.95" customHeight="1" spans="2:9" x14ac:dyDescent="0.25">
      <c r="B9" s="465">
        <v>1</v>
      </c>
      <c r="C9" s="466">
        <f>IF('Data Input'!M7="","",'Data Input'!M7)</f>
        <v>2000498439</v>
      </c>
      <c r="D9" s="467" t="str">
        <f>IF(ISBLANK('Data Input'!N7),"",PROPER('Data Input'!N7))</f>
        <v>Abendante, Carl Yuan</v>
      </c>
      <c r="E9" s="468">
        <f>IF(D9="","",IF('Term 1'!BF9="","--",'Term 1'!BF9))</f>
        <v>85</v>
      </c>
      <c r="F9" s="468">
        <f>IF(D9="","",IF('Term 2'!BF9="","--",'Term 2'!BF9))</f>
        <v>75</v>
      </c>
      <c r="G9" s="468">
        <f>IF(D9="","",IF('Term 3'!BF9="","--",'Term 3'!BF9))</f>
        <v>87</v>
      </c>
      <c r="H9" s="469">
        <f>IFERROR(
 IF(D9="","",
 IF(AND(E9="--",F9="--",G9="--"),"--",
 IF(AND(E9="",F9="",G9=""),"",
 IF(OR(E9="Error",F9="Error",G9="Error"),"Error",
 ROUND(AVERAGE(E9,F9,G9),0))))),"")</f>
        <v>82</v>
      </c>
      <c r="I9" s="470" t="str">
        <f>IF(D9="","",
 IF(H9="","",
 IF(H9="--","--",
 IF(H9="Error","Error",
 IF(H9&gt;=90,"Passed [Advancing]",
 IF(H9&gt;=80,"Passed [Benchmarking]",
 IF(H9&gt;=75,"Passed [Connecting]",
 IF(H9&gt;=65,"Failed [Developing]","Failed [Emerging]"))))))))</f>
        <v>Passed [Benchmarking]</v>
      </c>
    </row>
    <row r="10" ht="15.95" customHeight="1" spans="2:9" x14ac:dyDescent="0.25">
      <c r="B10" s="471">
        <v>2</v>
      </c>
      <c r="C10" s="472">
        <f>IF('Data Input'!M8="","",'Data Input'!M8)</f>
        <v>2000483599</v>
      </c>
      <c r="D10" s="467" t="str">
        <f>IF(ISBLANK('Data Input'!N8),"",PROPER('Data Input'!N8))</f>
        <v>Acala, Aji Rheyacelle</v>
      </c>
      <c r="E10" s="468">
        <f>IF(D10="","",IF('Term 1'!BF10="","--",'Term 1'!BF10))</f>
        <v>82</v>
      </c>
      <c r="F10" s="468" t="str">
        <f>IF(D10="","",IF('Term 2'!BF10="","--",'Term 2'!BF10))</f>
        <v>--</v>
      </c>
      <c r="G10" s="468" t="str">
        <f>IF(D10="","",IF('Term 3'!BF10="","--",'Term 3'!BF10))</f>
        <v>--</v>
      </c>
      <c r="H10" s="469">
        <f t="shared" ref="H10:H68" si="0">IFERROR(
 IF(D10="","",
 IF(AND(E10="--",F10="--",G10="--"),"--",
 IF(AND(E10="",F10="",G10=""),"",
 IF(OR(E10="Error",F10="Error",G10="Error"),"Error",
 ROUND(AVERAGE(E10,F10,G10),0))))),"")</f>
        <v>82</v>
      </c>
      <c r="I10" s="470" t="str">
        <f t="shared" ref="I10:I68" si="1">IF(D10="","",
 IF(H10="","",
 IF(H10="--","--",
 IF(H10="Error","Error",
 IF(H10&gt;=90,"Passed [Advancing]",
 IF(H10&gt;=80,"Passed [Benchmarking]",
 IF(H10&gt;=75,"Passed [Connecting]",
 IF(H10&gt;=65,"Failed [Developing]","Failed [Emerging]"))))))))</f>
        <v>Passed [Benchmarking]</v>
      </c>
    </row>
    <row r="11" ht="15.95" customHeight="1" spans="2:9" x14ac:dyDescent="0.25">
      <c r="B11" s="471">
        <v>3</v>
      </c>
      <c r="C11" s="472">
        <f>IF('Data Input'!M9="","",'Data Input'!M9)</f>
        <v>2000480423</v>
      </c>
      <c r="D11" s="467" t="str">
        <f>IF(ISBLANK('Data Input'!N9),"",PROPER('Data Input'!N9))</f>
        <v>Baer, Shania Pearl</v>
      </c>
      <c r="E11" s="468">
        <f>IF(D11="","",IF('Term 1'!BF11="","--",'Term 1'!BF11))</f>
        <v>85</v>
      </c>
      <c r="F11" s="468" t="str">
        <f>IF(D11="","",IF('Term 2'!BF11="","--",'Term 2'!BF11))</f>
        <v>--</v>
      </c>
      <c r="G11" s="468" t="str">
        <f>IF(D11="","",IF('Term 3'!BF11="","--",'Term 3'!BF11))</f>
        <v>--</v>
      </c>
      <c r="H11" s="469">
        <f t="shared" si="0"/>
        <v>85</v>
      </c>
      <c r="I11" s="470" t="str">
        <f t="shared" si="1"/>
        <v>Passed [Benchmarking]</v>
      </c>
    </row>
    <row r="12" ht="15.95" customHeight="1" spans="2:9" x14ac:dyDescent="0.25">
      <c r="B12" s="471">
        <v>4</v>
      </c>
      <c r="C12" s="472">
        <f>IF('Data Input'!M10="","",'Data Input'!M10)</f>
        <v>2000487858</v>
      </c>
      <c r="D12" s="467" t="str">
        <f>IF(ISBLANK('Data Input'!N10),"",PROPER('Data Input'!N10))</f>
        <v>Bagaporo, Ryeanna Mheryl</v>
      </c>
      <c r="E12" s="468">
        <f>IF(D12="","",IF('Term 1'!BF12="","--",'Term 1'!BF12))</f>
        <v>75</v>
      </c>
      <c r="F12" s="468" t="str">
        <f>IF(D12="","",IF('Term 2'!BF12="","--",'Term 2'!BF12))</f>
        <v>--</v>
      </c>
      <c r="G12" s="468" t="str">
        <f>IF(D12="","",IF('Term 3'!BF12="","--",'Term 3'!BF12))</f>
        <v>--</v>
      </c>
      <c r="H12" s="469">
        <f t="shared" si="0"/>
        <v>75</v>
      </c>
      <c r="I12" s="470" t="str">
        <f t="shared" si="1"/>
        <v>Passed [Connecting]</v>
      </c>
    </row>
    <row r="13" ht="15.95" customHeight="1" spans="2:9" x14ac:dyDescent="0.25">
      <c r="B13" s="471">
        <v>5</v>
      </c>
      <c r="C13" s="472">
        <f>IF('Data Input'!M11="","",'Data Input'!M11)</f>
        <v>2000497598</v>
      </c>
      <c r="D13" s="467" t="str">
        <f>IF(ISBLANK('Data Input'!N11),"",PROPER('Data Input'!N11))</f>
        <v>Belarmino, Easean</v>
      </c>
      <c r="E13" s="468">
        <f>IF(D13="","",IF('Term 1'!BF13="","--",'Term 1'!BF13))</f>
        <v>78</v>
      </c>
      <c r="F13" s="468" t="str">
        <f>IF(D13="","",IF('Term 2'!BF13="","--",'Term 2'!BF13))</f>
        <v>--</v>
      </c>
      <c r="G13" s="468" t="str">
        <f>IF(D13="","",IF('Term 3'!BF13="","--",'Term 3'!BF13))</f>
        <v>--</v>
      </c>
      <c r="H13" s="469">
        <f t="shared" si="0"/>
        <v>78</v>
      </c>
      <c r="I13" s="470" t="str">
        <f t="shared" si="1"/>
        <v>Passed [Connecting]</v>
      </c>
    </row>
    <row r="14" ht="15.95" customHeight="1" spans="2:9" x14ac:dyDescent="0.25">
      <c r="B14" s="471">
        <v>6</v>
      </c>
      <c r="C14" s="472">
        <f>IF('Data Input'!M12="","",'Data Input'!M12)</f>
        <v>2000504370</v>
      </c>
      <c r="D14" s="467" t="str">
        <f>IF(ISBLANK('Data Input'!N12),"",PROPER('Data Input'!N12))</f>
        <v>Borja, Greedy</v>
      </c>
      <c r="E14" s="468">
        <f>IF(D14="","",IF('Term 1'!BF14="","--",'Term 1'!BF14))</f>
        <v>83</v>
      </c>
      <c r="F14" s="468" t="str">
        <f>IF(D14="","",IF('Term 2'!BF14="","--",'Term 2'!BF14))</f>
        <v>--</v>
      </c>
      <c r="G14" s="468" t="str">
        <f>IF(D14="","",IF('Term 3'!BF14="","--",'Term 3'!BF14))</f>
        <v>--</v>
      </c>
      <c r="H14" s="469">
        <f t="shared" si="0"/>
        <v>83</v>
      </c>
      <c r="I14" s="470" t="str">
        <f t="shared" si="1"/>
        <v>Passed [Benchmarking]</v>
      </c>
    </row>
    <row r="15" ht="15.95" customHeight="1" spans="2:9" x14ac:dyDescent="0.25">
      <c r="B15" s="471">
        <v>7</v>
      </c>
      <c r="C15" s="472">
        <f>IF('Data Input'!M13="","",'Data Input'!M13)</f>
        <v>2000480420</v>
      </c>
      <c r="D15" s="467" t="str">
        <f>IF(ISBLANK('Data Input'!N13),"",PROPER('Data Input'!N13))</f>
        <v>Cabalquinto, Juvy</v>
      </c>
      <c r="E15" s="468">
        <f>IF(D15="","",IF('Term 1'!BF15="","--",'Term 1'!BF15))</f>
        <v>78</v>
      </c>
      <c r="F15" s="468" t="str">
        <f>IF(D15="","",IF('Term 2'!BF15="","--",'Term 2'!BF15))</f>
        <v>--</v>
      </c>
      <c r="G15" s="468" t="str">
        <f>IF(D15="","",IF('Term 3'!BF15="","--",'Term 3'!BF15))</f>
        <v>--</v>
      </c>
      <c r="H15" s="469">
        <f t="shared" si="0"/>
        <v>78</v>
      </c>
      <c r="I15" s="470" t="str">
        <f t="shared" si="1"/>
        <v>Passed [Connecting]</v>
      </c>
    </row>
    <row r="16" ht="15.95" customHeight="1" spans="2:9" x14ac:dyDescent="0.25">
      <c r="B16" s="471">
        <v>8</v>
      </c>
      <c r="C16" s="472">
        <f>IF('Data Input'!M14="","",'Data Input'!M14)</f>
        <v>2000487004</v>
      </c>
      <c r="D16" s="467" t="str">
        <f>IF(ISBLANK('Data Input'!N14),"",PROPER('Data Input'!N14))</f>
        <v>Conlu, Marc Jeffrey</v>
      </c>
      <c r="E16" s="468">
        <f>IF(D16="","",IF('Term 1'!BF16="","--",'Term 1'!BF16))</f>
        <v>78</v>
      </c>
      <c r="F16" s="468" t="str">
        <f>IF(D16="","",IF('Term 2'!BF16="","--",'Term 2'!BF16))</f>
        <v>--</v>
      </c>
      <c r="G16" s="468" t="str">
        <f>IF(D16="","",IF('Term 3'!BF16="","--",'Term 3'!BF16))</f>
        <v>--</v>
      </c>
      <c r="H16" s="469">
        <f t="shared" si="0"/>
        <v>78</v>
      </c>
      <c r="I16" s="470" t="str">
        <f t="shared" si="1"/>
        <v>Passed [Connecting]</v>
      </c>
    </row>
    <row r="17" ht="15.95" customHeight="1" spans="2:9" x14ac:dyDescent="0.25">
      <c r="B17" s="471">
        <v>9</v>
      </c>
      <c r="C17" s="472">
        <f>IF('Data Input'!M15="","",'Data Input'!M15)</f>
        <v>2000488434</v>
      </c>
      <c r="D17" s="467" t="str">
        <f>IF(ISBLANK('Data Input'!N15),"",PROPER('Data Input'!N15))</f>
        <v>De Luna, Felicity Ryne</v>
      </c>
      <c r="E17" s="468">
        <f>IF(D17="","",IF('Term 1'!BF17="","--",'Term 1'!BF17))</f>
        <v>75</v>
      </c>
      <c r="F17" s="468" t="str">
        <f>IF(D17="","",IF('Term 2'!BF17="","--",'Term 2'!BF17))</f>
        <v>--</v>
      </c>
      <c r="G17" s="468" t="str">
        <f>IF(D17="","",IF('Term 3'!BF17="","--",'Term 3'!BF17))</f>
        <v>--</v>
      </c>
      <c r="H17" s="469">
        <f t="shared" si="0"/>
        <v>75</v>
      </c>
      <c r="I17" s="470" t="str">
        <f t="shared" si="1"/>
        <v>Passed [Connecting]</v>
      </c>
    </row>
    <row r="18" ht="15.95" customHeight="1" spans="2:9" x14ac:dyDescent="0.25">
      <c r="B18" s="471">
        <v>10</v>
      </c>
      <c r="C18" s="472">
        <f>IF('Data Input'!M16="","",'Data Input'!M16)</f>
        <v>2000485973</v>
      </c>
      <c r="D18" s="467" t="str">
        <f>IF(ISBLANK('Data Input'!N16),"",PROPER('Data Input'!N16))</f>
        <v>Delos Reyes, Gavin Zue</v>
      </c>
      <c r="E18" s="468">
        <f>IF(D18="","",IF('Term 1'!BF18="","--",'Term 1'!BF18))</f>
        <v>89</v>
      </c>
      <c r="F18" s="468" t="str">
        <f>IF(D18="","",IF('Term 2'!BF18="","--",'Term 2'!BF18))</f>
        <v>--</v>
      </c>
      <c r="G18" s="468" t="str">
        <f>IF(D18="","",IF('Term 3'!BF18="","--",'Term 3'!BF18))</f>
        <v>--</v>
      </c>
      <c r="H18" s="469">
        <f t="shared" si="0"/>
        <v>89</v>
      </c>
      <c r="I18" s="470" t="str">
        <f t="shared" si="1"/>
        <v>Passed [Benchmarking]</v>
      </c>
    </row>
    <row r="19" ht="15.95" customHeight="1" spans="2:9" x14ac:dyDescent="0.25">
      <c r="B19" s="471">
        <v>11</v>
      </c>
      <c r="C19" s="472">
        <f>IF('Data Input'!M17="","",'Data Input'!M17)</f>
        <v>2000486374</v>
      </c>
      <c r="D19" s="467" t="str">
        <f>IF(ISBLANK('Data Input'!N17),"",PROPER('Data Input'!N17))</f>
        <v>Dianela, Mary Diane</v>
      </c>
      <c r="E19" s="468">
        <f>IF(D19="","",IF('Term 1'!BF19="","--",'Term 1'!BF19))</f>
        <v>86</v>
      </c>
      <c r="F19" s="468" t="str">
        <f>IF(D19="","",IF('Term 2'!BF19="","--",'Term 2'!BF19))</f>
        <v>--</v>
      </c>
      <c r="G19" s="468" t="str">
        <f>IF(D19="","",IF('Term 3'!BF19="","--",'Term 3'!BF19))</f>
        <v>--</v>
      </c>
      <c r="H19" s="469">
        <f t="shared" si="0"/>
        <v>86</v>
      </c>
      <c r="I19" s="470" t="str">
        <f t="shared" si="1"/>
        <v>Passed [Benchmarking]</v>
      </c>
    </row>
    <row r="20" ht="15.95" customHeight="1" spans="2:9" x14ac:dyDescent="0.25">
      <c r="B20" s="471">
        <v>12</v>
      </c>
      <c r="C20" s="472">
        <f>IF('Data Input'!M18="","",'Data Input'!M18)</f>
        <v>2000486376</v>
      </c>
      <c r="D20" s="467" t="str">
        <f>IF(ISBLANK('Data Input'!N18),"",PROPER('Data Input'!N18))</f>
        <v>Dikit, Jon Juin</v>
      </c>
      <c r="E20" s="468">
        <f>IF(D20="","",IF('Term 1'!BF20="","--",'Term 1'!BF20))</f>
        <v>79</v>
      </c>
      <c r="F20" s="468" t="str">
        <f>IF(D20="","",IF('Term 2'!BF20="","--",'Term 2'!BF20))</f>
        <v>--</v>
      </c>
      <c r="G20" s="468" t="str">
        <f>IF(D20="","",IF('Term 3'!BF20="","--",'Term 3'!BF20))</f>
        <v>--</v>
      </c>
      <c r="H20" s="469">
        <f t="shared" si="0"/>
        <v>79</v>
      </c>
      <c r="I20" s="470" t="str">
        <f t="shared" si="1"/>
        <v>Passed [Connecting]</v>
      </c>
    </row>
    <row r="21" ht="15.95" customHeight="1" spans="2:9" x14ac:dyDescent="0.25">
      <c r="B21" s="471">
        <v>13</v>
      </c>
      <c r="C21" s="472">
        <f>IF('Data Input'!M19="","",'Data Input'!M19)</f>
        <v>2000490030</v>
      </c>
      <c r="D21" s="467" t="str">
        <f>IF(ISBLANK('Data Input'!N19),"",PROPER('Data Input'!N19))</f>
        <v>Estor, Phoeb Remedios</v>
      </c>
      <c r="E21" s="468">
        <f>IF(D21="","",IF('Term 1'!BF21="","--",'Term 1'!BF21))</f>
        <v>74</v>
      </c>
      <c r="F21" s="468" t="str">
        <f>IF(D21="","",IF('Term 2'!BF21="","--",'Term 2'!BF21))</f>
        <v>--</v>
      </c>
      <c r="G21" s="468" t="str">
        <f>IF(D21="","",IF('Term 3'!BF21="","--",'Term 3'!BF21))</f>
        <v>--</v>
      </c>
      <c r="H21" s="469">
        <f t="shared" si="0"/>
        <v>74</v>
      </c>
      <c r="I21" s="470" t="str">
        <f t="shared" si="1"/>
        <v>Failed [Developing]</v>
      </c>
    </row>
    <row r="22" ht="15.95" customHeight="1" spans="2:9" x14ac:dyDescent="0.25">
      <c r="B22" s="471">
        <v>14</v>
      </c>
      <c r="C22" s="472">
        <f>IF('Data Input'!M20="","",'Data Input'!M20)</f>
        <v>2000498660</v>
      </c>
      <c r="D22" s="467" t="str">
        <f>IF(ISBLANK('Data Input'!N20),"",PROPER('Data Input'!N20))</f>
        <v>Estoria, John Kyle Timothy</v>
      </c>
      <c r="E22" s="468">
        <f>IF(D22="","",IF('Term 1'!BF22="","--",'Term 1'!BF22))</f>
        <v>81</v>
      </c>
      <c r="F22" s="468" t="str">
        <f>IF(D22="","",IF('Term 2'!BF22="","--",'Term 2'!BF22))</f>
        <v>--</v>
      </c>
      <c r="G22" s="468" t="str">
        <f>IF(D22="","",IF('Term 3'!BF22="","--",'Term 3'!BF22))</f>
        <v>--</v>
      </c>
      <c r="H22" s="469">
        <f t="shared" si="0"/>
        <v>81</v>
      </c>
      <c r="I22" s="470" t="str">
        <f t="shared" si="1"/>
        <v>Passed [Benchmarking]</v>
      </c>
    </row>
    <row r="23" ht="15.95" customHeight="1" spans="2:9" x14ac:dyDescent="0.25">
      <c r="B23" s="471">
        <v>15</v>
      </c>
      <c r="C23" s="472">
        <f>IF('Data Input'!M21="","",'Data Input'!M21)</f>
        <v>2000485981</v>
      </c>
      <c r="D23" s="467" t="str">
        <f>IF(ISBLANK('Data Input'!N21),"",PROPER('Data Input'!N21))</f>
        <v>Garcia, Ariorie Ven Amher</v>
      </c>
      <c r="E23" s="468">
        <f>IF(D23="","",IF('Term 1'!BF23="","--",'Term 1'!BF23))</f>
        <v>87</v>
      </c>
      <c r="F23" s="468" t="str">
        <f>IF(D23="","",IF('Term 2'!BF23="","--",'Term 2'!BF23))</f>
        <v>--</v>
      </c>
      <c r="G23" s="468" t="str">
        <f>IF(D23="","",IF('Term 3'!BF23="","--",'Term 3'!BF23))</f>
        <v>--</v>
      </c>
      <c r="H23" s="469">
        <f t="shared" si="0"/>
        <v>87</v>
      </c>
      <c r="I23" s="470" t="str">
        <f t="shared" si="1"/>
        <v>Passed [Benchmarking]</v>
      </c>
    </row>
    <row r="24" ht="15.95" customHeight="1" spans="2:9" x14ac:dyDescent="0.25">
      <c r="B24" s="471">
        <v>16</v>
      </c>
      <c r="C24" s="472">
        <f>IF('Data Input'!M22="","",'Data Input'!M22)</f>
        <v>2000499229</v>
      </c>
      <c r="D24" s="467" t="str">
        <f>IF(ISBLANK('Data Input'!N22),"",PROPER('Data Input'!N22))</f>
        <v>Gavino, Reisha Lorriane</v>
      </c>
      <c r="E24" s="468">
        <f>IF(D24="","",IF('Term 1'!BF24="","--",'Term 1'!BF24))</f>
        <v>78</v>
      </c>
      <c r="F24" s="468" t="str">
        <f>IF(D24="","",IF('Term 2'!BF24="","--",'Term 2'!BF24))</f>
        <v>--</v>
      </c>
      <c r="G24" s="468" t="str">
        <f>IF(D24="","",IF('Term 3'!BF24="","--",'Term 3'!BF24))</f>
        <v>--</v>
      </c>
      <c r="H24" s="469">
        <f t="shared" si="0"/>
        <v>78</v>
      </c>
      <c r="I24" s="470" t="str">
        <f t="shared" si="1"/>
        <v>Passed [Connecting]</v>
      </c>
    </row>
    <row r="25" ht="15.95" customHeight="1" spans="2:9" x14ac:dyDescent="0.25">
      <c r="B25" s="471">
        <v>17</v>
      </c>
      <c r="C25" s="472">
        <f>IF('Data Input'!M23="","",'Data Input'!M23)</f>
        <v>2000481947</v>
      </c>
      <c r="D25" s="467" t="str">
        <f>IF(ISBLANK('Data Input'!N23),"",PROPER('Data Input'!N23))</f>
        <v>Jacobo, Ezra</v>
      </c>
      <c r="E25" s="468">
        <f>IF(D25="","",IF('Term 1'!BF25="","--",'Term 1'!BF25))</f>
        <v>74</v>
      </c>
      <c r="F25" s="468" t="str">
        <f>IF(D25="","",IF('Term 2'!BF25="","--",'Term 2'!BF25))</f>
        <v>--</v>
      </c>
      <c r="G25" s="468" t="str">
        <f>IF(D25="","",IF('Term 3'!BF25="","--",'Term 3'!BF25))</f>
        <v>--</v>
      </c>
      <c r="H25" s="469">
        <f t="shared" si="0"/>
        <v>74</v>
      </c>
      <c r="I25" s="470" t="str">
        <f t="shared" si="1"/>
        <v>Failed [Developing]</v>
      </c>
    </row>
    <row r="26" ht="15.95" customHeight="1" spans="2:9" x14ac:dyDescent="0.25">
      <c r="B26" s="471">
        <v>18</v>
      </c>
      <c r="C26" s="472">
        <f>IF('Data Input'!M24="","",'Data Input'!M24)</f>
        <v>2000488472</v>
      </c>
      <c r="D26" s="467" t="str">
        <f>IF(ISBLANK('Data Input'!N24),"",PROPER('Data Input'!N24))</f>
        <v>Jani, Joseph Louie</v>
      </c>
      <c r="E26" s="468">
        <f>IF(D26="","",IF('Term 1'!BF26="","--",'Term 1'!BF26))</f>
        <v>82</v>
      </c>
      <c r="F26" s="468" t="str">
        <f>IF(D26="","",IF('Term 2'!BF26="","--",'Term 2'!BF26))</f>
        <v>--</v>
      </c>
      <c r="G26" s="468" t="str">
        <f>IF(D26="","",IF('Term 3'!BF26="","--",'Term 3'!BF26))</f>
        <v>--</v>
      </c>
      <c r="H26" s="469">
        <f t="shared" si="0"/>
        <v>82</v>
      </c>
      <c r="I26" s="470" t="str">
        <f t="shared" si="1"/>
        <v>Passed [Benchmarking]</v>
      </c>
    </row>
    <row r="27" ht="15.95" customHeight="1" spans="2:9" x14ac:dyDescent="0.25">
      <c r="B27" s="471">
        <v>19</v>
      </c>
      <c r="C27" s="472">
        <f>IF('Data Input'!M25="","",'Data Input'!M25)</f>
        <v>2000494958</v>
      </c>
      <c r="D27" s="467" t="str">
        <f>IF(ISBLANK('Data Input'!N25),"",PROPER('Data Input'!N25))</f>
        <v>Ledesma, Carl Austin</v>
      </c>
      <c r="E27" s="468">
        <f>IF(D27="","",IF('Term 1'!BF27="","--",'Term 1'!BF27))</f>
        <v>90</v>
      </c>
      <c r="F27" s="468" t="str">
        <f>IF(D27="","",IF('Term 2'!BF27="","--",'Term 2'!BF27))</f>
        <v>--</v>
      </c>
      <c r="G27" s="468" t="str">
        <f>IF(D27="","",IF('Term 3'!BF27="","--",'Term 3'!BF27))</f>
        <v>--</v>
      </c>
      <c r="H27" s="469">
        <f t="shared" si="0"/>
        <v>90</v>
      </c>
      <c r="I27" s="470" t="str">
        <f t="shared" si="1"/>
        <v>Passed [Advancing]</v>
      </c>
    </row>
    <row r="28" ht="15.95" customHeight="1" spans="2:9" x14ac:dyDescent="0.25">
      <c r="B28" s="471">
        <v>20</v>
      </c>
      <c r="C28" s="472">
        <f>IF('Data Input'!M26="","",'Data Input'!M26)</f>
        <v>2000498659</v>
      </c>
      <c r="D28" s="467" t="str">
        <f>IF(ISBLANK('Data Input'!N26),"",PROPER('Data Input'!N26))</f>
        <v>Llamado, John Jerome</v>
      </c>
      <c r="E28" s="468">
        <f>IF(D28="","",IF('Term 1'!BF28="","--",'Term 1'!BF28))</f>
        <v>75</v>
      </c>
      <c r="F28" s="468" t="str">
        <f>IF(D28="","",IF('Term 2'!BF28="","--",'Term 2'!BF28))</f>
        <v>--</v>
      </c>
      <c r="G28" s="468" t="str">
        <f>IF(D28="","",IF('Term 3'!BF28="","--",'Term 3'!BF28))</f>
        <v>--</v>
      </c>
      <c r="H28" s="469">
        <f t="shared" si="0"/>
        <v>75</v>
      </c>
      <c r="I28" s="470" t="str">
        <f t="shared" si="1"/>
        <v>Passed [Connecting]</v>
      </c>
    </row>
    <row r="29" ht="15.95" customHeight="1" spans="2:9" x14ac:dyDescent="0.25">
      <c r="B29" s="471">
        <v>21</v>
      </c>
      <c r="C29" s="472">
        <f>IF('Data Input'!M27="","",'Data Input'!M27)</f>
        <v>2000496341</v>
      </c>
      <c r="D29" s="467" t="str">
        <f>IF(ISBLANK('Data Input'!N27),"",PROPER('Data Input'!N27))</f>
        <v>Maquite, John Michael</v>
      </c>
      <c r="E29" s="468">
        <f>IF(D29="","",IF('Term 1'!BF29="","--",'Term 1'!BF29))</f>
        <v>75</v>
      </c>
      <c r="F29" s="468" t="str">
        <f>IF(D29="","",IF('Term 2'!BF29="","--",'Term 2'!BF29))</f>
        <v>--</v>
      </c>
      <c r="G29" s="468" t="str">
        <f>IF(D29="","",IF('Term 3'!BF29="","--",'Term 3'!BF29))</f>
        <v>--</v>
      </c>
      <c r="H29" s="469">
        <f t="shared" si="0"/>
        <v>75</v>
      </c>
      <c r="I29" s="470" t="str">
        <f t="shared" si="1"/>
        <v>Passed [Connecting]</v>
      </c>
    </row>
    <row r="30" ht="15.95" customHeight="1" spans="2:9" x14ac:dyDescent="0.25">
      <c r="B30" s="471">
        <v>22</v>
      </c>
      <c r="C30" s="472">
        <f>IF('Data Input'!M28="","",'Data Input'!M28)</f>
        <v>2000494490</v>
      </c>
      <c r="D30" s="467" t="str">
        <f>IF(ISBLANK('Data Input'!N28),"",PROPER('Data Input'!N28))</f>
        <v>Melgar, Niza Jade</v>
      </c>
      <c r="E30" s="468">
        <f>IF(D30="","",IF('Term 1'!BF30="","--",'Term 1'!BF30))</f>
        <v>74</v>
      </c>
      <c r="F30" s="468" t="str">
        <f>IF(D30="","",IF('Term 2'!BF30="","--",'Term 2'!BF30))</f>
        <v>--</v>
      </c>
      <c r="G30" s="468" t="str">
        <f>IF(D30="","",IF('Term 3'!BF30="","--",'Term 3'!BF30))</f>
        <v>--</v>
      </c>
      <c r="H30" s="469">
        <f t="shared" si="0"/>
        <v>74</v>
      </c>
      <c r="I30" s="470" t="str">
        <f t="shared" si="1"/>
        <v>Failed [Developing]</v>
      </c>
    </row>
    <row r="31" ht="15.95" customHeight="1" spans="2:9" x14ac:dyDescent="0.25">
      <c r="B31" s="471">
        <v>23</v>
      </c>
      <c r="C31" s="472">
        <f>IF('Data Input'!M29="","",'Data Input'!M29)</f>
        <v>2000492883</v>
      </c>
      <c r="D31" s="467" t="str">
        <f>IF(ISBLANK('Data Input'!N29),"",PROPER('Data Input'!N29))</f>
        <v>Morada, Carl Ely</v>
      </c>
      <c r="E31" s="468">
        <f>IF(D31="","",IF('Term 1'!BF31="","--",'Term 1'!BF31))</f>
        <v>80</v>
      </c>
      <c r="F31" s="468" t="str">
        <f>IF(D31="","",IF('Term 2'!BF31="","--",'Term 2'!BF31))</f>
        <v>--</v>
      </c>
      <c r="G31" s="468" t="str">
        <f>IF(D31="","",IF('Term 3'!BF31="","--",'Term 3'!BF31))</f>
        <v>--</v>
      </c>
      <c r="H31" s="469">
        <f t="shared" si="0"/>
        <v>80</v>
      </c>
      <c r="I31" s="470" t="str">
        <f t="shared" si="1"/>
        <v>Passed [Benchmarking]</v>
      </c>
    </row>
    <row r="32" ht="15.95" customHeight="1" spans="2:9" x14ac:dyDescent="0.25">
      <c r="B32" s="471">
        <v>24</v>
      </c>
      <c r="C32" s="472">
        <f>IF('Data Input'!M30="","",'Data Input'!M30)</f>
        <v>2000493062</v>
      </c>
      <c r="D32" s="467" t="str">
        <f>IF(ISBLANK('Data Input'!N30),"",PROPER('Data Input'!N30))</f>
        <v>Olores, Frecious Natalie</v>
      </c>
      <c r="E32" s="468">
        <f>IF(D32="","",IF('Term 1'!BF32="","--",'Term 1'!BF32))</f>
        <v>76</v>
      </c>
      <c r="F32" s="468" t="str">
        <f>IF(D32="","",IF('Term 2'!BF32="","--",'Term 2'!BF32))</f>
        <v>--</v>
      </c>
      <c r="G32" s="468" t="str">
        <f>IF(D32="","",IF('Term 3'!BF32="","--",'Term 3'!BF32))</f>
        <v>--</v>
      </c>
      <c r="H32" s="469">
        <f t="shared" si="0"/>
        <v>76</v>
      </c>
      <c r="I32" s="470" t="str">
        <f t="shared" si="1"/>
        <v>Passed [Connecting]</v>
      </c>
    </row>
    <row r="33" ht="15.95" customHeight="1" spans="2:9" x14ac:dyDescent="0.25">
      <c r="B33" s="471">
        <v>25</v>
      </c>
      <c r="C33" s="472">
        <f>IF('Data Input'!M31="","",'Data Input'!M31)</f>
        <v>2000499699</v>
      </c>
      <c r="D33" s="467" t="str">
        <f>IF(ISBLANK('Data Input'!N31),"",PROPER('Data Input'!N31))</f>
        <v>Ortinero, Christel Ace</v>
      </c>
      <c r="E33" s="468">
        <f>IF(D33="","",IF('Term 1'!BF33="","--",'Term 1'!BF33))</f>
        <v>75</v>
      </c>
      <c r="F33" s="468" t="str">
        <f>IF(D33="","",IF('Term 2'!BF33="","--",'Term 2'!BF33))</f>
        <v>--</v>
      </c>
      <c r="G33" s="468" t="str">
        <f>IF(D33="","",IF('Term 3'!BF33="","--",'Term 3'!BF33))</f>
        <v>--</v>
      </c>
      <c r="H33" s="469">
        <f t="shared" si="0"/>
        <v>75</v>
      </c>
      <c r="I33" s="470" t="str">
        <f t="shared" si="1"/>
        <v>Passed [Connecting]</v>
      </c>
    </row>
    <row r="34" ht="15.95" customHeight="1" spans="2:9" x14ac:dyDescent="0.25">
      <c r="B34" s="471">
        <v>26</v>
      </c>
      <c r="C34" s="472">
        <f>IF('Data Input'!M32="","",'Data Input'!M32)</f>
        <v>2000481841</v>
      </c>
      <c r="D34" s="467" t="str">
        <f>IF(ISBLANK('Data Input'!N32),"",PROPER('Data Input'!N32))</f>
        <v>Pascua, Jhon Gavriel</v>
      </c>
      <c r="E34" s="468">
        <f>IF(D34="","",IF('Term 1'!BF34="","--",'Term 1'!BF34))</f>
        <v>78</v>
      </c>
      <c r="F34" s="468" t="str">
        <f>IF(D34="","",IF('Term 2'!BF34="","--",'Term 2'!BF34))</f>
        <v>--</v>
      </c>
      <c r="G34" s="468" t="str">
        <f>IF(D34="","",IF('Term 3'!BF34="","--",'Term 3'!BF34))</f>
        <v>--</v>
      </c>
      <c r="H34" s="469">
        <f t="shared" si="0"/>
        <v>78</v>
      </c>
      <c r="I34" s="470" t="str">
        <f t="shared" si="1"/>
        <v>Passed [Connecting]</v>
      </c>
    </row>
    <row r="35" ht="15.95" customHeight="1" spans="2:9" x14ac:dyDescent="0.25">
      <c r="B35" s="471">
        <v>27</v>
      </c>
      <c r="C35" s="472">
        <f>IF('Data Input'!M33="","",'Data Input'!M33)</f>
        <v>2000492838</v>
      </c>
      <c r="D35" s="467" t="str">
        <f>IF(ISBLANK('Data Input'!N33),"",PROPER('Data Input'!N33))</f>
        <v>Pastor, Jaydhen</v>
      </c>
      <c r="E35" s="468">
        <f>IF(D35="","",IF('Term 1'!BF35="","--",'Term 1'!BF35))</f>
        <v>93</v>
      </c>
      <c r="F35" s="468" t="str">
        <f>IF(D35="","",IF('Term 2'!BF35="","--",'Term 2'!BF35))</f>
        <v>--</v>
      </c>
      <c r="G35" s="468" t="str">
        <f>IF(D35="","",IF('Term 3'!BF35="","--",'Term 3'!BF35))</f>
        <v>--</v>
      </c>
      <c r="H35" s="469">
        <f t="shared" si="0"/>
        <v>93</v>
      </c>
      <c r="I35" s="470" t="str">
        <f t="shared" si="1"/>
        <v>Passed [Advancing]</v>
      </c>
    </row>
    <row r="36" ht="15.95" customHeight="1" spans="2:9" x14ac:dyDescent="0.25">
      <c r="B36" s="471">
        <v>28</v>
      </c>
      <c r="C36" s="472">
        <f>IF('Data Input'!M34="","",'Data Input'!M34)</f>
        <v>2000485198</v>
      </c>
      <c r="D36" s="467" t="str">
        <f>IF(ISBLANK('Data Input'!N34),"",PROPER('Data Input'!N34))</f>
        <v>Placente, Rhian</v>
      </c>
      <c r="E36" s="468">
        <f>IF(D36="","",IF('Term 1'!BF36="","--",'Term 1'!BF36))</f>
        <v>75</v>
      </c>
      <c r="F36" s="468" t="str">
        <f>IF(D36="","",IF('Term 2'!BF36="","--",'Term 2'!BF36))</f>
        <v>--</v>
      </c>
      <c r="G36" s="468" t="str">
        <f>IF(D36="","",IF('Term 3'!BF36="","--",'Term 3'!BF36))</f>
        <v>--</v>
      </c>
      <c r="H36" s="469">
        <f t="shared" si="0"/>
        <v>75</v>
      </c>
      <c r="I36" s="470" t="str">
        <f t="shared" si="1"/>
        <v>Passed [Connecting]</v>
      </c>
    </row>
    <row r="37" ht="15.95" customHeight="1" spans="2:9" x14ac:dyDescent="0.25">
      <c r="B37" s="471">
        <v>29</v>
      </c>
      <c r="C37" s="472">
        <f>IF('Data Input'!M35="","",'Data Input'!M35)</f>
      </c>
      <c r="D37" s="467">
        <f>IF(ISBLANK('Data Input'!N35),"",PROPER('Data Input'!N35))</f>
      </c>
      <c r="E37" s="468">
        <f>IF(D37="","",IF('Term 1'!BF37="","--",'Term 1'!BF37))</f>
      </c>
      <c r="F37" s="468">
        <f>IF(D37="","",IF('Term 2'!BF37="","--",'Term 2'!BF37))</f>
      </c>
      <c r="G37" s="468">
        <f>IF(D37="","",IF('Term 3'!BF37="","--",'Term 3'!BF37))</f>
      </c>
      <c r="H37" s="469">
        <f t="shared" si="0"/>
      </c>
      <c r="I37" s="470">
        <f t="shared" si="1"/>
      </c>
    </row>
    <row r="38" ht="15.95" customHeight="1" spans="2:9" x14ac:dyDescent="0.25">
      <c r="B38" s="471">
        <v>30</v>
      </c>
      <c r="C38" s="472">
        <f>IF('Data Input'!M36="","",'Data Input'!M36)</f>
      </c>
      <c r="D38" s="467">
        <f>IF(ISBLANK('Data Input'!N36),"",PROPER('Data Input'!N36))</f>
      </c>
      <c r="E38" s="468">
        <f>IF(D38="","",IF('Term 1'!BF38="","--",'Term 1'!BF38))</f>
      </c>
      <c r="F38" s="468">
        <f>IF(D38="","",IF('Term 2'!BF38="","--",'Term 2'!BF38))</f>
      </c>
      <c r="G38" s="468">
        <f>IF(D38="","",IF('Term 3'!BF38="","--",'Term 3'!BF38))</f>
      </c>
      <c r="H38" s="469">
        <f t="shared" si="0"/>
      </c>
      <c r="I38" s="470">
        <f t="shared" si="1"/>
      </c>
    </row>
    <row r="39" ht="15.95" customHeight="1" spans="2:9" x14ac:dyDescent="0.25">
      <c r="B39" s="471">
        <v>31</v>
      </c>
      <c r="C39" s="472">
        <f>IF('Data Input'!M37="","",'Data Input'!M37)</f>
      </c>
      <c r="D39" s="467">
        <f>IF(ISBLANK('Data Input'!N37),"",PROPER('Data Input'!N37))</f>
      </c>
      <c r="E39" s="468">
        <f>IF(D39="","",IF('Term 1'!BF39="","--",'Term 1'!BF39))</f>
      </c>
      <c r="F39" s="468">
        <f>IF(D39="","",IF('Term 2'!BF39="","--",'Term 2'!BF39))</f>
      </c>
      <c r="G39" s="468">
        <f>IF(D39="","",IF('Term 3'!BF39="","--",'Term 3'!BF39))</f>
      </c>
      <c r="H39" s="469">
        <f t="shared" si="0"/>
      </c>
      <c r="I39" s="470">
        <f t="shared" si="1"/>
      </c>
    </row>
    <row r="40" ht="15.95" customHeight="1" spans="2:9" x14ac:dyDescent="0.25">
      <c r="B40" s="471">
        <v>32</v>
      </c>
      <c r="C40" s="472">
        <f>IF('Data Input'!M38="","",'Data Input'!M38)</f>
      </c>
      <c r="D40" s="467">
        <f>IF(ISBLANK('Data Input'!N38),"",PROPER('Data Input'!N38))</f>
      </c>
      <c r="E40" s="468">
        <f>IF(D40="","",IF('Term 1'!BF40="","--",'Term 1'!BF40))</f>
      </c>
      <c r="F40" s="468">
        <f>IF(D40="","",IF('Term 2'!BF40="","--",'Term 2'!BF40))</f>
      </c>
      <c r="G40" s="468">
        <f>IF(D40="","",IF('Term 3'!BF40="","--",'Term 3'!BF40))</f>
      </c>
      <c r="H40" s="469">
        <f t="shared" si="0"/>
      </c>
      <c r="I40" s="470">
        <f t="shared" si="1"/>
      </c>
    </row>
    <row r="41" ht="15.95" customHeight="1" spans="2:9" x14ac:dyDescent="0.25">
      <c r="B41" s="471">
        <v>33</v>
      </c>
      <c r="C41" s="472">
        <f>IF('Data Input'!M39="","",'Data Input'!M39)</f>
      </c>
      <c r="D41" s="467">
        <f>IF(ISBLANK('Data Input'!N39),"",PROPER('Data Input'!N39))</f>
      </c>
      <c r="E41" s="468">
        <f>IF(D41="","",IF('Term 1'!BF41="","--",'Term 1'!BF41))</f>
      </c>
      <c r="F41" s="468">
        <f>IF(D41="","",IF('Term 2'!BF41="","--",'Term 2'!BF41))</f>
      </c>
      <c r="G41" s="468">
        <f>IF(D41="","",IF('Term 3'!BF41="","--",'Term 3'!BF41))</f>
      </c>
      <c r="H41" s="469">
        <f t="shared" si="0"/>
      </c>
      <c r="I41" s="470">
        <f t="shared" si="1"/>
      </c>
    </row>
    <row r="42" ht="15.95" customHeight="1" spans="2:9" x14ac:dyDescent="0.25">
      <c r="B42" s="471">
        <v>34</v>
      </c>
      <c r="C42" s="472">
        <f>IF('Data Input'!M40="","",'Data Input'!M40)</f>
      </c>
      <c r="D42" s="467">
        <f>IF(ISBLANK('Data Input'!N40),"",PROPER('Data Input'!N40))</f>
      </c>
      <c r="E42" s="468">
        <f>IF(D42="","",IF('Term 1'!BF42="","--",'Term 1'!BF42))</f>
      </c>
      <c r="F42" s="468">
        <f>IF(D42="","",IF('Term 2'!BF42="","--",'Term 2'!BF42))</f>
      </c>
      <c r="G42" s="468">
        <f>IF(D42="","",IF('Term 3'!BF42="","--",'Term 3'!BF42))</f>
      </c>
      <c r="H42" s="469">
        <f t="shared" si="0"/>
      </c>
      <c r="I42" s="470">
        <f t="shared" si="1"/>
      </c>
    </row>
    <row r="43" ht="15.95" customHeight="1" spans="2:9" x14ac:dyDescent="0.25">
      <c r="B43" s="471">
        <v>35</v>
      </c>
      <c r="C43" s="472">
        <f>IF('Data Input'!M41="","",'Data Input'!M41)</f>
      </c>
      <c r="D43" s="467">
        <f>IF(ISBLANK('Data Input'!N41),"",PROPER('Data Input'!N41))</f>
      </c>
      <c r="E43" s="468">
        <f>IF(D43="","",IF('Term 1'!BF43="","--",'Term 1'!BF43))</f>
      </c>
      <c r="F43" s="468">
        <f>IF(D43="","",IF('Term 2'!BF43="","--",'Term 2'!BF43))</f>
      </c>
      <c r="G43" s="468">
        <f>IF(D43="","",IF('Term 3'!BF43="","--",'Term 3'!BF43))</f>
      </c>
      <c r="H43" s="469">
        <f t="shared" si="0"/>
      </c>
      <c r="I43" s="470">
        <f t="shared" si="1"/>
      </c>
    </row>
    <row r="44" ht="15.95" customHeight="1" spans="2:9" x14ac:dyDescent="0.25">
      <c r="B44" s="471">
        <v>36</v>
      </c>
      <c r="C44" s="472">
        <f>IF('Data Input'!M42="","",'Data Input'!M42)</f>
      </c>
      <c r="D44" s="467">
        <f>IF(ISBLANK('Data Input'!N42),"",PROPER('Data Input'!N42))</f>
      </c>
      <c r="E44" s="468">
        <f>IF(D44="","",IF('Term 1'!BF44="","--",'Term 1'!BF44))</f>
      </c>
      <c r="F44" s="468">
        <f>IF(D44="","",IF('Term 2'!BF44="","--",'Term 2'!BF44))</f>
      </c>
      <c r="G44" s="468">
        <f>IF(D44="","",IF('Term 3'!BF44="","--",'Term 3'!BF44))</f>
      </c>
      <c r="H44" s="469">
        <f t="shared" si="0"/>
      </c>
      <c r="I44" s="470">
        <f t="shared" si="1"/>
      </c>
    </row>
    <row r="45" ht="15.95" customHeight="1" spans="2:9" x14ac:dyDescent="0.25">
      <c r="B45" s="471">
        <v>37</v>
      </c>
      <c r="C45" s="472">
        <f>IF('Data Input'!M43="","",'Data Input'!M43)</f>
      </c>
      <c r="D45" s="467">
        <f>IF(ISBLANK('Data Input'!N43),"",PROPER('Data Input'!N43))</f>
      </c>
      <c r="E45" s="468">
        <f>IF(D45="","",IF('Term 1'!BF45="","--",'Term 1'!BF45))</f>
      </c>
      <c r="F45" s="468">
        <f>IF(D45="","",IF('Term 2'!BF45="","--",'Term 2'!BF45))</f>
      </c>
      <c r="G45" s="468">
        <f>IF(D45="","",IF('Term 3'!BF45="","--",'Term 3'!BF45))</f>
      </c>
      <c r="H45" s="469">
        <f t="shared" si="0"/>
      </c>
      <c r="I45" s="470">
        <f t="shared" si="1"/>
      </c>
    </row>
    <row r="46" ht="15.95" customHeight="1" spans="2:9" x14ac:dyDescent="0.25">
      <c r="B46" s="471">
        <v>38</v>
      </c>
      <c r="C46" s="472">
        <f>IF('Data Input'!M44="","",'Data Input'!M44)</f>
      </c>
      <c r="D46" s="467">
        <f>IF(ISBLANK('Data Input'!N44),"",PROPER('Data Input'!N44))</f>
      </c>
      <c r="E46" s="468">
        <f>IF(D46="","",IF('Term 1'!BF46="","--",'Term 1'!BF46))</f>
      </c>
      <c r="F46" s="468">
        <f>IF(D46="","",IF('Term 2'!BF46="","--",'Term 2'!BF46))</f>
      </c>
      <c r="G46" s="468">
        <f>IF(D46="","",IF('Term 3'!BF46="","--",'Term 3'!BF46))</f>
      </c>
      <c r="H46" s="469">
        <f t="shared" si="0"/>
      </c>
      <c r="I46" s="470">
        <f t="shared" si="1"/>
      </c>
    </row>
    <row r="47" ht="15.95" customHeight="1" spans="2:9" x14ac:dyDescent="0.25">
      <c r="B47" s="471">
        <v>39</v>
      </c>
      <c r="C47" s="472">
        <f>IF('Data Input'!M45="","",'Data Input'!M45)</f>
      </c>
      <c r="D47" s="467">
        <f>IF(ISBLANK('Data Input'!N45),"",PROPER('Data Input'!N45))</f>
      </c>
      <c r="E47" s="468">
        <f>IF(D47="","",IF('Term 1'!BF47="","--",'Term 1'!BF47))</f>
      </c>
      <c r="F47" s="468">
        <f>IF(D47="","",IF('Term 2'!BF47="","--",'Term 2'!BF47))</f>
      </c>
      <c r="G47" s="468">
        <f>IF(D47="","",IF('Term 3'!BF47="","--",'Term 3'!BF47))</f>
      </c>
      <c r="H47" s="469">
        <f t="shared" si="0"/>
      </c>
      <c r="I47" s="470">
        <f t="shared" si="1"/>
      </c>
    </row>
    <row r="48" ht="15.95" customHeight="1" spans="2:9" x14ac:dyDescent="0.25">
      <c r="B48" s="471">
        <v>40</v>
      </c>
      <c r="C48" s="472">
        <f>IF('Data Input'!M46="","",'Data Input'!M46)</f>
      </c>
      <c r="D48" s="467">
        <f>IF(ISBLANK('Data Input'!N46),"",PROPER('Data Input'!N46))</f>
      </c>
      <c r="E48" s="468">
        <f>IF(D48="","",IF('Term 1'!BF48="","--",'Term 1'!BF48))</f>
      </c>
      <c r="F48" s="468">
        <f>IF(D48="","",IF('Term 2'!BF48="","--",'Term 2'!BF48))</f>
      </c>
      <c r="G48" s="468">
        <f>IF(D48="","",IF('Term 3'!BF48="","--",'Term 3'!BF48))</f>
      </c>
      <c r="H48" s="469">
        <f t="shared" si="0"/>
      </c>
      <c r="I48" s="470">
        <f t="shared" si="1"/>
      </c>
    </row>
    <row r="49" ht="15.95" customHeight="1" spans="2:9" x14ac:dyDescent="0.25">
      <c r="B49" s="471">
        <v>41</v>
      </c>
      <c r="C49" s="472">
        <f>IF('Data Input'!M47="","",'Data Input'!M47)</f>
      </c>
      <c r="D49" s="467">
        <f>IF(ISBLANK('Data Input'!N47),"",PROPER('Data Input'!N47))</f>
      </c>
      <c r="E49" s="468">
        <f>IF(D49="","",IF('Term 1'!BF49="","--",'Term 1'!BF49))</f>
      </c>
      <c r="F49" s="468">
        <f>IF(D49="","",IF('Term 2'!BF49="","--",'Term 2'!BF49))</f>
      </c>
      <c r="G49" s="468">
        <f>IF(D49="","",IF('Term 3'!BF49="","--",'Term 3'!BF49))</f>
      </c>
      <c r="H49" s="469">
        <f t="shared" si="0"/>
      </c>
      <c r="I49" s="470">
        <f t="shared" si="1"/>
      </c>
    </row>
    <row r="50" ht="15.95" customHeight="1" spans="2:9" x14ac:dyDescent="0.25">
      <c r="B50" s="471">
        <v>42</v>
      </c>
      <c r="C50" s="472">
        <f>IF('Data Input'!M48="","",'Data Input'!M48)</f>
      </c>
      <c r="D50" s="467">
        <f>IF(ISBLANK('Data Input'!N48),"",PROPER('Data Input'!N48))</f>
      </c>
      <c r="E50" s="468">
        <f>IF(D50="","",IF('Term 1'!BF50="","--",'Term 1'!BF50))</f>
      </c>
      <c r="F50" s="468">
        <f>IF(D50="","",IF('Term 2'!BF50="","--",'Term 2'!BF50))</f>
      </c>
      <c r="G50" s="468">
        <f>IF(D50="","",IF('Term 3'!BF50="","--",'Term 3'!BF50))</f>
      </c>
      <c r="H50" s="469">
        <f t="shared" si="0"/>
      </c>
      <c r="I50" s="470">
        <f t="shared" si="1"/>
      </c>
    </row>
    <row r="51" ht="15.95" customHeight="1" spans="2:9" x14ac:dyDescent="0.25">
      <c r="B51" s="471">
        <v>43</v>
      </c>
      <c r="C51" s="472">
        <f>IF('Data Input'!M49="","",'Data Input'!M49)</f>
      </c>
      <c r="D51" s="467">
        <f>IF(ISBLANK('Data Input'!N49),"",PROPER('Data Input'!N49))</f>
      </c>
      <c r="E51" s="468">
        <f>IF(D51="","",IF('Term 1'!BF51="","--",'Term 1'!BF51))</f>
      </c>
      <c r="F51" s="468">
        <f>IF(D51="","",IF('Term 2'!BF51="","--",'Term 2'!BF51))</f>
      </c>
      <c r="G51" s="468">
        <f>IF(D51="","",IF('Term 3'!BF51="","--",'Term 3'!BF51))</f>
      </c>
      <c r="H51" s="469">
        <f t="shared" si="0"/>
      </c>
      <c r="I51" s="470">
        <f t="shared" si="1"/>
      </c>
    </row>
    <row r="52" ht="15.95" customHeight="1" spans="2:9" x14ac:dyDescent="0.25">
      <c r="B52" s="471">
        <v>44</v>
      </c>
      <c r="C52" s="472">
        <f>IF('Data Input'!M50="","",'Data Input'!M50)</f>
      </c>
      <c r="D52" s="467">
        <f>IF(ISBLANK('Data Input'!N50),"",PROPER('Data Input'!N50))</f>
      </c>
      <c r="E52" s="468">
        <f>IF(D52="","",IF('Term 1'!BF52="","--",'Term 1'!BF52))</f>
      </c>
      <c r="F52" s="468">
        <f>IF(D52="","",IF('Term 2'!BF52="","--",'Term 2'!BF52))</f>
      </c>
      <c r="G52" s="468">
        <f>IF(D52="","",IF('Term 3'!BF52="","--",'Term 3'!BF52))</f>
      </c>
      <c r="H52" s="469">
        <f t="shared" si="0"/>
      </c>
      <c r="I52" s="470">
        <f t="shared" si="1"/>
      </c>
    </row>
    <row r="53" ht="15.95" customHeight="1" spans="2:9" x14ac:dyDescent="0.25">
      <c r="B53" s="471">
        <v>45</v>
      </c>
      <c r="C53" s="472">
        <f>IF('Data Input'!M51="","",'Data Input'!M51)</f>
      </c>
      <c r="D53" s="467">
        <f>IF(ISBLANK('Data Input'!N51),"",PROPER('Data Input'!N51))</f>
      </c>
      <c r="E53" s="468">
        <f>IF(D53="","",IF('Term 1'!BF53="","--",'Term 1'!BF53))</f>
      </c>
      <c r="F53" s="468">
        <f>IF(D53="","",IF('Term 2'!BF53="","--",'Term 2'!BF53))</f>
      </c>
      <c r="G53" s="468">
        <f>IF(D53="","",IF('Term 3'!BF53="","--",'Term 3'!BF53))</f>
      </c>
      <c r="H53" s="469">
        <f t="shared" si="0"/>
      </c>
      <c r="I53" s="470">
        <f t="shared" si="1"/>
      </c>
    </row>
    <row r="54" ht="15.95" customHeight="1" spans="2:9" x14ac:dyDescent="0.25">
      <c r="B54" s="471">
        <v>46</v>
      </c>
      <c r="C54" s="472">
        <f>IF('Data Input'!M52="","",'Data Input'!M52)</f>
      </c>
      <c r="D54" s="467">
        <f>IF(ISBLANK('Data Input'!N52),"",PROPER('Data Input'!N52))</f>
      </c>
      <c r="E54" s="468">
        <f>IF(D54="","",IF('Term 1'!BF54="","--",'Term 1'!BF54))</f>
      </c>
      <c r="F54" s="468">
        <f>IF(D54="","",IF('Term 2'!BF54="","--",'Term 2'!BF54))</f>
      </c>
      <c r="G54" s="468">
        <f>IF(D54="","",IF('Term 3'!BF54="","--",'Term 3'!BF54))</f>
      </c>
      <c r="H54" s="469">
        <f t="shared" si="0"/>
      </c>
      <c r="I54" s="470">
        <f t="shared" si="1"/>
      </c>
    </row>
    <row r="55" ht="15.95" customHeight="1" spans="2:9" x14ac:dyDescent="0.25">
      <c r="B55" s="471">
        <v>47</v>
      </c>
      <c r="C55" s="472">
        <f>IF('Data Input'!M53="","",'Data Input'!M53)</f>
      </c>
      <c r="D55" s="467">
        <f>IF(ISBLANK('Data Input'!N53),"",PROPER('Data Input'!N53))</f>
      </c>
      <c r="E55" s="468">
        <f>IF(D55="","",IF('Term 1'!BF55="","--",'Term 1'!BF55))</f>
      </c>
      <c r="F55" s="468">
        <f>IF(D55="","",IF('Term 2'!BF55="","--",'Term 2'!BF55))</f>
      </c>
      <c r="G55" s="468">
        <f>IF(D55="","",IF('Term 3'!BF55="","--",'Term 3'!BF55))</f>
      </c>
      <c r="H55" s="469">
        <f t="shared" si="0"/>
      </c>
      <c r="I55" s="470">
        <f t="shared" si="1"/>
      </c>
    </row>
    <row r="56" ht="15.95" customHeight="1" spans="2:9" x14ac:dyDescent="0.25">
      <c r="B56" s="471">
        <v>48</v>
      </c>
      <c r="C56" s="472">
        <f>IF('Data Input'!M54="","",'Data Input'!M54)</f>
      </c>
      <c r="D56" s="467">
        <f>IF(ISBLANK('Data Input'!N54),"",PROPER('Data Input'!N54))</f>
      </c>
      <c r="E56" s="468">
        <f>IF(D56="","",IF('Term 1'!BF56="","--",'Term 1'!BF56))</f>
      </c>
      <c r="F56" s="468">
        <f>IF(D56="","",IF('Term 2'!BF56="","--",'Term 2'!BF56))</f>
      </c>
      <c r="G56" s="468">
        <f>IF(D56="","",IF('Term 3'!BF56="","--",'Term 3'!BF56))</f>
      </c>
      <c r="H56" s="469">
        <f t="shared" si="0"/>
      </c>
      <c r="I56" s="470">
        <f t="shared" si="1"/>
      </c>
    </row>
    <row r="57" ht="15.95" customHeight="1" spans="2:9" x14ac:dyDescent="0.25">
      <c r="B57" s="471">
        <v>49</v>
      </c>
      <c r="C57" s="472">
        <f>IF('Data Input'!M55="","",'Data Input'!M55)</f>
      </c>
      <c r="D57" s="467">
        <f>IF(ISBLANK('Data Input'!N55),"",PROPER('Data Input'!N55))</f>
      </c>
      <c r="E57" s="468">
        <f>IF(D57="","",IF('Term 1'!BF57="","--",'Term 1'!BF57))</f>
      </c>
      <c r="F57" s="468">
        <f>IF(D57="","",IF('Term 2'!BF57="","--",'Term 2'!BF57))</f>
      </c>
      <c r="G57" s="468">
        <f>IF(D57="","",IF('Term 3'!BF57="","--",'Term 3'!BF57))</f>
      </c>
      <c r="H57" s="469">
        <f t="shared" si="0"/>
      </c>
      <c r="I57" s="470">
        <f t="shared" si="1"/>
      </c>
    </row>
    <row r="58" ht="15.95" customHeight="1" spans="2:9" x14ac:dyDescent="0.25">
      <c r="B58" s="471">
        <v>50</v>
      </c>
      <c r="C58" s="472">
        <f>IF('Data Input'!M56="","",'Data Input'!M56)</f>
      </c>
      <c r="D58" s="467">
        <f>IF(ISBLANK('Data Input'!N56),"",PROPER('Data Input'!N56))</f>
      </c>
      <c r="E58" s="468">
        <f>IF(D58="","",IF('Term 1'!BF58="","--",'Term 1'!BF58))</f>
      </c>
      <c r="F58" s="468">
        <f>IF(D58="","",IF('Term 2'!BF58="","--",'Term 2'!BF58))</f>
      </c>
      <c r="G58" s="468">
        <f>IF(D58="","",IF('Term 3'!BF58="","--",'Term 3'!BF58))</f>
      </c>
      <c r="H58" s="469">
        <f t="shared" si="0"/>
      </c>
      <c r="I58" s="470">
        <f t="shared" si="1"/>
      </c>
    </row>
    <row r="59" ht="15.95" customHeight="1" spans="2:9" x14ac:dyDescent="0.25">
      <c r="B59" s="471">
        <v>51</v>
      </c>
      <c r="C59" s="472">
        <f>IF('Data Input'!M57="","",'Data Input'!M57)</f>
      </c>
      <c r="D59" s="467">
        <f>IF(ISBLANK('Data Input'!N57),"",PROPER('Data Input'!N57))</f>
      </c>
      <c r="E59" s="468">
        <f>IF(D59="","",IF('Term 1'!BF59="","--",'Term 1'!BF59))</f>
      </c>
      <c r="F59" s="468">
        <f>IF(D59="","",IF('Term 2'!BF59="","--",'Term 2'!BF59))</f>
      </c>
      <c r="G59" s="468">
        <f>IF(D59="","",IF('Term 3'!BF59="","--",'Term 3'!BF59))</f>
      </c>
      <c r="H59" s="469">
        <f t="shared" si="0"/>
      </c>
      <c r="I59" s="470">
        <f t="shared" si="1"/>
      </c>
    </row>
    <row r="60" ht="15.95" customHeight="1" spans="2:9" x14ac:dyDescent="0.25">
      <c r="B60" s="471">
        <v>52</v>
      </c>
      <c r="C60" s="472">
        <f>IF('Data Input'!M58="","",'Data Input'!M58)</f>
      </c>
      <c r="D60" s="467">
        <f>IF(ISBLANK('Data Input'!N58),"",PROPER('Data Input'!N58))</f>
      </c>
      <c r="E60" s="468">
        <f>IF(D60="","",IF('Term 1'!BF60="","--",'Term 1'!BF60))</f>
      </c>
      <c r="F60" s="468">
        <f>IF(D60="","",IF('Term 2'!BF60="","--",'Term 2'!BF60))</f>
      </c>
      <c r="G60" s="468">
        <f>IF(D60="","",IF('Term 3'!BF60="","--",'Term 3'!BF60))</f>
      </c>
      <c r="H60" s="469">
        <f t="shared" si="0"/>
      </c>
      <c r="I60" s="470">
        <f t="shared" si="1"/>
      </c>
    </row>
    <row r="61" ht="15.95" customHeight="1" spans="2:9" x14ac:dyDescent="0.25">
      <c r="B61" s="471">
        <v>53</v>
      </c>
      <c r="C61" s="472">
        <f>IF('Data Input'!M59="","",'Data Input'!M59)</f>
      </c>
      <c r="D61" s="467">
        <f>IF(ISBLANK('Data Input'!N59),"",PROPER('Data Input'!N59))</f>
      </c>
      <c r="E61" s="468">
        <f>IF(D61="","",IF('Term 1'!BF61="","--",'Term 1'!BF61))</f>
      </c>
      <c r="F61" s="468">
        <f>IF(D61="","",IF('Term 2'!BF61="","--",'Term 2'!BF61))</f>
      </c>
      <c r="G61" s="468">
        <f>IF(D61="","",IF('Term 3'!BF61="","--",'Term 3'!BF61))</f>
      </c>
      <c r="H61" s="469">
        <f t="shared" si="0"/>
      </c>
      <c r="I61" s="470">
        <f t="shared" si="1"/>
      </c>
    </row>
    <row r="62" ht="15.95" customHeight="1" spans="2:9" x14ac:dyDescent="0.25">
      <c r="B62" s="471">
        <v>54</v>
      </c>
      <c r="C62" s="472">
        <f>IF('Data Input'!M60="","",'Data Input'!M60)</f>
      </c>
      <c r="D62" s="467">
        <f>IF(ISBLANK('Data Input'!N60),"",PROPER('Data Input'!N60))</f>
      </c>
      <c r="E62" s="468">
        <f>IF(D62="","",IF('Term 1'!BF62="","--",'Term 1'!BF62))</f>
      </c>
      <c r="F62" s="468">
        <f>IF(D62="","",IF('Term 2'!BF62="","--",'Term 2'!BF62))</f>
      </c>
      <c r="G62" s="468">
        <f>IF(D62="","",IF('Term 3'!BF62="","--",'Term 3'!BF62))</f>
      </c>
      <c r="H62" s="469">
        <f t="shared" si="0"/>
      </c>
      <c r="I62" s="470">
        <f t="shared" si="1"/>
      </c>
    </row>
    <row r="63" ht="15.95" customHeight="1" spans="2:9" x14ac:dyDescent="0.25">
      <c r="B63" s="471">
        <v>55</v>
      </c>
      <c r="C63" s="472">
        <f>IF('Data Input'!M61="","",'Data Input'!M61)</f>
      </c>
      <c r="D63" s="467">
        <f>IF(ISBLANK('Data Input'!N61),"",PROPER('Data Input'!N61))</f>
      </c>
      <c r="E63" s="468">
        <f>IF(D63="","",IF('Term 1'!BF63="","--",'Term 1'!BF63))</f>
      </c>
      <c r="F63" s="468">
        <f>IF(D63="","",IF('Term 2'!BF63="","--",'Term 2'!BF63))</f>
      </c>
      <c r="G63" s="468">
        <f>IF(D63="","",IF('Term 3'!BF63="","--",'Term 3'!BF63))</f>
      </c>
      <c r="H63" s="469">
        <f t="shared" si="0"/>
      </c>
      <c r="I63" s="470">
        <f t="shared" si="1"/>
      </c>
    </row>
    <row r="64" ht="15.95" customHeight="1" spans="2:9" x14ac:dyDescent="0.25">
      <c r="B64" s="471">
        <v>56</v>
      </c>
      <c r="C64" s="472">
        <f>IF('Data Input'!M62="","",'Data Input'!M62)</f>
      </c>
      <c r="D64" s="467">
        <f>IF(ISBLANK('Data Input'!N62),"",PROPER('Data Input'!N62))</f>
      </c>
      <c r="E64" s="468">
        <f>IF(D64="","",IF('Term 1'!BF64="","--",'Term 1'!BF64))</f>
      </c>
      <c r="F64" s="468">
        <f>IF(D64="","",IF('Term 2'!BF64="","--",'Term 2'!BF64))</f>
      </c>
      <c r="G64" s="468">
        <f>IF(D64="","",IF('Term 3'!BF64="","--",'Term 3'!BF64))</f>
      </c>
      <c r="H64" s="469">
        <f t="shared" si="0"/>
      </c>
      <c r="I64" s="470">
        <f t="shared" si="1"/>
      </c>
    </row>
    <row r="65" ht="15.95" customHeight="1" spans="2:9" x14ac:dyDescent="0.25">
      <c r="B65" s="471">
        <v>57</v>
      </c>
      <c r="C65" s="472">
        <f>IF('Data Input'!M63="","",'Data Input'!M63)</f>
      </c>
      <c r="D65" s="467">
        <f>IF(ISBLANK('Data Input'!N63),"",PROPER('Data Input'!N63))</f>
      </c>
      <c r="E65" s="468">
        <f>IF(D65="","",IF('Term 1'!BF65="","--",'Term 1'!BF65))</f>
      </c>
      <c r="F65" s="468">
        <f>IF(D65="","",IF('Term 2'!BF65="","--",'Term 2'!BF65))</f>
      </c>
      <c r="G65" s="468">
        <f>IF(D65="","",IF('Term 3'!BF65="","--",'Term 3'!BF65))</f>
      </c>
      <c r="H65" s="469">
        <f t="shared" si="0"/>
      </c>
      <c r="I65" s="470">
        <f t="shared" si="1"/>
      </c>
    </row>
    <row r="66" ht="15.95" customHeight="1" spans="2:9" x14ac:dyDescent="0.25">
      <c r="B66" s="471">
        <v>58</v>
      </c>
      <c r="C66" s="472">
        <f>IF('Data Input'!M64="","",'Data Input'!M64)</f>
      </c>
      <c r="D66" s="467">
        <f>IF(ISBLANK('Data Input'!N64),"",PROPER('Data Input'!N64))</f>
      </c>
      <c r="E66" s="468">
        <f>IF(D66="","",IF('Term 1'!BF66="","--",'Term 1'!BF66))</f>
      </c>
      <c r="F66" s="468">
        <f>IF(D66="","",IF('Term 2'!BF66="","--",'Term 2'!BF66))</f>
      </c>
      <c r="G66" s="468">
        <f>IF(D66="","",IF('Term 3'!BF66="","--",'Term 3'!BF66))</f>
      </c>
      <c r="H66" s="469">
        <f t="shared" si="0"/>
      </c>
      <c r="I66" s="470">
        <f t="shared" si="1"/>
      </c>
    </row>
    <row r="67" ht="15.95" customHeight="1" spans="2:9" x14ac:dyDescent="0.25">
      <c r="B67" s="471">
        <v>59</v>
      </c>
      <c r="C67" s="472">
        <f>IF('Data Input'!M65="","",'Data Input'!M65)</f>
      </c>
      <c r="D67" s="467">
        <f>IF(ISBLANK('Data Input'!N65),"",PROPER('Data Input'!N65))</f>
      </c>
      <c r="E67" s="468">
        <f>IF(D67="","",IF('Term 1'!BF67="","--",'Term 1'!BF67))</f>
      </c>
      <c r="F67" s="468">
        <f>IF(D67="","",IF('Term 2'!BF67="","--",'Term 2'!BF67))</f>
      </c>
      <c r="G67" s="468">
        <f>IF(D67="","",IF('Term 3'!BF67="","--",'Term 3'!BF67))</f>
      </c>
      <c r="H67" s="469">
        <f t="shared" si="0"/>
      </c>
      <c r="I67" s="470">
        <f t="shared" si="1"/>
      </c>
    </row>
    <row r="68" ht="15.95" customHeight="1" spans="2:9" x14ac:dyDescent="0.25">
      <c r="B68" s="473">
        <v>60</v>
      </c>
      <c r="C68" s="474">
        <f>IF('Data Input'!M66="","",'Data Input'!M66)</f>
      </c>
      <c r="D68" s="475">
        <f>IF(ISBLANK('Data Input'!N66),"",PROPER('Data Input'!N66))</f>
      </c>
      <c r="E68" s="468">
        <f>IF(D68="","",IF('Term 1'!BF68="","--",'Term 1'!BF68))</f>
      </c>
      <c r="F68" s="468">
        <f>IF(D68="","",IF('Term 2'!BF68="","--",'Term 2'!BF68))</f>
      </c>
      <c r="G68" s="468">
        <f>IF(D68="","",IF('Term 3'!BF68="","--",'Term 3'!BF68))</f>
      </c>
      <c r="H68" s="469">
        <f t="shared" si="0"/>
      </c>
      <c r="I68" s="470">
        <f t="shared" si="1"/>
      </c>
    </row>
    <row r="69" ht="9.95" customHeight="1" spans="3:9" x14ac:dyDescent="0.25">
      <c r="C69" s="476"/>
      <c r="D69" s="476"/>
      <c r="E69" s="476"/>
      <c r="F69" s="476"/>
      <c r="G69" s="476"/>
      <c r="H69" s="476"/>
      <c r="I69" s="476"/>
    </row>
  </sheetData>
  <sheetProtection sheet="1" algorithmName="SHA-512" hashValue="mOZwqu/96Yl5cnpeTDNuL2fkqrE56v/G3HkLVAVf+xxIlGNVGVsjp/GiwPCp+zQP5CIoaJPfWTgHPvIlDn3MvQ==" saltValue="HQCe3qAUjWc9Oo1CuEuDmw==" spinCount="100000" objects="1" scenarios="1"/>
  <mergeCells count="9">
    <mergeCell ref="B2:I2"/>
    <mergeCell ref="B4:C4"/>
    <mergeCell ref="D4:H4"/>
    <mergeCell ref="B5:C5"/>
    <mergeCell ref="D5:H5"/>
    <mergeCell ref="B6:C6"/>
    <mergeCell ref="F6:G6"/>
    <mergeCell ref="B7:C7"/>
    <mergeCell ref="F7:G7"/>
  </mergeCells>
  <conditionalFormatting sqref="E9:H68">
    <cfRule type="cellIs" dxfId="36" priority="2" operator="lessThan">
      <formula>75</formula>
    </cfRule>
  </conditionalFormatting>
  <conditionalFormatting sqref="I9:I68">
    <cfRule priority="1"/>
  </conditionalFormatting>
  <conditionalFormatting sqref="I9:I68">
    <cfRule priority="3"/>
  </conditionalFormatting>
  <dataValidations count="1">
    <dataValidation showInputMessage="1" prompt="Kindly ensure all applicable Term Grades are reflected for accurate final grade computation" showErrorMessage="1" sqref="H8"/>
  </dataValidations>
  <printOptions horizontalCentered="1"/>
  <pageMargins left="0" right="0" top="0" bottom="0" header="0" footer="0"/>
  <pageSetup orientation="portrait" horizontalDpi="0" verticalDpi="0" scale="62"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D39"/>
  <sheetViews>
    <sheetView workbookViewId="0" showGridLines="0" zoomScale="100" zoomScaleNormal="100">
      <selection activeCell="G16" sqref="G16"/>
    </sheetView>
  </sheetViews>
  <sheetFormatPr defaultRowHeight="15" outlineLevelRow="0" outlineLevelCol="0" x14ac:dyDescent="0.25"/>
  <cols>
    <col min="1" max="2" width="2.140625" style="167" customWidth="1"/>
    <col min="3" max="3" width="0.85546875" style="167" customWidth="1"/>
    <col min="4" max="7" width="11.5703125" style="167" customWidth="1"/>
    <col min="8" max="8" width="0.85546875" style="167" customWidth="1"/>
    <col min="9" max="9" width="1.85546875" style="167" customWidth="1"/>
    <col min="10" max="10" width="0.85546875" style="167" customWidth="1"/>
    <col min="11" max="14" width="11.5703125" style="167" customWidth="1"/>
    <col min="15" max="15" width="0.85546875" style="167" customWidth="1"/>
    <col min="16" max="16" width="1.85546875" style="167" customWidth="1"/>
    <col min="17" max="17" width="0.85546875" style="167" customWidth="1"/>
    <col min="18" max="21" width="11.5703125" style="167" customWidth="1"/>
    <col min="22" max="22" width="0.85546875" style="167" customWidth="1"/>
    <col min="23" max="23" width="1.85546875" style="167" customWidth="1"/>
    <col min="24" max="24" width="0.85546875" style="167" customWidth="1"/>
    <col min="25" max="28" width="11.5703125" style="167" customWidth="1"/>
    <col min="29" max="29" width="0.85546875" style="167" customWidth="1"/>
    <col min="30" max="31" width="2.140625" style="167" customWidth="1"/>
    <col min="32" max="16384" width="8.85546875" style="167" hidden="1" customWidth="1"/>
  </cols>
  <sheetData>
    <row r="1" ht="9.95" customHeight="1" x14ac:dyDescent="0.25"/>
    <row r="2" ht="15" customHeight="1" spans="2:30" x14ac:dyDescent="0.25">
      <c r="B2" s="189"/>
      <c r="C2" s="555"/>
      <c r="D2" s="555"/>
      <c r="E2" s="555"/>
      <c r="F2" s="555"/>
      <c r="G2" s="555"/>
      <c r="H2" s="555"/>
      <c r="I2" s="555"/>
      <c r="J2" s="555"/>
      <c r="K2" s="555"/>
      <c r="L2" s="555"/>
      <c r="M2" s="555"/>
      <c r="N2" s="555"/>
      <c r="O2" s="555"/>
      <c r="P2" s="555"/>
      <c r="Q2" s="555"/>
      <c r="R2" s="555"/>
      <c r="S2" s="555"/>
      <c r="T2" s="555"/>
      <c r="U2" s="555"/>
      <c r="V2" s="555"/>
      <c r="W2" s="555"/>
      <c r="X2" s="555"/>
      <c r="Y2" s="555"/>
      <c r="Z2" s="555"/>
      <c r="AA2" s="555"/>
      <c r="AB2" s="555"/>
      <c r="AC2" s="555"/>
      <c r="AD2" s="191"/>
    </row>
    <row r="3" ht="24.95" customHeight="1" spans="2:30" x14ac:dyDescent="0.25">
      <c r="B3" s="556"/>
      <c r="C3" s="557"/>
      <c r="D3" s="172" t="s">
        <v>297</v>
      </c>
      <c r="E3" s="172"/>
      <c r="F3" s="172"/>
      <c r="G3" s="172"/>
      <c r="H3" s="172"/>
      <c r="I3" s="172"/>
      <c r="J3" s="172"/>
      <c r="K3" s="172"/>
      <c r="L3" s="172"/>
      <c r="M3" s="172"/>
      <c r="N3" s="172"/>
      <c r="O3" s="172"/>
      <c r="P3" s="172"/>
      <c r="Q3" s="172"/>
      <c r="R3" s="172"/>
      <c r="S3" s="172"/>
      <c r="T3" s="172"/>
      <c r="U3" s="172"/>
      <c r="V3" s="172"/>
      <c r="W3" s="172"/>
      <c r="X3" s="172"/>
      <c r="Y3" s="172"/>
      <c r="Z3" s="172"/>
      <c r="AA3" s="172"/>
      <c r="AB3" s="172"/>
      <c r="AC3" s="558"/>
      <c r="AD3" s="559"/>
    </row>
    <row r="4" ht="9.95" customHeight="1" spans="2:30" x14ac:dyDescent="0.25">
      <c r="B4" s="556"/>
      <c r="C4" s="557"/>
      <c r="D4" s="557"/>
      <c r="E4" s="557"/>
      <c r="F4" s="557"/>
      <c r="G4" s="557"/>
      <c r="H4" s="557"/>
      <c r="I4" s="557"/>
      <c r="J4" s="557"/>
      <c r="K4" s="557"/>
      <c r="L4" s="557"/>
      <c r="M4" s="557"/>
      <c r="N4" s="557"/>
      <c r="O4" s="557"/>
      <c r="P4" s="557"/>
      <c r="Q4" s="557"/>
      <c r="R4" s="557"/>
      <c r="S4" s="557"/>
      <c r="T4" s="557"/>
      <c r="U4" s="557"/>
      <c r="V4" s="557"/>
      <c r="W4" s="557"/>
      <c r="X4" s="557"/>
      <c r="Y4" s="557"/>
      <c r="Z4" s="557"/>
      <c r="AA4" s="557"/>
      <c r="AB4" s="557"/>
      <c r="AC4" s="557"/>
      <c r="AD4" s="559"/>
    </row>
    <row r="5" ht="20.1" customHeight="1" spans="2:30" x14ac:dyDescent="0.25">
      <c r="B5" s="556"/>
      <c r="C5" s="560" t="s">
        <v>298</v>
      </c>
      <c r="D5" s="561"/>
      <c r="E5" s="561"/>
      <c r="F5" s="561"/>
      <c r="G5" s="561"/>
      <c r="H5" s="562"/>
      <c r="I5" s="563" t="str">
        <f>IF('Data Input'!$G$12="","",PROPER('Data Input'!$G$12))</f>
        <v>General Mathematics</v>
      </c>
      <c r="J5" s="564"/>
      <c r="K5" s="564"/>
      <c r="L5" s="564"/>
      <c r="M5" s="564"/>
      <c r="N5" s="564"/>
      <c r="O5" s="564"/>
      <c r="P5" s="564"/>
      <c r="Q5" s="564"/>
      <c r="R5" s="564"/>
      <c r="S5" s="564"/>
      <c r="T5" s="564"/>
      <c r="U5" s="564"/>
      <c r="V5" s="565"/>
      <c r="W5" s="566"/>
      <c r="X5" s="175" t="s">
        <v>299</v>
      </c>
      <c r="Y5" s="175"/>
      <c r="Z5" s="175"/>
      <c r="AA5" s="175"/>
      <c r="AB5" s="175"/>
      <c r="AC5" s="175"/>
      <c r="AD5" s="559"/>
    </row>
    <row r="6" ht="15" customHeight="1" spans="2:30" x14ac:dyDescent="0.25">
      <c r="B6" s="556"/>
      <c r="C6" s="567" t="s">
        <v>85</v>
      </c>
      <c r="D6" s="568"/>
      <c r="E6" s="568"/>
      <c r="F6" s="568"/>
      <c r="G6" s="568"/>
      <c r="H6" s="569"/>
      <c r="I6" s="567" t="s">
        <v>300</v>
      </c>
      <c r="J6" s="568"/>
      <c r="K6" s="568"/>
      <c r="L6" s="568"/>
      <c r="M6" s="568"/>
      <c r="N6" s="568"/>
      <c r="O6" s="568"/>
      <c r="P6" s="568"/>
      <c r="Q6" s="568"/>
      <c r="R6" s="568"/>
      <c r="S6" s="568"/>
      <c r="T6" s="568"/>
      <c r="U6" s="568"/>
      <c r="V6" s="569"/>
      <c r="W6" s="570"/>
      <c r="X6" s="571"/>
      <c r="Y6" s="572" t="s">
        <v>70</v>
      </c>
      <c r="Z6" s="573" t="s">
        <v>71</v>
      </c>
      <c r="AA6" s="573" t="s">
        <v>72</v>
      </c>
      <c r="AB6" s="574" t="s">
        <v>73</v>
      </c>
      <c r="AC6" s="571"/>
      <c r="AD6" s="559"/>
    </row>
    <row r="7" ht="20.1" customHeight="1" spans="2:30" x14ac:dyDescent="0.25">
      <c r="B7" s="556"/>
      <c r="C7" s="560" t="s">
        <v>86</v>
      </c>
      <c r="D7" s="561"/>
      <c r="E7" s="561"/>
      <c r="F7" s="575">
        <f>_xlfn.XLOOKUP($C$5,'Data Input'!$N$7:$N$66,'Data Input'!$M$7:$M$66,"")</f>
      </c>
      <c r="G7" s="576"/>
      <c r="H7" s="577"/>
      <c r="I7" s="563" t="str">
        <f>IF('Data Input'!$G$8="","",'Data Input'!$G$8)</f>
        <v>2026 - 2027</v>
      </c>
      <c r="J7" s="564"/>
      <c r="K7" s="564"/>
      <c r="L7" s="565"/>
      <c r="M7" s="575" t="str">
        <f>IF(OR('Data Input'!$G$11="",'Data Input'!$G$16=""),"",UPPER('Data Input'!$G$11&amp;" - "&amp;'Data Input'!$G$16))</f>
        <v>11 - BE/ICT</v>
      </c>
      <c r="N7" s="576"/>
      <c r="O7" s="577"/>
      <c r="P7" s="563" t="str">
        <f>IF('Data Input'!$G$10="","",PROPER('Data Input'!$G$10))</f>
        <v>John Marq E. Ramos</v>
      </c>
      <c r="Q7" s="564"/>
      <c r="R7" s="564"/>
      <c r="S7" s="565"/>
      <c r="T7" s="575">
        <f>IF('Data Input'!$G$14="","",UPPER('Data Input'!$G$14))</f>
      </c>
      <c r="U7" s="576"/>
      <c r="V7" s="577"/>
      <c r="W7" s="566"/>
      <c r="X7" s="578"/>
      <c r="Y7" s="579">
        <f>IF($C$5="","",_xlfn.XLOOKUP($C$5,'Grading Summary'!D:D,'Grading Summary'!E:E,""))</f>
      </c>
      <c r="Z7" s="580">
        <f>IF($C$5="","",_xlfn.XLOOKUP($C$5,'Grading Summary'!D:D,'Grading Summary'!F:F,""))</f>
      </c>
      <c r="AA7" s="580">
        <f>IF($C$5="","",_xlfn.XLOOKUP($C$5,'Grading Summary'!D:D,'Grading Summary'!G:G,""))</f>
      </c>
      <c r="AB7" s="581">
        <f>IF($C$5="","",_xlfn.XLOOKUP($C$5,'Grading Summary'!D:D,'Grading Summary'!H:H,""))</f>
      </c>
      <c r="AC7" s="578"/>
      <c r="AD7" s="559"/>
    </row>
    <row r="8" ht="15" customHeight="1" spans="2:30" x14ac:dyDescent="0.25">
      <c r="B8" s="556"/>
      <c r="C8" s="567" t="s">
        <v>87</v>
      </c>
      <c r="D8" s="568"/>
      <c r="E8" s="568"/>
      <c r="F8" s="567" t="s">
        <v>228</v>
      </c>
      <c r="G8" s="568"/>
      <c r="H8" s="569"/>
      <c r="I8" s="567" t="s">
        <v>152</v>
      </c>
      <c r="J8" s="568"/>
      <c r="K8" s="568"/>
      <c r="L8" s="569"/>
      <c r="M8" s="567" t="s">
        <v>225</v>
      </c>
      <c r="N8" s="568"/>
      <c r="O8" s="569"/>
      <c r="P8" s="567" t="s">
        <v>156</v>
      </c>
      <c r="Q8" s="568"/>
      <c r="R8" s="568"/>
      <c r="S8" s="569"/>
      <c r="T8" s="567" t="s">
        <v>165</v>
      </c>
      <c r="U8" s="568"/>
      <c r="V8" s="569"/>
      <c r="W8" s="570"/>
      <c r="X8" s="582"/>
      <c r="Y8" s="583">
        <f>IF($C$5="","",_xlfn.XLOOKUP($C$5,'Term 1'!D:D,'Term 1'!BG:BG,""))</f>
      </c>
      <c r="Z8" s="584">
        <f>IF($C$5="","",_xlfn.XLOOKUP($C$5,'Term 2'!D:D,'Term 2'!BG:BG,""))</f>
      </c>
      <c r="AA8" s="584">
        <f>IF($C$5="","",_xlfn.XLOOKUP($C$5,'Term 3'!D:D,'Term 3'!BG:BG,""))</f>
      </c>
      <c r="AB8" s="585" t="str">
        <f>IF($C$5="","",
 IF(AB7="--","--",
 IF(AB7&gt;=90,"[Advancing]",
 IF(AB7&gt;=80,"[Benchmarking]",
 IF(AB7&gt;=75,"[Connecting]",
 IF(AB7&gt;=65,"[Developing]","[Emerging]"))))))</f>
        <v>[Advancing]</v>
      </c>
      <c r="AC8" s="582"/>
      <c r="AD8" s="559"/>
    </row>
    <row r="9" ht="15" customHeight="1" spans="2:30" x14ac:dyDescent="0.25">
      <c r="B9" s="556"/>
      <c r="C9" s="557"/>
      <c r="D9" s="586"/>
      <c r="E9" s="557"/>
      <c r="F9" s="557"/>
      <c r="G9" s="557"/>
      <c r="H9" s="557"/>
      <c r="I9" s="557"/>
      <c r="J9" s="557"/>
      <c r="K9" s="586"/>
      <c r="L9" s="557"/>
      <c r="M9" s="557"/>
      <c r="N9" s="587" t="str">
        <f>UPPER(C7)</f>
        <v>TERM 1</v>
      </c>
      <c r="O9" s="587"/>
      <c r="P9" s="587"/>
      <c r="Q9" s="587"/>
      <c r="R9" s="587"/>
      <c r="S9" s="588"/>
      <c r="T9" s="588"/>
      <c r="U9" s="588"/>
      <c r="V9" s="588"/>
      <c r="W9" s="588"/>
      <c r="X9" s="588"/>
      <c r="Y9" s="588"/>
      <c r="Z9" s="588"/>
      <c r="AA9" s="588"/>
      <c r="AB9" s="588"/>
      <c r="AC9" s="588"/>
      <c r="AD9" s="559"/>
    </row>
    <row r="10" ht="15" customHeight="1" spans="2:30" x14ac:dyDescent="0.25">
      <c r="B10" s="556"/>
      <c r="C10" s="589"/>
      <c r="D10" s="590"/>
      <c r="E10" s="590"/>
      <c r="F10" s="590"/>
      <c r="G10" s="591"/>
      <c r="H10" s="591"/>
      <c r="I10" s="591"/>
      <c r="J10" s="591"/>
      <c r="K10" s="590"/>
      <c r="L10" s="590"/>
      <c r="M10" s="590"/>
      <c r="N10" s="587"/>
      <c r="O10" s="587"/>
      <c r="P10" s="587"/>
      <c r="Q10" s="587"/>
      <c r="R10" s="587"/>
      <c r="S10" s="592"/>
      <c r="T10" s="592"/>
      <c r="U10" s="593"/>
      <c r="V10" s="593"/>
      <c r="W10" s="593"/>
      <c r="X10" s="593"/>
      <c r="Y10" s="557"/>
      <c r="Z10" s="557"/>
      <c r="AA10" s="557"/>
      <c r="AB10" s="557"/>
      <c r="AC10" s="557"/>
      <c r="AD10" s="559"/>
    </row>
    <row r="11" ht="30" customHeight="1" spans="2:30" x14ac:dyDescent="0.25">
      <c r="B11" s="556"/>
      <c r="C11" s="594"/>
      <c r="D11" s="175" t="s">
        <v>28</v>
      </c>
      <c r="E11" s="175"/>
      <c r="F11" s="175"/>
      <c r="G11" s="595">
        <f>IF('Term 1'!AA6="","",'Term 1'!AA6)</f>
        <v>0.2</v>
      </c>
      <c r="H11" s="595"/>
      <c r="I11" s="596"/>
      <c r="J11" s="597"/>
      <c r="K11" s="175" t="s">
        <v>202</v>
      </c>
      <c r="L11" s="175"/>
      <c r="M11" s="175"/>
      <c r="N11" s="595">
        <f>IF('Term 1'!AS6="","",'Term 1'!AS6)</f>
        <v>0.5</v>
      </c>
      <c r="O11" s="595"/>
      <c r="P11" s="596"/>
      <c r="Q11" s="597"/>
      <c r="R11" s="175" t="s">
        <v>301</v>
      </c>
      <c r="S11" s="175"/>
      <c r="T11" s="175"/>
      <c r="U11" s="595">
        <f>IF('Term 1'!BA7="","",'Term 1'!BA7)</f>
        <v>0.3</v>
      </c>
      <c r="V11" s="595"/>
      <c r="W11" s="596"/>
      <c r="X11" s="597"/>
      <c r="Y11" s="175" t="s">
        <v>294</v>
      </c>
      <c r="Z11" s="175"/>
      <c r="AA11" s="175"/>
      <c r="AB11" s="175"/>
      <c r="AC11" s="598"/>
      <c r="AD11" s="559"/>
    </row>
    <row r="12" ht="20.1" customHeight="1" spans="2:30" x14ac:dyDescent="0.25">
      <c r="B12" s="556"/>
      <c r="C12" s="599"/>
      <c r="D12" s="600" t="s">
        <v>302</v>
      </c>
      <c r="E12" s="601" t="s">
        <v>303</v>
      </c>
      <c r="F12" s="601" t="s">
        <v>304</v>
      </c>
      <c r="G12" s="600" t="s">
        <v>30</v>
      </c>
      <c r="H12" s="600"/>
      <c r="I12" s="566"/>
      <c r="J12" s="600"/>
      <c r="K12" s="600" t="s">
        <v>302</v>
      </c>
      <c r="L12" s="601" t="s">
        <v>303</v>
      </c>
      <c r="M12" s="601" t="s">
        <v>304</v>
      </c>
      <c r="N12" s="600" t="s">
        <v>30</v>
      </c>
      <c r="O12" s="600"/>
      <c r="P12" s="566"/>
      <c r="Q12" s="600"/>
      <c r="R12" s="600" t="s">
        <v>302</v>
      </c>
      <c r="S12" s="601" t="s">
        <v>303</v>
      </c>
      <c r="T12" s="601" t="s">
        <v>304</v>
      </c>
      <c r="U12" s="600" t="s">
        <v>30</v>
      </c>
      <c r="V12" s="600"/>
      <c r="W12" s="566"/>
      <c r="X12" s="600"/>
      <c r="Y12" s="600" t="s">
        <v>305</v>
      </c>
      <c r="Z12" s="601" t="s">
        <v>306</v>
      </c>
      <c r="AA12" s="601" t="s">
        <v>307</v>
      </c>
      <c r="AB12" s="600" t="s">
        <v>308</v>
      </c>
      <c r="AC12" s="600"/>
      <c r="AD12" s="559"/>
    </row>
    <row r="13" ht="15" customHeight="1" spans="2:30" x14ac:dyDescent="0.25">
      <c r="B13" s="556"/>
      <c r="C13" s="168"/>
      <c r="D13" s="602">
        <f t="array" ref="D13:D32">IF(OR($C$5="",$C$7=""),"",
 _xlfn.LET(_xlpm.data,INDIRECT("'"&amp;$C$7&amp;"'!E7:X7"),
 TRANSPOSE(IF(_xlpm.data="","",_xlpm.data))))</f>
      </c>
      <c r="E13" s="168">
        <f t="array" ref="E13:E32">IF(OR($C$5="",$C$7=""),"",
 _xlfn.LET(_xlpm.data,INDIRECT("'"&amp;$C$7&amp;"'!E6:X6"),
 TRANSPOSE(IF(_xlpm.data="","",_xlpm.data))))</f>
        <v>20</v>
      </c>
      <c r="F13" s="603">
        <f t="array" ref="F13">IF(OR($C$5="",$C$7=""),"",
 _xlfn.LET(_xlpm.calc,
 _xlfn._xlws.FILTER(
 INDIRECT("'"&amp;$C$7&amp;"'!E:X"),
 INDIRECT("'"&amp;$C$7&amp;"'!D:D")=$C$5,""),
 IFERROR(TRANSPOSE(IF(_xlpm.calc="","",_xlpm.calc)),"")))</f>
      </c>
      <c r="G13" s="604">
        <f t="array" ref="G13:G32">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0</v>
      </c>
      <c r="H13" s="604"/>
      <c r="I13" s="605"/>
      <c r="J13" s="604"/>
      <c r="K13" s="602">
        <f t="array" ref="K13:K27">IF(OR($C$5="",$C$7=""),"",
 _xlfn.LET(_xlpm.data,INDIRECT("'"&amp;$C$7&amp;"'!AB7:AP7"),
 TRANSPOSE(IF(_xlpm.data="","",_xlpm.data))))</f>
        <v>46242</v>
      </c>
      <c r="L13" s="168">
        <f t="array" ref="L13:L27">IF(OR($C$5="",$C$7=""),"",
 _xlfn.LET(_xlpm.data,INDIRECT("'"&amp;$C$7&amp;"'!AB6:AP6"),
 TRANSPOSE(IF(_xlpm.data="","",_xlpm.data))))</f>
        <v>50</v>
      </c>
      <c r="M13" s="603">
        <f t="array" ref="M13">IF(OR($C$5="",$C$7=""),"",
 _xlfn.LET(_xlpm.calc,
 _xlfn._xlws.FILTER(
 INDIRECT("'"&amp;$C$7&amp;"'!AB:AP"),
 INDIRECT("'"&amp;$C$7&amp;"'!D:D")=$C$5,""),
 IFERROR(TRANSPOSE(IF(_xlpm.calc="","",_xlpm.calc)),"")))</f>
      </c>
      <c r="N13" s="604">
        <f t="array" ref="N13:N27">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0</v>
      </c>
      <c r="O13" s="604"/>
      <c r="P13" s="557"/>
      <c r="Q13" s="168"/>
      <c r="R13" s="606" t="s">
        <v>309</v>
      </c>
      <c r="S13" s="606"/>
      <c r="T13" s="606"/>
      <c r="U13" s="607">
        <v>0.3</v>
      </c>
      <c r="V13" s="608"/>
      <c r="W13" s="557"/>
      <c r="X13" s="168"/>
      <c r="Y13" s="609">
        <f>"Term 1 Total Sessions: " &amp; IF($C$5="","",Attendance!$DA$4)</f>
        <v>NaN</v>
      </c>
      <c r="Z13" s="609"/>
      <c r="AA13" s="609"/>
      <c r="AB13" s="609"/>
      <c r="AC13" s="168"/>
      <c r="AD13" s="559"/>
    </row>
    <row r="14" ht="15" customHeight="1" spans="2:30" x14ac:dyDescent="0.25">
      <c r="B14" s="556"/>
      <c r="C14" s="168"/>
      <c r="D14" s="610"/>
      <c r="E14" s="611">
        <v>20</v>
      </c>
      <c r="F14" s="612"/>
      <c r="G14" s="613">
        <v>0</v>
      </c>
      <c r="H14" s="604"/>
      <c r="I14" s="605"/>
      <c r="J14" s="604"/>
      <c r="K14" s="610">
        <v>46243</v>
      </c>
      <c r="L14" s="611">
        <v>100</v>
      </c>
      <c r="M14" s="612"/>
      <c r="N14" s="613">
        <v>0</v>
      </c>
      <c r="O14" s="604"/>
      <c r="P14" s="557"/>
      <c r="Q14" s="168"/>
      <c r="R14" s="614"/>
      <c r="S14" s="614"/>
      <c r="T14" s="614"/>
      <c r="U14" s="615"/>
      <c r="V14" s="608"/>
      <c r="W14" s="557"/>
      <c r="X14" s="168"/>
      <c r="Y14" s="606"/>
      <c r="Z14" s="606"/>
      <c r="AA14" s="606"/>
      <c r="AB14" s="606"/>
      <c r="AC14" s="168"/>
      <c r="AD14" s="559"/>
    </row>
    <row r="15" ht="15" customHeight="1" spans="2:30" x14ac:dyDescent="0.25">
      <c r="B15" s="556"/>
      <c r="C15" s="168"/>
      <c r="D15" s="610"/>
      <c r="E15" s="611">
        <v>10</v>
      </c>
      <c r="F15" s="612"/>
      <c r="G15" s="613">
        <v>0</v>
      </c>
      <c r="H15" s="604"/>
      <c r="I15" s="605"/>
      <c r="J15" s="604"/>
      <c r="K15" s="610"/>
      <c r="L15" s="611"/>
      <c r="M15" s="612"/>
      <c r="N15" s="613"/>
      <c r="O15" s="604"/>
      <c r="P15" s="557"/>
      <c r="Q15" s="168"/>
      <c r="R15" s="616">
        <f t="array" ref="R15">IF(OR($C$5="",$C$7=""),"",
 _xlfn.LET(_xlpm.data,INDIRECT("'"&amp;$C$7&amp;"'!AT8"),
 TRANSPOSE(IF(_xlpm.data="","",_xlpm.data))))</f>
        <v>46247</v>
      </c>
      <c r="S15" s="617">
        <f t="array" ref="S15">IF(OR($C$5="",$C$7=""),"",
 IF(ISBLANK(INDIRECT("'"&amp;$C$7&amp;"'!AT6")),"",
 INDIRECT("'"&amp;$C$7&amp;"'!AT6")))</f>
        <v>45</v>
      </c>
      <c r="T15" s="618">
        <f t="array" ref="T15">IF(OR($C$5="",$C$7=""),"",
 IFERROR(IF(
 _xlfn._xlws.FILTER(INDIRECT("'"&amp;$C$7&amp;"'!AT:AT"),INDIRECT("'"&amp;$C$7&amp;"'!D:D")=$C$5)="","",
 _xlfn._xlws.FILTER(INDIRECT("'"&amp;$C$7&amp;"'!AT:AT"),INDIRECT("'"&amp;$C$7&amp;"'!D:D")=$C$5)),""))</f>
      </c>
      <c r="U15" s="619">
        <f>IF(OR($C$5="",$C$7=""),"",
 IF(((S15&lt;&gt;"")*(ISTEXT(S15)))*((T15&lt;&gt;"")*(ISTEXT(T15))),"Error",
 IF(((S15&lt;&gt;"")*(ISNUMBER(S15)))*((T15&lt;&gt;"")*(ISTEXT(T15))),"Error",
 IF(((S15&lt;&gt;"")*(ISTEXT(S15)))*((T15&lt;&gt;"")*(ISNUMBER(T15))),"Error",
 IF((T15&lt;&gt;"")*(S15=""),"Error",
 IF((T15="")*(S15&lt;&gt;""),0,
 IF(T15&gt;S15,"Error",
 IFERROR(((T15/S15)*100)*0.3,""))))))))</f>
        <v>0</v>
      </c>
      <c r="V15" s="620"/>
      <c r="W15" s="557"/>
      <c r="X15" s="168"/>
      <c r="Y15" s="621">
        <f>IF($C$5="","",_xlfn.XLOOKUP($C$5,Attendance!D:D,Attendance!DA:DA,""))</f>
      </c>
      <c r="Z15" s="621">
        <f>IF($C$5="","",_xlfn.XLOOKUP($C$5,Attendance!D:D,Attendance!DB:DB,""))</f>
      </c>
      <c r="AA15" s="621">
        <f>IF($C$5="","",_xlfn.XLOOKUP($C$5,Attendance!D:D,Attendance!DC:DC,""))</f>
      </c>
      <c r="AB15" s="621">
        <f>IF($C$5="","",_xlfn.XLOOKUP($C$5,Attendance!D:D,Attendance!DD:DD,""))</f>
      </c>
      <c r="AC15" s="168"/>
      <c r="AD15" s="559"/>
    </row>
    <row r="16" ht="15" customHeight="1" spans="2:30" x14ac:dyDescent="0.25">
      <c r="B16" s="556"/>
      <c r="C16" s="168"/>
      <c r="D16" s="610"/>
      <c r="E16" s="611">
        <v>20</v>
      </c>
      <c r="F16" s="612"/>
      <c r="G16" s="613">
        <v>0</v>
      </c>
      <c r="H16" s="604"/>
      <c r="I16" s="605"/>
      <c r="J16" s="604"/>
      <c r="K16" s="610"/>
      <c r="L16" s="611"/>
      <c r="M16" s="612"/>
      <c r="N16" s="613"/>
      <c r="O16" s="604"/>
      <c r="P16" s="557"/>
      <c r="Q16" s="168"/>
      <c r="R16" s="616"/>
      <c r="S16" s="617"/>
      <c r="T16" s="618"/>
      <c r="U16" s="619"/>
      <c r="V16" s="620"/>
      <c r="W16" s="557"/>
      <c r="X16" s="168"/>
      <c r="Y16" s="622"/>
      <c r="Z16" s="622"/>
      <c r="AA16" s="622"/>
      <c r="AB16" s="622"/>
      <c r="AC16" s="168"/>
      <c r="AD16" s="559"/>
    </row>
    <row r="17" ht="15" customHeight="1" spans="2:30" x14ac:dyDescent="0.25">
      <c r="B17" s="556"/>
      <c r="C17" s="168"/>
      <c r="D17" s="610"/>
      <c r="E17" s="611"/>
      <c r="F17" s="612"/>
      <c r="G17" s="613"/>
      <c r="H17" s="604"/>
      <c r="I17" s="605"/>
      <c r="J17" s="604"/>
      <c r="K17" s="610"/>
      <c r="L17" s="611"/>
      <c r="M17" s="612"/>
      <c r="N17" s="613"/>
      <c r="O17" s="604"/>
      <c r="P17" s="557"/>
      <c r="Q17" s="168"/>
      <c r="R17" s="614" t="s">
        <v>310</v>
      </c>
      <c r="S17" s="614"/>
      <c r="T17" s="614"/>
      <c r="U17" s="615">
        <v>0.3</v>
      </c>
      <c r="V17" s="608"/>
      <c r="W17" s="557"/>
      <c r="X17" s="168"/>
      <c r="Y17" s="623">
        <f>"Term 2 Total Sessions: " &amp; IF($C$5="","",Attendance!$DE$4)</f>
        <v>NaN</v>
      </c>
      <c r="Z17" s="623"/>
      <c r="AA17" s="623"/>
      <c r="AB17" s="623"/>
      <c r="AC17" s="168"/>
      <c r="AD17" s="559"/>
    </row>
    <row r="18" ht="15" customHeight="1" spans="2:30" x14ac:dyDescent="0.25">
      <c r="B18" s="556"/>
      <c r="C18" s="168"/>
      <c r="D18" s="610"/>
      <c r="E18" s="611"/>
      <c r="F18" s="612"/>
      <c r="G18" s="613"/>
      <c r="H18" s="604"/>
      <c r="I18" s="605"/>
      <c r="J18" s="604"/>
      <c r="K18" s="610"/>
      <c r="L18" s="611"/>
      <c r="M18" s="612"/>
      <c r="N18" s="613"/>
      <c r="O18" s="604"/>
      <c r="P18" s="557"/>
      <c r="Q18" s="168"/>
      <c r="R18" s="614"/>
      <c r="S18" s="614"/>
      <c r="T18" s="614"/>
      <c r="U18" s="615"/>
      <c r="V18" s="608"/>
      <c r="W18" s="557"/>
      <c r="X18" s="168"/>
      <c r="Y18" s="606"/>
      <c r="Z18" s="606"/>
      <c r="AA18" s="606"/>
      <c r="AB18" s="606"/>
      <c r="AC18" s="168"/>
      <c r="AD18" s="559"/>
    </row>
    <row r="19" ht="15" customHeight="1" spans="2:30" x14ac:dyDescent="0.25">
      <c r="B19" s="556"/>
      <c r="C19" s="168"/>
      <c r="D19" s="610"/>
      <c r="E19" s="611"/>
      <c r="F19" s="612"/>
      <c r="G19" s="613"/>
      <c r="H19" s="604"/>
      <c r="I19" s="605"/>
      <c r="J19" s="604"/>
      <c r="K19" s="610"/>
      <c r="L19" s="611"/>
      <c r="M19" s="612"/>
      <c r="N19" s="613"/>
      <c r="O19" s="604"/>
      <c r="P19" s="557"/>
      <c r="Q19" s="168"/>
      <c r="R19" s="616">
        <f t="array" ref="R19">IF(OR($C$5="",$C$7=""),"",
 _xlfn.LET(_xlpm.data,INDIRECT("'"&amp;$C$7&amp;"'!AU8"),
 TRANSPOSE(IF(_xlpm.data="","",_xlpm.data))))</f>
        <v>46248</v>
      </c>
      <c r="S19" s="617">
        <f t="array" ref="S19">IF(OR($C$5="",$C$7=""),"",
 IF(ISBLANK(INDIRECT("'"&amp;$C$7&amp;"'!AU6")),"",
 INDIRECT("'"&amp;$C$7&amp;"'!AU6")))</f>
        <v>45</v>
      </c>
      <c r="T19" s="618">
        <f t="array" ref="T19">IF(OR($C$5="",$C$7=""),"",
 IFERROR(IF(
 _xlfn._xlws.FILTER(INDIRECT("'"&amp;$C$7&amp;"'!AU:AU"),INDIRECT("'"&amp;$C$7&amp;"'!D:D")=$C$5)="","",
 _xlfn._xlws.FILTER(INDIRECT("'"&amp;$C$7&amp;"'!AU:AU"),INDIRECT("'"&amp;$C$7&amp;"'!D:D")=$C$5)),""))</f>
      </c>
      <c r="U19" s="619">
        <f>IF(OR($C$5="",$C$7=""),"",
 IF(((S19&lt;&gt;"")*(ISTEXT(S19)))*((T19&lt;&gt;"")*(ISTEXT(T19))),"Error",
 IF(((S19&lt;&gt;"")*(ISNUMBER(S19)))*((T19&lt;&gt;"")*(ISTEXT(T19))),"Error",
 IF(((S19&lt;&gt;"")*(ISTEXT(S19)))*((T19&lt;&gt;"")*(ISNUMBER(T19))),"Error",
 IF((T19&lt;&gt;"")*(S19=""),"Error",
 IF((T19="")*(S19&lt;&gt;""),0,
 IF(T19&gt;S19,"Error",
 IFERROR(((T19/S19)*100)*0.3,""))))))))</f>
        <v>0</v>
      </c>
      <c r="V19" s="620"/>
      <c r="W19" s="557"/>
      <c r="X19" s="168"/>
      <c r="Y19" s="621">
        <f>IF($C$5="","",_xlfn.XLOOKUP($C$5,Attendance!D:D,Attendance!DE:DE,""))</f>
      </c>
      <c r="Z19" s="621">
        <f>IF($C$5="","",_xlfn.XLOOKUP($C$5,Attendance!D:D,Attendance!DF:DF,""))</f>
      </c>
      <c r="AA19" s="621">
        <f>IF($C$5="","",_xlfn.XLOOKUP($C$5,Attendance!D:D,Attendance!DG:DG,""))</f>
      </c>
      <c r="AB19" s="621">
        <f>IF($C$5="","",_xlfn.XLOOKUP($C$5,Attendance!D:D,Attendance!DH:DH,""))</f>
      </c>
      <c r="AC19" s="168"/>
      <c r="AD19" s="559"/>
    </row>
    <row r="20" ht="15" customHeight="1" spans="2:30" x14ac:dyDescent="0.25">
      <c r="B20" s="556"/>
      <c r="C20" s="168"/>
      <c r="D20" s="610"/>
      <c r="E20" s="611"/>
      <c r="F20" s="612"/>
      <c r="G20" s="613"/>
      <c r="H20" s="604"/>
      <c r="I20" s="605"/>
      <c r="J20" s="604"/>
      <c r="K20" s="610"/>
      <c r="L20" s="611"/>
      <c r="M20" s="612"/>
      <c r="N20" s="613"/>
      <c r="O20" s="604"/>
      <c r="P20" s="557"/>
      <c r="Q20" s="168"/>
      <c r="R20" s="616"/>
      <c r="S20" s="617"/>
      <c r="T20" s="618"/>
      <c r="U20" s="619"/>
      <c r="V20" s="620"/>
      <c r="W20" s="557"/>
      <c r="X20" s="168"/>
      <c r="Y20" s="622"/>
      <c r="Z20" s="622"/>
      <c r="AA20" s="622"/>
      <c r="AB20" s="622"/>
      <c r="AC20" s="168"/>
      <c r="AD20" s="559"/>
    </row>
    <row r="21" ht="15" customHeight="1" spans="2:30" x14ac:dyDescent="0.25">
      <c r="B21" s="556"/>
      <c r="C21" s="168"/>
      <c r="D21" s="610"/>
      <c r="E21" s="611"/>
      <c r="F21" s="612"/>
      <c r="G21" s="613"/>
      <c r="H21" s="604"/>
      <c r="I21" s="605"/>
      <c r="J21" s="604"/>
      <c r="K21" s="610"/>
      <c r="L21" s="611"/>
      <c r="M21" s="612"/>
      <c r="N21" s="613"/>
      <c r="O21" s="604"/>
      <c r="P21" s="557"/>
      <c r="Q21" s="168"/>
      <c r="R21" s="614" t="s">
        <v>311</v>
      </c>
      <c r="S21" s="614"/>
      <c r="T21" s="614"/>
      <c r="U21" s="615">
        <v>0.4</v>
      </c>
      <c r="V21" s="608"/>
      <c r="W21" s="557"/>
      <c r="X21" s="168"/>
      <c r="Y21" s="623">
        <f>"Term 3 Total Sessions: " &amp; IF($C$5="","",Attendance!$DI$4)</f>
        <v>NaN</v>
      </c>
      <c r="Z21" s="623"/>
      <c r="AA21" s="623"/>
      <c r="AB21" s="623"/>
      <c r="AC21" s="168"/>
      <c r="AD21" s="559"/>
    </row>
    <row r="22" ht="15" customHeight="1" spans="2:30" x14ac:dyDescent="0.25">
      <c r="B22" s="556"/>
      <c r="C22" s="168"/>
      <c r="D22" s="610"/>
      <c r="E22" s="611"/>
      <c r="F22" s="612"/>
      <c r="G22" s="613"/>
      <c r="H22" s="604"/>
      <c r="I22" s="605"/>
      <c r="J22" s="604"/>
      <c r="K22" s="610"/>
      <c r="L22" s="611"/>
      <c r="M22" s="612"/>
      <c r="N22" s="613"/>
      <c r="O22" s="604"/>
      <c r="P22" s="557"/>
      <c r="Q22" s="168"/>
      <c r="R22" s="614"/>
      <c r="S22" s="614"/>
      <c r="T22" s="614"/>
      <c r="U22" s="615"/>
      <c r="V22" s="608"/>
      <c r="W22" s="557"/>
      <c r="X22" s="168"/>
      <c r="Y22" s="606"/>
      <c r="Z22" s="606"/>
      <c r="AA22" s="606"/>
      <c r="AB22" s="606"/>
      <c r="AC22" s="168"/>
      <c r="AD22" s="559"/>
    </row>
    <row r="23" ht="15" customHeight="1" spans="2:30" x14ac:dyDescent="0.25">
      <c r="B23" s="556"/>
      <c r="C23" s="168"/>
      <c r="D23" s="610"/>
      <c r="E23" s="611"/>
      <c r="F23" s="612"/>
      <c r="G23" s="613"/>
      <c r="H23" s="604"/>
      <c r="I23" s="605"/>
      <c r="J23" s="604"/>
      <c r="K23" s="610"/>
      <c r="L23" s="611"/>
      <c r="M23" s="612"/>
      <c r="N23" s="613"/>
      <c r="O23" s="604"/>
      <c r="P23" s="557"/>
      <c r="Q23" s="168"/>
      <c r="R23" s="616">
        <f t="array" ref="R23">IF(OR($C$5="",$C$7=""),"",
 _xlfn.LET(_xlpm.data,INDIRECT("'"&amp;$C$7&amp;"'!AV8"),
 TRANSPOSE(IF(_xlpm.data="","",_xlpm.data))))</f>
        <v>46249</v>
      </c>
      <c r="S23" s="617">
        <f t="array" ref="S23">IF(OR($C$5="",$C$7=""),"",
 IF(ISBLANK(INDIRECT("'"&amp;$C$7&amp;"'!AV6")),"",
 INDIRECT("'"&amp;$C$7&amp;"'!AV6")))</f>
        <v>100</v>
      </c>
      <c r="T23" s="618">
        <f t="array" ref="T23">IF(OR($C$5="",$C$7=""),"",
 IFERROR(IF(
 _xlfn._xlws.FILTER(INDIRECT("'"&amp;$C$7&amp;"'!AV:AV"),INDIRECT("'"&amp;$C$7&amp;"'!D:D")=$C$5)="","",
 _xlfn._xlws.FILTER(INDIRECT("'"&amp;$C$7&amp;"'!AV:AV"),INDIRECT("'"&amp;$C$7&amp;"'!D:D")=$C$5)),""))</f>
      </c>
      <c r="U23" s="619">
        <f>IF(OR($C$5="",$C$7=""),"",
 IF(((S23&lt;&gt;"")*(ISTEXT(S23)))*((T23&lt;&gt;"")*(ISTEXT(T23))),"Error",
 IF(((S23&lt;&gt;"")*(ISNUMBER(S23)))*((T23&lt;&gt;"")*(ISTEXT(T23))),"Error",
 IF(((S23&lt;&gt;"")*(ISTEXT(S23)))*((T23&lt;&gt;"")*(ISNUMBER(T23))),"Error",
 IF((T23&lt;&gt;"")*(S23=""),"Error",
 IF((T23="")*(S23&lt;&gt;""),0,
 IF(T23&gt;S23,"Error",
 IFERROR(((T23/S23)*100)*0.4,""))))))))</f>
        <v>0</v>
      </c>
      <c r="V23" s="620"/>
      <c r="W23" s="557"/>
      <c r="X23" s="168"/>
      <c r="Y23" s="621">
        <f>IF($C$5="","",_xlfn.XLOOKUP($C$5,Attendance!D:D,Attendance!DI:DI,""))</f>
      </c>
      <c r="Z23" s="621">
        <f>IF($C$5="","",_xlfn.XLOOKUP($C$5,Attendance!D:D,Attendance!DJ:DJ,""))</f>
      </c>
      <c r="AA23" s="621">
        <f>IF($C$5="","",_xlfn.XLOOKUP($C$5,Attendance!D:D,Attendance!DK:DK,""))</f>
      </c>
      <c r="AB23" s="621">
        <f>IF($C$5="","",_xlfn.XLOOKUP($C$5,Attendance!D:D,Attendance!DL:DL,""))</f>
      </c>
      <c r="AC23" s="168"/>
      <c r="AD23" s="559"/>
    </row>
    <row r="24" ht="15" customHeight="1" spans="2:30" x14ac:dyDescent="0.25">
      <c r="B24" s="556"/>
      <c r="C24" s="168"/>
      <c r="D24" s="610"/>
      <c r="E24" s="611"/>
      <c r="F24" s="612"/>
      <c r="G24" s="613"/>
      <c r="H24" s="604"/>
      <c r="I24" s="605"/>
      <c r="J24" s="604"/>
      <c r="K24" s="610"/>
      <c r="L24" s="611"/>
      <c r="M24" s="612"/>
      <c r="N24" s="613"/>
      <c r="O24" s="604"/>
      <c r="P24" s="557"/>
      <c r="Q24" s="168"/>
      <c r="R24" s="616"/>
      <c r="S24" s="617"/>
      <c r="T24" s="618"/>
      <c r="U24" s="619"/>
      <c r="V24" s="620"/>
      <c r="W24" s="557"/>
      <c r="X24" s="168"/>
      <c r="Y24" s="168"/>
      <c r="Z24" s="168"/>
      <c r="AA24" s="168"/>
      <c r="AB24" s="168"/>
      <c r="AC24" s="168"/>
      <c r="AD24" s="559"/>
    </row>
    <row r="25" ht="15" customHeight="1" spans="2:30" x14ac:dyDescent="0.25">
      <c r="B25" s="556"/>
      <c r="C25" s="168"/>
      <c r="D25" s="610"/>
      <c r="E25" s="611"/>
      <c r="F25" s="612"/>
      <c r="G25" s="613"/>
      <c r="H25" s="604"/>
      <c r="I25" s="605"/>
      <c r="J25" s="604"/>
      <c r="K25" s="610"/>
      <c r="L25" s="611"/>
      <c r="M25" s="612"/>
      <c r="N25" s="613"/>
      <c r="O25" s="604"/>
      <c r="P25" s="557"/>
      <c r="Q25" s="168"/>
      <c r="R25" s="610"/>
      <c r="S25" s="611"/>
      <c r="T25" s="611"/>
      <c r="U25" s="611"/>
      <c r="V25" s="168"/>
      <c r="W25" s="557"/>
      <c r="X25" s="168"/>
      <c r="Y25" s="624"/>
      <c r="Z25" s="625"/>
      <c r="AA25" s="625"/>
      <c r="AB25" s="625"/>
      <c r="AC25" s="168"/>
      <c r="AD25" s="559"/>
    </row>
    <row r="26" ht="15" customHeight="1" spans="2:30" x14ac:dyDescent="0.25">
      <c r="B26" s="556"/>
      <c r="C26" s="168"/>
      <c r="D26" s="610"/>
      <c r="E26" s="611"/>
      <c r="F26" s="612"/>
      <c r="G26" s="613"/>
      <c r="H26" s="604"/>
      <c r="I26" s="605"/>
      <c r="J26" s="604"/>
      <c r="K26" s="610"/>
      <c r="L26" s="611"/>
      <c r="M26" s="612"/>
      <c r="N26" s="613"/>
      <c r="O26" s="604"/>
      <c r="P26" s="557"/>
      <c r="Q26" s="168"/>
      <c r="R26" s="610"/>
      <c r="S26" s="611"/>
      <c r="T26" s="611"/>
      <c r="U26" s="611"/>
      <c r="V26" s="168"/>
      <c r="W26" s="557"/>
      <c r="X26" s="168"/>
      <c r="Y26" s="610"/>
      <c r="Z26" s="611"/>
      <c r="AA26" s="611"/>
      <c r="AB26" s="611"/>
      <c r="AC26" s="168"/>
      <c r="AD26" s="559"/>
    </row>
    <row r="27" ht="15" customHeight="1" spans="2:30" x14ac:dyDescent="0.25">
      <c r="B27" s="556"/>
      <c r="C27" s="168"/>
      <c r="D27" s="610"/>
      <c r="E27" s="611"/>
      <c r="F27" s="612"/>
      <c r="G27" s="613"/>
      <c r="H27" s="604"/>
      <c r="I27" s="605"/>
      <c r="J27" s="604"/>
      <c r="K27" s="610"/>
      <c r="L27" s="611"/>
      <c r="M27" s="612"/>
      <c r="N27" s="613"/>
      <c r="O27" s="604"/>
      <c r="P27" s="557"/>
      <c r="Q27" s="168"/>
      <c r="R27" s="610"/>
      <c r="S27" s="611"/>
      <c r="T27" s="611"/>
      <c r="U27" s="611"/>
      <c r="V27" s="168"/>
      <c r="W27" s="557"/>
      <c r="X27" s="168"/>
      <c r="Y27" s="610"/>
      <c r="Z27" s="611"/>
      <c r="AA27" s="611"/>
      <c r="AB27" s="611"/>
      <c r="AC27" s="168"/>
      <c r="AD27" s="559"/>
    </row>
    <row r="28" ht="15" customHeight="1" spans="2:30" x14ac:dyDescent="0.25">
      <c r="B28" s="556"/>
      <c r="C28" s="168"/>
      <c r="D28" s="610"/>
      <c r="E28" s="611"/>
      <c r="F28" s="612"/>
      <c r="G28" s="613"/>
      <c r="H28" s="604"/>
      <c r="I28" s="605"/>
      <c r="J28" s="604"/>
      <c r="K28" s="610"/>
      <c r="L28" s="611"/>
      <c r="M28" s="612"/>
      <c r="N28" s="611"/>
      <c r="O28" s="168"/>
      <c r="P28" s="557"/>
      <c r="Q28" s="168"/>
      <c r="R28" s="610"/>
      <c r="S28" s="611"/>
      <c r="T28" s="611"/>
      <c r="U28" s="611"/>
      <c r="V28" s="168"/>
      <c r="W28" s="557"/>
      <c r="X28" s="168"/>
      <c r="Y28" s="610"/>
      <c r="Z28" s="611"/>
      <c r="AA28" s="611"/>
      <c r="AB28" s="611"/>
      <c r="AC28" s="168"/>
      <c r="AD28" s="559"/>
    </row>
    <row r="29" ht="15" customHeight="1" spans="2:30" x14ac:dyDescent="0.25">
      <c r="B29" s="556"/>
      <c r="C29" s="168"/>
      <c r="D29" s="610"/>
      <c r="E29" s="611"/>
      <c r="F29" s="612"/>
      <c r="G29" s="613"/>
      <c r="H29" s="604"/>
      <c r="I29" s="605"/>
      <c r="J29" s="604"/>
      <c r="K29" s="610"/>
      <c r="L29" s="611"/>
      <c r="M29" s="612"/>
      <c r="N29" s="611"/>
      <c r="O29" s="168"/>
      <c r="P29" s="557"/>
      <c r="Q29" s="168"/>
      <c r="R29" s="610"/>
      <c r="S29" s="611"/>
      <c r="T29" s="611"/>
      <c r="U29" s="611"/>
      <c r="V29" s="168"/>
      <c r="W29" s="557"/>
      <c r="X29" s="168"/>
      <c r="Y29" s="610"/>
      <c r="Z29" s="611"/>
      <c r="AA29" s="611"/>
      <c r="AB29" s="611"/>
      <c r="AC29" s="168"/>
      <c r="AD29" s="559"/>
    </row>
    <row r="30" ht="15" customHeight="1" spans="2:30" x14ac:dyDescent="0.25">
      <c r="B30" s="556"/>
      <c r="C30" s="168"/>
      <c r="D30" s="610"/>
      <c r="E30" s="611"/>
      <c r="F30" s="612"/>
      <c r="G30" s="613"/>
      <c r="H30" s="604"/>
      <c r="I30" s="605"/>
      <c r="J30" s="604"/>
      <c r="K30" s="610"/>
      <c r="L30" s="611"/>
      <c r="M30" s="612"/>
      <c r="N30" s="611"/>
      <c r="O30" s="168"/>
      <c r="P30" s="557"/>
      <c r="Q30" s="168"/>
      <c r="R30" s="610"/>
      <c r="S30" s="611"/>
      <c r="T30" s="611"/>
      <c r="U30" s="611"/>
      <c r="V30" s="168"/>
      <c r="W30" s="557"/>
      <c r="X30" s="168"/>
      <c r="Y30" s="610"/>
      <c r="Z30" s="611"/>
      <c r="AA30" s="611"/>
      <c r="AB30" s="611"/>
      <c r="AC30" s="168"/>
      <c r="AD30" s="559"/>
    </row>
    <row r="31" ht="15" customHeight="1" spans="2:30" x14ac:dyDescent="0.25">
      <c r="B31" s="556"/>
      <c r="C31" s="168"/>
      <c r="D31" s="610"/>
      <c r="E31" s="611"/>
      <c r="F31" s="612"/>
      <c r="G31" s="613"/>
      <c r="H31" s="604"/>
      <c r="I31" s="605"/>
      <c r="J31" s="604"/>
      <c r="K31" s="610"/>
      <c r="L31" s="611"/>
      <c r="M31" s="612"/>
      <c r="N31" s="611"/>
      <c r="O31" s="168"/>
      <c r="P31" s="557"/>
      <c r="Q31" s="168"/>
      <c r="R31" s="610"/>
      <c r="S31" s="611"/>
      <c r="T31" s="611"/>
      <c r="U31" s="611"/>
      <c r="V31" s="168"/>
      <c r="W31" s="557"/>
      <c r="X31" s="168"/>
      <c r="Y31" s="610"/>
      <c r="Z31" s="611"/>
      <c r="AA31" s="611"/>
      <c r="AB31" s="611"/>
      <c r="AC31" s="168"/>
      <c r="AD31" s="559"/>
    </row>
    <row r="32" ht="15" customHeight="1" spans="2:30" x14ac:dyDescent="0.25">
      <c r="B32" s="556"/>
      <c r="C32" s="168"/>
      <c r="D32" s="626"/>
      <c r="E32" s="627"/>
      <c r="F32" s="628"/>
      <c r="G32" s="629"/>
      <c r="H32" s="604"/>
      <c r="I32" s="605"/>
      <c r="J32" s="604"/>
      <c r="K32" s="626"/>
      <c r="L32" s="627"/>
      <c r="M32" s="628"/>
      <c r="N32" s="627"/>
      <c r="O32" s="168"/>
      <c r="P32" s="557"/>
      <c r="Q32" s="168"/>
      <c r="R32" s="626"/>
      <c r="S32" s="627"/>
      <c r="T32" s="627"/>
      <c r="U32" s="627"/>
      <c r="V32" s="168"/>
      <c r="W32" s="557"/>
      <c r="X32" s="168"/>
      <c r="Y32" s="602"/>
      <c r="Z32" s="168"/>
      <c r="AA32" s="168"/>
      <c r="AB32" s="168"/>
      <c r="AC32" s="168"/>
      <c r="AD32" s="559"/>
    </row>
    <row r="33" ht="24.95" customHeight="1" spans="2:30" x14ac:dyDescent="0.25">
      <c r="B33" s="556"/>
      <c r="C33" s="168"/>
      <c r="D33" s="630" t="s">
        <v>312</v>
      </c>
      <c r="E33" s="631">
        <f t="array" ref="E33">IF(OR($C$5="",$C$7=""),"",INDIRECT("'"&amp;$C$7&amp;"'!$Y$6"))</f>
        <v>70</v>
      </c>
      <c r="F33" s="631">
        <f t="array" ref="F33">IF(OR($C$5="",$C$7=""),"",
 _xlfn.XLOOKUP($C$5,
 INDIRECT("'"&amp;$C$7&amp;"'!D:D"),
 INDIRECT("'"&amp;$C$7&amp;"'!Y:Y"),""))</f>
      </c>
      <c r="G33" s="632">
        <f t="array" ref="G33">IF(OR($C$5="",$C$7=""),"",
 _xlfn.XLOOKUP($C$5,
 INDIRECT("'"&amp;$C$7&amp;"'!D:D"),
 INDIRECT("'"&amp;$C$7&amp;"'!Z:Z"),""))</f>
      </c>
      <c r="H33" s="633"/>
      <c r="I33" s="605"/>
      <c r="J33" s="604"/>
      <c r="K33" s="630" t="s">
        <v>312</v>
      </c>
      <c r="L33" s="631">
        <f t="array" ref="L33">IF(OR($C$5="",$C$7=""),"",INDIRECT("'"&amp;$C$7&amp;"'!$AQ$6"))</f>
        <v>150</v>
      </c>
      <c r="M33" s="631">
        <f t="array" ref="M33">IF(OR($C$5="",$C$7=""),"",
 _xlfn.XLOOKUP($C$5,
 INDIRECT("'"&amp;$C$7&amp;"'!D:D"),
 INDIRECT("'"&amp;$C$7&amp;"'!AQ:AQ"),""))</f>
      </c>
      <c r="N33" s="632">
        <f t="array" ref="N33">IF(OR($C$5="",$C$7=""),"",
 _xlfn.XLOOKUP($C$5,
 INDIRECT("'"&amp;$C$7&amp;"'!D:D"),
 INDIRECT("'"&amp;$C$7&amp;"'!AR:AR"),""))</f>
      </c>
      <c r="O33" s="633"/>
      <c r="P33" s="634"/>
      <c r="Q33" s="635"/>
      <c r="R33" s="630" t="s">
        <v>312</v>
      </c>
      <c r="S33" s="631"/>
      <c r="T33" s="631"/>
      <c r="U33" s="632">
        <f t="array" ref="U33">IF(OR($C$5="",$C$7=""),"",
 _xlfn.XLOOKUP($C$5,
 INDIRECT("'"&amp;$C$7&amp;"'!D:D"),
 INDIRECT("'"&amp;$C$7&amp;"'!AZ:AZ"),""))</f>
      </c>
      <c r="V33" s="633"/>
      <c r="W33" s="557"/>
      <c r="X33" s="168"/>
      <c r="Y33" s="631">
        <f>IFERROR(IF($C$5="","STATUS:","STATUS: "&amp;_xlfn.XLOOKUP($C$5,Attendance!$D$6:$D$65,Attendance!$DM$6:$DM$65)),"")</f>
      </c>
      <c r="Z33" s="631"/>
      <c r="AA33" s="631"/>
      <c r="AB33" s="631"/>
      <c r="AC33" s="168"/>
      <c r="AD33" s="559"/>
    </row>
    <row r="34" ht="8.1" customHeight="1" spans="2:30" x14ac:dyDescent="0.25">
      <c r="B34" s="556"/>
      <c r="C34" s="168"/>
      <c r="D34" s="636"/>
      <c r="E34" s="636"/>
      <c r="F34" s="636"/>
      <c r="G34" s="636"/>
      <c r="H34" s="636"/>
      <c r="I34" s="605"/>
      <c r="J34" s="604"/>
      <c r="K34" s="636"/>
      <c r="L34" s="636"/>
      <c r="M34" s="636"/>
      <c r="N34" s="636"/>
      <c r="O34" s="636"/>
      <c r="P34" s="557"/>
      <c r="Q34" s="168"/>
      <c r="R34" s="636"/>
      <c r="S34" s="636"/>
      <c r="T34" s="636"/>
      <c r="U34" s="636"/>
      <c r="V34" s="636"/>
      <c r="W34" s="557"/>
      <c r="X34" s="168"/>
      <c r="Y34" s="168"/>
      <c r="Z34" s="168"/>
      <c r="AA34" s="168"/>
      <c r="AB34" s="168"/>
      <c r="AC34" s="168"/>
      <c r="AD34" s="559"/>
    </row>
    <row r="35" ht="15" customHeight="1" spans="2:30" x14ac:dyDescent="0.25">
      <c r="B35" s="63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638"/>
    </row>
    <row r="38" hidden="1" spans="7:8" x14ac:dyDescent="0.25">
      <c r="G38" s="639"/>
      <c r="H38" s="639"/>
    </row>
    <row r="39" hidden="1" spans="6:6" x14ac:dyDescent="0.25">
      <c r="F39" s="639"/>
    </row>
  </sheetData>
  <sheetProtection sheet="1" algorithmName="SHA-512" hashValue="xCuwiQ71YqX4Ugbf4tnJjPQCX5cpnN57Hy8EUuUJED1YlU9QxVgkJle3hxAJ/Avr0GmPgwjGfoNyUf5sOSN1fw==" saltValue="8PqfuZi/cZoTcoOf9HxdZg==" spinCount="100000" objects="1" scenarios="1"/>
  <mergeCells count="57">
    <mergeCell ref="D3:AB3"/>
    <mergeCell ref="C5:H5"/>
    <mergeCell ref="I5:V5"/>
    <mergeCell ref="X5:AC5"/>
    <mergeCell ref="C6:H6"/>
    <mergeCell ref="I6:V6"/>
    <mergeCell ref="C7:E7"/>
    <mergeCell ref="F7:H7"/>
    <mergeCell ref="I7:L7"/>
    <mergeCell ref="M7:O7"/>
    <mergeCell ref="P7:S7"/>
    <mergeCell ref="T7:V7"/>
    <mergeCell ref="C8:E8"/>
    <mergeCell ref="F8:H8"/>
    <mergeCell ref="I8:L8"/>
    <mergeCell ref="M8:O8"/>
    <mergeCell ref="P8:S8"/>
    <mergeCell ref="T8:V8"/>
    <mergeCell ref="N9:R10"/>
    <mergeCell ref="D11:F11"/>
    <mergeCell ref="K11:M11"/>
    <mergeCell ref="R11:T11"/>
    <mergeCell ref="Y11:AB11"/>
    <mergeCell ref="R13:T14"/>
    <mergeCell ref="Y13:AB14"/>
    <mergeCell ref="U13:U14"/>
    <mergeCell ref="R15:R16"/>
    <mergeCell ref="S15:S16"/>
    <mergeCell ref="T15:T16"/>
    <mergeCell ref="U15:U16"/>
    <mergeCell ref="Y15:Y16"/>
    <mergeCell ref="Z15:Z16"/>
    <mergeCell ref="AA15:AA16"/>
    <mergeCell ref="AB15:AB16"/>
    <mergeCell ref="R17:T18"/>
    <mergeCell ref="Y17:AB18"/>
    <mergeCell ref="U17:U18"/>
    <mergeCell ref="R19:R20"/>
    <mergeCell ref="S19:S20"/>
    <mergeCell ref="T19:T20"/>
    <mergeCell ref="U19:U20"/>
    <mergeCell ref="Y19:Y20"/>
    <mergeCell ref="Z19:Z20"/>
    <mergeCell ref="AA19:AA20"/>
    <mergeCell ref="AB19:AB20"/>
    <mergeCell ref="R21:T22"/>
    <mergeCell ref="Y21:AB22"/>
    <mergeCell ref="U21:U22"/>
    <mergeCell ref="R23:R24"/>
    <mergeCell ref="S23:S24"/>
    <mergeCell ref="T23:T24"/>
    <mergeCell ref="U23:U24"/>
    <mergeCell ref="Y23:Y24"/>
    <mergeCell ref="Z23:Z24"/>
    <mergeCell ref="AA23:AA24"/>
    <mergeCell ref="AB23:AB24"/>
    <mergeCell ref="Y33:AB33"/>
  </mergeCells>
  <conditionalFormatting sqref="Y8:AA8">
    <cfRule priority="1"/>
    <cfRule priority="2"/>
  </conditionalFormatting>
  <conditionalFormatting sqref="AB8">
    <cfRule priority="3"/>
    <cfRule priority="4"/>
    <cfRule priority="5"/>
    <cfRule priority="7"/>
    <cfRule priority="8"/>
  </conditionalFormatting>
  <dataValidations count="2">
    <dataValidation showInputMessage="1" prompt="Kindly ensure all applicable Term Grades are reflected for accurate final grade computation" showErrorMessage="1" sqref="AB6"/>
    <dataValidation type="list" allowBlank="1" showInputMessage="1" showErrorMessage="1" sqref="C7">
      <formula1>"Term 1, Term 2, Term 3"</formula1>
    </dataValidation>
  </dataValidations>
  <printOptions horizontalCentered="1"/>
  <pageMargins left="0.7" right="0.7" top="0.75" bottom="0.75" header="0.3" footer="0.3"/>
  <pageSetup orientation="landscape" horizontalDpi="0" verticalDpi="0" scale="59"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R66"/>
  <sheetViews>
    <sheetView workbookViewId="0" showGridLines="0" zoomScale="100" zoomScaleNormal="100">
      <pane xSplit="4" ySplit="5" topLeftCell="E6" activePane="bottomRight" state="frozen"/>
      <selection pane="bottomRight" activeCell="D10" sqref="D10"/>
    </sheetView>
  </sheetViews>
  <sheetFormatPr defaultRowHeight="15" outlineLevelRow="0" outlineLevelCol="0" x14ac:dyDescent="0.25" defaultColWidth="8.85546875"/>
  <cols>
    <col min="1" max="1" width="2.140625" style="479" customWidth="1"/>
    <col min="2" max="2" width="4.85546875" style="167" customWidth="1"/>
    <col min="3" max="3" width="13.85546875" style="479" customWidth="1"/>
    <col min="4" max="4" width="35.85546875" style="479" customWidth="1"/>
    <col min="5" max="104" width="5.85546875" style="479" customWidth="1"/>
    <col min="105" max="105" width="5.140625" style="167" customWidth="1"/>
    <col min="106" max="116" width="5.140625" style="479" customWidth="1"/>
    <col min="117" max="117" width="12.85546875" style="479" customWidth="1"/>
    <col min="118" max="118" width="2.140625" style="479" customWidth="1"/>
    <col min="119" max="16384" width="8.85546875" style="479" customWidth="1"/>
  </cols>
  <sheetData>
    <row r="1" ht="9.95" customHeight="1" x14ac:dyDescent="0.25"/>
    <row r="2" ht="30" customHeight="1" spans="2:122" s="167" customFormat="1" x14ac:dyDescent="0.25">
      <c r="B2" s="480" t="s">
        <v>293</v>
      </c>
      <c r="C2" s="481"/>
      <c r="D2" s="482"/>
      <c r="E2" s="483">
        <v>1</v>
      </c>
      <c r="F2" s="484">
        <v>2</v>
      </c>
      <c r="G2" s="484">
        <v>3</v>
      </c>
      <c r="H2" s="484">
        <v>4</v>
      </c>
      <c r="I2" s="484">
        <v>5</v>
      </c>
      <c r="J2" s="484">
        <v>6</v>
      </c>
      <c r="K2" s="484">
        <v>7</v>
      </c>
      <c r="L2" s="484">
        <v>8</v>
      </c>
      <c r="M2" s="484">
        <v>9</v>
      </c>
      <c r="N2" s="484">
        <v>10</v>
      </c>
      <c r="O2" s="484">
        <v>11</v>
      </c>
      <c r="P2" s="484">
        <v>12</v>
      </c>
      <c r="Q2" s="484">
        <v>13</v>
      </c>
      <c r="R2" s="484">
        <v>14</v>
      </c>
      <c r="S2" s="484">
        <v>15</v>
      </c>
      <c r="T2" s="484">
        <v>16</v>
      </c>
      <c r="U2" s="484">
        <v>17</v>
      </c>
      <c r="V2" s="484">
        <v>18</v>
      </c>
      <c r="W2" s="484">
        <v>19</v>
      </c>
      <c r="X2" s="484">
        <v>20</v>
      </c>
      <c r="Y2" s="484">
        <v>21</v>
      </c>
      <c r="Z2" s="484">
        <v>22</v>
      </c>
      <c r="AA2" s="484">
        <v>23</v>
      </c>
      <c r="AB2" s="484">
        <v>24</v>
      </c>
      <c r="AC2" s="484">
        <v>25</v>
      </c>
      <c r="AD2" s="484">
        <v>26</v>
      </c>
      <c r="AE2" s="484">
        <v>27</v>
      </c>
      <c r="AF2" s="484">
        <v>28</v>
      </c>
      <c r="AG2" s="484">
        <v>29</v>
      </c>
      <c r="AH2" s="484">
        <v>30</v>
      </c>
      <c r="AI2" s="484">
        <v>31</v>
      </c>
      <c r="AJ2" s="484">
        <v>32</v>
      </c>
      <c r="AK2" s="484">
        <v>33</v>
      </c>
      <c r="AL2" s="484">
        <v>34</v>
      </c>
      <c r="AM2" s="484">
        <v>35</v>
      </c>
      <c r="AN2" s="484">
        <v>36</v>
      </c>
      <c r="AO2" s="484">
        <v>37</v>
      </c>
      <c r="AP2" s="484">
        <v>38</v>
      </c>
      <c r="AQ2" s="484">
        <v>39</v>
      </c>
      <c r="AR2" s="484">
        <v>40</v>
      </c>
      <c r="AS2" s="484">
        <v>41</v>
      </c>
      <c r="AT2" s="484">
        <v>42</v>
      </c>
      <c r="AU2" s="484">
        <v>43</v>
      </c>
      <c r="AV2" s="484">
        <v>44</v>
      </c>
      <c r="AW2" s="484">
        <v>45</v>
      </c>
      <c r="AX2" s="484">
        <v>46</v>
      </c>
      <c r="AY2" s="484">
        <v>47</v>
      </c>
      <c r="AZ2" s="484">
        <v>48</v>
      </c>
      <c r="BA2" s="484">
        <v>49</v>
      </c>
      <c r="BB2" s="485">
        <v>50</v>
      </c>
      <c r="BC2" s="484">
        <v>51</v>
      </c>
      <c r="BD2" s="484">
        <v>52</v>
      </c>
      <c r="BE2" s="484">
        <v>53</v>
      </c>
      <c r="BF2" s="484">
        <v>54</v>
      </c>
      <c r="BG2" s="484">
        <v>55</v>
      </c>
      <c r="BH2" s="484">
        <v>56</v>
      </c>
      <c r="BI2" s="484">
        <v>57</v>
      </c>
      <c r="BJ2" s="484">
        <v>58</v>
      </c>
      <c r="BK2" s="484">
        <v>59</v>
      </c>
      <c r="BL2" s="484">
        <v>60</v>
      </c>
      <c r="BM2" s="484">
        <v>61</v>
      </c>
      <c r="BN2" s="484">
        <v>62</v>
      </c>
      <c r="BO2" s="484">
        <v>63</v>
      </c>
      <c r="BP2" s="484">
        <v>64</v>
      </c>
      <c r="BQ2" s="484">
        <v>65</v>
      </c>
      <c r="BR2" s="484">
        <v>66</v>
      </c>
      <c r="BS2" s="484">
        <v>67</v>
      </c>
      <c r="BT2" s="484">
        <v>68</v>
      </c>
      <c r="BU2" s="484">
        <v>69</v>
      </c>
      <c r="BV2" s="484">
        <v>70</v>
      </c>
      <c r="BW2" s="484">
        <v>71</v>
      </c>
      <c r="BX2" s="484">
        <v>72</v>
      </c>
      <c r="BY2" s="484">
        <v>73</v>
      </c>
      <c r="BZ2" s="484">
        <v>74</v>
      </c>
      <c r="CA2" s="484">
        <v>75</v>
      </c>
      <c r="CB2" s="484">
        <v>76</v>
      </c>
      <c r="CC2" s="484">
        <v>77</v>
      </c>
      <c r="CD2" s="484">
        <v>78</v>
      </c>
      <c r="CE2" s="484">
        <v>79</v>
      </c>
      <c r="CF2" s="484">
        <v>80</v>
      </c>
      <c r="CG2" s="484">
        <v>81</v>
      </c>
      <c r="CH2" s="484">
        <v>82</v>
      </c>
      <c r="CI2" s="484">
        <v>83</v>
      </c>
      <c r="CJ2" s="484">
        <v>84</v>
      </c>
      <c r="CK2" s="484">
        <v>85</v>
      </c>
      <c r="CL2" s="484">
        <v>86</v>
      </c>
      <c r="CM2" s="484">
        <v>87</v>
      </c>
      <c r="CN2" s="484">
        <v>88</v>
      </c>
      <c r="CO2" s="484">
        <v>89</v>
      </c>
      <c r="CP2" s="484">
        <v>90</v>
      </c>
      <c r="CQ2" s="484">
        <v>91</v>
      </c>
      <c r="CR2" s="484">
        <v>92</v>
      </c>
      <c r="CS2" s="484">
        <v>93</v>
      </c>
      <c r="CT2" s="484">
        <v>94</v>
      </c>
      <c r="CU2" s="484">
        <v>95</v>
      </c>
      <c r="CV2" s="484">
        <v>96</v>
      </c>
      <c r="CW2" s="484">
        <v>97</v>
      </c>
      <c r="CX2" s="484">
        <v>98</v>
      </c>
      <c r="CY2" s="484">
        <v>99</v>
      </c>
      <c r="CZ2" s="486">
        <v>100</v>
      </c>
      <c r="DA2" s="480" t="s">
        <v>294</v>
      </c>
      <c r="DB2" s="481"/>
      <c r="DC2" s="481"/>
      <c r="DD2" s="481"/>
      <c r="DE2" s="481"/>
      <c r="DF2" s="481"/>
      <c r="DG2" s="481"/>
      <c r="DH2" s="481"/>
      <c r="DI2" s="481"/>
      <c r="DJ2" s="481"/>
      <c r="DK2" s="481"/>
      <c r="DL2" s="481"/>
      <c r="DM2" s="487"/>
      <c r="DO2" s="488">
        <f t="array" ref="DO2">IF(SUM(--ISTEXT(E4:CZ4))&gt;0,"Error",SUM(--(ISNUMBER(E4:CZ4)*(E4:CZ4&lt;&gt;""))))</f>
        <v>5</v>
      </c>
      <c r="DP2" s="488">
        <f>COUNTIF($E$5:$CZ$5,"T1")</f>
        <v>5</v>
      </c>
      <c r="DQ2" s="488">
        <f>COUNTIF($E$5:$CZ$5,"T2")</f>
        <v>0</v>
      </c>
      <c r="DR2" s="488">
        <f>COUNTIF($E$5:$CZ$5,"T3")</f>
        <v>0</v>
      </c>
    </row>
    <row r="3" ht="18" customHeight="1" spans="2:119" s="167" customFormat="1" x14ac:dyDescent="0.25">
      <c r="B3" s="489" t="s">
        <v>148</v>
      </c>
      <c r="C3" s="95"/>
      <c r="D3" s="490" t="s">
        <v>8</v>
      </c>
      <c r="E3" s="491">
        <f>IF(E4="","",IF(ISNUMBER(VALUE(E4)),E4,"Error"))</f>
        <v>46237</v>
      </c>
      <c r="F3" s="492">
        <f t="shared" ref="F3:BQ3" si="0">IF(F4="","",IF(ISNUMBER(VALUE(F4)),F4,"Error"))</f>
        <v>46238</v>
      </c>
      <c r="G3" s="492">
        <f t="shared" si="0"/>
        <v>46239</v>
      </c>
      <c r="H3" s="492">
        <f t="shared" si="0"/>
        <v>46240</v>
      </c>
      <c r="I3" s="492">
        <f t="shared" si="0"/>
        <v>46241</v>
      </c>
      <c r="J3" s="492">
        <f t="shared" si="0"/>
      </c>
      <c r="K3" s="492">
        <f t="shared" si="0"/>
      </c>
      <c r="L3" s="492">
        <f t="shared" si="0"/>
      </c>
      <c r="M3" s="492">
        <f t="shared" si="0"/>
      </c>
      <c r="N3" s="492">
        <f t="shared" si="0"/>
      </c>
      <c r="O3" s="492">
        <f t="shared" si="0"/>
      </c>
      <c r="P3" s="492">
        <f t="shared" si="0"/>
      </c>
      <c r="Q3" s="492">
        <f t="shared" si="0"/>
      </c>
      <c r="R3" s="492">
        <f t="shared" si="0"/>
      </c>
      <c r="S3" s="492">
        <f t="shared" si="0"/>
      </c>
      <c r="T3" s="492">
        <f t="shared" si="0"/>
      </c>
      <c r="U3" s="492">
        <f t="shared" si="0"/>
      </c>
      <c r="V3" s="492">
        <f t="shared" si="0"/>
      </c>
      <c r="W3" s="492">
        <f t="shared" si="0"/>
      </c>
      <c r="X3" s="492">
        <f t="shared" si="0"/>
      </c>
      <c r="Y3" s="492">
        <f t="shared" si="0"/>
      </c>
      <c r="Z3" s="492">
        <f t="shared" si="0"/>
      </c>
      <c r="AA3" s="492">
        <f t="shared" si="0"/>
      </c>
      <c r="AB3" s="492">
        <f t="shared" si="0"/>
      </c>
      <c r="AC3" s="492">
        <f t="shared" si="0"/>
      </c>
      <c r="AD3" s="492">
        <f t="shared" si="0"/>
      </c>
      <c r="AE3" s="492">
        <f t="shared" si="0"/>
      </c>
      <c r="AF3" s="492">
        <f t="shared" si="0"/>
      </c>
      <c r="AG3" s="492">
        <f t="shared" si="0"/>
      </c>
      <c r="AH3" s="492">
        <f t="shared" si="0"/>
      </c>
      <c r="AI3" s="492">
        <f t="shared" si="0"/>
      </c>
      <c r="AJ3" s="492">
        <f t="shared" si="0"/>
      </c>
      <c r="AK3" s="492">
        <f t="shared" si="0"/>
      </c>
      <c r="AL3" s="492">
        <f t="shared" si="0"/>
      </c>
      <c r="AM3" s="492">
        <f t="shared" si="0"/>
      </c>
      <c r="AN3" s="492">
        <f t="shared" si="0"/>
      </c>
      <c r="AO3" s="492">
        <f t="shared" si="0"/>
      </c>
      <c r="AP3" s="492">
        <f t="shared" si="0"/>
      </c>
      <c r="AQ3" s="492">
        <f t="shared" si="0"/>
      </c>
      <c r="AR3" s="492">
        <f t="shared" si="0"/>
      </c>
      <c r="AS3" s="492">
        <f t="shared" si="0"/>
      </c>
      <c r="AT3" s="492">
        <f t="shared" si="0"/>
      </c>
      <c r="AU3" s="492">
        <f t="shared" si="0"/>
      </c>
      <c r="AV3" s="492">
        <f t="shared" si="0"/>
      </c>
      <c r="AW3" s="492">
        <f t="shared" si="0"/>
      </c>
      <c r="AX3" s="492">
        <f t="shared" si="0"/>
      </c>
      <c r="AY3" s="492">
        <f t="shared" si="0"/>
      </c>
      <c r="AZ3" s="492">
        <f t="shared" si="0"/>
      </c>
      <c r="BA3" s="492">
        <f t="shared" si="0"/>
      </c>
      <c r="BB3" s="492">
        <f t="shared" si="0"/>
      </c>
      <c r="BC3" s="492">
        <f t="shared" si="0"/>
      </c>
      <c r="BD3" s="492">
        <f t="shared" si="0"/>
      </c>
      <c r="BE3" s="492">
        <f t="shared" si="0"/>
      </c>
      <c r="BF3" s="492">
        <f t="shared" si="0"/>
      </c>
      <c r="BG3" s="492">
        <f t="shared" si="0"/>
      </c>
      <c r="BH3" s="492">
        <f t="shared" si="0"/>
      </c>
      <c r="BI3" s="492">
        <f t="shared" si="0"/>
      </c>
      <c r="BJ3" s="492">
        <f t="shared" si="0"/>
      </c>
      <c r="BK3" s="492">
        <f t="shared" si="0"/>
      </c>
      <c r="BL3" s="492">
        <f t="shared" si="0"/>
      </c>
      <c r="BM3" s="492">
        <f t="shared" si="0"/>
      </c>
      <c r="BN3" s="492">
        <f t="shared" si="0"/>
      </c>
      <c r="BO3" s="492">
        <f t="shared" si="0"/>
      </c>
      <c r="BP3" s="492">
        <f t="shared" si="0"/>
      </c>
      <c r="BQ3" s="492">
        <f t="shared" si="0"/>
      </c>
      <c r="BR3" s="492">
        <f t="shared" ref="BR3:CZ3" si="1">IF(BR4="","",IF(ISNUMBER(VALUE(BR4)),BR4,"Error"))</f>
      </c>
      <c r="BS3" s="492">
        <f t="shared" si="1"/>
      </c>
      <c r="BT3" s="492">
        <f t="shared" si="1"/>
      </c>
      <c r="BU3" s="492">
        <f t="shared" si="1"/>
      </c>
      <c r="BV3" s="492">
        <f t="shared" si="1"/>
      </c>
      <c r="BW3" s="492">
        <f t="shared" si="1"/>
      </c>
      <c r="BX3" s="492">
        <f t="shared" si="1"/>
      </c>
      <c r="BY3" s="492">
        <f t="shared" si="1"/>
      </c>
      <c r="BZ3" s="492">
        <f t="shared" si="1"/>
      </c>
      <c r="CA3" s="492">
        <f t="shared" si="1"/>
      </c>
      <c r="CB3" s="492">
        <f t="shared" si="1"/>
      </c>
      <c r="CC3" s="492">
        <f t="shared" si="1"/>
      </c>
      <c r="CD3" s="492">
        <f t="shared" si="1"/>
      </c>
      <c r="CE3" s="492">
        <f t="shared" si="1"/>
      </c>
      <c r="CF3" s="492">
        <f t="shared" si="1"/>
      </c>
      <c r="CG3" s="492">
        <f t="shared" si="1"/>
      </c>
      <c r="CH3" s="492">
        <f t="shared" si="1"/>
      </c>
      <c r="CI3" s="492">
        <f t="shared" si="1"/>
      </c>
      <c r="CJ3" s="492">
        <f t="shared" si="1"/>
      </c>
      <c r="CK3" s="492">
        <f t="shared" si="1"/>
      </c>
      <c r="CL3" s="492">
        <f t="shared" si="1"/>
      </c>
      <c r="CM3" s="492">
        <f t="shared" si="1"/>
      </c>
      <c r="CN3" s="492">
        <f t="shared" si="1"/>
      </c>
      <c r="CO3" s="492">
        <f t="shared" si="1"/>
      </c>
      <c r="CP3" s="492">
        <f t="shared" si="1"/>
      </c>
      <c r="CQ3" s="492">
        <f t="shared" si="1"/>
      </c>
      <c r="CR3" s="492">
        <f t="shared" si="1"/>
      </c>
      <c r="CS3" s="492">
        <f t="shared" si="1"/>
      </c>
      <c r="CT3" s="492">
        <f t="shared" si="1"/>
      </c>
      <c r="CU3" s="492">
        <f t="shared" si="1"/>
      </c>
      <c r="CV3" s="492">
        <f t="shared" si="1"/>
      </c>
      <c r="CW3" s="492">
        <f t="shared" si="1"/>
      </c>
      <c r="CX3" s="492">
        <f t="shared" si="1"/>
      </c>
      <c r="CY3" s="492">
        <f t="shared" si="1"/>
      </c>
      <c r="CZ3" s="493">
        <f t="shared" si="1"/>
      </c>
      <c r="DA3" s="494" t="s">
        <v>70</v>
      </c>
      <c r="DB3" s="495"/>
      <c r="DC3" s="495"/>
      <c r="DD3" s="496"/>
      <c r="DE3" s="494" t="s">
        <v>71</v>
      </c>
      <c r="DF3" s="495"/>
      <c r="DG3" s="495"/>
      <c r="DH3" s="496"/>
      <c r="DI3" s="494" t="s">
        <v>72</v>
      </c>
      <c r="DJ3" s="495"/>
      <c r="DK3" s="495"/>
      <c r="DL3" s="496"/>
      <c r="DM3" s="497" t="s">
        <v>295</v>
      </c>
      <c r="DO3" s="498">
        <f t="array" ref="DO3">IF(SUM(--ISTEXT(E4:CZ4))&gt;0,"Error",SUM(--(ISNUMBER(E4:CZ4)*(E4:CZ4&lt;&gt;""))))</f>
        <v>5</v>
      </c>
    </row>
    <row r="4" ht="18" customHeight="1" spans="2:119" s="167" customFormat="1" x14ac:dyDescent="0.25">
      <c r="B4" s="489"/>
      <c r="C4" s="95"/>
      <c r="D4" s="490"/>
      <c r="E4" s="499">
        <v>46237</v>
      </c>
      <c r="F4" s="500">
        <v>46238</v>
      </c>
      <c r="G4" s="500">
        <v>46239</v>
      </c>
      <c r="H4" s="500">
        <v>46240</v>
      </c>
      <c r="I4" s="500">
        <v>46241</v>
      </c>
      <c r="J4" s="500"/>
      <c r="K4" s="500"/>
      <c r="L4" s="500"/>
      <c r="M4" s="500"/>
      <c r="N4" s="500"/>
      <c r="O4" s="500"/>
      <c r="P4" s="500"/>
      <c r="Q4" s="500"/>
      <c r="R4" s="500"/>
      <c r="S4" s="500"/>
      <c r="T4" s="500"/>
      <c r="U4" s="500"/>
      <c r="V4" s="500"/>
      <c r="W4" s="500"/>
      <c r="X4" s="500"/>
      <c r="Y4" s="500"/>
      <c r="Z4" s="500"/>
      <c r="AA4" s="500"/>
      <c r="AB4" s="500"/>
      <c r="AC4" s="500"/>
      <c r="AD4" s="500"/>
      <c r="AE4" s="500"/>
      <c r="AF4" s="500"/>
      <c r="AG4" s="500"/>
      <c r="AH4" s="500"/>
      <c r="AI4" s="500"/>
      <c r="AJ4" s="500"/>
      <c r="AK4" s="500"/>
      <c r="AL4" s="500"/>
      <c r="AM4" s="500"/>
      <c r="AN4" s="500"/>
      <c r="AO4" s="500"/>
      <c r="AP4" s="500"/>
      <c r="AQ4" s="500"/>
      <c r="AR4" s="500"/>
      <c r="AS4" s="500"/>
      <c r="AT4" s="500"/>
      <c r="AU4" s="500"/>
      <c r="AV4" s="500"/>
      <c r="AW4" s="500"/>
      <c r="AX4" s="500"/>
      <c r="AY4" s="500"/>
      <c r="AZ4" s="500"/>
      <c r="BA4" s="500"/>
      <c r="BB4" s="500"/>
      <c r="BC4" s="500"/>
      <c r="BD4" s="499"/>
      <c r="BE4" s="499"/>
      <c r="BF4" s="499"/>
      <c r="BG4" s="499"/>
      <c r="BH4" s="499"/>
      <c r="BI4" s="499"/>
      <c r="BJ4" s="499"/>
      <c r="BK4" s="499"/>
      <c r="BL4" s="499"/>
      <c r="BM4" s="499"/>
      <c r="BN4" s="499"/>
      <c r="BO4" s="499"/>
      <c r="BP4" s="499"/>
      <c r="BQ4" s="499"/>
      <c r="BR4" s="499"/>
      <c r="BS4" s="499"/>
      <c r="BT4" s="499"/>
      <c r="BU4" s="499"/>
      <c r="BV4" s="499"/>
      <c r="BW4" s="499"/>
      <c r="BX4" s="499"/>
      <c r="BY4" s="499"/>
      <c r="BZ4" s="499"/>
      <c r="CA4" s="499"/>
      <c r="CB4" s="499"/>
      <c r="CC4" s="499"/>
      <c r="CD4" s="499"/>
      <c r="CE4" s="499"/>
      <c r="CF4" s="499"/>
      <c r="CG4" s="499"/>
      <c r="CH4" s="499"/>
      <c r="CI4" s="499"/>
      <c r="CJ4" s="499"/>
      <c r="CK4" s="499"/>
      <c r="CL4" s="499"/>
      <c r="CM4" s="499"/>
      <c r="CN4" s="499"/>
      <c r="CO4" s="499"/>
      <c r="CP4" s="499"/>
      <c r="CQ4" s="499"/>
      <c r="CR4" s="499"/>
      <c r="CS4" s="499"/>
      <c r="CT4" s="499"/>
      <c r="CU4" s="499"/>
      <c r="CV4" s="499"/>
      <c r="CW4" s="499"/>
      <c r="CX4" s="499"/>
      <c r="CY4" s="499"/>
      <c r="CZ4" s="501"/>
      <c r="DA4" s="502">
        <f>COUNTIF($E$5:$CZ$5,"T1")</f>
        <v>5</v>
      </c>
      <c r="DB4" s="503"/>
      <c r="DC4" s="503"/>
      <c r="DD4" s="503"/>
      <c r="DE4" s="502">
        <f>COUNTIF($E$5:$CZ$5,"T2")</f>
        <v>0</v>
      </c>
      <c r="DF4" s="503"/>
      <c r="DG4" s="503"/>
      <c r="DH4" s="504"/>
      <c r="DI4" s="503">
        <f>COUNTIF($E$5:$CZ$5,"T3")</f>
        <v>0</v>
      </c>
      <c r="DJ4" s="503"/>
      <c r="DK4" s="503"/>
      <c r="DL4" s="504"/>
      <c r="DM4" s="497"/>
      <c r="DO4" s="488"/>
    </row>
    <row r="5" ht="18" customHeight="1" spans="2:119" s="167" customFormat="1" x14ac:dyDescent="0.25">
      <c r="B5" s="505"/>
      <c r="C5" s="506"/>
      <c r="D5" s="507"/>
      <c r="E5" s="508" t="s">
        <v>296</v>
      </c>
      <c r="F5" s="509" t="s">
        <v>296</v>
      </c>
      <c r="G5" s="509" t="s">
        <v>296</v>
      </c>
      <c r="H5" s="509" t="s">
        <v>296</v>
      </c>
      <c r="I5" s="509" t="s">
        <v>296</v>
      </c>
      <c r="J5" s="509"/>
      <c r="K5" s="509"/>
      <c r="L5" s="509"/>
      <c r="M5" s="509"/>
      <c r="N5" s="509"/>
      <c r="O5" s="509"/>
      <c r="P5" s="509"/>
      <c r="Q5" s="509"/>
      <c r="R5" s="509"/>
      <c r="S5" s="509"/>
      <c r="T5" s="509"/>
      <c r="U5" s="509"/>
      <c r="V5" s="509"/>
      <c r="W5" s="509"/>
      <c r="X5" s="509"/>
      <c r="Y5" s="509"/>
      <c r="Z5" s="509"/>
      <c r="AA5" s="509"/>
      <c r="AB5" s="509"/>
      <c r="AC5" s="509"/>
      <c r="AD5" s="509"/>
      <c r="AE5" s="509"/>
      <c r="AF5" s="509"/>
      <c r="AG5" s="509"/>
      <c r="AH5" s="509"/>
      <c r="AI5" s="509"/>
      <c r="AJ5" s="509"/>
      <c r="AK5" s="509"/>
      <c r="AL5" s="509"/>
      <c r="AM5" s="509"/>
      <c r="AN5" s="509"/>
      <c r="AO5" s="509"/>
      <c r="AP5" s="509"/>
      <c r="AQ5" s="509"/>
      <c r="AR5" s="509"/>
      <c r="AS5" s="509"/>
      <c r="AT5" s="509"/>
      <c r="AU5" s="509"/>
      <c r="AV5" s="509"/>
      <c r="AW5" s="509"/>
      <c r="AX5" s="509"/>
      <c r="AY5" s="509"/>
      <c r="AZ5" s="509"/>
      <c r="BA5" s="509"/>
      <c r="BB5" s="510"/>
      <c r="BC5" s="511"/>
      <c r="BD5" s="511"/>
      <c r="BE5" s="511"/>
      <c r="BF5" s="511"/>
      <c r="BG5" s="511"/>
      <c r="BH5" s="511"/>
      <c r="BI5" s="511"/>
      <c r="BJ5" s="511"/>
      <c r="BK5" s="511"/>
      <c r="BL5" s="511"/>
      <c r="BM5" s="511"/>
      <c r="BN5" s="511"/>
      <c r="BO5" s="511"/>
      <c r="BP5" s="511"/>
      <c r="BQ5" s="511"/>
      <c r="BR5" s="511"/>
      <c r="BS5" s="511"/>
      <c r="BT5" s="511"/>
      <c r="BU5" s="511"/>
      <c r="BV5" s="511"/>
      <c r="BW5" s="511"/>
      <c r="BX5" s="511"/>
      <c r="BY5" s="511"/>
      <c r="BZ5" s="511"/>
      <c r="CA5" s="511"/>
      <c r="CB5" s="511"/>
      <c r="CC5" s="511"/>
      <c r="CD5" s="511"/>
      <c r="CE5" s="511"/>
      <c r="CF5" s="511"/>
      <c r="CG5" s="511"/>
      <c r="CH5" s="511"/>
      <c r="CI5" s="511"/>
      <c r="CJ5" s="511"/>
      <c r="CK5" s="511"/>
      <c r="CL5" s="511"/>
      <c r="CM5" s="511"/>
      <c r="CN5" s="511"/>
      <c r="CO5" s="511"/>
      <c r="CP5" s="511"/>
      <c r="CQ5" s="511"/>
      <c r="CR5" s="511"/>
      <c r="CS5" s="511"/>
      <c r="CT5" s="511"/>
      <c r="CU5" s="511"/>
      <c r="CV5" s="511"/>
      <c r="CW5" s="511"/>
      <c r="CX5" s="511"/>
      <c r="CY5" s="511"/>
      <c r="CZ5" s="512"/>
      <c r="DA5" s="513" t="s">
        <v>100</v>
      </c>
      <c r="DB5" s="514" t="s">
        <v>9</v>
      </c>
      <c r="DC5" s="514" t="s">
        <v>101</v>
      </c>
      <c r="DD5" s="515" t="s">
        <v>102</v>
      </c>
      <c r="DE5" s="513" t="s">
        <v>100</v>
      </c>
      <c r="DF5" s="514" t="s">
        <v>9</v>
      </c>
      <c r="DG5" s="514" t="s">
        <v>101</v>
      </c>
      <c r="DH5" s="516" t="s">
        <v>102</v>
      </c>
      <c r="DI5" s="517" t="s">
        <v>100</v>
      </c>
      <c r="DJ5" s="514" t="s">
        <v>9</v>
      </c>
      <c r="DK5" s="514" t="s">
        <v>101</v>
      </c>
      <c r="DL5" s="515" t="s">
        <v>102</v>
      </c>
      <c r="DM5" s="518"/>
      <c r="DO5" s="488"/>
    </row>
    <row r="6" ht="15.95" customHeight="1" spans="2:118" x14ac:dyDescent="0.25">
      <c r="B6" s="465">
        <v>1</v>
      </c>
      <c r="C6" s="519">
        <f>IF('Data Input'!M7="","",'Data Input'!M7)</f>
        <v>2000498439</v>
      </c>
      <c r="D6" s="520" t="str">
        <f>IF('Data Input'!N7="","",'Data Input'!N7)</f>
        <v>ABENDANTE, CARL YUAN</v>
      </c>
      <c r="E6" s="521" t="s">
        <v>100</v>
      </c>
      <c r="F6" s="334" t="s">
        <v>9</v>
      </c>
      <c r="G6" s="334" t="s">
        <v>101</v>
      </c>
      <c r="H6" s="334" t="s">
        <v>102</v>
      </c>
      <c r="I6" s="334" t="s">
        <v>100</v>
      </c>
      <c r="J6" s="334"/>
      <c r="K6" s="334"/>
      <c r="L6" s="334"/>
      <c r="M6" s="334"/>
      <c r="N6" s="334"/>
      <c r="O6" s="334"/>
      <c r="P6" s="334"/>
      <c r="Q6" s="334"/>
      <c r="R6" s="334"/>
      <c r="S6" s="334"/>
      <c r="T6" s="334"/>
      <c r="U6" s="334"/>
      <c r="V6" s="334"/>
      <c r="W6" s="334"/>
      <c r="X6" s="334"/>
      <c r="Y6" s="334"/>
      <c r="Z6" s="334"/>
      <c r="AA6" s="334"/>
      <c r="AB6" s="334"/>
      <c r="AC6" s="334"/>
      <c r="AD6" s="334"/>
      <c r="AE6" s="334"/>
      <c r="AF6" s="334"/>
      <c r="AG6" s="334"/>
      <c r="AH6" s="334"/>
      <c r="AI6" s="334"/>
      <c r="AJ6" s="334"/>
      <c r="AK6" s="334"/>
      <c r="AL6" s="334"/>
      <c r="AM6" s="334"/>
      <c r="AN6" s="334"/>
      <c r="AO6" s="334"/>
      <c r="AP6" s="334"/>
      <c r="AQ6" s="334"/>
      <c r="AR6" s="334"/>
      <c r="AS6" s="334"/>
      <c r="AT6" s="334"/>
      <c r="AU6" s="334"/>
      <c r="AV6" s="334"/>
      <c r="AW6" s="334"/>
      <c r="AX6" s="334"/>
      <c r="AY6" s="334"/>
      <c r="AZ6" s="334"/>
      <c r="BA6" s="334"/>
      <c r="BB6" s="522"/>
      <c r="BC6" s="334"/>
      <c r="BD6" s="334"/>
      <c r="BE6" s="334"/>
      <c r="BF6" s="334"/>
      <c r="BG6" s="334"/>
      <c r="BH6" s="334"/>
      <c r="BI6" s="334"/>
      <c r="BJ6" s="334"/>
      <c r="BK6" s="334"/>
      <c r="BL6" s="334"/>
      <c r="BM6" s="334"/>
      <c r="BN6" s="334"/>
      <c r="BO6" s="334"/>
      <c r="BP6" s="334"/>
      <c r="BQ6" s="334"/>
      <c r="BR6" s="334"/>
      <c r="BS6" s="334"/>
      <c r="BT6" s="334"/>
      <c r="BU6" s="334"/>
      <c r="BV6" s="334"/>
      <c r="BW6" s="334"/>
      <c r="BX6" s="334"/>
      <c r="BY6" s="334"/>
      <c r="BZ6" s="334"/>
      <c r="CA6" s="334"/>
      <c r="CB6" s="334"/>
      <c r="CC6" s="334"/>
      <c r="CD6" s="334"/>
      <c r="CE6" s="334"/>
      <c r="CF6" s="334"/>
      <c r="CG6" s="334"/>
      <c r="CH6" s="334"/>
      <c r="CI6" s="334"/>
      <c r="CJ6" s="334"/>
      <c r="CK6" s="334"/>
      <c r="CL6" s="334"/>
      <c r="CM6" s="334"/>
      <c r="CN6" s="334"/>
      <c r="CO6" s="334"/>
      <c r="CP6" s="334"/>
      <c r="CQ6" s="334"/>
      <c r="CR6" s="334"/>
      <c r="CS6" s="334"/>
      <c r="CT6" s="334"/>
      <c r="CU6" s="334"/>
      <c r="CV6" s="334"/>
      <c r="CW6" s="334"/>
      <c r="CX6" s="334"/>
      <c r="CY6" s="334"/>
      <c r="CZ6" s="523"/>
      <c r="DA6" s="524">
        <f t="array" ref="DA6">IF(D6="","",
 IF($DO$3="Error","Error",
 IF(OR(
 SUM(($E$4:$CZ$4="")*(E6:CZ6&lt;&gt;""))&gt;0,
 SUM(($E$5:$CZ$5="")*(E6:CZ6&lt;&gt;""))&gt;0,
 COUNTA(E6:CZ6)&gt;$DO$3,
 SUMPRODUCT((E6:CZ6&lt;&gt;"")*(ISNA(MATCH(E6:CZ6,{"P","A","L","E","D"},0))))&gt;0),"Error",
 IF(COUNTIFS($E$5:$CZ$5,"T1",E6:CZ6,$DA$5)=0,"--",
 COUNTIFS($E$5:$CZ$5,"T1",E6:CZ6,$DA$5)))))</f>
        <v>2</v>
      </c>
      <c r="DB6" s="525">
        <f t="array" ref="DB6">IF(D6="","",
 IF($DO$3="Error","Error",
 IF(OR(
 SUM(($E$4:$CZ$4="")*(E6:CZ6&lt;&gt;""))&gt;0,
 SUM(($E$5:$CZ$5="")*(E6:CZ6&lt;&gt;""))&gt;0,
 COUNTA(E6:CZ6)&gt;$DO$3,
 SUMPRODUCT((E6:CZ6&lt;&gt;"")*(ISNA(MATCH(E6:CZ6,{"P","A","L","E","D"},0))))&gt;0),"Error",
 IF(COUNTIFS($E$5:$CZ$5,"T1",E6:CZ6,$DB$5)=0,"--",
 COUNTIFS($E$5:$CZ$5,"T1",E6:CZ6,$DB$5)))))</f>
        <v>1</v>
      </c>
      <c r="DC6" s="525">
        <f t="array" ref="DC6">IF(D6="","",
 IF($DO$3="Error","Error",
 IF(OR(
 SUM(($E$4:$CZ$4="")*(E6:CZ6&lt;&gt;""))&gt;0,
 SUM(($E$5:$CZ$5="")*(E6:CZ6&lt;&gt;""))&gt;0,
 COUNTA(E6:CZ6)&gt;$DO$3,
 SUMPRODUCT((E6:CZ6&lt;&gt;"")*(ISNA(MATCH(E6:CZ6,{"P","A","L","E","D"},0))))&gt;0),"Error",
 IF(COUNTIFS($E$5:$CZ$5,"T1",E6:CZ6,$DC$5)=0,"--",
 COUNTIFS($E$5:$CZ$5,"T1",E6:CZ6,$DC$5)))))</f>
        <v>1</v>
      </c>
      <c r="DD6" s="526">
        <f t="array" ref="DD6">IF(D6="","",
 IF($DO$3="Error","Error",
 IF(OR(
 SUM(($E$4:$CZ$4="")*(E6:CZ6&lt;&gt;""))&gt;0,
 SUM(($E$5:$CZ$5="")*(E6:CZ6&lt;&gt;""))&gt;0,
 COUNTA(E6:CZ6)&gt;$DO$3,
 SUMPRODUCT((E6:CZ6&lt;&gt;"")*(ISNA(MATCH(E6:CZ6,{"P","A","L","E","D"},0))))&gt;0),"Error",
 IF(COUNTIFS($E$5:$CZ$5,"T1",E6:CZ6,$DD$5)=0,"--",
 COUNTIFS($E$5:$CZ$5,"T1",E6:CZ6,$DD$5)))))</f>
        <v>1</v>
      </c>
      <c r="DE6" s="527" t="str">
        <f t="array" ref="DE6">IF(D6="","",
 IF($DO$3="Error","Error",
 IF(OR(
 SUM(($E$4:$CZ$4="")*(E6:CZ6&lt;&gt;""))&gt;0,
 SUM(($E$5:$CZ$5="")*(E6:CZ6&lt;&gt;""))&gt;0,
 COUNTA(E6:CZ6)&gt;$DO$3,
 SUMPRODUCT((E6:CZ6&lt;&gt;"")*(ISNA(MATCH(E6:CZ6,{"P","A","L","E","D"},0))))&gt;0),"Error",
 IF(COUNTIFS($E$5:$CZ$5,"T2",E6:CZ6,$DE$5)=0,"--",
 COUNTIFS($E$5:$CZ$5,"T2",E6:CZ6,$DE$5)))))</f>
        <v>--</v>
      </c>
      <c r="DF6" s="525" t="str">
        <f t="array" ref="DF6">IF(D6="","",
 IF($DO$3="Error","Error",
 IF(OR(
 SUM(($E$4:$CZ$4="")*(E6:CZ6&lt;&gt;""))&gt;0,
 SUM(($E$5:$CZ$5="")*(E6:CZ6&lt;&gt;""))&gt;0,
 COUNTA(E6:CZ6)&gt;$DO$3,
 SUMPRODUCT((E6:CZ6&lt;&gt;"")*(ISNA(MATCH(E6:CZ6,{"P","A","L","E","D"},0))))&gt;0),"Error",
 IF(COUNTIFS($E$5:$CZ$5,"T2",E6:CZ6,$DF$5)=0,"--",
 COUNTIFS($E$5:$CZ$5,"T2",E6:CZ6,$DF$5)))))</f>
        <v>--</v>
      </c>
      <c r="DG6" s="525" t="str">
        <f t="array" ref="DG6">IF(D6="","",
 IF($DO$3="Error","Error",
 IF(OR(
 SUM(($E$4:$CZ$4="")*(E6:CZ6&lt;&gt;""))&gt;0,
 SUM(($E$5:$CZ$5="")*(E6:CZ6&lt;&gt;""))&gt;0,
 COUNTA(E6:CZ6)&gt;$DO$3,
 SUMPRODUCT((E6:CZ6&lt;&gt;"")*(ISNA(MATCH(E6:CZ6,{"P","A","L","E","D"},0))))&gt;0),"Error",
 IF(COUNTIFS($E$5:$CZ$5,"T2",E6:CZ6,$DG$5)=0,"--",
 COUNTIFS($E$5:$CZ$5,"T2",E6:CZ6,$DG$5)))))</f>
        <v>--</v>
      </c>
      <c r="DH6" s="528" t="str">
        <f t="array" ref="DH6">IF(D6="","",
 IF($DO$3="Error","Error",
 IF(OR(
 SUM(($E$4:$CZ$4="")*(E6:CZ6&lt;&gt;""))&gt;0,
 SUM(($E$5:$CZ$5="")*(E6:CZ6&lt;&gt;""))&gt;0,
 COUNTA(E6:CZ6)&gt;$DO$3,
 SUMPRODUCT((E6:CZ6&lt;&gt;"")*(ISNA(MATCH(E6:CZ6,{"P","A","L","E","D"},0))))&gt;0),"Error",
 IF(COUNTIFS($E$5:$CZ$5,"T2",E6:CZ6,$DH$5)=0,"--",
 COUNTIFS($E$5:$CZ$5,"T2",E6:CZ6,$DH$5)))))</f>
        <v>--</v>
      </c>
      <c r="DI6" s="529" t="str">
        <f t="array" ref="DI6">IF(D6="","",
 IF($DO$3="Error","Error",
 IF(OR(
 SUM(($E$4:$CZ$4="")*(E6:CZ6&lt;&gt;""))&gt;0,
 SUM(($E$5:$CZ$5="")*(E6:CZ6&lt;&gt;""))&gt;0,
 COUNTA(E6:CZ6)&gt;$DO$3,
 SUMPRODUCT((E6:CZ6&lt;&gt;"")*(ISNA(MATCH(E6:CZ6,{"P","A","L","E","D"},0))))&gt;0),"Error",
 IF(COUNTIFS($E$5:$CZ$5,"T3",E6:CZ6,$DI$5)=0,"--",
 COUNTIFS($E$5:$CZ$5,"T3",E6:CZ6,$DI$5)))))</f>
        <v>--</v>
      </c>
      <c r="DJ6" s="525" t="str">
        <f t="array" ref="DJ6">IF(D6="","",
 IF($DO$3="Error","Error",
 IF(OR(
 SUM(($E$4:$CZ$4="")*(E6:CZ6&lt;&gt;""))&gt;0,
 SUM(($E$5:$CZ$5="")*(E6:CZ6&lt;&gt;""))&gt;0,
 COUNTA(E6:CZ6)&gt;$DO$3,
 SUMPRODUCT((E6:CZ6&lt;&gt;"")*(ISNA(MATCH(E6:CZ6,{"P","A","L","E","D"},0))))&gt;0),"Error",
 IF(COUNTIFS($E$5:$CZ$5,"T3",E6:CZ6,$DJ$5)=0,"--",
 COUNTIFS($E$5:$CZ$5,"T3",E6:CZ6,$DJ$5)))))</f>
        <v>--</v>
      </c>
      <c r="DK6" s="525" t="str">
        <f t="array" ref="DK6">IF(D6="","",
 IF($DO$3="Error","Error",
 IF(OR(
 SUM(($E$4:$CZ$4="")*(E6:CZ6&lt;&gt;""))&gt;0,
 SUM(($E$5:$CZ$5="")*(E6:CZ6&lt;&gt;""))&gt;0,
 COUNTA(E6:CZ6)&gt;$DO$3,
 SUMPRODUCT((E6:CZ6&lt;&gt;"")*(ISNA(MATCH(E6:CZ6,{"P","A","L","E","D"},0))))&gt;0),"Error",
 IF(COUNTIFS($E$5:$CZ$5,"T3",E6:CZ6,$DK$5)=0,"--",
 COUNTIFS($E$5:$CZ$5,"T3",E6:CZ6,$DK$5)))))</f>
        <v>--</v>
      </c>
      <c r="DL6" s="526" t="str">
        <f t="array" ref="DL6">IF(D6="","",
 IF($DO$3="Error","Error",
 IF(OR(
 SUM(($E$4:$CZ$4="")*(E6:CZ6&lt;&gt;""))&gt;0,
 SUM(($E$5:$CZ$5="")*(E6:CZ6&lt;&gt;""))&gt;0,
 COUNTA(E6:CZ6)&gt;$DO$3,
 SUMPRODUCT((E6:CZ6&lt;&gt;"")*(ISNA(MATCH(E6:CZ6,{"P","A","L","E","D"},0))))&gt;0),"Error",
 IF(COUNTIFS($E$5:$CZ$5,"T3",E6:CZ6,$DL$5)=0,"--",
 COUNTIFS($E$5:$CZ$5,"T3",E6:CZ6,$DL$5)))))</f>
        <v>--</v>
      </c>
      <c r="DM6" s="530" t="str">
        <f t="array" ref="DM6">IF(COUNTIF(DA6:DL6,"Error")&gt;0,"Error",
 IF(AND(D6="",COUNTA(E6:CZ6)&gt;0),"Error",
 IF(COUNTIF(E6:CZ6,"D")&gt;0,"DRP",
 IF(OR(SUM(COUNTIF(E6:CZ6,{"P","A","L","E"}))&gt;0,AND(D6&lt;&gt;"",COUNTA(E6:CZ6)=0)),"Active",""))))</f>
        <v>Active</v>
      </c>
      <c r="DN6" s="531"/>
    </row>
    <row r="7" ht="15.95" customHeight="1" spans="2:118" x14ac:dyDescent="0.25">
      <c r="B7" s="471">
        <v>2</v>
      </c>
      <c r="C7" s="532">
        <f>IF('Data Input'!M8="","",'Data Input'!M8)</f>
        <v>2000483599</v>
      </c>
      <c r="D7" s="533" t="str">
        <f>IF('Data Input'!N8="","",'Data Input'!N8)</f>
        <v>ACALA, AJI RHEYACELLE</v>
      </c>
      <c r="E7" s="534"/>
      <c r="F7" s="535"/>
      <c r="G7" s="535"/>
      <c r="H7" s="535"/>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c r="AM7" s="535"/>
      <c r="AN7" s="535"/>
      <c r="AO7" s="535"/>
      <c r="AP7" s="535"/>
      <c r="AQ7" s="535"/>
      <c r="AR7" s="535"/>
      <c r="AS7" s="535"/>
      <c r="AT7" s="535"/>
      <c r="AU7" s="535"/>
      <c r="AV7" s="535"/>
      <c r="AW7" s="535"/>
      <c r="AX7" s="535"/>
      <c r="AY7" s="535"/>
      <c r="AZ7" s="535"/>
      <c r="BA7" s="535"/>
      <c r="BB7" s="536"/>
      <c r="BC7" s="535"/>
      <c r="BD7" s="535"/>
      <c r="BE7" s="535"/>
      <c r="BF7" s="535"/>
      <c r="BG7" s="535"/>
      <c r="BH7" s="535"/>
      <c r="BI7" s="535"/>
      <c r="BJ7" s="535"/>
      <c r="BK7" s="535"/>
      <c r="BL7" s="535"/>
      <c r="BM7" s="535"/>
      <c r="BN7" s="535"/>
      <c r="BO7" s="535"/>
      <c r="BP7" s="535"/>
      <c r="BQ7" s="535"/>
      <c r="BR7" s="535"/>
      <c r="BS7" s="535"/>
      <c r="BT7" s="535"/>
      <c r="BU7" s="535"/>
      <c r="BV7" s="535"/>
      <c r="BW7" s="535"/>
      <c r="BX7" s="535"/>
      <c r="BY7" s="535"/>
      <c r="BZ7" s="535"/>
      <c r="CA7" s="535"/>
      <c r="CB7" s="535"/>
      <c r="CC7" s="535"/>
      <c r="CD7" s="535"/>
      <c r="CE7" s="535"/>
      <c r="CF7" s="535"/>
      <c r="CG7" s="535"/>
      <c r="CH7" s="535"/>
      <c r="CI7" s="535"/>
      <c r="CJ7" s="535"/>
      <c r="CK7" s="535"/>
      <c r="CL7" s="535"/>
      <c r="CM7" s="535"/>
      <c r="CN7" s="535"/>
      <c r="CO7" s="535"/>
      <c r="CP7" s="535"/>
      <c r="CQ7" s="535"/>
      <c r="CR7" s="535"/>
      <c r="CS7" s="535"/>
      <c r="CT7" s="535"/>
      <c r="CU7" s="535"/>
      <c r="CV7" s="535"/>
      <c r="CW7" s="535"/>
      <c r="CX7" s="535"/>
      <c r="CY7" s="535"/>
      <c r="CZ7" s="537"/>
      <c r="DA7" s="538" t="str">
        <f t="array" ref="DA7">IF(D7="","",
 IF($DO$3="Error","Error",
 IF(OR(
 SUM(($E$4:$CZ$4="")*(E7:CZ7&lt;&gt;""))&gt;0,
 SUM(($E$5:$CZ$5="")*(E7:CZ7&lt;&gt;""))&gt;0,
 COUNTA(E7:CZ7)&gt;$DO$3,
 SUMPRODUCT((E7:CZ7&lt;&gt;"")*(ISNA(MATCH(E7:CZ7,{"P","A","L","E","D"},0))))&gt;0),"Error",
 IF(COUNTIFS($E$5:$CZ$5,"T1",E7:CZ7,$DA$5)=0,"--",
 COUNTIFS($E$5:$CZ$5,"T1",E7:CZ7,$DA$5)))))</f>
        <v>--</v>
      </c>
      <c r="DB7" s="539" t="str">
        <f t="array" ref="DB7">IF(D7="","",
 IF($DO$3="Error","Error",
 IF(OR(
 SUM(($E$4:$CZ$4="")*(E7:CZ7&lt;&gt;""))&gt;0,
 SUM(($E$5:$CZ$5="")*(E7:CZ7&lt;&gt;""))&gt;0,
 COUNTA(E7:CZ7)&gt;$DO$3,
 SUMPRODUCT((E7:CZ7&lt;&gt;"")*(ISNA(MATCH(E7:CZ7,{"P","A","L","E","D"},0))))&gt;0),"Error",
 IF(COUNTIFS($E$5:$CZ$5,"T1",E7:CZ7,$DB$5)=0,"--",
 COUNTIFS($E$5:$CZ$5,"T1",E7:CZ7,$DB$5)))))</f>
        <v>--</v>
      </c>
      <c r="DC7" s="539" t="str">
        <f t="array" ref="DC7">IF(D7="","",
 IF($DO$3="Error","Error",
 IF(OR(
 SUM(($E$4:$CZ$4="")*(E7:CZ7&lt;&gt;""))&gt;0,
 SUM(($E$5:$CZ$5="")*(E7:CZ7&lt;&gt;""))&gt;0,
 COUNTA(E7:CZ7)&gt;$DO$3,
 SUMPRODUCT((E7:CZ7&lt;&gt;"")*(ISNA(MATCH(E7:CZ7,{"P","A","L","E","D"},0))))&gt;0),"Error",
 IF(COUNTIFS($E$5:$CZ$5,"T1",E7:CZ7,$DC$5)=0,"--",
 COUNTIFS($E$5:$CZ$5,"T1",E7:CZ7,$DC$5)))))</f>
        <v>--</v>
      </c>
      <c r="DD7" s="540" t="str">
        <f t="array" ref="DD7">IF(D7="","",
 IF($DO$3="Error","Error",
 IF(OR(
 SUM(($E$4:$CZ$4="")*(E7:CZ7&lt;&gt;""))&gt;0,
 SUM(($E$5:$CZ$5="")*(E7:CZ7&lt;&gt;""))&gt;0,
 COUNTA(E7:CZ7)&gt;$DO$3,
 SUMPRODUCT((E7:CZ7&lt;&gt;"")*(ISNA(MATCH(E7:CZ7,{"P","A","L","E","D"},0))))&gt;0),"Error",
 IF(COUNTIFS($E$5:$CZ$5,"T1",E7:CZ7,$DD$5)=0,"--",
 COUNTIFS($E$5:$CZ$5,"T1",E7:CZ7,$DD$5)))))</f>
        <v>--</v>
      </c>
      <c r="DE7" s="541" t="str">
        <f t="array" ref="DE7">IF(D7="","",
 IF($DO$3="Error","Error",
 IF(OR(
 SUM(($E$4:$CZ$4="")*(E7:CZ7&lt;&gt;""))&gt;0,
 SUM(($E$5:$CZ$5="")*(E7:CZ7&lt;&gt;""))&gt;0,
 COUNTA(E7:CZ7)&gt;$DO$3,
 SUMPRODUCT((E7:CZ7&lt;&gt;"")*(ISNA(MATCH(E7:CZ7,{"P","A","L","E","D"},0))))&gt;0),"Error",
 IF(COUNTIFS($E$5:$CZ$5,"T2",E7:CZ7,$DE$5)=0,"--",
 COUNTIFS($E$5:$CZ$5,"T2",E7:CZ7,$DE$5)))))</f>
        <v>--</v>
      </c>
      <c r="DF7" s="539" t="str">
        <f t="array" ref="DF7">IF(D7="","",
 IF($DO$3="Error","Error",
 IF(OR(
 SUM(($E$4:$CZ$4="")*(E7:CZ7&lt;&gt;""))&gt;0,
 SUM(($E$5:$CZ$5="")*(E7:CZ7&lt;&gt;""))&gt;0,
 COUNTA(E7:CZ7)&gt;$DO$3,
 SUMPRODUCT((E7:CZ7&lt;&gt;"")*(ISNA(MATCH(E7:CZ7,{"P","A","L","E","D"},0))))&gt;0),"Error",
 IF(COUNTIFS($E$5:$CZ$5,"T2",E7:CZ7,$DF$5)=0,"--",
 COUNTIFS($E$5:$CZ$5,"T2",E7:CZ7,$DF$5)))))</f>
        <v>--</v>
      </c>
      <c r="DG7" s="539" t="str">
        <f t="array" ref="DG7">IF(D7="","",
 IF($DO$3="Error","Error",
 IF(OR(
 SUM(($E$4:$CZ$4="")*(E7:CZ7&lt;&gt;""))&gt;0,
 SUM(($E$5:$CZ$5="")*(E7:CZ7&lt;&gt;""))&gt;0,
 COUNTA(E7:CZ7)&gt;$DO$3,
 SUMPRODUCT((E7:CZ7&lt;&gt;"")*(ISNA(MATCH(E7:CZ7,{"P","A","L","E","D"},0))))&gt;0),"Error",
 IF(COUNTIFS($E$5:$CZ$5,"T2",E7:CZ7,$DG$5)=0,"--",
 COUNTIFS($E$5:$CZ$5,"T2",E7:CZ7,$DG$5)))))</f>
        <v>--</v>
      </c>
      <c r="DH7" s="542" t="str">
        <f t="array" ref="DH7">IF(D7="","",
 IF($DO$3="Error","Error",
 IF(OR(
 SUM(($E$4:$CZ$4="")*(E7:CZ7&lt;&gt;""))&gt;0,
 SUM(($E$5:$CZ$5="")*(E7:CZ7&lt;&gt;""))&gt;0,
 COUNTA(E7:CZ7)&gt;$DO$3,
 SUMPRODUCT((E7:CZ7&lt;&gt;"")*(ISNA(MATCH(E7:CZ7,{"P","A","L","E","D"},0))))&gt;0),"Error",
 IF(COUNTIFS($E$5:$CZ$5,"T2",E7:CZ7,$DH$5)=0,"--",
 COUNTIFS($E$5:$CZ$5,"T2",E7:CZ7,$DH$5)))))</f>
        <v>--</v>
      </c>
      <c r="DI7" s="543" t="str">
        <f t="array" ref="DI7">IF(D7="","",
 IF($DO$3="Error","Error",
 IF(OR(
 SUM(($E$4:$CZ$4="")*(E7:CZ7&lt;&gt;""))&gt;0,
 SUM(($E$5:$CZ$5="")*(E7:CZ7&lt;&gt;""))&gt;0,
 COUNTA(E7:CZ7)&gt;$DO$3,
 SUMPRODUCT((E7:CZ7&lt;&gt;"")*(ISNA(MATCH(E7:CZ7,{"P","A","L","E","D"},0))))&gt;0),"Error",
 IF(COUNTIFS($E$5:$CZ$5,"T3",E7:CZ7,$DI$5)=0,"--",
 COUNTIFS($E$5:$CZ$5,"T3",E7:CZ7,$DI$5)))))</f>
        <v>--</v>
      </c>
      <c r="DJ7" s="539" t="str">
        <f t="array" ref="DJ7">IF(D7="","",
 IF($DO$3="Error","Error",
 IF(OR(
 SUM(($E$4:$CZ$4="")*(E7:CZ7&lt;&gt;""))&gt;0,
 SUM(($E$5:$CZ$5="")*(E7:CZ7&lt;&gt;""))&gt;0,
 COUNTA(E7:CZ7)&gt;$DO$3,
 SUMPRODUCT((E7:CZ7&lt;&gt;"")*(ISNA(MATCH(E7:CZ7,{"P","A","L","E","D"},0))))&gt;0),"Error",
 IF(COUNTIFS($E$5:$CZ$5,"T3",E7:CZ7,$DJ$5)=0,"--",
 COUNTIFS($E$5:$CZ$5,"T3",E7:CZ7,$DJ$5)))))</f>
        <v>--</v>
      </c>
      <c r="DK7" s="539" t="str">
        <f t="array" ref="DK7">IF(D7="","",
 IF($DO$3="Error","Error",
 IF(OR(
 SUM(($E$4:$CZ$4="")*(E7:CZ7&lt;&gt;""))&gt;0,
 SUM(($E$5:$CZ$5="")*(E7:CZ7&lt;&gt;""))&gt;0,
 COUNTA(E7:CZ7)&gt;$DO$3,
 SUMPRODUCT((E7:CZ7&lt;&gt;"")*(ISNA(MATCH(E7:CZ7,{"P","A","L","E","D"},0))))&gt;0),"Error",
 IF(COUNTIFS($E$5:$CZ$5,"T3",E7:CZ7,$DK$5)=0,"--",
 COUNTIFS($E$5:$CZ$5,"T3",E7:CZ7,$DK$5)))))</f>
        <v>--</v>
      </c>
      <c r="DL7" s="540" t="str">
        <f t="array" ref="DL7">IF(D7="","",
 IF($DO$3="Error","Error",
 IF(OR(
 SUM(($E$4:$CZ$4="")*(E7:CZ7&lt;&gt;""))&gt;0,
 SUM(($E$5:$CZ$5="")*(E7:CZ7&lt;&gt;""))&gt;0,
 COUNTA(E7:CZ7)&gt;$DO$3,
 SUMPRODUCT((E7:CZ7&lt;&gt;"")*(ISNA(MATCH(E7:CZ7,{"P","A","L","E","D"},0))))&gt;0),"Error",
 IF(COUNTIFS($E$5:$CZ$5,"T3",E7:CZ7,$DL$5)=0,"--",
 COUNTIFS($E$5:$CZ$5,"T3",E7:CZ7,$DL$5)))))</f>
        <v>--</v>
      </c>
      <c r="DM7" s="530" t="str">
        <f t="array" ref="DM7">IF(COUNTIF(DA7:DL7,"Error")&gt;0,"Error",
 IF(AND(D7="",COUNTA(E7:CZ7)&gt;0),"Error",
 IF(COUNTIF(E7:CZ7,"D")&gt;0,"DRP",
 IF(OR(SUM(COUNTIF(E7:CZ7,{"P","A","L","E"}))&gt;0,AND(D7&lt;&gt;"",COUNTA(E7:CZ7)=0)),"Active",""))))</f>
        <v>Active</v>
      </c>
      <c r="DN7" s="531"/>
    </row>
    <row r="8" ht="15.95" customHeight="1" spans="2:118" x14ac:dyDescent="0.25">
      <c r="B8" s="471">
        <v>3</v>
      </c>
      <c r="C8" s="532">
        <f>IF('Data Input'!M9="","",'Data Input'!M9)</f>
        <v>2000480423</v>
      </c>
      <c r="D8" s="533" t="str">
        <f>IF('Data Input'!N9="","",'Data Input'!N9)</f>
        <v>BAER, SHANIA PEARL</v>
      </c>
      <c r="E8" s="534"/>
      <c r="F8" s="535"/>
      <c r="G8" s="535"/>
      <c r="H8" s="535"/>
      <c r="I8" s="535"/>
      <c r="J8" s="535"/>
      <c r="K8" s="535"/>
      <c r="L8" s="535"/>
      <c r="M8" s="535"/>
      <c r="N8" s="535"/>
      <c r="O8" s="535"/>
      <c r="P8" s="535"/>
      <c r="Q8" s="535"/>
      <c r="R8" s="535"/>
      <c r="S8" s="535"/>
      <c r="T8" s="535"/>
      <c r="U8" s="535"/>
      <c r="V8" s="535"/>
      <c r="W8" s="535"/>
      <c r="X8" s="535"/>
      <c r="Y8" s="535"/>
      <c r="Z8" s="535"/>
      <c r="AA8" s="535"/>
      <c r="AB8" s="535"/>
      <c r="AC8" s="535"/>
      <c r="AD8" s="535"/>
      <c r="AE8" s="535"/>
      <c r="AF8" s="535"/>
      <c r="AG8" s="535"/>
      <c r="AH8" s="535"/>
      <c r="AI8" s="535"/>
      <c r="AJ8" s="535"/>
      <c r="AK8" s="535"/>
      <c r="AL8" s="535"/>
      <c r="AM8" s="535"/>
      <c r="AN8" s="535"/>
      <c r="AO8" s="535"/>
      <c r="AP8" s="535"/>
      <c r="AQ8" s="535"/>
      <c r="AR8" s="535"/>
      <c r="AS8" s="535"/>
      <c r="AT8" s="535"/>
      <c r="AU8" s="535"/>
      <c r="AV8" s="535"/>
      <c r="AW8" s="535"/>
      <c r="AX8" s="535"/>
      <c r="AY8" s="535"/>
      <c r="AZ8" s="535"/>
      <c r="BA8" s="535"/>
      <c r="BB8" s="536"/>
      <c r="BC8" s="535"/>
      <c r="BD8" s="535"/>
      <c r="BE8" s="535"/>
      <c r="BF8" s="535"/>
      <c r="BG8" s="535"/>
      <c r="BH8" s="535"/>
      <c r="BI8" s="535"/>
      <c r="BJ8" s="535"/>
      <c r="BK8" s="535"/>
      <c r="BL8" s="535"/>
      <c r="BM8" s="535"/>
      <c r="BN8" s="535"/>
      <c r="BO8" s="535"/>
      <c r="BP8" s="535"/>
      <c r="BQ8" s="535"/>
      <c r="BR8" s="535"/>
      <c r="BS8" s="535"/>
      <c r="BT8" s="535"/>
      <c r="BU8" s="535"/>
      <c r="BV8" s="535"/>
      <c r="BW8" s="535"/>
      <c r="BX8" s="535"/>
      <c r="BY8" s="535"/>
      <c r="BZ8" s="535"/>
      <c r="CA8" s="535"/>
      <c r="CB8" s="535"/>
      <c r="CC8" s="535"/>
      <c r="CD8" s="535"/>
      <c r="CE8" s="535"/>
      <c r="CF8" s="535"/>
      <c r="CG8" s="535"/>
      <c r="CH8" s="535"/>
      <c r="CI8" s="535"/>
      <c r="CJ8" s="535"/>
      <c r="CK8" s="535"/>
      <c r="CL8" s="535"/>
      <c r="CM8" s="535"/>
      <c r="CN8" s="535"/>
      <c r="CO8" s="535"/>
      <c r="CP8" s="535"/>
      <c r="CQ8" s="535"/>
      <c r="CR8" s="535"/>
      <c r="CS8" s="535"/>
      <c r="CT8" s="535"/>
      <c r="CU8" s="535"/>
      <c r="CV8" s="535"/>
      <c r="CW8" s="535"/>
      <c r="CX8" s="535"/>
      <c r="CY8" s="535"/>
      <c r="CZ8" s="537"/>
      <c r="DA8" s="538" t="str">
        <f t="array" ref="DA8">IF(D8="","",
 IF($DO$3="Error","Error",
 IF(OR(
 SUM(($E$4:$CZ$4="")*(E8:CZ8&lt;&gt;""))&gt;0,
 SUM(($E$5:$CZ$5="")*(E8:CZ8&lt;&gt;""))&gt;0,
 COUNTA(E8:CZ8)&gt;$DO$3,
 SUMPRODUCT((E8:CZ8&lt;&gt;"")*(ISNA(MATCH(E8:CZ8,{"P","A","L","E","D"},0))))&gt;0),"Error",
 IF(COUNTIFS($E$5:$CZ$5,"T1",E8:CZ8,$DA$5)=0,"--",
 COUNTIFS($E$5:$CZ$5,"T1",E8:CZ8,$DA$5)))))</f>
        <v>--</v>
      </c>
      <c r="DB8" s="539" t="str">
        <f t="array" ref="DB8">IF(D8="","",
 IF($DO$3="Error","Error",
 IF(OR(
 SUM(($E$4:$CZ$4="")*(E8:CZ8&lt;&gt;""))&gt;0,
 SUM(($E$5:$CZ$5="")*(E8:CZ8&lt;&gt;""))&gt;0,
 COUNTA(E8:CZ8)&gt;$DO$3,
 SUMPRODUCT((E8:CZ8&lt;&gt;"")*(ISNA(MATCH(E8:CZ8,{"P","A","L","E","D"},0))))&gt;0),"Error",
 IF(COUNTIFS($E$5:$CZ$5,"T1",E8:CZ8,$DB$5)=0,"--",
 COUNTIFS($E$5:$CZ$5,"T1",E8:CZ8,$DB$5)))))</f>
        <v>--</v>
      </c>
      <c r="DC8" s="539" t="str">
        <f t="array" ref="DC8">IF(D8="","",
 IF($DO$3="Error","Error",
 IF(OR(
 SUM(($E$4:$CZ$4="")*(E8:CZ8&lt;&gt;""))&gt;0,
 SUM(($E$5:$CZ$5="")*(E8:CZ8&lt;&gt;""))&gt;0,
 COUNTA(E8:CZ8)&gt;$DO$3,
 SUMPRODUCT((E8:CZ8&lt;&gt;"")*(ISNA(MATCH(E8:CZ8,{"P","A","L","E","D"},0))))&gt;0),"Error",
 IF(COUNTIFS($E$5:$CZ$5,"T1",E8:CZ8,$DC$5)=0,"--",
 COUNTIFS($E$5:$CZ$5,"T1",E8:CZ8,$DC$5)))))</f>
        <v>--</v>
      </c>
      <c r="DD8" s="540" t="str">
        <f t="array" ref="DD8">IF(D8="","",
 IF($DO$3="Error","Error",
 IF(OR(
 SUM(($E$4:$CZ$4="")*(E8:CZ8&lt;&gt;""))&gt;0,
 SUM(($E$5:$CZ$5="")*(E8:CZ8&lt;&gt;""))&gt;0,
 COUNTA(E8:CZ8)&gt;$DO$3,
 SUMPRODUCT((E8:CZ8&lt;&gt;"")*(ISNA(MATCH(E8:CZ8,{"P","A","L","E","D"},0))))&gt;0),"Error",
 IF(COUNTIFS($E$5:$CZ$5,"T1",E8:CZ8,$DD$5)=0,"--",
 COUNTIFS($E$5:$CZ$5,"T1",E8:CZ8,$DD$5)))))</f>
        <v>--</v>
      </c>
      <c r="DE8" s="541" t="str">
        <f t="array" ref="DE8">IF(D8="","",
 IF($DO$3="Error","Error",
 IF(OR(
 SUM(($E$4:$CZ$4="")*(E8:CZ8&lt;&gt;""))&gt;0,
 SUM(($E$5:$CZ$5="")*(E8:CZ8&lt;&gt;""))&gt;0,
 COUNTA(E8:CZ8)&gt;$DO$3,
 SUMPRODUCT((E8:CZ8&lt;&gt;"")*(ISNA(MATCH(E8:CZ8,{"P","A","L","E","D"},0))))&gt;0),"Error",
 IF(COUNTIFS($E$5:$CZ$5,"T2",E8:CZ8,$DE$5)=0,"--",
 COUNTIFS($E$5:$CZ$5,"T2",E8:CZ8,$DE$5)))))</f>
        <v>--</v>
      </c>
      <c r="DF8" s="539" t="str">
        <f t="array" ref="DF8">IF(D8="","",
 IF($DO$3="Error","Error",
 IF(OR(
 SUM(($E$4:$CZ$4="")*(E8:CZ8&lt;&gt;""))&gt;0,
 SUM(($E$5:$CZ$5="")*(E8:CZ8&lt;&gt;""))&gt;0,
 COUNTA(E8:CZ8)&gt;$DO$3,
 SUMPRODUCT((E8:CZ8&lt;&gt;"")*(ISNA(MATCH(E8:CZ8,{"P","A","L","E","D"},0))))&gt;0),"Error",
 IF(COUNTIFS($E$5:$CZ$5,"T2",E8:CZ8,$DF$5)=0,"--",
 COUNTIFS($E$5:$CZ$5,"T2",E8:CZ8,$DF$5)))))</f>
        <v>--</v>
      </c>
      <c r="DG8" s="539" t="str">
        <f t="array" ref="DG8">IF(D8="","",
 IF($DO$3="Error","Error",
 IF(OR(
 SUM(($E$4:$CZ$4="")*(E8:CZ8&lt;&gt;""))&gt;0,
 SUM(($E$5:$CZ$5="")*(E8:CZ8&lt;&gt;""))&gt;0,
 COUNTA(E8:CZ8)&gt;$DO$3,
 SUMPRODUCT((E8:CZ8&lt;&gt;"")*(ISNA(MATCH(E8:CZ8,{"P","A","L","E","D"},0))))&gt;0),"Error",
 IF(COUNTIFS($E$5:$CZ$5,"T2",E8:CZ8,$DG$5)=0,"--",
 COUNTIFS($E$5:$CZ$5,"T2",E8:CZ8,$DG$5)))))</f>
        <v>--</v>
      </c>
      <c r="DH8" s="542" t="str">
        <f t="array" ref="DH8">IF(D8="","",
 IF($DO$3="Error","Error",
 IF(OR(
 SUM(($E$4:$CZ$4="")*(E8:CZ8&lt;&gt;""))&gt;0,
 SUM(($E$5:$CZ$5="")*(E8:CZ8&lt;&gt;""))&gt;0,
 COUNTA(E8:CZ8)&gt;$DO$3,
 SUMPRODUCT((E8:CZ8&lt;&gt;"")*(ISNA(MATCH(E8:CZ8,{"P","A","L","E","D"},0))))&gt;0),"Error",
 IF(COUNTIFS($E$5:$CZ$5,"T2",E8:CZ8,$DH$5)=0,"--",
 COUNTIFS($E$5:$CZ$5,"T2",E8:CZ8,$DH$5)))))</f>
        <v>--</v>
      </c>
      <c r="DI8" s="543" t="str">
        <f t="array" ref="DI8">IF(D8="","",
 IF($DO$3="Error","Error",
 IF(OR(
 SUM(($E$4:$CZ$4="")*(E8:CZ8&lt;&gt;""))&gt;0,
 SUM(($E$5:$CZ$5="")*(E8:CZ8&lt;&gt;""))&gt;0,
 COUNTA(E8:CZ8)&gt;$DO$3,
 SUMPRODUCT((E8:CZ8&lt;&gt;"")*(ISNA(MATCH(E8:CZ8,{"P","A","L","E","D"},0))))&gt;0),"Error",
 IF(COUNTIFS($E$5:$CZ$5,"T3",E8:CZ8,$DI$5)=0,"--",
 COUNTIFS($E$5:$CZ$5,"T3",E8:CZ8,$DI$5)))))</f>
        <v>--</v>
      </c>
      <c r="DJ8" s="539" t="str">
        <f t="array" ref="DJ8">IF(D8="","",
 IF($DO$3="Error","Error",
 IF(OR(
 SUM(($E$4:$CZ$4="")*(E8:CZ8&lt;&gt;""))&gt;0,
 SUM(($E$5:$CZ$5="")*(E8:CZ8&lt;&gt;""))&gt;0,
 COUNTA(E8:CZ8)&gt;$DO$3,
 SUMPRODUCT((E8:CZ8&lt;&gt;"")*(ISNA(MATCH(E8:CZ8,{"P","A","L","E","D"},0))))&gt;0),"Error",
 IF(COUNTIFS($E$5:$CZ$5,"T3",E8:CZ8,$DJ$5)=0,"--",
 COUNTIFS($E$5:$CZ$5,"T3",E8:CZ8,$DJ$5)))))</f>
        <v>--</v>
      </c>
      <c r="DK8" s="539" t="str">
        <f t="array" ref="DK8">IF(D8="","",
 IF($DO$3="Error","Error",
 IF(OR(
 SUM(($E$4:$CZ$4="")*(E8:CZ8&lt;&gt;""))&gt;0,
 SUM(($E$5:$CZ$5="")*(E8:CZ8&lt;&gt;""))&gt;0,
 COUNTA(E8:CZ8)&gt;$DO$3,
 SUMPRODUCT((E8:CZ8&lt;&gt;"")*(ISNA(MATCH(E8:CZ8,{"P","A","L","E","D"},0))))&gt;0),"Error",
 IF(COUNTIFS($E$5:$CZ$5,"T3",E8:CZ8,$DK$5)=0,"--",
 COUNTIFS($E$5:$CZ$5,"T3",E8:CZ8,$DK$5)))))</f>
        <v>--</v>
      </c>
      <c r="DL8" s="540" t="str">
        <f t="array" ref="DL8">IF(D8="","",
 IF($DO$3="Error","Error",
 IF(OR(
 SUM(($E$4:$CZ$4="")*(E8:CZ8&lt;&gt;""))&gt;0,
 SUM(($E$5:$CZ$5="")*(E8:CZ8&lt;&gt;""))&gt;0,
 COUNTA(E8:CZ8)&gt;$DO$3,
 SUMPRODUCT((E8:CZ8&lt;&gt;"")*(ISNA(MATCH(E8:CZ8,{"P","A","L","E","D"},0))))&gt;0),"Error",
 IF(COUNTIFS($E$5:$CZ$5,"T3",E8:CZ8,$DL$5)=0,"--",
 COUNTIFS($E$5:$CZ$5,"T3",E8:CZ8,$DL$5)))))</f>
        <v>--</v>
      </c>
      <c r="DM8" s="530" t="str">
        <f t="array" ref="DM8">IF(COUNTIF(DA8:DL8,"Error")&gt;0,"Error",
 IF(AND(D8="",COUNTA(E8:CZ8)&gt;0),"Error",
 IF(COUNTIF(E8:CZ8,"D")&gt;0,"DRP",
 IF(OR(SUM(COUNTIF(E8:CZ8,{"P","A","L","E"}))&gt;0,AND(D8&lt;&gt;"",COUNTA(E8:CZ8)=0)),"Active",""))))</f>
        <v>Active</v>
      </c>
      <c r="DN8" s="531"/>
    </row>
    <row r="9" ht="15.95" customHeight="1" spans="2:118" x14ac:dyDescent="0.25">
      <c r="B9" s="471">
        <v>4</v>
      </c>
      <c r="C9" s="532">
        <f>IF('Data Input'!M10="","",'Data Input'!M10)</f>
        <v>2000487858</v>
      </c>
      <c r="D9" s="533" t="str">
        <f>IF('Data Input'!N10="","",'Data Input'!N10)</f>
        <v>BAGAPORO, RYEANNA MHERYL</v>
      </c>
      <c r="E9" s="534"/>
      <c r="F9" s="535"/>
      <c r="G9" s="535"/>
      <c r="H9" s="535"/>
      <c r="I9" s="535"/>
      <c r="J9" s="535"/>
      <c r="K9" s="535"/>
      <c r="L9" s="535"/>
      <c r="M9" s="535"/>
      <c r="N9" s="535"/>
      <c r="O9" s="535"/>
      <c r="P9" s="535"/>
      <c r="Q9" s="535"/>
      <c r="R9" s="535"/>
      <c r="S9" s="535"/>
      <c r="T9" s="535"/>
      <c r="U9" s="535"/>
      <c r="V9" s="535"/>
      <c r="W9" s="535"/>
      <c r="X9" s="535"/>
      <c r="Y9" s="535"/>
      <c r="Z9" s="535"/>
      <c r="AA9" s="535"/>
      <c r="AB9" s="535"/>
      <c r="AC9" s="535"/>
      <c r="AD9" s="535"/>
      <c r="AE9" s="535"/>
      <c r="AF9" s="535"/>
      <c r="AG9" s="535"/>
      <c r="AH9" s="535"/>
      <c r="AI9" s="535"/>
      <c r="AJ9" s="535"/>
      <c r="AK9" s="535"/>
      <c r="AL9" s="535"/>
      <c r="AM9" s="535"/>
      <c r="AN9" s="535"/>
      <c r="AO9" s="535"/>
      <c r="AP9" s="535"/>
      <c r="AQ9" s="535"/>
      <c r="AR9" s="535"/>
      <c r="AS9" s="535"/>
      <c r="AT9" s="535"/>
      <c r="AU9" s="535"/>
      <c r="AV9" s="535"/>
      <c r="AW9" s="535"/>
      <c r="AX9" s="535"/>
      <c r="AY9" s="535"/>
      <c r="AZ9" s="535"/>
      <c r="BA9" s="535"/>
      <c r="BB9" s="536"/>
      <c r="BC9" s="535"/>
      <c r="BD9" s="535"/>
      <c r="BE9" s="535"/>
      <c r="BF9" s="535"/>
      <c r="BG9" s="535"/>
      <c r="BH9" s="535"/>
      <c r="BI9" s="535"/>
      <c r="BJ9" s="535"/>
      <c r="BK9" s="535"/>
      <c r="BL9" s="535"/>
      <c r="BM9" s="535"/>
      <c r="BN9" s="535"/>
      <c r="BO9" s="535"/>
      <c r="BP9" s="535"/>
      <c r="BQ9" s="535"/>
      <c r="BR9" s="535"/>
      <c r="BS9" s="535"/>
      <c r="BT9" s="535"/>
      <c r="BU9" s="535"/>
      <c r="BV9" s="535"/>
      <c r="BW9" s="535"/>
      <c r="BX9" s="535"/>
      <c r="BY9" s="535"/>
      <c r="BZ9" s="535"/>
      <c r="CA9" s="535"/>
      <c r="CB9" s="535"/>
      <c r="CC9" s="535"/>
      <c r="CD9" s="535"/>
      <c r="CE9" s="535"/>
      <c r="CF9" s="535"/>
      <c r="CG9" s="535"/>
      <c r="CH9" s="535"/>
      <c r="CI9" s="535"/>
      <c r="CJ9" s="535"/>
      <c r="CK9" s="535"/>
      <c r="CL9" s="535"/>
      <c r="CM9" s="535"/>
      <c r="CN9" s="535"/>
      <c r="CO9" s="535"/>
      <c r="CP9" s="535"/>
      <c r="CQ9" s="535"/>
      <c r="CR9" s="535"/>
      <c r="CS9" s="535"/>
      <c r="CT9" s="535"/>
      <c r="CU9" s="535"/>
      <c r="CV9" s="535"/>
      <c r="CW9" s="535"/>
      <c r="CX9" s="535"/>
      <c r="CY9" s="535"/>
      <c r="CZ9" s="537"/>
      <c r="DA9" s="538" t="str">
        <f t="array" ref="DA9">IF(D9="","",
 IF($DO$3="Error","Error",
 IF(OR(
 SUM(($E$4:$CZ$4="")*(E9:CZ9&lt;&gt;""))&gt;0,
 SUM(($E$5:$CZ$5="")*(E9:CZ9&lt;&gt;""))&gt;0,
 COUNTA(E9:CZ9)&gt;$DO$3,
 SUMPRODUCT((E9:CZ9&lt;&gt;"")*(ISNA(MATCH(E9:CZ9,{"P","A","L","E","D"},0))))&gt;0),"Error",
 IF(COUNTIFS($E$5:$CZ$5,"T1",E9:CZ9,$DA$5)=0,"--",
 COUNTIFS($E$5:$CZ$5,"T1",E9:CZ9,$DA$5)))))</f>
        <v>--</v>
      </c>
      <c r="DB9" s="539" t="str">
        <f t="array" ref="DB9">IF(D9="","",
 IF($DO$3="Error","Error",
 IF(OR(
 SUM(($E$4:$CZ$4="")*(E9:CZ9&lt;&gt;""))&gt;0,
 SUM(($E$5:$CZ$5="")*(E9:CZ9&lt;&gt;""))&gt;0,
 COUNTA(E9:CZ9)&gt;$DO$3,
 SUMPRODUCT((E9:CZ9&lt;&gt;"")*(ISNA(MATCH(E9:CZ9,{"P","A","L","E","D"},0))))&gt;0),"Error",
 IF(COUNTIFS($E$5:$CZ$5,"T1",E9:CZ9,$DB$5)=0,"--",
 COUNTIFS($E$5:$CZ$5,"T1",E9:CZ9,$DB$5)))))</f>
        <v>--</v>
      </c>
      <c r="DC9" s="539" t="str">
        <f t="array" ref="DC9">IF(D9="","",
 IF($DO$3="Error","Error",
 IF(OR(
 SUM(($E$4:$CZ$4="")*(E9:CZ9&lt;&gt;""))&gt;0,
 SUM(($E$5:$CZ$5="")*(E9:CZ9&lt;&gt;""))&gt;0,
 COUNTA(E9:CZ9)&gt;$DO$3,
 SUMPRODUCT((E9:CZ9&lt;&gt;"")*(ISNA(MATCH(E9:CZ9,{"P","A","L","E","D"},0))))&gt;0),"Error",
 IF(COUNTIFS($E$5:$CZ$5,"T1",E9:CZ9,$DC$5)=0,"--",
 COUNTIFS($E$5:$CZ$5,"T1",E9:CZ9,$DC$5)))))</f>
        <v>--</v>
      </c>
      <c r="DD9" s="540" t="str">
        <f t="array" ref="DD9">IF(D9="","",
 IF($DO$3="Error","Error",
 IF(OR(
 SUM(($E$4:$CZ$4="")*(E9:CZ9&lt;&gt;""))&gt;0,
 SUM(($E$5:$CZ$5="")*(E9:CZ9&lt;&gt;""))&gt;0,
 COUNTA(E9:CZ9)&gt;$DO$3,
 SUMPRODUCT((E9:CZ9&lt;&gt;"")*(ISNA(MATCH(E9:CZ9,{"P","A","L","E","D"},0))))&gt;0),"Error",
 IF(COUNTIFS($E$5:$CZ$5,"T1",E9:CZ9,$DD$5)=0,"--",
 COUNTIFS($E$5:$CZ$5,"T1",E9:CZ9,$DD$5)))))</f>
        <v>--</v>
      </c>
      <c r="DE9" s="541" t="str">
        <f t="array" ref="DE9">IF(D9="","",
 IF($DO$3="Error","Error",
 IF(OR(
 SUM(($E$4:$CZ$4="")*(E9:CZ9&lt;&gt;""))&gt;0,
 SUM(($E$5:$CZ$5="")*(E9:CZ9&lt;&gt;""))&gt;0,
 COUNTA(E9:CZ9)&gt;$DO$3,
 SUMPRODUCT((E9:CZ9&lt;&gt;"")*(ISNA(MATCH(E9:CZ9,{"P","A","L","E","D"},0))))&gt;0),"Error",
 IF(COUNTIFS($E$5:$CZ$5,"T2",E9:CZ9,$DE$5)=0,"--",
 COUNTIFS($E$5:$CZ$5,"T2",E9:CZ9,$DE$5)))))</f>
        <v>--</v>
      </c>
      <c r="DF9" s="539" t="str">
        <f t="array" ref="DF9">IF(D9="","",
 IF($DO$3="Error","Error",
 IF(OR(
 SUM(($E$4:$CZ$4="")*(E9:CZ9&lt;&gt;""))&gt;0,
 SUM(($E$5:$CZ$5="")*(E9:CZ9&lt;&gt;""))&gt;0,
 COUNTA(E9:CZ9)&gt;$DO$3,
 SUMPRODUCT((E9:CZ9&lt;&gt;"")*(ISNA(MATCH(E9:CZ9,{"P","A","L","E","D"},0))))&gt;0),"Error",
 IF(COUNTIFS($E$5:$CZ$5,"T2",E9:CZ9,$DF$5)=0,"--",
 COUNTIFS($E$5:$CZ$5,"T2",E9:CZ9,$DF$5)))))</f>
        <v>--</v>
      </c>
      <c r="DG9" s="539" t="str">
        <f t="array" ref="DG9">IF(D9="","",
 IF($DO$3="Error","Error",
 IF(OR(
 SUM(($E$4:$CZ$4="")*(E9:CZ9&lt;&gt;""))&gt;0,
 SUM(($E$5:$CZ$5="")*(E9:CZ9&lt;&gt;""))&gt;0,
 COUNTA(E9:CZ9)&gt;$DO$3,
 SUMPRODUCT((E9:CZ9&lt;&gt;"")*(ISNA(MATCH(E9:CZ9,{"P","A","L","E","D"},0))))&gt;0),"Error",
 IF(COUNTIFS($E$5:$CZ$5,"T2",E9:CZ9,$DG$5)=0,"--",
 COUNTIFS($E$5:$CZ$5,"T2",E9:CZ9,$DG$5)))))</f>
        <v>--</v>
      </c>
      <c r="DH9" s="542" t="str">
        <f t="array" ref="DH9">IF(D9="","",
 IF($DO$3="Error","Error",
 IF(OR(
 SUM(($E$4:$CZ$4="")*(E9:CZ9&lt;&gt;""))&gt;0,
 SUM(($E$5:$CZ$5="")*(E9:CZ9&lt;&gt;""))&gt;0,
 COUNTA(E9:CZ9)&gt;$DO$3,
 SUMPRODUCT((E9:CZ9&lt;&gt;"")*(ISNA(MATCH(E9:CZ9,{"P","A","L","E","D"},0))))&gt;0),"Error",
 IF(COUNTIFS($E$5:$CZ$5,"T2",E9:CZ9,$DH$5)=0,"--",
 COUNTIFS($E$5:$CZ$5,"T2",E9:CZ9,$DH$5)))))</f>
        <v>--</v>
      </c>
      <c r="DI9" s="543" t="str">
        <f t="array" ref="DI9">IF(D9="","",
 IF($DO$3="Error","Error",
 IF(OR(
 SUM(($E$4:$CZ$4="")*(E9:CZ9&lt;&gt;""))&gt;0,
 SUM(($E$5:$CZ$5="")*(E9:CZ9&lt;&gt;""))&gt;0,
 COUNTA(E9:CZ9)&gt;$DO$3,
 SUMPRODUCT((E9:CZ9&lt;&gt;"")*(ISNA(MATCH(E9:CZ9,{"P","A","L","E","D"},0))))&gt;0),"Error",
 IF(COUNTIFS($E$5:$CZ$5,"T3",E9:CZ9,$DI$5)=0,"--",
 COUNTIFS($E$5:$CZ$5,"T3",E9:CZ9,$DI$5)))))</f>
        <v>--</v>
      </c>
      <c r="DJ9" s="539" t="str">
        <f t="array" ref="DJ9">IF(D9="","",
 IF($DO$3="Error","Error",
 IF(OR(
 SUM(($E$4:$CZ$4="")*(E9:CZ9&lt;&gt;""))&gt;0,
 SUM(($E$5:$CZ$5="")*(E9:CZ9&lt;&gt;""))&gt;0,
 COUNTA(E9:CZ9)&gt;$DO$3,
 SUMPRODUCT((E9:CZ9&lt;&gt;"")*(ISNA(MATCH(E9:CZ9,{"P","A","L","E","D"},0))))&gt;0),"Error",
 IF(COUNTIFS($E$5:$CZ$5,"T3",E9:CZ9,$DJ$5)=0,"--",
 COUNTIFS($E$5:$CZ$5,"T3",E9:CZ9,$DJ$5)))))</f>
        <v>--</v>
      </c>
      <c r="DK9" s="539" t="str">
        <f t="array" ref="DK9">IF(D9="","",
 IF($DO$3="Error","Error",
 IF(OR(
 SUM(($E$4:$CZ$4="")*(E9:CZ9&lt;&gt;""))&gt;0,
 SUM(($E$5:$CZ$5="")*(E9:CZ9&lt;&gt;""))&gt;0,
 COUNTA(E9:CZ9)&gt;$DO$3,
 SUMPRODUCT((E9:CZ9&lt;&gt;"")*(ISNA(MATCH(E9:CZ9,{"P","A","L","E","D"},0))))&gt;0),"Error",
 IF(COUNTIFS($E$5:$CZ$5,"T3",E9:CZ9,$DK$5)=0,"--",
 COUNTIFS($E$5:$CZ$5,"T3",E9:CZ9,$DK$5)))))</f>
        <v>--</v>
      </c>
      <c r="DL9" s="540" t="str">
        <f t="array" ref="DL9">IF(D9="","",
 IF($DO$3="Error","Error",
 IF(OR(
 SUM(($E$4:$CZ$4="")*(E9:CZ9&lt;&gt;""))&gt;0,
 SUM(($E$5:$CZ$5="")*(E9:CZ9&lt;&gt;""))&gt;0,
 COUNTA(E9:CZ9)&gt;$DO$3,
 SUMPRODUCT((E9:CZ9&lt;&gt;"")*(ISNA(MATCH(E9:CZ9,{"P","A","L","E","D"},0))))&gt;0),"Error",
 IF(COUNTIFS($E$5:$CZ$5,"T3",E9:CZ9,$DL$5)=0,"--",
 COUNTIFS($E$5:$CZ$5,"T3",E9:CZ9,$DL$5)))))</f>
        <v>--</v>
      </c>
      <c r="DM9" s="530" t="str">
        <f t="array" ref="DM9">IF(COUNTIF(DA9:DL9,"Error")&gt;0,"Error",
 IF(AND(D9="",COUNTA(E9:CZ9)&gt;0),"Error",
 IF(COUNTIF(E9:CZ9,"D")&gt;0,"DRP",
 IF(OR(SUM(COUNTIF(E9:CZ9,{"P","A","L","E"}))&gt;0,AND(D9&lt;&gt;"",COUNTA(E9:CZ9)=0)),"Active",""))))</f>
        <v>Active</v>
      </c>
      <c r="DN9" s="531"/>
    </row>
    <row r="10" ht="15.95" customHeight="1" spans="2:118" x14ac:dyDescent="0.25">
      <c r="B10" s="471">
        <v>5</v>
      </c>
      <c r="C10" s="532">
        <f>IF('Data Input'!M11="","",'Data Input'!M11)</f>
        <v>2000497598</v>
      </c>
      <c r="D10" s="533" t="str">
        <f>IF('Data Input'!N11="","",'Data Input'!N11)</f>
        <v>BELARMINO, EASEAN</v>
      </c>
      <c r="E10" s="534"/>
      <c r="F10" s="535"/>
      <c r="G10" s="535"/>
      <c r="H10" s="535"/>
      <c r="I10" s="535"/>
      <c r="J10" s="535"/>
      <c r="K10" s="535"/>
      <c r="L10" s="535"/>
      <c r="M10" s="535"/>
      <c r="N10" s="535"/>
      <c r="O10" s="535"/>
      <c r="P10" s="535"/>
      <c r="Q10" s="535"/>
      <c r="R10" s="535"/>
      <c r="S10" s="535"/>
      <c r="T10" s="535"/>
      <c r="U10" s="535"/>
      <c r="V10" s="535"/>
      <c r="W10" s="535"/>
      <c r="X10" s="535"/>
      <c r="Y10" s="535"/>
      <c r="Z10" s="535"/>
      <c r="AA10" s="535"/>
      <c r="AB10" s="535"/>
      <c r="AC10" s="535"/>
      <c r="AD10" s="535"/>
      <c r="AE10" s="535"/>
      <c r="AF10" s="535"/>
      <c r="AG10" s="535"/>
      <c r="AH10" s="535"/>
      <c r="AI10" s="535"/>
      <c r="AJ10" s="535"/>
      <c r="AK10" s="535"/>
      <c r="AL10" s="535"/>
      <c r="AM10" s="535"/>
      <c r="AN10" s="535"/>
      <c r="AO10" s="535"/>
      <c r="AP10" s="535"/>
      <c r="AQ10" s="535"/>
      <c r="AR10" s="535"/>
      <c r="AS10" s="535"/>
      <c r="AT10" s="535"/>
      <c r="AU10" s="535"/>
      <c r="AV10" s="535"/>
      <c r="AW10" s="535"/>
      <c r="AX10" s="535"/>
      <c r="AY10" s="535"/>
      <c r="AZ10" s="535"/>
      <c r="BA10" s="535"/>
      <c r="BB10" s="536"/>
      <c r="BC10" s="535"/>
      <c r="BD10" s="535"/>
      <c r="BE10" s="535"/>
      <c r="BF10" s="535"/>
      <c r="BG10" s="535"/>
      <c r="BH10" s="535"/>
      <c r="BI10" s="535"/>
      <c r="BJ10" s="535"/>
      <c r="BK10" s="535"/>
      <c r="BL10" s="535"/>
      <c r="BM10" s="535"/>
      <c r="BN10" s="535"/>
      <c r="BO10" s="535"/>
      <c r="BP10" s="535"/>
      <c r="BQ10" s="535"/>
      <c r="BR10" s="535"/>
      <c r="BS10" s="535"/>
      <c r="BT10" s="535"/>
      <c r="BU10" s="535"/>
      <c r="BV10" s="535"/>
      <c r="BW10" s="535"/>
      <c r="BX10" s="535"/>
      <c r="BY10" s="535"/>
      <c r="BZ10" s="535"/>
      <c r="CA10" s="535"/>
      <c r="CB10" s="535"/>
      <c r="CC10" s="535"/>
      <c r="CD10" s="535"/>
      <c r="CE10" s="535"/>
      <c r="CF10" s="535"/>
      <c r="CG10" s="535"/>
      <c r="CH10" s="535"/>
      <c r="CI10" s="535"/>
      <c r="CJ10" s="535"/>
      <c r="CK10" s="535"/>
      <c r="CL10" s="535"/>
      <c r="CM10" s="535"/>
      <c r="CN10" s="535"/>
      <c r="CO10" s="535"/>
      <c r="CP10" s="535"/>
      <c r="CQ10" s="535"/>
      <c r="CR10" s="535"/>
      <c r="CS10" s="535"/>
      <c r="CT10" s="535"/>
      <c r="CU10" s="535"/>
      <c r="CV10" s="535"/>
      <c r="CW10" s="535"/>
      <c r="CX10" s="535"/>
      <c r="CY10" s="535"/>
      <c r="CZ10" s="537"/>
      <c r="DA10" s="538" t="str">
        <f t="array" ref="DA10">IF(D10="","",
 IF($DO$3="Error","Error",
 IF(OR(
 SUM(($E$4:$CZ$4="")*(E10:CZ10&lt;&gt;""))&gt;0,
 SUM(($E$5:$CZ$5="")*(E10:CZ10&lt;&gt;""))&gt;0,
 COUNTA(E10:CZ10)&gt;$DO$3,
 SUMPRODUCT((E10:CZ10&lt;&gt;"")*(ISNA(MATCH(E10:CZ10,{"P","A","L","E","D"},0))))&gt;0),"Error",
 IF(COUNTIFS($E$5:$CZ$5,"T1",E10:CZ10,$DA$5)=0,"--",
 COUNTIFS($E$5:$CZ$5,"T1",E10:CZ10,$DA$5)))))</f>
        <v>--</v>
      </c>
      <c r="DB10" s="539" t="str">
        <f t="array" ref="DB10">IF(D10="","",
 IF($DO$3="Error","Error",
 IF(OR(
 SUM(($E$4:$CZ$4="")*(E10:CZ10&lt;&gt;""))&gt;0,
 SUM(($E$5:$CZ$5="")*(E10:CZ10&lt;&gt;""))&gt;0,
 COUNTA(E10:CZ10)&gt;$DO$3,
 SUMPRODUCT((E10:CZ10&lt;&gt;"")*(ISNA(MATCH(E10:CZ10,{"P","A","L","E","D"},0))))&gt;0),"Error",
 IF(COUNTIFS($E$5:$CZ$5,"T1",E10:CZ10,$DB$5)=0,"--",
 COUNTIFS($E$5:$CZ$5,"T1",E10:CZ10,$DB$5)))))</f>
        <v>--</v>
      </c>
      <c r="DC10" s="539" t="str">
        <f t="array" ref="DC10">IF(D10="","",
 IF($DO$3="Error","Error",
 IF(OR(
 SUM(($E$4:$CZ$4="")*(E10:CZ10&lt;&gt;""))&gt;0,
 SUM(($E$5:$CZ$5="")*(E10:CZ10&lt;&gt;""))&gt;0,
 COUNTA(E10:CZ10)&gt;$DO$3,
 SUMPRODUCT((E10:CZ10&lt;&gt;"")*(ISNA(MATCH(E10:CZ10,{"P","A","L","E","D"},0))))&gt;0),"Error",
 IF(COUNTIFS($E$5:$CZ$5,"T1",E10:CZ10,$DC$5)=0,"--",
 COUNTIFS($E$5:$CZ$5,"T1",E10:CZ10,$DC$5)))))</f>
        <v>--</v>
      </c>
      <c r="DD10" s="540" t="str">
        <f t="array" ref="DD10">IF(D10="","",
 IF($DO$3="Error","Error",
 IF(OR(
 SUM(($E$4:$CZ$4="")*(E10:CZ10&lt;&gt;""))&gt;0,
 SUM(($E$5:$CZ$5="")*(E10:CZ10&lt;&gt;""))&gt;0,
 COUNTA(E10:CZ10)&gt;$DO$3,
 SUMPRODUCT((E10:CZ10&lt;&gt;"")*(ISNA(MATCH(E10:CZ10,{"P","A","L","E","D"},0))))&gt;0),"Error",
 IF(COUNTIFS($E$5:$CZ$5,"T1",E10:CZ10,$DD$5)=0,"--",
 COUNTIFS($E$5:$CZ$5,"T1",E10:CZ10,$DD$5)))))</f>
        <v>--</v>
      </c>
      <c r="DE10" s="541" t="str">
        <f t="array" ref="DE10">IF(D10="","",
 IF($DO$3="Error","Error",
 IF(OR(
 SUM(($E$4:$CZ$4="")*(E10:CZ10&lt;&gt;""))&gt;0,
 SUM(($E$5:$CZ$5="")*(E10:CZ10&lt;&gt;""))&gt;0,
 COUNTA(E10:CZ10)&gt;$DO$3,
 SUMPRODUCT((E10:CZ10&lt;&gt;"")*(ISNA(MATCH(E10:CZ10,{"P","A","L","E","D"},0))))&gt;0),"Error",
 IF(COUNTIFS($E$5:$CZ$5,"T2",E10:CZ10,$DE$5)=0,"--",
 COUNTIFS($E$5:$CZ$5,"T2",E10:CZ10,$DE$5)))))</f>
        <v>--</v>
      </c>
      <c r="DF10" s="539" t="str">
        <f t="array" ref="DF10">IF(D10="","",
 IF($DO$3="Error","Error",
 IF(OR(
 SUM(($E$4:$CZ$4="")*(E10:CZ10&lt;&gt;""))&gt;0,
 SUM(($E$5:$CZ$5="")*(E10:CZ10&lt;&gt;""))&gt;0,
 COUNTA(E10:CZ10)&gt;$DO$3,
 SUMPRODUCT((E10:CZ10&lt;&gt;"")*(ISNA(MATCH(E10:CZ10,{"P","A","L","E","D"},0))))&gt;0),"Error",
 IF(COUNTIFS($E$5:$CZ$5,"T2",E10:CZ10,$DF$5)=0,"--",
 COUNTIFS($E$5:$CZ$5,"T2",E10:CZ10,$DF$5)))))</f>
        <v>--</v>
      </c>
      <c r="DG10" s="539" t="str">
        <f t="array" ref="DG10">IF(D10="","",
 IF($DO$3="Error","Error",
 IF(OR(
 SUM(($E$4:$CZ$4="")*(E10:CZ10&lt;&gt;""))&gt;0,
 SUM(($E$5:$CZ$5="")*(E10:CZ10&lt;&gt;""))&gt;0,
 COUNTA(E10:CZ10)&gt;$DO$3,
 SUMPRODUCT((E10:CZ10&lt;&gt;"")*(ISNA(MATCH(E10:CZ10,{"P","A","L","E","D"},0))))&gt;0),"Error",
 IF(COUNTIFS($E$5:$CZ$5,"T2",E10:CZ10,$DG$5)=0,"--",
 COUNTIFS($E$5:$CZ$5,"T2",E10:CZ10,$DG$5)))))</f>
        <v>--</v>
      </c>
      <c r="DH10" s="542" t="str">
        <f t="array" ref="DH10">IF(D10="","",
 IF($DO$3="Error","Error",
 IF(OR(
 SUM(($E$4:$CZ$4="")*(E10:CZ10&lt;&gt;""))&gt;0,
 SUM(($E$5:$CZ$5="")*(E10:CZ10&lt;&gt;""))&gt;0,
 COUNTA(E10:CZ10)&gt;$DO$3,
 SUMPRODUCT((E10:CZ10&lt;&gt;"")*(ISNA(MATCH(E10:CZ10,{"P","A","L","E","D"},0))))&gt;0),"Error",
 IF(COUNTIFS($E$5:$CZ$5,"T2",E10:CZ10,$DH$5)=0,"--",
 COUNTIFS($E$5:$CZ$5,"T2",E10:CZ10,$DH$5)))))</f>
        <v>--</v>
      </c>
      <c r="DI10" s="543" t="str">
        <f t="array" ref="DI10">IF(D10="","",
 IF($DO$3="Error","Error",
 IF(OR(
 SUM(($E$4:$CZ$4="")*(E10:CZ10&lt;&gt;""))&gt;0,
 SUM(($E$5:$CZ$5="")*(E10:CZ10&lt;&gt;""))&gt;0,
 COUNTA(E10:CZ10)&gt;$DO$3,
 SUMPRODUCT((E10:CZ10&lt;&gt;"")*(ISNA(MATCH(E10:CZ10,{"P","A","L","E","D"},0))))&gt;0),"Error",
 IF(COUNTIFS($E$5:$CZ$5,"T3",E10:CZ10,$DI$5)=0,"--",
 COUNTIFS($E$5:$CZ$5,"T3",E10:CZ10,$DI$5)))))</f>
        <v>--</v>
      </c>
      <c r="DJ10" s="539" t="str">
        <f t="array" ref="DJ10">IF(D10="","",
 IF($DO$3="Error","Error",
 IF(OR(
 SUM(($E$4:$CZ$4="")*(E10:CZ10&lt;&gt;""))&gt;0,
 SUM(($E$5:$CZ$5="")*(E10:CZ10&lt;&gt;""))&gt;0,
 COUNTA(E10:CZ10)&gt;$DO$3,
 SUMPRODUCT((E10:CZ10&lt;&gt;"")*(ISNA(MATCH(E10:CZ10,{"P","A","L","E","D"},0))))&gt;0),"Error",
 IF(COUNTIFS($E$5:$CZ$5,"T3",E10:CZ10,$DJ$5)=0,"--",
 COUNTIFS($E$5:$CZ$5,"T3",E10:CZ10,$DJ$5)))))</f>
        <v>--</v>
      </c>
      <c r="DK10" s="539" t="str">
        <f t="array" ref="DK10">IF(D10="","",
 IF($DO$3="Error","Error",
 IF(OR(
 SUM(($E$4:$CZ$4="")*(E10:CZ10&lt;&gt;""))&gt;0,
 SUM(($E$5:$CZ$5="")*(E10:CZ10&lt;&gt;""))&gt;0,
 COUNTA(E10:CZ10)&gt;$DO$3,
 SUMPRODUCT((E10:CZ10&lt;&gt;"")*(ISNA(MATCH(E10:CZ10,{"P","A","L","E","D"},0))))&gt;0),"Error",
 IF(COUNTIFS($E$5:$CZ$5,"T3",E10:CZ10,$DK$5)=0,"--",
 COUNTIFS($E$5:$CZ$5,"T3",E10:CZ10,$DK$5)))))</f>
        <v>--</v>
      </c>
      <c r="DL10" s="540" t="str">
        <f t="array" ref="DL10">IF(D10="","",
 IF($DO$3="Error","Error",
 IF(OR(
 SUM(($E$4:$CZ$4="")*(E10:CZ10&lt;&gt;""))&gt;0,
 SUM(($E$5:$CZ$5="")*(E10:CZ10&lt;&gt;""))&gt;0,
 COUNTA(E10:CZ10)&gt;$DO$3,
 SUMPRODUCT((E10:CZ10&lt;&gt;"")*(ISNA(MATCH(E10:CZ10,{"P","A","L","E","D"},0))))&gt;0),"Error",
 IF(COUNTIFS($E$5:$CZ$5,"T3",E10:CZ10,$DL$5)=0,"--",
 COUNTIFS($E$5:$CZ$5,"T3",E10:CZ10,$DL$5)))))</f>
        <v>--</v>
      </c>
      <c r="DM10" s="530" t="str">
        <f t="array" ref="DM10">IF(COUNTIF(DA10:DL10,"Error")&gt;0,"Error",
 IF(AND(D10="",COUNTA(E10:CZ10)&gt;0),"Error",
 IF(COUNTIF(E10:CZ10,"D")&gt;0,"DRP",
 IF(OR(SUM(COUNTIF(E10:CZ10,{"P","A","L","E"}))&gt;0,AND(D10&lt;&gt;"",COUNTA(E10:CZ10)=0)),"Active",""))))</f>
        <v>Active</v>
      </c>
      <c r="DN10" s="531"/>
    </row>
    <row r="11" ht="15.95" customHeight="1" spans="2:118" x14ac:dyDescent="0.25">
      <c r="B11" s="471">
        <v>6</v>
      </c>
      <c r="C11" s="532">
        <f>IF('Data Input'!M12="","",'Data Input'!M12)</f>
        <v>2000504370</v>
      </c>
      <c r="D11" s="533" t="str">
        <f>IF('Data Input'!N12="","",'Data Input'!N12)</f>
        <v>BORJA, GREEDY</v>
      </c>
      <c r="E11" s="534"/>
      <c r="F11" s="535"/>
      <c r="G11" s="535"/>
      <c r="H11" s="535"/>
      <c r="I11" s="535"/>
      <c r="J11" s="535"/>
      <c r="K11" s="535"/>
      <c r="L11" s="535"/>
      <c r="M11" s="535"/>
      <c r="N11" s="535"/>
      <c r="O11" s="535"/>
      <c r="P11" s="535"/>
      <c r="Q11" s="535"/>
      <c r="R11" s="535"/>
      <c r="S11" s="535"/>
      <c r="T11" s="535"/>
      <c r="U11" s="535"/>
      <c r="V11" s="535"/>
      <c r="W11" s="535"/>
      <c r="X11" s="535"/>
      <c r="Y11" s="535"/>
      <c r="Z11" s="535"/>
      <c r="AA11" s="535"/>
      <c r="AB11" s="535"/>
      <c r="AC11" s="535"/>
      <c r="AD11" s="535"/>
      <c r="AE11" s="535"/>
      <c r="AF11" s="535"/>
      <c r="AG11" s="535"/>
      <c r="AH11" s="535"/>
      <c r="AI11" s="535"/>
      <c r="AJ11" s="535"/>
      <c r="AK11" s="535"/>
      <c r="AL11" s="535"/>
      <c r="AM11" s="535"/>
      <c r="AN11" s="535"/>
      <c r="AO11" s="535"/>
      <c r="AP11" s="535"/>
      <c r="AQ11" s="535"/>
      <c r="AR11" s="535"/>
      <c r="AS11" s="535"/>
      <c r="AT11" s="535"/>
      <c r="AU11" s="535"/>
      <c r="AV11" s="535"/>
      <c r="AW11" s="535"/>
      <c r="AX11" s="535"/>
      <c r="AY11" s="535"/>
      <c r="AZ11" s="535"/>
      <c r="BA11" s="535"/>
      <c r="BB11" s="536"/>
      <c r="BC11" s="535"/>
      <c r="BD11" s="535"/>
      <c r="BE11" s="535"/>
      <c r="BF11" s="535"/>
      <c r="BG11" s="535"/>
      <c r="BH11" s="535"/>
      <c r="BI11" s="535"/>
      <c r="BJ11" s="535"/>
      <c r="BK11" s="535"/>
      <c r="BL11" s="535"/>
      <c r="BM11" s="535"/>
      <c r="BN11" s="535"/>
      <c r="BO11" s="535"/>
      <c r="BP11" s="535"/>
      <c r="BQ11" s="535"/>
      <c r="BR11" s="535"/>
      <c r="BS11" s="535"/>
      <c r="BT11" s="535"/>
      <c r="BU11" s="535"/>
      <c r="BV11" s="535"/>
      <c r="BW11" s="535"/>
      <c r="BX11" s="535"/>
      <c r="BY11" s="535"/>
      <c r="BZ11" s="535"/>
      <c r="CA11" s="535"/>
      <c r="CB11" s="535"/>
      <c r="CC11" s="535"/>
      <c r="CD11" s="535"/>
      <c r="CE11" s="535"/>
      <c r="CF11" s="535"/>
      <c r="CG11" s="535"/>
      <c r="CH11" s="535"/>
      <c r="CI11" s="535"/>
      <c r="CJ11" s="535"/>
      <c r="CK11" s="535"/>
      <c r="CL11" s="535"/>
      <c r="CM11" s="535"/>
      <c r="CN11" s="535"/>
      <c r="CO11" s="535"/>
      <c r="CP11" s="535"/>
      <c r="CQ11" s="535"/>
      <c r="CR11" s="535"/>
      <c r="CS11" s="535"/>
      <c r="CT11" s="535"/>
      <c r="CU11" s="535"/>
      <c r="CV11" s="535"/>
      <c r="CW11" s="535"/>
      <c r="CX11" s="535"/>
      <c r="CY11" s="535"/>
      <c r="CZ11" s="537"/>
      <c r="DA11" s="538" t="str">
        <f t="array" ref="DA11">IF(D11="","",
 IF($DO$3="Error","Error",
 IF(OR(
 SUM(($E$4:$CZ$4="")*(E11:CZ11&lt;&gt;""))&gt;0,
 SUM(($E$5:$CZ$5="")*(E11:CZ11&lt;&gt;""))&gt;0,
 COUNTA(E11:CZ11)&gt;$DO$3,
 SUMPRODUCT((E11:CZ11&lt;&gt;"")*(ISNA(MATCH(E11:CZ11,{"P","A","L","E","D"},0))))&gt;0),"Error",
 IF(COUNTIFS($E$5:$CZ$5,"T1",E11:CZ11,$DA$5)=0,"--",
 COUNTIFS($E$5:$CZ$5,"T1",E11:CZ11,$DA$5)))))</f>
        <v>--</v>
      </c>
      <c r="DB11" s="539" t="str">
        <f t="array" ref="DB11">IF(D11="","",
 IF($DO$3="Error","Error",
 IF(OR(
 SUM(($E$4:$CZ$4="")*(E11:CZ11&lt;&gt;""))&gt;0,
 SUM(($E$5:$CZ$5="")*(E11:CZ11&lt;&gt;""))&gt;0,
 COUNTA(E11:CZ11)&gt;$DO$3,
 SUMPRODUCT((E11:CZ11&lt;&gt;"")*(ISNA(MATCH(E11:CZ11,{"P","A","L","E","D"},0))))&gt;0),"Error",
 IF(COUNTIFS($E$5:$CZ$5,"T1",E11:CZ11,$DB$5)=0,"--",
 COUNTIFS($E$5:$CZ$5,"T1",E11:CZ11,$DB$5)))))</f>
        <v>--</v>
      </c>
      <c r="DC11" s="539" t="str">
        <f t="array" ref="DC11">IF(D11="","",
 IF($DO$3="Error","Error",
 IF(OR(
 SUM(($E$4:$CZ$4="")*(E11:CZ11&lt;&gt;""))&gt;0,
 SUM(($E$5:$CZ$5="")*(E11:CZ11&lt;&gt;""))&gt;0,
 COUNTA(E11:CZ11)&gt;$DO$3,
 SUMPRODUCT((E11:CZ11&lt;&gt;"")*(ISNA(MATCH(E11:CZ11,{"P","A","L","E","D"},0))))&gt;0),"Error",
 IF(COUNTIFS($E$5:$CZ$5,"T1",E11:CZ11,$DC$5)=0,"--",
 COUNTIFS($E$5:$CZ$5,"T1",E11:CZ11,$DC$5)))))</f>
        <v>--</v>
      </c>
      <c r="DD11" s="540" t="str">
        <f t="array" ref="DD11">IF(D11="","",
 IF($DO$3="Error","Error",
 IF(OR(
 SUM(($E$4:$CZ$4="")*(E11:CZ11&lt;&gt;""))&gt;0,
 SUM(($E$5:$CZ$5="")*(E11:CZ11&lt;&gt;""))&gt;0,
 COUNTA(E11:CZ11)&gt;$DO$3,
 SUMPRODUCT((E11:CZ11&lt;&gt;"")*(ISNA(MATCH(E11:CZ11,{"P","A","L","E","D"},0))))&gt;0),"Error",
 IF(COUNTIFS($E$5:$CZ$5,"T1",E11:CZ11,$DD$5)=0,"--",
 COUNTIFS($E$5:$CZ$5,"T1",E11:CZ11,$DD$5)))))</f>
        <v>--</v>
      </c>
      <c r="DE11" s="541" t="str">
        <f t="array" ref="DE11">IF(D11="","",
 IF($DO$3="Error","Error",
 IF(OR(
 SUM(($E$4:$CZ$4="")*(E11:CZ11&lt;&gt;""))&gt;0,
 SUM(($E$5:$CZ$5="")*(E11:CZ11&lt;&gt;""))&gt;0,
 COUNTA(E11:CZ11)&gt;$DO$3,
 SUMPRODUCT((E11:CZ11&lt;&gt;"")*(ISNA(MATCH(E11:CZ11,{"P","A","L","E","D"},0))))&gt;0),"Error",
 IF(COUNTIFS($E$5:$CZ$5,"T2",E11:CZ11,$DE$5)=0,"--",
 COUNTIFS($E$5:$CZ$5,"T2",E11:CZ11,$DE$5)))))</f>
        <v>--</v>
      </c>
      <c r="DF11" s="539" t="str">
        <f t="array" ref="DF11">IF(D11="","",
 IF($DO$3="Error","Error",
 IF(OR(
 SUM(($E$4:$CZ$4="")*(E11:CZ11&lt;&gt;""))&gt;0,
 SUM(($E$5:$CZ$5="")*(E11:CZ11&lt;&gt;""))&gt;0,
 COUNTA(E11:CZ11)&gt;$DO$3,
 SUMPRODUCT((E11:CZ11&lt;&gt;"")*(ISNA(MATCH(E11:CZ11,{"P","A","L","E","D"},0))))&gt;0),"Error",
 IF(COUNTIFS($E$5:$CZ$5,"T2",E11:CZ11,$DF$5)=0,"--",
 COUNTIFS($E$5:$CZ$5,"T2",E11:CZ11,$DF$5)))))</f>
        <v>--</v>
      </c>
      <c r="DG11" s="539" t="str">
        <f t="array" ref="DG11">IF(D11="","",
 IF($DO$3="Error","Error",
 IF(OR(
 SUM(($E$4:$CZ$4="")*(E11:CZ11&lt;&gt;""))&gt;0,
 SUM(($E$5:$CZ$5="")*(E11:CZ11&lt;&gt;""))&gt;0,
 COUNTA(E11:CZ11)&gt;$DO$3,
 SUMPRODUCT((E11:CZ11&lt;&gt;"")*(ISNA(MATCH(E11:CZ11,{"P","A","L","E","D"},0))))&gt;0),"Error",
 IF(COUNTIFS($E$5:$CZ$5,"T2",E11:CZ11,$DG$5)=0,"--",
 COUNTIFS($E$5:$CZ$5,"T2",E11:CZ11,$DG$5)))))</f>
        <v>--</v>
      </c>
      <c r="DH11" s="542" t="str">
        <f t="array" ref="DH11">IF(D11="","",
 IF($DO$3="Error","Error",
 IF(OR(
 SUM(($E$4:$CZ$4="")*(E11:CZ11&lt;&gt;""))&gt;0,
 SUM(($E$5:$CZ$5="")*(E11:CZ11&lt;&gt;""))&gt;0,
 COUNTA(E11:CZ11)&gt;$DO$3,
 SUMPRODUCT((E11:CZ11&lt;&gt;"")*(ISNA(MATCH(E11:CZ11,{"P","A","L","E","D"},0))))&gt;0),"Error",
 IF(COUNTIFS($E$5:$CZ$5,"T2",E11:CZ11,$DH$5)=0,"--",
 COUNTIFS($E$5:$CZ$5,"T2",E11:CZ11,$DH$5)))))</f>
        <v>--</v>
      </c>
      <c r="DI11" s="543" t="str">
        <f t="array" ref="DI11">IF(D11="","",
 IF($DO$3="Error","Error",
 IF(OR(
 SUM(($E$4:$CZ$4="")*(E11:CZ11&lt;&gt;""))&gt;0,
 SUM(($E$5:$CZ$5="")*(E11:CZ11&lt;&gt;""))&gt;0,
 COUNTA(E11:CZ11)&gt;$DO$3,
 SUMPRODUCT((E11:CZ11&lt;&gt;"")*(ISNA(MATCH(E11:CZ11,{"P","A","L","E","D"},0))))&gt;0),"Error",
 IF(COUNTIFS($E$5:$CZ$5,"T3",E11:CZ11,$DI$5)=0,"--",
 COUNTIFS($E$5:$CZ$5,"T3",E11:CZ11,$DI$5)))))</f>
        <v>--</v>
      </c>
      <c r="DJ11" s="539" t="str">
        <f t="array" ref="DJ11">IF(D11="","",
 IF($DO$3="Error","Error",
 IF(OR(
 SUM(($E$4:$CZ$4="")*(E11:CZ11&lt;&gt;""))&gt;0,
 SUM(($E$5:$CZ$5="")*(E11:CZ11&lt;&gt;""))&gt;0,
 COUNTA(E11:CZ11)&gt;$DO$3,
 SUMPRODUCT((E11:CZ11&lt;&gt;"")*(ISNA(MATCH(E11:CZ11,{"P","A","L","E","D"},0))))&gt;0),"Error",
 IF(COUNTIFS($E$5:$CZ$5,"T3",E11:CZ11,$DJ$5)=0,"--",
 COUNTIFS($E$5:$CZ$5,"T3",E11:CZ11,$DJ$5)))))</f>
        <v>--</v>
      </c>
      <c r="DK11" s="539" t="str">
        <f t="array" ref="DK11">IF(D11="","",
 IF($DO$3="Error","Error",
 IF(OR(
 SUM(($E$4:$CZ$4="")*(E11:CZ11&lt;&gt;""))&gt;0,
 SUM(($E$5:$CZ$5="")*(E11:CZ11&lt;&gt;""))&gt;0,
 COUNTA(E11:CZ11)&gt;$DO$3,
 SUMPRODUCT((E11:CZ11&lt;&gt;"")*(ISNA(MATCH(E11:CZ11,{"P","A","L","E","D"},0))))&gt;0),"Error",
 IF(COUNTIFS($E$5:$CZ$5,"T3",E11:CZ11,$DK$5)=0,"--",
 COUNTIFS($E$5:$CZ$5,"T3",E11:CZ11,$DK$5)))))</f>
        <v>--</v>
      </c>
      <c r="DL11" s="540" t="str">
        <f t="array" ref="DL11">IF(D11="","",
 IF($DO$3="Error","Error",
 IF(OR(
 SUM(($E$4:$CZ$4="")*(E11:CZ11&lt;&gt;""))&gt;0,
 SUM(($E$5:$CZ$5="")*(E11:CZ11&lt;&gt;""))&gt;0,
 COUNTA(E11:CZ11)&gt;$DO$3,
 SUMPRODUCT((E11:CZ11&lt;&gt;"")*(ISNA(MATCH(E11:CZ11,{"P","A","L","E","D"},0))))&gt;0),"Error",
 IF(COUNTIFS($E$5:$CZ$5,"T3",E11:CZ11,$DL$5)=0,"--",
 COUNTIFS($E$5:$CZ$5,"T3",E11:CZ11,$DL$5)))))</f>
        <v>--</v>
      </c>
      <c r="DM11" s="530" t="str">
        <f t="array" ref="DM11">IF(COUNTIF(DA11:DL11,"Error")&gt;0,"Error",
 IF(AND(D11="",COUNTA(E11:CZ11)&gt;0),"Error",
 IF(COUNTIF(E11:CZ11,"D")&gt;0,"DRP",
 IF(OR(SUM(COUNTIF(E11:CZ11,{"P","A","L","E"}))&gt;0,AND(D11&lt;&gt;"",COUNTA(E11:CZ11)=0)),"Active",""))))</f>
        <v>Active</v>
      </c>
      <c r="DN11" s="531"/>
    </row>
    <row r="12" ht="15.95" customHeight="1" spans="2:118" x14ac:dyDescent="0.25">
      <c r="B12" s="471">
        <v>7</v>
      </c>
      <c r="C12" s="532">
        <f>IF('Data Input'!M13="","",'Data Input'!M13)</f>
        <v>2000480420</v>
      </c>
      <c r="D12" s="533" t="str">
        <f>IF('Data Input'!N13="","",'Data Input'!N13)</f>
        <v>CABALQUINTO, JUVY</v>
      </c>
      <c r="E12" s="534"/>
      <c r="F12" s="535"/>
      <c r="G12" s="535"/>
      <c r="H12" s="535"/>
      <c r="I12" s="535"/>
      <c r="J12" s="535"/>
      <c r="K12" s="535"/>
      <c r="L12" s="535"/>
      <c r="M12" s="535"/>
      <c r="N12" s="535"/>
      <c r="O12" s="535"/>
      <c r="P12" s="535"/>
      <c r="Q12" s="535"/>
      <c r="R12" s="535"/>
      <c r="S12" s="535"/>
      <c r="T12" s="535"/>
      <c r="U12" s="535"/>
      <c r="V12" s="535"/>
      <c r="W12" s="535"/>
      <c r="X12" s="535"/>
      <c r="Y12" s="535"/>
      <c r="Z12" s="535"/>
      <c r="AA12" s="535"/>
      <c r="AB12" s="535"/>
      <c r="AC12" s="535"/>
      <c r="AD12" s="535"/>
      <c r="AE12" s="535"/>
      <c r="AF12" s="535"/>
      <c r="AG12" s="535"/>
      <c r="AH12" s="535"/>
      <c r="AI12" s="535"/>
      <c r="AJ12" s="535"/>
      <c r="AK12" s="535"/>
      <c r="AL12" s="535"/>
      <c r="AM12" s="535"/>
      <c r="AN12" s="535"/>
      <c r="AO12" s="535"/>
      <c r="AP12" s="535"/>
      <c r="AQ12" s="535"/>
      <c r="AR12" s="535"/>
      <c r="AS12" s="535"/>
      <c r="AT12" s="535"/>
      <c r="AU12" s="535"/>
      <c r="AV12" s="535"/>
      <c r="AW12" s="535"/>
      <c r="AX12" s="535"/>
      <c r="AY12" s="535"/>
      <c r="AZ12" s="535"/>
      <c r="BA12" s="535"/>
      <c r="BB12" s="536"/>
      <c r="BC12" s="535"/>
      <c r="BD12" s="535"/>
      <c r="BE12" s="535"/>
      <c r="BF12" s="535"/>
      <c r="BG12" s="535"/>
      <c r="BH12" s="535"/>
      <c r="BI12" s="535"/>
      <c r="BJ12" s="535"/>
      <c r="BK12" s="535"/>
      <c r="BL12" s="535"/>
      <c r="BM12" s="535"/>
      <c r="BN12" s="535"/>
      <c r="BO12" s="535"/>
      <c r="BP12" s="535"/>
      <c r="BQ12" s="535"/>
      <c r="BR12" s="535"/>
      <c r="BS12" s="535"/>
      <c r="BT12" s="535"/>
      <c r="BU12" s="535"/>
      <c r="BV12" s="535"/>
      <c r="BW12" s="535"/>
      <c r="BX12" s="535"/>
      <c r="BY12" s="535"/>
      <c r="BZ12" s="535"/>
      <c r="CA12" s="535"/>
      <c r="CB12" s="535"/>
      <c r="CC12" s="535"/>
      <c r="CD12" s="535"/>
      <c r="CE12" s="535"/>
      <c r="CF12" s="535"/>
      <c r="CG12" s="535"/>
      <c r="CH12" s="535"/>
      <c r="CI12" s="535"/>
      <c r="CJ12" s="535"/>
      <c r="CK12" s="535"/>
      <c r="CL12" s="535"/>
      <c r="CM12" s="535"/>
      <c r="CN12" s="535"/>
      <c r="CO12" s="535"/>
      <c r="CP12" s="535"/>
      <c r="CQ12" s="535"/>
      <c r="CR12" s="535"/>
      <c r="CS12" s="535"/>
      <c r="CT12" s="535"/>
      <c r="CU12" s="535"/>
      <c r="CV12" s="535"/>
      <c r="CW12" s="535"/>
      <c r="CX12" s="535"/>
      <c r="CY12" s="535"/>
      <c r="CZ12" s="537"/>
      <c r="DA12" s="538" t="str">
        <f t="array" ref="DA12">IF(D12="","",
 IF($DO$3="Error","Error",
 IF(OR(
 SUM(($E$4:$CZ$4="")*(E12:CZ12&lt;&gt;""))&gt;0,
 SUM(($E$5:$CZ$5="")*(E12:CZ12&lt;&gt;""))&gt;0,
 COUNTA(E12:CZ12)&gt;$DO$3,
 SUMPRODUCT((E12:CZ12&lt;&gt;"")*(ISNA(MATCH(E12:CZ12,{"P","A","L","E","D"},0))))&gt;0),"Error",
 IF(COUNTIFS($E$5:$CZ$5,"T1",E12:CZ12,$DA$5)=0,"--",
 COUNTIFS($E$5:$CZ$5,"T1",E12:CZ12,$DA$5)))))</f>
        <v>--</v>
      </c>
      <c r="DB12" s="539" t="str">
        <f t="array" ref="DB12">IF(D12="","",
 IF($DO$3="Error","Error",
 IF(OR(
 SUM(($E$4:$CZ$4="")*(E12:CZ12&lt;&gt;""))&gt;0,
 SUM(($E$5:$CZ$5="")*(E12:CZ12&lt;&gt;""))&gt;0,
 COUNTA(E12:CZ12)&gt;$DO$3,
 SUMPRODUCT((E12:CZ12&lt;&gt;"")*(ISNA(MATCH(E12:CZ12,{"P","A","L","E","D"},0))))&gt;0),"Error",
 IF(COUNTIFS($E$5:$CZ$5,"T1",E12:CZ12,$DB$5)=0,"--",
 COUNTIFS($E$5:$CZ$5,"T1",E12:CZ12,$DB$5)))))</f>
        <v>--</v>
      </c>
      <c r="DC12" s="539" t="str">
        <f t="array" ref="DC12">IF(D12="","",
 IF($DO$3="Error","Error",
 IF(OR(
 SUM(($E$4:$CZ$4="")*(E12:CZ12&lt;&gt;""))&gt;0,
 SUM(($E$5:$CZ$5="")*(E12:CZ12&lt;&gt;""))&gt;0,
 COUNTA(E12:CZ12)&gt;$DO$3,
 SUMPRODUCT((E12:CZ12&lt;&gt;"")*(ISNA(MATCH(E12:CZ12,{"P","A","L","E","D"},0))))&gt;0),"Error",
 IF(COUNTIFS($E$5:$CZ$5,"T1",E12:CZ12,$DC$5)=0,"--",
 COUNTIFS($E$5:$CZ$5,"T1",E12:CZ12,$DC$5)))))</f>
        <v>--</v>
      </c>
      <c r="DD12" s="540" t="str">
        <f t="array" ref="DD12">IF(D12="","",
 IF($DO$3="Error","Error",
 IF(OR(
 SUM(($E$4:$CZ$4="")*(E12:CZ12&lt;&gt;""))&gt;0,
 SUM(($E$5:$CZ$5="")*(E12:CZ12&lt;&gt;""))&gt;0,
 COUNTA(E12:CZ12)&gt;$DO$3,
 SUMPRODUCT((E12:CZ12&lt;&gt;"")*(ISNA(MATCH(E12:CZ12,{"P","A","L","E","D"},0))))&gt;0),"Error",
 IF(COUNTIFS($E$5:$CZ$5,"T1",E12:CZ12,$DD$5)=0,"--",
 COUNTIFS($E$5:$CZ$5,"T1",E12:CZ12,$DD$5)))))</f>
        <v>--</v>
      </c>
      <c r="DE12" s="541" t="str">
        <f t="array" ref="DE12">IF(D12="","",
 IF($DO$3="Error","Error",
 IF(OR(
 SUM(($E$4:$CZ$4="")*(E12:CZ12&lt;&gt;""))&gt;0,
 SUM(($E$5:$CZ$5="")*(E12:CZ12&lt;&gt;""))&gt;0,
 COUNTA(E12:CZ12)&gt;$DO$3,
 SUMPRODUCT((E12:CZ12&lt;&gt;"")*(ISNA(MATCH(E12:CZ12,{"P","A","L","E","D"},0))))&gt;0),"Error",
 IF(COUNTIFS($E$5:$CZ$5,"T2",E12:CZ12,$DE$5)=0,"--",
 COUNTIFS($E$5:$CZ$5,"T2",E12:CZ12,$DE$5)))))</f>
        <v>--</v>
      </c>
      <c r="DF12" s="539" t="str">
        <f t="array" ref="DF12">IF(D12="","",
 IF($DO$3="Error","Error",
 IF(OR(
 SUM(($E$4:$CZ$4="")*(E12:CZ12&lt;&gt;""))&gt;0,
 SUM(($E$5:$CZ$5="")*(E12:CZ12&lt;&gt;""))&gt;0,
 COUNTA(E12:CZ12)&gt;$DO$3,
 SUMPRODUCT((E12:CZ12&lt;&gt;"")*(ISNA(MATCH(E12:CZ12,{"P","A","L","E","D"},0))))&gt;0),"Error",
 IF(COUNTIFS($E$5:$CZ$5,"T2",E12:CZ12,$DF$5)=0,"--",
 COUNTIFS($E$5:$CZ$5,"T2",E12:CZ12,$DF$5)))))</f>
        <v>--</v>
      </c>
      <c r="DG12" s="539" t="str">
        <f t="array" ref="DG12">IF(D12="","",
 IF($DO$3="Error","Error",
 IF(OR(
 SUM(($E$4:$CZ$4="")*(E12:CZ12&lt;&gt;""))&gt;0,
 SUM(($E$5:$CZ$5="")*(E12:CZ12&lt;&gt;""))&gt;0,
 COUNTA(E12:CZ12)&gt;$DO$3,
 SUMPRODUCT((E12:CZ12&lt;&gt;"")*(ISNA(MATCH(E12:CZ12,{"P","A","L","E","D"},0))))&gt;0),"Error",
 IF(COUNTIFS($E$5:$CZ$5,"T2",E12:CZ12,$DG$5)=0,"--",
 COUNTIFS($E$5:$CZ$5,"T2",E12:CZ12,$DG$5)))))</f>
        <v>--</v>
      </c>
      <c r="DH12" s="542" t="str">
        <f t="array" ref="DH12">IF(D12="","",
 IF($DO$3="Error","Error",
 IF(OR(
 SUM(($E$4:$CZ$4="")*(E12:CZ12&lt;&gt;""))&gt;0,
 SUM(($E$5:$CZ$5="")*(E12:CZ12&lt;&gt;""))&gt;0,
 COUNTA(E12:CZ12)&gt;$DO$3,
 SUMPRODUCT((E12:CZ12&lt;&gt;"")*(ISNA(MATCH(E12:CZ12,{"P","A","L","E","D"},0))))&gt;0),"Error",
 IF(COUNTIFS($E$5:$CZ$5,"T2",E12:CZ12,$DH$5)=0,"--",
 COUNTIFS($E$5:$CZ$5,"T2",E12:CZ12,$DH$5)))))</f>
        <v>--</v>
      </c>
      <c r="DI12" s="543" t="str">
        <f t="array" ref="DI12">IF(D12="","",
 IF($DO$3="Error","Error",
 IF(OR(
 SUM(($E$4:$CZ$4="")*(E12:CZ12&lt;&gt;""))&gt;0,
 SUM(($E$5:$CZ$5="")*(E12:CZ12&lt;&gt;""))&gt;0,
 COUNTA(E12:CZ12)&gt;$DO$3,
 SUMPRODUCT((E12:CZ12&lt;&gt;"")*(ISNA(MATCH(E12:CZ12,{"P","A","L","E","D"},0))))&gt;0),"Error",
 IF(COUNTIFS($E$5:$CZ$5,"T3",E12:CZ12,$DI$5)=0,"--",
 COUNTIFS($E$5:$CZ$5,"T3",E12:CZ12,$DI$5)))))</f>
        <v>--</v>
      </c>
      <c r="DJ12" s="539" t="str">
        <f t="array" ref="DJ12">IF(D12="","",
 IF($DO$3="Error","Error",
 IF(OR(
 SUM(($E$4:$CZ$4="")*(E12:CZ12&lt;&gt;""))&gt;0,
 SUM(($E$5:$CZ$5="")*(E12:CZ12&lt;&gt;""))&gt;0,
 COUNTA(E12:CZ12)&gt;$DO$3,
 SUMPRODUCT((E12:CZ12&lt;&gt;"")*(ISNA(MATCH(E12:CZ12,{"P","A","L","E","D"},0))))&gt;0),"Error",
 IF(COUNTIFS($E$5:$CZ$5,"T3",E12:CZ12,$DJ$5)=0,"--",
 COUNTIFS($E$5:$CZ$5,"T3",E12:CZ12,$DJ$5)))))</f>
        <v>--</v>
      </c>
      <c r="DK12" s="539" t="str">
        <f t="array" ref="DK12">IF(D12="","",
 IF($DO$3="Error","Error",
 IF(OR(
 SUM(($E$4:$CZ$4="")*(E12:CZ12&lt;&gt;""))&gt;0,
 SUM(($E$5:$CZ$5="")*(E12:CZ12&lt;&gt;""))&gt;0,
 COUNTA(E12:CZ12)&gt;$DO$3,
 SUMPRODUCT((E12:CZ12&lt;&gt;"")*(ISNA(MATCH(E12:CZ12,{"P","A","L","E","D"},0))))&gt;0),"Error",
 IF(COUNTIFS($E$5:$CZ$5,"T3",E12:CZ12,$DK$5)=0,"--",
 COUNTIFS($E$5:$CZ$5,"T3",E12:CZ12,$DK$5)))))</f>
        <v>--</v>
      </c>
      <c r="DL12" s="540" t="str">
        <f t="array" ref="DL12">IF(D12="","",
 IF($DO$3="Error","Error",
 IF(OR(
 SUM(($E$4:$CZ$4="")*(E12:CZ12&lt;&gt;""))&gt;0,
 SUM(($E$5:$CZ$5="")*(E12:CZ12&lt;&gt;""))&gt;0,
 COUNTA(E12:CZ12)&gt;$DO$3,
 SUMPRODUCT((E12:CZ12&lt;&gt;"")*(ISNA(MATCH(E12:CZ12,{"P","A","L","E","D"},0))))&gt;0),"Error",
 IF(COUNTIFS($E$5:$CZ$5,"T3",E12:CZ12,$DL$5)=0,"--",
 COUNTIFS($E$5:$CZ$5,"T3",E12:CZ12,$DL$5)))))</f>
        <v>--</v>
      </c>
      <c r="DM12" s="530" t="str">
        <f t="array" ref="DM12">IF(COUNTIF(DA12:DL12,"Error")&gt;0,"Error",
 IF(AND(D12="",COUNTA(E12:CZ12)&gt;0),"Error",
 IF(COUNTIF(E12:CZ12,"D")&gt;0,"DRP",
 IF(OR(SUM(COUNTIF(E12:CZ12,{"P","A","L","E"}))&gt;0,AND(D12&lt;&gt;"",COUNTA(E12:CZ12)=0)),"Active",""))))</f>
        <v>Active</v>
      </c>
      <c r="DN12" s="531"/>
    </row>
    <row r="13" ht="15.95" customHeight="1" spans="2:118" x14ac:dyDescent="0.25">
      <c r="B13" s="471">
        <v>8</v>
      </c>
      <c r="C13" s="532">
        <f>IF('Data Input'!M14="","",'Data Input'!M14)</f>
        <v>2000487004</v>
      </c>
      <c r="D13" s="533" t="str">
        <f>IF('Data Input'!N14="","",'Data Input'!N14)</f>
        <v>CONLU, MARC JEFFREY</v>
      </c>
      <c r="E13" s="534"/>
      <c r="F13" s="535"/>
      <c r="G13" s="535"/>
      <c r="H13" s="535"/>
      <c r="I13" s="535"/>
      <c r="J13" s="535"/>
      <c r="K13" s="535"/>
      <c r="L13" s="535"/>
      <c r="M13" s="535"/>
      <c r="N13" s="535"/>
      <c r="O13" s="535"/>
      <c r="P13" s="535"/>
      <c r="Q13" s="535"/>
      <c r="R13" s="535"/>
      <c r="S13" s="535"/>
      <c r="T13" s="535"/>
      <c r="U13" s="535"/>
      <c r="V13" s="535"/>
      <c r="W13" s="535"/>
      <c r="X13" s="535"/>
      <c r="Y13" s="535"/>
      <c r="Z13" s="535"/>
      <c r="AA13" s="535"/>
      <c r="AB13" s="535"/>
      <c r="AC13" s="535"/>
      <c r="AD13" s="535"/>
      <c r="AE13" s="535"/>
      <c r="AF13" s="535"/>
      <c r="AG13" s="535"/>
      <c r="AH13" s="535"/>
      <c r="AI13" s="535"/>
      <c r="AJ13" s="535"/>
      <c r="AK13" s="535"/>
      <c r="AL13" s="535"/>
      <c r="AM13" s="535"/>
      <c r="AN13" s="535"/>
      <c r="AO13" s="535"/>
      <c r="AP13" s="535"/>
      <c r="AQ13" s="535"/>
      <c r="AR13" s="535"/>
      <c r="AS13" s="535"/>
      <c r="AT13" s="535"/>
      <c r="AU13" s="535"/>
      <c r="AV13" s="535"/>
      <c r="AW13" s="535"/>
      <c r="AX13" s="535"/>
      <c r="AY13" s="535"/>
      <c r="AZ13" s="535"/>
      <c r="BA13" s="535"/>
      <c r="BB13" s="536"/>
      <c r="BC13" s="535"/>
      <c r="BD13" s="535"/>
      <c r="BE13" s="535"/>
      <c r="BF13" s="535"/>
      <c r="BG13" s="535"/>
      <c r="BH13" s="535"/>
      <c r="BI13" s="535"/>
      <c r="BJ13" s="535"/>
      <c r="BK13" s="535"/>
      <c r="BL13" s="535"/>
      <c r="BM13" s="535"/>
      <c r="BN13" s="535"/>
      <c r="BO13" s="535"/>
      <c r="BP13" s="535"/>
      <c r="BQ13" s="535"/>
      <c r="BR13" s="535"/>
      <c r="BS13" s="535"/>
      <c r="BT13" s="535"/>
      <c r="BU13" s="535"/>
      <c r="BV13" s="535"/>
      <c r="BW13" s="535"/>
      <c r="BX13" s="535"/>
      <c r="BY13" s="535"/>
      <c r="BZ13" s="535"/>
      <c r="CA13" s="535"/>
      <c r="CB13" s="535"/>
      <c r="CC13" s="535"/>
      <c r="CD13" s="535"/>
      <c r="CE13" s="535"/>
      <c r="CF13" s="535"/>
      <c r="CG13" s="535"/>
      <c r="CH13" s="535"/>
      <c r="CI13" s="535"/>
      <c r="CJ13" s="535"/>
      <c r="CK13" s="535"/>
      <c r="CL13" s="535"/>
      <c r="CM13" s="535"/>
      <c r="CN13" s="535"/>
      <c r="CO13" s="535"/>
      <c r="CP13" s="535"/>
      <c r="CQ13" s="535"/>
      <c r="CR13" s="535"/>
      <c r="CS13" s="535"/>
      <c r="CT13" s="535"/>
      <c r="CU13" s="535"/>
      <c r="CV13" s="535"/>
      <c r="CW13" s="535"/>
      <c r="CX13" s="535"/>
      <c r="CY13" s="535"/>
      <c r="CZ13" s="537"/>
      <c r="DA13" s="538" t="str">
        <f t="array" ref="DA13">IF(D13="","",
 IF($DO$3="Error","Error",
 IF(OR(
 SUM(($E$4:$CZ$4="")*(E13:CZ13&lt;&gt;""))&gt;0,
 SUM(($E$5:$CZ$5="")*(E13:CZ13&lt;&gt;""))&gt;0,
 COUNTA(E13:CZ13)&gt;$DO$3,
 SUMPRODUCT((E13:CZ13&lt;&gt;"")*(ISNA(MATCH(E13:CZ13,{"P","A","L","E","D"},0))))&gt;0),"Error",
 IF(COUNTIFS($E$5:$CZ$5,"T1",E13:CZ13,$DA$5)=0,"--",
 COUNTIFS($E$5:$CZ$5,"T1",E13:CZ13,$DA$5)))))</f>
        <v>--</v>
      </c>
      <c r="DB13" s="539" t="str">
        <f t="array" ref="DB13">IF(D13="","",
 IF($DO$3="Error","Error",
 IF(OR(
 SUM(($E$4:$CZ$4="")*(E13:CZ13&lt;&gt;""))&gt;0,
 SUM(($E$5:$CZ$5="")*(E13:CZ13&lt;&gt;""))&gt;0,
 COUNTA(E13:CZ13)&gt;$DO$3,
 SUMPRODUCT((E13:CZ13&lt;&gt;"")*(ISNA(MATCH(E13:CZ13,{"P","A","L","E","D"},0))))&gt;0),"Error",
 IF(COUNTIFS($E$5:$CZ$5,"T1",E13:CZ13,$DB$5)=0,"--",
 COUNTIFS($E$5:$CZ$5,"T1",E13:CZ13,$DB$5)))))</f>
        <v>--</v>
      </c>
      <c r="DC13" s="539" t="str">
        <f t="array" ref="DC13">IF(D13="","",
 IF($DO$3="Error","Error",
 IF(OR(
 SUM(($E$4:$CZ$4="")*(E13:CZ13&lt;&gt;""))&gt;0,
 SUM(($E$5:$CZ$5="")*(E13:CZ13&lt;&gt;""))&gt;0,
 COUNTA(E13:CZ13)&gt;$DO$3,
 SUMPRODUCT((E13:CZ13&lt;&gt;"")*(ISNA(MATCH(E13:CZ13,{"P","A","L","E","D"},0))))&gt;0),"Error",
 IF(COUNTIFS($E$5:$CZ$5,"T1",E13:CZ13,$DC$5)=0,"--",
 COUNTIFS($E$5:$CZ$5,"T1",E13:CZ13,$DC$5)))))</f>
        <v>--</v>
      </c>
      <c r="DD13" s="540" t="str">
        <f t="array" ref="DD13">IF(D13="","",
 IF($DO$3="Error","Error",
 IF(OR(
 SUM(($E$4:$CZ$4="")*(E13:CZ13&lt;&gt;""))&gt;0,
 SUM(($E$5:$CZ$5="")*(E13:CZ13&lt;&gt;""))&gt;0,
 COUNTA(E13:CZ13)&gt;$DO$3,
 SUMPRODUCT((E13:CZ13&lt;&gt;"")*(ISNA(MATCH(E13:CZ13,{"P","A","L","E","D"},0))))&gt;0),"Error",
 IF(COUNTIFS($E$5:$CZ$5,"T1",E13:CZ13,$DD$5)=0,"--",
 COUNTIFS($E$5:$CZ$5,"T1",E13:CZ13,$DD$5)))))</f>
        <v>--</v>
      </c>
      <c r="DE13" s="541" t="str">
        <f t="array" ref="DE13">IF(D13="","",
 IF($DO$3="Error","Error",
 IF(OR(
 SUM(($E$4:$CZ$4="")*(E13:CZ13&lt;&gt;""))&gt;0,
 SUM(($E$5:$CZ$5="")*(E13:CZ13&lt;&gt;""))&gt;0,
 COUNTA(E13:CZ13)&gt;$DO$3,
 SUMPRODUCT((E13:CZ13&lt;&gt;"")*(ISNA(MATCH(E13:CZ13,{"P","A","L","E","D"},0))))&gt;0),"Error",
 IF(COUNTIFS($E$5:$CZ$5,"T2",E13:CZ13,$DE$5)=0,"--",
 COUNTIFS($E$5:$CZ$5,"T2",E13:CZ13,$DE$5)))))</f>
        <v>--</v>
      </c>
      <c r="DF13" s="539" t="str">
        <f t="array" ref="DF13">IF(D13="","",
 IF($DO$3="Error","Error",
 IF(OR(
 SUM(($E$4:$CZ$4="")*(E13:CZ13&lt;&gt;""))&gt;0,
 SUM(($E$5:$CZ$5="")*(E13:CZ13&lt;&gt;""))&gt;0,
 COUNTA(E13:CZ13)&gt;$DO$3,
 SUMPRODUCT((E13:CZ13&lt;&gt;"")*(ISNA(MATCH(E13:CZ13,{"P","A","L","E","D"},0))))&gt;0),"Error",
 IF(COUNTIFS($E$5:$CZ$5,"T2",E13:CZ13,$DF$5)=0,"--",
 COUNTIFS($E$5:$CZ$5,"T2",E13:CZ13,$DF$5)))))</f>
        <v>--</v>
      </c>
      <c r="DG13" s="539" t="str">
        <f t="array" ref="DG13">IF(D13="","",
 IF($DO$3="Error","Error",
 IF(OR(
 SUM(($E$4:$CZ$4="")*(E13:CZ13&lt;&gt;""))&gt;0,
 SUM(($E$5:$CZ$5="")*(E13:CZ13&lt;&gt;""))&gt;0,
 COUNTA(E13:CZ13)&gt;$DO$3,
 SUMPRODUCT((E13:CZ13&lt;&gt;"")*(ISNA(MATCH(E13:CZ13,{"P","A","L","E","D"},0))))&gt;0),"Error",
 IF(COUNTIFS($E$5:$CZ$5,"T2",E13:CZ13,$DG$5)=0,"--",
 COUNTIFS($E$5:$CZ$5,"T2",E13:CZ13,$DG$5)))))</f>
        <v>--</v>
      </c>
      <c r="DH13" s="542" t="str">
        <f t="array" ref="DH13">IF(D13="","",
 IF($DO$3="Error","Error",
 IF(OR(
 SUM(($E$4:$CZ$4="")*(E13:CZ13&lt;&gt;""))&gt;0,
 SUM(($E$5:$CZ$5="")*(E13:CZ13&lt;&gt;""))&gt;0,
 COUNTA(E13:CZ13)&gt;$DO$3,
 SUMPRODUCT((E13:CZ13&lt;&gt;"")*(ISNA(MATCH(E13:CZ13,{"P","A","L","E","D"},0))))&gt;0),"Error",
 IF(COUNTIFS($E$5:$CZ$5,"T2",E13:CZ13,$DH$5)=0,"--",
 COUNTIFS($E$5:$CZ$5,"T2",E13:CZ13,$DH$5)))))</f>
        <v>--</v>
      </c>
      <c r="DI13" s="543" t="str">
        <f t="array" ref="DI13">IF(D13="","",
 IF($DO$3="Error","Error",
 IF(OR(
 SUM(($E$4:$CZ$4="")*(E13:CZ13&lt;&gt;""))&gt;0,
 SUM(($E$5:$CZ$5="")*(E13:CZ13&lt;&gt;""))&gt;0,
 COUNTA(E13:CZ13)&gt;$DO$3,
 SUMPRODUCT((E13:CZ13&lt;&gt;"")*(ISNA(MATCH(E13:CZ13,{"P","A","L","E","D"},0))))&gt;0),"Error",
 IF(COUNTIFS($E$5:$CZ$5,"T3",E13:CZ13,$DI$5)=0,"--",
 COUNTIFS($E$5:$CZ$5,"T3",E13:CZ13,$DI$5)))))</f>
        <v>--</v>
      </c>
      <c r="DJ13" s="539" t="str">
        <f t="array" ref="DJ13">IF(D13="","",
 IF($DO$3="Error","Error",
 IF(OR(
 SUM(($E$4:$CZ$4="")*(E13:CZ13&lt;&gt;""))&gt;0,
 SUM(($E$5:$CZ$5="")*(E13:CZ13&lt;&gt;""))&gt;0,
 COUNTA(E13:CZ13)&gt;$DO$3,
 SUMPRODUCT((E13:CZ13&lt;&gt;"")*(ISNA(MATCH(E13:CZ13,{"P","A","L","E","D"},0))))&gt;0),"Error",
 IF(COUNTIFS($E$5:$CZ$5,"T3",E13:CZ13,$DJ$5)=0,"--",
 COUNTIFS($E$5:$CZ$5,"T3",E13:CZ13,$DJ$5)))))</f>
        <v>--</v>
      </c>
      <c r="DK13" s="539" t="str">
        <f t="array" ref="DK13">IF(D13="","",
 IF($DO$3="Error","Error",
 IF(OR(
 SUM(($E$4:$CZ$4="")*(E13:CZ13&lt;&gt;""))&gt;0,
 SUM(($E$5:$CZ$5="")*(E13:CZ13&lt;&gt;""))&gt;0,
 COUNTA(E13:CZ13)&gt;$DO$3,
 SUMPRODUCT((E13:CZ13&lt;&gt;"")*(ISNA(MATCH(E13:CZ13,{"P","A","L","E","D"},0))))&gt;0),"Error",
 IF(COUNTIFS($E$5:$CZ$5,"T3",E13:CZ13,$DK$5)=0,"--",
 COUNTIFS($E$5:$CZ$5,"T3",E13:CZ13,$DK$5)))))</f>
        <v>--</v>
      </c>
      <c r="DL13" s="540" t="str">
        <f t="array" ref="DL13">IF(D13="","",
 IF($DO$3="Error","Error",
 IF(OR(
 SUM(($E$4:$CZ$4="")*(E13:CZ13&lt;&gt;""))&gt;0,
 SUM(($E$5:$CZ$5="")*(E13:CZ13&lt;&gt;""))&gt;0,
 COUNTA(E13:CZ13)&gt;$DO$3,
 SUMPRODUCT((E13:CZ13&lt;&gt;"")*(ISNA(MATCH(E13:CZ13,{"P","A","L","E","D"},0))))&gt;0),"Error",
 IF(COUNTIFS($E$5:$CZ$5,"T3",E13:CZ13,$DL$5)=0,"--",
 COUNTIFS($E$5:$CZ$5,"T3",E13:CZ13,$DL$5)))))</f>
        <v>--</v>
      </c>
      <c r="DM13" s="530" t="str">
        <f t="array" ref="DM13">IF(COUNTIF(DA13:DL13,"Error")&gt;0,"Error",
 IF(AND(D13="",COUNTA(E13:CZ13)&gt;0),"Error",
 IF(COUNTIF(E13:CZ13,"D")&gt;0,"DRP",
 IF(OR(SUM(COUNTIF(E13:CZ13,{"P","A","L","E"}))&gt;0,AND(D13&lt;&gt;"",COUNTA(E13:CZ13)=0)),"Active",""))))</f>
        <v>Active</v>
      </c>
      <c r="DN13" s="531"/>
    </row>
    <row r="14" ht="15.95" customHeight="1" spans="2:118" x14ac:dyDescent="0.25">
      <c r="B14" s="471">
        <v>9</v>
      </c>
      <c r="C14" s="532">
        <f>IF('Data Input'!M15="","",'Data Input'!M15)</f>
        <v>2000488434</v>
      </c>
      <c r="D14" s="533" t="str">
        <f>IF('Data Input'!N15="","",'Data Input'!N15)</f>
        <v>DE LUNA, FELICITY RYNE</v>
      </c>
      <c r="E14" s="534"/>
      <c r="F14" s="535"/>
      <c r="G14" s="535"/>
      <c r="H14" s="535"/>
      <c r="I14" s="535"/>
      <c r="J14" s="535"/>
      <c r="K14" s="535"/>
      <c r="L14" s="535"/>
      <c r="M14" s="535"/>
      <c r="N14" s="535"/>
      <c r="O14" s="535"/>
      <c r="P14" s="535"/>
      <c r="Q14" s="535"/>
      <c r="R14" s="535"/>
      <c r="S14" s="535"/>
      <c r="T14" s="535"/>
      <c r="U14" s="535"/>
      <c r="V14" s="535"/>
      <c r="W14" s="535"/>
      <c r="X14" s="535"/>
      <c r="Y14" s="535"/>
      <c r="Z14" s="535"/>
      <c r="AA14" s="535"/>
      <c r="AB14" s="535"/>
      <c r="AC14" s="535"/>
      <c r="AD14" s="535"/>
      <c r="AE14" s="535"/>
      <c r="AF14" s="535"/>
      <c r="AG14" s="535"/>
      <c r="AH14" s="535"/>
      <c r="AI14" s="535"/>
      <c r="AJ14" s="535"/>
      <c r="AK14" s="535"/>
      <c r="AL14" s="535"/>
      <c r="AM14" s="535"/>
      <c r="AN14" s="535"/>
      <c r="AO14" s="535"/>
      <c r="AP14" s="535"/>
      <c r="AQ14" s="535"/>
      <c r="AR14" s="535"/>
      <c r="AS14" s="535"/>
      <c r="AT14" s="535"/>
      <c r="AU14" s="535"/>
      <c r="AV14" s="535"/>
      <c r="AW14" s="535"/>
      <c r="AX14" s="535"/>
      <c r="AY14" s="535"/>
      <c r="AZ14" s="535"/>
      <c r="BA14" s="535"/>
      <c r="BB14" s="536"/>
      <c r="BC14" s="535"/>
      <c r="BD14" s="535"/>
      <c r="BE14" s="535"/>
      <c r="BF14" s="535"/>
      <c r="BG14" s="535"/>
      <c r="BH14" s="535"/>
      <c r="BI14" s="535"/>
      <c r="BJ14" s="535"/>
      <c r="BK14" s="535"/>
      <c r="BL14" s="535"/>
      <c r="BM14" s="535"/>
      <c r="BN14" s="535"/>
      <c r="BO14" s="535"/>
      <c r="BP14" s="535"/>
      <c r="BQ14" s="535"/>
      <c r="BR14" s="535"/>
      <c r="BS14" s="535"/>
      <c r="BT14" s="535"/>
      <c r="BU14" s="535"/>
      <c r="BV14" s="535"/>
      <c r="BW14" s="535"/>
      <c r="BX14" s="535"/>
      <c r="BY14" s="535"/>
      <c r="BZ14" s="535"/>
      <c r="CA14" s="535"/>
      <c r="CB14" s="535"/>
      <c r="CC14" s="535"/>
      <c r="CD14" s="535"/>
      <c r="CE14" s="535"/>
      <c r="CF14" s="535"/>
      <c r="CG14" s="535"/>
      <c r="CH14" s="535"/>
      <c r="CI14" s="535"/>
      <c r="CJ14" s="535"/>
      <c r="CK14" s="535"/>
      <c r="CL14" s="535"/>
      <c r="CM14" s="535"/>
      <c r="CN14" s="535"/>
      <c r="CO14" s="535"/>
      <c r="CP14" s="535"/>
      <c r="CQ14" s="535"/>
      <c r="CR14" s="535"/>
      <c r="CS14" s="535"/>
      <c r="CT14" s="535"/>
      <c r="CU14" s="535"/>
      <c r="CV14" s="535"/>
      <c r="CW14" s="535"/>
      <c r="CX14" s="535"/>
      <c r="CY14" s="535"/>
      <c r="CZ14" s="537"/>
      <c r="DA14" s="538" t="str">
        <f t="array" ref="DA14">IF(D14="","",
 IF($DO$3="Error","Error",
 IF(OR(
 SUM(($E$4:$CZ$4="")*(E14:CZ14&lt;&gt;""))&gt;0,
 SUM(($E$5:$CZ$5="")*(E14:CZ14&lt;&gt;""))&gt;0,
 COUNTA(E14:CZ14)&gt;$DO$3,
 SUMPRODUCT((E14:CZ14&lt;&gt;"")*(ISNA(MATCH(E14:CZ14,{"P","A","L","E","D"},0))))&gt;0),"Error",
 IF(COUNTIFS($E$5:$CZ$5,"T1",E14:CZ14,$DA$5)=0,"--",
 COUNTIFS($E$5:$CZ$5,"T1",E14:CZ14,$DA$5)))))</f>
        <v>--</v>
      </c>
      <c r="DB14" s="539" t="str">
        <f t="array" ref="DB14">IF(D14="","",
 IF($DO$3="Error","Error",
 IF(OR(
 SUM(($E$4:$CZ$4="")*(E14:CZ14&lt;&gt;""))&gt;0,
 SUM(($E$5:$CZ$5="")*(E14:CZ14&lt;&gt;""))&gt;0,
 COUNTA(E14:CZ14)&gt;$DO$3,
 SUMPRODUCT((E14:CZ14&lt;&gt;"")*(ISNA(MATCH(E14:CZ14,{"P","A","L","E","D"},0))))&gt;0),"Error",
 IF(COUNTIFS($E$5:$CZ$5,"T1",E14:CZ14,$DB$5)=0,"--",
 COUNTIFS($E$5:$CZ$5,"T1",E14:CZ14,$DB$5)))))</f>
        <v>--</v>
      </c>
      <c r="DC14" s="539" t="str">
        <f t="array" ref="DC14">IF(D14="","",
 IF($DO$3="Error","Error",
 IF(OR(
 SUM(($E$4:$CZ$4="")*(E14:CZ14&lt;&gt;""))&gt;0,
 SUM(($E$5:$CZ$5="")*(E14:CZ14&lt;&gt;""))&gt;0,
 COUNTA(E14:CZ14)&gt;$DO$3,
 SUMPRODUCT((E14:CZ14&lt;&gt;"")*(ISNA(MATCH(E14:CZ14,{"P","A","L","E","D"},0))))&gt;0),"Error",
 IF(COUNTIFS($E$5:$CZ$5,"T1",E14:CZ14,$DC$5)=0,"--",
 COUNTIFS($E$5:$CZ$5,"T1",E14:CZ14,$DC$5)))))</f>
        <v>--</v>
      </c>
      <c r="DD14" s="540" t="str">
        <f t="array" ref="DD14">IF(D14="","",
 IF($DO$3="Error","Error",
 IF(OR(
 SUM(($E$4:$CZ$4="")*(E14:CZ14&lt;&gt;""))&gt;0,
 SUM(($E$5:$CZ$5="")*(E14:CZ14&lt;&gt;""))&gt;0,
 COUNTA(E14:CZ14)&gt;$DO$3,
 SUMPRODUCT((E14:CZ14&lt;&gt;"")*(ISNA(MATCH(E14:CZ14,{"P","A","L","E","D"},0))))&gt;0),"Error",
 IF(COUNTIFS($E$5:$CZ$5,"T1",E14:CZ14,$DD$5)=0,"--",
 COUNTIFS($E$5:$CZ$5,"T1",E14:CZ14,$DD$5)))))</f>
        <v>--</v>
      </c>
      <c r="DE14" s="541" t="str">
        <f t="array" ref="DE14">IF(D14="","",
 IF($DO$3="Error","Error",
 IF(OR(
 SUM(($E$4:$CZ$4="")*(E14:CZ14&lt;&gt;""))&gt;0,
 SUM(($E$5:$CZ$5="")*(E14:CZ14&lt;&gt;""))&gt;0,
 COUNTA(E14:CZ14)&gt;$DO$3,
 SUMPRODUCT((E14:CZ14&lt;&gt;"")*(ISNA(MATCH(E14:CZ14,{"P","A","L","E","D"},0))))&gt;0),"Error",
 IF(COUNTIFS($E$5:$CZ$5,"T2",E14:CZ14,$DE$5)=0,"--",
 COUNTIFS($E$5:$CZ$5,"T2",E14:CZ14,$DE$5)))))</f>
        <v>--</v>
      </c>
      <c r="DF14" s="539" t="str">
        <f t="array" ref="DF14">IF(D14="","",
 IF($DO$3="Error","Error",
 IF(OR(
 SUM(($E$4:$CZ$4="")*(E14:CZ14&lt;&gt;""))&gt;0,
 SUM(($E$5:$CZ$5="")*(E14:CZ14&lt;&gt;""))&gt;0,
 COUNTA(E14:CZ14)&gt;$DO$3,
 SUMPRODUCT((E14:CZ14&lt;&gt;"")*(ISNA(MATCH(E14:CZ14,{"P","A","L","E","D"},0))))&gt;0),"Error",
 IF(COUNTIFS($E$5:$CZ$5,"T2",E14:CZ14,$DF$5)=0,"--",
 COUNTIFS($E$5:$CZ$5,"T2",E14:CZ14,$DF$5)))))</f>
        <v>--</v>
      </c>
      <c r="DG14" s="539" t="str">
        <f t="array" ref="DG14">IF(D14="","",
 IF($DO$3="Error","Error",
 IF(OR(
 SUM(($E$4:$CZ$4="")*(E14:CZ14&lt;&gt;""))&gt;0,
 SUM(($E$5:$CZ$5="")*(E14:CZ14&lt;&gt;""))&gt;0,
 COUNTA(E14:CZ14)&gt;$DO$3,
 SUMPRODUCT((E14:CZ14&lt;&gt;"")*(ISNA(MATCH(E14:CZ14,{"P","A","L","E","D"},0))))&gt;0),"Error",
 IF(COUNTIFS($E$5:$CZ$5,"T2",E14:CZ14,$DG$5)=0,"--",
 COUNTIFS($E$5:$CZ$5,"T2",E14:CZ14,$DG$5)))))</f>
        <v>--</v>
      </c>
      <c r="DH14" s="542" t="str">
        <f t="array" ref="DH14">IF(D14="","",
 IF($DO$3="Error","Error",
 IF(OR(
 SUM(($E$4:$CZ$4="")*(E14:CZ14&lt;&gt;""))&gt;0,
 SUM(($E$5:$CZ$5="")*(E14:CZ14&lt;&gt;""))&gt;0,
 COUNTA(E14:CZ14)&gt;$DO$3,
 SUMPRODUCT((E14:CZ14&lt;&gt;"")*(ISNA(MATCH(E14:CZ14,{"P","A","L","E","D"},0))))&gt;0),"Error",
 IF(COUNTIFS($E$5:$CZ$5,"T2",E14:CZ14,$DH$5)=0,"--",
 COUNTIFS($E$5:$CZ$5,"T2",E14:CZ14,$DH$5)))))</f>
        <v>--</v>
      </c>
      <c r="DI14" s="543" t="str">
        <f t="array" ref="DI14">IF(D14="","",
 IF($DO$3="Error","Error",
 IF(OR(
 SUM(($E$4:$CZ$4="")*(E14:CZ14&lt;&gt;""))&gt;0,
 SUM(($E$5:$CZ$5="")*(E14:CZ14&lt;&gt;""))&gt;0,
 COUNTA(E14:CZ14)&gt;$DO$3,
 SUMPRODUCT((E14:CZ14&lt;&gt;"")*(ISNA(MATCH(E14:CZ14,{"P","A","L","E","D"},0))))&gt;0),"Error",
 IF(COUNTIFS($E$5:$CZ$5,"T3",E14:CZ14,$DI$5)=0,"--",
 COUNTIFS($E$5:$CZ$5,"T3",E14:CZ14,$DI$5)))))</f>
        <v>--</v>
      </c>
      <c r="DJ14" s="539" t="str">
        <f t="array" ref="DJ14">IF(D14="","",
 IF($DO$3="Error","Error",
 IF(OR(
 SUM(($E$4:$CZ$4="")*(E14:CZ14&lt;&gt;""))&gt;0,
 SUM(($E$5:$CZ$5="")*(E14:CZ14&lt;&gt;""))&gt;0,
 COUNTA(E14:CZ14)&gt;$DO$3,
 SUMPRODUCT((E14:CZ14&lt;&gt;"")*(ISNA(MATCH(E14:CZ14,{"P","A","L","E","D"},0))))&gt;0),"Error",
 IF(COUNTIFS($E$5:$CZ$5,"T3",E14:CZ14,$DJ$5)=0,"--",
 COUNTIFS($E$5:$CZ$5,"T3",E14:CZ14,$DJ$5)))))</f>
        <v>--</v>
      </c>
      <c r="DK14" s="539" t="str">
        <f t="array" ref="DK14">IF(D14="","",
 IF($DO$3="Error","Error",
 IF(OR(
 SUM(($E$4:$CZ$4="")*(E14:CZ14&lt;&gt;""))&gt;0,
 SUM(($E$5:$CZ$5="")*(E14:CZ14&lt;&gt;""))&gt;0,
 COUNTA(E14:CZ14)&gt;$DO$3,
 SUMPRODUCT((E14:CZ14&lt;&gt;"")*(ISNA(MATCH(E14:CZ14,{"P","A","L","E","D"},0))))&gt;0),"Error",
 IF(COUNTIFS($E$5:$CZ$5,"T3",E14:CZ14,$DK$5)=0,"--",
 COUNTIFS($E$5:$CZ$5,"T3",E14:CZ14,$DK$5)))))</f>
        <v>--</v>
      </c>
      <c r="DL14" s="540" t="str">
        <f t="array" ref="DL14">IF(D14="","",
 IF($DO$3="Error","Error",
 IF(OR(
 SUM(($E$4:$CZ$4="")*(E14:CZ14&lt;&gt;""))&gt;0,
 SUM(($E$5:$CZ$5="")*(E14:CZ14&lt;&gt;""))&gt;0,
 COUNTA(E14:CZ14)&gt;$DO$3,
 SUMPRODUCT((E14:CZ14&lt;&gt;"")*(ISNA(MATCH(E14:CZ14,{"P","A","L","E","D"},0))))&gt;0),"Error",
 IF(COUNTIFS($E$5:$CZ$5,"T3",E14:CZ14,$DL$5)=0,"--",
 COUNTIFS($E$5:$CZ$5,"T3",E14:CZ14,$DL$5)))))</f>
        <v>--</v>
      </c>
      <c r="DM14" s="530" t="str">
        <f t="array" ref="DM14">IF(COUNTIF(DA14:DL14,"Error")&gt;0,"Error",
 IF(AND(D14="",COUNTA(E14:CZ14)&gt;0),"Error",
 IF(COUNTIF(E14:CZ14,"D")&gt;0,"DRP",
 IF(OR(SUM(COUNTIF(E14:CZ14,{"P","A","L","E"}))&gt;0,AND(D14&lt;&gt;"",COUNTA(E14:CZ14)=0)),"Active",""))))</f>
        <v>Active</v>
      </c>
      <c r="DN14" s="531"/>
    </row>
    <row r="15" ht="15.95" customHeight="1" spans="2:118" x14ac:dyDescent="0.25">
      <c r="B15" s="471">
        <v>10</v>
      </c>
      <c r="C15" s="532">
        <f>IF('Data Input'!M16="","",'Data Input'!M16)</f>
        <v>2000485973</v>
      </c>
      <c r="D15" s="533" t="str">
        <f>IF('Data Input'!N16="","",'Data Input'!N16)</f>
        <v>DELOS REYES, GAVIN ZUE</v>
      </c>
      <c r="E15" s="534"/>
      <c r="F15" s="535"/>
      <c r="G15" s="535"/>
      <c r="H15" s="535"/>
      <c r="I15" s="535"/>
      <c r="J15" s="535"/>
      <c r="K15" s="535"/>
      <c r="L15" s="535"/>
      <c r="M15" s="535"/>
      <c r="N15" s="535"/>
      <c r="O15" s="535"/>
      <c r="P15" s="535"/>
      <c r="Q15" s="535"/>
      <c r="R15" s="535"/>
      <c r="S15" s="535"/>
      <c r="T15" s="535"/>
      <c r="U15" s="535"/>
      <c r="V15" s="535"/>
      <c r="W15" s="535"/>
      <c r="X15" s="535"/>
      <c r="Y15" s="535"/>
      <c r="Z15" s="535"/>
      <c r="AA15" s="535"/>
      <c r="AB15" s="535"/>
      <c r="AC15" s="535"/>
      <c r="AD15" s="535"/>
      <c r="AE15" s="535"/>
      <c r="AF15" s="535"/>
      <c r="AG15" s="535"/>
      <c r="AH15" s="535"/>
      <c r="AI15" s="535"/>
      <c r="AJ15" s="535"/>
      <c r="AK15" s="535"/>
      <c r="AL15" s="535"/>
      <c r="AM15" s="535"/>
      <c r="AN15" s="535"/>
      <c r="AO15" s="535"/>
      <c r="AP15" s="535"/>
      <c r="AQ15" s="535"/>
      <c r="AR15" s="535"/>
      <c r="AS15" s="535"/>
      <c r="AT15" s="535"/>
      <c r="AU15" s="535"/>
      <c r="AV15" s="535"/>
      <c r="AW15" s="535"/>
      <c r="AX15" s="535"/>
      <c r="AY15" s="535"/>
      <c r="AZ15" s="535"/>
      <c r="BA15" s="535"/>
      <c r="BB15" s="536"/>
      <c r="BC15" s="535"/>
      <c r="BD15" s="535"/>
      <c r="BE15" s="535"/>
      <c r="BF15" s="535"/>
      <c r="BG15" s="535"/>
      <c r="BH15" s="535"/>
      <c r="BI15" s="535"/>
      <c r="BJ15" s="535"/>
      <c r="BK15" s="535"/>
      <c r="BL15" s="535"/>
      <c r="BM15" s="535"/>
      <c r="BN15" s="535"/>
      <c r="BO15" s="535"/>
      <c r="BP15" s="535"/>
      <c r="BQ15" s="535"/>
      <c r="BR15" s="535"/>
      <c r="BS15" s="535"/>
      <c r="BT15" s="535"/>
      <c r="BU15" s="535"/>
      <c r="BV15" s="535"/>
      <c r="BW15" s="535"/>
      <c r="BX15" s="535"/>
      <c r="BY15" s="535"/>
      <c r="BZ15" s="535"/>
      <c r="CA15" s="535"/>
      <c r="CB15" s="535"/>
      <c r="CC15" s="535"/>
      <c r="CD15" s="535"/>
      <c r="CE15" s="535"/>
      <c r="CF15" s="535"/>
      <c r="CG15" s="535"/>
      <c r="CH15" s="535"/>
      <c r="CI15" s="535"/>
      <c r="CJ15" s="535"/>
      <c r="CK15" s="535"/>
      <c r="CL15" s="535"/>
      <c r="CM15" s="535"/>
      <c r="CN15" s="535"/>
      <c r="CO15" s="535"/>
      <c r="CP15" s="535"/>
      <c r="CQ15" s="535"/>
      <c r="CR15" s="535"/>
      <c r="CS15" s="535"/>
      <c r="CT15" s="535"/>
      <c r="CU15" s="535"/>
      <c r="CV15" s="535"/>
      <c r="CW15" s="535"/>
      <c r="CX15" s="535"/>
      <c r="CY15" s="535"/>
      <c r="CZ15" s="537"/>
      <c r="DA15" s="538" t="str">
        <f t="array" ref="DA15">IF(D15="","",
 IF($DO$3="Error","Error",
 IF(OR(
 SUM(($E$4:$CZ$4="")*(E15:CZ15&lt;&gt;""))&gt;0,
 SUM(($E$5:$CZ$5="")*(E15:CZ15&lt;&gt;""))&gt;0,
 COUNTA(E15:CZ15)&gt;$DO$3,
 SUMPRODUCT((E15:CZ15&lt;&gt;"")*(ISNA(MATCH(E15:CZ15,{"P","A","L","E","D"},0))))&gt;0),"Error",
 IF(COUNTIFS($E$5:$CZ$5,"T1",E15:CZ15,$DA$5)=0,"--",
 COUNTIFS($E$5:$CZ$5,"T1",E15:CZ15,$DA$5)))))</f>
        <v>--</v>
      </c>
      <c r="DB15" s="539" t="str">
        <f t="array" ref="DB15">IF(D15="","",
 IF($DO$3="Error","Error",
 IF(OR(
 SUM(($E$4:$CZ$4="")*(E15:CZ15&lt;&gt;""))&gt;0,
 SUM(($E$5:$CZ$5="")*(E15:CZ15&lt;&gt;""))&gt;0,
 COUNTA(E15:CZ15)&gt;$DO$3,
 SUMPRODUCT((E15:CZ15&lt;&gt;"")*(ISNA(MATCH(E15:CZ15,{"P","A","L","E","D"},0))))&gt;0),"Error",
 IF(COUNTIFS($E$5:$CZ$5,"T1",E15:CZ15,$DB$5)=0,"--",
 COUNTIFS($E$5:$CZ$5,"T1",E15:CZ15,$DB$5)))))</f>
        <v>--</v>
      </c>
      <c r="DC15" s="539" t="str">
        <f t="array" ref="DC15">IF(D15="","",
 IF($DO$3="Error","Error",
 IF(OR(
 SUM(($E$4:$CZ$4="")*(E15:CZ15&lt;&gt;""))&gt;0,
 SUM(($E$5:$CZ$5="")*(E15:CZ15&lt;&gt;""))&gt;0,
 COUNTA(E15:CZ15)&gt;$DO$3,
 SUMPRODUCT((E15:CZ15&lt;&gt;"")*(ISNA(MATCH(E15:CZ15,{"P","A","L","E","D"},0))))&gt;0),"Error",
 IF(COUNTIFS($E$5:$CZ$5,"T1",E15:CZ15,$DC$5)=0,"--",
 COUNTIFS($E$5:$CZ$5,"T1",E15:CZ15,$DC$5)))))</f>
        <v>--</v>
      </c>
      <c r="DD15" s="540" t="str">
        <f t="array" ref="DD15">IF(D15="","",
 IF($DO$3="Error","Error",
 IF(OR(
 SUM(($E$4:$CZ$4="")*(E15:CZ15&lt;&gt;""))&gt;0,
 SUM(($E$5:$CZ$5="")*(E15:CZ15&lt;&gt;""))&gt;0,
 COUNTA(E15:CZ15)&gt;$DO$3,
 SUMPRODUCT((E15:CZ15&lt;&gt;"")*(ISNA(MATCH(E15:CZ15,{"P","A","L","E","D"},0))))&gt;0),"Error",
 IF(COUNTIFS($E$5:$CZ$5,"T1",E15:CZ15,$DD$5)=0,"--",
 COUNTIFS($E$5:$CZ$5,"T1",E15:CZ15,$DD$5)))))</f>
        <v>--</v>
      </c>
      <c r="DE15" s="541" t="str">
        <f t="array" ref="DE15">IF(D15="","",
 IF($DO$3="Error","Error",
 IF(OR(
 SUM(($E$4:$CZ$4="")*(E15:CZ15&lt;&gt;""))&gt;0,
 SUM(($E$5:$CZ$5="")*(E15:CZ15&lt;&gt;""))&gt;0,
 COUNTA(E15:CZ15)&gt;$DO$3,
 SUMPRODUCT((E15:CZ15&lt;&gt;"")*(ISNA(MATCH(E15:CZ15,{"P","A","L","E","D"},0))))&gt;0),"Error",
 IF(COUNTIFS($E$5:$CZ$5,"T2",E15:CZ15,$DE$5)=0,"--",
 COUNTIFS($E$5:$CZ$5,"T2",E15:CZ15,$DE$5)))))</f>
        <v>--</v>
      </c>
      <c r="DF15" s="539" t="str">
        <f t="array" ref="DF15">IF(D15="","",
 IF($DO$3="Error","Error",
 IF(OR(
 SUM(($E$4:$CZ$4="")*(E15:CZ15&lt;&gt;""))&gt;0,
 SUM(($E$5:$CZ$5="")*(E15:CZ15&lt;&gt;""))&gt;0,
 COUNTA(E15:CZ15)&gt;$DO$3,
 SUMPRODUCT((E15:CZ15&lt;&gt;"")*(ISNA(MATCH(E15:CZ15,{"P","A","L","E","D"},0))))&gt;0),"Error",
 IF(COUNTIFS($E$5:$CZ$5,"T2",E15:CZ15,$DF$5)=0,"--",
 COUNTIFS($E$5:$CZ$5,"T2",E15:CZ15,$DF$5)))))</f>
        <v>--</v>
      </c>
      <c r="DG15" s="539" t="str">
        <f t="array" ref="DG15">IF(D15="","",
 IF($DO$3="Error","Error",
 IF(OR(
 SUM(($E$4:$CZ$4="")*(E15:CZ15&lt;&gt;""))&gt;0,
 SUM(($E$5:$CZ$5="")*(E15:CZ15&lt;&gt;""))&gt;0,
 COUNTA(E15:CZ15)&gt;$DO$3,
 SUMPRODUCT((E15:CZ15&lt;&gt;"")*(ISNA(MATCH(E15:CZ15,{"P","A","L","E","D"},0))))&gt;0),"Error",
 IF(COUNTIFS($E$5:$CZ$5,"T2",E15:CZ15,$DG$5)=0,"--",
 COUNTIFS($E$5:$CZ$5,"T2",E15:CZ15,$DG$5)))))</f>
        <v>--</v>
      </c>
      <c r="DH15" s="542" t="str">
        <f t="array" ref="DH15">IF(D15="","",
 IF($DO$3="Error","Error",
 IF(OR(
 SUM(($E$4:$CZ$4="")*(E15:CZ15&lt;&gt;""))&gt;0,
 SUM(($E$5:$CZ$5="")*(E15:CZ15&lt;&gt;""))&gt;0,
 COUNTA(E15:CZ15)&gt;$DO$3,
 SUMPRODUCT((E15:CZ15&lt;&gt;"")*(ISNA(MATCH(E15:CZ15,{"P","A","L","E","D"},0))))&gt;0),"Error",
 IF(COUNTIFS($E$5:$CZ$5,"T2",E15:CZ15,$DH$5)=0,"--",
 COUNTIFS($E$5:$CZ$5,"T2",E15:CZ15,$DH$5)))))</f>
        <v>--</v>
      </c>
      <c r="DI15" s="543" t="str">
        <f t="array" ref="DI15">IF(D15="","",
 IF($DO$3="Error","Error",
 IF(OR(
 SUM(($E$4:$CZ$4="")*(E15:CZ15&lt;&gt;""))&gt;0,
 SUM(($E$5:$CZ$5="")*(E15:CZ15&lt;&gt;""))&gt;0,
 COUNTA(E15:CZ15)&gt;$DO$3,
 SUMPRODUCT((E15:CZ15&lt;&gt;"")*(ISNA(MATCH(E15:CZ15,{"P","A","L","E","D"},0))))&gt;0),"Error",
 IF(COUNTIFS($E$5:$CZ$5,"T3",E15:CZ15,$DI$5)=0,"--",
 COUNTIFS($E$5:$CZ$5,"T3",E15:CZ15,$DI$5)))))</f>
        <v>--</v>
      </c>
      <c r="DJ15" s="539" t="str">
        <f t="array" ref="DJ15">IF(D15="","",
 IF($DO$3="Error","Error",
 IF(OR(
 SUM(($E$4:$CZ$4="")*(E15:CZ15&lt;&gt;""))&gt;0,
 SUM(($E$5:$CZ$5="")*(E15:CZ15&lt;&gt;""))&gt;0,
 COUNTA(E15:CZ15)&gt;$DO$3,
 SUMPRODUCT((E15:CZ15&lt;&gt;"")*(ISNA(MATCH(E15:CZ15,{"P","A","L","E","D"},0))))&gt;0),"Error",
 IF(COUNTIFS($E$5:$CZ$5,"T3",E15:CZ15,$DJ$5)=0,"--",
 COUNTIFS($E$5:$CZ$5,"T3",E15:CZ15,$DJ$5)))))</f>
        <v>--</v>
      </c>
      <c r="DK15" s="539" t="str">
        <f t="array" ref="DK15">IF(D15="","",
 IF($DO$3="Error","Error",
 IF(OR(
 SUM(($E$4:$CZ$4="")*(E15:CZ15&lt;&gt;""))&gt;0,
 SUM(($E$5:$CZ$5="")*(E15:CZ15&lt;&gt;""))&gt;0,
 COUNTA(E15:CZ15)&gt;$DO$3,
 SUMPRODUCT((E15:CZ15&lt;&gt;"")*(ISNA(MATCH(E15:CZ15,{"P","A","L","E","D"},0))))&gt;0),"Error",
 IF(COUNTIFS($E$5:$CZ$5,"T3",E15:CZ15,$DK$5)=0,"--",
 COUNTIFS($E$5:$CZ$5,"T3",E15:CZ15,$DK$5)))))</f>
        <v>--</v>
      </c>
      <c r="DL15" s="540" t="str">
        <f t="array" ref="DL15">IF(D15="","",
 IF($DO$3="Error","Error",
 IF(OR(
 SUM(($E$4:$CZ$4="")*(E15:CZ15&lt;&gt;""))&gt;0,
 SUM(($E$5:$CZ$5="")*(E15:CZ15&lt;&gt;""))&gt;0,
 COUNTA(E15:CZ15)&gt;$DO$3,
 SUMPRODUCT((E15:CZ15&lt;&gt;"")*(ISNA(MATCH(E15:CZ15,{"P","A","L","E","D"},0))))&gt;0),"Error",
 IF(COUNTIFS($E$5:$CZ$5,"T3",E15:CZ15,$DL$5)=0,"--",
 COUNTIFS($E$5:$CZ$5,"T3",E15:CZ15,$DL$5)))))</f>
        <v>--</v>
      </c>
      <c r="DM15" s="530" t="str">
        <f t="array" ref="DM15">IF(COUNTIF(DA15:DL15,"Error")&gt;0,"Error",
 IF(AND(D15="",COUNTA(E15:CZ15)&gt;0),"Error",
 IF(COUNTIF(E15:CZ15,"D")&gt;0,"DRP",
 IF(OR(SUM(COUNTIF(E15:CZ15,{"P","A","L","E"}))&gt;0,AND(D15&lt;&gt;"",COUNTA(E15:CZ15)=0)),"Active",""))))</f>
        <v>Active</v>
      </c>
      <c r="DN15" s="531"/>
    </row>
    <row r="16" ht="15.95" customHeight="1" spans="2:118" x14ac:dyDescent="0.25">
      <c r="B16" s="471">
        <v>11</v>
      </c>
      <c r="C16" s="532">
        <f>IF('Data Input'!M17="","",'Data Input'!M17)</f>
        <v>2000486374</v>
      </c>
      <c r="D16" s="533" t="str">
        <f>IF('Data Input'!N17="","",'Data Input'!N17)</f>
        <v>DIANELA, MARY DIANE</v>
      </c>
      <c r="E16" s="534"/>
      <c r="F16" s="535"/>
      <c r="G16" s="535"/>
      <c r="H16" s="535"/>
      <c r="I16" s="535"/>
      <c r="J16" s="535"/>
      <c r="K16" s="535"/>
      <c r="L16" s="535"/>
      <c r="M16" s="535"/>
      <c r="N16" s="535"/>
      <c r="O16" s="535"/>
      <c r="P16" s="535"/>
      <c r="Q16" s="535"/>
      <c r="R16" s="535"/>
      <c r="S16" s="535"/>
      <c r="T16" s="535"/>
      <c r="U16" s="535"/>
      <c r="V16" s="535"/>
      <c r="W16" s="535"/>
      <c r="X16" s="535"/>
      <c r="Y16" s="535"/>
      <c r="Z16" s="535"/>
      <c r="AA16" s="535"/>
      <c r="AB16" s="535"/>
      <c r="AC16" s="535"/>
      <c r="AD16" s="535"/>
      <c r="AE16" s="535"/>
      <c r="AF16" s="535"/>
      <c r="AG16" s="535"/>
      <c r="AH16" s="535"/>
      <c r="AI16" s="535"/>
      <c r="AJ16" s="535"/>
      <c r="AK16" s="535"/>
      <c r="AL16" s="535"/>
      <c r="AM16" s="535"/>
      <c r="AN16" s="535"/>
      <c r="AO16" s="535"/>
      <c r="AP16" s="535"/>
      <c r="AQ16" s="535"/>
      <c r="AR16" s="535"/>
      <c r="AS16" s="535"/>
      <c r="AT16" s="535"/>
      <c r="AU16" s="535"/>
      <c r="AV16" s="535"/>
      <c r="AW16" s="535"/>
      <c r="AX16" s="535"/>
      <c r="AY16" s="535"/>
      <c r="AZ16" s="535"/>
      <c r="BA16" s="535"/>
      <c r="BB16" s="536"/>
      <c r="BC16" s="535"/>
      <c r="BD16" s="535"/>
      <c r="BE16" s="535"/>
      <c r="BF16" s="535"/>
      <c r="BG16" s="535"/>
      <c r="BH16" s="535"/>
      <c r="BI16" s="535"/>
      <c r="BJ16" s="535"/>
      <c r="BK16" s="535"/>
      <c r="BL16" s="535"/>
      <c r="BM16" s="535"/>
      <c r="BN16" s="535"/>
      <c r="BO16" s="535"/>
      <c r="BP16" s="535"/>
      <c r="BQ16" s="535"/>
      <c r="BR16" s="535"/>
      <c r="BS16" s="535"/>
      <c r="BT16" s="535"/>
      <c r="BU16" s="535"/>
      <c r="BV16" s="535"/>
      <c r="BW16" s="535"/>
      <c r="BX16" s="535"/>
      <c r="BY16" s="535"/>
      <c r="BZ16" s="535"/>
      <c r="CA16" s="535"/>
      <c r="CB16" s="535"/>
      <c r="CC16" s="535"/>
      <c r="CD16" s="535"/>
      <c r="CE16" s="535"/>
      <c r="CF16" s="535"/>
      <c r="CG16" s="535"/>
      <c r="CH16" s="535"/>
      <c r="CI16" s="535"/>
      <c r="CJ16" s="535"/>
      <c r="CK16" s="535"/>
      <c r="CL16" s="535"/>
      <c r="CM16" s="535"/>
      <c r="CN16" s="535"/>
      <c r="CO16" s="535"/>
      <c r="CP16" s="535"/>
      <c r="CQ16" s="535"/>
      <c r="CR16" s="535"/>
      <c r="CS16" s="535"/>
      <c r="CT16" s="535"/>
      <c r="CU16" s="535"/>
      <c r="CV16" s="535"/>
      <c r="CW16" s="535"/>
      <c r="CX16" s="535"/>
      <c r="CY16" s="535"/>
      <c r="CZ16" s="537"/>
      <c r="DA16" s="538" t="str">
        <f t="array" ref="DA16">IF(D16="","",
 IF($DO$3="Error","Error",
 IF(OR(
 SUM(($E$4:$CZ$4="")*(E16:CZ16&lt;&gt;""))&gt;0,
 SUM(($E$5:$CZ$5="")*(E16:CZ16&lt;&gt;""))&gt;0,
 COUNTA(E16:CZ16)&gt;$DO$3,
 SUMPRODUCT((E16:CZ16&lt;&gt;"")*(ISNA(MATCH(E16:CZ16,{"P","A","L","E","D"},0))))&gt;0),"Error",
 IF(COUNTIFS($E$5:$CZ$5,"T1",E16:CZ16,$DA$5)=0,"--",
 COUNTIFS($E$5:$CZ$5,"T1",E16:CZ16,$DA$5)))))</f>
        <v>--</v>
      </c>
      <c r="DB16" s="539" t="str">
        <f t="array" ref="DB16">IF(D16="","",
 IF($DO$3="Error","Error",
 IF(OR(
 SUM(($E$4:$CZ$4="")*(E16:CZ16&lt;&gt;""))&gt;0,
 SUM(($E$5:$CZ$5="")*(E16:CZ16&lt;&gt;""))&gt;0,
 COUNTA(E16:CZ16)&gt;$DO$3,
 SUMPRODUCT((E16:CZ16&lt;&gt;"")*(ISNA(MATCH(E16:CZ16,{"P","A","L","E","D"},0))))&gt;0),"Error",
 IF(COUNTIFS($E$5:$CZ$5,"T1",E16:CZ16,$DB$5)=0,"--",
 COUNTIFS($E$5:$CZ$5,"T1",E16:CZ16,$DB$5)))))</f>
        <v>--</v>
      </c>
      <c r="DC16" s="539" t="str">
        <f t="array" ref="DC16">IF(D16="","",
 IF($DO$3="Error","Error",
 IF(OR(
 SUM(($E$4:$CZ$4="")*(E16:CZ16&lt;&gt;""))&gt;0,
 SUM(($E$5:$CZ$5="")*(E16:CZ16&lt;&gt;""))&gt;0,
 COUNTA(E16:CZ16)&gt;$DO$3,
 SUMPRODUCT((E16:CZ16&lt;&gt;"")*(ISNA(MATCH(E16:CZ16,{"P","A","L","E","D"},0))))&gt;0),"Error",
 IF(COUNTIFS($E$5:$CZ$5,"T1",E16:CZ16,$DC$5)=0,"--",
 COUNTIFS($E$5:$CZ$5,"T1",E16:CZ16,$DC$5)))))</f>
        <v>--</v>
      </c>
      <c r="DD16" s="540" t="str">
        <f t="array" ref="DD16">IF(D16="","",
 IF($DO$3="Error","Error",
 IF(OR(
 SUM(($E$4:$CZ$4="")*(E16:CZ16&lt;&gt;""))&gt;0,
 SUM(($E$5:$CZ$5="")*(E16:CZ16&lt;&gt;""))&gt;0,
 COUNTA(E16:CZ16)&gt;$DO$3,
 SUMPRODUCT((E16:CZ16&lt;&gt;"")*(ISNA(MATCH(E16:CZ16,{"P","A","L","E","D"},0))))&gt;0),"Error",
 IF(COUNTIFS($E$5:$CZ$5,"T1",E16:CZ16,$DD$5)=0,"--",
 COUNTIFS($E$5:$CZ$5,"T1",E16:CZ16,$DD$5)))))</f>
        <v>--</v>
      </c>
      <c r="DE16" s="541" t="str">
        <f t="array" ref="DE16">IF(D16="","",
 IF($DO$3="Error","Error",
 IF(OR(
 SUM(($E$4:$CZ$4="")*(E16:CZ16&lt;&gt;""))&gt;0,
 SUM(($E$5:$CZ$5="")*(E16:CZ16&lt;&gt;""))&gt;0,
 COUNTA(E16:CZ16)&gt;$DO$3,
 SUMPRODUCT((E16:CZ16&lt;&gt;"")*(ISNA(MATCH(E16:CZ16,{"P","A","L","E","D"},0))))&gt;0),"Error",
 IF(COUNTIFS($E$5:$CZ$5,"T2",E16:CZ16,$DE$5)=0,"--",
 COUNTIFS($E$5:$CZ$5,"T2",E16:CZ16,$DE$5)))))</f>
        <v>--</v>
      </c>
      <c r="DF16" s="539" t="str">
        <f t="array" ref="DF16">IF(D16="","",
 IF($DO$3="Error","Error",
 IF(OR(
 SUM(($E$4:$CZ$4="")*(E16:CZ16&lt;&gt;""))&gt;0,
 SUM(($E$5:$CZ$5="")*(E16:CZ16&lt;&gt;""))&gt;0,
 COUNTA(E16:CZ16)&gt;$DO$3,
 SUMPRODUCT((E16:CZ16&lt;&gt;"")*(ISNA(MATCH(E16:CZ16,{"P","A","L","E","D"},0))))&gt;0),"Error",
 IF(COUNTIFS($E$5:$CZ$5,"T2",E16:CZ16,$DF$5)=0,"--",
 COUNTIFS($E$5:$CZ$5,"T2",E16:CZ16,$DF$5)))))</f>
        <v>--</v>
      </c>
      <c r="DG16" s="539" t="str">
        <f t="array" ref="DG16">IF(D16="","",
 IF($DO$3="Error","Error",
 IF(OR(
 SUM(($E$4:$CZ$4="")*(E16:CZ16&lt;&gt;""))&gt;0,
 SUM(($E$5:$CZ$5="")*(E16:CZ16&lt;&gt;""))&gt;0,
 COUNTA(E16:CZ16)&gt;$DO$3,
 SUMPRODUCT((E16:CZ16&lt;&gt;"")*(ISNA(MATCH(E16:CZ16,{"P","A","L","E","D"},0))))&gt;0),"Error",
 IF(COUNTIFS($E$5:$CZ$5,"T2",E16:CZ16,$DG$5)=0,"--",
 COUNTIFS($E$5:$CZ$5,"T2",E16:CZ16,$DG$5)))))</f>
        <v>--</v>
      </c>
      <c r="DH16" s="542" t="str">
        <f t="array" ref="DH16">IF(D16="","",
 IF($DO$3="Error","Error",
 IF(OR(
 SUM(($E$4:$CZ$4="")*(E16:CZ16&lt;&gt;""))&gt;0,
 SUM(($E$5:$CZ$5="")*(E16:CZ16&lt;&gt;""))&gt;0,
 COUNTA(E16:CZ16)&gt;$DO$3,
 SUMPRODUCT((E16:CZ16&lt;&gt;"")*(ISNA(MATCH(E16:CZ16,{"P","A","L","E","D"},0))))&gt;0),"Error",
 IF(COUNTIFS($E$5:$CZ$5,"T2",E16:CZ16,$DH$5)=0,"--",
 COUNTIFS($E$5:$CZ$5,"T2",E16:CZ16,$DH$5)))))</f>
        <v>--</v>
      </c>
      <c r="DI16" s="543" t="str">
        <f t="array" ref="DI16">IF(D16="","",
 IF($DO$3="Error","Error",
 IF(OR(
 SUM(($E$4:$CZ$4="")*(E16:CZ16&lt;&gt;""))&gt;0,
 SUM(($E$5:$CZ$5="")*(E16:CZ16&lt;&gt;""))&gt;0,
 COUNTA(E16:CZ16)&gt;$DO$3,
 SUMPRODUCT((E16:CZ16&lt;&gt;"")*(ISNA(MATCH(E16:CZ16,{"P","A","L","E","D"},0))))&gt;0),"Error",
 IF(COUNTIFS($E$5:$CZ$5,"T3",E16:CZ16,$DI$5)=0,"--",
 COUNTIFS($E$5:$CZ$5,"T3",E16:CZ16,$DI$5)))))</f>
        <v>--</v>
      </c>
      <c r="DJ16" s="539" t="str">
        <f t="array" ref="DJ16">IF(D16="","",
 IF($DO$3="Error","Error",
 IF(OR(
 SUM(($E$4:$CZ$4="")*(E16:CZ16&lt;&gt;""))&gt;0,
 SUM(($E$5:$CZ$5="")*(E16:CZ16&lt;&gt;""))&gt;0,
 COUNTA(E16:CZ16)&gt;$DO$3,
 SUMPRODUCT((E16:CZ16&lt;&gt;"")*(ISNA(MATCH(E16:CZ16,{"P","A","L","E","D"},0))))&gt;0),"Error",
 IF(COUNTIFS($E$5:$CZ$5,"T3",E16:CZ16,$DJ$5)=0,"--",
 COUNTIFS($E$5:$CZ$5,"T3",E16:CZ16,$DJ$5)))))</f>
        <v>--</v>
      </c>
      <c r="DK16" s="539" t="str">
        <f t="array" ref="DK16">IF(D16="","",
 IF($DO$3="Error","Error",
 IF(OR(
 SUM(($E$4:$CZ$4="")*(E16:CZ16&lt;&gt;""))&gt;0,
 SUM(($E$5:$CZ$5="")*(E16:CZ16&lt;&gt;""))&gt;0,
 COUNTA(E16:CZ16)&gt;$DO$3,
 SUMPRODUCT((E16:CZ16&lt;&gt;"")*(ISNA(MATCH(E16:CZ16,{"P","A","L","E","D"},0))))&gt;0),"Error",
 IF(COUNTIFS($E$5:$CZ$5,"T3",E16:CZ16,$DK$5)=0,"--",
 COUNTIFS($E$5:$CZ$5,"T3",E16:CZ16,$DK$5)))))</f>
        <v>--</v>
      </c>
      <c r="DL16" s="540" t="str">
        <f t="array" ref="DL16">IF(D16="","",
 IF($DO$3="Error","Error",
 IF(OR(
 SUM(($E$4:$CZ$4="")*(E16:CZ16&lt;&gt;""))&gt;0,
 SUM(($E$5:$CZ$5="")*(E16:CZ16&lt;&gt;""))&gt;0,
 COUNTA(E16:CZ16)&gt;$DO$3,
 SUMPRODUCT((E16:CZ16&lt;&gt;"")*(ISNA(MATCH(E16:CZ16,{"P","A","L","E","D"},0))))&gt;0),"Error",
 IF(COUNTIFS($E$5:$CZ$5,"T3",E16:CZ16,$DL$5)=0,"--",
 COUNTIFS($E$5:$CZ$5,"T3",E16:CZ16,$DL$5)))))</f>
        <v>--</v>
      </c>
      <c r="DM16" s="530" t="str">
        <f t="array" ref="DM16">IF(COUNTIF(DA16:DL16,"Error")&gt;0,"Error",
 IF(AND(D16="",COUNTA(E16:CZ16)&gt;0),"Error",
 IF(COUNTIF(E16:CZ16,"D")&gt;0,"DRP",
 IF(OR(SUM(COUNTIF(E16:CZ16,{"P","A","L","E"}))&gt;0,AND(D16&lt;&gt;"",COUNTA(E16:CZ16)=0)),"Active",""))))</f>
        <v>Active</v>
      </c>
      <c r="DN16" s="531"/>
    </row>
    <row r="17" ht="15.95" customHeight="1" spans="2:118" x14ac:dyDescent="0.25">
      <c r="B17" s="471">
        <v>12</v>
      </c>
      <c r="C17" s="532">
        <f>IF('Data Input'!M18="","",'Data Input'!M18)</f>
        <v>2000486376</v>
      </c>
      <c r="D17" s="533" t="str">
        <f>IF('Data Input'!N18="","",'Data Input'!N18)</f>
        <v>DIKIT, JON JUIN</v>
      </c>
      <c r="E17" s="534"/>
      <c r="F17" s="535"/>
      <c r="G17" s="535"/>
      <c r="H17" s="535"/>
      <c r="I17" s="535"/>
      <c r="J17" s="535"/>
      <c r="K17" s="535"/>
      <c r="L17" s="535"/>
      <c r="M17" s="535"/>
      <c r="N17" s="535"/>
      <c r="O17" s="535"/>
      <c r="P17" s="535"/>
      <c r="Q17" s="535"/>
      <c r="R17" s="535"/>
      <c r="S17" s="535"/>
      <c r="T17" s="535"/>
      <c r="U17" s="535"/>
      <c r="V17" s="535"/>
      <c r="W17" s="535"/>
      <c r="X17" s="535"/>
      <c r="Y17" s="535"/>
      <c r="Z17" s="535"/>
      <c r="AA17" s="535"/>
      <c r="AB17" s="535"/>
      <c r="AC17" s="535"/>
      <c r="AD17" s="535"/>
      <c r="AE17" s="535"/>
      <c r="AF17" s="535"/>
      <c r="AG17" s="535"/>
      <c r="AH17" s="535"/>
      <c r="AI17" s="535"/>
      <c r="AJ17" s="535"/>
      <c r="AK17" s="535"/>
      <c r="AL17" s="535"/>
      <c r="AM17" s="535"/>
      <c r="AN17" s="535"/>
      <c r="AO17" s="535"/>
      <c r="AP17" s="535"/>
      <c r="AQ17" s="535"/>
      <c r="AR17" s="535"/>
      <c r="AS17" s="535"/>
      <c r="AT17" s="535"/>
      <c r="AU17" s="535"/>
      <c r="AV17" s="535"/>
      <c r="AW17" s="535"/>
      <c r="AX17" s="535"/>
      <c r="AY17" s="535"/>
      <c r="AZ17" s="535"/>
      <c r="BA17" s="535"/>
      <c r="BB17" s="536"/>
      <c r="BC17" s="535"/>
      <c r="BD17" s="535"/>
      <c r="BE17" s="535"/>
      <c r="BF17" s="535"/>
      <c r="BG17" s="535"/>
      <c r="BH17" s="535"/>
      <c r="BI17" s="535"/>
      <c r="BJ17" s="535"/>
      <c r="BK17" s="535"/>
      <c r="BL17" s="535"/>
      <c r="BM17" s="535"/>
      <c r="BN17" s="535"/>
      <c r="BO17" s="535"/>
      <c r="BP17" s="535"/>
      <c r="BQ17" s="535"/>
      <c r="BR17" s="535"/>
      <c r="BS17" s="535"/>
      <c r="BT17" s="535"/>
      <c r="BU17" s="535"/>
      <c r="BV17" s="535"/>
      <c r="BW17" s="535"/>
      <c r="BX17" s="535"/>
      <c r="BY17" s="535"/>
      <c r="BZ17" s="535"/>
      <c r="CA17" s="535"/>
      <c r="CB17" s="535"/>
      <c r="CC17" s="535"/>
      <c r="CD17" s="535"/>
      <c r="CE17" s="535"/>
      <c r="CF17" s="535"/>
      <c r="CG17" s="535"/>
      <c r="CH17" s="535"/>
      <c r="CI17" s="535"/>
      <c r="CJ17" s="535"/>
      <c r="CK17" s="535"/>
      <c r="CL17" s="535"/>
      <c r="CM17" s="535"/>
      <c r="CN17" s="535"/>
      <c r="CO17" s="535"/>
      <c r="CP17" s="535"/>
      <c r="CQ17" s="535"/>
      <c r="CR17" s="535"/>
      <c r="CS17" s="535"/>
      <c r="CT17" s="535"/>
      <c r="CU17" s="535"/>
      <c r="CV17" s="535"/>
      <c r="CW17" s="535"/>
      <c r="CX17" s="535"/>
      <c r="CY17" s="535"/>
      <c r="CZ17" s="537"/>
      <c r="DA17" s="538" t="str">
        <f t="array" ref="DA17">IF(D17="","",
 IF($DO$3="Error","Error",
 IF(OR(
 SUM(($E$4:$CZ$4="")*(E17:CZ17&lt;&gt;""))&gt;0,
 SUM(($E$5:$CZ$5="")*(E17:CZ17&lt;&gt;""))&gt;0,
 COUNTA(E17:CZ17)&gt;$DO$3,
 SUMPRODUCT((E17:CZ17&lt;&gt;"")*(ISNA(MATCH(E17:CZ17,{"P","A","L","E","D"},0))))&gt;0),"Error",
 IF(COUNTIFS($E$5:$CZ$5,"T1",E17:CZ17,$DA$5)=0,"--",
 COUNTIFS($E$5:$CZ$5,"T1",E17:CZ17,$DA$5)))))</f>
        <v>--</v>
      </c>
      <c r="DB17" s="539" t="str">
        <f t="array" ref="DB17">IF(D17="","",
 IF($DO$3="Error","Error",
 IF(OR(
 SUM(($E$4:$CZ$4="")*(E17:CZ17&lt;&gt;""))&gt;0,
 SUM(($E$5:$CZ$5="")*(E17:CZ17&lt;&gt;""))&gt;0,
 COUNTA(E17:CZ17)&gt;$DO$3,
 SUMPRODUCT((E17:CZ17&lt;&gt;"")*(ISNA(MATCH(E17:CZ17,{"P","A","L","E","D"},0))))&gt;0),"Error",
 IF(COUNTIFS($E$5:$CZ$5,"T1",E17:CZ17,$DB$5)=0,"--",
 COUNTIFS($E$5:$CZ$5,"T1",E17:CZ17,$DB$5)))))</f>
        <v>--</v>
      </c>
      <c r="DC17" s="539" t="str">
        <f t="array" ref="DC17">IF(D17="","",
 IF($DO$3="Error","Error",
 IF(OR(
 SUM(($E$4:$CZ$4="")*(E17:CZ17&lt;&gt;""))&gt;0,
 SUM(($E$5:$CZ$5="")*(E17:CZ17&lt;&gt;""))&gt;0,
 COUNTA(E17:CZ17)&gt;$DO$3,
 SUMPRODUCT((E17:CZ17&lt;&gt;"")*(ISNA(MATCH(E17:CZ17,{"P","A","L","E","D"},0))))&gt;0),"Error",
 IF(COUNTIFS($E$5:$CZ$5,"T1",E17:CZ17,$DC$5)=0,"--",
 COUNTIFS($E$5:$CZ$5,"T1",E17:CZ17,$DC$5)))))</f>
        <v>--</v>
      </c>
      <c r="DD17" s="540" t="str">
        <f t="array" ref="DD17">IF(D17="","",
 IF($DO$3="Error","Error",
 IF(OR(
 SUM(($E$4:$CZ$4="")*(E17:CZ17&lt;&gt;""))&gt;0,
 SUM(($E$5:$CZ$5="")*(E17:CZ17&lt;&gt;""))&gt;0,
 COUNTA(E17:CZ17)&gt;$DO$3,
 SUMPRODUCT((E17:CZ17&lt;&gt;"")*(ISNA(MATCH(E17:CZ17,{"P","A","L","E","D"},0))))&gt;0),"Error",
 IF(COUNTIFS($E$5:$CZ$5,"T1",E17:CZ17,$DD$5)=0,"--",
 COUNTIFS($E$5:$CZ$5,"T1",E17:CZ17,$DD$5)))))</f>
        <v>--</v>
      </c>
      <c r="DE17" s="541" t="str">
        <f t="array" ref="DE17">IF(D17="","",
 IF($DO$3="Error","Error",
 IF(OR(
 SUM(($E$4:$CZ$4="")*(E17:CZ17&lt;&gt;""))&gt;0,
 SUM(($E$5:$CZ$5="")*(E17:CZ17&lt;&gt;""))&gt;0,
 COUNTA(E17:CZ17)&gt;$DO$3,
 SUMPRODUCT((E17:CZ17&lt;&gt;"")*(ISNA(MATCH(E17:CZ17,{"P","A","L","E","D"},0))))&gt;0),"Error",
 IF(COUNTIFS($E$5:$CZ$5,"T2",E17:CZ17,$DE$5)=0,"--",
 COUNTIFS($E$5:$CZ$5,"T2",E17:CZ17,$DE$5)))))</f>
        <v>--</v>
      </c>
      <c r="DF17" s="539" t="str">
        <f t="array" ref="DF17">IF(D17="","",
 IF($DO$3="Error","Error",
 IF(OR(
 SUM(($E$4:$CZ$4="")*(E17:CZ17&lt;&gt;""))&gt;0,
 SUM(($E$5:$CZ$5="")*(E17:CZ17&lt;&gt;""))&gt;0,
 COUNTA(E17:CZ17)&gt;$DO$3,
 SUMPRODUCT((E17:CZ17&lt;&gt;"")*(ISNA(MATCH(E17:CZ17,{"P","A","L","E","D"},0))))&gt;0),"Error",
 IF(COUNTIFS($E$5:$CZ$5,"T2",E17:CZ17,$DF$5)=0,"--",
 COUNTIFS($E$5:$CZ$5,"T2",E17:CZ17,$DF$5)))))</f>
        <v>--</v>
      </c>
      <c r="DG17" s="539" t="str">
        <f t="array" ref="DG17">IF(D17="","",
 IF($DO$3="Error","Error",
 IF(OR(
 SUM(($E$4:$CZ$4="")*(E17:CZ17&lt;&gt;""))&gt;0,
 SUM(($E$5:$CZ$5="")*(E17:CZ17&lt;&gt;""))&gt;0,
 COUNTA(E17:CZ17)&gt;$DO$3,
 SUMPRODUCT((E17:CZ17&lt;&gt;"")*(ISNA(MATCH(E17:CZ17,{"P","A","L","E","D"},0))))&gt;0),"Error",
 IF(COUNTIFS($E$5:$CZ$5,"T2",E17:CZ17,$DG$5)=0,"--",
 COUNTIFS($E$5:$CZ$5,"T2",E17:CZ17,$DG$5)))))</f>
        <v>--</v>
      </c>
      <c r="DH17" s="542" t="str">
        <f t="array" ref="DH17">IF(D17="","",
 IF($DO$3="Error","Error",
 IF(OR(
 SUM(($E$4:$CZ$4="")*(E17:CZ17&lt;&gt;""))&gt;0,
 SUM(($E$5:$CZ$5="")*(E17:CZ17&lt;&gt;""))&gt;0,
 COUNTA(E17:CZ17)&gt;$DO$3,
 SUMPRODUCT((E17:CZ17&lt;&gt;"")*(ISNA(MATCH(E17:CZ17,{"P","A","L","E","D"},0))))&gt;0),"Error",
 IF(COUNTIFS($E$5:$CZ$5,"T2",E17:CZ17,$DH$5)=0,"--",
 COUNTIFS($E$5:$CZ$5,"T2",E17:CZ17,$DH$5)))))</f>
        <v>--</v>
      </c>
      <c r="DI17" s="543" t="str">
        <f t="array" ref="DI17">IF(D17="","",
 IF($DO$3="Error","Error",
 IF(OR(
 SUM(($E$4:$CZ$4="")*(E17:CZ17&lt;&gt;""))&gt;0,
 SUM(($E$5:$CZ$5="")*(E17:CZ17&lt;&gt;""))&gt;0,
 COUNTA(E17:CZ17)&gt;$DO$3,
 SUMPRODUCT((E17:CZ17&lt;&gt;"")*(ISNA(MATCH(E17:CZ17,{"P","A","L","E","D"},0))))&gt;0),"Error",
 IF(COUNTIFS($E$5:$CZ$5,"T3",E17:CZ17,$DI$5)=0,"--",
 COUNTIFS($E$5:$CZ$5,"T3",E17:CZ17,$DI$5)))))</f>
        <v>--</v>
      </c>
      <c r="DJ17" s="539" t="str">
        <f t="array" ref="DJ17">IF(D17="","",
 IF($DO$3="Error","Error",
 IF(OR(
 SUM(($E$4:$CZ$4="")*(E17:CZ17&lt;&gt;""))&gt;0,
 SUM(($E$5:$CZ$5="")*(E17:CZ17&lt;&gt;""))&gt;0,
 COUNTA(E17:CZ17)&gt;$DO$3,
 SUMPRODUCT((E17:CZ17&lt;&gt;"")*(ISNA(MATCH(E17:CZ17,{"P","A","L","E","D"},0))))&gt;0),"Error",
 IF(COUNTIFS($E$5:$CZ$5,"T3",E17:CZ17,$DJ$5)=0,"--",
 COUNTIFS($E$5:$CZ$5,"T3",E17:CZ17,$DJ$5)))))</f>
        <v>--</v>
      </c>
      <c r="DK17" s="539" t="str">
        <f t="array" ref="DK17">IF(D17="","",
 IF($DO$3="Error","Error",
 IF(OR(
 SUM(($E$4:$CZ$4="")*(E17:CZ17&lt;&gt;""))&gt;0,
 SUM(($E$5:$CZ$5="")*(E17:CZ17&lt;&gt;""))&gt;0,
 COUNTA(E17:CZ17)&gt;$DO$3,
 SUMPRODUCT((E17:CZ17&lt;&gt;"")*(ISNA(MATCH(E17:CZ17,{"P","A","L","E","D"},0))))&gt;0),"Error",
 IF(COUNTIFS($E$5:$CZ$5,"T3",E17:CZ17,$DK$5)=0,"--",
 COUNTIFS($E$5:$CZ$5,"T3",E17:CZ17,$DK$5)))))</f>
        <v>--</v>
      </c>
      <c r="DL17" s="540" t="str">
        <f t="array" ref="DL17">IF(D17="","",
 IF($DO$3="Error","Error",
 IF(OR(
 SUM(($E$4:$CZ$4="")*(E17:CZ17&lt;&gt;""))&gt;0,
 SUM(($E$5:$CZ$5="")*(E17:CZ17&lt;&gt;""))&gt;0,
 COUNTA(E17:CZ17)&gt;$DO$3,
 SUMPRODUCT((E17:CZ17&lt;&gt;"")*(ISNA(MATCH(E17:CZ17,{"P","A","L","E","D"},0))))&gt;0),"Error",
 IF(COUNTIFS($E$5:$CZ$5,"T3",E17:CZ17,$DL$5)=0,"--",
 COUNTIFS($E$5:$CZ$5,"T3",E17:CZ17,$DL$5)))))</f>
        <v>--</v>
      </c>
      <c r="DM17" s="530" t="str">
        <f t="array" ref="DM17">IF(COUNTIF(DA17:DL17,"Error")&gt;0,"Error",
 IF(AND(D17="",COUNTA(E17:CZ17)&gt;0),"Error",
 IF(COUNTIF(E17:CZ17,"D")&gt;0,"DRP",
 IF(OR(SUM(COUNTIF(E17:CZ17,{"P","A","L","E"}))&gt;0,AND(D17&lt;&gt;"",COUNTA(E17:CZ17)=0)),"Active",""))))</f>
        <v>Active</v>
      </c>
      <c r="DN17" s="531"/>
    </row>
    <row r="18" ht="15.95" customHeight="1" spans="2:118" x14ac:dyDescent="0.25">
      <c r="B18" s="471">
        <v>13</v>
      </c>
      <c r="C18" s="532">
        <f>IF('Data Input'!M19="","",'Data Input'!M19)</f>
        <v>2000490030</v>
      </c>
      <c r="D18" s="533" t="str">
        <f>IF('Data Input'!N19="","",'Data Input'!N19)</f>
        <v>ESTOR, PHOEB REMEDIOS</v>
      </c>
      <c r="E18" s="534"/>
      <c r="F18" s="535"/>
      <c r="G18" s="535"/>
      <c r="H18" s="535"/>
      <c r="I18" s="535"/>
      <c r="J18" s="535"/>
      <c r="K18" s="535"/>
      <c r="L18" s="535"/>
      <c r="M18" s="535"/>
      <c r="N18" s="535"/>
      <c r="O18" s="535"/>
      <c r="P18" s="535"/>
      <c r="Q18" s="535"/>
      <c r="R18" s="535"/>
      <c r="S18" s="535"/>
      <c r="T18" s="535"/>
      <c r="U18" s="535"/>
      <c r="V18" s="535"/>
      <c r="W18" s="535"/>
      <c r="X18" s="535"/>
      <c r="Y18" s="535"/>
      <c r="Z18" s="535"/>
      <c r="AA18" s="535"/>
      <c r="AB18" s="535"/>
      <c r="AC18" s="535"/>
      <c r="AD18" s="535"/>
      <c r="AE18" s="535"/>
      <c r="AF18" s="535"/>
      <c r="AG18" s="535"/>
      <c r="AH18" s="535"/>
      <c r="AI18" s="535"/>
      <c r="AJ18" s="535"/>
      <c r="AK18" s="535"/>
      <c r="AL18" s="535"/>
      <c r="AM18" s="535"/>
      <c r="AN18" s="535"/>
      <c r="AO18" s="535"/>
      <c r="AP18" s="535"/>
      <c r="AQ18" s="535"/>
      <c r="AR18" s="535"/>
      <c r="AS18" s="535"/>
      <c r="AT18" s="535"/>
      <c r="AU18" s="535"/>
      <c r="AV18" s="535"/>
      <c r="AW18" s="535"/>
      <c r="AX18" s="535"/>
      <c r="AY18" s="535"/>
      <c r="AZ18" s="535"/>
      <c r="BA18" s="535"/>
      <c r="BB18" s="536"/>
      <c r="BC18" s="535"/>
      <c r="BD18" s="535"/>
      <c r="BE18" s="535"/>
      <c r="BF18" s="535"/>
      <c r="BG18" s="535"/>
      <c r="BH18" s="535"/>
      <c r="BI18" s="535"/>
      <c r="BJ18" s="535"/>
      <c r="BK18" s="535"/>
      <c r="BL18" s="535"/>
      <c r="BM18" s="535"/>
      <c r="BN18" s="535"/>
      <c r="BO18" s="535"/>
      <c r="BP18" s="535"/>
      <c r="BQ18" s="535"/>
      <c r="BR18" s="535"/>
      <c r="BS18" s="535"/>
      <c r="BT18" s="535"/>
      <c r="BU18" s="535"/>
      <c r="BV18" s="535"/>
      <c r="BW18" s="535"/>
      <c r="BX18" s="535"/>
      <c r="BY18" s="535"/>
      <c r="BZ18" s="535"/>
      <c r="CA18" s="535"/>
      <c r="CB18" s="535"/>
      <c r="CC18" s="535"/>
      <c r="CD18" s="535"/>
      <c r="CE18" s="535"/>
      <c r="CF18" s="535"/>
      <c r="CG18" s="535"/>
      <c r="CH18" s="535"/>
      <c r="CI18" s="535"/>
      <c r="CJ18" s="535"/>
      <c r="CK18" s="535"/>
      <c r="CL18" s="535"/>
      <c r="CM18" s="535"/>
      <c r="CN18" s="535"/>
      <c r="CO18" s="535"/>
      <c r="CP18" s="535"/>
      <c r="CQ18" s="535"/>
      <c r="CR18" s="535"/>
      <c r="CS18" s="535"/>
      <c r="CT18" s="535"/>
      <c r="CU18" s="535"/>
      <c r="CV18" s="535"/>
      <c r="CW18" s="535"/>
      <c r="CX18" s="535"/>
      <c r="CY18" s="535"/>
      <c r="CZ18" s="537"/>
      <c r="DA18" s="538" t="str">
        <f t="array" ref="DA18">IF(D18="","",
 IF($DO$3="Error","Error",
 IF(OR(
 SUM(($E$4:$CZ$4="")*(E18:CZ18&lt;&gt;""))&gt;0,
 SUM(($E$5:$CZ$5="")*(E18:CZ18&lt;&gt;""))&gt;0,
 COUNTA(E18:CZ18)&gt;$DO$3,
 SUMPRODUCT((E18:CZ18&lt;&gt;"")*(ISNA(MATCH(E18:CZ18,{"P","A","L","E","D"},0))))&gt;0),"Error",
 IF(COUNTIFS($E$5:$CZ$5,"T1",E18:CZ18,$DA$5)=0,"--",
 COUNTIFS($E$5:$CZ$5,"T1",E18:CZ18,$DA$5)))))</f>
        <v>--</v>
      </c>
      <c r="DB18" s="539" t="str">
        <f t="array" ref="DB18">IF(D18="","",
 IF($DO$3="Error","Error",
 IF(OR(
 SUM(($E$4:$CZ$4="")*(E18:CZ18&lt;&gt;""))&gt;0,
 SUM(($E$5:$CZ$5="")*(E18:CZ18&lt;&gt;""))&gt;0,
 COUNTA(E18:CZ18)&gt;$DO$3,
 SUMPRODUCT((E18:CZ18&lt;&gt;"")*(ISNA(MATCH(E18:CZ18,{"P","A","L","E","D"},0))))&gt;0),"Error",
 IF(COUNTIFS($E$5:$CZ$5,"T1",E18:CZ18,$DB$5)=0,"--",
 COUNTIFS($E$5:$CZ$5,"T1",E18:CZ18,$DB$5)))))</f>
        <v>--</v>
      </c>
      <c r="DC18" s="539" t="str">
        <f t="array" ref="DC18">IF(D18="","",
 IF($DO$3="Error","Error",
 IF(OR(
 SUM(($E$4:$CZ$4="")*(E18:CZ18&lt;&gt;""))&gt;0,
 SUM(($E$5:$CZ$5="")*(E18:CZ18&lt;&gt;""))&gt;0,
 COUNTA(E18:CZ18)&gt;$DO$3,
 SUMPRODUCT((E18:CZ18&lt;&gt;"")*(ISNA(MATCH(E18:CZ18,{"P","A","L","E","D"},0))))&gt;0),"Error",
 IF(COUNTIFS($E$5:$CZ$5,"T1",E18:CZ18,$DC$5)=0,"--",
 COUNTIFS($E$5:$CZ$5,"T1",E18:CZ18,$DC$5)))))</f>
        <v>--</v>
      </c>
      <c r="DD18" s="540" t="str">
        <f t="array" ref="DD18">IF(D18="","",
 IF($DO$3="Error","Error",
 IF(OR(
 SUM(($E$4:$CZ$4="")*(E18:CZ18&lt;&gt;""))&gt;0,
 SUM(($E$5:$CZ$5="")*(E18:CZ18&lt;&gt;""))&gt;0,
 COUNTA(E18:CZ18)&gt;$DO$3,
 SUMPRODUCT((E18:CZ18&lt;&gt;"")*(ISNA(MATCH(E18:CZ18,{"P","A","L","E","D"},0))))&gt;0),"Error",
 IF(COUNTIFS($E$5:$CZ$5,"T1",E18:CZ18,$DD$5)=0,"--",
 COUNTIFS($E$5:$CZ$5,"T1",E18:CZ18,$DD$5)))))</f>
        <v>--</v>
      </c>
      <c r="DE18" s="541" t="str">
        <f t="array" ref="DE18">IF(D18="","",
 IF($DO$3="Error","Error",
 IF(OR(
 SUM(($E$4:$CZ$4="")*(E18:CZ18&lt;&gt;""))&gt;0,
 SUM(($E$5:$CZ$5="")*(E18:CZ18&lt;&gt;""))&gt;0,
 COUNTA(E18:CZ18)&gt;$DO$3,
 SUMPRODUCT((E18:CZ18&lt;&gt;"")*(ISNA(MATCH(E18:CZ18,{"P","A","L","E","D"},0))))&gt;0),"Error",
 IF(COUNTIFS($E$5:$CZ$5,"T2",E18:CZ18,$DE$5)=0,"--",
 COUNTIFS($E$5:$CZ$5,"T2",E18:CZ18,$DE$5)))))</f>
        <v>--</v>
      </c>
      <c r="DF18" s="539" t="str">
        <f t="array" ref="DF18">IF(D18="","",
 IF($DO$3="Error","Error",
 IF(OR(
 SUM(($E$4:$CZ$4="")*(E18:CZ18&lt;&gt;""))&gt;0,
 SUM(($E$5:$CZ$5="")*(E18:CZ18&lt;&gt;""))&gt;0,
 COUNTA(E18:CZ18)&gt;$DO$3,
 SUMPRODUCT((E18:CZ18&lt;&gt;"")*(ISNA(MATCH(E18:CZ18,{"P","A","L","E","D"},0))))&gt;0),"Error",
 IF(COUNTIFS($E$5:$CZ$5,"T2",E18:CZ18,$DF$5)=0,"--",
 COUNTIFS($E$5:$CZ$5,"T2",E18:CZ18,$DF$5)))))</f>
        <v>--</v>
      </c>
      <c r="DG18" s="539" t="str">
        <f t="array" ref="DG18">IF(D18="","",
 IF($DO$3="Error","Error",
 IF(OR(
 SUM(($E$4:$CZ$4="")*(E18:CZ18&lt;&gt;""))&gt;0,
 SUM(($E$5:$CZ$5="")*(E18:CZ18&lt;&gt;""))&gt;0,
 COUNTA(E18:CZ18)&gt;$DO$3,
 SUMPRODUCT((E18:CZ18&lt;&gt;"")*(ISNA(MATCH(E18:CZ18,{"P","A","L","E","D"},0))))&gt;0),"Error",
 IF(COUNTIFS($E$5:$CZ$5,"T2",E18:CZ18,$DG$5)=0,"--",
 COUNTIFS($E$5:$CZ$5,"T2",E18:CZ18,$DG$5)))))</f>
        <v>--</v>
      </c>
      <c r="DH18" s="542" t="str">
        <f t="array" ref="DH18">IF(D18="","",
 IF($DO$3="Error","Error",
 IF(OR(
 SUM(($E$4:$CZ$4="")*(E18:CZ18&lt;&gt;""))&gt;0,
 SUM(($E$5:$CZ$5="")*(E18:CZ18&lt;&gt;""))&gt;0,
 COUNTA(E18:CZ18)&gt;$DO$3,
 SUMPRODUCT((E18:CZ18&lt;&gt;"")*(ISNA(MATCH(E18:CZ18,{"P","A","L","E","D"},0))))&gt;0),"Error",
 IF(COUNTIFS($E$5:$CZ$5,"T2",E18:CZ18,$DH$5)=0,"--",
 COUNTIFS($E$5:$CZ$5,"T2",E18:CZ18,$DH$5)))))</f>
        <v>--</v>
      </c>
      <c r="DI18" s="543" t="str">
        <f t="array" ref="DI18">IF(D18="","",
 IF($DO$3="Error","Error",
 IF(OR(
 SUM(($E$4:$CZ$4="")*(E18:CZ18&lt;&gt;""))&gt;0,
 SUM(($E$5:$CZ$5="")*(E18:CZ18&lt;&gt;""))&gt;0,
 COUNTA(E18:CZ18)&gt;$DO$3,
 SUMPRODUCT((E18:CZ18&lt;&gt;"")*(ISNA(MATCH(E18:CZ18,{"P","A","L","E","D"},0))))&gt;0),"Error",
 IF(COUNTIFS($E$5:$CZ$5,"T3",E18:CZ18,$DI$5)=0,"--",
 COUNTIFS($E$5:$CZ$5,"T3",E18:CZ18,$DI$5)))))</f>
        <v>--</v>
      </c>
      <c r="DJ18" s="539" t="str">
        <f t="array" ref="DJ18">IF(D18="","",
 IF($DO$3="Error","Error",
 IF(OR(
 SUM(($E$4:$CZ$4="")*(E18:CZ18&lt;&gt;""))&gt;0,
 SUM(($E$5:$CZ$5="")*(E18:CZ18&lt;&gt;""))&gt;0,
 COUNTA(E18:CZ18)&gt;$DO$3,
 SUMPRODUCT((E18:CZ18&lt;&gt;"")*(ISNA(MATCH(E18:CZ18,{"P","A","L","E","D"},0))))&gt;0),"Error",
 IF(COUNTIFS($E$5:$CZ$5,"T3",E18:CZ18,$DJ$5)=0,"--",
 COUNTIFS($E$5:$CZ$5,"T3",E18:CZ18,$DJ$5)))))</f>
        <v>--</v>
      </c>
      <c r="DK18" s="539" t="str">
        <f t="array" ref="DK18">IF(D18="","",
 IF($DO$3="Error","Error",
 IF(OR(
 SUM(($E$4:$CZ$4="")*(E18:CZ18&lt;&gt;""))&gt;0,
 SUM(($E$5:$CZ$5="")*(E18:CZ18&lt;&gt;""))&gt;0,
 COUNTA(E18:CZ18)&gt;$DO$3,
 SUMPRODUCT((E18:CZ18&lt;&gt;"")*(ISNA(MATCH(E18:CZ18,{"P","A","L","E","D"},0))))&gt;0),"Error",
 IF(COUNTIFS($E$5:$CZ$5,"T3",E18:CZ18,$DK$5)=0,"--",
 COUNTIFS($E$5:$CZ$5,"T3",E18:CZ18,$DK$5)))))</f>
        <v>--</v>
      </c>
      <c r="DL18" s="540" t="str">
        <f t="array" ref="DL18">IF(D18="","",
 IF($DO$3="Error","Error",
 IF(OR(
 SUM(($E$4:$CZ$4="")*(E18:CZ18&lt;&gt;""))&gt;0,
 SUM(($E$5:$CZ$5="")*(E18:CZ18&lt;&gt;""))&gt;0,
 COUNTA(E18:CZ18)&gt;$DO$3,
 SUMPRODUCT((E18:CZ18&lt;&gt;"")*(ISNA(MATCH(E18:CZ18,{"P","A","L","E","D"},0))))&gt;0),"Error",
 IF(COUNTIFS($E$5:$CZ$5,"T3",E18:CZ18,$DL$5)=0,"--",
 COUNTIFS($E$5:$CZ$5,"T3",E18:CZ18,$DL$5)))))</f>
        <v>--</v>
      </c>
      <c r="DM18" s="530" t="str">
        <f t="array" ref="DM18">IF(COUNTIF(DA18:DL18,"Error")&gt;0,"Error",
 IF(AND(D18="",COUNTA(E18:CZ18)&gt;0),"Error",
 IF(COUNTIF(E18:CZ18,"D")&gt;0,"DRP",
 IF(OR(SUM(COUNTIF(E18:CZ18,{"P","A","L","E"}))&gt;0,AND(D18&lt;&gt;"",COUNTA(E18:CZ18)=0)),"Active",""))))</f>
        <v>Active</v>
      </c>
      <c r="DN18" s="531"/>
    </row>
    <row r="19" ht="15.95" customHeight="1" spans="2:118" x14ac:dyDescent="0.25">
      <c r="B19" s="471">
        <v>14</v>
      </c>
      <c r="C19" s="532">
        <f>IF('Data Input'!M20="","",'Data Input'!M20)</f>
        <v>2000498660</v>
      </c>
      <c r="D19" s="533" t="str">
        <f>IF('Data Input'!N20="","",'Data Input'!N20)</f>
        <v>ESTORIA, JOHN KYLE TIMOTHY</v>
      </c>
      <c r="E19" s="534"/>
      <c r="F19" s="535"/>
      <c r="G19" s="535"/>
      <c r="H19" s="535"/>
      <c r="I19" s="535"/>
      <c r="J19" s="535"/>
      <c r="K19" s="535"/>
      <c r="L19" s="535"/>
      <c r="M19" s="535"/>
      <c r="N19" s="535"/>
      <c r="O19" s="535"/>
      <c r="P19" s="535"/>
      <c r="Q19" s="535"/>
      <c r="R19" s="535"/>
      <c r="S19" s="535"/>
      <c r="T19" s="535"/>
      <c r="U19" s="535"/>
      <c r="V19" s="535"/>
      <c r="W19" s="535"/>
      <c r="X19" s="535"/>
      <c r="Y19" s="535"/>
      <c r="Z19" s="535"/>
      <c r="AA19" s="535"/>
      <c r="AB19" s="535"/>
      <c r="AC19" s="535"/>
      <c r="AD19" s="535"/>
      <c r="AE19" s="535"/>
      <c r="AF19" s="535"/>
      <c r="AG19" s="535"/>
      <c r="AH19" s="535"/>
      <c r="AI19" s="535"/>
      <c r="AJ19" s="535"/>
      <c r="AK19" s="535"/>
      <c r="AL19" s="535"/>
      <c r="AM19" s="535"/>
      <c r="AN19" s="535"/>
      <c r="AO19" s="535"/>
      <c r="AP19" s="535"/>
      <c r="AQ19" s="535"/>
      <c r="AR19" s="535"/>
      <c r="AS19" s="535"/>
      <c r="AT19" s="535"/>
      <c r="AU19" s="535"/>
      <c r="AV19" s="535"/>
      <c r="AW19" s="535"/>
      <c r="AX19" s="535"/>
      <c r="AY19" s="535"/>
      <c r="AZ19" s="535"/>
      <c r="BA19" s="535"/>
      <c r="BB19" s="536"/>
      <c r="BC19" s="535"/>
      <c r="BD19" s="535"/>
      <c r="BE19" s="535"/>
      <c r="BF19" s="535"/>
      <c r="BG19" s="535"/>
      <c r="BH19" s="535"/>
      <c r="BI19" s="535"/>
      <c r="BJ19" s="535"/>
      <c r="BK19" s="535"/>
      <c r="BL19" s="535"/>
      <c r="BM19" s="535"/>
      <c r="BN19" s="535"/>
      <c r="BO19" s="535"/>
      <c r="BP19" s="535"/>
      <c r="BQ19" s="535"/>
      <c r="BR19" s="535"/>
      <c r="BS19" s="535"/>
      <c r="BT19" s="535"/>
      <c r="BU19" s="535"/>
      <c r="BV19" s="535"/>
      <c r="BW19" s="535"/>
      <c r="BX19" s="535"/>
      <c r="BY19" s="535"/>
      <c r="BZ19" s="535"/>
      <c r="CA19" s="535"/>
      <c r="CB19" s="535"/>
      <c r="CC19" s="535"/>
      <c r="CD19" s="535"/>
      <c r="CE19" s="535"/>
      <c r="CF19" s="535"/>
      <c r="CG19" s="535"/>
      <c r="CH19" s="535"/>
      <c r="CI19" s="535"/>
      <c r="CJ19" s="535"/>
      <c r="CK19" s="535"/>
      <c r="CL19" s="535"/>
      <c r="CM19" s="535"/>
      <c r="CN19" s="535"/>
      <c r="CO19" s="535"/>
      <c r="CP19" s="535"/>
      <c r="CQ19" s="535"/>
      <c r="CR19" s="535"/>
      <c r="CS19" s="535"/>
      <c r="CT19" s="535"/>
      <c r="CU19" s="535"/>
      <c r="CV19" s="535"/>
      <c r="CW19" s="535"/>
      <c r="CX19" s="535"/>
      <c r="CY19" s="535"/>
      <c r="CZ19" s="537"/>
      <c r="DA19" s="538" t="str">
        <f t="array" ref="DA19">IF(D19="","",
 IF($DO$3="Error","Error",
 IF(OR(
 SUM(($E$4:$CZ$4="")*(E19:CZ19&lt;&gt;""))&gt;0,
 SUM(($E$5:$CZ$5="")*(E19:CZ19&lt;&gt;""))&gt;0,
 COUNTA(E19:CZ19)&gt;$DO$3,
 SUMPRODUCT((E19:CZ19&lt;&gt;"")*(ISNA(MATCH(E19:CZ19,{"P","A","L","E","D"},0))))&gt;0),"Error",
 IF(COUNTIFS($E$5:$CZ$5,"T1",E19:CZ19,$DA$5)=0,"--",
 COUNTIFS($E$5:$CZ$5,"T1",E19:CZ19,$DA$5)))))</f>
        <v>--</v>
      </c>
      <c r="DB19" s="539" t="str">
        <f t="array" ref="DB19">IF(D19="","",
 IF($DO$3="Error","Error",
 IF(OR(
 SUM(($E$4:$CZ$4="")*(E19:CZ19&lt;&gt;""))&gt;0,
 SUM(($E$5:$CZ$5="")*(E19:CZ19&lt;&gt;""))&gt;0,
 COUNTA(E19:CZ19)&gt;$DO$3,
 SUMPRODUCT((E19:CZ19&lt;&gt;"")*(ISNA(MATCH(E19:CZ19,{"P","A","L","E","D"},0))))&gt;0),"Error",
 IF(COUNTIFS($E$5:$CZ$5,"T1",E19:CZ19,$DB$5)=0,"--",
 COUNTIFS($E$5:$CZ$5,"T1",E19:CZ19,$DB$5)))))</f>
        <v>--</v>
      </c>
      <c r="DC19" s="539" t="str">
        <f t="array" ref="DC19">IF(D19="","",
 IF($DO$3="Error","Error",
 IF(OR(
 SUM(($E$4:$CZ$4="")*(E19:CZ19&lt;&gt;""))&gt;0,
 SUM(($E$5:$CZ$5="")*(E19:CZ19&lt;&gt;""))&gt;0,
 COUNTA(E19:CZ19)&gt;$DO$3,
 SUMPRODUCT((E19:CZ19&lt;&gt;"")*(ISNA(MATCH(E19:CZ19,{"P","A","L","E","D"},0))))&gt;0),"Error",
 IF(COUNTIFS($E$5:$CZ$5,"T1",E19:CZ19,$DC$5)=0,"--",
 COUNTIFS($E$5:$CZ$5,"T1",E19:CZ19,$DC$5)))))</f>
        <v>--</v>
      </c>
      <c r="DD19" s="540" t="str">
        <f t="array" ref="DD19">IF(D19="","",
 IF($DO$3="Error","Error",
 IF(OR(
 SUM(($E$4:$CZ$4="")*(E19:CZ19&lt;&gt;""))&gt;0,
 SUM(($E$5:$CZ$5="")*(E19:CZ19&lt;&gt;""))&gt;0,
 COUNTA(E19:CZ19)&gt;$DO$3,
 SUMPRODUCT((E19:CZ19&lt;&gt;"")*(ISNA(MATCH(E19:CZ19,{"P","A","L","E","D"},0))))&gt;0),"Error",
 IF(COUNTIFS($E$5:$CZ$5,"T1",E19:CZ19,$DD$5)=0,"--",
 COUNTIFS($E$5:$CZ$5,"T1",E19:CZ19,$DD$5)))))</f>
        <v>--</v>
      </c>
      <c r="DE19" s="541" t="str">
        <f t="array" ref="DE19">IF(D19="","",
 IF($DO$3="Error","Error",
 IF(OR(
 SUM(($E$4:$CZ$4="")*(E19:CZ19&lt;&gt;""))&gt;0,
 SUM(($E$5:$CZ$5="")*(E19:CZ19&lt;&gt;""))&gt;0,
 COUNTA(E19:CZ19)&gt;$DO$3,
 SUMPRODUCT((E19:CZ19&lt;&gt;"")*(ISNA(MATCH(E19:CZ19,{"P","A","L","E","D"},0))))&gt;0),"Error",
 IF(COUNTIFS($E$5:$CZ$5,"T2",E19:CZ19,$DE$5)=0,"--",
 COUNTIFS($E$5:$CZ$5,"T2",E19:CZ19,$DE$5)))))</f>
        <v>--</v>
      </c>
      <c r="DF19" s="539" t="str">
        <f t="array" ref="DF19">IF(D19="","",
 IF($DO$3="Error","Error",
 IF(OR(
 SUM(($E$4:$CZ$4="")*(E19:CZ19&lt;&gt;""))&gt;0,
 SUM(($E$5:$CZ$5="")*(E19:CZ19&lt;&gt;""))&gt;0,
 COUNTA(E19:CZ19)&gt;$DO$3,
 SUMPRODUCT((E19:CZ19&lt;&gt;"")*(ISNA(MATCH(E19:CZ19,{"P","A","L","E","D"},0))))&gt;0),"Error",
 IF(COUNTIFS($E$5:$CZ$5,"T2",E19:CZ19,$DF$5)=0,"--",
 COUNTIFS($E$5:$CZ$5,"T2",E19:CZ19,$DF$5)))))</f>
        <v>--</v>
      </c>
      <c r="DG19" s="539" t="str">
        <f t="array" ref="DG19">IF(D19="","",
 IF($DO$3="Error","Error",
 IF(OR(
 SUM(($E$4:$CZ$4="")*(E19:CZ19&lt;&gt;""))&gt;0,
 SUM(($E$5:$CZ$5="")*(E19:CZ19&lt;&gt;""))&gt;0,
 COUNTA(E19:CZ19)&gt;$DO$3,
 SUMPRODUCT((E19:CZ19&lt;&gt;"")*(ISNA(MATCH(E19:CZ19,{"P","A","L","E","D"},0))))&gt;0),"Error",
 IF(COUNTIFS($E$5:$CZ$5,"T2",E19:CZ19,$DG$5)=0,"--",
 COUNTIFS($E$5:$CZ$5,"T2",E19:CZ19,$DG$5)))))</f>
        <v>--</v>
      </c>
      <c r="DH19" s="542" t="str">
        <f t="array" ref="DH19">IF(D19="","",
 IF($DO$3="Error","Error",
 IF(OR(
 SUM(($E$4:$CZ$4="")*(E19:CZ19&lt;&gt;""))&gt;0,
 SUM(($E$5:$CZ$5="")*(E19:CZ19&lt;&gt;""))&gt;0,
 COUNTA(E19:CZ19)&gt;$DO$3,
 SUMPRODUCT((E19:CZ19&lt;&gt;"")*(ISNA(MATCH(E19:CZ19,{"P","A","L","E","D"},0))))&gt;0),"Error",
 IF(COUNTIFS($E$5:$CZ$5,"T2",E19:CZ19,$DH$5)=0,"--",
 COUNTIFS($E$5:$CZ$5,"T2",E19:CZ19,$DH$5)))))</f>
        <v>--</v>
      </c>
      <c r="DI19" s="543" t="str">
        <f t="array" ref="DI19">IF(D19="","",
 IF($DO$3="Error","Error",
 IF(OR(
 SUM(($E$4:$CZ$4="")*(E19:CZ19&lt;&gt;""))&gt;0,
 SUM(($E$5:$CZ$5="")*(E19:CZ19&lt;&gt;""))&gt;0,
 COUNTA(E19:CZ19)&gt;$DO$3,
 SUMPRODUCT((E19:CZ19&lt;&gt;"")*(ISNA(MATCH(E19:CZ19,{"P","A","L","E","D"},0))))&gt;0),"Error",
 IF(COUNTIFS($E$5:$CZ$5,"T3",E19:CZ19,$DI$5)=0,"--",
 COUNTIFS($E$5:$CZ$5,"T3",E19:CZ19,$DI$5)))))</f>
        <v>--</v>
      </c>
      <c r="DJ19" s="539" t="str">
        <f t="array" ref="DJ19">IF(D19="","",
 IF($DO$3="Error","Error",
 IF(OR(
 SUM(($E$4:$CZ$4="")*(E19:CZ19&lt;&gt;""))&gt;0,
 SUM(($E$5:$CZ$5="")*(E19:CZ19&lt;&gt;""))&gt;0,
 COUNTA(E19:CZ19)&gt;$DO$3,
 SUMPRODUCT((E19:CZ19&lt;&gt;"")*(ISNA(MATCH(E19:CZ19,{"P","A","L","E","D"},0))))&gt;0),"Error",
 IF(COUNTIFS($E$5:$CZ$5,"T3",E19:CZ19,$DJ$5)=0,"--",
 COUNTIFS($E$5:$CZ$5,"T3",E19:CZ19,$DJ$5)))))</f>
        <v>--</v>
      </c>
      <c r="DK19" s="539" t="str">
        <f t="array" ref="DK19">IF(D19="","",
 IF($DO$3="Error","Error",
 IF(OR(
 SUM(($E$4:$CZ$4="")*(E19:CZ19&lt;&gt;""))&gt;0,
 SUM(($E$5:$CZ$5="")*(E19:CZ19&lt;&gt;""))&gt;0,
 COUNTA(E19:CZ19)&gt;$DO$3,
 SUMPRODUCT((E19:CZ19&lt;&gt;"")*(ISNA(MATCH(E19:CZ19,{"P","A","L","E","D"},0))))&gt;0),"Error",
 IF(COUNTIFS($E$5:$CZ$5,"T3",E19:CZ19,$DK$5)=0,"--",
 COUNTIFS($E$5:$CZ$5,"T3",E19:CZ19,$DK$5)))))</f>
        <v>--</v>
      </c>
      <c r="DL19" s="540" t="str">
        <f t="array" ref="DL19">IF(D19="","",
 IF($DO$3="Error","Error",
 IF(OR(
 SUM(($E$4:$CZ$4="")*(E19:CZ19&lt;&gt;""))&gt;0,
 SUM(($E$5:$CZ$5="")*(E19:CZ19&lt;&gt;""))&gt;0,
 COUNTA(E19:CZ19)&gt;$DO$3,
 SUMPRODUCT((E19:CZ19&lt;&gt;"")*(ISNA(MATCH(E19:CZ19,{"P","A","L","E","D"},0))))&gt;0),"Error",
 IF(COUNTIFS($E$5:$CZ$5,"T3",E19:CZ19,$DL$5)=0,"--",
 COUNTIFS($E$5:$CZ$5,"T3",E19:CZ19,$DL$5)))))</f>
        <v>--</v>
      </c>
      <c r="DM19" s="530" t="str">
        <f t="array" ref="DM19">IF(COUNTIF(DA19:DL19,"Error")&gt;0,"Error",
 IF(AND(D19="",COUNTA(E19:CZ19)&gt;0),"Error",
 IF(COUNTIF(E19:CZ19,"D")&gt;0,"DRP",
 IF(OR(SUM(COUNTIF(E19:CZ19,{"P","A","L","E"}))&gt;0,AND(D19&lt;&gt;"",COUNTA(E19:CZ19)=0)),"Active",""))))</f>
        <v>Active</v>
      </c>
      <c r="DN19" s="531"/>
    </row>
    <row r="20" ht="15.95" customHeight="1" spans="2:118" x14ac:dyDescent="0.25">
      <c r="B20" s="471">
        <v>15</v>
      </c>
      <c r="C20" s="532">
        <f>IF('Data Input'!M21="","",'Data Input'!M21)</f>
        <v>2000485981</v>
      </c>
      <c r="D20" s="533" t="str">
        <f>IF('Data Input'!N21="","",'Data Input'!N21)</f>
        <v>GARCIA, ARIORIE VEN AMHER</v>
      </c>
      <c r="E20" s="534"/>
      <c r="F20" s="535"/>
      <c r="G20" s="535"/>
      <c r="H20" s="535"/>
      <c r="I20" s="535"/>
      <c r="J20" s="535"/>
      <c r="K20" s="535"/>
      <c r="L20" s="535"/>
      <c r="M20" s="535"/>
      <c r="N20" s="535"/>
      <c r="O20" s="535"/>
      <c r="P20" s="535"/>
      <c r="Q20" s="535"/>
      <c r="R20" s="535"/>
      <c r="S20" s="535"/>
      <c r="T20" s="535"/>
      <c r="U20" s="535"/>
      <c r="V20" s="535"/>
      <c r="W20" s="535"/>
      <c r="X20" s="535"/>
      <c r="Y20" s="535"/>
      <c r="Z20" s="535"/>
      <c r="AA20" s="535"/>
      <c r="AB20" s="535"/>
      <c r="AC20" s="535"/>
      <c r="AD20" s="535"/>
      <c r="AE20" s="535"/>
      <c r="AF20" s="535"/>
      <c r="AG20" s="535"/>
      <c r="AH20" s="535"/>
      <c r="AI20" s="535"/>
      <c r="AJ20" s="535"/>
      <c r="AK20" s="535"/>
      <c r="AL20" s="535"/>
      <c r="AM20" s="535"/>
      <c r="AN20" s="535"/>
      <c r="AO20" s="535"/>
      <c r="AP20" s="535"/>
      <c r="AQ20" s="535"/>
      <c r="AR20" s="535"/>
      <c r="AS20" s="535"/>
      <c r="AT20" s="535"/>
      <c r="AU20" s="535"/>
      <c r="AV20" s="535"/>
      <c r="AW20" s="535"/>
      <c r="AX20" s="535"/>
      <c r="AY20" s="535"/>
      <c r="AZ20" s="535"/>
      <c r="BA20" s="535"/>
      <c r="BB20" s="536"/>
      <c r="BC20" s="535"/>
      <c r="BD20" s="535"/>
      <c r="BE20" s="535"/>
      <c r="BF20" s="535"/>
      <c r="BG20" s="535"/>
      <c r="BH20" s="535"/>
      <c r="BI20" s="535"/>
      <c r="BJ20" s="535"/>
      <c r="BK20" s="535"/>
      <c r="BL20" s="535"/>
      <c r="BM20" s="535"/>
      <c r="BN20" s="535"/>
      <c r="BO20" s="535"/>
      <c r="BP20" s="535"/>
      <c r="BQ20" s="535"/>
      <c r="BR20" s="535"/>
      <c r="BS20" s="535"/>
      <c r="BT20" s="535"/>
      <c r="BU20" s="535"/>
      <c r="BV20" s="535"/>
      <c r="BW20" s="535"/>
      <c r="BX20" s="535"/>
      <c r="BY20" s="535"/>
      <c r="BZ20" s="535"/>
      <c r="CA20" s="535"/>
      <c r="CB20" s="535"/>
      <c r="CC20" s="535"/>
      <c r="CD20" s="535"/>
      <c r="CE20" s="535"/>
      <c r="CF20" s="535"/>
      <c r="CG20" s="535"/>
      <c r="CH20" s="535"/>
      <c r="CI20" s="535"/>
      <c r="CJ20" s="535"/>
      <c r="CK20" s="535"/>
      <c r="CL20" s="535"/>
      <c r="CM20" s="535"/>
      <c r="CN20" s="535"/>
      <c r="CO20" s="535"/>
      <c r="CP20" s="535"/>
      <c r="CQ20" s="535"/>
      <c r="CR20" s="535"/>
      <c r="CS20" s="535"/>
      <c r="CT20" s="535"/>
      <c r="CU20" s="535"/>
      <c r="CV20" s="535"/>
      <c r="CW20" s="535"/>
      <c r="CX20" s="535"/>
      <c r="CY20" s="535"/>
      <c r="CZ20" s="537"/>
      <c r="DA20" s="538" t="str">
        <f t="array" ref="DA20">IF(D20="","",
 IF($DO$3="Error","Error",
 IF(OR(
 SUM(($E$4:$CZ$4="")*(E20:CZ20&lt;&gt;""))&gt;0,
 SUM(($E$5:$CZ$5="")*(E20:CZ20&lt;&gt;""))&gt;0,
 COUNTA(E20:CZ20)&gt;$DO$3,
 SUMPRODUCT((E20:CZ20&lt;&gt;"")*(ISNA(MATCH(E20:CZ20,{"P","A","L","E","D"},0))))&gt;0),"Error",
 IF(COUNTIFS($E$5:$CZ$5,"T1",E20:CZ20,$DA$5)=0,"--",
 COUNTIFS($E$5:$CZ$5,"T1",E20:CZ20,$DA$5)))))</f>
        <v>--</v>
      </c>
      <c r="DB20" s="539" t="str">
        <f t="array" ref="DB20">IF(D20="","",
 IF($DO$3="Error","Error",
 IF(OR(
 SUM(($E$4:$CZ$4="")*(E20:CZ20&lt;&gt;""))&gt;0,
 SUM(($E$5:$CZ$5="")*(E20:CZ20&lt;&gt;""))&gt;0,
 COUNTA(E20:CZ20)&gt;$DO$3,
 SUMPRODUCT((E20:CZ20&lt;&gt;"")*(ISNA(MATCH(E20:CZ20,{"P","A","L","E","D"},0))))&gt;0),"Error",
 IF(COUNTIFS($E$5:$CZ$5,"T1",E20:CZ20,$DB$5)=0,"--",
 COUNTIFS($E$5:$CZ$5,"T1",E20:CZ20,$DB$5)))))</f>
        <v>--</v>
      </c>
      <c r="DC20" s="539" t="str">
        <f t="array" ref="DC20">IF(D20="","",
 IF($DO$3="Error","Error",
 IF(OR(
 SUM(($E$4:$CZ$4="")*(E20:CZ20&lt;&gt;""))&gt;0,
 SUM(($E$5:$CZ$5="")*(E20:CZ20&lt;&gt;""))&gt;0,
 COUNTA(E20:CZ20)&gt;$DO$3,
 SUMPRODUCT((E20:CZ20&lt;&gt;"")*(ISNA(MATCH(E20:CZ20,{"P","A","L","E","D"},0))))&gt;0),"Error",
 IF(COUNTIFS($E$5:$CZ$5,"T1",E20:CZ20,$DC$5)=0,"--",
 COUNTIFS($E$5:$CZ$5,"T1",E20:CZ20,$DC$5)))))</f>
        <v>--</v>
      </c>
      <c r="DD20" s="540" t="str">
        <f t="array" ref="DD20">IF(D20="","",
 IF($DO$3="Error","Error",
 IF(OR(
 SUM(($E$4:$CZ$4="")*(E20:CZ20&lt;&gt;""))&gt;0,
 SUM(($E$5:$CZ$5="")*(E20:CZ20&lt;&gt;""))&gt;0,
 COUNTA(E20:CZ20)&gt;$DO$3,
 SUMPRODUCT((E20:CZ20&lt;&gt;"")*(ISNA(MATCH(E20:CZ20,{"P","A","L","E","D"},0))))&gt;0),"Error",
 IF(COUNTIFS($E$5:$CZ$5,"T1",E20:CZ20,$DD$5)=0,"--",
 COUNTIFS($E$5:$CZ$5,"T1",E20:CZ20,$DD$5)))))</f>
        <v>--</v>
      </c>
      <c r="DE20" s="541" t="str">
        <f t="array" ref="DE20">IF(D20="","",
 IF($DO$3="Error","Error",
 IF(OR(
 SUM(($E$4:$CZ$4="")*(E20:CZ20&lt;&gt;""))&gt;0,
 SUM(($E$5:$CZ$5="")*(E20:CZ20&lt;&gt;""))&gt;0,
 COUNTA(E20:CZ20)&gt;$DO$3,
 SUMPRODUCT((E20:CZ20&lt;&gt;"")*(ISNA(MATCH(E20:CZ20,{"P","A","L","E","D"},0))))&gt;0),"Error",
 IF(COUNTIFS($E$5:$CZ$5,"T2",E20:CZ20,$DE$5)=0,"--",
 COUNTIFS($E$5:$CZ$5,"T2",E20:CZ20,$DE$5)))))</f>
        <v>--</v>
      </c>
      <c r="DF20" s="539" t="str">
        <f t="array" ref="DF20">IF(D20="","",
 IF($DO$3="Error","Error",
 IF(OR(
 SUM(($E$4:$CZ$4="")*(E20:CZ20&lt;&gt;""))&gt;0,
 SUM(($E$5:$CZ$5="")*(E20:CZ20&lt;&gt;""))&gt;0,
 COUNTA(E20:CZ20)&gt;$DO$3,
 SUMPRODUCT((E20:CZ20&lt;&gt;"")*(ISNA(MATCH(E20:CZ20,{"P","A","L","E","D"},0))))&gt;0),"Error",
 IF(COUNTIFS($E$5:$CZ$5,"T2",E20:CZ20,$DF$5)=0,"--",
 COUNTIFS($E$5:$CZ$5,"T2",E20:CZ20,$DF$5)))))</f>
        <v>--</v>
      </c>
      <c r="DG20" s="539" t="str">
        <f t="array" ref="DG20">IF(D20="","",
 IF($DO$3="Error","Error",
 IF(OR(
 SUM(($E$4:$CZ$4="")*(E20:CZ20&lt;&gt;""))&gt;0,
 SUM(($E$5:$CZ$5="")*(E20:CZ20&lt;&gt;""))&gt;0,
 COUNTA(E20:CZ20)&gt;$DO$3,
 SUMPRODUCT((E20:CZ20&lt;&gt;"")*(ISNA(MATCH(E20:CZ20,{"P","A","L","E","D"},0))))&gt;0),"Error",
 IF(COUNTIFS($E$5:$CZ$5,"T2",E20:CZ20,$DG$5)=0,"--",
 COUNTIFS($E$5:$CZ$5,"T2",E20:CZ20,$DG$5)))))</f>
        <v>--</v>
      </c>
      <c r="DH20" s="542" t="str">
        <f t="array" ref="DH20">IF(D20="","",
 IF($DO$3="Error","Error",
 IF(OR(
 SUM(($E$4:$CZ$4="")*(E20:CZ20&lt;&gt;""))&gt;0,
 SUM(($E$5:$CZ$5="")*(E20:CZ20&lt;&gt;""))&gt;0,
 COUNTA(E20:CZ20)&gt;$DO$3,
 SUMPRODUCT((E20:CZ20&lt;&gt;"")*(ISNA(MATCH(E20:CZ20,{"P","A","L","E","D"},0))))&gt;0),"Error",
 IF(COUNTIFS($E$5:$CZ$5,"T2",E20:CZ20,$DH$5)=0,"--",
 COUNTIFS($E$5:$CZ$5,"T2",E20:CZ20,$DH$5)))))</f>
        <v>--</v>
      </c>
      <c r="DI20" s="543" t="str">
        <f t="array" ref="DI20">IF(D20="","",
 IF($DO$3="Error","Error",
 IF(OR(
 SUM(($E$4:$CZ$4="")*(E20:CZ20&lt;&gt;""))&gt;0,
 SUM(($E$5:$CZ$5="")*(E20:CZ20&lt;&gt;""))&gt;0,
 COUNTA(E20:CZ20)&gt;$DO$3,
 SUMPRODUCT((E20:CZ20&lt;&gt;"")*(ISNA(MATCH(E20:CZ20,{"P","A","L","E","D"},0))))&gt;0),"Error",
 IF(COUNTIFS($E$5:$CZ$5,"T3",E20:CZ20,$DI$5)=0,"--",
 COUNTIFS($E$5:$CZ$5,"T3",E20:CZ20,$DI$5)))))</f>
        <v>--</v>
      </c>
      <c r="DJ20" s="539" t="str">
        <f t="array" ref="DJ20">IF(D20="","",
 IF($DO$3="Error","Error",
 IF(OR(
 SUM(($E$4:$CZ$4="")*(E20:CZ20&lt;&gt;""))&gt;0,
 SUM(($E$5:$CZ$5="")*(E20:CZ20&lt;&gt;""))&gt;0,
 COUNTA(E20:CZ20)&gt;$DO$3,
 SUMPRODUCT((E20:CZ20&lt;&gt;"")*(ISNA(MATCH(E20:CZ20,{"P","A","L","E","D"},0))))&gt;0),"Error",
 IF(COUNTIFS($E$5:$CZ$5,"T3",E20:CZ20,$DJ$5)=0,"--",
 COUNTIFS($E$5:$CZ$5,"T3",E20:CZ20,$DJ$5)))))</f>
        <v>--</v>
      </c>
      <c r="DK20" s="539" t="str">
        <f t="array" ref="DK20">IF(D20="","",
 IF($DO$3="Error","Error",
 IF(OR(
 SUM(($E$4:$CZ$4="")*(E20:CZ20&lt;&gt;""))&gt;0,
 SUM(($E$5:$CZ$5="")*(E20:CZ20&lt;&gt;""))&gt;0,
 COUNTA(E20:CZ20)&gt;$DO$3,
 SUMPRODUCT((E20:CZ20&lt;&gt;"")*(ISNA(MATCH(E20:CZ20,{"P","A","L","E","D"},0))))&gt;0),"Error",
 IF(COUNTIFS($E$5:$CZ$5,"T3",E20:CZ20,$DK$5)=0,"--",
 COUNTIFS($E$5:$CZ$5,"T3",E20:CZ20,$DK$5)))))</f>
        <v>--</v>
      </c>
      <c r="DL20" s="540" t="str">
        <f t="array" ref="DL20">IF(D20="","",
 IF($DO$3="Error","Error",
 IF(OR(
 SUM(($E$4:$CZ$4="")*(E20:CZ20&lt;&gt;""))&gt;0,
 SUM(($E$5:$CZ$5="")*(E20:CZ20&lt;&gt;""))&gt;0,
 COUNTA(E20:CZ20)&gt;$DO$3,
 SUMPRODUCT((E20:CZ20&lt;&gt;"")*(ISNA(MATCH(E20:CZ20,{"P","A","L","E","D"},0))))&gt;0),"Error",
 IF(COUNTIFS($E$5:$CZ$5,"T3",E20:CZ20,$DL$5)=0,"--",
 COUNTIFS($E$5:$CZ$5,"T3",E20:CZ20,$DL$5)))))</f>
        <v>--</v>
      </c>
      <c r="DM20" s="530" t="str">
        <f t="array" ref="DM20">IF(COUNTIF(DA20:DL20,"Error")&gt;0,"Error",
 IF(AND(D20="",COUNTA(E20:CZ20)&gt;0),"Error",
 IF(COUNTIF(E20:CZ20,"D")&gt;0,"DRP",
 IF(OR(SUM(COUNTIF(E20:CZ20,{"P","A","L","E"}))&gt;0,AND(D20&lt;&gt;"",COUNTA(E20:CZ20)=0)),"Active",""))))</f>
        <v>Active</v>
      </c>
      <c r="DN20" s="531"/>
    </row>
    <row r="21" ht="15.95" customHeight="1" spans="2:118" x14ac:dyDescent="0.25">
      <c r="B21" s="471">
        <v>16</v>
      </c>
      <c r="C21" s="532">
        <f>IF('Data Input'!M22="","",'Data Input'!M22)</f>
        <v>2000499229</v>
      </c>
      <c r="D21" s="533" t="str">
        <f>IF('Data Input'!N22="","",'Data Input'!N22)</f>
        <v>GAVINO, REISHA LORRIANE</v>
      </c>
      <c r="E21" s="534"/>
      <c r="F21" s="535"/>
      <c r="G21" s="535"/>
      <c r="H21" s="535"/>
      <c r="I21" s="535"/>
      <c r="J21" s="535"/>
      <c r="K21" s="535"/>
      <c r="L21" s="535"/>
      <c r="M21" s="535"/>
      <c r="N21" s="535"/>
      <c r="O21" s="535"/>
      <c r="P21" s="535"/>
      <c r="Q21" s="535"/>
      <c r="R21" s="535"/>
      <c r="S21" s="535"/>
      <c r="T21" s="535"/>
      <c r="U21" s="535"/>
      <c r="V21" s="535"/>
      <c r="W21" s="535"/>
      <c r="X21" s="535"/>
      <c r="Y21" s="535"/>
      <c r="Z21" s="535"/>
      <c r="AA21" s="535"/>
      <c r="AB21" s="535"/>
      <c r="AC21" s="535"/>
      <c r="AD21" s="535"/>
      <c r="AE21" s="535"/>
      <c r="AF21" s="535"/>
      <c r="AG21" s="535"/>
      <c r="AH21" s="535"/>
      <c r="AI21" s="535"/>
      <c r="AJ21" s="535"/>
      <c r="AK21" s="535"/>
      <c r="AL21" s="535"/>
      <c r="AM21" s="535"/>
      <c r="AN21" s="535"/>
      <c r="AO21" s="535"/>
      <c r="AP21" s="535"/>
      <c r="AQ21" s="535"/>
      <c r="AR21" s="535"/>
      <c r="AS21" s="535"/>
      <c r="AT21" s="535"/>
      <c r="AU21" s="535"/>
      <c r="AV21" s="535"/>
      <c r="AW21" s="535"/>
      <c r="AX21" s="535"/>
      <c r="AY21" s="535"/>
      <c r="AZ21" s="535"/>
      <c r="BA21" s="535"/>
      <c r="BB21" s="536"/>
      <c r="BC21" s="535"/>
      <c r="BD21" s="535"/>
      <c r="BE21" s="535"/>
      <c r="BF21" s="535"/>
      <c r="BG21" s="535"/>
      <c r="BH21" s="535"/>
      <c r="BI21" s="535"/>
      <c r="BJ21" s="535"/>
      <c r="BK21" s="535"/>
      <c r="BL21" s="535"/>
      <c r="BM21" s="535"/>
      <c r="BN21" s="535"/>
      <c r="BO21" s="535"/>
      <c r="BP21" s="535"/>
      <c r="BQ21" s="535"/>
      <c r="BR21" s="535"/>
      <c r="BS21" s="535"/>
      <c r="BT21" s="535"/>
      <c r="BU21" s="535"/>
      <c r="BV21" s="535"/>
      <c r="BW21" s="535"/>
      <c r="BX21" s="535"/>
      <c r="BY21" s="535"/>
      <c r="BZ21" s="535"/>
      <c r="CA21" s="535"/>
      <c r="CB21" s="535"/>
      <c r="CC21" s="535"/>
      <c r="CD21" s="535"/>
      <c r="CE21" s="535"/>
      <c r="CF21" s="535"/>
      <c r="CG21" s="535"/>
      <c r="CH21" s="535"/>
      <c r="CI21" s="535"/>
      <c r="CJ21" s="535"/>
      <c r="CK21" s="535"/>
      <c r="CL21" s="535"/>
      <c r="CM21" s="535"/>
      <c r="CN21" s="535"/>
      <c r="CO21" s="535"/>
      <c r="CP21" s="535"/>
      <c r="CQ21" s="535"/>
      <c r="CR21" s="535"/>
      <c r="CS21" s="535"/>
      <c r="CT21" s="535"/>
      <c r="CU21" s="535"/>
      <c r="CV21" s="535"/>
      <c r="CW21" s="535"/>
      <c r="CX21" s="535"/>
      <c r="CY21" s="535"/>
      <c r="CZ21" s="537"/>
      <c r="DA21" s="538" t="str">
        <f t="array" ref="DA21">IF(D21="","",
 IF($DO$3="Error","Error",
 IF(OR(
 SUM(($E$4:$CZ$4="")*(E21:CZ21&lt;&gt;""))&gt;0,
 SUM(($E$5:$CZ$5="")*(E21:CZ21&lt;&gt;""))&gt;0,
 COUNTA(E21:CZ21)&gt;$DO$3,
 SUMPRODUCT((E21:CZ21&lt;&gt;"")*(ISNA(MATCH(E21:CZ21,{"P","A","L","E","D"},0))))&gt;0),"Error",
 IF(COUNTIFS($E$5:$CZ$5,"T1",E21:CZ21,$DA$5)=0,"--",
 COUNTIFS($E$5:$CZ$5,"T1",E21:CZ21,$DA$5)))))</f>
        <v>--</v>
      </c>
      <c r="DB21" s="539" t="str">
        <f t="array" ref="DB21">IF(D21="","",
 IF($DO$3="Error","Error",
 IF(OR(
 SUM(($E$4:$CZ$4="")*(E21:CZ21&lt;&gt;""))&gt;0,
 SUM(($E$5:$CZ$5="")*(E21:CZ21&lt;&gt;""))&gt;0,
 COUNTA(E21:CZ21)&gt;$DO$3,
 SUMPRODUCT((E21:CZ21&lt;&gt;"")*(ISNA(MATCH(E21:CZ21,{"P","A","L","E","D"},0))))&gt;0),"Error",
 IF(COUNTIFS($E$5:$CZ$5,"T1",E21:CZ21,$DB$5)=0,"--",
 COUNTIFS($E$5:$CZ$5,"T1",E21:CZ21,$DB$5)))))</f>
        <v>--</v>
      </c>
      <c r="DC21" s="539" t="str">
        <f t="array" ref="DC21">IF(D21="","",
 IF($DO$3="Error","Error",
 IF(OR(
 SUM(($E$4:$CZ$4="")*(E21:CZ21&lt;&gt;""))&gt;0,
 SUM(($E$5:$CZ$5="")*(E21:CZ21&lt;&gt;""))&gt;0,
 COUNTA(E21:CZ21)&gt;$DO$3,
 SUMPRODUCT((E21:CZ21&lt;&gt;"")*(ISNA(MATCH(E21:CZ21,{"P","A","L","E","D"},0))))&gt;0),"Error",
 IF(COUNTIFS($E$5:$CZ$5,"T1",E21:CZ21,$DC$5)=0,"--",
 COUNTIFS($E$5:$CZ$5,"T1",E21:CZ21,$DC$5)))))</f>
        <v>--</v>
      </c>
      <c r="DD21" s="540" t="str">
        <f t="array" ref="DD21">IF(D21="","",
 IF($DO$3="Error","Error",
 IF(OR(
 SUM(($E$4:$CZ$4="")*(E21:CZ21&lt;&gt;""))&gt;0,
 SUM(($E$5:$CZ$5="")*(E21:CZ21&lt;&gt;""))&gt;0,
 COUNTA(E21:CZ21)&gt;$DO$3,
 SUMPRODUCT((E21:CZ21&lt;&gt;"")*(ISNA(MATCH(E21:CZ21,{"P","A","L","E","D"},0))))&gt;0),"Error",
 IF(COUNTIFS($E$5:$CZ$5,"T1",E21:CZ21,$DD$5)=0,"--",
 COUNTIFS($E$5:$CZ$5,"T1",E21:CZ21,$DD$5)))))</f>
        <v>--</v>
      </c>
      <c r="DE21" s="541" t="str">
        <f t="array" ref="DE21">IF(D21="","",
 IF($DO$3="Error","Error",
 IF(OR(
 SUM(($E$4:$CZ$4="")*(E21:CZ21&lt;&gt;""))&gt;0,
 SUM(($E$5:$CZ$5="")*(E21:CZ21&lt;&gt;""))&gt;0,
 COUNTA(E21:CZ21)&gt;$DO$3,
 SUMPRODUCT((E21:CZ21&lt;&gt;"")*(ISNA(MATCH(E21:CZ21,{"P","A","L","E","D"},0))))&gt;0),"Error",
 IF(COUNTIFS($E$5:$CZ$5,"T2",E21:CZ21,$DE$5)=0,"--",
 COUNTIFS($E$5:$CZ$5,"T2",E21:CZ21,$DE$5)))))</f>
        <v>--</v>
      </c>
      <c r="DF21" s="539" t="str">
        <f t="array" ref="DF21">IF(D21="","",
 IF($DO$3="Error","Error",
 IF(OR(
 SUM(($E$4:$CZ$4="")*(E21:CZ21&lt;&gt;""))&gt;0,
 SUM(($E$5:$CZ$5="")*(E21:CZ21&lt;&gt;""))&gt;0,
 COUNTA(E21:CZ21)&gt;$DO$3,
 SUMPRODUCT((E21:CZ21&lt;&gt;"")*(ISNA(MATCH(E21:CZ21,{"P","A","L","E","D"},0))))&gt;0),"Error",
 IF(COUNTIFS($E$5:$CZ$5,"T2",E21:CZ21,$DF$5)=0,"--",
 COUNTIFS($E$5:$CZ$5,"T2",E21:CZ21,$DF$5)))))</f>
        <v>--</v>
      </c>
      <c r="DG21" s="539" t="str">
        <f t="array" ref="DG21">IF(D21="","",
 IF($DO$3="Error","Error",
 IF(OR(
 SUM(($E$4:$CZ$4="")*(E21:CZ21&lt;&gt;""))&gt;0,
 SUM(($E$5:$CZ$5="")*(E21:CZ21&lt;&gt;""))&gt;0,
 COUNTA(E21:CZ21)&gt;$DO$3,
 SUMPRODUCT((E21:CZ21&lt;&gt;"")*(ISNA(MATCH(E21:CZ21,{"P","A","L","E","D"},0))))&gt;0),"Error",
 IF(COUNTIFS($E$5:$CZ$5,"T2",E21:CZ21,$DG$5)=0,"--",
 COUNTIFS($E$5:$CZ$5,"T2",E21:CZ21,$DG$5)))))</f>
        <v>--</v>
      </c>
      <c r="DH21" s="542" t="str">
        <f t="array" ref="DH21">IF(D21="","",
 IF($DO$3="Error","Error",
 IF(OR(
 SUM(($E$4:$CZ$4="")*(E21:CZ21&lt;&gt;""))&gt;0,
 SUM(($E$5:$CZ$5="")*(E21:CZ21&lt;&gt;""))&gt;0,
 COUNTA(E21:CZ21)&gt;$DO$3,
 SUMPRODUCT((E21:CZ21&lt;&gt;"")*(ISNA(MATCH(E21:CZ21,{"P","A","L","E","D"},0))))&gt;0),"Error",
 IF(COUNTIFS($E$5:$CZ$5,"T2",E21:CZ21,$DH$5)=0,"--",
 COUNTIFS($E$5:$CZ$5,"T2",E21:CZ21,$DH$5)))))</f>
        <v>--</v>
      </c>
      <c r="DI21" s="543" t="str">
        <f t="array" ref="DI21">IF(D21="","",
 IF($DO$3="Error","Error",
 IF(OR(
 SUM(($E$4:$CZ$4="")*(E21:CZ21&lt;&gt;""))&gt;0,
 SUM(($E$5:$CZ$5="")*(E21:CZ21&lt;&gt;""))&gt;0,
 COUNTA(E21:CZ21)&gt;$DO$3,
 SUMPRODUCT((E21:CZ21&lt;&gt;"")*(ISNA(MATCH(E21:CZ21,{"P","A","L","E","D"},0))))&gt;0),"Error",
 IF(COUNTIFS($E$5:$CZ$5,"T3",E21:CZ21,$DI$5)=0,"--",
 COUNTIFS($E$5:$CZ$5,"T3",E21:CZ21,$DI$5)))))</f>
        <v>--</v>
      </c>
      <c r="DJ21" s="539" t="str">
        <f t="array" ref="DJ21">IF(D21="","",
 IF($DO$3="Error","Error",
 IF(OR(
 SUM(($E$4:$CZ$4="")*(E21:CZ21&lt;&gt;""))&gt;0,
 SUM(($E$5:$CZ$5="")*(E21:CZ21&lt;&gt;""))&gt;0,
 COUNTA(E21:CZ21)&gt;$DO$3,
 SUMPRODUCT((E21:CZ21&lt;&gt;"")*(ISNA(MATCH(E21:CZ21,{"P","A","L","E","D"},0))))&gt;0),"Error",
 IF(COUNTIFS($E$5:$CZ$5,"T3",E21:CZ21,$DJ$5)=0,"--",
 COUNTIFS($E$5:$CZ$5,"T3",E21:CZ21,$DJ$5)))))</f>
        <v>--</v>
      </c>
      <c r="DK21" s="539" t="str">
        <f t="array" ref="DK21">IF(D21="","",
 IF($DO$3="Error","Error",
 IF(OR(
 SUM(($E$4:$CZ$4="")*(E21:CZ21&lt;&gt;""))&gt;0,
 SUM(($E$5:$CZ$5="")*(E21:CZ21&lt;&gt;""))&gt;0,
 COUNTA(E21:CZ21)&gt;$DO$3,
 SUMPRODUCT((E21:CZ21&lt;&gt;"")*(ISNA(MATCH(E21:CZ21,{"P","A","L","E","D"},0))))&gt;0),"Error",
 IF(COUNTIFS($E$5:$CZ$5,"T3",E21:CZ21,$DK$5)=0,"--",
 COUNTIFS($E$5:$CZ$5,"T3",E21:CZ21,$DK$5)))))</f>
        <v>--</v>
      </c>
      <c r="DL21" s="540" t="str">
        <f t="array" ref="DL21">IF(D21="","",
 IF($DO$3="Error","Error",
 IF(OR(
 SUM(($E$4:$CZ$4="")*(E21:CZ21&lt;&gt;""))&gt;0,
 SUM(($E$5:$CZ$5="")*(E21:CZ21&lt;&gt;""))&gt;0,
 COUNTA(E21:CZ21)&gt;$DO$3,
 SUMPRODUCT((E21:CZ21&lt;&gt;"")*(ISNA(MATCH(E21:CZ21,{"P","A","L","E","D"},0))))&gt;0),"Error",
 IF(COUNTIFS($E$5:$CZ$5,"T3",E21:CZ21,$DL$5)=0,"--",
 COUNTIFS($E$5:$CZ$5,"T3",E21:CZ21,$DL$5)))))</f>
        <v>--</v>
      </c>
      <c r="DM21" s="530" t="str">
        <f t="array" ref="DM21">IF(COUNTIF(DA21:DL21,"Error")&gt;0,"Error",
 IF(AND(D21="",COUNTA(E21:CZ21)&gt;0),"Error",
 IF(COUNTIF(E21:CZ21,"D")&gt;0,"DRP",
 IF(OR(SUM(COUNTIF(E21:CZ21,{"P","A","L","E"}))&gt;0,AND(D21&lt;&gt;"",COUNTA(E21:CZ21)=0)),"Active",""))))</f>
        <v>Active</v>
      </c>
      <c r="DN21" s="531"/>
    </row>
    <row r="22" ht="15.95" customHeight="1" spans="2:118" x14ac:dyDescent="0.25">
      <c r="B22" s="471">
        <v>17</v>
      </c>
      <c r="C22" s="532">
        <f>IF('Data Input'!M23="","",'Data Input'!M23)</f>
        <v>2000481947</v>
      </c>
      <c r="D22" s="533" t="str">
        <f>IF('Data Input'!N23="","",'Data Input'!N23)</f>
        <v>JACOBO, EZRA</v>
      </c>
      <c r="E22" s="534"/>
      <c r="F22" s="535"/>
      <c r="G22" s="535"/>
      <c r="H22" s="535"/>
      <c r="I22" s="535"/>
      <c r="J22" s="535"/>
      <c r="K22" s="535"/>
      <c r="L22" s="535"/>
      <c r="M22" s="535"/>
      <c r="N22" s="535"/>
      <c r="O22" s="535"/>
      <c r="P22" s="535"/>
      <c r="Q22" s="535"/>
      <c r="R22" s="535"/>
      <c r="S22" s="535"/>
      <c r="T22" s="535"/>
      <c r="U22" s="535"/>
      <c r="V22" s="535"/>
      <c r="W22" s="535"/>
      <c r="X22" s="535"/>
      <c r="Y22" s="535"/>
      <c r="Z22" s="535"/>
      <c r="AA22" s="535"/>
      <c r="AB22" s="535"/>
      <c r="AC22" s="535"/>
      <c r="AD22" s="535"/>
      <c r="AE22" s="535"/>
      <c r="AF22" s="535"/>
      <c r="AG22" s="535"/>
      <c r="AH22" s="535"/>
      <c r="AI22" s="535"/>
      <c r="AJ22" s="535"/>
      <c r="AK22" s="535"/>
      <c r="AL22" s="535"/>
      <c r="AM22" s="535"/>
      <c r="AN22" s="535"/>
      <c r="AO22" s="535"/>
      <c r="AP22" s="535"/>
      <c r="AQ22" s="535"/>
      <c r="AR22" s="535"/>
      <c r="AS22" s="535"/>
      <c r="AT22" s="535"/>
      <c r="AU22" s="535"/>
      <c r="AV22" s="535"/>
      <c r="AW22" s="535"/>
      <c r="AX22" s="535"/>
      <c r="AY22" s="535"/>
      <c r="AZ22" s="535"/>
      <c r="BA22" s="535"/>
      <c r="BB22" s="536"/>
      <c r="BC22" s="535"/>
      <c r="BD22" s="535"/>
      <c r="BE22" s="535"/>
      <c r="BF22" s="535"/>
      <c r="BG22" s="535"/>
      <c r="BH22" s="535"/>
      <c r="BI22" s="535"/>
      <c r="BJ22" s="535"/>
      <c r="BK22" s="535"/>
      <c r="BL22" s="535"/>
      <c r="BM22" s="535"/>
      <c r="BN22" s="535"/>
      <c r="BO22" s="535"/>
      <c r="BP22" s="535"/>
      <c r="BQ22" s="535"/>
      <c r="BR22" s="535"/>
      <c r="BS22" s="535"/>
      <c r="BT22" s="535"/>
      <c r="BU22" s="535"/>
      <c r="BV22" s="535"/>
      <c r="BW22" s="535"/>
      <c r="BX22" s="535"/>
      <c r="BY22" s="535"/>
      <c r="BZ22" s="535"/>
      <c r="CA22" s="535"/>
      <c r="CB22" s="535"/>
      <c r="CC22" s="535"/>
      <c r="CD22" s="535"/>
      <c r="CE22" s="535"/>
      <c r="CF22" s="535"/>
      <c r="CG22" s="535"/>
      <c r="CH22" s="535"/>
      <c r="CI22" s="535"/>
      <c r="CJ22" s="535"/>
      <c r="CK22" s="535"/>
      <c r="CL22" s="535"/>
      <c r="CM22" s="535"/>
      <c r="CN22" s="535"/>
      <c r="CO22" s="535"/>
      <c r="CP22" s="535"/>
      <c r="CQ22" s="535"/>
      <c r="CR22" s="535"/>
      <c r="CS22" s="535"/>
      <c r="CT22" s="535"/>
      <c r="CU22" s="535"/>
      <c r="CV22" s="535"/>
      <c r="CW22" s="535"/>
      <c r="CX22" s="535"/>
      <c r="CY22" s="535"/>
      <c r="CZ22" s="537"/>
      <c r="DA22" s="538" t="str">
        <f t="array" ref="DA22">IF(D22="","",
 IF($DO$3="Error","Error",
 IF(OR(
 SUM(($E$4:$CZ$4="")*(E22:CZ22&lt;&gt;""))&gt;0,
 SUM(($E$5:$CZ$5="")*(E22:CZ22&lt;&gt;""))&gt;0,
 COUNTA(E22:CZ22)&gt;$DO$3,
 SUMPRODUCT((E22:CZ22&lt;&gt;"")*(ISNA(MATCH(E22:CZ22,{"P","A","L","E","D"},0))))&gt;0),"Error",
 IF(COUNTIFS($E$5:$CZ$5,"T1",E22:CZ22,$DA$5)=0,"--",
 COUNTIFS($E$5:$CZ$5,"T1",E22:CZ22,$DA$5)))))</f>
        <v>--</v>
      </c>
      <c r="DB22" s="539" t="str">
        <f t="array" ref="DB22">IF(D22="","",
 IF($DO$3="Error","Error",
 IF(OR(
 SUM(($E$4:$CZ$4="")*(E22:CZ22&lt;&gt;""))&gt;0,
 SUM(($E$5:$CZ$5="")*(E22:CZ22&lt;&gt;""))&gt;0,
 COUNTA(E22:CZ22)&gt;$DO$3,
 SUMPRODUCT((E22:CZ22&lt;&gt;"")*(ISNA(MATCH(E22:CZ22,{"P","A","L","E","D"},0))))&gt;0),"Error",
 IF(COUNTIFS($E$5:$CZ$5,"T1",E22:CZ22,$DB$5)=0,"--",
 COUNTIFS($E$5:$CZ$5,"T1",E22:CZ22,$DB$5)))))</f>
        <v>--</v>
      </c>
      <c r="DC22" s="539" t="str">
        <f t="array" ref="DC22">IF(D22="","",
 IF($DO$3="Error","Error",
 IF(OR(
 SUM(($E$4:$CZ$4="")*(E22:CZ22&lt;&gt;""))&gt;0,
 SUM(($E$5:$CZ$5="")*(E22:CZ22&lt;&gt;""))&gt;0,
 COUNTA(E22:CZ22)&gt;$DO$3,
 SUMPRODUCT((E22:CZ22&lt;&gt;"")*(ISNA(MATCH(E22:CZ22,{"P","A","L","E","D"},0))))&gt;0),"Error",
 IF(COUNTIFS($E$5:$CZ$5,"T1",E22:CZ22,$DC$5)=0,"--",
 COUNTIFS($E$5:$CZ$5,"T1",E22:CZ22,$DC$5)))))</f>
        <v>--</v>
      </c>
      <c r="DD22" s="540" t="str">
        <f t="array" ref="DD22">IF(D22="","",
 IF($DO$3="Error","Error",
 IF(OR(
 SUM(($E$4:$CZ$4="")*(E22:CZ22&lt;&gt;""))&gt;0,
 SUM(($E$5:$CZ$5="")*(E22:CZ22&lt;&gt;""))&gt;0,
 COUNTA(E22:CZ22)&gt;$DO$3,
 SUMPRODUCT((E22:CZ22&lt;&gt;"")*(ISNA(MATCH(E22:CZ22,{"P","A","L","E","D"},0))))&gt;0),"Error",
 IF(COUNTIFS($E$5:$CZ$5,"T1",E22:CZ22,$DD$5)=0,"--",
 COUNTIFS($E$5:$CZ$5,"T1",E22:CZ22,$DD$5)))))</f>
        <v>--</v>
      </c>
      <c r="DE22" s="541" t="str">
        <f t="array" ref="DE22">IF(D22="","",
 IF($DO$3="Error","Error",
 IF(OR(
 SUM(($E$4:$CZ$4="")*(E22:CZ22&lt;&gt;""))&gt;0,
 SUM(($E$5:$CZ$5="")*(E22:CZ22&lt;&gt;""))&gt;0,
 COUNTA(E22:CZ22)&gt;$DO$3,
 SUMPRODUCT((E22:CZ22&lt;&gt;"")*(ISNA(MATCH(E22:CZ22,{"P","A","L","E","D"},0))))&gt;0),"Error",
 IF(COUNTIFS($E$5:$CZ$5,"T2",E22:CZ22,$DE$5)=0,"--",
 COUNTIFS($E$5:$CZ$5,"T2",E22:CZ22,$DE$5)))))</f>
        <v>--</v>
      </c>
      <c r="DF22" s="539" t="str">
        <f t="array" ref="DF22">IF(D22="","",
 IF($DO$3="Error","Error",
 IF(OR(
 SUM(($E$4:$CZ$4="")*(E22:CZ22&lt;&gt;""))&gt;0,
 SUM(($E$5:$CZ$5="")*(E22:CZ22&lt;&gt;""))&gt;0,
 COUNTA(E22:CZ22)&gt;$DO$3,
 SUMPRODUCT((E22:CZ22&lt;&gt;"")*(ISNA(MATCH(E22:CZ22,{"P","A","L","E","D"},0))))&gt;0),"Error",
 IF(COUNTIFS($E$5:$CZ$5,"T2",E22:CZ22,$DF$5)=0,"--",
 COUNTIFS($E$5:$CZ$5,"T2",E22:CZ22,$DF$5)))))</f>
        <v>--</v>
      </c>
      <c r="DG22" s="539" t="str">
        <f t="array" ref="DG22">IF(D22="","",
 IF($DO$3="Error","Error",
 IF(OR(
 SUM(($E$4:$CZ$4="")*(E22:CZ22&lt;&gt;""))&gt;0,
 SUM(($E$5:$CZ$5="")*(E22:CZ22&lt;&gt;""))&gt;0,
 COUNTA(E22:CZ22)&gt;$DO$3,
 SUMPRODUCT((E22:CZ22&lt;&gt;"")*(ISNA(MATCH(E22:CZ22,{"P","A","L","E","D"},0))))&gt;0),"Error",
 IF(COUNTIFS($E$5:$CZ$5,"T2",E22:CZ22,$DG$5)=0,"--",
 COUNTIFS($E$5:$CZ$5,"T2",E22:CZ22,$DG$5)))))</f>
        <v>--</v>
      </c>
      <c r="DH22" s="542" t="str">
        <f t="array" ref="DH22">IF(D22="","",
 IF($DO$3="Error","Error",
 IF(OR(
 SUM(($E$4:$CZ$4="")*(E22:CZ22&lt;&gt;""))&gt;0,
 SUM(($E$5:$CZ$5="")*(E22:CZ22&lt;&gt;""))&gt;0,
 COUNTA(E22:CZ22)&gt;$DO$3,
 SUMPRODUCT((E22:CZ22&lt;&gt;"")*(ISNA(MATCH(E22:CZ22,{"P","A","L","E","D"},0))))&gt;0),"Error",
 IF(COUNTIFS($E$5:$CZ$5,"T2",E22:CZ22,$DH$5)=0,"--",
 COUNTIFS($E$5:$CZ$5,"T2",E22:CZ22,$DH$5)))))</f>
        <v>--</v>
      </c>
      <c r="DI22" s="543" t="str">
        <f t="array" ref="DI22">IF(D22="","",
 IF($DO$3="Error","Error",
 IF(OR(
 SUM(($E$4:$CZ$4="")*(E22:CZ22&lt;&gt;""))&gt;0,
 SUM(($E$5:$CZ$5="")*(E22:CZ22&lt;&gt;""))&gt;0,
 COUNTA(E22:CZ22)&gt;$DO$3,
 SUMPRODUCT((E22:CZ22&lt;&gt;"")*(ISNA(MATCH(E22:CZ22,{"P","A","L","E","D"},0))))&gt;0),"Error",
 IF(COUNTIFS($E$5:$CZ$5,"T3",E22:CZ22,$DI$5)=0,"--",
 COUNTIFS($E$5:$CZ$5,"T3",E22:CZ22,$DI$5)))))</f>
        <v>--</v>
      </c>
      <c r="DJ22" s="539" t="str">
        <f t="array" ref="DJ22">IF(D22="","",
 IF($DO$3="Error","Error",
 IF(OR(
 SUM(($E$4:$CZ$4="")*(E22:CZ22&lt;&gt;""))&gt;0,
 SUM(($E$5:$CZ$5="")*(E22:CZ22&lt;&gt;""))&gt;0,
 COUNTA(E22:CZ22)&gt;$DO$3,
 SUMPRODUCT((E22:CZ22&lt;&gt;"")*(ISNA(MATCH(E22:CZ22,{"P","A","L","E","D"},0))))&gt;0),"Error",
 IF(COUNTIFS($E$5:$CZ$5,"T3",E22:CZ22,$DJ$5)=0,"--",
 COUNTIFS($E$5:$CZ$5,"T3",E22:CZ22,$DJ$5)))))</f>
        <v>--</v>
      </c>
      <c r="DK22" s="539" t="str">
        <f t="array" ref="DK22">IF(D22="","",
 IF($DO$3="Error","Error",
 IF(OR(
 SUM(($E$4:$CZ$4="")*(E22:CZ22&lt;&gt;""))&gt;0,
 SUM(($E$5:$CZ$5="")*(E22:CZ22&lt;&gt;""))&gt;0,
 COUNTA(E22:CZ22)&gt;$DO$3,
 SUMPRODUCT((E22:CZ22&lt;&gt;"")*(ISNA(MATCH(E22:CZ22,{"P","A","L","E","D"},0))))&gt;0),"Error",
 IF(COUNTIFS($E$5:$CZ$5,"T3",E22:CZ22,$DK$5)=0,"--",
 COUNTIFS($E$5:$CZ$5,"T3",E22:CZ22,$DK$5)))))</f>
        <v>--</v>
      </c>
      <c r="DL22" s="540" t="str">
        <f t="array" ref="DL22">IF(D22="","",
 IF($DO$3="Error","Error",
 IF(OR(
 SUM(($E$4:$CZ$4="")*(E22:CZ22&lt;&gt;""))&gt;0,
 SUM(($E$5:$CZ$5="")*(E22:CZ22&lt;&gt;""))&gt;0,
 COUNTA(E22:CZ22)&gt;$DO$3,
 SUMPRODUCT((E22:CZ22&lt;&gt;"")*(ISNA(MATCH(E22:CZ22,{"P","A","L","E","D"},0))))&gt;0),"Error",
 IF(COUNTIFS($E$5:$CZ$5,"T3",E22:CZ22,$DL$5)=0,"--",
 COUNTIFS($E$5:$CZ$5,"T3",E22:CZ22,$DL$5)))))</f>
        <v>--</v>
      </c>
      <c r="DM22" s="530" t="str">
        <f t="array" ref="DM22">IF(COUNTIF(DA22:DL22,"Error")&gt;0,"Error",
 IF(AND(D22="",COUNTA(E22:CZ22)&gt;0),"Error",
 IF(COUNTIF(E22:CZ22,"D")&gt;0,"DRP",
 IF(OR(SUM(COUNTIF(E22:CZ22,{"P","A","L","E"}))&gt;0,AND(D22&lt;&gt;"",COUNTA(E22:CZ22)=0)),"Active",""))))</f>
        <v>Active</v>
      </c>
      <c r="DN22" s="531"/>
    </row>
    <row r="23" ht="15.95" customHeight="1" spans="2:118" x14ac:dyDescent="0.25">
      <c r="B23" s="471">
        <v>18</v>
      </c>
      <c r="C23" s="532">
        <f>IF('Data Input'!M24="","",'Data Input'!M24)</f>
        <v>2000488472</v>
      </c>
      <c r="D23" s="533" t="str">
        <f>IF('Data Input'!N24="","",'Data Input'!N24)</f>
        <v>JANI, JOSEPH LOUIE</v>
      </c>
      <c r="E23" s="534"/>
      <c r="F23" s="535"/>
      <c r="G23" s="535"/>
      <c r="H23" s="535"/>
      <c r="I23" s="535"/>
      <c r="J23" s="535"/>
      <c r="K23" s="535"/>
      <c r="L23" s="535"/>
      <c r="M23" s="535"/>
      <c r="N23" s="535"/>
      <c r="O23" s="535"/>
      <c r="P23" s="535"/>
      <c r="Q23" s="535"/>
      <c r="R23" s="535"/>
      <c r="S23" s="535"/>
      <c r="T23" s="535"/>
      <c r="U23" s="535"/>
      <c r="V23" s="535"/>
      <c r="W23" s="535"/>
      <c r="X23" s="535"/>
      <c r="Y23" s="535"/>
      <c r="Z23" s="535"/>
      <c r="AA23" s="535"/>
      <c r="AB23" s="535"/>
      <c r="AC23" s="535"/>
      <c r="AD23" s="535"/>
      <c r="AE23" s="535"/>
      <c r="AF23" s="535"/>
      <c r="AG23" s="535"/>
      <c r="AH23" s="535"/>
      <c r="AI23" s="535"/>
      <c r="AJ23" s="535"/>
      <c r="AK23" s="535"/>
      <c r="AL23" s="535"/>
      <c r="AM23" s="535"/>
      <c r="AN23" s="535"/>
      <c r="AO23" s="535"/>
      <c r="AP23" s="535"/>
      <c r="AQ23" s="535"/>
      <c r="AR23" s="535"/>
      <c r="AS23" s="535"/>
      <c r="AT23" s="535"/>
      <c r="AU23" s="535"/>
      <c r="AV23" s="535"/>
      <c r="AW23" s="535"/>
      <c r="AX23" s="535"/>
      <c r="AY23" s="535"/>
      <c r="AZ23" s="535"/>
      <c r="BA23" s="535"/>
      <c r="BB23" s="536"/>
      <c r="BC23" s="535"/>
      <c r="BD23" s="535"/>
      <c r="BE23" s="535"/>
      <c r="BF23" s="535"/>
      <c r="BG23" s="535"/>
      <c r="BH23" s="535"/>
      <c r="BI23" s="535"/>
      <c r="BJ23" s="535"/>
      <c r="BK23" s="535"/>
      <c r="BL23" s="535"/>
      <c r="BM23" s="535"/>
      <c r="BN23" s="535"/>
      <c r="BO23" s="535"/>
      <c r="BP23" s="535"/>
      <c r="BQ23" s="535"/>
      <c r="BR23" s="535"/>
      <c r="BS23" s="535"/>
      <c r="BT23" s="535"/>
      <c r="BU23" s="535"/>
      <c r="BV23" s="535"/>
      <c r="BW23" s="535"/>
      <c r="BX23" s="535"/>
      <c r="BY23" s="535"/>
      <c r="BZ23" s="535"/>
      <c r="CA23" s="535"/>
      <c r="CB23" s="535"/>
      <c r="CC23" s="535"/>
      <c r="CD23" s="535"/>
      <c r="CE23" s="535"/>
      <c r="CF23" s="535"/>
      <c r="CG23" s="535"/>
      <c r="CH23" s="535"/>
      <c r="CI23" s="535"/>
      <c r="CJ23" s="535"/>
      <c r="CK23" s="535"/>
      <c r="CL23" s="535"/>
      <c r="CM23" s="535"/>
      <c r="CN23" s="535"/>
      <c r="CO23" s="535"/>
      <c r="CP23" s="535"/>
      <c r="CQ23" s="535"/>
      <c r="CR23" s="535"/>
      <c r="CS23" s="535"/>
      <c r="CT23" s="535"/>
      <c r="CU23" s="535"/>
      <c r="CV23" s="535"/>
      <c r="CW23" s="535"/>
      <c r="CX23" s="535"/>
      <c r="CY23" s="535"/>
      <c r="CZ23" s="537"/>
      <c r="DA23" s="538" t="str">
        <f t="array" ref="DA23">IF(D23="","",
 IF($DO$3="Error","Error",
 IF(OR(
 SUM(($E$4:$CZ$4="")*(E23:CZ23&lt;&gt;""))&gt;0,
 SUM(($E$5:$CZ$5="")*(E23:CZ23&lt;&gt;""))&gt;0,
 COUNTA(E23:CZ23)&gt;$DO$3,
 SUMPRODUCT((E23:CZ23&lt;&gt;"")*(ISNA(MATCH(E23:CZ23,{"P","A","L","E","D"},0))))&gt;0),"Error",
 IF(COUNTIFS($E$5:$CZ$5,"T1",E23:CZ23,$DA$5)=0,"--",
 COUNTIFS($E$5:$CZ$5,"T1",E23:CZ23,$DA$5)))))</f>
        <v>--</v>
      </c>
      <c r="DB23" s="539" t="str">
        <f t="array" ref="DB23">IF(D23="","",
 IF($DO$3="Error","Error",
 IF(OR(
 SUM(($E$4:$CZ$4="")*(E23:CZ23&lt;&gt;""))&gt;0,
 SUM(($E$5:$CZ$5="")*(E23:CZ23&lt;&gt;""))&gt;0,
 COUNTA(E23:CZ23)&gt;$DO$3,
 SUMPRODUCT((E23:CZ23&lt;&gt;"")*(ISNA(MATCH(E23:CZ23,{"P","A","L","E","D"},0))))&gt;0),"Error",
 IF(COUNTIFS($E$5:$CZ$5,"T1",E23:CZ23,$DB$5)=0,"--",
 COUNTIFS($E$5:$CZ$5,"T1",E23:CZ23,$DB$5)))))</f>
        <v>--</v>
      </c>
      <c r="DC23" s="539" t="str">
        <f t="array" ref="DC23">IF(D23="","",
 IF($DO$3="Error","Error",
 IF(OR(
 SUM(($E$4:$CZ$4="")*(E23:CZ23&lt;&gt;""))&gt;0,
 SUM(($E$5:$CZ$5="")*(E23:CZ23&lt;&gt;""))&gt;0,
 COUNTA(E23:CZ23)&gt;$DO$3,
 SUMPRODUCT((E23:CZ23&lt;&gt;"")*(ISNA(MATCH(E23:CZ23,{"P","A","L","E","D"},0))))&gt;0),"Error",
 IF(COUNTIFS($E$5:$CZ$5,"T1",E23:CZ23,$DC$5)=0,"--",
 COUNTIFS($E$5:$CZ$5,"T1",E23:CZ23,$DC$5)))))</f>
        <v>--</v>
      </c>
      <c r="DD23" s="540" t="str">
        <f t="array" ref="DD23">IF(D23="","",
 IF($DO$3="Error","Error",
 IF(OR(
 SUM(($E$4:$CZ$4="")*(E23:CZ23&lt;&gt;""))&gt;0,
 SUM(($E$5:$CZ$5="")*(E23:CZ23&lt;&gt;""))&gt;0,
 COUNTA(E23:CZ23)&gt;$DO$3,
 SUMPRODUCT((E23:CZ23&lt;&gt;"")*(ISNA(MATCH(E23:CZ23,{"P","A","L","E","D"},0))))&gt;0),"Error",
 IF(COUNTIFS($E$5:$CZ$5,"T1",E23:CZ23,$DD$5)=0,"--",
 COUNTIFS($E$5:$CZ$5,"T1",E23:CZ23,$DD$5)))))</f>
        <v>--</v>
      </c>
      <c r="DE23" s="541" t="str">
        <f t="array" ref="DE23">IF(D23="","",
 IF($DO$3="Error","Error",
 IF(OR(
 SUM(($E$4:$CZ$4="")*(E23:CZ23&lt;&gt;""))&gt;0,
 SUM(($E$5:$CZ$5="")*(E23:CZ23&lt;&gt;""))&gt;0,
 COUNTA(E23:CZ23)&gt;$DO$3,
 SUMPRODUCT((E23:CZ23&lt;&gt;"")*(ISNA(MATCH(E23:CZ23,{"P","A","L","E","D"},0))))&gt;0),"Error",
 IF(COUNTIFS($E$5:$CZ$5,"T2",E23:CZ23,$DE$5)=0,"--",
 COUNTIFS($E$5:$CZ$5,"T2",E23:CZ23,$DE$5)))))</f>
        <v>--</v>
      </c>
      <c r="DF23" s="539" t="str">
        <f t="array" ref="DF23">IF(D23="","",
 IF($DO$3="Error","Error",
 IF(OR(
 SUM(($E$4:$CZ$4="")*(E23:CZ23&lt;&gt;""))&gt;0,
 SUM(($E$5:$CZ$5="")*(E23:CZ23&lt;&gt;""))&gt;0,
 COUNTA(E23:CZ23)&gt;$DO$3,
 SUMPRODUCT((E23:CZ23&lt;&gt;"")*(ISNA(MATCH(E23:CZ23,{"P","A","L","E","D"},0))))&gt;0),"Error",
 IF(COUNTIFS($E$5:$CZ$5,"T2",E23:CZ23,$DF$5)=0,"--",
 COUNTIFS($E$5:$CZ$5,"T2",E23:CZ23,$DF$5)))))</f>
        <v>--</v>
      </c>
      <c r="DG23" s="539" t="str">
        <f t="array" ref="DG23">IF(D23="","",
 IF($DO$3="Error","Error",
 IF(OR(
 SUM(($E$4:$CZ$4="")*(E23:CZ23&lt;&gt;""))&gt;0,
 SUM(($E$5:$CZ$5="")*(E23:CZ23&lt;&gt;""))&gt;0,
 COUNTA(E23:CZ23)&gt;$DO$3,
 SUMPRODUCT((E23:CZ23&lt;&gt;"")*(ISNA(MATCH(E23:CZ23,{"P","A","L","E","D"},0))))&gt;0),"Error",
 IF(COUNTIFS($E$5:$CZ$5,"T2",E23:CZ23,$DG$5)=0,"--",
 COUNTIFS($E$5:$CZ$5,"T2",E23:CZ23,$DG$5)))))</f>
        <v>--</v>
      </c>
      <c r="DH23" s="542" t="str">
        <f t="array" ref="DH23">IF(D23="","",
 IF($DO$3="Error","Error",
 IF(OR(
 SUM(($E$4:$CZ$4="")*(E23:CZ23&lt;&gt;""))&gt;0,
 SUM(($E$5:$CZ$5="")*(E23:CZ23&lt;&gt;""))&gt;0,
 COUNTA(E23:CZ23)&gt;$DO$3,
 SUMPRODUCT((E23:CZ23&lt;&gt;"")*(ISNA(MATCH(E23:CZ23,{"P","A","L","E","D"},0))))&gt;0),"Error",
 IF(COUNTIFS($E$5:$CZ$5,"T2",E23:CZ23,$DH$5)=0,"--",
 COUNTIFS($E$5:$CZ$5,"T2",E23:CZ23,$DH$5)))))</f>
        <v>--</v>
      </c>
      <c r="DI23" s="543" t="str">
        <f t="array" ref="DI23">IF(D23="","",
 IF($DO$3="Error","Error",
 IF(OR(
 SUM(($E$4:$CZ$4="")*(E23:CZ23&lt;&gt;""))&gt;0,
 SUM(($E$5:$CZ$5="")*(E23:CZ23&lt;&gt;""))&gt;0,
 COUNTA(E23:CZ23)&gt;$DO$3,
 SUMPRODUCT((E23:CZ23&lt;&gt;"")*(ISNA(MATCH(E23:CZ23,{"P","A","L","E","D"},0))))&gt;0),"Error",
 IF(COUNTIFS($E$5:$CZ$5,"T3",E23:CZ23,$DI$5)=0,"--",
 COUNTIFS($E$5:$CZ$5,"T3",E23:CZ23,$DI$5)))))</f>
        <v>--</v>
      </c>
      <c r="DJ23" s="539" t="str">
        <f t="array" ref="DJ23">IF(D23="","",
 IF($DO$3="Error","Error",
 IF(OR(
 SUM(($E$4:$CZ$4="")*(E23:CZ23&lt;&gt;""))&gt;0,
 SUM(($E$5:$CZ$5="")*(E23:CZ23&lt;&gt;""))&gt;0,
 COUNTA(E23:CZ23)&gt;$DO$3,
 SUMPRODUCT((E23:CZ23&lt;&gt;"")*(ISNA(MATCH(E23:CZ23,{"P","A","L","E","D"},0))))&gt;0),"Error",
 IF(COUNTIFS($E$5:$CZ$5,"T3",E23:CZ23,$DJ$5)=0,"--",
 COUNTIFS($E$5:$CZ$5,"T3",E23:CZ23,$DJ$5)))))</f>
        <v>--</v>
      </c>
      <c r="DK23" s="539" t="str">
        <f t="array" ref="DK23">IF(D23="","",
 IF($DO$3="Error","Error",
 IF(OR(
 SUM(($E$4:$CZ$4="")*(E23:CZ23&lt;&gt;""))&gt;0,
 SUM(($E$5:$CZ$5="")*(E23:CZ23&lt;&gt;""))&gt;0,
 COUNTA(E23:CZ23)&gt;$DO$3,
 SUMPRODUCT((E23:CZ23&lt;&gt;"")*(ISNA(MATCH(E23:CZ23,{"P","A","L","E","D"},0))))&gt;0),"Error",
 IF(COUNTIFS($E$5:$CZ$5,"T3",E23:CZ23,$DK$5)=0,"--",
 COUNTIFS($E$5:$CZ$5,"T3",E23:CZ23,$DK$5)))))</f>
        <v>--</v>
      </c>
      <c r="DL23" s="540" t="str">
        <f t="array" ref="DL23">IF(D23="","",
 IF($DO$3="Error","Error",
 IF(OR(
 SUM(($E$4:$CZ$4="")*(E23:CZ23&lt;&gt;""))&gt;0,
 SUM(($E$5:$CZ$5="")*(E23:CZ23&lt;&gt;""))&gt;0,
 COUNTA(E23:CZ23)&gt;$DO$3,
 SUMPRODUCT((E23:CZ23&lt;&gt;"")*(ISNA(MATCH(E23:CZ23,{"P","A","L","E","D"},0))))&gt;0),"Error",
 IF(COUNTIFS($E$5:$CZ$5,"T3",E23:CZ23,$DL$5)=0,"--",
 COUNTIFS($E$5:$CZ$5,"T3",E23:CZ23,$DL$5)))))</f>
        <v>--</v>
      </c>
      <c r="DM23" s="530" t="str">
        <f t="array" ref="DM23">IF(COUNTIF(DA23:DL23,"Error")&gt;0,"Error",
 IF(AND(D23="",COUNTA(E23:CZ23)&gt;0),"Error",
 IF(COUNTIF(E23:CZ23,"D")&gt;0,"DRP",
 IF(OR(SUM(COUNTIF(E23:CZ23,{"P","A","L","E"}))&gt;0,AND(D23&lt;&gt;"",COUNTA(E23:CZ23)=0)),"Active",""))))</f>
        <v>Active</v>
      </c>
      <c r="DN23" s="531"/>
    </row>
    <row r="24" ht="15.95" customHeight="1" spans="2:118" x14ac:dyDescent="0.25">
      <c r="B24" s="471">
        <v>19</v>
      </c>
      <c r="C24" s="532">
        <f>IF('Data Input'!M25="","",'Data Input'!M25)</f>
        <v>2000494958</v>
      </c>
      <c r="D24" s="533" t="str">
        <f>IF('Data Input'!N25="","",'Data Input'!N25)</f>
        <v>LEDESMA, CARL AUSTIN</v>
      </c>
      <c r="E24" s="534"/>
      <c r="F24" s="535"/>
      <c r="G24" s="535"/>
      <c r="H24" s="535"/>
      <c r="I24" s="535"/>
      <c r="J24" s="535"/>
      <c r="K24" s="535"/>
      <c r="L24" s="535"/>
      <c r="M24" s="535"/>
      <c r="N24" s="535"/>
      <c r="O24" s="535"/>
      <c r="P24" s="535"/>
      <c r="Q24" s="535"/>
      <c r="R24" s="535"/>
      <c r="S24" s="535"/>
      <c r="T24" s="535"/>
      <c r="U24" s="535"/>
      <c r="V24" s="535"/>
      <c r="W24" s="535"/>
      <c r="X24" s="535"/>
      <c r="Y24" s="535"/>
      <c r="Z24" s="535"/>
      <c r="AA24" s="535"/>
      <c r="AB24" s="535"/>
      <c r="AC24" s="535"/>
      <c r="AD24" s="535"/>
      <c r="AE24" s="535"/>
      <c r="AF24" s="535"/>
      <c r="AG24" s="535"/>
      <c r="AH24" s="535"/>
      <c r="AI24" s="535"/>
      <c r="AJ24" s="535"/>
      <c r="AK24" s="535"/>
      <c r="AL24" s="535"/>
      <c r="AM24" s="535"/>
      <c r="AN24" s="535"/>
      <c r="AO24" s="535"/>
      <c r="AP24" s="535"/>
      <c r="AQ24" s="535"/>
      <c r="AR24" s="535"/>
      <c r="AS24" s="535"/>
      <c r="AT24" s="535"/>
      <c r="AU24" s="535"/>
      <c r="AV24" s="535"/>
      <c r="AW24" s="535"/>
      <c r="AX24" s="535"/>
      <c r="AY24" s="535"/>
      <c r="AZ24" s="535"/>
      <c r="BA24" s="535"/>
      <c r="BB24" s="536"/>
      <c r="BC24" s="535"/>
      <c r="BD24" s="535"/>
      <c r="BE24" s="535"/>
      <c r="BF24" s="535"/>
      <c r="BG24" s="535"/>
      <c r="BH24" s="535"/>
      <c r="BI24" s="535"/>
      <c r="BJ24" s="535"/>
      <c r="BK24" s="535"/>
      <c r="BL24" s="535"/>
      <c r="BM24" s="535"/>
      <c r="BN24" s="535"/>
      <c r="BO24" s="535"/>
      <c r="BP24" s="535"/>
      <c r="BQ24" s="535"/>
      <c r="BR24" s="535"/>
      <c r="BS24" s="535"/>
      <c r="BT24" s="535"/>
      <c r="BU24" s="535"/>
      <c r="BV24" s="535"/>
      <c r="BW24" s="535"/>
      <c r="BX24" s="535"/>
      <c r="BY24" s="535"/>
      <c r="BZ24" s="535"/>
      <c r="CA24" s="535"/>
      <c r="CB24" s="535"/>
      <c r="CC24" s="535"/>
      <c r="CD24" s="535"/>
      <c r="CE24" s="535"/>
      <c r="CF24" s="535"/>
      <c r="CG24" s="535"/>
      <c r="CH24" s="535"/>
      <c r="CI24" s="535"/>
      <c r="CJ24" s="535"/>
      <c r="CK24" s="535"/>
      <c r="CL24" s="535"/>
      <c r="CM24" s="535"/>
      <c r="CN24" s="535"/>
      <c r="CO24" s="535"/>
      <c r="CP24" s="535"/>
      <c r="CQ24" s="535"/>
      <c r="CR24" s="535"/>
      <c r="CS24" s="535"/>
      <c r="CT24" s="535"/>
      <c r="CU24" s="535"/>
      <c r="CV24" s="535"/>
      <c r="CW24" s="535"/>
      <c r="CX24" s="535"/>
      <c r="CY24" s="535"/>
      <c r="CZ24" s="537"/>
      <c r="DA24" s="538" t="str">
        <f t="array" ref="DA24">IF(D24="","",
 IF($DO$3="Error","Error",
 IF(OR(
 SUM(($E$4:$CZ$4="")*(E24:CZ24&lt;&gt;""))&gt;0,
 SUM(($E$5:$CZ$5="")*(E24:CZ24&lt;&gt;""))&gt;0,
 COUNTA(E24:CZ24)&gt;$DO$3,
 SUMPRODUCT((E24:CZ24&lt;&gt;"")*(ISNA(MATCH(E24:CZ24,{"P","A","L","E","D"},0))))&gt;0),"Error",
 IF(COUNTIFS($E$5:$CZ$5,"T1",E24:CZ24,$DA$5)=0,"--",
 COUNTIFS($E$5:$CZ$5,"T1",E24:CZ24,$DA$5)))))</f>
        <v>--</v>
      </c>
      <c r="DB24" s="539" t="str">
        <f t="array" ref="DB24">IF(D24="","",
 IF($DO$3="Error","Error",
 IF(OR(
 SUM(($E$4:$CZ$4="")*(E24:CZ24&lt;&gt;""))&gt;0,
 SUM(($E$5:$CZ$5="")*(E24:CZ24&lt;&gt;""))&gt;0,
 COUNTA(E24:CZ24)&gt;$DO$3,
 SUMPRODUCT((E24:CZ24&lt;&gt;"")*(ISNA(MATCH(E24:CZ24,{"P","A","L","E","D"},0))))&gt;0),"Error",
 IF(COUNTIFS($E$5:$CZ$5,"T1",E24:CZ24,$DB$5)=0,"--",
 COUNTIFS($E$5:$CZ$5,"T1",E24:CZ24,$DB$5)))))</f>
        <v>--</v>
      </c>
      <c r="DC24" s="539" t="str">
        <f t="array" ref="DC24">IF(D24="","",
 IF($DO$3="Error","Error",
 IF(OR(
 SUM(($E$4:$CZ$4="")*(E24:CZ24&lt;&gt;""))&gt;0,
 SUM(($E$5:$CZ$5="")*(E24:CZ24&lt;&gt;""))&gt;0,
 COUNTA(E24:CZ24)&gt;$DO$3,
 SUMPRODUCT((E24:CZ24&lt;&gt;"")*(ISNA(MATCH(E24:CZ24,{"P","A","L","E","D"},0))))&gt;0),"Error",
 IF(COUNTIFS($E$5:$CZ$5,"T1",E24:CZ24,$DC$5)=0,"--",
 COUNTIFS($E$5:$CZ$5,"T1",E24:CZ24,$DC$5)))))</f>
        <v>--</v>
      </c>
      <c r="DD24" s="540" t="str">
        <f t="array" ref="DD24">IF(D24="","",
 IF($DO$3="Error","Error",
 IF(OR(
 SUM(($E$4:$CZ$4="")*(E24:CZ24&lt;&gt;""))&gt;0,
 SUM(($E$5:$CZ$5="")*(E24:CZ24&lt;&gt;""))&gt;0,
 COUNTA(E24:CZ24)&gt;$DO$3,
 SUMPRODUCT((E24:CZ24&lt;&gt;"")*(ISNA(MATCH(E24:CZ24,{"P","A","L","E","D"},0))))&gt;0),"Error",
 IF(COUNTIFS($E$5:$CZ$5,"T1",E24:CZ24,$DD$5)=0,"--",
 COUNTIFS($E$5:$CZ$5,"T1",E24:CZ24,$DD$5)))))</f>
        <v>--</v>
      </c>
      <c r="DE24" s="541" t="str">
        <f t="array" ref="DE24">IF(D24="","",
 IF($DO$3="Error","Error",
 IF(OR(
 SUM(($E$4:$CZ$4="")*(E24:CZ24&lt;&gt;""))&gt;0,
 SUM(($E$5:$CZ$5="")*(E24:CZ24&lt;&gt;""))&gt;0,
 COUNTA(E24:CZ24)&gt;$DO$3,
 SUMPRODUCT((E24:CZ24&lt;&gt;"")*(ISNA(MATCH(E24:CZ24,{"P","A","L","E","D"},0))))&gt;0),"Error",
 IF(COUNTIFS($E$5:$CZ$5,"T2",E24:CZ24,$DE$5)=0,"--",
 COUNTIFS($E$5:$CZ$5,"T2",E24:CZ24,$DE$5)))))</f>
        <v>--</v>
      </c>
      <c r="DF24" s="539" t="str">
        <f t="array" ref="DF24">IF(D24="","",
 IF($DO$3="Error","Error",
 IF(OR(
 SUM(($E$4:$CZ$4="")*(E24:CZ24&lt;&gt;""))&gt;0,
 SUM(($E$5:$CZ$5="")*(E24:CZ24&lt;&gt;""))&gt;0,
 COUNTA(E24:CZ24)&gt;$DO$3,
 SUMPRODUCT((E24:CZ24&lt;&gt;"")*(ISNA(MATCH(E24:CZ24,{"P","A","L","E","D"},0))))&gt;0),"Error",
 IF(COUNTIFS($E$5:$CZ$5,"T2",E24:CZ24,$DF$5)=0,"--",
 COUNTIFS($E$5:$CZ$5,"T2",E24:CZ24,$DF$5)))))</f>
        <v>--</v>
      </c>
      <c r="DG24" s="539" t="str">
        <f t="array" ref="DG24">IF(D24="","",
 IF($DO$3="Error","Error",
 IF(OR(
 SUM(($E$4:$CZ$4="")*(E24:CZ24&lt;&gt;""))&gt;0,
 SUM(($E$5:$CZ$5="")*(E24:CZ24&lt;&gt;""))&gt;0,
 COUNTA(E24:CZ24)&gt;$DO$3,
 SUMPRODUCT((E24:CZ24&lt;&gt;"")*(ISNA(MATCH(E24:CZ24,{"P","A","L","E","D"},0))))&gt;0),"Error",
 IF(COUNTIFS($E$5:$CZ$5,"T2",E24:CZ24,$DG$5)=0,"--",
 COUNTIFS($E$5:$CZ$5,"T2",E24:CZ24,$DG$5)))))</f>
        <v>--</v>
      </c>
      <c r="DH24" s="542" t="str">
        <f t="array" ref="DH24">IF(D24="","",
 IF($DO$3="Error","Error",
 IF(OR(
 SUM(($E$4:$CZ$4="")*(E24:CZ24&lt;&gt;""))&gt;0,
 SUM(($E$5:$CZ$5="")*(E24:CZ24&lt;&gt;""))&gt;0,
 COUNTA(E24:CZ24)&gt;$DO$3,
 SUMPRODUCT((E24:CZ24&lt;&gt;"")*(ISNA(MATCH(E24:CZ24,{"P","A","L","E","D"},0))))&gt;0),"Error",
 IF(COUNTIFS($E$5:$CZ$5,"T2",E24:CZ24,$DH$5)=0,"--",
 COUNTIFS($E$5:$CZ$5,"T2",E24:CZ24,$DH$5)))))</f>
        <v>--</v>
      </c>
      <c r="DI24" s="543" t="str">
        <f t="array" ref="DI24">IF(D24="","",
 IF($DO$3="Error","Error",
 IF(OR(
 SUM(($E$4:$CZ$4="")*(E24:CZ24&lt;&gt;""))&gt;0,
 SUM(($E$5:$CZ$5="")*(E24:CZ24&lt;&gt;""))&gt;0,
 COUNTA(E24:CZ24)&gt;$DO$3,
 SUMPRODUCT((E24:CZ24&lt;&gt;"")*(ISNA(MATCH(E24:CZ24,{"P","A","L","E","D"},0))))&gt;0),"Error",
 IF(COUNTIFS($E$5:$CZ$5,"T3",E24:CZ24,$DI$5)=0,"--",
 COUNTIFS($E$5:$CZ$5,"T3",E24:CZ24,$DI$5)))))</f>
        <v>--</v>
      </c>
      <c r="DJ24" s="539" t="str">
        <f t="array" ref="DJ24">IF(D24="","",
 IF($DO$3="Error","Error",
 IF(OR(
 SUM(($E$4:$CZ$4="")*(E24:CZ24&lt;&gt;""))&gt;0,
 SUM(($E$5:$CZ$5="")*(E24:CZ24&lt;&gt;""))&gt;0,
 COUNTA(E24:CZ24)&gt;$DO$3,
 SUMPRODUCT((E24:CZ24&lt;&gt;"")*(ISNA(MATCH(E24:CZ24,{"P","A","L","E","D"},0))))&gt;0),"Error",
 IF(COUNTIFS($E$5:$CZ$5,"T3",E24:CZ24,$DJ$5)=0,"--",
 COUNTIFS($E$5:$CZ$5,"T3",E24:CZ24,$DJ$5)))))</f>
        <v>--</v>
      </c>
      <c r="DK24" s="539" t="str">
        <f t="array" ref="DK24">IF(D24="","",
 IF($DO$3="Error","Error",
 IF(OR(
 SUM(($E$4:$CZ$4="")*(E24:CZ24&lt;&gt;""))&gt;0,
 SUM(($E$5:$CZ$5="")*(E24:CZ24&lt;&gt;""))&gt;0,
 COUNTA(E24:CZ24)&gt;$DO$3,
 SUMPRODUCT((E24:CZ24&lt;&gt;"")*(ISNA(MATCH(E24:CZ24,{"P","A","L","E","D"},0))))&gt;0),"Error",
 IF(COUNTIFS($E$5:$CZ$5,"T3",E24:CZ24,$DK$5)=0,"--",
 COUNTIFS($E$5:$CZ$5,"T3",E24:CZ24,$DK$5)))))</f>
        <v>--</v>
      </c>
      <c r="DL24" s="540" t="str">
        <f t="array" ref="DL24">IF(D24="","",
 IF($DO$3="Error","Error",
 IF(OR(
 SUM(($E$4:$CZ$4="")*(E24:CZ24&lt;&gt;""))&gt;0,
 SUM(($E$5:$CZ$5="")*(E24:CZ24&lt;&gt;""))&gt;0,
 COUNTA(E24:CZ24)&gt;$DO$3,
 SUMPRODUCT((E24:CZ24&lt;&gt;"")*(ISNA(MATCH(E24:CZ24,{"P","A","L","E","D"},0))))&gt;0),"Error",
 IF(COUNTIFS($E$5:$CZ$5,"T3",E24:CZ24,$DL$5)=0,"--",
 COUNTIFS($E$5:$CZ$5,"T3",E24:CZ24,$DL$5)))))</f>
        <v>--</v>
      </c>
      <c r="DM24" s="530" t="str">
        <f t="array" ref="DM24">IF(COUNTIF(DA24:DL24,"Error")&gt;0,"Error",
 IF(AND(D24="",COUNTA(E24:CZ24)&gt;0),"Error",
 IF(COUNTIF(E24:CZ24,"D")&gt;0,"DRP",
 IF(OR(SUM(COUNTIF(E24:CZ24,{"P","A","L","E"}))&gt;0,AND(D24&lt;&gt;"",COUNTA(E24:CZ24)=0)),"Active",""))))</f>
        <v>Active</v>
      </c>
      <c r="DN24" s="531"/>
    </row>
    <row r="25" ht="15.95" customHeight="1" spans="2:118" x14ac:dyDescent="0.25">
      <c r="B25" s="471">
        <v>20</v>
      </c>
      <c r="C25" s="532">
        <f>IF('Data Input'!M26="","",'Data Input'!M26)</f>
        <v>2000498659</v>
      </c>
      <c r="D25" s="533" t="str">
        <f>IF('Data Input'!N26="","",'Data Input'!N26)</f>
        <v>LLAMADO, JOHN JEROME</v>
      </c>
      <c r="E25" s="534"/>
      <c r="F25" s="535"/>
      <c r="G25" s="535"/>
      <c r="H25" s="535"/>
      <c r="I25" s="535"/>
      <c r="J25" s="535"/>
      <c r="K25" s="535"/>
      <c r="L25" s="535"/>
      <c r="M25" s="535"/>
      <c r="N25" s="535"/>
      <c r="O25" s="535"/>
      <c r="P25" s="535"/>
      <c r="Q25" s="535"/>
      <c r="R25" s="535"/>
      <c r="S25" s="535"/>
      <c r="T25" s="535"/>
      <c r="U25" s="535"/>
      <c r="V25" s="535"/>
      <c r="W25" s="535"/>
      <c r="X25" s="535"/>
      <c r="Y25" s="535"/>
      <c r="Z25" s="535"/>
      <c r="AA25" s="535"/>
      <c r="AB25" s="535"/>
      <c r="AC25" s="535"/>
      <c r="AD25" s="535"/>
      <c r="AE25" s="535"/>
      <c r="AF25" s="535"/>
      <c r="AG25" s="535"/>
      <c r="AH25" s="535"/>
      <c r="AI25" s="535"/>
      <c r="AJ25" s="535"/>
      <c r="AK25" s="535"/>
      <c r="AL25" s="535"/>
      <c r="AM25" s="535"/>
      <c r="AN25" s="535"/>
      <c r="AO25" s="535"/>
      <c r="AP25" s="535"/>
      <c r="AQ25" s="535"/>
      <c r="AR25" s="535"/>
      <c r="AS25" s="535"/>
      <c r="AT25" s="535"/>
      <c r="AU25" s="535"/>
      <c r="AV25" s="535"/>
      <c r="AW25" s="535"/>
      <c r="AX25" s="535"/>
      <c r="AY25" s="535"/>
      <c r="AZ25" s="535"/>
      <c r="BA25" s="535"/>
      <c r="BB25" s="536"/>
      <c r="BC25" s="535"/>
      <c r="BD25" s="535"/>
      <c r="BE25" s="535"/>
      <c r="BF25" s="535"/>
      <c r="BG25" s="535"/>
      <c r="BH25" s="535"/>
      <c r="BI25" s="535"/>
      <c r="BJ25" s="535"/>
      <c r="BK25" s="535"/>
      <c r="BL25" s="535"/>
      <c r="BM25" s="535"/>
      <c r="BN25" s="535"/>
      <c r="BO25" s="535"/>
      <c r="BP25" s="535"/>
      <c r="BQ25" s="535"/>
      <c r="BR25" s="535"/>
      <c r="BS25" s="535"/>
      <c r="BT25" s="535"/>
      <c r="BU25" s="535"/>
      <c r="BV25" s="535"/>
      <c r="BW25" s="535"/>
      <c r="BX25" s="535"/>
      <c r="BY25" s="535"/>
      <c r="BZ25" s="535"/>
      <c r="CA25" s="535"/>
      <c r="CB25" s="535"/>
      <c r="CC25" s="535"/>
      <c r="CD25" s="535"/>
      <c r="CE25" s="535"/>
      <c r="CF25" s="535"/>
      <c r="CG25" s="535"/>
      <c r="CH25" s="535"/>
      <c r="CI25" s="535"/>
      <c r="CJ25" s="535"/>
      <c r="CK25" s="535"/>
      <c r="CL25" s="535"/>
      <c r="CM25" s="535"/>
      <c r="CN25" s="535"/>
      <c r="CO25" s="535"/>
      <c r="CP25" s="535"/>
      <c r="CQ25" s="535"/>
      <c r="CR25" s="535"/>
      <c r="CS25" s="535"/>
      <c r="CT25" s="535"/>
      <c r="CU25" s="535"/>
      <c r="CV25" s="535"/>
      <c r="CW25" s="535"/>
      <c r="CX25" s="535"/>
      <c r="CY25" s="535"/>
      <c r="CZ25" s="537"/>
      <c r="DA25" s="538" t="str">
        <f t="array" ref="DA25">IF(D25="","",
 IF($DO$3="Error","Error",
 IF(OR(
 SUM(($E$4:$CZ$4="")*(E25:CZ25&lt;&gt;""))&gt;0,
 SUM(($E$5:$CZ$5="")*(E25:CZ25&lt;&gt;""))&gt;0,
 COUNTA(E25:CZ25)&gt;$DO$3,
 SUMPRODUCT((E25:CZ25&lt;&gt;"")*(ISNA(MATCH(E25:CZ25,{"P","A","L","E","D"},0))))&gt;0),"Error",
 IF(COUNTIFS($E$5:$CZ$5,"T1",E25:CZ25,$DA$5)=0,"--",
 COUNTIFS($E$5:$CZ$5,"T1",E25:CZ25,$DA$5)))))</f>
        <v>--</v>
      </c>
      <c r="DB25" s="539" t="str">
        <f t="array" ref="DB25">IF(D25="","",
 IF($DO$3="Error","Error",
 IF(OR(
 SUM(($E$4:$CZ$4="")*(E25:CZ25&lt;&gt;""))&gt;0,
 SUM(($E$5:$CZ$5="")*(E25:CZ25&lt;&gt;""))&gt;0,
 COUNTA(E25:CZ25)&gt;$DO$3,
 SUMPRODUCT((E25:CZ25&lt;&gt;"")*(ISNA(MATCH(E25:CZ25,{"P","A","L","E","D"},0))))&gt;0),"Error",
 IF(COUNTIFS($E$5:$CZ$5,"T1",E25:CZ25,$DB$5)=0,"--",
 COUNTIFS($E$5:$CZ$5,"T1",E25:CZ25,$DB$5)))))</f>
        <v>--</v>
      </c>
      <c r="DC25" s="539" t="str">
        <f t="array" ref="DC25">IF(D25="","",
 IF($DO$3="Error","Error",
 IF(OR(
 SUM(($E$4:$CZ$4="")*(E25:CZ25&lt;&gt;""))&gt;0,
 SUM(($E$5:$CZ$5="")*(E25:CZ25&lt;&gt;""))&gt;0,
 COUNTA(E25:CZ25)&gt;$DO$3,
 SUMPRODUCT((E25:CZ25&lt;&gt;"")*(ISNA(MATCH(E25:CZ25,{"P","A","L","E","D"},0))))&gt;0),"Error",
 IF(COUNTIFS($E$5:$CZ$5,"T1",E25:CZ25,$DC$5)=0,"--",
 COUNTIFS($E$5:$CZ$5,"T1",E25:CZ25,$DC$5)))))</f>
        <v>--</v>
      </c>
      <c r="DD25" s="540" t="str">
        <f t="array" ref="DD25">IF(D25="","",
 IF($DO$3="Error","Error",
 IF(OR(
 SUM(($E$4:$CZ$4="")*(E25:CZ25&lt;&gt;""))&gt;0,
 SUM(($E$5:$CZ$5="")*(E25:CZ25&lt;&gt;""))&gt;0,
 COUNTA(E25:CZ25)&gt;$DO$3,
 SUMPRODUCT((E25:CZ25&lt;&gt;"")*(ISNA(MATCH(E25:CZ25,{"P","A","L","E","D"},0))))&gt;0),"Error",
 IF(COUNTIFS($E$5:$CZ$5,"T1",E25:CZ25,$DD$5)=0,"--",
 COUNTIFS($E$5:$CZ$5,"T1",E25:CZ25,$DD$5)))))</f>
        <v>--</v>
      </c>
      <c r="DE25" s="541" t="str">
        <f t="array" ref="DE25">IF(D25="","",
 IF($DO$3="Error","Error",
 IF(OR(
 SUM(($E$4:$CZ$4="")*(E25:CZ25&lt;&gt;""))&gt;0,
 SUM(($E$5:$CZ$5="")*(E25:CZ25&lt;&gt;""))&gt;0,
 COUNTA(E25:CZ25)&gt;$DO$3,
 SUMPRODUCT((E25:CZ25&lt;&gt;"")*(ISNA(MATCH(E25:CZ25,{"P","A","L","E","D"},0))))&gt;0),"Error",
 IF(COUNTIFS($E$5:$CZ$5,"T2",E25:CZ25,$DE$5)=0,"--",
 COUNTIFS($E$5:$CZ$5,"T2",E25:CZ25,$DE$5)))))</f>
        <v>--</v>
      </c>
      <c r="DF25" s="539" t="str">
        <f t="array" ref="DF25">IF(D25="","",
 IF($DO$3="Error","Error",
 IF(OR(
 SUM(($E$4:$CZ$4="")*(E25:CZ25&lt;&gt;""))&gt;0,
 SUM(($E$5:$CZ$5="")*(E25:CZ25&lt;&gt;""))&gt;0,
 COUNTA(E25:CZ25)&gt;$DO$3,
 SUMPRODUCT((E25:CZ25&lt;&gt;"")*(ISNA(MATCH(E25:CZ25,{"P","A","L","E","D"},0))))&gt;0),"Error",
 IF(COUNTIFS($E$5:$CZ$5,"T2",E25:CZ25,$DF$5)=0,"--",
 COUNTIFS($E$5:$CZ$5,"T2",E25:CZ25,$DF$5)))))</f>
        <v>--</v>
      </c>
      <c r="DG25" s="539" t="str">
        <f t="array" ref="DG25">IF(D25="","",
 IF($DO$3="Error","Error",
 IF(OR(
 SUM(($E$4:$CZ$4="")*(E25:CZ25&lt;&gt;""))&gt;0,
 SUM(($E$5:$CZ$5="")*(E25:CZ25&lt;&gt;""))&gt;0,
 COUNTA(E25:CZ25)&gt;$DO$3,
 SUMPRODUCT((E25:CZ25&lt;&gt;"")*(ISNA(MATCH(E25:CZ25,{"P","A","L","E","D"},0))))&gt;0),"Error",
 IF(COUNTIFS($E$5:$CZ$5,"T2",E25:CZ25,$DG$5)=0,"--",
 COUNTIFS($E$5:$CZ$5,"T2",E25:CZ25,$DG$5)))))</f>
        <v>--</v>
      </c>
      <c r="DH25" s="542" t="str">
        <f t="array" ref="DH25">IF(D25="","",
 IF($DO$3="Error","Error",
 IF(OR(
 SUM(($E$4:$CZ$4="")*(E25:CZ25&lt;&gt;""))&gt;0,
 SUM(($E$5:$CZ$5="")*(E25:CZ25&lt;&gt;""))&gt;0,
 COUNTA(E25:CZ25)&gt;$DO$3,
 SUMPRODUCT((E25:CZ25&lt;&gt;"")*(ISNA(MATCH(E25:CZ25,{"P","A","L","E","D"},0))))&gt;0),"Error",
 IF(COUNTIFS($E$5:$CZ$5,"T2",E25:CZ25,$DH$5)=0,"--",
 COUNTIFS($E$5:$CZ$5,"T2",E25:CZ25,$DH$5)))))</f>
        <v>--</v>
      </c>
      <c r="DI25" s="543" t="str">
        <f t="array" ref="DI25">IF(D25="","",
 IF($DO$3="Error","Error",
 IF(OR(
 SUM(($E$4:$CZ$4="")*(E25:CZ25&lt;&gt;""))&gt;0,
 SUM(($E$5:$CZ$5="")*(E25:CZ25&lt;&gt;""))&gt;0,
 COUNTA(E25:CZ25)&gt;$DO$3,
 SUMPRODUCT((E25:CZ25&lt;&gt;"")*(ISNA(MATCH(E25:CZ25,{"P","A","L","E","D"},0))))&gt;0),"Error",
 IF(COUNTIFS($E$5:$CZ$5,"T3",E25:CZ25,$DI$5)=0,"--",
 COUNTIFS($E$5:$CZ$5,"T3",E25:CZ25,$DI$5)))))</f>
        <v>--</v>
      </c>
      <c r="DJ25" s="539" t="str">
        <f t="array" ref="DJ25">IF(D25="","",
 IF($DO$3="Error","Error",
 IF(OR(
 SUM(($E$4:$CZ$4="")*(E25:CZ25&lt;&gt;""))&gt;0,
 SUM(($E$5:$CZ$5="")*(E25:CZ25&lt;&gt;""))&gt;0,
 COUNTA(E25:CZ25)&gt;$DO$3,
 SUMPRODUCT((E25:CZ25&lt;&gt;"")*(ISNA(MATCH(E25:CZ25,{"P","A","L","E","D"},0))))&gt;0),"Error",
 IF(COUNTIFS($E$5:$CZ$5,"T3",E25:CZ25,$DJ$5)=0,"--",
 COUNTIFS($E$5:$CZ$5,"T3",E25:CZ25,$DJ$5)))))</f>
        <v>--</v>
      </c>
      <c r="DK25" s="539" t="str">
        <f t="array" ref="DK25">IF(D25="","",
 IF($DO$3="Error","Error",
 IF(OR(
 SUM(($E$4:$CZ$4="")*(E25:CZ25&lt;&gt;""))&gt;0,
 SUM(($E$5:$CZ$5="")*(E25:CZ25&lt;&gt;""))&gt;0,
 COUNTA(E25:CZ25)&gt;$DO$3,
 SUMPRODUCT((E25:CZ25&lt;&gt;"")*(ISNA(MATCH(E25:CZ25,{"P","A","L","E","D"},0))))&gt;0),"Error",
 IF(COUNTIFS($E$5:$CZ$5,"T3",E25:CZ25,$DK$5)=0,"--",
 COUNTIFS($E$5:$CZ$5,"T3",E25:CZ25,$DK$5)))))</f>
        <v>--</v>
      </c>
      <c r="DL25" s="540" t="str">
        <f t="array" ref="DL25">IF(D25="","",
 IF($DO$3="Error","Error",
 IF(OR(
 SUM(($E$4:$CZ$4="")*(E25:CZ25&lt;&gt;""))&gt;0,
 SUM(($E$5:$CZ$5="")*(E25:CZ25&lt;&gt;""))&gt;0,
 COUNTA(E25:CZ25)&gt;$DO$3,
 SUMPRODUCT((E25:CZ25&lt;&gt;"")*(ISNA(MATCH(E25:CZ25,{"P","A","L","E","D"},0))))&gt;0),"Error",
 IF(COUNTIFS($E$5:$CZ$5,"T3",E25:CZ25,$DL$5)=0,"--",
 COUNTIFS($E$5:$CZ$5,"T3",E25:CZ25,$DL$5)))))</f>
        <v>--</v>
      </c>
      <c r="DM25" s="530" t="str">
        <f t="array" ref="DM25">IF(COUNTIF(DA25:DL25,"Error")&gt;0,"Error",
 IF(AND(D25="",COUNTA(E25:CZ25)&gt;0),"Error",
 IF(COUNTIF(E25:CZ25,"D")&gt;0,"DRP",
 IF(OR(SUM(COUNTIF(E25:CZ25,{"P","A","L","E"}))&gt;0,AND(D25&lt;&gt;"",COUNTA(E25:CZ25)=0)),"Active",""))))</f>
        <v>Active</v>
      </c>
      <c r="DN25" s="531"/>
    </row>
    <row r="26" ht="15.95" customHeight="1" spans="2:118" x14ac:dyDescent="0.25">
      <c r="B26" s="471">
        <v>21</v>
      </c>
      <c r="C26" s="532">
        <f>IF('Data Input'!M27="","",'Data Input'!M27)</f>
        <v>2000496341</v>
      </c>
      <c r="D26" s="533" t="str">
        <f>IF('Data Input'!N27="","",'Data Input'!N27)</f>
        <v>MAQUITE, JOHN MICHAEL</v>
      </c>
      <c r="E26" s="534"/>
      <c r="F26" s="535"/>
      <c r="G26" s="535"/>
      <c r="H26" s="535"/>
      <c r="I26" s="535"/>
      <c r="J26" s="535"/>
      <c r="K26" s="535"/>
      <c r="L26" s="535"/>
      <c r="M26" s="535"/>
      <c r="N26" s="535"/>
      <c r="O26" s="535"/>
      <c r="P26" s="535"/>
      <c r="Q26" s="535"/>
      <c r="R26" s="535"/>
      <c r="S26" s="535"/>
      <c r="T26" s="535"/>
      <c r="U26" s="535"/>
      <c r="V26" s="535"/>
      <c r="W26" s="535"/>
      <c r="X26" s="535"/>
      <c r="Y26" s="535"/>
      <c r="Z26" s="535"/>
      <c r="AA26" s="535"/>
      <c r="AB26" s="535"/>
      <c r="AC26" s="535"/>
      <c r="AD26" s="535"/>
      <c r="AE26" s="535"/>
      <c r="AF26" s="535"/>
      <c r="AG26" s="535"/>
      <c r="AH26" s="535"/>
      <c r="AI26" s="535"/>
      <c r="AJ26" s="535"/>
      <c r="AK26" s="535"/>
      <c r="AL26" s="535"/>
      <c r="AM26" s="535"/>
      <c r="AN26" s="535"/>
      <c r="AO26" s="535"/>
      <c r="AP26" s="535"/>
      <c r="AQ26" s="535"/>
      <c r="AR26" s="535"/>
      <c r="AS26" s="535"/>
      <c r="AT26" s="535"/>
      <c r="AU26" s="535"/>
      <c r="AV26" s="535"/>
      <c r="AW26" s="535"/>
      <c r="AX26" s="535"/>
      <c r="AY26" s="535"/>
      <c r="AZ26" s="535"/>
      <c r="BA26" s="535"/>
      <c r="BB26" s="536"/>
      <c r="BC26" s="535"/>
      <c r="BD26" s="535"/>
      <c r="BE26" s="535"/>
      <c r="BF26" s="535"/>
      <c r="BG26" s="535"/>
      <c r="BH26" s="535"/>
      <c r="BI26" s="535"/>
      <c r="BJ26" s="535"/>
      <c r="BK26" s="535"/>
      <c r="BL26" s="535"/>
      <c r="BM26" s="535"/>
      <c r="BN26" s="535"/>
      <c r="BO26" s="535"/>
      <c r="BP26" s="535"/>
      <c r="BQ26" s="535"/>
      <c r="BR26" s="535"/>
      <c r="BS26" s="535"/>
      <c r="BT26" s="535"/>
      <c r="BU26" s="535"/>
      <c r="BV26" s="535"/>
      <c r="BW26" s="535"/>
      <c r="BX26" s="535"/>
      <c r="BY26" s="535"/>
      <c r="BZ26" s="535"/>
      <c r="CA26" s="535"/>
      <c r="CB26" s="535"/>
      <c r="CC26" s="535"/>
      <c r="CD26" s="535"/>
      <c r="CE26" s="535"/>
      <c r="CF26" s="535"/>
      <c r="CG26" s="535"/>
      <c r="CH26" s="535"/>
      <c r="CI26" s="535"/>
      <c r="CJ26" s="535"/>
      <c r="CK26" s="535"/>
      <c r="CL26" s="535"/>
      <c r="CM26" s="535"/>
      <c r="CN26" s="535"/>
      <c r="CO26" s="535"/>
      <c r="CP26" s="535"/>
      <c r="CQ26" s="535"/>
      <c r="CR26" s="535"/>
      <c r="CS26" s="535"/>
      <c r="CT26" s="535"/>
      <c r="CU26" s="535"/>
      <c r="CV26" s="535"/>
      <c r="CW26" s="535"/>
      <c r="CX26" s="535"/>
      <c r="CY26" s="535"/>
      <c r="CZ26" s="537"/>
      <c r="DA26" s="538" t="str">
        <f t="array" ref="DA26">IF(D26="","",
 IF($DO$3="Error","Error",
 IF(OR(
 SUM(($E$4:$CZ$4="")*(E26:CZ26&lt;&gt;""))&gt;0,
 SUM(($E$5:$CZ$5="")*(E26:CZ26&lt;&gt;""))&gt;0,
 COUNTA(E26:CZ26)&gt;$DO$3,
 SUMPRODUCT((E26:CZ26&lt;&gt;"")*(ISNA(MATCH(E26:CZ26,{"P","A","L","E","D"},0))))&gt;0),"Error",
 IF(COUNTIFS($E$5:$CZ$5,"T1",E26:CZ26,$DA$5)=0,"--",
 COUNTIFS($E$5:$CZ$5,"T1",E26:CZ26,$DA$5)))))</f>
        <v>--</v>
      </c>
      <c r="DB26" s="539" t="str">
        <f t="array" ref="DB26">IF(D26="","",
 IF($DO$3="Error","Error",
 IF(OR(
 SUM(($E$4:$CZ$4="")*(E26:CZ26&lt;&gt;""))&gt;0,
 SUM(($E$5:$CZ$5="")*(E26:CZ26&lt;&gt;""))&gt;0,
 COUNTA(E26:CZ26)&gt;$DO$3,
 SUMPRODUCT((E26:CZ26&lt;&gt;"")*(ISNA(MATCH(E26:CZ26,{"P","A","L","E","D"},0))))&gt;0),"Error",
 IF(COUNTIFS($E$5:$CZ$5,"T1",E26:CZ26,$DB$5)=0,"--",
 COUNTIFS($E$5:$CZ$5,"T1",E26:CZ26,$DB$5)))))</f>
        <v>--</v>
      </c>
      <c r="DC26" s="539" t="str">
        <f t="array" ref="DC26">IF(D26="","",
 IF($DO$3="Error","Error",
 IF(OR(
 SUM(($E$4:$CZ$4="")*(E26:CZ26&lt;&gt;""))&gt;0,
 SUM(($E$5:$CZ$5="")*(E26:CZ26&lt;&gt;""))&gt;0,
 COUNTA(E26:CZ26)&gt;$DO$3,
 SUMPRODUCT((E26:CZ26&lt;&gt;"")*(ISNA(MATCH(E26:CZ26,{"P","A","L","E","D"},0))))&gt;0),"Error",
 IF(COUNTIFS($E$5:$CZ$5,"T1",E26:CZ26,$DC$5)=0,"--",
 COUNTIFS($E$5:$CZ$5,"T1",E26:CZ26,$DC$5)))))</f>
        <v>--</v>
      </c>
      <c r="DD26" s="540" t="str">
        <f t="array" ref="DD26">IF(D26="","",
 IF($DO$3="Error","Error",
 IF(OR(
 SUM(($E$4:$CZ$4="")*(E26:CZ26&lt;&gt;""))&gt;0,
 SUM(($E$5:$CZ$5="")*(E26:CZ26&lt;&gt;""))&gt;0,
 COUNTA(E26:CZ26)&gt;$DO$3,
 SUMPRODUCT((E26:CZ26&lt;&gt;"")*(ISNA(MATCH(E26:CZ26,{"P","A","L","E","D"},0))))&gt;0),"Error",
 IF(COUNTIFS($E$5:$CZ$5,"T1",E26:CZ26,$DD$5)=0,"--",
 COUNTIFS($E$5:$CZ$5,"T1",E26:CZ26,$DD$5)))))</f>
        <v>--</v>
      </c>
      <c r="DE26" s="541" t="str">
        <f t="array" ref="DE26">IF(D26="","",
 IF($DO$3="Error","Error",
 IF(OR(
 SUM(($E$4:$CZ$4="")*(E26:CZ26&lt;&gt;""))&gt;0,
 SUM(($E$5:$CZ$5="")*(E26:CZ26&lt;&gt;""))&gt;0,
 COUNTA(E26:CZ26)&gt;$DO$3,
 SUMPRODUCT((E26:CZ26&lt;&gt;"")*(ISNA(MATCH(E26:CZ26,{"P","A","L","E","D"},0))))&gt;0),"Error",
 IF(COUNTIFS($E$5:$CZ$5,"T2",E26:CZ26,$DE$5)=0,"--",
 COUNTIFS($E$5:$CZ$5,"T2",E26:CZ26,$DE$5)))))</f>
        <v>--</v>
      </c>
      <c r="DF26" s="539" t="str">
        <f t="array" ref="DF26">IF(D26="","",
 IF($DO$3="Error","Error",
 IF(OR(
 SUM(($E$4:$CZ$4="")*(E26:CZ26&lt;&gt;""))&gt;0,
 SUM(($E$5:$CZ$5="")*(E26:CZ26&lt;&gt;""))&gt;0,
 COUNTA(E26:CZ26)&gt;$DO$3,
 SUMPRODUCT((E26:CZ26&lt;&gt;"")*(ISNA(MATCH(E26:CZ26,{"P","A","L","E","D"},0))))&gt;0),"Error",
 IF(COUNTIFS($E$5:$CZ$5,"T2",E26:CZ26,$DF$5)=0,"--",
 COUNTIFS($E$5:$CZ$5,"T2",E26:CZ26,$DF$5)))))</f>
        <v>--</v>
      </c>
      <c r="DG26" s="539" t="str">
        <f t="array" ref="DG26">IF(D26="","",
 IF($DO$3="Error","Error",
 IF(OR(
 SUM(($E$4:$CZ$4="")*(E26:CZ26&lt;&gt;""))&gt;0,
 SUM(($E$5:$CZ$5="")*(E26:CZ26&lt;&gt;""))&gt;0,
 COUNTA(E26:CZ26)&gt;$DO$3,
 SUMPRODUCT((E26:CZ26&lt;&gt;"")*(ISNA(MATCH(E26:CZ26,{"P","A","L","E","D"},0))))&gt;0),"Error",
 IF(COUNTIFS($E$5:$CZ$5,"T2",E26:CZ26,$DG$5)=0,"--",
 COUNTIFS($E$5:$CZ$5,"T2",E26:CZ26,$DG$5)))))</f>
        <v>--</v>
      </c>
      <c r="DH26" s="542" t="str">
        <f t="array" ref="DH26">IF(D26="","",
 IF($DO$3="Error","Error",
 IF(OR(
 SUM(($E$4:$CZ$4="")*(E26:CZ26&lt;&gt;""))&gt;0,
 SUM(($E$5:$CZ$5="")*(E26:CZ26&lt;&gt;""))&gt;0,
 COUNTA(E26:CZ26)&gt;$DO$3,
 SUMPRODUCT((E26:CZ26&lt;&gt;"")*(ISNA(MATCH(E26:CZ26,{"P","A","L","E","D"},0))))&gt;0),"Error",
 IF(COUNTIFS($E$5:$CZ$5,"T2",E26:CZ26,$DH$5)=0,"--",
 COUNTIFS($E$5:$CZ$5,"T2",E26:CZ26,$DH$5)))))</f>
        <v>--</v>
      </c>
      <c r="DI26" s="543" t="str">
        <f t="array" ref="DI26">IF(D26="","",
 IF($DO$3="Error","Error",
 IF(OR(
 SUM(($E$4:$CZ$4="")*(E26:CZ26&lt;&gt;""))&gt;0,
 SUM(($E$5:$CZ$5="")*(E26:CZ26&lt;&gt;""))&gt;0,
 COUNTA(E26:CZ26)&gt;$DO$3,
 SUMPRODUCT((E26:CZ26&lt;&gt;"")*(ISNA(MATCH(E26:CZ26,{"P","A","L","E","D"},0))))&gt;0),"Error",
 IF(COUNTIFS($E$5:$CZ$5,"T3",E26:CZ26,$DI$5)=0,"--",
 COUNTIFS($E$5:$CZ$5,"T3",E26:CZ26,$DI$5)))))</f>
        <v>--</v>
      </c>
      <c r="DJ26" s="539" t="str">
        <f t="array" ref="DJ26">IF(D26="","",
 IF($DO$3="Error","Error",
 IF(OR(
 SUM(($E$4:$CZ$4="")*(E26:CZ26&lt;&gt;""))&gt;0,
 SUM(($E$5:$CZ$5="")*(E26:CZ26&lt;&gt;""))&gt;0,
 COUNTA(E26:CZ26)&gt;$DO$3,
 SUMPRODUCT((E26:CZ26&lt;&gt;"")*(ISNA(MATCH(E26:CZ26,{"P","A","L","E","D"},0))))&gt;0),"Error",
 IF(COUNTIFS($E$5:$CZ$5,"T3",E26:CZ26,$DJ$5)=0,"--",
 COUNTIFS($E$5:$CZ$5,"T3",E26:CZ26,$DJ$5)))))</f>
        <v>--</v>
      </c>
      <c r="DK26" s="539" t="str">
        <f t="array" ref="DK26">IF(D26="","",
 IF($DO$3="Error","Error",
 IF(OR(
 SUM(($E$4:$CZ$4="")*(E26:CZ26&lt;&gt;""))&gt;0,
 SUM(($E$5:$CZ$5="")*(E26:CZ26&lt;&gt;""))&gt;0,
 COUNTA(E26:CZ26)&gt;$DO$3,
 SUMPRODUCT((E26:CZ26&lt;&gt;"")*(ISNA(MATCH(E26:CZ26,{"P","A","L","E","D"},0))))&gt;0),"Error",
 IF(COUNTIFS($E$5:$CZ$5,"T3",E26:CZ26,$DK$5)=0,"--",
 COUNTIFS($E$5:$CZ$5,"T3",E26:CZ26,$DK$5)))))</f>
        <v>--</v>
      </c>
      <c r="DL26" s="540" t="str">
        <f t="array" ref="DL26">IF(D26="","",
 IF($DO$3="Error","Error",
 IF(OR(
 SUM(($E$4:$CZ$4="")*(E26:CZ26&lt;&gt;""))&gt;0,
 SUM(($E$5:$CZ$5="")*(E26:CZ26&lt;&gt;""))&gt;0,
 COUNTA(E26:CZ26)&gt;$DO$3,
 SUMPRODUCT((E26:CZ26&lt;&gt;"")*(ISNA(MATCH(E26:CZ26,{"P","A","L","E","D"},0))))&gt;0),"Error",
 IF(COUNTIFS($E$5:$CZ$5,"T3",E26:CZ26,$DL$5)=0,"--",
 COUNTIFS($E$5:$CZ$5,"T3",E26:CZ26,$DL$5)))))</f>
        <v>--</v>
      </c>
      <c r="DM26" s="530" t="str">
        <f t="array" ref="DM26">IF(COUNTIF(DA26:DL26,"Error")&gt;0,"Error",
 IF(AND(D26="",COUNTA(E26:CZ26)&gt;0),"Error",
 IF(COUNTIF(E26:CZ26,"D")&gt;0,"DRP",
 IF(OR(SUM(COUNTIF(E26:CZ26,{"P","A","L","E"}))&gt;0,AND(D26&lt;&gt;"",COUNTA(E26:CZ26)=0)),"Active",""))))</f>
        <v>Active</v>
      </c>
      <c r="DN26" s="531"/>
    </row>
    <row r="27" ht="15.95" customHeight="1" spans="2:118" x14ac:dyDescent="0.25">
      <c r="B27" s="471">
        <v>22</v>
      </c>
      <c r="C27" s="532">
        <f>IF('Data Input'!M28="","",'Data Input'!M28)</f>
        <v>2000494490</v>
      </c>
      <c r="D27" s="533" t="str">
        <f>IF('Data Input'!N28="","",'Data Input'!N28)</f>
        <v>MELGAR, NIZA JADE</v>
      </c>
      <c r="E27" s="534"/>
      <c r="F27" s="535"/>
      <c r="G27" s="535"/>
      <c r="H27" s="535"/>
      <c r="I27" s="535"/>
      <c r="J27" s="535"/>
      <c r="K27" s="535"/>
      <c r="L27" s="535"/>
      <c r="M27" s="535"/>
      <c r="N27" s="535"/>
      <c r="O27" s="535"/>
      <c r="P27" s="535"/>
      <c r="Q27" s="535"/>
      <c r="R27" s="535"/>
      <c r="S27" s="535"/>
      <c r="T27" s="535"/>
      <c r="U27" s="535"/>
      <c r="V27" s="535"/>
      <c r="W27" s="535"/>
      <c r="X27" s="535"/>
      <c r="Y27" s="535"/>
      <c r="Z27" s="535"/>
      <c r="AA27" s="535"/>
      <c r="AB27" s="535"/>
      <c r="AC27" s="535"/>
      <c r="AD27" s="535"/>
      <c r="AE27" s="535"/>
      <c r="AF27" s="535"/>
      <c r="AG27" s="535"/>
      <c r="AH27" s="535"/>
      <c r="AI27" s="535"/>
      <c r="AJ27" s="535"/>
      <c r="AK27" s="535"/>
      <c r="AL27" s="535"/>
      <c r="AM27" s="535"/>
      <c r="AN27" s="535"/>
      <c r="AO27" s="535"/>
      <c r="AP27" s="535"/>
      <c r="AQ27" s="535"/>
      <c r="AR27" s="535"/>
      <c r="AS27" s="535"/>
      <c r="AT27" s="535"/>
      <c r="AU27" s="535"/>
      <c r="AV27" s="535"/>
      <c r="AW27" s="535"/>
      <c r="AX27" s="535"/>
      <c r="AY27" s="535"/>
      <c r="AZ27" s="535"/>
      <c r="BA27" s="535"/>
      <c r="BB27" s="536"/>
      <c r="BC27" s="535"/>
      <c r="BD27" s="535"/>
      <c r="BE27" s="535"/>
      <c r="BF27" s="535"/>
      <c r="BG27" s="535"/>
      <c r="BH27" s="535"/>
      <c r="BI27" s="535"/>
      <c r="BJ27" s="535"/>
      <c r="BK27" s="535"/>
      <c r="BL27" s="535"/>
      <c r="BM27" s="535"/>
      <c r="BN27" s="535"/>
      <c r="BO27" s="535"/>
      <c r="BP27" s="535"/>
      <c r="BQ27" s="535"/>
      <c r="BR27" s="535"/>
      <c r="BS27" s="535"/>
      <c r="BT27" s="535"/>
      <c r="BU27" s="535"/>
      <c r="BV27" s="535"/>
      <c r="BW27" s="535"/>
      <c r="BX27" s="535"/>
      <c r="BY27" s="535"/>
      <c r="BZ27" s="535"/>
      <c r="CA27" s="535"/>
      <c r="CB27" s="535"/>
      <c r="CC27" s="535"/>
      <c r="CD27" s="535"/>
      <c r="CE27" s="535"/>
      <c r="CF27" s="535"/>
      <c r="CG27" s="535"/>
      <c r="CH27" s="535"/>
      <c r="CI27" s="535"/>
      <c r="CJ27" s="535"/>
      <c r="CK27" s="535"/>
      <c r="CL27" s="535"/>
      <c r="CM27" s="535"/>
      <c r="CN27" s="535"/>
      <c r="CO27" s="535"/>
      <c r="CP27" s="535"/>
      <c r="CQ27" s="535"/>
      <c r="CR27" s="535"/>
      <c r="CS27" s="535"/>
      <c r="CT27" s="535"/>
      <c r="CU27" s="535"/>
      <c r="CV27" s="535"/>
      <c r="CW27" s="535"/>
      <c r="CX27" s="535"/>
      <c r="CY27" s="535"/>
      <c r="CZ27" s="537"/>
      <c r="DA27" s="538" t="str">
        <f t="array" ref="DA27">IF(D27="","",
 IF($DO$3="Error","Error",
 IF(OR(
 SUM(($E$4:$CZ$4="")*(E27:CZ27&lt;&gt;""))&gt;0,
 SUM(($E$5:$CZ$5="")*(E27:CZ27&lt;&gt;""))&gt;0,
 COUNTA(E27:CZ27)&gt;$DO$3,
 SUMPRODUCT((E27:CZ27&lt;&gt;"")*(ISNA(MATCH(E27:CZ27,{"P","A","L","E","D"},0))))&gt;0),"Error",
 IF(COUNTIFS($E$5:$CZ$5,"T1",E27:CZ27,$DA$5)=0,"--",
 COUNTIFS($E$5:$CZ$5,"T1",E27:CZ27,$DA$5)))))</f>
        <v>--</v>
      </c>
      <c r="DB27" s="539" t="str">
        <f t="array" ref="DB27">IF(D27="","",
 IF($DO$3="Error","Error",
 IF(OR(
 SUM(($E$4:$CZ$4="")*(E27:CZ27&lt;&gt;""))&gt;0,
 SUM(($E$5:$CZ$5="")*(E27:CZ27&lt;&gt;""))&gt;0,
 COUNTA(E27:CZ27)&gt;$DO$3,
 SUMPRODUCT((E27:CZ27&lt;&gt;"")*(ISNA(MATCH(E27:CZ27,{"P","A","L","E","D"},0))))&gt;0),"Error",
 IF(COUNTIFS($E$5:$CZ$5,"T1",E27:CZ27,$DB$5)=0,"--",
 COUNTIFS($E$5:$CZ$5,"T1",E27:CZ27,$DB$5)))))</f>
        <v>--</v>
      </c>
      <c r="DC27" s="539" t="str">
        <f t="array" ref="DC27">IF(D27="","",
 IF($DO$3="Error","Error",
 IF(OR(
 SUM(($E$4:$CZ$4="")*(E27:CZ27&lt;&gt;""))&gt;0,
 SUM(($E$5:$CZ$5="")*(E27:CZ27&lt;&gt;""))&gt;0,
 COUNTA(E27:CZ27)&gt;$DO$3,
 SUMPRODUCT((E27:CZ27&lt;&gt;"")*(ISNA(MATCH(E27:CZ27,{"P","A","L","E","D"},0))))&gt;0),"Error",
 IF(COUNTIFS($E$5:$CZ$5,"T1",E27:CZ27,$DC$5)=0,"--",
 COUNTIFS($E$5:$CZ$5,"T1",E27:CZ27,$DC$5)))))</f>
        <v>--</v>
      </c>
      <c r="DD27" s="540" t="str">
        <f t="array" ref="DD27">IF(D27="","",
 IF($DO$3="Error","Error",
 IF(OR(
 SUM(($E$4:$CZ$4="")*(E27:CZ27&lt;&gt;""))&gt;0,
 SUM(($E$5:$CZ$5="")*(E27:CZ27&lt;&gt;""))&gt;0,
 COUNTA(E27:CZ27)&gt;$DO$3,
 SUMPRODUCT((E27:CZ27&lt;&gt;"")*(ISNA(MATCH(E27:CZ27,{"P","A","L","E","D"},0))))&gt;0),"Error",
 IF(COUNTIFS($E$5:$CZ$5,"T1",E27:CZ27,$DD$5)=0,"--",
 COUNTIFS($E$5:$CZ$5,"T1",E27:CZ27,$DD$5)))))</f>
        <v>--</v>
      </c>
      <c r="DE27" s="541" t="str">
        <f t="array" ref="DE27">IF(D27="","",
 IF($DO$3="Error","Error",
 IF(OR(
 SUM(($E$4:$CZ$4="")*(E27:CZ27&lt;&gt;""))&gt;0,
 SUM(($E$5:$CZ$5="")*(E27:CZ27&lt;&gt;""))&gt;0,
 COUNTA(E27:CZ27)&gt;$DO$3,
 SUMPRODUCT((E27:CZ27&lt;&gt;"")*(ISNA(MATCH(E27:CZ27,{"P","A","L","E","D"},0))))&gt;0),"Error",
 IF(COUNTIFS($E$5:$CZ$5,"T2",E27:CZ27,$DE$5)=0,"--",
 COUNTIFS($E$5:$CZ$5,"T2",E27:CZ27,$DE$5)))))</f>
        <v>--</v>
      </c>
      <c r="DF27" s="539" t="str">
        <f t="array" ref="DF27">IF(D27="","",
 IF($DO$3="Error","Error",
 IF(OR(
 SUM(($E$4:$CZ$4="")*(E27:CZ27&lt;&gt;""))&gt;0,
 SUM(($E$5:$CZ$5="")*(E27:CZ27&lt;&gt;""))&gt;0,
 COUNTA(E27:CZ27)&gt;$DO$3,
 SUMPRODUCT((E27:CZ27&lt;&gt;"")*(ISNA(MATCH(E27:CZ27,{"P","A","L","E","D"},0))))&gt;0),"Error",
 IF(COUNTIFS($E$5:$CZ$5,"T2",E27:CZ27,$DF$5)=0,"--",
 COUNTIFS($E$5:$CZ$5,"T2",E27:CZ27,$DF$5)))))</f>
        <v>--</v>
      </c>
      <c r="DG27" s="539" t="str">
        <f t="array" ref="DG27">IF(D27="","",
 IF($DO$3="Error","Error",
 IF(OR(
 SUM(($E$4:$CZ$4="")*(E27:CZ27&lt;&gt;""))&gt;0,
 SUM(($E$5:$CZ$5="")*(E27:CZ27&lt;&gt;""))&gt;0,
 COUNTA(E27:CZ27)&gt;$DO$3,
 SUMPRODUCT((E27:CZ27&lt;&gt;"")*(ISNA(MATCH(E27:CZ27,{"P","A","L","E","D"},0))))&gt;0),"Error",
 IF(COUNTIFS($E$5:$CZ$5,"T2",E27:CZ27,$DG$5)=0,"--",
 COUNTIFS($E$5:$CZ$5,"T2",E27:CZ27,$DG$5)))))</f>
        <v>--</v>
      </c>
      <c r="DH27" s="542" t="str">
        <f t="array" ref="DH27">IF(D27="","",
 IF($DO$3="Error","Error",
 IF(OR(
 SUM(($E$4:$CZ$4="")*(E27:CZ27&lt;&gt;""))&gt;0,
 SUM(($E$5:$CZ$5="")*(E27:CZ27&lt;&gt;""))&gt;0,
 COUNTA(E27:CZ27)&gt;$DO$3,
 SUMPRODUCT((E27:CZ27&lt;&gt;"")*(ISNA(MATCH(E27:CZ27,{"P","A","L","E","D"},0))))&gt;0),"Error",
 IF(COUNTIFS($E$5:$CZ$5,"T2",E27:CZ27,$DH$5)=0,"--",
 COUNTIFS($E$5:$CZ$5,"T2",E27:CZ27,$DH$5)))))</f>
        <v>--</v>
      </c>
      <c r="DI27" s="543" t="str">
        <f t="array" ref="DI27">IF(D27="","",
 IF($DO$3="Error","Error",
 IF(OR(
 SUM(($E$4:$CZ$4="")*(E27:CZ27&lt;&gt;""))&gt;0,
 SUM(($E$5:$CZ$5="")*(E27:CZ27&lt;&gt;""))&gt;0,
 COUNTA(E27:CZ27)&gt;$DO$3,
 SUMPRODUCT((E27:CZ27&lt;&gt;"")*(ISNA(MATCH(E27:CZ27,{"P","A","L","E","D"},0))))&gt;0),"Error",
 IF(COUNTIFS($E$5:$CZ$5,"T3",E27:CZ27,$DI$5)=0,"--",
 COUNTIFS($E$5:$CZ$5,"T3",E27:CZ27,$DI$5)))))</f>
        <v>--</v>
      </c>
      <c r="DJ27" s="539" t="str">
        <f t="array" ref="DJ27">IF(D27="","",
 IF($DO$3="Error","Error",
 IF(OR(
 SUM(($E$4:$CZ$4="")*(E27:CZ27&lt;&gt;""))&gt;0,
 SUM(($E$5:$CZ$5="")*(E27:CZ27&lt;&gt;""))&gt;0,
 COUNTA(E27:CZ27)&gt;$DO$3,
 SUMPRODUCT((E27:CZ27&lt;&gt;"")*(ISNA(MATCH(E27:CZ27,{"P","A","L","E","D"},0))))&gt;0),"Error",
 IF(COUNTIFS($E$5:$CZ$5,"T3",E27:CZ27,$DJ$5)=0,"--",
 COUNTIFS($E$5:$CZ$5,"T3",E27:CZ27,$DJ$5)))))</f>
        <v>--</v>
      </c>
      <c r="DK27" s="539" t="str">
        <f t="array" ref="DK27">IF(D27="","",
 IF($DO$3="Error","Error",
 IF(OR(
 SUM(($E$4:$CZ$4="")*(E27:CZ27&lt;&gt;""))&gt;0,
 SUM(($E$5:$CZ$5="")*(E27:CZ27&lt;&gt;""))&gt;0,
 COUNTA(E27:CZ27)&gt;$DO$3,
 SUMPRODUCT((E27:CZ27&lt;&gt;"")*(ISNA(MATCH(E27:CZ27,{"P","A","L","E","D"},0))))&gt;0),"Error",
 IF(COUNTIFS($E$5:$CZ$5,"T3",E27:CZ27,$DK$5)=0,"--",
 COUNTIFS($E$5:$CZ$5,"T3",E27:CZ27,$DK$5)))))</f>
        <v>--</v>
      </c>
      <c r="DL27" s="540" t="str">
        <f t="array" ref="DL27">IF(D27="","",
 IF($DO$3="Error","Error",
 IF(OR(
 SUM(($E$4:$CZ$4="")*(E27:CZ27&lt;&gt;""))&gt;0,
 SUM(($E$5:$CZ$5="")*(E27:CZ27&lt;&gt;""))&gt;0,
 COUNTA(E27:CZ27)&gt;$DO$3,
 SUMPRODUCT((E27:CZ27&lt;&gt;"")*(ISNA(MATCH(E27:CZ27,{"P","A","L","E","D"},0))))&gt;0),"Error",
 IF(COUNTIFS($E$5:$CZ$5,"T3",E27:CZ27,$DL$5)=0,"--",
 COUNTIFS($E$5:$CZ$5,"T3",E27:CZ27,$DL$5)))))</f>
        <v>--</v>
      </c>
      <c r="DM27" s="530" t="str">
        <f t="array" ref="DM27">IF(COUNTIF(DA27:DL27,"Error")&gt;0,"Error",
 IF(AND(D27="",COUNTA(E27:CZ27)&gt;0),"Error",
 IF(COUNTIF(E27:CZ27,"D")&gt;0,"DRP",
 IF(OR(SUM(COUNTIF(E27:CZ27,{"P","A","L","E"}))&gt;0,AND(D27&lt;&gt;"",COUNTA(E27:CZ27)=0)),"Active",""))))</f>
        <v>Active</v>
      </c>
      <c r="DN27" s="531"/>
    </row>
    <row r="28" ht="15.95" customHeight="1" spans="2:118" x14ac:dyDescent="0.25">
      <c r="B28" s="471">
        <v>23</v>
      </c>
      <c r="C28" s="532">
        <f>IF('Data Input'!M29="","",'Data Input'!M29)</f>
        <v>2000492883</v>
      </c>
      <c r="D28" s="533" t="str">
        <f>IF('Data Input'!N29="","",'Data Input'!N29)</f>
        <v>MORADA, CARL ELY</v>
      </c>
      <c r="E28" s="534"/>
      <c r="F28" s="535"/>
      <c r="G28" s="535"/>
      <c r="H28" s="535"/>
      <c r="I28" s="535"/>
      <c r="J28" s="535"/>
      <c r="K28" s="535"/>
      <c r="L28" s="535"/>
      <c r="M28" s="535"/>
      <c r="N28" s="535"/>
      <c r="O28" s="535"/>
      <c r="P28" s="535"/>
      <c r="Q28" s="535"/>
      <c r="R28" s="535"/>
      <c r="S28" s="535"/>
      <c r="T28" s="535"/>
      <c r="U28" s="535"/>
      <c r="V28" s="535"/>
      <c r="W28" s="535"/>
      <c r="X28" s="535"/>
      <c r="Y28" s="535"/>
      <c r="Z28" s="535"/>
      <c r="AA28" s="535"/>
      <c r="AB28" s="535"/>
      <c r="AC28" s="535"/>
      <c r="AD28" s="535"/>
      <c r="AE28" s="535"/>
      <c r="AF28" s="535"/>
      <c r="AG28" s="535"/>
      <c r="AH28" s="535"/>
      <c r="AI28" s="535"/>
      <c r="AJ28" s="535"/>
      <c r="AK28" s="535"/>
      <c r="AL28" s="535"/>
      <c r="AM28" s="535"/>
      <c r="AN28" s="535"/>
      <c r="AO28" s="535"/>
      <c r="AP28" s="535"/>
      <c r="AQ28" s="535"/>
      <c r="AR28" s="535"/>
      <c r="AS28" s="535"/>
      <c r="AT28" s="535"/>
      <c r="AU28" s="535"/>
      <c r="AV28" s="535"/>
      <c r="AW28" s="535"/>
      <c r="AX28" s="535"/>
      <c r="AY28" s="535"/>
      <c r="AZ28" s="535"/>
      <c r="BA28" s="535"/>
      <c r="BB28" s="536"/>
      <c r="BC28" s="535"/>
      <c r="BD28" s="535"/>
      <c r="BE28" s="535"/>
      <c r="BF28" s="535"/>
      <c r="BG28" s="535"/>
      <c r="BH28" s="535"/>
      <c r="BI28" s="535"/>
      <c r="BJ28" s="535"/>
      <c r="BK28" s="535"/>
      <c r="BL28" s="535"/>
      <c r="BM28" s="535"/>
      <c r="BN28" s="535"/>
      <c r="BO28" s="535"/>
      <c r="BP28" s="535"/>
      <c r="BQ28" s="535"/>
      <c r="BR28" s="535"/>
      <c r="BS28" s="535"/>
      <c r="BT28" s="535"/>
      <c r="BU28" s="535"/>
      <c r="BV28" s="535"/>
      <c r="BW28" s="535"/>
      <c r="BX28" s="535"/>
      <c r="BY28" s="535"/>
      <c r="BZ28" s="535"/>
      <c r="CA28" s="535"/>
      <c r="CB28" s="535"/>
      <c r="CC28" s="535"/>
      <c r="CD28" s="535"/>
      <c r="CE28" s="535"/>
      <c r="CF28" s="535"/>
      <c r="CG28" s="535"/>
      <c r="CH28" s="535"/>
      <c r="CI28" s="535"/>
      <c r="CJ28" s="535"/>
      <c r="CK28" s="535"/>
      <c r="CL28" s="535"/>
      <c r="CM28" s="535"/>
      <c r="CN28" s="535"/>
      <c r="CO28" s="535"/>
      <c r="CP28" s="535"/>
      <c r="CQ28" s="535"/>
      <c r="CR28" s="535"/>
      <c r="CS28" s="535"/>
      <c r="CT28" s="535"/>
      <c r="CU28" s="535"/>
      <c r="CV28" s="535"/>
      <c r="CW28" s="535"/>
      <c r="CX28" s="535"/>
      <c r="CY28" s="535"/>
      <c r="CZ28" s="537"/>
      <c r="DA28" s="538" t="str">
        <f t="array" ref="DA28">IF(D28="","",
 IF($DO$3="Error","Error",
 IF(OR(
 SUM(($E$4:$CZ$4="")*(E28:CZ28&lt;&gt;""))&gt;0,
 SUM(($E$5:$CZ$5="")*(E28:CZ28&lt;&gt;""))&gt;0,
 COUNTA(E28:CZ28)&gt;$DO$3,
 SUMPRODUCT((E28:CZ28&lt;&gt;"")*(ISNA(MATCH(E28:CZ28,{"P","A","L","E","D"},0))))&gt;0),"Error",
 IF(COUNTIFS($E$5:$CZ$5,"T1",E28:CZ28,$DA$5)=0,"--",
 COUNTIFS($E$5:$CZ$5,"T1",E28:CZ28,$DA$5)))))</f>
        <v>--</v>
      </c>
      <c r="DB28" s="539" t="str">
        <f t="array" ref="DB28">IF(D28="","",
 IF($DO$3="Error","Error",
 IF(OR(
 SUM(($E$4:$CZ$4="")*(E28:CZ28&lt;&gt;""))&gt;0,
 SUM(($E$5:$CZ$5="")*(E28:CZ28&lt;&gt;""))&gt;0,
 COUNTA(E28:CZ28)&gt;$DO$3,
 SUMPRODUCT((E28:CZ28&lt;&gt;"")*(ISNA(MATCH(E28:CZ28,{"P","A","L","E","D"},0))))&gt;0),"Error",
 IF(COUNTIFS($E$5:$CZ$5,"T1",E28:CZ28,$DB$5)=0,"--",
 COUNTIFS($E$5:$CZ$5,"T1",E28:CZ28,$DB$5)))))</f>
        <v>--</v>
      </c>
      <c r="DC28" s="539" t="str">
        <f t="array" ref="DC28">IF(D28="","",
 IF($DO$3="Error","Error",
 IF(OR(
 SUM(($E$4:$CZ$4="")*(E28:CZ28&lt;&gt;""))&gt;0,
 SUM(($E$5:$CZ$5="")*(E28:CZ28&lt;&gt;""))&gt;0,
 COUNTA(E28:CZ28)&gt;$DO$3,
 SUMPRODUCT((E28:CZ28&lt;&gt;"")*(ISNA(MATCH(E28:CZ28,{"P","A","L","E","D"},0))))&gt;0),"Error",
 IF(COUNTIFS($E$5:$CZ$5,"T1",E28:CZ28,$DC$5)=0,"--",
 COUNTIFS($E$5:$CZ$5,"T1",E28:CZ28,$DC$5)))))</f>
        <v>--</v>
      </c>
      <c r="DD28" s="540" t="str">
        <f t="array" ref="DD28">IF(D28="","",
 IF($DO$3="Error","Error",
 IF(OR(
 SUM(($E$4:$CZ$4="")*(E28:CZ28&lt;&gt;""))&gt;0,
 SUM(($E$5:$CZ$5="")*(E28:CZ28&lt;&gt;""))&gt;0,
 COUNTA(E28:CZ28)&gt;$DO$3,
 SUMPRODUCT((E28:CZ28&lt;&gt;"")*(ISNA(MATCH(E28:CZ28,{"P","A","L","E","D"},0))))&gt;0),"Error",
 IF(COUNTIFS($E$5:$CZ$5,"T1",E28:CZ28,$DD$5)=0,"--",
 COUNTIFS($E$5:$CZ$5,"T1",E28:CZ28,$DD$5)))))</f>
        <v>--</v>
      </c>
      <c r="DE28" s="541" t="str">
        <f t="array" ref="DE28">IF(D28="","",
 IF($DO$3="Error","Error",
 IF(OR(
 SUM(($E$4:$CZ$4="")*(E28:CZ28&lt;&gt;""))&gt;0,
 SUM(($E$5:$CZ$5="")*(E28:CZ28&lt;&gt;""))&gt;0,
 COUNTA(E28:CZ28)&gt;$DO$3,
 SUMPRODUCT((E28:CZ28&lt;&gt;"")*(ISNA(MATCH(E28:CZ28,{"P","A","L","E","D"},0))))&gt;0),"Error",
 IF(COUNTIFS($E$5:$CZ$5,"T2",E28:CZ28,$DE$5)=0,"--",
 COUNTIFS($E$5:$CZ$5,"T2",E28:CZ28,$DE$5)))))</f>
        <v>--</v>
      </c>
      <c r="DF28" s="539" t="str">
        <f t="array" ref="DF28">IF(D28="","",
 IF($DO$3="Error","Error",
 IF(OR(
 SUM(($E$4:$CZ$4="")*(E28:CZ28&lt;&gt;""))&gt;0,
 SUM(($E$5:$CZ$5="")*(E28:CZ28&lt;&gt;""))&gt;0,
 COUNTA(E28:CZ28)&gt;$DO$3,
 SUMPRODUCT((E28:CZ28&lt;&gt;"")*(ISNA(MATCH(E28:CZ28,{"P","A","L","E","D"},0))))&gt;0),"Error",
 IF(COUNTIFS($E$5:$CZ$5,"T2",E28:CZ28,$DF$5)=0,"--",
 COUNTIFS($E$5:$CZ$5,"T2",E28:CZ28,$DF$5)))))</f>
        <v>--</v>
      </c>
      <c r="DG28" s="539" t="str">
        <f t="array" ref="DG28">IF(D28="","",
 IF($DO$3="Error","Error",
 IF(OR(
 SUM(($E$4:$CZ$4="")*(E28:CZ28&lt;&gt;""))&gt;0,
 SUM(($E$5:$CZ$5="")*(E28:CZ28&lt;&gt;""))&gt;0,
 COUNTA(E28:CZ28)&gt;$DO$3,
 SUMPRODUCT((E28:CZ28&lt;&gt;"")*(ISNA(MATCH(E28:CZ28,{"P","A","L","E","D"},0))))&gt;0),"Error",
 IF(COUNTIFS($E$5:$CZ$5,"T2",E28:CZ28,$DG$5)=0,"--",
 COUNTIFS($E$5:$CZ$5,"T2",E28:CZ28,$DG$5)))))</f>
        <v>--</v>
      </c>
      <c r="DH28" s="542" t="str">
        <f t="array" ref="DH28">IF(D28="","",
 IF($DO$3="Error","Error",
 IF(OR(
 SUM(($E$4:$CZ$4="")*(E28:CZ28&lt;&gt;""))&gt;0,
 SUM(($E$5:$CZ$5="")*(E28:CZ28&lt;&gt;""))&gt;0,
 COUNTA(E28:CZ28)&gt;$DO$3,
 SUMPRODUCT((E28:CZ28&lt;&gt;"")*(ISNA(MATCH(E28:CZ28,{"P","A","L","E","D"},0))))&gt;0),"Error",
 IF(COUNTIFS($E$5:$CZ$5,"T2",E28:CZ28,$DH$5)=0,"--",
 COUNTIFS($E$5:$CZ$5,"T2",E28:CZ28,$DH$5)))))</f>
        <v>--</v>
      </c>
      <c r="DI28" s="543" t="str">
        <f t="array" ref="DI28">IF(D28="","",
 IF($DO$3="Error","Error",
 IF(OR(
 SUM(($E$4:$CZ$4="")*(E28:CZ28&lt;&gt;""))&gt;0,
 SUM(($E$5:$CZ$5="")*(E28:CZ28&lt;&gt;""))&gt;0,
 COUNTA(E28:CZ28)&gt;$DO$3,
 SUMPRODUCT((E28:CZ28&lt;&gt;"")*(ISNA(MATCH(E28:CZ28,{"P","A","L","E","D"},0))))&gt;0),"Error",
 IF(COUNTIFS($E$5:$CZ$5,"T3",E28:CZ28,$DI$5)=0,"--",
 COUNTIFS($E$5:$CZ$5,"T3",E28:CZ28,$DI$5)))))</f>
        <v>--</v>
      </c>
      <c r="DJ28" s="539" t="str">
        <f t="array" ref="DJ28">IF(D28="","",
 IF($DO$3="Error","Error",
 IF(OR(
 SUM(($E$4:$CZ$4="")*(E28:CZ28&lt;&gt;""))&gt;0,
 SUM(($E$5:$CZ$5="")*(E28:CZ28&lt;&gt;""))&gt;0,
 COUNTA(E28:CZ28)&gt;$DO$3,
 SUMPRODUCT((E28:CZ28&lt;&gt;"")*(ISNA(MATCH(E28:CZ28,{"P","A","L","E","D"},0))))&gt;0),"Error",
 IF(COUNTIFS($E$5:$CZ$5,"T3",E28:CZ28,$DJ$5)=0,"--",
 COUNTIFS($E$5:$CZ$5,"T3",E28:CZ28,$DJ$5)))))</f>
        <v>--</v>
      </c>
      <c r="DK28" s="539" t="str">
        <f t="array" ref="DK28">IF(D28="","",
 IF($DO$3="Error","Error",
 IF(OR(
 SUM(($E$4:$CZ$4="")*(E28:CZ28&lt;&gt;""))&gt;0,
 SUM(($E$5:$CZ$5="")*(E28:CZ28&lt;&gt;""))&gt;0,
 COUNTA(E28:CZ28)&gt;$DO$3,
 SUMPRODUCT((E28:CZ28&lt;&gt;"")*(ISNA(MATCH(E28:CZ28,{"P","A","L","E","D"},0))))&gt;0),"Error",
 IF(COUNTIFS($E$5:$CZ$5,"T3",E28:CZ28,$DK$5)=0,"--",
 COUNTIFS($E$5:$CZ$5,"T3",E28:CZ28,$DK$5)))))</f>
        <v>--</v>
      </c>
      <c r="DL28" s="540" t="str">
        <f t="array" ref="DL28">IF(D28="","",
 IF($DO$3="Error","Error",
 IF(OR(
 SUM(($E$4:$CZ$4="")*(E28:CZ28&lt;&gt;""))&gt;0,
 SUM(($E$5:$CZ$5="")*(E28:CZ28&lt;&gt;""))&gt;0,
 COUNTA(E28:CZ28)&gt;$DO$3,
 SUMPRODUCT((E28:CZ28&lt;&gt;"")*(ISNA(MATCH(E28:CZ28,{"P","A","L","E","D"},0))))&gt;0),"Error",
 IF(COUNTIFS($E$5:$CZ$5,"T3",E28:CZ28,$DL$5)=0,"--",
 COUNTIFS($E$5:$CZ$5,"T3",E28:CZ28,$DL$5)))))</f>
        <v>--</v>
      </c>
      <c r="DM28" s="530" t="str">
        <f t="array" ref="DM28">IF(COUNTIF(DA28:DL28,"Error")&gt;0,"Error",
 IF(AND(D28="",COUNTA(E28:CZ28)&gt;0),"Error",
 IF(COUNTIF(E28:CZ28,"D")&gt;0,"DRP",
 IF(OR(SUM(COUNTIF(E28:CZ28,{"P","A","L","E"}))&gt;0,AND(D28&lt;&gt;"",COUNTA(E28:CZ28)=0)),"Active",""))))</f>
        <v>Active</v>
      </c>
      <c r="DN28" s="531"/>
    </row>
    <row r="29" ht="15.95" customHeight="1" spans="2:118" x14ac:dyDescent="0.25">
      <c r="B29" s="471">
        <v>24</v>
      </c>
      <c r="C29" s="532">
        <f>IF('Data Input'!M30="","",'Data Input'!M30)</f>
        <v>2000493062</v>
      </c>
      <c r="D29" s="533" t="str">
        <f>IF('Data Input'!N30="","",'Data Input'!N30)</f>
        <v>OLORES, FRECIOUS NATALIE</v>
      </c>
      <c r="E29" s="534"/>
      <c r="F29" s="535"/>
      <c r="G29" s="535"/>
      <c r="H29" s="535"/>
      <c r="I29" s="535"/>
      <c r="J29" s="535"/>
      <c r="K29" s="535"/>
      <c r="L29" s="535"/>
      <c r="M29" s="535"/>
      <c r="N29" s="535"/>
      <c r="O29" s="535"/>
      <c r="P29" s="535"/>
      <c r="Q29" s="535"/>
      <c r="R29" s="535"/>
      <c r="S29" s="535"/>
      <c r="T29" s="535"/>
      <c r="U29" s="535"/>
      <c r="V29" s="535"/>
      <c r="W29" s="535"/>
      <c r="X29" s="535"/>
      <c r="Y29" s="535"/>
      <c r="Z29" s="535"/>
      <c r="AA29" s="535"/>
      <c r="AB29" s="535"/>
      <c r="AC29" s="535"/>
      <c r="AD29" s="535"/>
      <c r="AE29" s="535"/>
      <c r="AF29" s="535"/>
      <c r="AG29" s="535"/>
      <c r="AH29" s="535"/>
      <c r="AI29" s="535"/>
      <c r="AJ29" s="535"/>
      <c r="AK29" s="535"/>
      <c r="AL29" s="535"/>
      <c r="AM29" s="535"/>
      <c r="AN29" s="535"/>
      <c r="AO29" s="535"/>
      <c r="AP29" s="535"/>
      <c r="AQ29" s="535"/>
      <c r="AR29" s="535"/>
      <c r="AS29" s="535"/>
      <c r="AT29" s="535"/>
      <c r="AU29" s="535"/>
      <c r="AV29" s="535"/>
      <c r="AW29" s="535"/>
      <c r="AX29" s="535"/>
      <c r="AY29" s="535"/>
      <c r="AZ29" s="535"/>
      <c r="BA29" s="535"/>
      <c r="BB29" s="536"/>
      <c r="BC29" s="535"/>
      <c r="BD29" s="535"/>
      <c r="BE29" s="535"/>
      <c r="BF29" s="535"/>
      <c r="BG29" s="535"/>
      <c r="BH29" s="535"/>
      <c r="BI29" s="535"/>
      <c r="BJ29" s="535"/>
      <c r="BK29" s="535"/>
      <c r="BL29" s="535"/>
      <c r="BM29" s="535"/>
      <c r="BN29" s="535"/>
      <c r="BO29" s="535"/>
      <c r="BP29" s="535"/>
      <c r="BQ29" s="535"/>
      <c r="BR29" s="535"/>
      <c r="BS29" s="535"/>
      <c r="BT29" s="535"/>
      <c r="BU29" s="535"/>
      <c r="BV29" s="535"/>
      <c r="BW29" s="535"/>
      <c r="BX29" s="535"/>
      <c r="BY29" s="535"/>
      <c r="BZ29" s="535"/>
      <c r="CA29" s="535"/>
      <c r="CB29" s="535"/>
      <c r="CC29" s="535"/>
      <c r="CD29" s="535"/>
      <c r="CE29" s="535"/>
      <c r="CF29" s="535"/>
      <c r="CG29" s="535"/>
      <c r="CH29" s="535"/>
      <c r="CI29" s="535"/>
      <c r="CJ29" s="535"/>
      <c r="CK29" s="535"/>
      <c r="CL29" s="535"/>
      <c r="CM29" s="535"/>
      <c r="CN29" s="535"/>
      <c r="CO29" s="535"/>
      <c r="CP29" s="535"/>
      <c r="CQ29" s="535"/>
      <c r="CR29" s="535"/>
      <c r="CS29" s="535"/>
      <c r="CT29" s="535"/>
      <c r="CU29" s="535"/>
      <c r="CV29" s="535"/>
      <c r="CW29" s="535"/>
      <c r="CX29" s="535"/>
      <c r="CY29" s="535"/>
      <c r="CZ29" s="537"/>
      <c r="DA29" s="538" t="str">
        <f t="array" ref="DA29">IF(D29="","",
 IF($DO$3="Error","Error",
 IF(OR(
 SUM(($E$4:$CZ$4="")*(E29:CZ29&lt;&gt;""))&gt;0,
 SUM(($E$5:$CZ$5="")*(E29:CZ29&lt;&gt;""))&gt;0,
 COUNTA(E29:CZ29)&gt;$DO$3,
 SUMPRODUCT((E29:CZ29&lt;&gt;"")*(ISNA(MATCH(E29:CZ29,{"P","A","L","E","D"},0))))&gt;0),"Error",
 IF(COUNTIFS($E$5:$CZ$5,"T1",E29:CZ29,$DA$5)=0,"--",
 COUNTIFS($E$5:$CZ$5,"T1",E29:CZ29,$DA$5)))))</f>
        <v>--</v>
      </c>
      <c r="DB29" s="539" t="str">
        <f t="array" ref="DB29">IF(D29="","",
 IF($DO$3="Error","Error",
 IF(OR(
 SUM(($E$4:$CZ$4="")*(E29:CZ29&lt;&gt;""))&gt;0,
 SUM(($E$5:$CZ$5="")*(E29:CZ29&lt;&gt;""))&gt;0,
 COUNTA(E29:CZ29)&gt;$DO$3,
 SUMPRODUCT((E29:CZ29&lt;&gt;"")*(ISNA(MATCH(E29:CZ29,{"P","A","L","E","D"},0))))&gt;0),"Error",
 IF(COUNTIFS($E$5:$CZ$5,"T1",E29:CZ29,$DB$5)=0,"--",
 COUNTIFS($E$5:$CZ$5,"T1",E29:CZ29,$DB$5)))))</f>
        <v>--</v>
      </c>
      <c r="DC29" s="539" t="str">
        <f t="array" ref="DC29">IF(D29="","",
 IF($DO$3="Error","Error",
 IF(OR(
 SUM(($E$4:$CZ$4="")*(E29:CZ29&lt;&gt;""))&gt;0,
 SUM(($E$5:$CZ$5="")*(E29:CZ29&lt;&gt;""))&gt;0,
 COUNTA(E29:CZ29)&gt;$DO$3,
 SUMPRODUCT((E29:CZ29&lt;&gt;"")*(ISNA(MATCH(E29:CZ29,{"P","A","L","E","D"},0))))&gt;0),"Error",
 IF(COUNTIFS($E$5:$CZ$5,"T1",E29:CZ29,$DC$5)=0,"--",
 COUNTIFS($E$5:$CZ$5,"T1",E29:CZ29,$DC$5)))))</f>
        <v>--</v>
      </c>
      <c r="DD29" s="540" t="str">
        <f t="array" ref="DD29">IF(D29="","",
 IF($DO$3="Error","Error",
 IF(OR(
 SUM(($E$4:$CZ$4="")*(E29:CZ29&lt;&gt;""))&gt;0,
 SUM(($E$5:$CZ$5="")*(E29:CZ29&lt;&gt;""))&gt;0,
 COUNTA(E29:CZ29)&gt;$DO$3,
 SUMPRODUCT((E29:CZ29&lt;&gt;"")*(ISNA(MATCH(E29:CZ29,{"P","A","L","E","D"},0))))&gt;0),"Error",
 IF(COUNTIFS($E$5:$CZ$5,"T1",E29:CZ29,$DD$5)=0,"--",
 COUNTIFS($E$5:$CZ$5,"T1",E29:CZ29,$DD$5)))))</f>
        <v>--</v>
      </c>
      <c r="DE29" s="541" t="str">
        <f t="array" ref="DE29">IF(D29="","",
 IF($DO$3="Error","Error",
 IF(OR(
 SUM(($E$4:$CZ$4="")*(E29:CZ29&lt;&gt;""))&gt;0,
 SUM(($E$5:$CZ$5="")*(E29:CZ29&lt;&gt;""))&gt;0,
 COUNTA(E29:CZ29)&gt;$DO$3,
 SUMPRODUCT((E29:CZ29&lt;&gt;"")*(ISNA(MATCH(E29:CZ29,{"P","A","L","E","D"},0))))&gt;0),"Error",
 IF(COUNTIFS($E$5:$CZ$5,"T2",E29:CZ29,$DE$5)=0,"--",
 COUNTIFS($E$5:$CZ$5,"T2",E29:CZ29,$DE$5)))))</f>
        <v>--</v>
      </c>
      <c r="DF29" s="539" t="str">
        <f t="array" ref="DF29">IF(D29="","",
 IF($DO$3="Error","Error",
 IF(OR(
 SUM(($E$4:$CZ$4="")*(E29:CZ29&lt;&gt;""))&gt;0,
 SUM(($E$5:$CZ$5="")*(E29:CZ29&lt;&gt;""))&gt;0,
 COUNTA(E29:CZ29)&gt;$DO$3,
 SUMPRODUCT((E29:CZ29&lt;&gt;"")*(ISNA(MATCH(E29:CZ29,{"P","A","L","E","D"},0))))&gt;0),"Error",
 IF(COUNTIFS($E$5:$CZ$5,"T2",E29:CZ29,$DF$5)=0,"--",
 COUNTIFS($E$5:$CZ$5,"T2",E29:CZ29,$DF$5)))))</f>
        <v>--</v>
      </c>
      <c r="DG29" s="539" t="str">
        <f t="array" ref="DG29">IF(D29="","",
 IF($DO$3="Error","Error",
 IF(OR(
 SUM(($E$4:$CZ$4="")*(E29:CZ29&lt;&gt;""))&gt;0,
 SUM(($E$5:$CZ$5="")*(E29:CZ29&lt;&gt;""))&gt;0,
 COUNTA(E29:CZ29)&gt;$DO$3,
 SUMPRODUCT((E29:CZ29&lt;&gt;"")*(ISNA(MATCH(E29:CZ29,{"P","A","L","E","D"},0))))&gt;0),"Error",
 IF(COUNTIFS($E$5:$CZ$5,"T2",E29:CZ29,$DG$5)=0,"--",
 COUNTIFS($E$5:$CZ$5,"T2",E29:CZ29,$DG$5)))))</f>
        <v>--</v>
      </c>
      <c r="DH29" s="542" t="str">
        <f t="array" ref="DH29">IF(D29="","",
 IF($DO$3="Error","Error",
 IF(OR(
 SUM(($E$4:$CZ$4="")*(E29:CZ29&lt;&gt;""))&gt;0,
 SUM(($E$5:$CZ$5="")*(E29:CZ29&lt;&gt;""))&gt;0,
 COUNTA(E29:CZ29)&gt;$DO$3,
 SUMPRODUCT((E29:CZ29&lt;&gt;"")*(ISNA(MATCH(E29:CZ29,{"P","A","L","E","D"},0))))&gt;0),"Error",
 IF(COUNTIFS($E$5:$CZ$5,"T2",E29:CZ29,$DH$5)=0,"--",
 COUNTIFS($E$5:$CZ$5,"T2",E29:CZ29,$DH$5)))))</f>
        <v>--</v>
      </c>
      <c r="DI29" s="543" t="str">
        <f t="array" ref="DI29">IF(D29="","",
 IF($DO$3="Error","Error",
 IF(OR(
 SUM(($E$4:$CZ$4="")*(E29:CZ29&lt;&gt;""))&gt;0,
 SUM(($E$5:$CZ$5="")*(E29:CZ29&lt;&gt;""))&gt;0,
 COUNTA(E29:CZ29)&gt;$DO$3,
 SUMPRODUCT((E29:CZ29&lt;&gt;"")*(ISNA(MATCH(E29:CZ29,{"P","A","L","E","D"},0))))&gt;0),"Error",
 IF(COUNTIFS($E$5:$CZ$5,"T3",E29:CZ29,$DI$5)=0,"--",
 COUNTIFS($E$5:$CZ$5,"T3",E29:CZ29,$DI$5)))))</f>
        <v>--</v>
      </c>
      <c r="DJ29" s="539" t="str">
        <f t="array" ref="DJ29">IF(D29="","",
 IF($DO$3="Error","Error",
 IF(OR(
 SUM(($E$4:$CZ$4="")*(E29:CZ29&lt;&gt;""))&gt;0,
 SUM(($E$5:$CZ$5="")*(E29:CZ29&lt;&gt;""))&gt;0,
 COUNTA(E29:CZ29)&gt;$DO$3,
 SUMPRODUCT((E29:CZ29&lt;&gt;"")*(ISNA(MATCH(E29:CZ29,{"P","A","L","E","D"},0))))&gt;0),"Error",
 IF(COUNTIFS($E$5:$CZ$5,"T3",E29:CZ29,$DJ$5)=0,"--",
 COUNTIFS($E$5:$CZ$5,"T3",E29:CZ29,$DJ$5)))))</f>
        <v>--</v>
      </c>
      <c r="DK29" s="539" t="str">
        <f t="array" ref="DK29">IF(D29="","",
 IF($DO$3="Error","Error",
 IF(OR(
 SUM(($E$4:$CZ$4="")*(E29:CZ29&lt;&gt;""))&gt;0,
 SUM(($E$5:$CZ$5="")*(E29:CZ29&lt;&gt;""))&gt;0,
 COUNTA(E29:CZ29)&gt;$DO$3,
 SUMPRODUCT((E29:CZ29&lt;&gt;"")*(ISNA(MATCH(E29:CZ29,{"P","A","L","E","D"},0))))&gt;0),"Error",
 IF(COUNTIFS($E$5:$CZ$5,"T3",E29:CZ29,$DK$5)=0,"--",
 COUNTIFS($E$5:$CZ$5,"T3",E29:CZ29,$DK$5)))))</f>
        <v>--</v>
      </c>
      <c r="DL29" s="540" t="str">
        <f t="array" ref="DL29">IF(D29="","",
 IF($DO$3="Error","Error",
 IF(OR(
 SUM(($E$4:$CZ$4="")*(E29:CZ29&lt;&gt;""))&gt;0,
 SUM(($E$5:$CZ$5="")*(E29:CZ29&lt;&gt;""))&gt;0,
 COUNTA(E29:CZ29)&gt;$DO$3,
 SUMPRODUCT((E29:CZ29&lt;&gt;"")*(ISNA(MATCH(E29:CZ29,{"P","A","L","E","D"},0))))&gt;0),"Error",
 IF(COUNTIFS($E$5:$CZ$5,"T3",E29:CZ29,$DL$5)=0,"--",
 COUNTIFS($E$5:$CZ$5,"T3",E29:CZ29,$DL$5)))))</f>
        <v>--</v>
      </c>
      <c r="DM29" s="530" t="str">
        <f t="array" ref="DM29">IF(COUNTIF(DA29:DL29,"Error")&gt;0,"Error",
 IF(AND(D29="",COUNTA(E29:CZ29)&gt;0),"Error",
 IF(COUNTIF(E29:CZ29,"D")&gt;0,"DRP",
 IF(OR(SUM(COUNTIF(E29:CZ29,{"P","A","L","E"}))&gt;0,AND(D29&lt;&gt;"",COUNTA(E29:CZ29)=0)),"Active",""))))</f>
        <v>Active</v>
      </c>
      <c r="DN29" s="531"/>
    </row>
    <row r="30" ht="15.95" customHeight="1" spans="2:118" x14ac:dyDescent="0.25">
      <c r="B30" s="471">
        <v>25</v>
      </c>
      <c r="C30" s="532">
        <f>IF('Data Input'!M31="","",'Data Input'!M31)</f>
        <v>2000499699</v>
      </c>
      <c r="D30" s="533" t="str">
        <f>IF('Data Input'!N31="","",'Data Input'!N31)</f>
        <v>ORTINERO, CHRISTEL ACE</v>
      </c>
      <c r="E30" s="534"/>
      <c r="F30" s="535"/>
      <c r="G30" s="535"/>
      <c r="H30" s="535"/>
      <c r="I30" s="535"/>
      <c r="J30" s="535"/>
      <c r="K30" s="535"/>
      <c r="L30" s="535"/>
      <c r="M30" s="535"/>
      <c r="N30" s="535"/>
      <c r="O30" s="535"/>
      <c r="P30" s="535"/>
      <c r="Q30" s="535"/>
      <c r="R30" s="535"/>
      <c r="S30" s="535"/>
      <c r="T30" s="535"/>
      <c r="U30" s="535"/>
      <c r="V30" s="535"/>
      <c r="W30" s="535"/>
      <c r="X30" s="535"/>
      <c r="Y30" s="535"/>
      <c r="Z30" s="535"/>
      <c r="AA30" s="535"/>
      <c r="AB30" s="535"/>
      <c r="AC30" s="535"/>
      <c r="AD30" s="535"/>
      <c r="AE30" s="535"/>
      <c r="AF30" s="535"/>
      <c r="AG30" s="535"/>
      <c r="AH30" s="535"/>
      <c r="AI30" s="535"/>
      <c r="AJ30" s="535"/>
      <c r="AK30" s="535"/>
      <c r="AL30" s="535"/>
      <c r="AM30" s="535"/>
      <c r="AN30" s="535"/>
      <c r="AO30" s="535"/>
      <c r="AP30" s="535"/>
      <c r="AQ30" s="535"/>
      <c r="AR30" s="535"/>
      <c r="AS30" s="535"/>
      <c r="AT30" s="535"/>
      <c r="AU30" s="535"/>
      <c r="AV30" s="535"/>
      <c r="AW30" s="535"/>
      <c r="AX30" s="535"/>
      <c r="AY30" s="535"/>
      <c r="AZ30" s="535"/>
      <c r="BA30" s="535"/>
      <c r="BB30" s="536"/>
      <c r="BC30" s="535"/>
      <c r="BD30" s="535"/>
      <c r="BE30" s="535"/>
      <c r="BF30" s="535"/>
      <c r="BG30" s="535"/>
      <c r="BH30" s="535"/>
      <c r="BI30" s="535"/>
      <c r="BJ30" s="535"/>
      <c r="BK30" s="535"/>
      <c r="BL30" s="535"/>
      <c r="BM30" s="535"/>
      <c r="BN30" s="535"/>
      <c r="BO30" s="535"/>
      <c r="BP30" s="535"/>
      <c r="BQ30" s="535"/>
      <c r="BR30" s="535"/>
      <c r="BS30" s="535"/>
      <c r="BT30" s="535"/>
      <c r="BU30" s="535"/>
      <c r="BV30" s="535"/>
      <c r="BW30" s="535"/>
      <c r="BX30" s="535"/>
      <c r="BY30" s="535"/>
      <c r="BZ30" s="535"/>
      <c r="CA30" s="535"/>
      <c r="CB30" s="535"/>
      <c r="CC30" s="535"/>
      <c r="CD30" s="535"/>
      <c r="CE30" s="535"/>
      <c r="CF30" s="535"/>
      <c r="CG30" s="535"/>
      <c r="CH30" s="535"/>
      <c r="CI30" s="535"/>
      <c r="CJ30" s="535"/>
      <c r="CK30" s="535"/>
      <c r="CL30" s="535"/>
      <c r="CM30" s="535"/>
      <c r="CN30" s="535"/>
      <c r="CO30" s="535"/>
      <c r="CP30" s="535"/>
      <c r="CQ30" s="535"/>
      <c r="CR30" s="535"/>
      <c r="CS30" s="535"/>
      <c r="CT30" s="535"/>
      <c r="CU30" s="535"/>
      <c r="CV30" s="535"/>
      <c r="CW30" s="535"/>
      <c r="CX30" s="535"/>
      <c r="CY30" s="535"/>
      <c r="CZ30" s="537"/>
      <c r="DA30" s="538" t="str">
        <f t="array" ref="DA30">IF(D30="","",
 IF($DO$3="Error","Error",
 IF(OR(
 SUM(($E$4:$CZ$4="")*(E30:CZ30&lt;&gt;""))&gt;0,
 SUM(($E$5:$CZ$5="")*(E30:CZ30&lt;&gt;""))&gt;0,
 COUNTA(E30:CZ30)&gt;$DO$3,
 SUMPRODUCT((E30:CZ30&lt;&gt;"")*(ISNA(MATCH(E30:CZ30,{"P","A","L","E","D"},0))))&gt;0),"Error",
 IF(COUNTIFS($E$5:$CZ$5,"T1",E30:CZ30,$DA$5)=0,"--",
 COUNTIFS($E$5:$CZ$5,"T1",E30:CZ30,$DA$5)))))</f>
        <v>--</v>
      </c>
      <c r="DB30" s="539" t="str">
        <f t="array" ref="DB30">IF(D30="","",
 IF($DO$3="Error","Error",
 IF(OR(
 SUM(($E$4:$CZ$4="")*(E30:CZ30&lt;&gt;""))&gt;0,
 SUM(($E$5:$CZ$5="")*(E30:CZ30&lt;&gt;""))&gt;0,
 COUNTA(E30:CZ30)&gt;$DO$3,
 SUMPRODUCT((E30:CZ30&lt;&gt;"")*(ISNA(MATCH(E30:CZ30,{"P","A","L","E","D"},0))))&gt;0),"Error",
 IF(COUNTIFS($E$5:$CZ$5,"T1",E30:CZ30,$DB$5)=0,"--",
 COUNTIFS($E$5:$CZ$5,"T1",E30:CZ30,$DB$5)))))</f>
        <v>--</v>
      </c>
      <c r="DC30" s="539" t="str">
        <f t="array" ref="DC30">IF(D30="","",
 IF($DO$3="Error","Error",
 IF(OR(
 SUM(($E$4:$CZ$4="")*(E30:CZ30&lt;&gt;""))&gt;0,
 SUM(($E$5:$CZ$5="")*(E30:CZ30&lt;&gt;""))&gt;0,
 COUNTA(E30:CZ30)&gt;$DO$3,
 SUMPRODUCT((E30:CZ30&lt;&gt;"")*(ISNA(MATCH(E30:CZ30,{"P","A","L","E","D"},0))))&gt;0),"Error",
 IF(COUNTIFS($E$5:$CZ$5,"T1",E30:CZ30,$DC$5)=0,"--",
 COUNTIFS($E$5:$CZ$5,"T1",E30:CZ30,$DC$5)))))</f>
        <v>--</v>
      </c>
      <c r="DD30" s="540" t="str">
        <f t="array" ref="DD30">IF(D30="","",
 IF($DO$3="Error","Error",
 IF(OR(
 SUM(($E$4:$CZ$4="")*(E30:CZ30&lt;&gt;""))&gt;0,
 SUM(($E$5:$CZ$5="")*(E30:CZ30&lt;&gt;""))&gt;0,
 COUNTA(E30:CZ30)&gt;$DO$3,
 SUMPRODUCT((E30:CZ30&lt;&gt;"")*(ISNA(MATCH(E30:CZ30,{"P","A","L","E","D"},0))))&gt;0),"Error",
 IF(COUNTIFS($E$5:$CZ$5,"T1",E30:CZ30,$DD$5)=0,"--",
 COUNTIFS($E$5:$CZ$5,"T1",E30:CZ30,$DD$5)))))</f>
        <v>--</v>
      </c>
      <c r="DE30" s="541" t="str">
        <f t="array" ref="DE30">IF(D30="","",
 IF($DO$3="Error","Error",
 IF(OR(
 SUM(($E$4:$CZ$4="")*(E30:CZ30&lt;&gt;""))&gt;0,
 SUM(($E$5:$CZ$5="")*(E30:CZ30&lt;&gt;""))&gt;0,
 COUNTA(E30:CZ30)&gt;$DO$3,
 SUMPRODUCT((E30:CZ30&lt;&gt;"")*(ISNA(MATCH(E30:CZ30,{"P","A","L","E","D"},0))))&gt;0),"Error",
 IF(COUNTIFS($E$5:$CZ$5,"T2",E30:CZ30,$DE$5)=0,"--",
 COUNTIFS($E$5:$CZ$5,"T2",E30:CZ30,$DE$5)))))</f>
        <v>--</v>
      </c>
      <c r="DF30" s="539" t="str">
        <f t="array" ref="DF30">IF(D30="","",
 IF($DO$3="Error","Error",
 IF(OR(
 SUM(($E$4:$CZ$4="")*(E30:CZ30&lt;&gt;""))&gt;0,
 SUM(($E$5:$CZ$5="")*(E30:CZ30&lt;&gt;""))&gt;0,
 COUNTA(E30:CZ30)&gt;$DO$3,
 SUMPRODUCT((E30:CZ30&lt;&gt;"")*(ISNA(MATCH(E30:CZ30,{"P","A","L","E","D"},0))))&gt;0),"Error",
 IF(COUNTIFS($E$5:$CZ$5,"T2",E30:CZ30,$DF$5)=0,"--",
 COUNTIFS($E$5:$CZ$5,"T2",E30:CZ30,$DF$5)))))</f>
        <v>--</v>
      </c>
      <c r="DG30" s="539" t="str">
        <f t="array" ref="DG30">IF(D30="","",
 IF($DO$3="Error","Error",
 IF(OR(
 SUM(($E$4:$CZ$4="")*(E30:CZ30&lt;&gt;""))&gt;0,
 SUM(($E$5:$CZ$5="")*(E30:CZ30&lt;&gt;""))&gt;0,
 COUNTA(E30:CZ30)&gt;$DO$3,
 SUMPRODUCT((E30:CZ30&lt;&gt;"")*(ISNA(MATCH(E30:CZ30,{"P","A","L","E","D"},0))))&gt;0),"Error",
 IF(COUNTIFS($E$5:$CZ$5,"T2",E30:CZ30,$DG$5)=0,"--",
 COUNTIFS($E$5:$CZ$5,"T2",E30:CZ30,$DG$5)))))</f>
        <v>--</v>
      </c>
      <c r="DH30" s="542" t="str">
        <f t="array" ref="DH30">IF(D30="","",
 IF($DO$3="Error","Error",
 IF(OR(
 SUM(($E$4:$CZ$4="")*(E30:CZ30&lt;&gt;""))&gt;0,
 SUM(($E$5:$CZ$5="")*(E30:CZ30&lt;&gt;""))&gt;0,
 COUNTA(E30:CZ30)&gt;$DO$3,
 SUMPRODUCT((E30:CZ30&lt;&gt;"")*(ISNA(MATCH(E30:CZ30,{"P","A","L","E","D"},0))))&gt;0),"Error",
 IF(COUNTIFS($E$5:$CZ$5,"T2",E30:CZ30,$DH$5)=0,"--",
 COUNTIFS($E$5:$CZ$5,"T2",E30:CZ30,$DH$5)))))</f>
        <v>--</v>
      </c>
      <c r="DI30" s="543" t="str">
        <f t="array" ref="DI30">IF(D30="","",
 IF($DO$3="Error","Error",
 IF(OR(
 SUM(($E$4:$CZ$4="")*(E30:CZ30&lt;&gt;""))&gt;0,
 SUM(($E$5:$CZ$5="")*(E30:CZ30&lt;&gt;""))&gt;0,
 COUNTA(E30:CZ30)&gt;$DO$3,
 SUMPRODUCT((E30:CZ30&lt;&gt;"")*(ISNA(MATCH(E30:CZ30,{"P","A","L","E","D"},0))))&gt;0),"Error",
 IF(COUNTIFS($E$5:$CZ$5,"T3",E30:CZ30,$DI$5)=0,"--",
 COUNTIFS($E$5:$CZ$5,"T3",E30:CZ30,$DI$5)))))</f>
        <v>--</v>
      </c>
      <c r="DJ30" s="539" t="str">
        <f t="array" ref="DJ30">IF(D30="","",
 IF($DO$3="Error","Error",
 IF(OR(
 SUM(($E$4:$CZ$4="")*(E30:CZ30&lt;&gt;""))&gt;0,
 SUM(($E$5:$CZ$5="")*(E30:CZ30&lt;&gt;""))&gt;0,
 COUNTA(E30:CZ30)&gt;$DO$3,
 SUMPRODUCT((E30:CZ30&lt;&gt;"")*(ISNA(MATCH(E30:CZ30,{"P","A","L","E","D"},0))))&gt;0),"Error",
 IF(COUNTIFS($E$5:$CZ$5,"T3",E30:CZ30,$DJ$5)=0,"--",
 COUNTIFS($E$5:$CZ$5,"T3",E30:CZ30,$DJ$5)))))</f>
        <v>--</v>
      </c>
      <c r="DK30" s="539" t="str">
        <f t="array" ref="DK30">IF(D30="","",
 IF($DO$3="Error","Error",
 IF(OR(
 SUM(($E$4:$CZ$4="")*(E30:CZ30&lt;&gt;""))&gt;0,
 SUM(($E$5:$CZ$5="")*(E30:CZ30&lt;&gt;""))&gt;0,
 COUNTA(E30:CZ30)&gt;$DO$3,
 SUMPRODUCT((E30:CZ30&lt;&gt;"")*(ISNA(MATCH(E30:CZ30,{"P","A","L","E","D"},0))))&gt;0),"Error",
 IF(COUNTIFS($E$5:$CZ$5,"T3",E30:CZ30,$DK$5)=0,"--",
 COUNTIFS($E$5:$CZ$5,"T3",E30:CZ30,$DK$5)))))</f>
        <v>--</v>
      </c>
      <c r="DL30" s="540" t="str">
        <f t="array" ref="DL30">IF(D30="","",
 IF($DO$3="Error","Error",
 IF(OR(
 SUM(($E$4:$CZ$4="")*(E30:CZ30&lt;&gt;""))&gt;0,
 SUM(($E$5:$CZ$5="")*(E30:CZ30&lt;&gt;""))&gt;0,
 COUNTA(E30:CZ30)&gt;$DO$3,
 SUMPRODUCT((E30:CZ30&lt;&gt;"")*(ISNA(MATCH(E30:CZ30,{"P","A","L","E","D"},0))))&gt;0),"Error",
 IF(COUNTIFS($E$5:$CZ$5,"T3",E30:CZ30,$DL$5)=0,"--",
 COUNTIFS($E$5:$CZ$5,"T3",E30:CZ30,$DL$5)))))</f>
        <v>--</v>
      </c>
      <c r="DM30" s="530" t="str">
        <f t="array" ref="DM30">IF(COUNTIF(DA30:DL30,"Error")&gt;0,"Error",
 IF(AND(D30="",COUNTA(E30:CZ30)&gt;0),"Error",
 IF(COUNTIF(E30:CZ30,"D")&gt;0,"DRP",
 IF(OR(SUM(COUNTIF(E30:CZ30,{"P","A","L","E"}))&gt;0,AND(D30&lt;&gt;"",COUNTA(E30:CZ30)=0)),"Active",""))))</f>
        <v>Active</v>
      </c>
      <c r="DN30" s="531"/>
    </row>
    <row r="31" ht="15.95" customHeight="1" spans="2:118" x14ac:dyDescent="0.25">
      <c r="B31" s="471">
        <v>26</v>
      </c>
      <c r="C31" s="532">
        <f>IF('Data Input'!M32="","",'Data Input'!M32)</f>
        <v>2000481841</v>
      </c>
      <c r="D31" s="533" t="str">
        <f>IF('Data Input'!N32="","",'Data Input'!N32)</f>
        <v>PASCUA, JHON GAVRIEL</v>
      </c>
      <c r="E31" s="534"/>
      <c r="F31" s="535"/>
      <c r="G31" s="535"/>
      <c r="H31" s="535"/>
      <c r="I31" s="535"/>
      <c r="J31" s="535"/>
      <c r="K31" s="535"/>
      <c r="L31" s="535"/>
      <c r="M31" s="535"/>
      <c r="N31" s="535"/>
      <c r="O31" s="535"/>
      <c r="P31" s="535"/>
      <c r="Q31" s="535"/>
      <c r="R31" s="535"/>
      <c r="S31" s="535"/>
      <c r="T31" s="535"/>
      <c r="U31" s="535"/>
      <c r="V31" s="535"/>
      <c r="W31" s="535"/>
      <c r="X31" s="535"/>
      <c r="Y31" s="535"/>
      <c r="Z31" s="535"/>
      <c r="AA31" s="535"/>
      <c r="AB31" s="535"/>
      <c r="AC31" s="535"/>
      <c r="AD31" s="535"/>
      <c r="AE31" s="535"/>
      <c r="AF31" s="535"/>
      <c r="AG31" s="535"/>
      <c r="AH31" s="535"/>
      <c r="AI31" s="535"/>
      <c r="AJ31" s="535"/>
      <c r="AK31" s="535"/>
      <c r="AL31" s="535"/>
      <c r="AM31" s="535"/>
      <c r="AN31" s="535"/>
      <c r="AO31" s="535"/>
      <c r="AP31" s="535"/>
      <c r="AQ31" s="535"/>
      <c r="AR31" s="535"/>
      <c r="AS31" s="535"/>
      <c r="AT31" s="535"/>
      <c r="AU31" s="535"/>
      <c r="AV31" s="535"/>
      <c r="AW31" s="535"/>
      <c r="AX31" s="535"/>
      <c r="AY31" s="535"/>
      <c r="AZ31" s="535"/>
      <c r="BA31" s="535"/>
      <c r="BB31" s="536"/>
      <c r="BC31" s="535"/>
      <c r="BD31" s="535"/>
      <c r="BE31" s="535"/>
      <c r="BF31" s="535"/>
      <c r="BG31" s="535"/>
      <c r="BH31" s="535"/>
      <c r="BI31" s="535"/>
      <c r="BJ31" s="535"/>
      <c r="BK31" s="535"/>
      <c r="BL31" s="535"/>
      <c r="BM31" s="535"/>
      <c r="BN31" s="535"/>
      <c r="BO31" s="535"/>
      <c r="BP31" s="535"/>
      <c r="BQ31" s="535"/>
      <c r="BR31" s="535"/>
      <c r="BS31" s="535"/>
      <c r="BT31" s="535"/>
      <c r="BU31" s="535"/>
      <c r="BV31" s="535"/>
      <c r="BW31" s="535"/>
      <c r="BX31" s="535"/>
      <c r="BY31" s="535"/>
      <c r="BZ31" s="535"/>
      <c r="CA31" s="535"/>
      <c r="CB31" s="535"/>
      <c r="CC31" s="535"/>
      <c r="CD31" s="535"/>
      <c r="CE31" s="535"/>
      <c r="CF31" s="535"/>
      <c r="CG31" s="535"/>
      <c r="CH31" s="535"/>
      <c r="CI31" s="535"/>
      <c r="CJ31" s="535"/>
      <c r="CK31" s="535"/>
      <c r="CL31" s="535"/>
      <c r="CM31" s="535"/>
      <c r="CN31" s="535"/>
      <c r="CO31" s="535"/>
      <c r="CP31" s="535"/>
      <c r="CQ31" s="535"/>
      <c r="CR31" s="535"/>
      <c r="CS31" s="535"/>
      <c r="CT31" s="535"/>
      <c r="CU31" s="535"/>
      <c r="CV31" s="535"/>
      <c r="CW31" s="535"/>
      <c r="CX31" s="535"/>
      <c r="CY31" s="535"/>
      <c r="CZ31" s="537"/>
      <c r="DA31" s="538" t="str">
        <f t="array" ref="DA31">IF(D31="","",
 IF($DO$3="Error","Error",
 IF(OR(
 SUM(($E$4:$CZ$4="")*(E31:CZ31&lt;&gt;""))&gt;0,
 SUM(($E$5:$CZ$5="")*(E31:CZ31&lt;&gt;""))&gt;0,
 COUNTA(E31:CZ31)&gt;$DO$3,
 SUMPRODUCT((E31:CZ31&lt;&gt;"")*(ISNA(MATCH(E31:CZ31,{"P","A","L","E","D"},0))))&gt;0),"Error",
 IF(COUNTIFS($E$5:$CZ$5,"T1",E31:CZ31,$DA$5)=0,"--",
 COUNTIFS($E$5:$CZ$5,"T1",E31:CZ31,$DA$5)))))</f>
        <v>--</v>
      </c>
      <c r="DB31" s="539" t="str">
        <f t="array" ref="DB31">IF(D31="","",
 IF($DO$3="Error","Error",
 IF(OR(
 SUM(($E$4:$CZ$4="")*(E31:CZ31&lt;&gt;""))&gt;0,
 SUM(($E$5:$CZ$5="")*(E31:CZ31&lt;&gt;""))&gt;0,
 COUNTA(E31:CZ31)&gt;$DO$3,
 SUMPRODUCT((E31:CZ31&lt;&gt;"")*(ISNA(MATCH(E31:CZ31,{"P","A","L","E","D"},0))))&gt;0),"Error",
 IF(COUNTIFS($E$5:$CZ$5,"T1",E31:CZ31,$DB$5)=0,"--",
 COUNTIFS($E$5:$CZ$5,"T1",E31:CZ31,$DB$5)))))</f>
        <v>--</v>
      </c>
      <c r="DC31" s="539" t="str">
        <f t="array" ref="DC31">IF(D31="","",
 IF($DO$3="Error","Error",
 IF(OR(
 SUM(($E$4:$CZ$4="")*(E31:CZ31&lt;&gt;""))&gt;0,
 SUM(($E$5:$CZ$5="")*(E31:CZ31&lt;&gt;""))&gt;0,
 COUNTA(E31:CZ31)&gt;$DO$3,
 SUMPRODUCT((E31:CZ31&lt;&gt;"")*(ISNA(MATCH(E31:CZ31,{"P","A","L","E","D"},0))))&gt;0),"Error",
 IF(COUNTIFS($E$5:$CZ$5,"T1",E31:CZ31,$DC$5)=0,"--",
 COUNTIFS($E$5:$CZ$5,"T1",E31:CZ31,$DC$5)))))</f>
        <v>--</v>
      </c>
      <c r="DD31" s="540" t="str">
        <f t="array" ref="DD31">IF(D31="","",
 IF($DO$3="Error","Error",
 IF(OR(
 SUM(($E$4:$CZ$4="")*(E31:CZ31&lt;&gt;""))&gt;0,
 SUM(($E$5:$CZ$5="")*(E31:CZ31&lt;&gt;""))&gt;0,
 COUNTA(E31:CZ31)&gt;$DO$3,
 SUMPRODUCT((E31:CZ31&lt;&gt;"")*(ISNA(MATCH(E31:CZ31,{"P","A","L","E","D"},0))))&gt;0),"Error",
 IF(COUNTIFS($E$5:$CZ$5,"T1",E31:CZ31,$DD$5)=0,"--",
 COUNTIFS($E$5:$CZ$5,"T1",E31:CZ31,$DD$5)))))</f>
        <v>--</v>
      </c>
      <c r="DE31" s="541" t="str">
        <f t="array" ref="DE31">IF(D31="","",
 IF($DO$3="Error","Error",
 IF(OR(
 SUM(($E$4:$CZ$4="")*(E31:CZ31&lt;&gt;""))&gt;0,
 SUM(($E$5:$CZ$5="")*(E31:CZ31&lt;&gt;""))&gt;0,
 COUNTA(E31:CZ31)&gt;$DO$3,
 SUMPRODUCT((E31:CZ31&lt;&gt;"")*(ISNA(MATCH(E31:CZ31,{"P","A","L","E","D"},0))))&gt;0),"Error",
 IF(COUNTIFS($E$5:$CZ$5,"T2",E31:CZ31,$DE$5)=0,"--",
 COUNTIFS($E$5:$CZ$5,"T2",E31:CZ31,$DE$5)))))</f>
        <v>--</v>
      </c>
      <c r="DF31" s="539" t="str">
        <f t="array" ref="DF31">IF(D31="","",
 IF($DO$3="Error","Error",
 IF(OR(
 SUM(($E$4:$CZ$4="")*(E31:CZ31&lt;&gt;""))&gt;0,
 SUM(($E$5:$CZ$5="")*(E31:CZ31&lt;&gt;""))&gt;0,
 COUNTA(E31:CZ31)&gt;$DO$3,
 SUMPRODUCT((E31:CZ31&lt;&gt;"")*(ISNA(MATCH(E31:CZ31,{"P","A","L","E","D"},0))))&gt;0),"Error",
 IF(COUNTIFS($E$5:$CZ$5,"T2",E31:CZ31,$DF$5)=0,"--",
 COUNTIFS($E$5:$CZ$5,"T2",E31:CZ31,$DF$5)))))</f>
        <v>--</v>
      </c>
      <c r="DG31" s="539" t="str">
        <f t="array" ref="DG31">IF(D31="","",
 IF($DO$3="Error","Error",
 IF(OR(
 SUM(($E$4:$CZ$4="")*(E31:CZ31&lt;&gt;""))&gt;0,
 SUM(($E$5:$CZ$5="")*(E31:CZ31&lt;&gt;""))&gt;0,
 COUNTA(E31:CZ31)&gt;$DO$3,
 SUMPRODUCT((E31:CZ31&lt;&gt;"")*(ISNA(MATCH(E31:CZ31,{"P","A","L","E","D"},0))))&gt;0),"Error",
 IF(COUNTIFS($E$5:$CZ$5,"T2",E31:CZ31,$DG$5)=0,"--",
 COUNTIFS($E$5:$CZ$5,"T2",E31:CZ31,$DG$5)))))</f>
        <v>--</v>
      </c>
      <c r="DH31" s="542" t="str">
        <f t="array" ref="DH31">IF(D31="","",
 IF($DO$3="Error","Error",
 IF(OR(
 SUM(($E$4:$CZ$4="")*(E31:CZ31&lt;&gt;""))&gt;0,
 SUM(($E$5:$CZ$5="")*(E31:CZ31&lt;&gt;""))&gt;0,
 COUNTA(E31:CZ31)&gt;$DO$3,
 SUMPRODUCT((E31:CZ31&lt;&gt;"")*(ISNA(MATCH(E31:CZ31,{"P","A","L","E","D"},0))))&gt;0),"Error",
 IF(COUNTIFS($E$5:$CZ$5,"T2",E31:CZ31,$DH$5)=0,"--",
 COUNTIFS($E$5:$CZ$5,"T2",E31:CZ31,$DH$5)))))</f>
        <v>--</v>
      </c>
      <c r="DI31" s="543" t="str">
        <f t="array" ref="DI31">IF(D31="","",
 IF($DO$3="Error","Error",
 IF(OR(
 SUM(($E$4:$CZ$4="")*(E31:CZ31&lt;&gt;""))&gt;0,
 SUM(($E$5:$CZ$5="")*(E31:CZ31&lt;&gt;""))&gt;0,
 COUNTA(E31:CZ31)&gt;$DO$3,
 SUMPRODUCT((E31:CZ31&lt;&gt;"")*(ISNA(MATCH(E31:CZ31,{"P","A","L","E","D"},0))))&gt;0),"Error",
 IF(COUNTIFS($E$5:$CZ$5,"T3",E31:CZ31,$DI$5)=0,"--",
 COUNTIFS($E$5:$CZ$5,"T3",E31:CZ31,$DI$5)))))</f>
        <v>--</v>
      </c>
      <c r="DJ31" s="539" t="str">
        <f t="array" ref="DJ31">IF(D31="","",
 IF($DO$3="Error","Error",
 IF(OR(
 SUM(($E$4:$CZ$4="")*(E31:CZ31&lt;&gt;""))&gt;0,
 SUM(($E$5:$CZ$5="")*(E31:CZ31&lt;&gt;""))&gt;0,
 COUNTA(E31:CZ31)&gt;$DO$3,
 SUMPRODUCT((E31:CZ31&lt;&gt;"")*(ISNA(MATCH(E31:CZ31,{"P","A","L","E","D"},0))))&gt;0),"Error",
 IF(COUNTIFS($E$5:$CZ$5,"T3",E31:CZ31,$DJ$5)=0,"--",
 COUNTIFS($E$5:$CZ$5,"T3",E31:CZ31,$DJ$5)))))</f>
        <v>--</v>
      </c>
      <c r="DK31" s="539" t="str">
        <f t="array" ref="DK31">IF(D31="","",
 IF($DO$3="Error","Error",
 IF(OR(
 SUM(($E$4:$CZ$4="")*(E31:CZ31&lt;&gt;""))&gt;0,
 SUM(($E$5:$CZ$5="")*(E31:CZ31&lt;&gt;""))&gt;0,
 COUNTA(E31:CZ31)&gt;$DO$3,
 SUMPRODUCT((E31:CZ31&lt;&gt;"")*(ISNA(MATCH(E31:CZ31,{"P","A","L","E","D"},0))))&gt;0),"Error",
 IF(COUNTIFS($E$5:$CZ$5,"T3",E31:CZ31,$DK$5)=0,"--",
 COUNTIFS($E$5:$CZ$5,"T3",E31:CZ31,$DK$5)))))</f>
        <v>--</v>
      </c>
      <c r="DL31" s="540" t="str">
        <f t="array" ref="DL31">IF(D31="","",
 IF($DO$3="Error","Error",
 IF(OR(
 SUM(($E$4:$CZ$4="")*(E31:CZ31&lt;&gt;""))&gt;0,
 SUM(($E$5:$CZ$5="")*(E31:CZ31&lt;&gt;""))&gt;0,
 COUNTA(E31:CZ31)&gt;$DO$3,
 SUMPRODUCT((E31:CZ31&lt;&gt;"")*(ISNA(MATCH(E31:CZ31,{"P","A","L","E","D"},0))))&gt;0),"Error",
 IF(COUNTIFS($E$5:$CZ$5,"T3",E31:CZ31,$DL$5)=0,"--",
 COUNTIFS($E$5:$CZ$5,"T3",E31:CZ31,$DL$5)))))</f>
        <v>--</v>
      </c>
      <c r="DM31" s="530" t="str">
        <f t="array" ref="DM31">IF(COUNTIF(DA31:DL31,"Error")&gt;0,"Error",
 IF(AND(D31="",COUNTA(E31:CZ31)&gt;0),"Error",
 IF(COUNTIF(E31:CZ31,"D")&gt;0,"DRP",
 IF(OR(SUM(COUNTIF(E31:CZ31,{"P","A","L","E"}))&gt;0,AND(D31&lt;&gt;"",COUNTA(E31:CZ31)=0)),"Active",""))))</f>
        <v>Active</v>
      </c>
      <c r="DN31" s="531"/>
    </row>
    <row r="32" ht="15.95" customHeight="1" spans="2:118" x14ac:dyDescent="0.25">
      <c r="B32" s="471">
        <v>27</v>
      </c>
      <c r="C32" s="532">
        <f>IF('Data Input'!M33="","",'Data Input'!M33)</f>
        <v>2000492838</v>
      </c>
      <c r="D32" s="533" t="str">
        <f>IF('Data Input'!N33="","",'Data Input'!N33)</f>
        <v>PASTOR, JAYDHEN</v>
      </c>
      <c r="E32" s="534"/>
      <c r="F32" s="535"/>
      <c r="G32" s="535"/>
      <c r="H32" s="535"/>
      <c r="I32" s="535"/>
      <c r="J32" s="535"/>
      <c r="K32" s="535"/>
      <c r="L32" s="535"/>
      <c r="M32" s="535"/>
      <c r="N32" s="535"/>
      <c r="O32" s="535"/>
      <c r="P32" s="535"/>
      <c r="Q32" s="535"/>
      <c r="R32" s="535"/>
      <c r="S32" s="535"/>
      <c r="T32" s="535"/>
      <c r="U32" s="535"/>
      <c r="V32" s="535"/>
      <c r="W32" s="535"/>
      <c r="X32" s="535"/>
      <c r="Y32" s="535"/>
      <c r="Z32" s="535"/>
      <c r="AA32" s="535"/>
      <c r="AB32" s="535"/>
      <c r="AC32" s="535"/>
      <c r="AD32" s="535"/>
      <c r="AE32" s="535"/>
      <c r="AF32" s="535"/>
      <c r="AG32" s="535"/>
      <c r="AH32" s="535"/>
      <c r="AI32" s="535"/>
      <c r="AJ32" s="535"/>
      <c r="AK32" s="535"/>
      <c r="AL32" s="535"/>
      <c r="AM32" s="535"/>
      <c r="AN32" s="535"/>
      <c r="AO32" s="535"/>
      <c r="AP32" s="535"/>
      <c r="AQ32" s="535"/>
      <c r="AR32" s="535"/>
      <c r="AS32" s="535"/>
      <c r="AT32" s="535"/>
      <c r="AU32" s="535"/>
      <c r="AV32" s="535"/>
      <c r="AW32" s="535"/>
      <c r="AX32" s="535"/>
      <c r="AY32" s="535"/>
      <c r="AZ32" s="535"/>
      <c r="BA32" s="535"/>
      <c r="BB32" s="536"/>
      <c r="BC32" s="535"/>
      <c r="BD32" s="535"/>
      <c r="BE32" s="535"/>
      <c r="BF32" s="535"/>
      <c r="BG32" s="535"/>
      <c r="BH32" s="535"/>
      <c r="BI32" s="535"/>
      <c r="BJ32" s="535"/>
      <c r="BK32" s="535"/>
      <c r="BL32" s="535"/>
      <c r="BM32" s="535"/>
      <c r="BN32" s="535"/>
      <c r="BO32" s="535"/>
      <c r="BP32" s="535"/>
      <c r="BQ32" s="535"/>
      <c r="BR32" s="535"/>
      <c r="BS32" s="535"/>
      <c r="BT32" s="535"/>
      <c r="BU32" s="535"/>
      <c r="BV32" s="535"/>
      <c r="BW32" s="535"/>
      <c r="BX32" s="535"/>
      <c r="BY32" s="535"/>
      <c r="BZ32" s="535"/>
      <c r="CA32" s="535"/>
      <c r="CB32" s="535"/>
      <c r="CC32" s="535"/>
      <c r="CD32" s="535"/>
      <c r="CE32" s="535"/>
      <c r="CF32" s="535"/>
      <c r="CG32" s="535"/>
      <c r="CH32" s="535"/>
      <c r="CI32" s="535"/>
      <c r="CJ32" s="535"/>
      <c r="CK32" s="535"/>
      <c r="CL32" s="535"/>
      <c r="CM32" s="535"/>
      <c r="CN32" s="535"/>
      <c r="CO32" s="535"/>
      <c r="CP32" s="535"/>
      <c r="CQ32" s="535"/>
      <c r="CR32" s="535"/>
      <c r="CS32" s="535"/>
      <c r="CT32" s="535"/>
      <c r="CU32" s="535"/>
      <c r="CV32" s="535"/>
      <c r="CW32" s="535"/>
      <c r="CX32" s="535"/>
      <c r="CY32" s="535"/>
      <c r="CZ32" s="537"/>
      <c r="DA32" s="538" t="str">
        <f t="array" ref="DA32">IF(D32="","",
 IF($DO$3="Error","Error",
 IF(OR(
 SUM(($E$4:$CZ$4="")*(E32:CZ32&lt;&gt;""))&gt;0,
 SUM(($E$5:$CZ$5="")*(E32:CZ32&lt;&gt;""))&gt;0,
 COUNTA(E32:CZ32)&gt;$DO$3,
 SUMPRODUCT((E32:CZ32&lt;&gt;"")*(ISNA(MATCH(E32:CZ32,{"P","A","L","E","D"},0))))&gt;0),"Error",
 IF(COUNTIFS($E$5:$CZ$5,"T1",E32:CZ32,$DA$5)=0,"--",
 COUNTIFS($E$5:$CZ$5,"T1",E32:CZ32,$DA$5)))))</f>
        <v>--</v>
      </c>
      <c r="DB32" s="539" t="str">
        <f t="array" ref="DB32">IF(D32="","",
 IF($DO$3="Error","Error",
 IF(OR(
 SUM(($E$4:$CZ$4="")*(E32:CZ32&lt;&gt;""))&gt;0,
 SUM(($E$5:$CZ$5="")*(E32:CZ32&lt;&gt;""))&gt;0,
 COUNTA(E32:CZ32)&gt;$DO$3,
 SUMPRODUCT((E32:CZ32&lt;&gt;"")*(ISNA(MATCH(E32:CZ32,{"P","A","L","E","D"},0))))&gt;0),"Error",
 IF(COUNTIFS($E$5:$CZ$5,"T1",E32:CZ32,$DB$5)=0,"--",
 COUNTIFS($E$5:$CZ$5,"T1",E32:CZ32,$DB$5)))))</f>
        <v>--</v>
      </c>
      <c r="DC32" s="539" t="str">
        <f t="array" ref="DC32">IF(D32="","",
 IF($DO$3="Error","Error",
 IF(OR(
 SUM(($E$4:$CZ$4="")*(E32:CZ32&lt;&gt;""))&gt;0,
 SUM(($E$5:$CZ$5="")*(E32:CZ32&lt;&gt;""))&gt;0,
 COUNTA(E32:CZ32)&gt;$DO$3,
 SUMPRODUCT((E32:CZ32&lt;&gt;"")*(ISNA(MATCH(E32:CZ32,{"P","A","L","E","D"},0))))&gt;0),"Error",
 IF(COUNTIFS($E$5:$CZ$5,"T1",E32:CZ32,$DC$5)=0,"--",
 COUNTIFS($E$5:$CZ$5,"T1",E32:CZ32,$DC$5)))))</f>
        <v>--</v>
      </c>
      <c r="DD32" s="540" t="str">
        <f t="array" ref="DD32">IF(D32="","",
 IF($DO$3="Error","Error",
 IF(OR(
 SUM(($E$4:$CZ$4="")*(E32:CZ32&lt;&gt;""))&gt;0,
 SUM(($E$5:$CZ$5="")*(E32:CZ32&lt;&gt;""))&gt;0,
 COUNTA(E32:CZ32)&gt;$DO$3,
 SUMPRODUCT((E32:CZ32&lt;&gt;"")*(ISNA(MATCH(E32:CZ32,{"P","A","L","E","D"},0))))&gt;0),"Error",
 IF(COUNTIFS($E$5:$CZ$5,"T1",E32:CZ32,$DD$5)=0,"--",
 COUNTIFS($E$5:$CZ$5,"T1",E32:CZ32,$DD$5)))))</f>
        <v>--</v>
      </c>
      <c r="DE32" s="541" t="str">
        <f t="array" ref="DE32">IF(D32="","",
 IF($DO$3="Error","Error",
 IF(OR(
 SUM(($E$4:$CZ$4="")*(E32:CZ32&lt;&gt;""))&gt;0,
 SUM(($E$5:$CZ$5="")*(E32:CZ32&lt;&gt;""))&gt;0,
 COUNTA(E32:CZ32)&gt;$DO$3,
 SUMPRODUCT((E32:CZ32&lt;&gt;"")*(ISNA(MATCH(E32:CZ32,{"P","A","L","E","D"},0))))&gt;0),"Error",
 IF(COUNTIFS($E$5:$CZ$5,"T2",E32:CZ32,$DE$5)=0,"--",
 COUNTIFS($E$5:$CZ$5,"T2",E32:CZ32,$DE$5)))))</f>
        <v>--</v>
      </c>
      <c r="DF32" s="539" t="str">
        <f t="array" ref="DF32">IF(D32="","",
 IF($DO$3="Error","Error",
 IF(OR(
 SUM(($E$4:$CZ$4="")*(E32:CZ32&lt;&gt;""))&gt;0,
 SUM(($E$5:$CZ$5="")*(E32:CZ32&lt;&gt;""))&gt;0,
 COUNTA(E32:CZ32)&gt;$DO$3,
 SUMPRODUCT((E32:CZ32&lt;&gt;"")*(ISNA(MATCH(E32:CZ32,{"P","A","L","E","D"},0))))&gt;0),"Error",
 IF(COUNTIFS($E$5:$CZ$5,"T2",E32:CZ32,$DF$5)=0,"--",
 COUNTIFS($E$5:$CZ$5,"T2",E32:CZ32,$DF$5)))))</f>
        <v>--</v>
      </c>
      <c r="DG32" s="539" t="str">
        <f t="array" ref="DG32">IF(D32="","",
 IF($DO$3="Error","Error",
 IF(OR(
 SUM(($E$4:$CZ$4="")*(E32:CZ32&lt;&gt;""))&gt;0,
 SUM(($E$5:$CZ$5="")*(E32:CZ32&lt;&gt;""))&gt;0,
 COUNTA(E32:CZ32)&gt;$DO$3,
 SUMPRODUCT((E32:CZ32&lt;&gt;"")*(ISNA(MATCH(E32:CZ32,{"P","A","L","E","D"},0))))&gt;0),"Error",
 IF(COUNTIFS($E$5:$CZ$5,"T2",E32:CZ32,$DG$5)=0,"--",
 COUNTIFS($E$5:$CZ$5,"T2",E32:CZ32,$DG$5)))))</f>
        <v>--</v>
      </c>
      <c r="DH32" s="542" t="str">
        <f t="array" ref="DH32">IF(D32="","",
 IF($DO$3="Error","Error",
 IF(OR(
 SUM(($E$4:$CZ$4="")*(E32:CZ32&lt;&gt;""))&gt;0,
 SUM(($E$5:$CZ$5="")*(E32:CZ32&lt;&gt;""))&gt;0,
 COUNTA(E32:CZ32)&gt;$DO$3,
 SUMPRODUCT((E32:CZ32&lt;&gt;"")*(ISNA(MATCH(E32:CZ32,{"P","A","L","E","D"},0))))&gt;0),"Error",
 IF(COUNTIFS($E$5:$CZ$5,"T2",E32:CZ32,$DH$5)=0,"--",
 COUNTIFS($E$5:$CZ$5,"T2",E32:CZ32,$DH$5)))))</f>
        <v>--</v>
      </c>
      <c r="DI32" s="543" t="str">
        <f t="array" ref="DI32">IF(D32="","",
 IF($DO$3="Error","Error",
 IF(OR(
 SUM(($E$4:$CZ$4="")*(E32:CZ32&lt;&gt;""))&gt;0,
 SUM(($E$5:$CZ$5="")*(E32:CZ32&lt;&gt;""))&gt;0,
 COUNTA(E32:CZ32)&gt;$DO$3,
 SUMPRODUCT((E32:CZ32&lt;&gt;"")*(ISNA(MATCH(E32:CZ32,{"P","A","L","E","D"},0))))&gt;0),"Error",
 IF(COUNTIFS($E$5:$CZ$5,"T3",E32:CZ32,$DI$5)=0,"--",
 COUNTIFS($E$5:$CZ$5,"T3",E32:CZ32,$DI$5)))))</f>
        <v>--</v>
      </c>
      <c r="DJ32" s="539" t="str">
        <f t="array" ref="DJ32">IF(D32="","",
 IF($DO$3="Error","Error",
 IF(OR(
 SUM(($E$4:$CZ$4="")*(E32:CZ32&lt;&gt;""))&gt;0,
 SUM(($E$5:$CZ$5="")*(E32:CZ32&lt;&gt;""))&gt;0,
 COUNTA(E32:CZ32)&gt;$DO$3,
 SUMPRODUCT((E32:CZ32&lt;&gt;"")*(ISNA(MATCH(E32:CZ32,{"P","A","L","E","D"},0))))&gt;0),"Error",
 IF(COUNTIFS($E$5:$CZ$5,"T3",E32:CZ32,$DJ$5)=0,"--",
 COUNTIFS($E$5:$CZ$5,"T3",E32:CZ32,$DJ$5)))))</f>
        <v>--</v>
      </c>
      <c r="DK32" s="539" t="str">
        <f t="array" ref="DK32">IF(D32="","",
 IF($DO$3="Error","Error",
 IF(OR(
 SUM(($E$4:$CZ$4="")*(E32:CZ32&lt;&gt;""))&gt;0,
 SUM(($E$5:$CZ$5="")*(E32:CZ32&lt;&gt;""))&gt;0,
 COUNTA(E32:CZ32)&gt;$DO$3,
 SUMPRODUCT((E32:CZ32&lt;&gt;"")*(ISNA(MATCH(E32:CZ32,{"P","A","L","E","D"},0))))&gt;0),"Error",
 IF(COUNTIFS($E$5:$CZ$5,"T3",E32:CZ32,$DK$5)=0,"--",
 COUNTIFS($E$5:$CZ$5,"T3",E32:CZ32,$DK$5)))))</f>
        <v>--</v>
      </c>
      <c r="DL32" s="540" t="str">
        <f t="array" ref="DL32">IF(D32="","",
 IF($DO$3="Error","Error",
 IF(OR(
 SUM(($E$4:$CZ$4="")*(E32:CZ32&lt;&gt;""))&gt;0,
 SUM(($E$5:$CZ$5="")*(E32:CZ32&lt;&gt;""))&gt;0,
 COUNTA(E32:CZ32)&gt;$DO$3,
 SUMPRODUCT((E32:CZ32&lt;&gt;"")*(ISNA(MATCH(E32:CZ32,{"P","A","L","E","D"},0))))&gt;0),"Error",
 IF(COUNTIFS($E$5:$CZ$5,"T3",E32:CZ32,$DL$5)=0,"--",
 COUNTIFS($E$5:$CZ$5,"T3",E32:CZ32,$DL$5)))))</f>
        <v>--</v>
      </c>
      <c r="DM32" s="530" t="str">
        <f t="array" ref="DM32">IF(COUNTIF(DA32:DL32,"Error")&gt;0,"Error",
 IF(AND(D32="",COUNTA(E32:CZ32)&gt;0),"Error",
 IF(COUNTIF(E32:CZ32,"D")&gt;0,"DRP",
 IF(OR(SUM(COUNTIF(E32:CZ32,{"P","A","L","E"}))&gt;0,AND(D32&lt;&gt;"",COUNTA(E32:CZ32)=0)),"Active",""))))</f>
        <v>Active</v>
      </c>
      <c r="DN32" s="531"/>
    </row>
    <row r="33" ht="15.95" customHeight="1" spans="2:118" x14ac:dyDescent="0.25">
      <c r="B33" s="471">
        <v>28</v>
      </c>
      <c r="C33" s="532">
        <f>IF('Data Input'!M34="","",'Data Input'!M34)</f>
        <v>2000485198</v>
      </c>
      <c r="D33" s="533" t="str">
        <f>IF('Data Input'!N34="","",'Data Input'!N34)</f>
        <v>PLACENTE, RHIAN</v>
      </c>
      <c r="E33" s="534"/>
      <c r="F33" s="535"/>
      <c r="G33" s="535"/>
      <c r="H33" s="535"/>
      <c r="I33" s="535"/>
      <c r="J33" s="535"/>
      <c r="K33" s="535"/>
      <c r="L33" s="535"/>
      <c r="M33" s="535"/>
      <c r="N33" s="535"/>
      <c r="O33" s="535"/>
      <c r="P33" s="535"/>
      <c r="Q33" s="535"/>
      <c r="R33" s="535"/>
      <c r="S33" s="535"/>
      <c r="T33" s="535"/>
      <c r="U33" s="535"/>
      <c r="V33" s="535"/>
      <c r="W33" s="535"/>
      <c r="X33" s="535"/>
      <c r="Y33" s="535"/>
      <c r="Z33" s="535"/>
      <c r="AA33" s="535"/>
      <c r="AB33" s="535"/>
      <c r="AC33" s="535"/>
      <c r="AD33" s="535"/>
      <c r="AE33" s="535"/>
      <c r="AF33" s="535"/>
      <c r="AG33" s="535"/>
      <c r="AH33" s="535"/>
      <c r="AI33" s="535"/>
      <c r="AJ33" s="535"/>
      <c r="AK33" s="535"/>
      <c r="AL33" s="535"/>
      <c r="AM33" s="535"/>
      <c r="AN33" s="535"/>
      <c r="AO33" s="535"/>
      <c r="AP33" s="535"/>
      <c r="AQ33" s="535"/>
      <c r="AR33" s="535"/>
      <c r="AS33" s="535"/>
      <c r="AT33" s="535"/>
      <c r="AU33" s="535"/>
      <c r="AV33" s="535"/>
      <c r="AW33" s="535"/>
      <c r="AX33" s="535"/>
      <c r="AY33" s="535"/>
      <c r="AZ33" s="535"/>
      <c r="BA33" s="535"/>
      <c r="BB33" s="536"/>
      <c r="BC33" s="535"/>
      <c r="BD33" s="535"/>
      <c r="BE33" s="535"/>
      <c r="BF33" s="535"/>
      <c r="BG33" s="535"/>
      <c r="BH33" s="535"/>
      <c r="BI33" s="535"/>
      <c r="BJ33" s="535"/>
      <c r="BK33" s="535"/>
      <c r="BL33" s="535"/>
      <c r="BM33" s="535"/>
      <c r="BN33" s="535"/>
      <c r="BO33" s="535"/>
      <c r="BP33" s="535"/>
      <c r="BQ33" s="535"/>
      <c r="BR33" s="535"/>
      <c r="BS33" s="535"/>
      <c r="BT33" s="535"/>
      <c r="BU33" s="535"/>
      <c r="BV33" s="535"/>
      <c r="BW33" s="535"/>
      <c r="BX33" s="535"/>
      <c r="BY33" s="535"/>
      <c r="BZ33" s="535"/>
      <c r="CA33" s="535"/>
      <c r="CB33" s="535"/>
      <c r="CC33" s="535"/>
      <c r="CD33" s="535"/>
      <c r="CE33" s="535"/>
      <c r="CF33" s="535"/>
      <c r="CG33" s="535"/>
      <c r="CH33" s="535"/>
      <c r="CI33" s="535"/>
      <c r="CJ33" s="535"/>
      <c r="CK33" s="535"/>
      <c r="CL33" s="535"/>
      <c r="CM33" s="535"/>
      <c r="CN33" s="535"/>
      <c r="CO33" s="535"/>
      <c r="CP33" s="535"/>
      <c r="CQ33" s="535"/>
      <c r="CR33" s="535"/>
      <c r="CS33" s="535"/>
      <c r="CT33" s="535"/>
      <c r="CU33" s="535"/>
      <c r="CV33" s="535"/>
      <c r="CW33" s="535"/>
      <c r="CX33" s="535"/>
      <c r="CY33" s="535"/>
      <c r="CZ33" s="537"/>
      <c r="DA33" s="538" t="str">
        <f t="array" ref="DA33">IF(D33="","",
 IF($DO$3="Error","Error",
 IF(OR(
 SUM(($E$4:$CZ$4="")*(E33:CZ33&lt;&gt;""))&gt;0,
 SUM(($E$5:$CZ$5="")*(E33:CZ33&lt;&gt;""))&gt;0,
 COUNTA(E33:CZ33)&gt;$DO$3,
 SUMPRODUCT((E33:CZ33&lt;&gt;"")*(ISNA(MATCH(E33:CZ33,{"P","A","L","E","D"},0))))&gt;0),"Error",
 IF(COUNTIFS($E$5:$CZ$5,"T1",E33:CZ33,$DA$5)=0,"--",
 COUNTIFS($E$5:$CZ$5,"T1",E33:CZ33,$DA$5)))))</f>
        <v>--</v>
      </c>
      <c r="DB33" s="539" t="str">
        <f t="array" ref="DB33">IF(D33="","",
 IF($DO$3="Error","Error",
 IF(OR(
 SUM(($E$4:$CZ$4="")*(E33:CZ33&lt;&gt;""))&gt;0,
 SUM(($E$5:$CZ$5="")*(E33:CZ33&lt;&gt;""))&gt;0,
 COUNTA(E33:CZ33)&gt;$DO$3,
 SUMPRODUCT((E33:CZ33&lt;&gt;"")*(ISNA(MATCH(E33:CZ33,{"P","A","L","E","D"},0))))&gt;0),"Error",
 IF(COUNTIFS($E$5:$CZ$5,"T1",E33:CZ33,$DB$5)=0,"--",
 COUNTIFS($E$5:$CZ$5,"T1",E33:CZ33,$DB$5)))))</f>
        <v>--</v>
      </c>
      <c r="DC33" s="539" t="str">
        <f t="array" ref="DC33">IF(D33="","",
 IF($DO$3="Error","Error",
 IF(OR(
 SUM(($E$4:$CZ$4="")*(E33:CZ33&lt;&gt;""))&gt;0,
 SUM(($E$5:$CZ$5="")*(E33:CZ33&lt;&gt;""))&gt;0,
 COUNTA(E33:CZ33)&gt;$DO$3,
 SUMPRODUCT((E33:CZ33&lt;&gt;"")*(ISNA(MATCH(E33:CZ33,{"P","A","L","E","D"},0))))&gt;0),"Error",
 IF(COUNTIFS($E$5:$CZ$5,"T1",E33:CZ33,$DC$5)=0,"--",
 COUNTIFS($E$5:$CZ$5,"T1",E33:CZ33,$DC$5)))))</f>
        <v>--</v>
      </c>
      <c r="DD33" s="540" t="str">
        <f t="array" ref="DD33">IF(D33="","",
 IF($DO$3="Error","Error",
 IF(OR(
 SUM(($E$4:$CZ$4="")*(E33:CZ33&lt;&gt;""))&gt;0,
 SUM(($E$5:$CZ$5="")*(E33:CZ33&lt;&gt;""))&gt;0,
 COUNTA(E33:CZ33)&gt;$DO$3,
 SUMPRODUCT((E33:CZ33&lt;&gt;"")*(ISNA(MATCH(E33:CZ33,{"P","A","L","E","D"},0))))&gt;0),"Error",
 IF(COUNTIFS($E$5:$CZ$5,"T1",E33:CZ33,$DD$5)=0,"--",
 COUNTIFS($E$5:$CZ$5,"T1",E33:CZ33,$DD$5)))))</f>
        <v>--</v>
      </c>
      <c r="DE33" s="541" t="str">
        <f t="array" ref="DE33">IF(D33="","",
 IF($DO$3="Error","Error",
 IF(OR(
 SUM(($E$4:$CZ$4="")*(E33:CZ33&lt;&gt;""))&gt;0,
 SUM(($E$5:$CZ$5="")*(E33:CZ33&lt;&gt;""))&gt;0,
 COUNTA(E33:CZ33)&gt;$DO$3,
 SUMPRODUCT((E33:CZ33&lt;&gt;"")*(ISNA(MATCH(E33:CZ33,{"P","A","L","E","D"},0))))&gt;0),"Error",
 IF(COUNTIFS($E$5:$CZ$5,"T2",E33:CZ33,$DE$5)=0,"--",
 COUNTIFS($E$5:$CZ$5,"T2",E33:CZ33,$DE$5)))))</f>
        <v>--</v>
      </c>
      <c r="DF33" s="539" t="str">
        <f t="array" ref="DF33">IF(D33="","",
 IF($DO$3="Error","Error",
 IF(OR(
 SUM(($E$4:$CZ$4="")*(E33:CZ33&lt;&gt;""))&gt;0,
 SUM(($E$5:$CZ$5="")*(E33:CZ33&lt;&gt;""))&gt;0,
 COUNTA(E33:CZ33)&gt;$DO$3,
 SUMPRODUCT((E33:CZ33&lt;&gt;"")*(ISNA(MATCH(E33:CZ33,{"P","A","L","E","D"},0))))&gt;0),"Error",
 IF(COUNTIFS($E$5:$CZ$5,"T2",E33:CZ33,$DF$5)=0,"--",
 COUNTIFS($E$5:$CZ$5,"T2",E33:CZ33,$DF$5)))))</f>
        <v>--</v>
      </c>
      <c r="DG33" s="539" t="str">
        <f t="array" ref="DG33">IF(D33="","",
 IF($DO$3="Error","Error",
 IF(OR(
 SUM(($E$4:$CZ$4="")*(E33:CZ33&lt;&gt;""))&gt;0,
 SUM(($E$5:$CZ$5="")*(E33:CZ33&lt;&gt;""))&gt;0,
 COUNTA(E33:CZ33)&gt;$DO$3,
 SUMPRODUCT((E33:CZ33&lt;&gt;"")*(ISNA(MATCH(E33:CZ33,{"P","A","L","E","D"},0))))&gt;0),"Error",
 IF(COUNTIFS($E$5:$CZ$5,"T2",E33:CZ33,$DG$5)=0,"--",
 COUNTIFS($E$5:$CZ$5,"T2",E33:CZ33,$DG$5)))))</f>
        <v>--</v>
      </c>
      <c r="DH33" s="542" t="str">
        <f t="array" ref="DH33">IF(D33="","",
 IF($DO$3="Error","Error",
 IF(OR(
 SUM(($E$4:$CZ$4="")*(E33:CZ33&lt;&gt;""))&gt;0,
 SUM(($E$5:$CZ$5="")*(E33:CZ33&lt;&gt;""))&gt;0,
 COUNTA(E33:CZ33)&gt;$DO$3,
 SUMPRODUCT((E33:CZ33&lt;&gt;"")*(ISNA(MATCH(E33:CZ33,{"P","A","L","E","D"},0))))&gt;0),"Error",
 IF(COUNTIFS($E$5:$CZ$5,"T2",E33:CZ33,$DH$5)=0,"--",
 COUNTIFS($E$5:$CZ$5,"T2",E33:CZ33,$DH$5)))))</f>
        <v>--</v>
      </c>
      <c r="DI33" s="543" t="str">
        <f t="array" ref="DI33">IF(D33="","",
 IF($DO$3="Error","Error",
 IF(OR(
 SUM(($E$4:$CZ$4="")*(E33:CZ33&lt;&gt;""))&gt;0,
 SUM(($E$5:$CZ$5="")*(E33:CZ33&lt;&gt;""))&gt;0,
 COUNTA(E33:CZ33)&gt;$DO$3,
 SUMPRODUCT((E33:CZ33&lt;&gt;"")*(ISNA(MATCH(E33:CZ33,{"P","A","L","E","D"},0))))&gt;0),"Error",
 IF(COUNTIFS($E$5:$CZ$5,"T3",E33:CZ33,$DI$5)=0,"--",
 COUNTIFS($E$5:$CZ$5,"T3",E33:CZ33,$DI$5)))))</f>
        <v>--</v>
      </c>
      <c r="DJ33" s="539" t="str">
        <f t="array" ref="DJ33">IF(D33="","",
 IF($DO$3="Error","Error",
 IF(OR(
 SUM(($E$4:$CZ$4="")*(E33:CZ33&lt;&gt;""))&gt;0,
 SUM(($E$5:$CZ$5="")*(E33:CZ33&lt;&gt;""))&gt;0,
 COUNTA(E33:CZ33)&gt;$DO$3,
 SUMPRODUCT((E33:CZ33&lt;&gt;"")*(ISNA(MATCH(E33:CZ33,{"P","A","L","E","D"},0))))&gt;0),"Error",
 IF(COUNTIFS($E$5:$CZ$5,"T3",E33:CZ33,$DJ$5)=0,"--",
 COUNTIFS($E$5:$CZ$5,"T3",E33:CZ33,$DJ$5)))))</f>
        <v>--</v>
      </c>
      <c r="DK33" s="539" t="str">
        <f t="array" ref="DK33">IF(D33="","",
 IF($DO$3="Error","Error",
 IF(OR(
 SUM(($E$4:$CZ$4="")*(E33:CZ33&lt;&gt;""))&gt;0,
 SUM(($E$5:$CZ$5="")*(E33:CZ33&lt;&gt;""))&gt;0,
 COUNTA(E33:CZ33)&gt;$DO$3,
 SUMPRODUCT((E33:CZ33&lt;&gt;"")*(ISNA(MATCH(E33:CZ33,{"P","A","L","E","D"},0))))&gt;0),"Error",
 IF(COUNTIFS($E$5:$CZ$5,"T3",E33:CZ33,$DK$5)=0,"--",
 COUNTIFS($E$5:$CZ$5,"T3",E33:CZ33,$DK$5)))))</f>
        <v>--</v>
      </c>
      <c r="DL33" s="540" t="str">
        <f t="array" ref="DL33">IF(D33="","",
 IF($DO$3="Error","Error",
 IF(OR(
 SUM(($E$4:$CZ$4="")*(E33:CZ33&lt;&gt;""))&gt;0,
 SUM(($E$5:$CZ$5="")*(E33:CZ33&lt;&gt;""))&gt;0,
 COUNTA(E33:CZ33)&gt;$DO$3,
 SUMPRODUCT((E33:CZ33&lt;&gt;"")*(ISNA(MATCH(E33:CZ33,{"P","A","L","E","D"},0))))&gt;0),"Error",
 IF(COUNTIFS($E$5:$CZ$5,"T3",E33:CZ33,$DL$5)=0,"--",
 COUNTIFS($E$5:$CZ$5,"T3",E33:CZ33,$DL$5)))))</f>
        <v>--</v>
      </c>
      <c r="DM33" s="530" t="str">
        <f t="array" ref="DM33">IF(COUNTIF(DA33:DL33,"Error")&gt;0,"Error",
 IF(AND(D33="",COUNTA(E33:CZ33)&gt;0),"Error",
 IF(COUNTIF(E33:CZ33,"D")&gt;0,"DRP",
 IF(OR(SUM(COUNTIF(E33:CZ33,{"P","A","L","E"}))&gt;0,AND(D33&lt;&gt;"",COUNTA(E33:CZ33)=0)),"Active",""))))</f>
        <v>Active</v>
      </c>
      <c r="DN33" s="531"/>
    </row>
    <row r="34" ht="15.95" customHeight="1" spans="2:118" x14ac:dyDescent="0.25">
      <c r="B34" s="471">
        <v>29</v>
      </c>
      <c r="C34" s="532">
        <f>IF('Data Input'!M35="","",'Data Input'!M35)</f>
      </c>
      <c r="D34" s="533">
        <f>IF('Data Input'!N35="","",'Data Input'!N35)</f>
      </c>
      <c r="E34" s="53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6"/>
      <c r="BC34" s="535"/>
      <c r="BD34" s="535"/>
      <c r="BE34" s="535"/>
      <c r="BF34" s="535"/>
      <c r="BG34" s="535"/>
      <c r="BH34" s="535"/>
      <c r="BI34" s="535"/>
      <c r="BJ34" s="535"/>
      <c r="BK34" s="535"/>
      <c r="BL34" s="535"/>
      <c r="BM34" s="535"/>
      <c r="BN34" s="535"/>
      <c r="BO34" s="535"/>
      <c r="BP34" s="535"/>
      <c r="BQ34" s="535"/>
      <c r="BR34" s="535"/>
      <c r="BS34" s="535"/>
      <c r="BT34" s="535"/>
      <c r="BU34" s="535"/>
      <c r="BV34" s="535"/>
      <c r="BW34" s="535"/>
      <c r="BX34" s="535"/>
      <c r="BY34" s="535"/>
      <c r="BZ34" s="535"/>
      <c r="CA34" s="535"/>
      <c r="CB34" s="535"/>
      <c r="CC34" s="535"/>
      <c r="CD34" s="535"/>
      <c r="CE34" s="535"/>
      <c r="CF34" s="535"/>
      <c r="CG34" s="535"/>
      <c r="CH34" s="535"/>
      <c r="CI34" s="535"/>
      <c r="CJ34" s="535"/>
      <c r="CK34" s="535"/>
      <c r="CL34" s="535"/>
      <c r="CM34" s="535"/>
      <c r="CN34" s="535"/>
      <c r="CO34" s="535"/>
      <c r="CP34" s="535"/>
      <c r="CQ34" s="535"/>
      <c r="CR34" s="535"/>
      <c r="CS34" s="535"/>
      <c r="CT34" s="535"/>
      <c r="CU34" s="535"/>
      <c r="CV34" s="535"/>
      <c r="CW34" s="535"/>
      <c r="CX34" s="535"/>
      <c r="CY34" s="535"/>
      <c r="CZ34" s="537"/>
      <c r="DA34" s="538">
        <f t="array" ref="DA34">IF(D34="","",
 IF($DO$3="Error","Error",
 IF(OR(
 SUM(($E$4:$CZ$4="")*(E34:CZ34&lt;&gt;""))&gt;0,
 SUM(($E$5:$CZ$5="")*(E34:CZ34&lt;&gt;""))&gt;0,
 COUNTA(E34:CZ34)&gt;$DO$3,
 SUMPRODUCT((E34:CZ34&lt;&gt;"")*(ISNA(MATCH(E34:CZ34,{"P","A","L","E","D"},0))))&gt;0),"Error",
 IF(COUNTIFS($E$5:$CZ$5,"T1",E34:CZ34,$DA$5)=0,"--",
 COUNTIFS($E$5:$CZ$5,"T1",E34:CZ34,$DA$5)))))</f>
      </c>
      <c r="DB34" s="539">
        <f t="array" ref="DB34">IF(D34="","",
 IF($DO$3="Error","Error",
 IF(OR(
 SUM(($E$4:$CZ$4="")*(E34:CZ34&lt;&gt;""))&gt;0,
 SUM(($E$5:$CZ$5="")*(E34:CZ34&lt;&gt;""))&gt;0,
 COUNTA(E34:CZ34)&gt;$DO$3,
 SUMPRODUCT((E34:CZ34&lt;&gt;"")*(ISNA(MATCH(E34:CZ34,{"P","A","L","E","D"},0))))&gt;0),"Error",
 IF(COUNTIFS($E$5:$CZ$5,"T1",E34:CZ34,$DB$5)=0,"--",
 COUNTIFS($E$5:$CZ$5,"T1",E34:CZ34,$DB$5)))))</f>
      </c>
      <c r="DC34" s="539">
        <f t="array" ref="DC34">IF(D34="","",
 IF($DO$3="Error","Error",
 IF(OR(
 SUM(($E$4:$CZ$4="")*(E34:CZ34&lt;&gt;""))&gt;0,
 SUM(($E$5:$CZ$5="")*(E34:CZ34&lt;&gt;""))&gt;0,
 COUNTA(E34:CZ34)&gt;$DO$3,
 SUMPRODUCT((E34:CZ34&lt;&gt;"")*(ISNA(MATCH(E34:CZ34,{"P","A","L","E","D"},0))))&gt;0),"Error",
 IF(COUNTIFS($E$5:$CZ$5,"T1",E34:CZ34,$DC$5)=0,"--",
 COUNTIFS($E$5:$CZ$5,"T1",E34:CZ34,$DC$5)))))</f>
      </c>
      <c r="DD34" s="540">
        <f t="array" ref="DD34">IF(D34="","",
 IF($DO$3="Error","Error",
 IF(OR(
 SUM(($E$4:$CZ$4="")*(E34:CZ34&lt;&gt;""))&gt;0,
 SUM(($E$5:$CZ$5="")*(E34:CZ34&lt;&gt;""))&gt;0,
 COUNTA(E34:CZ34)&gt;$DO$3,
 SUMPRODUCT((E34:CZ34&lt;&gt;"")*(ISNA(MATCH(E34:CZ34,{"P","A","L","E","D"},0))))&gt;0),"Error",
 IF(COUNTIFS($E$5:$CZ$5,"T1",E34:CZ34,$DD$5)=0,"--",
 COUNTIFS($E$5:$CZ$5,"T1",E34:CZ34,$DD$5)))))</f>
      </c>
      <c r="DE34" s="541">
        <f t="array" ref="DE34">IF(D34="","",
 IF($DO$3="Error","Error",
 IF(OR(
 SUM(($E$4:$CZ$4="")*(E34:CZ34&lt;&gt;""))&gt;0,
 SUM(($E$5:$CZ$5="")*(E34:CZ34&lt;&gt;""))&gt;0,
 COUNTA(E34:CZ34)&gt;$DO$3,
 SUMPRODUCT((E34:CZ34&lt;&gt;"")*(ISNA(MATCH(E34:CZ34,{"P","A","L","E","D"},0))))&gt;0),"Error",
 IF(COUNTIFS($E$5:$CZ$5,"T2",E34:CZ34,$DE$5)=0,"--",
 COUNTIFS($E$5:$CZ$5,"T2",E34:CZ34,$DE$5)))))</f>
      </c>
      <c r="DF34" s="539">
        <f t="array" ref="DF34">IF(D34="","",
 IF($DO$3="Error","Error",
 IF(OR(
 SUM(($E$4:$CZ$4="")*(E34:CZ34&lt;&gt;""))&gt;0,
 SUM(($E$5:$CZ$5="")*(E34:CZ34&lt;&gt;""))&gt;0,
 COUNTA(E34:CZ34)&gt;$DO$3,
 SUMPRODUCT((E34:CZ34&lt;&gt;"")*(ISNA(MATCH(E34:CZ34,{"P","A","L","E","D"},0))))&gt;0),"Error",
 IF(COUNTIFS($E$5:$CZ$5,"T2",E34:CZ34,$DF$5)=0,"--",
 COUNTIFS($E$5:$CZ$5,"T2",E34:CZ34,$DF$5)))))</f>
      </c>
      <c r="DG34" s="539">
        <f t="array" ref="DG34">IF(D34="","",
 IF($DO$3="Error","Error",
 IF(OR(
 SUM(($E$4:$CZ$4="")*(E34:CZ34&lt;&gt;""))&gt;0,
 SUM(($E$5:$CZ$5="")*(E34:CZ34&lt;&gt;""))&gt;0,
 COUNTA(E34:CZ34)&gt;$DO$3,
 SUMPRODUCT((E34:CZ34&lt;&gt;"")*(ISNA(MATCH(E34:CZ34,{"P","A","L","E","D"},0))))&gt;0),"Error",
 IF(COUNTIFS($E$5:$CZ$5,"T2",E34:CZ34,$DG$5)=0,"--",
 COUNTIFS($E$5:$CZ$5,"T2",E34:CZ34,$DG$5)))))</f>
      </c>
      <c r="DH34" s="542">
        <f t="array" ref="DH34">IF(D34="","",
 IF($DO$3="Error","Error",
 IF(OR(
 SUM(($E$4:$CZ$4="")*(E34:CZ34&lt;&gt;""))&gt;0,
 SUM(($E$5:$CZ$5="")*(E34:CZ34&lt;&gt;""))&gt;0,
 COUNTA(E34:CZ34)&gt;$DO$3,
 SUMPRODUCT((E34:CZ34&lt;&gt;"")*(ISNA(MATCH(E34:CZ34,{"P","A","L","E","D"},0))))&gt;0),"Error",
 IF(COUNTIFS($E$5:$CZ$5,"T2",E34:CZ34,$DH$5)=0,"--",
 COUNTIFS($E$5:$CZ$5,"T2",E34:CZ34,$DH$5)))))</f>
      </c>
      <c r="DI34" s="543">
        <f t="array" ref="DI34">IF(D34="","",
 IF($DO$3="Error","Error",
 IF(OR(
 SUM(($E$4:$CZ$4="")*(E34:CZ34&lt;&gt;""))&gt;0,
 SUM(($E$5:$CZ$5="")*(E34:CZ34&lt;&gt;""))&gt;0,
 COUNTA(E34:CZ34)&gt;$DO$3,
 SUMPRODUCT((E34:CZ34&lt;&gt;"")*(ISNA(MATCH(E34:CZ34,{"P","A","L","E","D"},0))))&gt;0),"Error",
 IF(COUNTIFS($E$5:$CZ$5,"T3",E34:CZ34,$DI$5)=0,"--",
 COUNTIFS($E$5:$CZ$5,"T3",E34:CZ34,$DI$5)))))</f>
      </c>
      <c r="DJ34" s="539">
        <f t="array" ref="DJ34">IF(D34="","",
 IF($DO$3="Error","Error",
 IF(OR(
 SUM(($E$4:$CZ$4="")*(E34:CZ34&lt;&gt;""))&gt;0,
 SUM(($E$5:$CZ$5="")*(E34:CZ34&lt;&gt;""))&gt;0,
 COUNTA(E34:CZ34)&gt;$DO$3,
 SUMPRODUCT((E34:CZ34&lt;&gt;"")*(ISNA(MATCH(E34:CZ34,{"P","A","L","E","D"},0))))&gt;0),"Error",
 IF(COUNTIFS($E$5:$CZ$5,"T3",E34:CZ34,$DJ$5)=0,"--",
 COUNTIFS($E$5:$CZ$5,"T3",E34:CZ34,$DJ$5)))))</f>
      </c>
      <c r="DK34" s="539">
        <f t="array" ref="DK34">IF(D34="","",
 IF($DO$3="Error","Error",
 IF(OR(
 SUM(($E$4:$CZ$4="")*(E34:CZ34&lt;&gt;""))&gt;0,
 SUM(($E$5:$CZ$5="")*(E34:CZ34&lt;&gt;""))&gt;0,
 COUNTA(E34:CZ34)&gt;$DO$3,
 SUMPRODUCT((E34:CZ34&lt;&gt;"")*(ISNA(MATCH(E34:CZ34,{"P","A","L","E","D"},0))))&gt;0),"Error",
 IF(COUNTIFS($E$5:$CZ$5,"T3",E34:CZ34,$DK$5)=0,"--",
 COUNTIFS($E$5:$CZ$5,"T3",E34:CZ34,$DK$5)))))</f>
      </c>
      <c r="DL34" s="540">
        <f t="array" ref="DL34">IF(D34="","",
 IF($DO$3="Error","Error",
 IF(OR(
 SUM(($E$4:$CZ$4="")*(E34:CZ34&lt;&gt;""))&gt;0,
 SUM(($E$5:$CZ$5="")*(E34:CZ34&lt;&gt;""))&gt;0,
 COUNTA(E34:CZ34)&gt;$DO$3,
 SUMPRODUCT((E34:CZ34&lt;&gt;"")*(ISNA(MATCH(E34:CZ34,{"P","A","L","E","D"},0))))&gt;0),"Error",
 IF(COUNTIFS($E$5:$CZ$5,"T3",E34:CZ34,$DL$5)=0,"--",
 COUNTIFS($E$5:$CZ$5,"T3",E34:CZ34,$DL$5)))))</f>
      </c>
      <c r="DM34" s="530">
        <f t="array" ref="DM34">IF(COUNTIF(DA34:DL34,"Error")&gt;0,"Error",
 IF(AND(D34="",COUNTA(E34:CZ34)&gt;0),"Error",
 IF(COUNTIF(E34:CZ34,"D")&gt;0,"DRP",
 IF(OR(SUM(COUNTIF(E34:CZ34,{"P","A","L","E"}))&gt;0,AND(D34&lt;&gt;"",COUNTA(E34:CZ34)=0)),"Active",""))))</f>
      </c>
      <c r="DN34" s="531"/>
    </row>
    <row r="35" ht="15.95" customHeight="1" spans="2:118" x14ac:dyDescent="0.25">
      <c r="B35" s="471">
        <v>30</v>
      </c>
      <c r="C35" s="532">
        <f>IF('Data Input'!M36="","",'Data Input'!M36)</f>
      </c>
      <c r="D35" s="533">
        <f>IF('Data Input'!N36="","",'Data Input'!N36)</f>
      </c>
      <c r="E35" s="53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6"/>
      <c r="BC35" s="535"/>
      <c r="BD35" s="535"/>
      <c r="BE35" s="535"/>
      <c r="BF35" s="535"/>
      <c r="BG35" s="535"/>
      <c r="BH35" s="535"/>
      <c r="BI35" s="535"/>
      <c r="BJ35" s="535"/>
      <c r="BK35" s="535"/>
      <c r="BL35" s="535"/>
      <c r="BM35" s="535"/>
      <c r="BN35" s="535"/>
      <c r="BO35" s="535"/>
      <c r="BP35" s="535"/>
      <c r="BQ35" s="535"/>
      <c r="BR35" s="535"/>
      <c r="BS35" s="535"/>
      <c r="BT35" s="535"/>
      <c r="BU35" s="535"/>
      <c r="BV35" s="535"/>
      <c r="BW35" s="535"/>
      <c r="BX35" s="535"/>
      <c r="BY35" s="535"/>
      <c r="BZ35" s="535"/>
      <c r="CA35" s="535"/>
      <c r="CB35" s="535"/>
      <c r="CC35" s="535"/>
      <c r="CD35" s="535"/>
      <c r="CE35" s="535"/>
      <c r="CF35" s="535"/>
      <c r="CG35" s="535"/>
      <c r="CH35" s="535"/>
      <c r="CI35" s="535"/>
      <c r="CJ35" s="535"/>
      <c r="CK35" s="535"/>
      <c r="CL35" s="535"/>
      <c r="CM35" s="535"/>
      <c r="CN35" s="535"/>
      <c r="CO35" s="535"/>
      <c r="CP35" s="535"/>
      <c r="CQ35" s="535"/>
      <c r="CR35" s="535"/>
      <c r="CS35" s="535"/>
      <c r="CT35" s="535"/>
      <c r="CU35" s="535"/>
      <c r="CV35" s="535"/>
      <c r="CW35" s="535"/>
      <c r="CX35" s="535"/>
      <c r="CY35" s="535"/>
      <c r="CZ35" s="537"/>
      <c r="DA35" s="538">
        <f t="array" ref="DA35">IF(D35="","",
 IF($DO$3="Error","Error",
 IF(OR(
 SUM(($E$4:$CZ$4="")*(E35:CZ35&lt;&gt;""))&gt;0,
 SUM(($E$5:$CZ$5="")*(E35:CZ35&lt;&gt;""))&gt;0,
 COUNTA(E35:CZ35)&gt;$DO$3,
 SUMPRODUCT((E35:CZ35&lt;&gt;"")*(ISNA(MATCH(E35:CZ35,{"P","A","L","E","D"},0))))&gt;0),"Error",
 IF(COUNTIFS($E$5:$CZ$5,"T1",E35:CZ35,$DA$5)=0,"--",
 COUNTIFS($E$5:$CZ$5,"T1",E35:CZ35,$DA$5)))))</f>
      </c>
      <c r="DB35" s="539">
        <f t="array" ref="DB35">IF(D35="","",
 IF($DO$3="Error","Error",
 IF(OR(
 SUM(($E$4:$CZ$4="")*(E35:CZ35&lt;&gt;""))&gt;0,
 SUM(($E$5:$CZ$5="")*(E35:CZ35&lt;&gt;""))&gt;0,
 COUNTA(E35:CZ35)&gt;$DO$3,
 SUMPRODUCT((E35:CZ35&lt;&gt;"")*(ISNA(MATCH(E35:CZ35,{"P","A","L","E","D"},0))))&gt;0),"Error",
 IF(COUNTIFS($E$5:$CZ$5,"T1",E35:CZ35,$DB$5)=0,"--",
 COUNTIFS($E$5:$CZ$5,"T1",E35:CZ35,$DB$5)))))</f>
      </c>
      <c r="DC35" s="539">
        <f t="array" ref="DC35">IF(D35="","",
 IF($DO$3="Error","Error",
 IF(OR(
 SUM(($E$4:$CZ$4="")*(E35:CZ35&lt;&gt;""))&gt;0,
 SUM(($E$5:$CZ$5="")*(E35:CZ35&lt;&gt;""))&gt;0,
 COUNTA(E35:CZ35)&gt;$DO$3,
 SUMPRODUCT((E35:CZ35&lt;&gt;"")*(ISNA(MATCH(E35:CZ35,{"P","A","L","E","D"},0))))&gt;0),"Error",
 IF(COUNTIFS($E$5:$CZ$5,"T1",E35:CZ35,$DC$5)=0,"--",
 COUNTIFS($E$5:$CZ$5,"T1",E35:CZ35,$DC$5)))))</f>
      </c>
      <c r="DD35" s="540">
        <f t="array" ref="DD35">IF(D35="","",
 IF($DO$3="Error","Error",
 IF(OR(
 SUM(($E$4:$CZ$4="")*(E35:CZ35&lt;&gt;""))&gt;0,
 SUM(($E$5:$CZ$5="")*(E35:CZ35&lt;&gt;""))&gt;0,
 COUNTA(E35:CZ35)&gt;$DO$3,
 SUMPRODUCT((E35:CZ35&lt;&gt;"")*(ISNA(MATCH(E35:CZ35,{"P","A","L","E","D"},0))))&gt;0),"Error",
 IF(COUNTIFS($E$5:$CZ$5,"T1",E35:CZ35,$DD$5)=0,"--",
 COUNTIFS($E$5:$CZ$5,"T1",E35:CZ35,$DD$5)))))</f>
      </c>
      <c r="DE35" s="541">
        <f t="array" ref="DE35">IF(D35="","",
 IF($DO$3="Error","Error",
 IF(OR(
 SUM(($E$4:$CZ$4="")*(E35:CZ35&lt;&gt;""))&gt;0,
 SUM(($E$5:$CZ$5="")*(E35:CZ35&lt;&gt;""))&gt;0,
 COUNTA(E35:CZ35)&gt;$DO$3,
 SUMPRODUCT((E35:CZ35&lt;&gt;"")*(ISNA(MATCH(E35:CZ35,{"P","A","L","E","D"},0))))&gt;0),"Error",
 IF(COUNTIFS($E$5:$CZ$5,"T2",E35:CZ35,$DE$5)=0,"--",
 COUNTIFS($E$5:$CZ$5,"T2",E35:CZ35,$DE$5)))))</f>
      </c>
      <c r="DF35" s="539">
        <f t="array" ref="DF35">IF(D35="","",
 IF($DO$3="Error","Error",
 IF(OR(
 SUM(($E$4:$CZ$4="")*(E35:CZ35&lt;&gt;""))&gt;0,
 SUM(($E$5:$CZ$5="")*(E35:CZ35&lt;&gt;""))&gt;0,
 COUNTA(E35:CZ35)&gt;$DO$3,
 SUMPRODUCT((E35:CZ35&lt;&gt;"")*(ISNA(MATCH(E35:CZ35,{"P","A","L","E","D"},0))))&gt;0),"Error",
 IF(COUNTIFS($E$5:$CZ$5,"T2",E35:CZ35,$DF$5)=0,"--",
 COUNTIFS($E$5:$CZ$5,"T2",E35:CZ35,$DF$5)))))</f>
      </c>
      <c r="DG35" s="539">
        <f t="array" ref="DG35">IF(D35="","",
 IF($DO$3="Error","Error",
 IF(OR(
 SUM(($E$4:$CZ$4="")*(E35:CZ35&lt;&gt;""))&gt;0,
 SUM(($E$5:$CZ$5="")*(E35:CZ35&lt;&gt;""))&gt;0,
 COUNTA(E35:CZ35)&gt;$DO$3,
 SUMPRODUCT((E35:CZ35&lt;&gt;"")*(ISNA(MATCH(E35:CZ35,{"P","A","L","E","D"},0))))&gt;0),"Error",
 IF(COUNTIFS($E$5:$CZ$5,"T2",E35:CZ35,$DG$5)=0,"--",
 COUNTIFS($E$5:$CZ$5,"T2",E35:CZ35,$DG$5)))))</f>
      </c>
      <c r="DH35" s="542">
        <f t="array" ref="DH35">IF(D35="","",
 IF($DO$3="Error","Error",
 IF(OR(
 SUM(($E$4:$CZ$4="")*(E35:CZ35&lt;&gt;""))&gt;0,
 SUM(($E$5:$CZ$5="")*(E35:CZ35&lt;&gt;""))&gt;0,
 COUNTA(E35:CZ35)&gt;$DO$3,
 SUMPRODUCT((E35:CZ35&lt;&gt;"")*(ISNA(MATCH(E35:CZ35,{"P","A","L","E","D"},0))))&gt;0),"Error",
 IF(COUNTIFS($E$5:$CZ$5,"T2",E35:CZ35,$DH$5)=0,"--",
 COUNTIFS($E$5:$CZ$5,"T2",E35:CZ35,$DH$5)))))</f>
      </c>
      <c r="DI35" s="543">
        <f t="array" ref="DI35">IF(D35="","",
 IF($DO$3="Error","Error",
 IF(OR(
 SUM(($E$4:$CZ$4="")*(E35:CZ35&lt;&gt;""))&gt;0,
 SUM(($E$5:$CZ$5="")*(E35:CZ35&lt;&gt;""))&gt;0,
 COUNTA(E35:CZ35)&gt;$DO$3,
 SUMPRODUCT((E35:CZ35&lt;&gt;"")*(ISNA(MATCH(E35:CZ35,{"P","A","L","E","D"},0))))&gt;0),"Error",
 IF(COUNTIFS($E$5:$CZ$5,"T3",E35:CZ35,$DI$5)=0,"--",
 COUNTIFS($E$5:$CZ$5,"T3",E35:CZ35,$DI$5)))))</f>
      </c>
      <c r="DJ35" s="539">
        <f t="array" ref="DJ35">IF(D35="","",
 IF($DO$3="Error","Error",
 IF(OR(
 SUM(($E$4:$CZ$4="")*(E35:CZ35&lt;&gt;""))&gt;0,
 SUM(($E$5:$CZ$5="")*(E35:CZ35&lt;&gt;""))&gt;0,
 COUNTA(E35:CZ35)&gt;$DO$3,
 SUMPRODUCT((E35:CZ35&lt;&gt;"")*(ISNA(MATCH(E35:CZ35,{"P","A","L","E","D"},0))))&gt;0),"Error",
 IF(COUNTIFS($E$5:$CZ$5,"T3",E35:CZ35,$DJ$5)=0,"--",
 COUNTIFS($E$5:$CZ$5,"T3",E35:CZ35,$DJ$5)))))</f>
      </c>
      <c r="DK35" s="539">
        <f t="array" ref="DK35">IF(D35="","",
 IF($DO$3="Error","Error",
 IF(OR(
 SUM(($E$4:$CZ$4="")*(E35:CZ35&lt;&gt;""))&gt;0,
 SUM(($E$5:$CZ$5="")*(E35:CZ35&lt;&gt;""))&gt;0,
 COUNTA(E35:CZ35)&gt;$DO$3,
 SUMPRODUCT((E35:CZ35&lt;&gt;"")*(ISNA(MATCH(E35:CZ35,{"P","A","L","E","D"},0))))&gt;0),"Error",
 IF(COUNTIFS($E$5:$CZ$5,"T3",E35:CZ35,$DK$5)=0,"--",
 COUNTIFS($E$5:$CZ$5,"T3",E35:CZ35,$DK$5)))))</f>
      </c>
      <c r="DL35" s="540">
        <f t="array" ref="DL35">IF(D35="","",
 IF($DO$3="Error","Error",
 IF(OR(
 SUM(($E$4:$CZ$4="")*(E35:CZ35&lt;&gt;""))&gt;0,
 SUM(($E$5:$CZ$5="")*(E35:CZ35&lt;&gt;""))&gt;0,
 COUNTA(E35:CZ35)&gt;$DO$3,
 SUMPRODUCT((E35:CZ35&lt;&gt;"")*(ISNA(MATCH(E35:CZ35,{"P","A","L","E","D"},0))))&gt;0),"Error",
 IF(COUNTIFS($E$5:$CZ$5,"T3",E35:CZ35,$DL$5)=0,"--",
 COUNTIFS($E$5:$CZ$5,"T3",E35:CZ35,$DL$5)))))</f>
      </c>
      <c r="DM35" s="530">
        <f t="array" ref="DM35">IF(COUNTIF(DA35:DL35,"Error")&gt;0,"Error",
 IF(AND(D35="",COUNTA(E35:CZ35)&gt;0),"Error",
 IF(COUNTIF(E35:CZ35,"D")&gt;0,"DRP",
 IF(OR(SUM(COUNTIF(E35:CZ35,{"P","A","L","E"}))&gt;0,AND(D35&lt;&gt;"",COUNTA(E35:CZ35)=0)),"Active",""))))</f>
      </c>
      <c r="DN35" s="531"/>
    </row>
    <row r="36" ht="15.95" customHeight="1" spans="2:118" x14ac:dyDescent="0.25">
      <c r="B36" s="471">
        <v>31</v>
      </c>
      <c r="C36" s="532">
        <f>IF('Data Input'!M37="","",'Data Input'!M37)</f>
      </c>
      <c r="D36" s="533">
        <f>IF('Data Input'!N37="","",'Data Input'!N37)</f>
      </c>
      <c r="E36" s="534"/>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535"/>
      <c r="AH36" s="535"/>
      <c r="AI36" s="535"/>
      <c r="AJ36" s="535"/>
      <c r="AK36" s="535"/>
      <c r="AL36" s="535"/>
      <c r="AM36" s="535"/>
      <c r="AN36" s="535"/>
      <c r="AO36" s="535"/>
      <c r="AP36" s="535"/>
      <c r="AQ36" s="535"/>
      <c r="AR36" s="535"/>
      <c r="AS36" s="535"/>
      <c r="AT36" s="535"/>
      <c r="AU36" s="535"/>
      <c r="AV36" s="535"/>
      <c r="AW36" s="535"/>
      <c r="AX36" s="535"/>
      <c r="AY36" s="535"/>
      <c r="AZ36" s="535"/>
      <c r="BA36" s="535"/>
      <c r="BB36" s="536"/>
      <c r="BC36" s="535"/>
      <c r="BD36" s="535"/>
      <c r="BE36" s="535"/>
      <c r="BF36" s="535"/>
      <c r="BG36" s="535"/>
      <c r="BH36" s="535"/>
      <c r="BI36" s="535"/>
      <c r="BJ36" s="535"/>
      <c r="BK36" s="535"/>
      <c r="BL36" s="535"/>
      <c r="BM36" s="535"/>
      <c r="BN36" s="535"/>
      <c r="BO36" s="535"/>
      <c r="BP36" s="535"/>
      <c r="BQ36" s="535"/>
      <c r="BR36" s="535"/>
      <c r="BS36" s="535"/>
      <c r="BT36" s="535"/>
      <c r="BU36" s="535"/>
      <c r="BV36" s="535"/>
      <c r="BW36" s="535"/>
      <c r="BX36" s="535"/>
      <c r="BY36" s="535"/>
      <c r="BZ36" s="535"/>
      <c r="CA36" s="535"/>
      <c r="CB36" s="535"/>
      <c r="CC36" s="535"/>
      <c r="CD36" s="535"/>
      <c r="CE36" s="535"/>
      <c r="CF36" s="535"/>
      <c r="CG36" s="535"/>
      <c r="CH36" s="535"/>
      <c r="CI36" s="535"/>
      <c r="CJ36" s="535"/>
      <c r="CK36" s="535"/>
      <c r="CL36" s="535"/>
      <c r="CM36" s="535"/>
      <c r="CN36" s="535"/>
      <c r="CO36" s="535"/>
      <c r="CP36" s="535"/>
      <c r="CQ36" s="535"/>
      <c r="CR36" s="535"/>
      <c r="CS36" s="535"/>
      <c r="CT36" s="535"/>
      <c r="CU36" s="535"/>
      <c r="CV36" s="535"/>
      <c r="CW36" s="535"/>
      <c r="CX36" s="535"/>
      <c r="CY36" s="535"/>
      <c r="CZ36" s="537"/>
      <c r="DA36" s="538">
        <f t="array" ref="DA36">IF(D36="","",
 IF($DO$3="Error","Error",
 IF(OR(
 SUM(($E$4:$CZ$4="")*(E36:CZ36&lt;&gt;""))&gt;0,
 SUM(($E$5:$CZ$5="")*(E36:CZ36&lt;&gt;""))&gt;0,
 COUNTA(E36:CZ36)&gt;$DO$3,
 SUMPRODUCT((E36:CZ36&lt;&gt;"")*(ISNA(MATCH(E36:CZ36,{"P","A","L","E","D"},0))))&gt;0),"Error",
 IF(COUNTIFS($E$5:$CZ$5,"T1",E36:CZ36,$DA$5)=0,"--",
 COUNTIFS($E$5:$CZ$5,"T1",E36:CZ36,$DA$5)))))</f>
      </c>
      <c r="DB36" s="539">
        <f t="array" ref="DB36">IF(D36="","",
 IF($DO$3="Error","Error",
 IF(OR(
 SUM(($E$4:$CZ$4="")*(E36:CZ36&lt;&gt;""))&gt;0,
 SUM(($E$5:$CZ$5="")*(E36:CZ36&lt;&gt;""))&gt;0,
 COUNTA(E36:CZ36)&gt;$DO$3,
 SUMPRODUCT((E36:CZ36&lt;&gt;"")*(ISNA(MATCH(E36:CZ36,{"P","A","L","E","D"},0))))&gt;0),"Error",
 IF(COUNTIFS($E$5:$CZ$5,"T1",E36:CZ36,$DB$5)=0,"--",
 COUNTIFS($E$5:$CZ$5,"T1",E36:CZ36,$DB$5)))))</f>
      </c>
      <c r="DC36" s="539">
        <f t="array" ref="DC36">IF(D36="","",
 IF($DO$3="Error","Error",
 IF(OR(
 SUM(($E$4:$CZ$4="")*(E36:CZ36&lt;&gt;""))&gt;0,
 SUM(($E$5:$CZ$5="")*(E36:CZ36&lt;&gt;""))&gt;0,
 COUNTA(E36:CZ36)&gt;$DO$3,
 SUMPRODUCT((E36:CZ36&lt;&gt;"")*(ISNA(MATCH(E36:CZ36,{"P","A","L","E","D"},0))))&gt;0),"Error",
 IF(COUNTIFS($E$5:$CZ$5,"T1",E36:CZ36,$DC$5)=0,"--",
 COUNTIFS($E$5:$CZ$5,"T1",E36:CZ36,$DC$5)))))</f>
      </c>
      <c r="DD36" s="540">
        <f t="array" ref="DD36">IF(D36="","",
 IF($DO$3="Error","Error",
 IF(OR(
 SUM(($E$4:$CZ$4="")*(E36:CZ36&lt;&gt;""))&gt;0,
 SUM(($E$5:$CZ$5="")*(E36:CZ36&lt;&gt;""))&gt;0,
 COUNTA(E36:CZ36)&gt;$DO$3,
 SUMPRODUCT((E36:CZ36&lt;&gt;"")*(ISNA(MATCH(E36:CZ36,{"P","A","L","E","D"},0))))&gt;0),"Error",
 IF(COUNTIFS($E$5:$CZ$5,"T1",E36:CZ36,$DD$5)=0,"--",
 COUNTIFS($E$5:$CZ$5,"T1",E36:CZ36,$DD$5)))))</f>
      </c>
      <c r="DE36" s="541">
        <f t="array" ref="DE36">IF(D36="","",
 IF($DO$3="Error","Error",
 IF(OR(
 SUM(($E$4:$CZ$4="")*(E36:CZ36&lt;&gt;""))&gt;0,
 SUM(($E$5:$CZ$5="")*(E36:CZ36&lt;&gt;""))&gt;0,
 COUNTA(E36:CZ36)&gt;$DO$3,
 SUMPRODUCT((E36:CZ36&lt;&gt;"")*(ISNA(MATCH(E36:CZ36,{"P","A","L","E","D"},0))))&gt;0),"Error",
 IF(COUNTIFS($E$5:$CZ$5,"T2",E36:CZ36,$DE$5)=0,"--",
 COUNTIFS($E$5:$CZ$5,"T2",E36:CZ36,$DE$5)))))</f>
      </c>
      <c r="DF36" s="539">
        <f t="array" ref="DF36">IF(D36="","",
 IF($DO$3="Error","Error",
 IF(OR(
 SUM(($E$4:$CZ$4="")*(E36:CZ36&lt;&gt;""))&gt;0,
 SUM(($E$5:$CZ$5="")*(E36:CZ36&lt;&gt;""))&gt;0,
 COUNTA(E36:CZ36)&gt;$DO$3,
 SUMPRODUCT((E36:CZ36&lt;&gt;"")*(ISNA(MATCH(E36:CZ36,{"P","A","L","E","D"},0))))&gt;0),"Error",
 IF(COUNTIFS($E$5:$CZ$5,"T2",E36:CZ36,$DF$5)=0,"--",
 COUNTIFS($E$5:$CZ$5,"T2",E36:CZ36,$DF$5)))))</f>
      </c>
      <c r="DG36" s="539">
        <f t="array" ref="DG36">IF(D36="","",
 IF($DO$3="Error","Error",
 IF(OR(
 SUM(($E$4:$CZ$4="")*(E36:CZ36&lt;&gt;""))&gt;0,
 SUM(($E$5:$CZ$5="")*(E36:CZ36&lt;&gt;""))&gt;0,
 COUNTA(E36:CZ36)&gt;$DO$3,
 SUMPRODUCT((E36:CZ36&lt;&gt;"")*(ISNA(MATCH(E36:CZ36,{"P","A","L","E","D"},0))))&gt;0),"Error",
 IF(COUNTIFS($E$5:$CZ$5,"T2",E36:CZ36,$DG$5)=0,"--",
 COUNTIFS($E$5:$CZ$5,"T2",E36:CZ36,$DG$5)))))</f>
      </c>
      <c r="DH36" s="542">
        <f t="array" ref="DH36">IF(D36="","",
 IF($DO$3="Error","Error",
 IF(OR(
 SUM(($E$4:$CZ$4="")*(E36:CZ36&lt;&gt;""))&gt;0,
 SUM(($E$5:$CZ$5="")*(E36:CZ36&lt;&gt;""))&gt;0,
 COUNTA(E36:CZ36)&gt;$DO$3,
 SUMPRODUCT((E36:CZ36&lt;&gt;"")*(ISNA(MATCH(E36:CZ36,{"P","A","L","E","D"},0))))&gt;0),"Error",
 IF(COUNTIFS($E$5:$CZ$5,"T2",E36:CZ36,$DH$5)=0,"--",
 COUNTIFS($E$5:$CZ$5,"T2",E36:CZ36,$DH$5)))))</f>
      </c>
      <c r="DI36" s="543">
        <f t="array" ref="DI36">IF(D36="","",
 IF($DO$3="Error","Error",
 IF(OR(
 SUM(($E$4:$CZ$4="")*(E36:CZ36&lt;&gt;""))&gt;0,
 SUM(($E$5:$CZ$5="")*(E36:CZ36&lt;&gt;""))&gt;0,
 COUNTA(E36:CZ36)&gt;$DO$3,
 SUMPRODUCT((E36:CZ36&lt;&gt;"")*(ISNA(MATCH(E36:CZ36,{"P","A","L","E","D"},0))))&gt;0),"Error",
 IF(COUNTIFS($E$5:$CZ$5,"T3",E36:CZ36,$DI$5)=0,"--",
 COUNTIFS($E$5:$CZ$5,"T3",E36:CZ36,$DI$5)))))</f>
      </c>
      <c r="DJ36" s="539">
        <f t="array" ref="DJ36">IF(D36="","",
 IF($DO$3="Error","Error",
 IF(OR(
 SUM(($E$4:$CZ$4="")*(E36:CZ36&lt;&gt;""))&gt;0,
 SUM(($E$5:$CZ$5="")*(E36:CZ36&lt;&gt;""))&gt;0,
 COUNTA(E36:CZ36)&gt;$DO$3,
 SUMPRODUCT((E36:CZ36&lt;&gt;"")*(ISNA(MATCH(E36:CZ36,{"P","A","L","E","D"},0))))&gt;0),"Error",
 IF(COUNTIFS($E$5:$CZ$5,"T3",E36:CZ36,$DJ$5)=0,"--",
 COUNTIFS($E$5:$CZ$5,"T3",E36:CZ36,$DJ$5)))))</f>
      </c>
      <c r="DK36" s="539">
        <f t="array" ref="DK36">IF(D36="","",
 IF($DO$3="Error","Error",
 IF(OR(
 SUM(($E$4:$CZ$4="")*(E36:CZ36&lt;&gt;""))&gt;0,
 SUM(($E$5:$CZ$5="")*(E36:CZ36&lt;&gt;""))&gt;0,
 COUNTA(E36:CZ36)&gt;$DO$3,
 SUMPRODUCT((E36:CZ36&lt;&gt;"")*(ISNA(MATCH(E36:CZ36,{"P","A","L","E","D"},0))))&gt;0),"Error",
 IF(COUNTIFS($E$5:$CZ$5,"T3",E36:CZ36,$DK$5)=0,"--",
 COUNTIFS($E$5:$CZ$5,"T3",E36:CZ36,$DK$5)))))</f>
      </c>
      <c r="DL36" s="540">
        <f t="array" ref="DL36">IF(D36="","",
 IF($DO$3="Error","Error",
 IF(OR(
 SUM(($E$4:$CZ$4="")*(E36:CZ36&lt;&gt;""))&gt;0,
 SUM(($E$5:$CZ$5="")*(E36:CZ36&lt;&gt;""))&gt;0,
 COUNTA(E36:CZ36)&gt;$DO$3,
 SUMPRODUCT((E36:CZ36&lt;&gt;"")*(ISNA(MATCH(E36:CZ36,{"P","A","L","E","D"},0))))&gt;0),"Error",
 IF(COUNTIFS($E$5:$CZ$5,"T3",E36:CZ36,$DL$5)=0,"--",
 COUNTIFS($E$5:$CZ$5,"T3",E36:CZ36,$DL$5)))))</f>
      </c>
      <c r="DM36" s="530">
        <f t="array" ref="DM36">IF(COUNTIF(DA36:DL36,"Error")&gt;0,"Error",
 IF(AND(D36="",COUNTA(E36:CZ36)&gt;0),"Error",
 IF(COUNTIF(E36:CZ36,"D")&gt;0,"DRP",
 IF(OR(SUM(COUNTIF(E36:CZ36,{"P","A","L","E"}))&gt;0,AND(D36&lt;&gt;"",COUNTA(E36:CZ36)=0)),"Active",""))))</f>
      </c>
      <c r="DN36" s="531"/>
    </row>
    <row r="37" ht="15.95" customHeight="1" spans="2:118" x14ac:dyDescent="0.25">
      <c r="B37" s="471">
        <v>32</v>
      </c>
      <c r="C37" s="532">
        <f>IF('Data Input'!M38="","",'Data Input'!M38)</f>
      </c>
      <c r="D37" s="533">
        <f>IF('Data Input'!N38="","",'Data Input'!N38)</f>
      </c>
      <c r="E37" s="534"/>
      <c r="F37" s="535"/>
      <c r="G37" s="535"/>
      <c r="H37" s="535"/>
      <c r="I37" s="535"/>
      <c r="J37" s="535"/>
      <c r="K37" s="535"/>
      <c r="L37" s="535"/>
      <c r="M37" s="535"/>
      <c r="N37" s="535"/>
      <c r="O37" s="535"/>
      <c r="P37" s="535"/>
      <c r="Q37" s="535"/>
      <c r="R37" s="535"/>
      <c r="S37" s="535"/>
      <c r="T37" s="535"/>
      <c r="U37" s="535"/>
      <c r="V37" s="535"/>
      <c r="W37" s="535"/>
      <c r="X37" s="535"/>
      <c r="Y37" s="535"/>
      <c r="Z37" s="535"/>
      <c r="AA37" s="535"/>
      <c r="AB37" s="535"/>
      <c r="AC37" s="535"/>
      <c r="AD37" s="535"/>
      <c r="AE37" s="535"/>
      <c r="AF37" s="535"/>
      <c r="AG37" s="535"/>
      <c r="AH37" s="535"/>
      <c r="AI37" s="535"/>
      <c r="AJ37" s="535"/>
      <c r="AK37" s="535"/>
      <c r="AL37" s="535"/>
      <c r="AM37" s="535"/>
      <c r="AN37" s="535"/>
      <c r="AO37" s="535"/>
      <c r="AP37" s="535"/>
      <c r="AQ37" s="535"/>
      <c r="AR37" s="535"/>
      <c r="AS37" s="535"/>
      <c r="AT37" s="535"/>
      <c r="AU37" s="535"/>
      <c r="AV37" s="535"/>
      <c r="AW37" s="535"/>
      <c r="AX37" s="535"/>
      <c r="AY37" s="535"/>
      <c r="AZ37" s="535"/>
      <c r="BA37" s="535"/>
      <c r="BB37" s="536"/>
      <c r="BC37" s="535"/>
      <c r="BD37" s="535"/>
      <c r="BE37" s="535"/>
      <c r="BF37" s="535"/>
      <c r="BG37" s="535"/>
      <c r="BH37" s="535"/>
      <c r="BI37" s="535"/>
      <c r="BJ37" s="535"/>
      <c r="BK37" s="535"/>
      <c r="BL37" s="535"/>
      <c r="BM37" s="535"/>
      <c r="BN37" s="535"/>
      <c r="BO37" s="535"/>
      <c r="BP37" s="535"/>
      <c r="BQ37" s="535"/>
      <c r="BR37" s="535"/>
      <c r="BS37" s="535"/>
      <c r="BT37" s="535"/>
      <c r="BU37" s="535"/>
      <c r="BV37" s="535"/>
      <c r="BW37" s="535"/>
      <c r="BX37" s="535"/>
      <c r="BY37" s="535"/>
      <c r="BZ37" s="535"/>
      <c r="CA37" s="535"/>
      <c r="CB37" s="535"/>
      <c r="CC37" s="535"/>
      <c r="CD37" s="535"/>
      <c r="CE37" s="535"/>
      <c r="CF37" s="535"/>
      <c r="CG37" s="535"/>
      <c r="CH37" s="535"/>
      <c r="CI37" s="535"/>
      <c r="CJ37" s="535"/>
      <c r="CK37" s="535"/>
      <c r="CL37" s="535"/>
      <c r="CM37" s="535"/>
      <c r="CN37" s="535"/>
      <c r="CO37" s="535"/>
      <c r="CP37" s="535"/>
      <c r="CQ37" s="535"/>
      <c r="CR37" s="535"/>
      <c r="CS37" s="535"/>
      <c r="CT37" s="535"/>
      <c r="CU37" s="535"/>
      <c r="CV37" s="535"/>
      <c r="CW37" s="535"/>
      <c r="CX37" s="535"/>
      <c r="CY37" s="535"/>
      <c r="CZ37" s="537"/>
      <c r="DA37" s="538">
        <f t="array" ref="DA37">IF(D37="","",
 IF($DO$3="Error","Error",
 IF(OR(
 SUM(($E$4:$CZ$4="")*(E37:CZ37&lt;&gt;""))&gt;0,
 SUM(($E$5:$CZ$5="")*(E37:CZ37&lt;&gt;""))&gt;0,
 COUNTA(E37:CZ37)&gt;$DO$3,
 SUMPRODUCT((E37:CZ37&lt;&gt;"")*(ISNA(MATCH(E37:CZ37,{"P","A","L","E","D"},0))))&gt;0),"Error",
 IF(COUNTIFS($E$5:$CZ$5,"T1",E37:CZ37,$DA$5)=0,"--",
 COUNTIFS($E$5:$CZ$5,"T1",E37:CZ37,$DA$5)))))</f>
      </c>
      <c r="DB37" s="539">
        <f t="array" ref="DB37">IF(D37="","",
 IF($DO$3="Error","Error",
 IF(OR(
 SUM(($E$4:$CZ$4="")*(E37:CZ37&lt;&gt;""))&gt;0,
 SUM(($E$5:$CZ$5="")*(E37:CZ37&lt;&gt;""))&gt;0,
 COUNTA(E37:CZ37)&gt;$DO$3,
 SUMPRODUCT((E37:CZ37&lt;&gt;"")*(ISNA(MATCH(E37:CZ37,{"P","A","L","E","D"},0))))&gt;0),"Error",
 IF(COUNTIFS($E$5:$CZ$5,"T1",E37:CZ37,$DB$5)=0,"--",
 COUNTIFS($E$5:$CZ$5,"T1",E37:CZ37,$DB$5)))))</f>
      </c>
      <c r="DC37" s="539">
        <f t="array" ref="DC37">IF(D37="","",
 IF($DO$3="Error","Error",
 IF(OR(
 SUM(($E$4:$CZ$4="")*(E37:CZ37&lt;&gt;""))&gt;0,
 SUM(($E$5:$CZ$5="")*(E37:CZ37&lt;&gt;""))&gt;0,
 COUNTA(E37:CZ37)&gt;$DO$3,
 SUMPRODUCT((E37:CZ37&lt;&gt;"")*(ISNA(MATCH(E37:CZ37,{"P","A","L","E","D"},0))))&gt;0),"Error",
 IF(COUNTIFS($E$5:$CZ$5,"T1",E37:CZ37,$DC$5)=0,"--",
 COUNTIFS($E$5:$CZ$5,"T1",E37:CZ37,$DC$5)))))</f>
      </c>
      <c r="DD37" s="540">
        <f t="array" ref="DD37">IF(D37="","",
 IF($DO$3="Error","Error",
 IF(OR(
 SUM(($E$4:$CZ$4="")*(E37:CZ37&lt;&gt;""))&gt;0,
 SUM(($E$5:$CZ$5="")*(E37:CZ37&lt;&gt;""))&gt;0,
 COUNTA(E37:CZ37)&gt;$DO$3,
 SUMPRODUCT((E37:CZ37&lt;&gt;"")*(ISNA(MATCH(E37:CZ37,{"P","A","L","E","D"},0))))&gt;0),"Error",
 IF(COUNTIFS($E$5:$CZ$5,"T1",E37:CZ37,$DD$5)=0,"--",
 COUNTIFS($E$5:$CZ$5,"T1",E37:CZ37,$DD$5)))))</f>
      </c>
      <c r="DE37" s="541">
        <f t="array" ref="DE37">IF(D37="","",
 IF($DO$3="Error","Error",
 IF(OR(
 SUM(($E$4:$CZ$4="")*(E37:CZ37&lt;&gt;""))&gt;0,
 SUM(($E$5:$CZ$5="")*(E37:CZ37&lt;&gt;""))&gt;0,
 COUNTA(E37:CZ37)&gt;$DO$3,
 SUMPRODUCT((E37:CZ37&lt;&gt;"")*(ISNA(MATCH(E37:CZ37,{"P","A","L","E","D"},0))))&gt;0),"Error",
 IF(COUNTIFS($E$5:$CZ$5,"T2",E37:CZ37,$DE$5)=0,"--",
 COUNTIFS($E$5:$CZ$5,"T2",E37:CZ37,$DE$5)))))</f>
      </c>
      <c r="DF37" s="539">
        <f t="array" ref="DF37">IF(D37="","",
 IF($DO$3="Error","Error",
 IF(OR(
 SUM(($E$4:$CZ$4="")*(E37:CZ37&lt;&gt;""))&gt;0,
 SUM(($E$5:$CZ$5="")*(E37:CZ37&lt;&gt;""))&gt;0,
 COUNTA(E37:CZ37)&gt;$DO$3,
 SUMPRODUCT((E37:CZ37&lt;&gt;"")*(ISNA(MATCH(E37:CZ37,{"P","A","L","E","D"},0))))&gt;0),"Error",
 IF(COUNTIFS($E$5:$CZ$5,"T2",E37:CZ37,$DF$5)=0,"--",
 COUNTIFS($E$5:$CZ$5,"T2",E37:CZ37,$DF$5)))))</f>
      </c>
      <c r="DG37" s="539">
        <f t="array" ref="DG37">IF(D37="","",
 IF($DO$3="Error","Error",
 IF(OR(
 SUM(($E$4:$CZ$4="")*(E37:CZ37&lt;&gt;""))&gt;0,
 SUM(($E$5:$CZ$5="")*(E37:CZ37&lt;&gt;""))&gt;0,
 COUNTA(E37:CZ37)&gt;$DO$3,
 SUMPRODUCT((E37:CZ37&lt;&gt;"")*(ISNA(MATCH(E37:CZ37,{"P","A","L","E","D"},0))))&gt;0),"Error",
 IF(COUNTIFS($E$5:$CZ$5,"T2",E37:CZ37,$DG$5)=0,"--",
 COUNTIFS($E$5:$CZ$5,"T2",E37:CZ37,$DG$5)))))</f>
      </c>
      <c r="DH37" s="542">
        <f t="array" ref="DH37">IF(D37="","",
 IF($DO$3="Error","Error",
 IF(OR(
 SUM(($E$4:$CZ$4="")*(E37:CZ37&lt;&gt;""))&gt;0,
 SUM(($E$5:$CZ$5="")*(E37:CZ37&lt;&gt;""))&gt;0,
 COUNTA(E37:CZ37)&gt;$DO$3,
 SUMPRODUCT((E37:CZ37&lt;&gt;"")*(ISNA(MATCH(E37:CZ37,{"P","A","L","E","D"},0))))&gt;0),"Error",
 IF(COUNTIFS($E$5:$CZ$5,"T2",E37:CZ37,$DH$5)=0,"--",
 COUNTIFS($E$5:$CZ$5,"T2",E37:CZ37,$DH$5)))))</f>
      </c>
      <c r="DI37" s="543">
        <f t="array" ref="DI37">IF(D37="","",
 IF($DO$3="Error","Error",
 IF(OR(
 SUM(($E$4:$CZ$4="")*(E37:CZ37&lt;&gt;""))&gt;0,
 SUM(($E$5:$CZ$5="")*(E37:CZ37&lt;&gt;""))&gt;0,
 COUNTA(E37:CZ37)&gt;$DO$3,
 SUMPRODUCT((E37:CZ37&lt;&gt;"")*(ISNA(MATCH(E37:CZ37,{"P","A","L","E","D"},0))))&gt;0),"Error",
 IF(COUNTIFS($E$5:$CZ$5,"T3",E37:CZ37,$DI$5)=0,"--",
 COUNTIFS($E$5:$CZ$5,"T3",E37:CZ37,$DI$5)))))</f>
      </c>
      <c r="DJ37" s="539">
        <f t="array" ref="DJ37">IF(D37="","",
 IF($DO$3="Error","Error",
 IF(OR(
 SUM(($E$4:$CZ$4="")*(E37:CZ37&lt;&gt;""))&gt;0,
 SUM(($E$5:$CZ$5="")*(E37:CZ37&lt;&gt;""))&gt;0,
 COUNTA(E37:CZ37)&gt;$DO$3,
 SUMPRODUCT((E37:CZ37&lt;&gt;"")*(ISNA(MATCH(E37:CZ37,{"P","A","L","E","D"},0))))&gt;0),"Error",
 IF(COUNTIFS($E$5:$CZ$5,"T3",E37:CZ37,$DJ$5)=0,"--",
 COUNTIFS($E$5:$CZ$5,"T3",E37:CZ37,$DJ$5)))))</f>
      </c>
      <c r="DK37" s="539">
        <f t="array" ref="DK37">IF(D37="","",
 IF($DO$3="Error","Error",
 IF(OR(
 SUM(($E$4:$CZ$4="")*(E37:CZ37&lt;&gt;""))&gt;0,
 SUM(($E$5:$CZ$5="")*(E37:CZ37&lt;&gt;""))&gt;0,
 COUNTA(E37:CZ37)&gt;$DO$3,
 SUMPRODUCT((E37:CZ37&lt;&gt;"")*(ISNA(MATCH(E37:CZ37,{"P","A","L","E","D"},0))))&gt;0),"Error",
 IF(COUNTIFS($E$5:$CZ$5,"T3",E37:CZ37,$DK$5)=0,"--",
 COUNTIFS($E$5:$CZ$5,"T3",E37:CZ37,$DK$5)))))</f>
      </c>
      <c r="DL37" s="540">
        <f t="array" ref="DL37">IF(D37="","",
 IF($DO$3="Error","Error",
 IF(OR(
 SUM(($E$4:$CZ$4="")*(E37:CZ37&lt;&gt;""))&gt;0,
 SUM(($E$5:$CZ$5="")*(E37:CZ37&lt;&gt;""))&gt;0,
 COUNTA(E37:CZ37)&gt;$DO$3,
 SUMPRODUCT((E37:CZ37&lt;&gt;"")*(ISNA(MATCH(E37:CZ37,{"P","A","L","E","D"},0))))&gt;0),"Error",
 IF(COUNTIFS($E$5:$CZ$5,"T3",E37:CZ37,$DL$5)=0,"--",
 COUNTIFS($E$5:$CZ$5,"T3",E37:CZ37,$DL$5)))))</f>
      </c>
      <c r="DM37" s="530">
        <f t="array" ref="DM37">IF(COUNTIF(DA37:DL37,"Error")&gt;0,"Error",
 IF(AND(D37="",COUNTA(E37:CZ37)&gt;0),"Error",
 IF(COUNTIF(E37:CZ37,"D")&gt;0,"DRP",
 IF(OR(SUM(COUNTIF(E37:CZ37,{"P","A","L","E"}))&gt;0,AND(D37&lt;&gt;"",COUNTA(E37:CZ37)=0)),"Active",""))))</f>
      </c>
      <c r="DN37" s="531"/>
    </row>
    <row r="38" ht="15.95" customHeight="1" spans="2:118" x14ac:dyDescent="0.25">
      <c r="B38" s="471">
        <v>33</v>
      </c>
      <c r="C38" s="532">
        <f>IF('Data Input'!M39="","",'Data Input'!M39)</f>
      </c>
      <c r="D38" s="533">
        <f>IF('Data Input'!N39="","",'Data Input'!N39)</f>
      </c>
      <c r="E38" s="534"/>
      <c r="F38" s="535"/>
      <c r="G38" s="535"/>
      <c r="H38" s="535"/>
      <c r="I38" s="535"/>
      <c r="J38" s="535"/>
      <c r="K38" s="535"/>
      <c r="L38" s="535"/>
      <c r="M38" s="535"/>
      <c r="N38" s="535"/>
      <c r="O38" s="535"/>
      <c r="P38" s="535"/>
      <c r="Q38" s="535"/>
      <c r="R38" s="535"/>
      <c r="S38" s="535"/>
      <c r="T38" s="535"/>
      <c r="U38" s="535"/>
      <c r="V38" s="535"/>
      <c r="W38" s="535"/>
      <c r="X38" s="535"/>
      <c r="Y38" s="535"/>
      <c r="Z38" s="535"/>
      <c r="AA38" s="535"/>
      <c r="AB38" s="535"/>
      <c r="AC38" s="535"/>
      <c r="AD38" s="535"/>
      <c r="AE38" s="535"/>
      <c r="AF38" s="535"/>
      <c r="AG38" s="535"/>
      <c r="AH38" s="535"/>
      <c r="AI38" s="535"/>
      <c r="AJ38" s="535"/>
      <c r="AK38" s="535"/>
      <c r="AL38" s="535"/>
      <c r="AM38" s="535"/>
      <c r="AN38" s="535"/>
      <c r="AO38" s="535"/>
      <c r="AP38" s="535"/>
      <c r="AQ38" s="535"/>
      <c r="AR38" s="535"/>
      <c r="AS38" s="535"/>
      <c r="AT38" s="535"/>
      <c r="AU38" s="535"/>
      <c r="AV38" s="535"/>
      <c r="AW38" s="535"/>
      <c r="AX38" s="535"/>
      <c r="AY38" s="535"/>
      <c r="AZ38" s="535"/>
      <c r="BA38" s="535"/>
      <c r="BB38" s="536"/>
      <c r="BC38" s="535"/>
      <c r="BD38" s="535"/>
      <c r="BE38" s="535"/>
      <c r="BF38" s="535"/>
      <c r="BG38" s="535"/>
      <c r="BH38" s="535"/>
      <c r="BI38" s="535"/>
      <c r="BJ38" s="535"/>
      <c r="BK38" s="535"/>
      <c r="BL38" s="535"/>
      <c r="BM38" s="535"/>
      <c r="BN38" s="535"/>
      <c r="BO38" s="535"/>
      <c r="BP38" s="535"/>
      <c r="BQ38" s="535"/>
      <c r="BR38" s="535"/>
      <c r="BS38" s="535"/>
      <c r="BT38" s="535"/>
      <c r="BU38" s="535"/>
      <c r="BV38" s="535"/>
      <c r="BW38" s="535"/>
      <c r="BX38" s="535"/>
      <c r="BY38" s="535"/>
      <c r="BZ38" s="535"/>
      <c r="CA38" s="535"/>
      <c r="CB38" s="535"/>
      <c r="CC38" s="535"/>
      <c r="CD38" s="535"/>
      <c r="CE38" s="535"/>
      <c r="CF38" s="535"/>
      <c r="CG38" s="535"/>
      <c r="CH38" s="535"/>
      <c r="CI38" s="535"/>
      <c r="CJ38" s="535"/>
      <c r="CK38" s="535"/>
      <c r="CL38" s="535"/>
      <c r="CM38" s="535"/>
      <c r="CN38" s="535"/>
      <c r="CO38" s="535"/>
      <c r="CP38" s="535"/>
      <c r="CQ38" s="535"/>
      <c r="CR38" s="535"/>
      <c r="CS38" s="535"/>
      <c r="CT38" s="535"/>
      <c r="CU38" s="535"/>
      <c r="CV38" s="535"/>
      <c r="CW38" s="535"/>
      <c r="CX38" s="535"/>
      <c r="CY38" s="535"/>
      <c r="CZ38" s="537"/>
      <c r="DA38" s="538">
        <f t="array" ref="DA38">IF(D38="","",
 IF($DO$3="Error","Error",
 IF(OR(
 SUM(($E$4:$CZ$4="")*(E38:CZ38&lt;&gt;""))&gt;0,
 SUM(($E$5:$CZ$5="")*(E38:CZ38&lt;&gt;""))&gt;0,
 COUNTA(E38:CZ38)&gt;$DO$3,
 SUMPRODUCT((E38:CZ38&lt;&gt;"")*(ISNA(MATCH(E38:CZ38,{"P","A","L","E","D"},0))))&gt;0),"Error",
 IF(COUNTIFS($E$5:$CZ$5,"T1",E38:CZ38,$DA$5)=0,"--",
 COUNTIFS($E$5:$CZ$5,"T1",E38:CZ38,$DA$5)))))</f>
      </c>
      <c r="DB38" s="539">
        <f t="array" ref="DB38">IF(D38="","",
 IF($DO$3="Error","Error",
 IF(OR(
 SUM(($E$4:$CZ$4="")*(E38:CZ38&lt;&gt;""))&gt;0,
 SUM(($E$5:$CZ$5="")*(E38:CZ38&lt;&gt;""))&gt;0,
 COUNTA(E38:CZ38)&gt;$DO$3,
 SUMPRODUCT((E38:CZ38&lt;&gt;"")*(ISNA(MATCH(E38:CZ38,{"P","A","L","E","D"},0))))&gt;0),"Error",
 IF(COUNTIFS($E$5:$CZ$5,"T1",E38:CZ38,$DB$5)=0,"--",
 COUNTIFS($E$5:$CZ$5,"T1",E38:CZ38,$DB$5)))))</f>
      </c>
      <c r="DC38" s="539">
        <f t="array" ref="DC38">IF(D38="","",
 IF($DO$3="Error","Error",
 IF(OR(
 SUM(($E$4:$CZ$4="")*(E38:CZ38&lt;&gt;""))&gt;0,
 SUM(($E$5:$CZ$5="")*(E38:CZ38&lt;&gt;""))&gt;0,
 COUNTA(E38:CZ38)&gt;$DO$3,
 SUMPRODUCT((E38:CZ38&lt;&gt;"")*(ISNA(MATCH(E38:CZ38,{"P","A","L","E","D"},0))))&gt;0),"Error",
 IF(COUNTIFS($E$5:$CZ$5,"T1",E38:CZ38,$DC$5)=0,"--",
 COUNTIFS($E$5:$CZ$5,"T1",E38:CZ38,$DC$5)))))</f>
      </c>
      <c r="DD38" s="540">
        <f t="array" ref="DD38">IF(D38="","",
 IF($DO$3="Error","Error",
 IF(OR(
 SUM(($E$4:$CZ$4="")*(E38:CZ38&lt;&gt;""))&gt;0,
 SUM(($E$5:$CZ$5="")*(E38:CZ38&lt;&gt;""))&gt;0,
 COUNTA(E38:CZ38)&gt;$DO$3,
 SUMPRODUCT((E38:CZ38&lt;&gt;"")*(ISNA(MATCH(E38:CZ38,{"P","A","L","E","D"},0))))&gt;0),"Error",
 IF(COUNTIFS($E$5:$CZ$5,"T1",E38:CZ38,$DD$5)=0,"--",
 COUNTIFS($E$5:$CZ$5,"T1",E38:CZ38,$DD$5)))))</f>
      </c>
      <c r="DE38" s="541">
        <f t="array" ref="DE38">IF(D38="","",
 IF($DO$3="Error","Error",
 IF(OR(
 SUM(($E$4:$CZ$4="")*(E38:CZ38&lt;&gt;""))&gt;0,
 SUM(($E$5:$CZ$5="")*(E38:CZ38&lt;&gt;""))&gt;0,
 COUNTA(E38:CZ38)&gt;$DO$3,
 SUMPRODUCT((E38:CZ38&lt;&gt;"")*(ISNA(MATCH(E38:CZ38,{"P","A","L","E","D"},0))))&gt;0),"Error",
 IF(COUNTIFS($E$5:$CZ$5,"T2",E38:CZ38,$DE$5)=0,"--",
 COUNTIFS($E$5:$CZ$5,"T2",E38:CZ38,$DE$5)))))</f>
      </c>
      <c r="DF38" s="539">
        <f t="array" ref="DF38">IF(D38="","",
 IF($DO$3="Error","Error",
 IF(OR(
 SUM(($E$4:$CZ$4="")*(E38:CZ38&lt;&gt;""))&gt;0,
 SUM(($E$5:$CZ$5="")*(E38:CZ38&lt;&gt;""))&gt;0,
 COUNTA(E38:CZ38)&gt;$DO$3,
 SUMPRODUCT((E38:CZ38&lt;&gt;"")*(ISNA(MATCH(E38:CZ38,{"P","A","L","E","D"},0))))&gt;0),"Error",
 IF(COUNTIFS($E$5:$CZ$5,"T2",E38:CZ38,$DF$5)=0,"--",
 COUNTIFS($E$5:$CZ$5,"T2",E38:CZ38,$DF$5)))))</f>
      </c>
      <c r="DG38" s="539">
        <f t="array" ref="DG38">IF(D38="","",
 IF($DO$3="Error","Error",
 IF(OR(
 SUM(($E$4:$CZ$4="")*(E38:CZ38&lt;&gt;""))&gt;0,
 SUM(($E$5:$CZ$5="")*(E38:CZ38&lt;&gt;""))&gt;0,
 COUNTA(E38:CZ38)&gt;$DO$3,
 SUMPRODUCT((E38:CZ38&lt;&gt;"")*(ISNA(MATCH(E38:CZ38,{"P","A","L","E","D"},0))))&gt;0),"Error",
 IF(COUNTIFS($E$5:$CZ$5,"T2",E38:CZ38,$DG$5)=0,"--",
 COUNTIFS($E$5:$CZ$5,"T2",E38:CZ38,$DG$5)))))</f>
      </c>
      <c r="DH38" s="542">
        <f t="array" ref="DH38">IF(D38="","",
 IF($DO$3="Error","Error",
 IF(OR(
 SUM(($E$4:$CZ$4="")*(E38:CZ38&lt;&gt;""))&gt;0,
 SUM(($E$5:$CZ$5="")*(E38:CZ38&lt;&gt;""))&gt;0,
 COUNTA(E38:CZ38)&gt;$DO$3,
 SUMPRODUCT((E38:CZ38&lt;&gt;"")*(ISNA(MATCH(E38:CZ38,{"P","A","L","E","D"},0))))&gt;0),"Error",
 IF(COUNTIFS($E$5:$CZ$5,"T2",E38:CZ38,$DH$5)=0,"--",
 COUNTIFS($E$5:$CZ$5,"T2",E38:CZ38,$DH$5)))))</f>
      </c>
      <c r="DI38" s="543">
        <f t="array" ref="DI38">IF(D38="","",
 IF($DO$3="Error","Error",
 IF(OR(
 SUM(($E$4:$CZ$4="")*(E38:CZ38&lt;&gt;""))&gt;0,
 SUM(($E$5:$CZ$5="")*(E38:CZ38&lt;&gt;""))&gt;0,
 COUNTA(E38:CZ38)&gt;$DO$3,
 SUMPRODUCT((E38:CZ38&lt;&gt;"")*(ISNA(MATCH(E38:CZ38,{"P","A","L","E","D"},0))))&gt;0),"Error",
 IF(COUNTIFS($E$5:$CZ$5,"T3",E38:CZ38,$DI$5)=0,"--",
 COUNTIFS($E$5:$CZ$5,"T3",E38:CZ38,$DI$5)))))</f>
      </c>
      <c r="DJ38" s="539">
        <f t="array" ref="DJ38">IF(D38="","",
 IF($DO$3="Error","Error",
 IF(OR(
 SUM(($E$4:$CZ$4="")*(E38:CZ38&lt;&gt;""))&gt;0,
 SUM(($E$5:$CZ$5="")*(E38:CZ38&lt;&gt;""))&gt;0,
 COUNTA(E38:CZ38)&gt;$DO$3,
 SUMPRODUCT((E38:CZ38&lt;&gt;"")*(ISNA(MATCH(E38:CZ38,{"P","A","L","E","D"},0))))&gt;0),"Error",
 IF(COUNTIFS($E$5:$CZ$5,"T3",E38:CZ38,$DJ$5)=0,"--",
 COUNTIFS($E$5:$CZ$5,"T3",E38:CZ38,$DJ$5)))))</f>
      </c>
      <c r="DK38" s="539">
        <f t="array" ref="DK38">IF(D38="","",
 IF($DO$3="Error","Error",
 IF(OR(
 SUM(($E$4:$CZ$4="")*(E38:CZ38&lt;&gt;""))&gt;0,
 SUM(($E$5:$CZ$5="")*(E38:CZ38&lt;&gt;""))&gt;0,
 COUNTA(E38:CZ38)&gt;$DO$3,
 SUMPRODUCT((E38:CZ38&lt;&gt;"")*(ISNA(MATCH(E38:CZ38,{"P","A","L","E","D"},0))))&gt;0),"Error",
 IF(COUNTIFS($E$5:$CZ$5,"T3",E38:CZ38,$DK$5)=0,"--",
 COUNTIFS($E$5:$CZ$5,"T3",E38:CZ38,$DK$5)))))</f>
      </c>
      <c r="DL38" s="540">
        <f t="array" ref="DL38">IF(D38="","",
 IF($DO$3="Error","Error",
 IF(OR(
 SUM(($E$4:$CZ$4="")*(E38:CZ38&lt;&gt;""))&gt;0,
 SUM(($E$5:$CZ$5="")*(E38:CZ38&lt;&gt;""))&gt;0,
 COUNTA(E38:CZ38)&gt;$DO$3,
 SUMPRODUCT((E38:CZ38&lt;&gt;"")*(ISNA(MATCH(E38:CZ38,{"P","A","L","E","D"},0))))&gt;0),"Error",
 IF(COUNTIFS($E$5:$CZ$5,"T3",E38:CZ38,$DL$5)=0,"--",
 COUNTIFS($E$5:$CZ$5,"T3",E38:CZ38,$DL$5)))))</f>
      </c>
      <c r="DM38" s="530">
        <f t="array" ref="DM38">IF(COUNTIF(DA38:DL38,"Error")&gt;0,"Error",
 IF(AND(D38="",COUNTA(E38:CZ38)&gt;0),"Error",
 IF(COUNTIF(E38:CZ38,"D")&gt;0,"DRP",
 IF(OR(SUM(COUNTIF(E38:CZ38,{"P","A","L","E"}))&gt;0,AND(D38&lt;&gt;"",COUNTA(E38:CZ38)=0)),"Active",""))))</f>
      </c>
      <c r="DN38" s="531"/>
    </row>
    <row r="39" ht="15.95" customHeight="1" spans="2:118" x14ac:dyDescent="0.25">
      <c r="B39" s="471">
        <v>34</v>
      </c>
      <c r="C39" s="532">
        <f>IF('Data Input'!M40="","",'Data Input'!M40)</f>
      </c>
      <c r="D39" s="533">
        <f>IF('Data Input'!N40="","",'Data Input'!N40)</f>
      </c>
      <c r="E39" s="534"/>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s="535"/>
      <c r="AH39" s="535"/>
      <c r="AI39" s="535"/>
      <c r="AJ39" s="535"/>
      <c r="AK39" s="535"/>
      <c r="AL39" s="535"/>
      <c r="AM39" s="535"/>
      <c r="AN39" s="535"/>
      <c r="AO39" s="535"/>
      <c r="AP39" s="535"/>
      <c r="AQ39" s="535"/>
      <c r="AR39" s="535"/>
      <c r="AS39" s="535"/>
      <c r="AT39" s="535"/>
      <c r="AU39" s="535"/>
      <c r="AV39" s="535"/>
      <c r="AW39" s="535"/>
      <c r="AX39" s="535"/>
      <c r="AY39" s="535"/>
      <c r="AZ39" s="535"/>
      <c r="BA39" s="535"/>
      <c r="BB39" s="536"/>
      <c r="BC39" s="535"/>
      <c r="BD39" s="535"/>
      <c r="BE39" s="535"/>
      <c r="BF39" s="535"/>
      <c r="BG39" s="535"/>
      <c r="BH39" s="535"/>
      <c r="BI39" s="535"/>
      <c r="BJ39" s="535"/>
      <c r="BK39" s="535"/>
      <c r="BL39" s="535"/>
      <c r="BM39" s="535"/>
      <c r="BN39" s="535"/>
      <c r="BO39" s="535"/>
      <c r="BP39" s="535"/>
      <c r="BQ39" s="535"/>
      <c r="BR39" s="535"/>
      <c r="BS39" s="535"/>
      <c r="BT39" s="535"/>
      <c r="BU39" s="535"/>
      <c r="BV39" s="535"/>
      <c r="BW39" s="535"/>
      <c r="BX39" s="535"/>
      <c r="BY39" s="535"/>
      <c r="BZ39" s="535"/>
      <c r="CA39" s="535"/>
      <c r="CB39" s="535"/>
      <c r="CC39" s="535"/>
      <c r="CD39" s="535"/>
      <c r="CE39" s="535"/>
      <c r="CF39" s="535"/>
      <c r="CG39" s="535"/>
      <c r="CH39" s="535"/>
      <c r="CI39" s="535"/>
      <c r="CJ39" s="535"/>
      <c r="CK39" s="535"/>
      <c r="CL39" s="535"/>
      <c r="CM39" s="535"/>
      <c r="CN39" s="535"/>
      <c r="CO39" s="535"/>
      <c r="CP39" s="535"/>
      <c r="CQ39" s="535"/>
      <c r="CR39" s="535"/>
      <c r="CS39" s="535"/>
      <c r="CT39" s="535"/>
      <c r="CU39" s="535"/>
      <c r="CV39" s="535"/>
      <c r="CW39" s="535"/>
      <c r="CX39" s="535"/>
      <c r="CY39" s="535"/>
      <c r="CZ39" s="537"/>
      <c r="DA39" s="538">
        <f t="array" ref="DA39">IF(D39="","",
 IF($DO$3="Error","Error",
 IF(OR(
 SUM(($E$4:$CZ$4="")*(E39:CZ39&lt;&gt;""))&gt;0,
 SUM(($E$5:$CZ$5="")*(E39:CZ39&lt;&gt;""))&gt;0,
 COUNTA(E39:CZ39)&gt;$DO$3,
 SUMPRODUCT((E39:CZ39&lt;&gt;"")*(ISNA(MATCH(E39:CZ39,{"P","A","L","E","D"},0))))&gt;0),"Error",
 IF(COUNTIFS($E$5:$CZ$5,"T1",E39:CZ39,$DA$5)=0,"--",
 COUNTIFS($E$5:$CZ$5,"T1",E39:CZ39,$DA$5)))))</f>
      </c>
      <c r="DB39" s="539">
        <f t="array" ref="DB39">IF(D39="","",
 IF($DO$3="Error","Error",
 IF(OR(
 SUM(($E$4:$CZ$4="")*(E39:CZ39&lt;&gt;""))&gt;0,
 SUM(($E$5:$CZ$5="")*(E39:CZ39&lt;&gt;""))&gt;0,
 COUNTA(E39:CZ39)&gt;$DO$3,
 SUMPRODUCT((E39:CZ39&lt;&gt;"")*(ISNA(MATCH(E39:CZ39,{"P","A","L","E","D"},0))))&gt;0),"Error",
 IF(COUNTIFS($E$5:$CZ$5,"T1",E39:CZ39,$DB$5)=0,"--",
 COUNTIFS($E$5:$CZ$5,"T1",E39:CZ39,$DB$5)))))</f>
      </c>
      <c r="DC39" s="539">
        <f t="array" ref="DC39">IF(D39="","",
 IF($DO$3="Error","Error",
 IF(OR(
 SUM(($E$4:$CZ$4="")*(E39:CZ39&lt;&gt;""))&gt;0,
 SUM(($E$5:$CZ$5="")*(E39:CZ39&lt;&gt;""))&gt;0,
 COUNTA(E39:CZ39)&gt;$DO$3,
 SUMPRODUCT((E39:CZ39&lt;&gt;"")*(ISNA(MATCH(E39:CZ39,{"P","A","L","E","D"},0))))&gt;0),"Error",
 IF(COUNTIFS($E$5:$CZ$5,"T1",E39:CZ39,$DC$5)=0,"--",
 COUNTIFS($E$5:$CZ$5,"T1",E39:CZ39,$DC$5)))))</f>
      </c>
      <c r="DD39" s="540">
        <f t="array" ref="DD39">IF(D39="","",
 IF($DO$3="Error","Error",
 IF(OR(
 SUM(($E$4:$CZ$4="")*(E39:CZ39&lt;&gt;""))&gt;0,
 SUM(($E$5:$CZ$5="")*(E39:CZ39&lt;&gt;""))&gt;0,
 COUNTA(E39:CZ39)&gt;$DO$3,
 SUMPRODUCT((E39:CZ39&lt;&gt;"")*(ISNA(MATCH(E39:CZ39,{"P","A","L","E","D"},0))))&gt;0),"Error",
 IF(COUNTIFS($E$5:$CZ$5,"T1",E39:CZ39,$DD$5)=0,"--",
 COUNTIFS($E$5:$CZ$5,"T1",E39:CZ39,$DD$5)))))</f>
      </c>
      <c r="DE39" s="541">
        <f t="array" ref="DE39">IF(D39="","",
 IF($DO$3="Error","Error",
 IF(OR(
 SUM(($E$4:$CZ$4="")*(E39:CZ39&lt;&gt;""))&gt;0,
 SUM(($E$5:$CZ$5="")*(E39:CZ39&lt;&gt;""))&gt;0,
 COUNTA(E39:CZ39)&gt;$DO$3,
 SUMPRODUCT((E39:CZ39&lt;&gt;"")*(ISNA(MATCH(E39:CZ39,{"P","A","L","E","D"},0))))&gt;0),"Error",
 IF(COUNTIFS($E$5:$CZ$5,"T2",E39:CZ39,$DE$5)=0,"--",
 COUNTIFS($E$5:$CZ$5,"T2",E39:CZ39,$DE$5)))))</f>
      </c>
      <c r="DF39" s="539">
        <f t="array" ref="DF39">IF(D39="","",
 IF($DO$3="Error","Error",
 IF(OR(
 SUM(($E$4:$CZ$4="")*(E39:CZ39&lt;&gt;""))&gt;0,
 SUM(($E$5:$CZ$5="")*(E39:CZ39&lt;&gt;""))&gt;0,
 COUNTA(E39:CZ39)&gt;$DO$3,
 SUMPRODUCT((E39:CZ39&lt;&gt;"")*(ISNA(MATCH(E39:CZ39,{"P","A","L","E","D"},0))))&gt;0),"Error",
 IF(COUNTIFS($E$5:$CZ$5,"T2",E39:CZ39,$DF$5)=0,"--",
 COUNTIFS($E$5:$CZ$5,"T2",E39:CZ39,$DF$5)))))</f>
      </c>
      <c r="DG39" s="539">
        <f t="array" ref="DG39">IF(D39="","",
 IF($DO$3="Error","Error",
 IF(OR(
 SUM(($E$4:$CZ$4="")*(E39:CZ39&lt;&gt;""))&gt;0,
 SUM(($E$5:$CZ$5="")*(E39:CZ39&lt;&gt;""))&gt;0,
 COUNTA(E39:CZ39)&gt;$DO$3,
 SUMPRODUCT((E39:CZ39&lt;&gt;"")*(ISNA(MATCH(E39:CZ39,{"P","A","L","E","D"},0))))&gt;0),"Error",
 IF(COUNTIFS($E$5:$CZ$5,"T2",E39:CZ39,$DG$5)=0,"--",
 COUNTIFS($E$5:$CZ$5,"T2",E39:CZ39,$DG$5)))))</f>
      </c>
      <c r="DH39" s="542">
        <f t="array" ref="DH39">IF(D39="","",
 IF($DO$3="Error","Error",
 IF(OR(
 SUM(($E$4:$CZ$4="")*(E39:CZ39&lt;&gt;""))&gt;0,
 SUM(($E$5:$CZ$5="")*(E39:CZ39&lt;&gt;""))&gt;0,
 COUNTA(E39:CZ39)&gt;$DO$3,
 SUMPRODUCT((E39:CZ39&lt;&gt;"")*(ISNA(MATCH(E39:CZ39,{"P","A","L","E","D"},0))))&gt;0),"Error",
 IF(COUNTIFS($E$5:$CZ$5,"T2",E39:CZ39,$DH$5)=0,"--",
 COUNTIFS($E$5:$CZ$5,"T2",E39:CZ39,$DH$5)))))</f>
      </c>
      <c r="DI39" s="543">
        <f t="array" ref="DI39">IF(D39="","",
 IF($DO$3="Error","Error",
 IF(OR(
 SUM(($E$4:$CZ$4="")*(E39:CZ39&lt;&gt;""))&gt;0,
 SUM(($E$5:$CZ$5="")*(E39:CZ39&lt;&gt;""))&gt;0,
 COUNTA(E39:CZ39)&gt;$DO$3,
 SUMPRODUCT((E39:CZ39&lt;&gt;"")*(ISNA(MATCH(E39:CZ39,{"P","A","L","E","D"},0))))&gt;0),"Error",
 IF(COUNTIFS($E$5:$CZ$5,"T3",E39:CZ39,$DI$5)=0,"--",
 COUNTIFS($E$5:$CZ$5,"T3",E39:CZ39,$DI$5)))))</f>
      </c>
      <c r="DJ39" s="539">
        <f t="array" ref="DJ39">IF(D39="","",
 IF($DO$3="Error","Error",
 IF(OR(
 SUM(($E$4:$CZ$4="")*(E39:CZ39&lt;&gt;""))&gt;0,
 SUM(($E$5:$CZ$5="")*(E39:CZ39&lt;&gt;""))&gt;0,
 COUNTA(E39:CZ39)&gt;$DO$3,
 SUMPRODUCT((E39:CZ39&lt;&gt;"")*(ISNA(MATCH(E39:CZ39,{"P","A","L","E","D"},0))))&gt;0),"Error",
 IF(COUNTIFS($E$5:$CZ$5,"T3",E39:CZ39,$DJ$5)=0,"--",
 COUNTIFS($E$5:$CZ$5,"T3",E39:CZ39,$DJ$5)))))</f>
      </c>
      <c r="DK39" s="539">
        <f t="array" ref="DK39">IF(D39="","",
 IF($DO$3="Error","Error",
 IF(OR(
 SUM(($E$4:$CZ$4="")*(E39:CZ39&lt;&gt;""))&gt;0,
 SUM(($E$5:$CZ$5="")*(E39:CZ39&lt;&gt;""))&gt;0,
 COUNTA(E39:CZ39)&gt;$DO$3,
 SUMPRODUCT((E39:CZ39&lt;&gt;"")*(ISNA(MATCH(E39:CZ39,{"P","A","L","E","D"},0))))&gt;0),"Error",
 IF(COUNTIFS($E$5:$CZ$5,"T3",E39:CZ39,$DK$5)=0,"--",
 COUNTIFS($E$5:$CZ$5,"T3",E39:CZ39,$DK$5)))))</f>
      </c>
      <c r="DL39" s="540">
        <f t="array" ref="DL39">IF(D39="","",
 IF($DO$3="Error","Error",
 IF(OR(
 SUM(($E$4:$CZ$4="")*(E39:CZ39&lt;&gt;""))&gt;0,
 SUM(($E$5:$CZ$5="")*(E39:CZ39&lt;&gt;""))&gt;0,
 COUNTA(E39:CZ39)&gt;$DO$3,
 SUMPRODUCT((E39:CZ39&lt;&gt;"")*(ISNA(MATCH(E39:CZ39,{"P","A","L","E","D"},0))))&gt;0),"Error",
 IF(COUNTIFS($E$5:$CZ$5,"T3",E39:CZ39,$DL$5)=0,"--",
 COUNTIFS($E$5:$CZ$5,"T3",E39:CZ39,$DL$5)))))</f>
      </c>
      <c r="DM39" s="530">
        <f t="array" ref="DM39">IF(COUNTIF(DA39:DL39,"Error")&gt;0,"Error",
 IF(AND(D39="",COUNTA(E39:CZ39)&gt;0),"Error",
 IF(COUNTIF(E39:CZ39,"D")&gt;0,"DRP",
 IF(OR(SUM(COUNTIF(E39:CZ39,{"P","A","L","E"}))&gt;0,AND(D39&lt;&gt;"",COUNTA(E39:CZ39)=0)),"Active",""))))</f>
      </c>
      <c r="DN39" s="531"/>
    </row>
    <row r="40" ht="15.95" customHeight="1" spans="2:118" x14ac:dyDescent="0.25">
      <c r="B40" s="471">
        <v>35</v>
      </c>
      <c r="C40" s="532">
        <f>IF('Data Input'!M41="","",'Data Input'!M41)</f>
      </c>
      <c r="D40" s="533">
        <f>IF('Data Input'!N41="","",'Data Input'!N41)</f>
      </c>
      <c r="E40" s="534"/>
      <c r="F40" s="535"/>
      <c r="G40" s="535"/>
      <c r="H40" s="535"/>
      <c r="I40" s="535"/>
      <c r="J40" s="535"/>
      <c r="K40" s="535"/>
      <c r="L40" s="535"/>
      <c r="M40" s="535"/>
      <c r="N40" s="535"/>
      <c r="O40" s="535"/>
      <c r="P40" s="535"/>
      <c r="Q40" s="535"/>
      <c r="R40" s="535"/>
      <c r="S40" s="535"/>
      <c r="T40" s="535"/>
      <c r="U40" s="535"/>
      <c r="V40" s="535"/>
      <c r="W40" s="535"/>
      <c r="X40" s="535"/>
      <c r="Y40" s="535"/>
      <c r="Z40" s="535"/>
      <c r="AA40" s="535"/>
      <c r="AB40" s="535"/>
      <c r="AC40" s="535"/>
      <c r="AD40" s="535"/>
      <c r="AE40" s="535"/>
      <c r="AF40" s="535"/>
      <c r="AG40" s="535"/>
      <c r="AH40" s="535"/>
      <c r="AI40" s="535"/>
      <c r="AJ40" s="535"/>
      <c r="AK40" s="535"/>
      <c r="AL40" s="535"/>
      <c r="AM40" s="535"/>
      <c r="AN40" s="535"/>
      <c r="AO40" s="535"/>
      <c r="AP40" s="535"/>
      <c r="AQ40" s="535"/>
      <c r="AR40" s="535"/>
      <c r="AS40" s="535"/>
      <c r="AT40" s="535"/>
      <c r="AU40" s="535"/>
      <c r="AV40" s="535"/>
      <c r="AW40" s="535"/>
      <c r="AX40" s="535"/>
      <c r="AY40" s="535"/>
      <c r="AZ40" s="535"/>
      <c r="BA40" s="535"/>
      <c r="BB40" s="536"/>
      <c r="BC40" s="535"/>
      <c r="BD40" s="535"/>
      <c r="BE40" s="535"/>
      <c r="BF40" s="535"/>
      <c r="BG40" s="535"/>
      <c r="BH40" s="535"/>
      <c r="BI40" s="535"/>
      <c r="BJ40" s="535"/>
      <c r="BK40" s="535"/>
      <c r="BL40" s="535"/>
      <c r="BM40" s="535"/>
      <c r="BN40" s="535"/>
      <c r="BO40" s="535"/>
      <c r="BP40" s="535"/>
      <c r="BQ40" s="535"/>
      <c r="BR40" s="535"/>
      <c r="BS40" s="535"/>
      <c r="BT40" s="535"/>
      <c r="BU40" s="535"/>
      <c r="BV40" s="535"/>
      <c r="BW40" s="535"/>
      <c r="BX40" s="535"/>
      <c r="BY40" s="535"/>
      <c r="BZ40" s="535"/>
      <c r="CA40" s="535"/>
      <c r="CB40" s="535"/>
      <c r="CC40" s="535"/>
      <c r="CD40" s="535"/>
      <c r="CE40" s="535"/>
      <c r="CF40" s="535"/>
      <c r="CG40" s="535"/>
      <c r="CH40" s="535"/>
      <c r="CI40" s="535"/>
      <c r="CJ40" s="535"/>
      <c r="CK40" s="535"/>
      <c r="CL40" s="535"/>
      <c r="CM40" s="535"/>
      <c r="CN40" s="535"/>
      <c r="CO40" s="535"/>
      <c r="CP40" s="535"/>
      <c r="CQ40" s="535"/>
      <c r="CR40" s="535"/>
      <c r="CS40" s="535"/>
      <c r="CT40" s="535"/>
      <c r="CU40" s="535"/>
      <c r="CV40" s="535"/>
      <c r="CW40" s="535"/>
      <c r="CX40" s="535"/>
      <c r="CY40" s="535"/>
      <c r="CZ40" s="537"/>
      <c r="DA40" s="538">
        <f t="array" ref="DA40">IF(D40="","",
 IF($DO$3="Error","Error",
 IF(OR(
 SUM(($E$4:$CZ$4="")*(E40:CZ40&lt;&gt;""))&gt;0,
 SUM(($E$5:$CZ$5="")*(E40:CZ40&lt;&gt;""))&gt;0,
 COUNTA(E40:CZ40)&gt;$DO$3,
 SUMPRODUCT((E40:CZ40&lt;&gt;"")*(ISNA(MATCH(E40:CZ40,{"P","A","L","E","D"},0))))&gt;0),"Error",
 IF(COUNTIFS($E$5:$CZ$5,"T1",E40:CZ40,$DA$5)=0,"--",
 COUNTIFS($E$5:$CZ$5,"T1",E40:CZ40,$DA$5)))))</f>
      </c>
      <c r="DB40" s="539">
        <f t="array" ref="DB40">IF(D40="","",
 IF($DO$3="Error","Error",
 IF(OR(
 SUM(($E$4:$CZ$4="")*(E40:CZ40&lt;&gt;""))&gt;0,
 SUM(($E$5:$CZ$5="")*(E40:CZ40&lt;&gt;""))&gt;0,
 COUNTA(E40:CZ40)&gt;$DO$3,
 SUMPRODUCT((E40:CZ40&lt;&gt;"")*(ISNA(MATCH(E40:CZ40,{"P","A","L","E","D"},0))))&gt;0),"Error",
 IF(COUNTIFS($E$5:$CZ$5,"T1",E40:CZ40,$DB$5)=0,"--",
 COUNTIFS($E$5:$CZ$5,"T1",E40:CZ40,$DB$5)))))</f>
      </c>
      <c r="DC40" s="539">
        <f t="array" ref="DC40">IF(D40="","",
 IF($DO$3="Error","Error",
 IF(OR(
 SUM(($E$4:$CZ$4="")*(E40:CZ40&lt;&gt;""))&gt;0,
 SUM(($E$5:$CZ$5="")*(E40:CZ40&lt;&gt;""))&gt;0,
 COUNTA(E40:CZ40)&gt;$DO$3,
 SUMPRODUCT((E40:CZ40&lt;&gt;"")*(ISNA(MATCH(E40:CZ40,{"P","A","L","E","D"},0))))&gt;0),"Error",
 IF(COUNTIFS($E$5:$CZ$5,"T1",E40:CZ40,$DC$5)=0,"--",
 COUNTIFS($E$5:$CZ$5,"T1",E40:CZ40,$DC$5)))))</f>
      </c>
      <c r="DD40" s="540">
        <f t="array" ref="DD40">IF(D40="","",
 IF($DO$3="Error","Error",
 IF(OR(
 SUM(($E$4:$CZ$4="")*(E40:CZ40&lt;&gt;""))&gt;0,
 SUM(($E$5:$CZ$5="")*(E40:CZ40&lt;&gt;""))&gt;0,
 COUNTA(E40:CZ40)&gt;$DO$3,
 SUMPRODUCT((E40:CZ40&lt;&gt;"")*(ISNA(MATCH(E40:CZ40,{"P","A","L","E","D"},0))))&gt;0),"Error",
 IF(COUNTIFS($E$5:$CZ$5,"T1",E40:CZ40,$DD$5)=0,"--",
 COUNTIFS($E$5:$CZ$5,"T1",E40:CZ40,$DD$5)))))</f>
      </c>
      <c r="DE40" s="541">
        <f t="array" ref="DE40">IF(D40="","",
 IF($DO$3="Error","Error",
 IF(OR(
 SUM(($E$4:$CZ$4="")*(E40:CZ40&lt;&gt;""))&gt;0,
 SUM(($E$5:$CZ$5="")*(E40:CZ40&lt;&gt;""))&gt;0,
 COUNTA(E40:CZ40)&gt;$DO$3,
 SUMPRODUCT((E40:CZ40&lt;&gt;"")*(ISNA(MATCH(E40:CZ40,{"P","A","L","E","D"},0))))&gt;0),"Error",
 IF(COUNTIFS($E$5:$CZ$5,"T2",E40:CZ40,$DE$5)=0,"--",
 COUNTIFS($E$5:$CZ$5,"T2",E40:CZ40,$DE$5)))))</f>
      </c>
      <c r="DF40" s="539">
        <f t="array" ref="DF40">IF(D40="","",
 IF($DO$3="Error","Error",
 IF(OR(
 SUM(($E$4:$CZ$4="")*(E40:CZ40&lt;&gt;""))&gt;0,
 SUM(($E$5:$CZ$5="")*(E40:CZ40&lt;&gt;""))&gt;0,
 COUNTA(E40:CZ40)&gt;$DO$3,
 SUMPRODUCT((E40:CZ40&lt;&gt;"")*(ISNA(MATCH(E40:CZ40,{"P","A","L","E","D"},0))))&gt;0),"Error",
 IF(COUNTIFS($E$5:$CZ$5,"T2",E40:CZ40,$DF$5)=0,"--",
 COUNTIFS($E$5:$CZ$5,"T2",E40:CZ40,$DF$5)))))</f>
      </c>
      <c r="DG40" s="539">
        <f t="array" ref="DG40">IF(D40="","",
 IF($DO$3="Error","Error",
 IF(OR(
 SUM(($E$4:$CZ$4="")*(E40:CZ40&lt;&gt;""))&gt;0,
 SUM(($E$5:$CZ$5="")*(E40:CZ40&lt;&gt;""))&gt;0,
 COUNTA(E40:CZ40)&gt;$DO$3,
 SUMPRODUCT((E40:CZ40&lt;&gt;"")*(ISNA(MATCH(E40:CZ40,{"P","A","L","E","D"},0))))&gt;0),"Error",
 IF(COUNTIFS($E$5:$CZ$5,"T2",E40:CZ40,$DG$5)=0,"--",
 COUNTIFS($E$5:$CZ$5,"T2",E40:CZ40,$DG$5)))))</f>
      </c>
      <c r="DH40" s="542">
        <f t="array" ref="DH40">IF(D40="","",
 IF($DO$3="Error","Error",
 IF(OR(
 SUM(($E$4:$CZ$4="")*(E40:CZ40&lt;&gt;""))&gt;0,
 SUM(($E$5:$CZ$5="")*(E40:CZ40&lt;&gt;""))&gt;0,
 COUNTA(E40:CZ40)&gt;$DO$3,
 SUMPRODUCT((E40:CZ40&lt;&gt;"")*(ISNA(MATCH(E40:CZ40,{"P","A","L","E","D"},0))))&gt;0),"Error",
 IF(COUNTIFS($E$5:$CZ$5,"T2",E40:CZ40,$DH$5)=0,"--",
 COUNTIFS($E$5:$CZ$5,"T2",E40:CZ40,$DH$5)))))</f>
      </c>
      <c r="DI40" s="543">
        <f t="array" ref="DI40">IF(D40="","",
 IF($DO$3="Error","Error",
 IF(OR(
 SUM(($E$4:$CZ$4="")*(E40:CZ40&lt;&gt;""))&gt;0,
 SUM(($E$5:$CZ$5="")*(E40:CZ40&lt;&gt;""))&gt;0,
 COUNTA(E40:CZ40)&gt;$DO$3,
 SUMPRODUCT((E40:CZ40&lt;&gt;"")*(ISNA(MATCH(E40:CZ40,{"P","A","L","E","D"},0))))&gt;0),"Error",
 IF(COUNTIFS($E$5:$CZ$5,"T3",E40:CZ40,$DI$5)=0,"--",
 COUNTIFS($E$5:$CZ$5,"T3",E40:CZ40,$DI$5)))))</f>
      </c>
      <c r="DJ40" s="539">
        <f t="array" ref="DJ40">IF(D40="","",
 IF($DO$3="Error","Error",
 IF(OR(
 SUM(($E$4:$CZ$4="")*(E40:CZ40&lt;&gt;""))&gt;0,
 SUM(($E$5:$CZ$5="")*(E40:CZ40&lt;&gt;""))&gt;0,
 COUNTA(E40:CZ40)&gt;$DO$3,
 SUMPRODUCT((E40:CZ40&lt;&gt;"")*(ISNA(MATCH(E40:CZ40,{"P","A","L","E","D"},0))))&gt;0),"Error",
 IF(COUNTIFS($E$5:$CZ$5,"T3",E40:CZ40,$DJ$5)=0,"--",
 COUNTIFS($E$5:$CZ$5,"T3",E40:CZ40,$DJ$5)))))</f>
      </c>
      <c r="DK40" s="539">
        <f t="array" ref="DK40">IF(D40="","",
 IF($DO$3="Error","Error",
 IF(OR(
 SUM(($E$4:$CZ$4="")*(E40:CZ40&lt;&gt;""))&gt;0,
 SUM(($E$5:$CZ$5="")*(E40:CZ40&lt;&gt;""))&gt;0,
 COUNTA(E40:CZ40)&gt;$DO$3,
 SUMPRODUCT((E40:CZ40&lt;&gt;"")*(ISNA(MATCH(E40:CZ40,{"P","A","L","E","D"},0))))&gt;0),"Error",
 IF(COUNTIFS($E$5:$CZ$5,"T3",E40:CZ40,$DK$5)=0,"--",
 COUNTIFS($E$5:$CZ$5,"T3",E40:CZ40,$DK$5)))))</f>
      </c>
      <c r="DL40" s="540">
        <f t="array" ref="DL40">IF(D40="","",
 IF($DO$3="Error","Error",
 IF(OR(
 SUM(($E$4:$CZ$4="")*(E40:CZ40&lt;&gt;""))&gt;0,
 SUM(($E$5:$CZ$5="")*(E40:CZ40&lt;&gt;""))&gt;0,
 COUNTA(E40:CZ40)&gt;$DO$3,
 SUMPRODUCT((E40:CZ40&lt;&gt;"")*(ISNA(MATCH(E40:CZ40,{"P","A","L","E","D"},0))))&gt;0),"Error",
 IF(COUNTIFS($E$5:$CZ$5,"T3",E40:CZ40,$DL$5)=0,"--",
 COUNTIFS($E$5:$CZ$5,"T3",E40:CZ40,$DL$5)))))</f>
      </c>
      <c r="DM40" s="530">
        <f t="array" ref="DM40">IF(COUNTIF(DA40:DL40,"Error")&gt;0,"Error",
 IF(AND(D40="",COUNTA(E40:CZ40)&gt;0),"Error",
 IF(COUNTIF(E40:CZ40,"D")&gt;0,"DRP",
 IF(OR(SUM(COUNTIF(E40:CZ40,{"P","A","L","E"}))&gt;0,AND(D40&lt;&gt;"",COUNTA(E40:CZ40)=0)),"Active",""))))</f>
      </c>
      <c r="DN40" s="531"/>
    </row>
    <row r="41" ht="15.95" customHeight="1" spans="2:118" x14ac:dyDescent="0.25">
      <c r="B41" s="471">
        <v>36</v>
      </c>
      <c r="C41" s="532">
        <f>IF('Data Input'!M42="","",'Data Input'!M42)</f>
      </c>
      <c r="D41" s="533">
        <f>IF('Data Input'!N42="","",'Data Input'!N42)</f>
      </c>
      <c r="E41" s="534"/>
      <c r="F41" s="535"/>
      <c r="G41" s="535"/>
      <c r="H41" s="535"/>
      <c r="I41" s="535"/>
      <c r="J41" s="535"/>
      <c r="K41" s="535"/>
      <c r="L41" s="535"/>
      <c r="M41" s="535"/>
      <c r="N41" s="535"/>
      <c r="O41" s="535"/>
      <c r="P41" s="535"/>
      <c r="Q41" s="535"/>
      <c r="R41" s="535"/>
      <c r="S41" s="535"/>
      <c r="T41" s="535"/>
      <c r="U41" s="535"/>
      <c r="V41" s="535"/>
      <c r="W41" s="535"/>
      <c r="X41" s="535"/>
      <c r="Y41" s="535"/>
      <c r="Z41" s="535"/>
      <c r="AA41" s="535"/>
      <c r="AB41" s="535"/>
      <c r="AC41" s="535"/>
      <c r="AD41" s="535"/>
      <c r="AE41" s="535"/>
      <c r="AF41" s="535"/>
      <c r="AG41" s="535"/>
      <c r="AH41" s="535"/>
      <c r="AI41" s="535"/>
      <c r="AJ41" s="535"/>
      <c r="AK41" s="535"/>
      <c r="AL41" s="535"/>
      <c r="AM41" s="535"/>
      <c r="AN41" s="535"/>
      <c r="AO41" s="535"/>
      <c r="AP41" s="535"/>
      <c r="AQ41" s="535"/>
      <c r="AR41" s="535"/>
      <c r="AS41" s="535"/>
      <c r="AT41" s="535"/>
      <c r="AU41" s="535"/>
      <c r="AV41" s="535"/>
      <c r="AW41" s="535"/>
      <c r="AX41" s="535"/>
      <c r="AY41" s="535"/>
      <c r="AZ41" s="535"/>
      <c r="BA41" s="535"/>
      <c r="BB41" s="536"/>
      <c r="BC41" s="535"/>
      <c r="BD41" s="535"/>
      <c r="BE41" s="535"/>
      <c r="BF41" s="535"/>
      <c r="BG41" s="535"/>
      <c r="BH41" s="535"/>
      <c r="BI41" s="535"/>
      <c r="BJ41" s="535"/>
      <c r="BK41" s="535"/>
      <c r="BL41" s="535"/>
      <c r="BM41" s="535"/>
      <c r="BN41" s="535"/>
      <c r="BO41" s="535"/>
      <c r="BP41" s="535"/>
      <c r="BQ41" s="535"/>
      <c r="BR41" s="535"/>
      <c r="BS41" s="535"/>
      <c r="BT41" s="535"/>
      <c r="BU41" s="535"/>
      <c r="BV41" s="535"/>
      <c r="BW41" s="535"/>
      <c r="BX41" s="535"/>
      <c r="BY41" s="535"/>
      <c r="BZ41" s="535"/>
      <c r="CA41" s="535"/>
      <c r="CB41" s="535"/>
      <c r="CC41" s="535"/>
      <c r="CD41" s="535"/>
      <c r="CE41" s="535"/>
      <c r="CF41" s="535"/>
      <c r="CG41" s="535"/>
      <c r="CH41" s="535"/>
      <c r="CI41" s="535"/>
      <c r="CJ41" s="535"/>
      <c r="CK41" s="535"/>
      <c r="CL41" s="535"/>
      <c r="CM41" s="535"/>
      <c r="CN41" s="535"/>
      <c r="CO41" s="535"/>
      <c r="CP41" s="535"/>
      <c r="CQ41" s="535"/>
      <c r="CR41" s="535"/>
      <c r="CS41" s="535"/>
      <c r="CT41" s="535"/>
      <c r="CU41" s="535"/>
      <c r="CV41" s="535"/>
      <c r="CW41" s="535"/>
      <c r="CX41" s="535"/>
      <c r="CY41" s="535"/>
      <c r="CZ41" s="537"/>
      <c r="DA41" s="538">
        <f t="array" ref="DA41">IF(D41="","",
 IF($DO$3="Error","Error",
 IF(OR(
 SUM(($E$4:$CZ$4="")*(E41:CZ41&lt;&gt;""))&gt;0,
 SUM(($E$5:$CZ$5="")*(E41:CZ41&lt;&gt;""))&gt;0,
 COUNTA(E41:CZ41)&gt;$DO$3,
 SUMPRODUCT((E41:CZ41&lt;&gt;"")*(ISNA(MATCH(E41:CZ41,{"P","A","L","E","D"},0))))&gt;0),"Error",
 IF(COUNTIFS($E$5:$CZ$5,"T1",E41:CZ41,$DA$5)=0,"--",
 COUNTIFS($E$5:$CZ$5,"T1",E41:CZ41,$DA$5)))))</f>
      </c>
      <c r="DB41" s="539">
        <f t="array" ref="DB41">IF(D41="","",
 IF($DO$3="Error","Error",
 IF(OR(
 SUM(($E$4:$CZ$4="")*(E41:CZ41&lt;&gt;""))&gt;0,
 SUM(($E$5:$CZ$5="")*(E41:CZ41&lt;&gt;""))&gt;0,
 COUNTA(E41:CZ41)&gt;$DO$3,
 SUMPRODUCT((E41:CZ41&lt;&gt;"")*(ISNA(MATCH(E41:CZ41,{"P","A","L","E","D"},0))))&gt;0),"Error",
 IF(COUNTIFS($E$5:$CZ$5,"T1",E41:CZ41,$DB$5)=0,"--",
 COUNTIFS($E$5:$CZ$5,"T1",E41:CZ41,$DB$5)))))</f>
      </c>
      <c r="DC41" s="539">
        <f t="array" ref="DC41">IF(D41="","",
 IF($DO$3="Error","Error",
 IF(OR(
 SUM(($E$4:$CZ$4="")*(E41:CZ41&lt;&gt;""))&gt;0,
 SUM(($E$5:$CZ$5="")*(E41:CZ41&lt;&gt;""))&gt;0,
 COUNTA(E41:CZ41)&gt;$DO$3,
 SUMPRODUCT((E41:CZ41&lt;&gt;"")*(ISNA(MATCH(E41:CZ41,{"P","A","L","E","D"},0))))&gt;0),"Error",
 IF(COUNTIFS($E$5:$CZ$5,"T1",E41:CZ41,$DC$5)=0,"--",
 COUNTIFS($E$5:$CZ$5,"T1",E41:CZ41,$DC$5)))))</f>
      </c>
      <c r="DD41" s="540">
        <f t="array" ref="DD41">IF(D41="","",
 IF($DO$3="Error","Error",
 IF(OR(
 SUM(($E$4:$CZ$4="")*(E41:CZ41&lt;&gt;""))&gt;0,
 SUM(($E$5:$CZ$5="")*(E41:CZ41&lt;&gt;""))&gt;0,
 COUNTA(E41:CZ41)&gt;$DO$3,
 SUMPRODUCT((E41:CZ41&lt;&gt;"")*(ISNA(MATCH(E41:CZ41,{"P","A","L","E","D"},0))))&gt;0),"Error",
 IF(COUNTIFS($E$5:$CZ$5,"T1",E41:CZ41,$DD$5)=0,"--",
 COUNTIFS($E$5:$CZ$5,"T1",E41:CZ41,$DD$5)))))</f>
      </c>
      <c r="DE41" s="541">
        <f t="array" ref="DE41">IF(D41="","",
 IF($DO$3="Error","Error",
 IF(OR(
 SUM(($E$4:$CZ$4="")*(E41:CZ41&lt;&gt;""))&gt;0,
 SUM(($E$5:$CZ$5="")*(E41:CZ41&lt;&gt;""))&gt;0,
 COUNTA(E41:CZ41)&gt;$DO$3,
 SUMPRODUCT((E41:CZ41&lt;&gt;"")*(ISNA(MATCH(E41:CZ41,{"P","A","L","E","D"},0))))&gt;0),"Error",
 IF(COUNTIFS($E$5:$CZ$5,"T2",E41:CZ41,$DE$5)=0,"--",
 COUNTIFS($E$5:$CZ$5,"T2",E41:CZ41,$DE$5)))))</f>
      </c>
      <c r="DF41" s="539">
        <f t="array" ref="DF41">IF(D41="","",
 IF($DO$3="Error","Error",
 IF(OR(
 SUM(($E$4:$CZ$4="")*(E41:CZ41&lt;&gt;""))&gt;0,
 SUM(($E$5:$CZ$5="")*(E41:CZ41&lt;&gt;""))&gt;0,
 COUNTA(E41:CZ41)&gt;$DO$3,
 SUMPRODUCT((E41:CZ41&lt;&gt;"")*(ISNA(MATCH(E41:CZ41,{"P","A","L","E","D"},0))))&gt;0),"Error",
 IF(COUNTIFS($E$5:$CZ$5,"T2",E41:CZ41,$DF$5)=0,"--",
 COUNTIFS($E$5:$CZ$5,"T2",E41:CZ41,$DF$5)))))</f>
      </c>
      <c r="DG41" s="539">
        <f t="array" ref="DG41">IF(D41="","",
 IF($DO$3="Error","Error",
 IF(OR(
 SUM(($E$4:$CZ$4="")*(E41:CZ41&lt;&gt;""))&gt;0,
 SUM(($E$5:$CZ$5="")*(E41:CZ41&lt;&gt;""))&gt;0,
 COUNTA(E41:CZ41)&gt;$DO$3,
 SUMPRODUCT((E41:CZ41&lt;&gt;"")*(ISNA(MATCH(E41:CZ41,{"P","A","L","E","D"},0))))&gt;0),"Error",
 IF(COUNTIFS($E$5:$CZ$5,"T2",E41:CZ41,$DG$5)=0,"--",
 COUNTIFS($E$5:$CZ$5,"T2",E41:CZ41,$DG$5)))))</f>
      </c>
      <c r="DH41" s="542">
        <f t="array" ref="DH41">IF(D41="","",
 IF($DO$3="Error","Error",
 IF(OR(
 SUM(($E$4:$CZ$4="")*(E41:CZ41&lt;&gt;""))&gt;0,
 SUM(($E$5:$CZ$5="")*(E41:CZ41&lt;&gt;""))&gt;0,
 COUNTA(E41:CZ41)&gt;$DO$3,
 SUMPRODUCT((E41:CZ41&lt;&gt;"")*(ISNA(MATCH(E41:CZ41,{"P","A","L","E","D"},0))))&gt;0),"Error",
 IF(COUNTIFS($E$5:$CZ$5,"T2",E41:CZ41,$DH$5)=0,"--",
 COUNTIFS($E$5:$CZ$5,"T2",E41:CZ41,$DH$5)))))</f>
      </c>
      <c r="DI41" s="543">
        <f t="array" ref="DI41">IF(D41="","",
 IF($DO$3="Error","Error",
 IF(OR(
 SUM(($E$4:$CZ$4="")*(E41:CZ41&lt;&gt;""))&gt;0,
 SUM(($E$5:$CZ$5="")*(E41:CZ41&lt;&gt;""))&gt;0,
 COUNTA(E41:CZ41)&gt;$DO$3,
 SUMPRODUCT((E41:CZ41&lt;&gt;"")*(ISNA(MATCH(E41:CZ41,{"P","A","L","E","D"},0))))&gt;0),"Error",
 IF(COUNTIFS($E$5:$CZ$5,"T3",E41:CZ41,$DI$5)=0,"--",
 COUNTIFS($E$5:$CZ$5,"T3",E41:CZ41,$DI$5)))))</f>
      </c>
      <c r="DJ41" s="539">
        <f t="array" ref="DJ41">IF(D41="","",
 IF($DO$3="Error","Error",
 IF(OR(
 SUM(($E$4:$CZ$4="")*(E41:CZ41&lt;&gt;""))&gt;0,
 SUM(($E$5:$CZ$5="")*(E41:CZ41&lt;&gt;""))&gt;0,
 COUNTA(E41:CZ41)&gt;$DO$3,
 SUMPRODUCT((E41:CZ41&lt;&gt;"")*(ISNA(MATCH(E41:CZ41,{"P","A","L","E","D"},0))))&gt;0),"Error",
 IF(COUNTIFS($E$5:$CZ$5,"T3",E41:CZ41,$DJ$5)=0,"--",
 COUNTIFS($E$5:$CZ$5,"T3",E41:CZ41,$DJ$5)))))</f>
      </c>
      <c r="DK41" s="539">
        <f t="array" ref="DK41">IF(D41="","",
 IF($DO$3="Error","Error",
 IF(OR(
 SUM(($E$4:$CZ$4="")*(E41:CZ41&lt;&gt;""))&gt;0,
 SUM(($E$5:$CZ$5="")*(E41:CZ41&lt;&gt;""))&gt;0,
 COUNTA(E41:CZ41)&gt;$DO$3,
 SUMPRODUCT((E41:CZ41&lt;&gt;"")*(ISNA(MATCH(E41:CZ41,{"P","A","L","E","D"},0))))&gt;0),"Error",
 IF(COUNTIFS($E$5:$CZ$5,"T3",E41:CZ41,$DK$5)=0,"--",
 COUNTIFS($E$5:$CZ$5,"T3",E41:CZ41,$DK$5)))))</f>
      </c>
      <c r="DL41" s="540">
        <f t="array" ref="DL41">IF(D41="","",
 IF($DO$3="Error","Error",
 IF(OR(
 SUM(($E$4:$CZ$4="")*(E41:CZ41&lt;&gt;""))&gt;0,
 SUM(($E$5:$CZ$5="")*(E41:CZ41&lt;&gt;""))&gt;0,
 COUNTA(E41:CZ41)&gt;$DO$3,
 SUMPRODUCT((E41:CZ41&lt;&gt;"")*(ISNA(MATCH(E41:CZ41,{"P","A","L","E","D"},0))))&gt;0),"Error",
 IF(COUNTIFS($E$5:$CZ$5,"T3",E41:CZ41,$DL$5)=0,"--",
 COUNTIFS($E$5:$CZ$5,"T3",E41:CZ41,$DL$5)))))</f>
      </c>
      <c r="DM41" s="530">
        <f t="array" ref="DM41">IF(COUNTIF(DA41:DL41,"Error")&gt;0,"Error",
 IF(AND(D41="",COUNTA(E41:CZ41)&gt;0),"Error",
 IF(COUNTIF(E41:CZ41,"D")&gt;0,"DRP",
 IF(OR(SUM(COUNTIF(E41:CZ41,{"P","A","L","E"}))&gt;0,AND(D41&lt;&gt;"",COUNTA(E41:CZ41)=0)),"Active",""))))</f>
      </c>
      <c r="DN41" s="531"/>
    </row>
    <row r="42" ht="15.95" customHeight="1" spans="2:118" x14ac:dyDescent="0.25">
      <c r="B42" s="471">
        <v>37</v>
      </c>
      <c r="C42" s="532">
        <f>IF('Data Input'!M43="","",'Data Input'!M43)</f>
      </c>
      <c r="D42" s="533">
        <f>IF('Data Input'!N43="","",'Data Input'!N43)</f>
      </c>
      <c r="E42" s="534"/>
      <c r="F42" s="535"/>
      <c r="G42" s="535"/>
      <c r="H42" s="535"/>
      <c r="I42" s="535"/>
      <c r="J42" s="535"/>
      <c r="K42" s="535"/>
      <c r="L42" s="535"/>
      <c r="M42" s="535"/>
      <c r="N42" s="535"/>
      <c r="O42" s="535"/>
      <c r="P42" s="535"/>
      <c r="Q42" s="535"/>
      <c r="R42" s="535"/>
      <c r="S42" s="535"/>
      <c r="T42" s="535"/>
      <c r="U42" s="535"/>
      <c r="V42" s="535"/>
      <c r="W42" s="535"/>
      <c r="X42" s="535"/>
      <c r="Y42" s="535"/>
      <c r="Z42" s="535"/>
      <c r="AA42" s="535"/>
      <c r="AB42" s="535"/>
      <c r="AC42" s="535"/>
      <c r="AD42" s="535"/>
      <c r="AE42" s="535"/>
      <c r="AF42" s="535"/>
      <c r="AG42" s="535"/>
      <c r="AH42" s="535"/>
      <c r="AI42" s="535"/>
      <c r="AJ42" s="535"/>
      <c r="AK42" s="535"/>
      <c r="AL42" s="535"/>
      <c r="AM42" s="535"/>
      <c r="AN42" s="535"/>
      <c r="AO42" s="535"/>
      <c r="AP42" s="535"/>
      <c r="AQ42" s="535"/>
      <c r="AR42" s="535"/>
      <c r="AS42" s="535"/>
      <c r="AT42" s="535"/>
      <c r="AU42" s="535"/>
      <c r="AV42" s="535"/>
      <c r="AW42" s="535"/>
      <c r="AX42" s="535"/>
      <c r="AY42" s="535"/>
      <c r="AZ42" s="535"/>
      <c r="BA42" s="535"/>
      <c r="BB42" s="536"/>
      <c r="BC42" s="535"/>
      <c r="BD42" s="535"/>
      <c r="BE42" s="535"/>
      <c r="BF42" s="535"/>
      <c r="BG42" s="535"/>
      <c r="BH42" s="535"/>
      <c r="BI42" s="535"/>
      <c r="BJ42" s="535"/>
      <c r="BK42" s="535"/>
      <c r="BL42" s="535"/>
      <c r="BM42" s="535"/>
      <c r="BN42" s="535"/>
      <c r="BO42" s="535"/>
      <c r="BP42" s="535"/>
      <c r="BQ42" s="535"/>
      <c r="BR42" s="535"/>
      <c r="BS42" s="535"/>
      <c r="BT42" s="535"/>
      <c r="BU42" s="535"/>
      <c r="BV42" s="535"/>
      <c r="BW42" s="535"/>
      <c r="BX42" s="535"/>
      <c r="BY42" s="535"/>
      <c r="BZ42" s="535"/>
      <c r="CA42" s="535"/>
      <c r="CB42" s="535"/>
      <c r="CC42" s="535"/>
      <c r="CD42" s="535"/>
      <c r="CE42" s="535"/>
      <c r="CF42" s="535"/>
      <c r="CG42" s="535"/>
      <c r="CH42" s="535"/>
      <c r="CI42" s="535"/>
      <c r="CJ42" s="535"/>
      <c r="CK42" s="535"/>
      <c r="CL42" s="535"/>
      <c r="CM42" s="535"/>
      <c r="CN42" s="535"/>
      <c r="CO42" s="535"/>
      <c r="CP42" s="535"/>
      <c r="CQ42" s="535"/>
      <c r="CR42" s="535"/>
      <c r="CS42" s="535"/>
      <c r="CT42" s="535"/>
      <c r="CU42" s="535"/>
      <c r="CV42" s="535"/>
      <c r="CW42" s="535"/>
      <c r="CX42" s="535"/>
      <c r="CY42" s="535"/>
      <c r="CZ42" s="537"/>
      <c r="DA42" s="538">
        <f t="array" ref="DA42">IF(D42="","",
 IF($DO$3="Error","Error",
 IF(OR(
 SUM(($E$4:$CZ$4="")*(E42:CZ42&lt;&gt;""))&gt;0,
 SUM(($E$5:$CZ$5="")*(E42:CZ42&lt;&gt;""))&gt;0,
 COUNTA(E42:CZ42)&gt;$DO$3,
 SUMPRODUCT((E42:CZ42&lt;&gt;"")*(ISNA(MATCH(E42:CZ42,{"P","A","L","E","D"},0))))&gt;0),"Error",
 IF(COUNTIFS($E$5:$CZ$5,"T1",E42:CZ42,$DA$5)=0,"--",
 COUNTIFS($E$5:$CZ$5,"T1",E42:CZ42,$DA$5)))))</f>
      </c>
      <c r="DB42" s="539">
        <f t="array" ref="DB42">IF(D42="","",
 IF($DO$3="Error","Error",
 IF(OR(
 SUM(($E$4:$CZ$4="")*(E42:CZ42&lt;&gt;""))&gt;0,
 SUM(($E$5:$CZ$5="")*(E42:CZ42&lt;&gt;""))&gt;0,
 COUNTA(E42:CZ42)&gt;$DO$3,
 SUMPRODUCT((E42:CZ42&lt;&gt;"")*(ISNA(MATCH(E42:CZ42,{"P","A","L","E","D"},0))))&gt;0),"Error",
 IF(COUNTIFS($E$5:$CZ$5,"T1",E42:CZ42,$DB$5)=0,"--",
 COUNTIFS($E$5:$CZ$5,"T1",E42:CZ42,$DB$5)))))</f>
      </c>
      <c r="DC42" s="539">
        <f t="array" ref="DC42">IF(D42="","",
 IF($DO$3="Error","Error",
 IF(OR(
 SUM(($E$4:$CZ$4="")*(E42:CZ42&lt;&gt;""))&gt;0,
 SUM(($E$5:$CZ$5="")*(E42:CZ42&lt;&gt;""))&gt;0,
 COUNTA(E42:CZ42)&gt;$DO$3,
 SUMPRODUCT((E42:CZ42&lt;&gt;"")*(ISNA(MATCH(E42:CZ42,{"P","A","L","E","D"},0))))&gt;0),"Error",
 IF(COUNTIFS($E$5:$CZ$5,"T1",E42:CZ42,$DC$5)=0,"--",
 COUNTIFS($E$5:$CZ$5,"T1",E42:CZ42,$DC$5)))))</f>
      </c>
      <c r="DD42" s="540">
        <f t="array" ref="DD42">IF(D42="","",
 IF($DO$3="Error","Error",
 IF(OR(
 SUM(($E$4:$CZ$4="")*(E42:CZ42&lt;&gt;""))&gt;0,
 SUM(($E$5:$CZ$5="")*(E42:CZ42&lt;&gt;""))&gt;0,
 COUNTA(E42:CZ42)&gt;$DO$3,
 SUMPRODUCT((E42:CZ42&lt;&gt;"")*(ISNA(MATCH(E42:CZ42,{"P","A","L","E","D"},0))))&gt;0),"Error",
 IF(COUNTIFS($E$5:$CZ$5,"T1",E42:CZ42,$DD$5)=0,"--",
 COUNTIFS($E$5:$CZ$5,"T1",E42:CZ42,$DD$5)))))</f>
      </c>
      <c r="DE42" s="541">
        <f t="array" ref="DE42">IF(D42="","",
 IF($DO$3="Error","Error",
 IF(OR(
 SUM(($E$4:$CZ$4="")*(E42:CZ42&lt;&gt;""))&gt;0,
 SUM(($E$5:$CZ$5="")*(E42:CZ42&lt;&gt;""))&gt;0,
 COUNTA(E42:CZ42)&gt;$DO$3,
 SUMPRODUCT((E42:CZ42&lt;&gt;"")*(ISNA(MATCH(E42:CZ42,{"P","A","L","E","D"},0))))&gt;0),"Error",
 IF(COUNTIFS($E$5:$CZ$5,"T2",E42:CZ42,$DE$5)=0,"--",
 COUNTIFS($E$5:$CZ$5,"T2",E42:CZ42,$DE$5)))))</f>
      </c>
      <c r="DF42" s="539">
        <f t="array" ref="DF42">IF(D42="","",
 IF($DO$3="Error","Error",
 IF(OR(
 SUM(($E$4:$CZ$4="")*(E42:CZ42&lt;&gt;""))&gt;0,
 SUM(($E$5:$CZ$5="")*(E42:CZ42&lt;&gt;""))&gt;0,
 COUNTA(E42:CZ42)&gt;$DO$3,
 SUMPRODUCT((E42:CZ42&lt;&gt;"")*(ISNA(MATCH(E42:CZ42,{"P","A","L","E","D"},0))))&gt;0),"Error",
 IF(COUNTIFS($E$5:$CZ$5,"T2",E42:CZ42,$DF$5)=0,"--",
 COUNTIFS($E$5:$CZ$5,"T2",E42:CZ42,$DF$5)))))</f>
      </c>
      <c r="DG42" s="539">
        <f t="array" ref="DG42">IF(D42="","",
 IF($DO$3="Error","Error",
 IF(OR(
 SUM(($E$4:$CZ$4="")*(E42:CZ42&lt;&gt;""))&gt;0,
 SUM(($E$5:$CZ$5="")*(E42:CZ42&lt;&gt;""))&gt;0,
 COUNTA(E42:CZ42)&gt;$DO$3,
 SUMPRODUCT((E42:CZ42&lt;&gt;"")*(ISNA(MATCH(E42:CZ42,{"P","A","L","E","D"},0))))&gt;0),"Error",
 IF(COUNTIFS($E$5:$CZ$5,"T2",E42:CZ42,$DG$5)=0,"--",
 COUNTIFS($E$5:$CZ$5,"T2",E42:CZ42,$DG$5)))))</f>
      </c>
      <c r="DH42" s="542">
        <f t="array" ref="DH42">IF(D42="","",
 IF($DO$3="Error","Error",
 IF(OR(
 SUM(($E$4:$CZ$4="")*(E42:CZ42&lt;&gt;""))&gt;0,
 SUM(($E$5:$CZ$5="")*(E42:CZ42&lt;&gt;""))&gt;0,
 COUNTA(E42:CZ42)&gt;$DO$3,
 SUMPRODUCT((E42:CZ42&lt;&gt;"")*(ISNA(MATCH(E42:CZ42,{"P","A","L","E","D"},0))))&gt;0),"Error",
 IF(COUNTIFS($E$5:$CZ$5,"T2",E42:CZ42,$DH$5)=0,"--",
 COUNTIFS($E$5:$CZ$5,"T2",E42:CZ42,$DH$5)))))</f>
      </c>
      <c r="DI42" s="543">
        <f t="array" ref="DI42">IF(D42="","",
 IF($DO$3="Error","Error",
 IF(OR(
 SUM(($E$4:$CZ$4="")*(E42:CZ42&lt;&gt;""))&gt;0,
 SUM(($E$5:$CZ$5="")*(E42:CZ42&lt;&gt;""))&gt;0,
 COUNTA(E42:CZ42)&gt;$DO$3,
 SUMPRODUCT((E42:CZ42&lt;&gt;"")*(ISNA(MATCH(E42:CZ42,{"P","A","L","E","D"},0))))&gt;0),"Error",
 IF(COUNTIFS($E$5:$CZ$5,"T3",E42:CZ42,$DI$5)=0,"--",
 COUNTIFS($E$5:$CZ$5,"T3",E42:CZ42,$DI$5)))))</f>
      </c>
      <c r="DJ42" s="539">
        <f t="array" ref="DJ42">IF(D42="","",
 IF($DO$3="Error","Error",
 IF(OR(
 SUM(($E$4:$CZ$4="")*(E42:CZ42&lt;&gt;""))&gt;0,
 SUM(($E$5:$CZ$5="")*(E42:CZ42&lt;&gt;""))&gt;0,
 COUNTA(E42:CZ42)&gt;$DO$3,
 SUMPRODUCT((E42:CZ42&lt;&gt;"")*(ISNA(MATCH(E42:CZ42,{"P","A","L","E","D"},0))))&gt;0),"Error",
 IF(COUNTIFS($E$5:$CZ$5,"T3",E42:CZ42,$DJ$5)=0,"--",
 COUNTIFS($E$5:$CZ$5,"T3",E42:CZ42,$DJ$5)))))</f>
      </c>
      <c r="DK42" s="539">
        <f t="array" ref="DK42">IF(D42="","",
 IF($DO$3="Error","Error",
 IF(OR(
 SUM(($E$4:$CZ$4="")*(E42:CZ42&lt;&gt;""))&gt;0,
 SUM(($E$5:$CZ$5="")*(E42:CZ42&lt;&gt;""))&gt;0,
 COUNTA(E42:CZ42)&gt;$DO$3,
 SUMPRODUCT((E42:CZ42&lt;&gt;"")*(ISNA(MATCH(E42:CZ42,{"P","A","L","E","D"},0))))&gt;0),"Error",
 IF(COUNTIFS($E$5:$CZ$5,"T3",E42:CZ42,$DK$5)=0,"--",
 COUNTIFS($E$5:$CZ$5,"T3",E42:CZ42,$DK$5)))))</f>
      </c>
      <c r="DL42" s="540">
        <f t="array" ref="DL42">IF(D42="","",
 IF($DO$3="Error","Error",
 IF(OR(
 SUM(($E$4:$CZ$4="")*(E42:CZ42&lt;&gt;""))&gt;0,
 SUM(($E$5:$CZ$5="")*(E42:CZ42&lt;&gt;""))&gt;0,
 COUNTA(E42:CZ42)&gt;$DO$3,
 SUMPRODUCT((E42:CZ42&lt;&gt;"")*(ISNA(MATCH(E42:CZ42,{"P","A","L","E","D"},0))))&gt;0),"Error",
 IF(COUNTIFS($E$5:$CZ$5,"T3",E42:CZ42,$DL$5)=0,"--",
 COUNTIFS($E$5:$CZ$5,"T3",E42:CZ42,$DL$5)))))</f>
      </c>
      <c r="DM42" s="530">
        <f t="array" ref="DM42">IF(COUNTIF(DA42:DL42,"Error")&gt;0,"Error",
 IF(AND(D42="",COUNTA(E42:CZ42)&gt;0),"Error",
 IF(COUNTIF(E42:CZ42,"D")&gt;0,"DRP",
 IF(OR(SUM(COUNTIF(E42:CZ42,{"P","A","L","E"}))&gt;0,AND(D42&lt;&gt;"",COUNTA(E42:CZ42)=0)),"Active",""))))</f>
      </c>
      <c r="DN42" s="531"/>
    </row>
    <row r="43" ht="15.95" customHeight="1" spans="2:118" x14ac:dyDescent="0.25">
      <c r="B43" s="471">
        <v>38</v>
      </c>
      <c r="C43" s="532">
        <f>IF('Data Input'!M44="","",'Data Input'!M44)</f>
      </c>
      <c r="D43" s="533">
        <f>IF('Data Input'!N44="","",'Data Input'!N44)</f>
      </c>
      <c r="E43" s="534"/>
      <c r="F43" s="535"/>
      <c r="G43" s="535"/>
      <c r="H43" s="535"/>
      <c r="I43" s="535"/>
      <c r="J43" s="535"/>
      <c r="K43" s="535"/>
      <c r="L43" s="535"/>
      <c r="M43" s="535"/>
      <c r="N43" s="535"/>
      <c r="O43" s="535"/>
      <c r="P43" s="535"/>
      <c r="Q43" s="535"/>
      <c r="R43" s="535"/>
      <c r="S43" s="535"/>
      <c r="T43" s="535"/>
      <c r="U43" s="535"/>
      <c r="V43" s="535"/>
      <c r="W43" s="535"/>
      <c r="X43" s="535"/>
      <c r="Y43" s="535"/>
      <c r="Z43" s="535"/>
      <c r="AA43" s="535"/>
      <c r="AB43" s="535"/>
      <c r="AC43" s="535"/>
      <c r="AD43" s="535"/>
      <c r="AE43" s="535"/>
      <c r="AF43" s="535"/>
      <c r="AG43" s="535"/>
      <c r="AH43" s="535"/>
      <c r="AI43" s="535"/>
      <c r="AJ43" s="535"/>
      <c r="AK43" s="535"/>
      <c r="AL43" s="535"/>
      <c r="AM43" s="535"/>
      <c r="AN43" s="535"/>
      <c r="AO43" s="535"/>
      <c r="AP43" s="535"/>
      <c r="AQ43" s="535"/>
      <c r="AR43" s="535"/>
      <c r="AS43" s="535"/>
      <c r="AT43" s="535"/>
      <c r="AU43" s="535"/>
      <c r="AV43" s="535"/>
      <c r="AW43" s="535"/>
      <c r="AX43" s="535"/>
      <c r="AY43" s="535"/>
      <c r="AZ43" s="535"/>
      <c r="BA43" s="535"/>
      <c r="BB43" s="536"/>
      <c r="BC43" s="535"/>
      <c r="BD43" s="535"/>
      <c r="BE43" s="535"/>
      <c r="BF43" s="535"/>
      <c r="BG43" s="535"/>
      <c r="BH43" s="535"/>
      <c r="BI43" s="535"/>
      <c r="BJ43" s="535"/>
      <c r="BK43" s="535"/>
      <c r="BL43" s="535"/>
      <c r="BM43" s="535"/>
      <c r="BN43" s="535"/>
      <c r="BO43" s="535"/>
      <c r="BP43" s="535"/>
      <c r="BQ43" s="535"/>
      <c r="BR43" s="535"/>
      <c r="BS43" s="535"/>
      <c r="BT43" s="535"/>
      <c r="BU43" s="535"/>
      <c r="BV43" s="535"/>
      <c r="BW43" s="535"/>
      <c r="BX43" s="535"/>
      <c r="BY43" s="535"/>
      <c r="BZ43" s="535"/>
      <c r="CA43" s="535"/>
      <c r="CB43" s="535"/>
      <c r="CC43" s="535"/>
      <c r="CD43" s="535"/>
      <c r="CE43" s="535"/>
      <c r="CF43" s="535"/>
      <c r="CG43" s="535"/>
      <c r="CH43" s="535"/>
      <c r="CI43" s="535"/>
      <c r="CJ43" s="535"/>
      <c r="CK43" s="535"/>
      <c r="CL43" s="535"/>
      <c r="CM43" s="535"/>
      <c r="CN43" s="535"/>
      <c r="CO43" s="535"/>
      <c r="CP43" s="535"/>
      <c r="CQ43" s="535"/>
      <c r="CR43" s="535"/>
      <c r="CS43" s="535"/>
      <c r="CT43" s="535"/>
      <c r="CU43" s="535"/>
      <c r="CV43" s="535"/>
      <c r="CW43" s="535"/>
      <c r="CX43" s="535"/>
      <c r="CY43" s="535"/>
      <c r="CZ43" s="537"/>
      <c r="DA43" s="538">
        <f t="array" ref="DA43">IF(D43="","",
 IF($DO$3="Error","Error",
 IF(OR(
 SUM(($E$4:$CZ$4="")*(E43:CZ43&lt;&gt;""))&gt;0,
 SUM(($E$5:$CZ$5="")*(E43:CZ43&lt;&gt;""))&gt;0,
 COUNTA(E43:CZ43)&gt;$DO$3,
 SUMPRODUCT((E43:CZ43&lt;&gt;"")*(ISNA(MATCH(E43:CZ43,{"P","A","L","E","D"},0))))&gt;0),"Error",
 IF(COUNTIFS($E$5:$CZ$5,"T1",E43:CZ43,$DA$5)=0,"--",
 COUNTIFS($E$5:$CZ$5,"T1",E43:CZ43,$DA$5)))))</f>
      </c>
      <c r="DB43" s="539">
        <f t="array" ref="DB43">IF(D43="","",
 IF($DO$3="Error","Error",
 IF(OR(
 SUM(($E$4:$CZ$4="")*(E43:CZ43&lt;&gt;""))&gt;0,
 SUM(($E$5:$CZ$5="")*(E43:CZ43&lt;&gt;""))&gt;0,
 COUNTA(E43:CZ43)&gt;$DO$3,
 SUMPRODUCT((E43:CZ43&lt;&gt;"")*(ISNA(MATCH(E43:CZ43,{"P","A","L","E","D"},0))))&gt;0),"Error",
 IF(COUNTIFS($E$5:$CZ$5,"T1",E43:CZ43,$DB$5)=0,"--",
 COUNTIFS($E$5:$CZ$5,"T1",E43:CZ43,$DB$5)))))</f>
      </c>
      <c r="DC43" s="539">
        <f t="array" ref="DC43">IF(D43="","",
 IF($DO$3="Error","Error",
 IF(OR(
 SUM(($E$4:$CZ$4="")*(E43:CZ43&lt;&gt;""))&gt;0,
 SUM(($E$5:$CZ$5="")*(E43:CZ43&lt;&gt;""))&gt;0,
 COUNTA(E43:CZ43)&gt;$DO$3,
 SUMPRODUCT((E43:CZ43&lt;&gt;"")*(ISNA(MATCH(E43:CZ43,{"P","A","L","E","D"},0))))&gt;0),"Error",
 IF(COUNTIFS($E$5:$CZ$5,"T1",E43:CZ43,$DC$5)=0,"--",
 COUNTIFS($E$5:$CZ$5,"T1",E43:CZ43,$DC$5)))))</f>
      </c>
      <c r="DD43" s="540">
        <f t="array" ref="DD43">IF(D43="","",
 IF($DO$3="Error","Error",
 IF(OR(
 SUM(($E$4:$CZ$4="")*(E43:CZ43&lt;&gt;""))&gt;0,
 SUM(($E$5:$CZ$5="")*(E43:CZ43&lt;&gt;""))&gt;0,
 COUNTA(E43:CZ43)&gt;$DO$3,
 SUMPRODUCT((E43:CZ43&lt;&gt;"")*(ISNA(MATCH(E43:CZ43,{"P","A","L","E","D"},0))))&gt;0),"Error",
 IF(COUNTIFS($E$5:$CZ$5,"T1",E43:CZ43,$DD$5)=0,"--",
 COUNTIFS($E$5:$CZ$5,"T1",E43:CZ43,$DD$5)))))</f>
      </c>
      <c r="DE43" s="541">
        <f t="array" ref="DE43">IF(D43="","",
 IF($DO$3="Error","Error",
 IF(OR(
 SUM(($E$4:$CZ$4="")*(E43:CZ43&lt;&gt;""))&gt;0,
 SUM(($E$5:$CZ$5="")*(E43:CZ43&lt;&gt;""))&gt;0,
 COUNTA(E43:CZ43)&gt;$DO$3,
 SUMPRODUCT((E43:CZ43&lt;&gt;"")*(ISNA(MATCH(E43:CZ43,{"P","A","L","E","D"},0))))&gt;0),"Error",
 IF(COUNTIFS($E$5:$CZ$5,"T2",E43:CZ43,$DE$5)=0,"--",
 COUNTIFS($E$5:$CZ$5,"T2",E43:CZ43,$DE$5)))))</f>
      </c>
      <c r="DF43" s="539">
        <f t="array" ref="DF43">IF(D43="","",
 IF($DO$3="Error","Error",
 IF(OR(
 SUM(($E$4:$CZ$4="")*(E43:CZ43&lt;&gt;""))&gt;0,
 SUM(($E$5:$CZ$5="")*(E43:CZ43&lt;&gt;""))&gt;0,
 COUNTA(E43:CZ43)&gt;$DO$3,
 SUMPRODUCT((E43:CZ43&lt;&gt;"")*(ISNA(MATCH(E43:CZ43,{"P","A","L","E","D"},0))))&gt;0),"Error",
 IF(COUNTIFS($E$5:$CZ$5,"T2",E43:CZ43,$DF$5)=0,"--",
 COUNTIFS($E$5:$CZ$5,"T2",E43:CZ43,$DF$5)))))</f>
      </c>
      <c r="DG43" s="539">
        <f t="array" ref="DG43">IF(D43="","",
 IF($DO$3="Error","Error",
 IF(OR(
 SUM(($E$4:$CZ$4="")*(E43:CZ43&lt;&gt;""))&gt;0,
 SUM(($E$5:$CZ$5="")*(E43:CZ43&lt;&gt;""))&gt;0,
 COUNTA(E43:CZ43)&gt;$DO$3,
 SUMPRODUCT((E43:CZ43&lt;&gt;"")*(ISNA(MATCH(E43:CZ43,{"P","A","L","E","D"},0))))&gt;0),"Error",
 IF(COUNTIFS($E$5:$CZ$5,"T2",E43:CZ43,$DG$5)=0,"--",
 COUNTIFS($E$5:$CZ$5,"T2",E43:CZ43,$DG$5)))))</f>
      </c>
      <c r="DH43" s="542">
        <f t="array" ref="DH43">IF(D43="","",
 IF($DO$3="Error","Error",
 IF(OR(
 SUM(($E$4:$CZ$4="")*(E43:CZ43&lt;&gt;""))&gt;0,
 SUM(($E$5:$CZ$5="")*(E43:CZ43&lt;&gt;""))&gt;0,
 COUNTA(E43:CZ43)&gt;$DO$3,
 SUMPRODUCT((E43:CZ43&lt;&gt;"")*(ISNA(MATCH(E43:CZ43,{"P","A","L","E","D"},0))))&gt;0),"Error",
 IF(COUNTIFS($E$5:$CZ$5,"T2",E43:CZ43,$DH$5)=0,"--",
 COUNTIFS($E$5:$CZ$5,"T2",E43:CZ43,$DH$5)))))</f>
      </c>
      <c r="DI43" s="543">
        <f t="array" ref="DI43">IF(D43="","",
 IF($DO$3="Error","Error",
 IF(OR(
 SUM(($E$4:$CZ$4="")*(E43:CZ43&lt;&gt;""))&gt;0,
 SUM(($E$5:$CZ$5="")*(E43:CZ43&lt;&gt;""))&gt;0,
 COUNTA(E43:CZ43)&gt;$DO$3,
 SUMPRODUCT((E43:CZ43&lt;&gt;"")*(ISNA(MATCH(E43:CZ43,{"P","A","L","E","D"},0))))&gt;0),"Error",
 IF(COUNTIFS($E$5:$CZ$5,"T3",E43:CZ43,$DI$5)=0,"--",
 COUNTIFS($E$5:$CZ$5,"T3",E43:CZ43,$DI$5)))))</f>
      </c>
      <c r="DJ43" s="539">
        <f t="array" ref="DJ43">IF(D43="","",
 IF($DO$3="Error","Error",
 IF(OR(
 SUM(($E$4:$CZ$4="")*(E43:CZ43&lt;&gt;""))&gt;0,
 SUM(($E$5:$CZ$5="")*(E43:CZ43&lt;&gt;""))&gt;0,
 COUNTA(E43:CZ43)&gt;$DO$3,
 SUMPRODUCT((E43:CZ43&lt;&gt;"")*(ISNA(MATCH(E43:CZ43,{"P","A","L","E","D"},0))))&gt;0),"Error",
 IF(COUNTIFS($E$5:$CZ$5,"T3",E43:CZ43,$DJ$5)=0,"--",
 COUNTIFS($E$5:$CZ$5,"T3",E43:CZ43,$DJ$5)))))</f>
      </c>
      <c r="DK43" s="539">
        <f t="array" ref="DK43">IF(D43="","",
 IF($DO$3="Error","Error",
 IF(OR(
 SUM(($E$4:$CZ$4="")*(E43:CZ43&lt;&gt;""))&gt;0,
 SUM(($E$5:$CZ$5="")*(E43:CZ43&lt;&gt;""))&gt;0,
 COUNTA(E43:CZ43)&gt;$DO$3,
 SUMPRODUCT((E43:CZ43&lt;&gt;"")*(ISNA(MATCH(E43:CZ43,{"P","A","L","E","D"},0))))&gt;0),"Error",
 IF(COUNTIFS($E$5:$CZ$5,"T3",E43:CZ43,$DK$5)=0,"--",
 COUNTIFS($E$5:$CZ$5,"T3",E43:CZ43,$DK$5)))))</f>
      </c>
      <c r="DL43" s="540">
        <f t="array" ref="DL43">IF(D43="","",
 IF($DO$3="Error","Error",
 IF(OR(
 SUM(($E$4:$CZ$4="")*(E43:CZ43&lt;&gt;""))&gt;0,
 SUM(($E$5:$CZ$5="")*(E43:CZ43&lt;&gt;""))&gt;0,
 COUNTA(E43:CZ43)&gt;$DO$3,
 SUMPRODUCT((E43:CZ43&lt;&gt;"")*(ISNA(MATCH(E43:CZ43,{"P","A","L","E","D"},0))))&gt;0),"Error",
 IF(COUNTIFS($E$5:$CZ$5,"T3",E43:CZ43,$DL$5)=0,"--",
 COUNTIFS($E$5:$CZ$5,"T3",E43:CZ43,$DL$5)))))</f>
      </c>
      <c r="DM43" s="530">
        <f t="array" ref="DM43">IF(COUNTIF(DA43:DL43,"Error")&gt;0,"Error",
 IF(AND(D43="",COUNTA(E43:CZ43)&gt;0),"Error",
 IF(COUNTIF(E43:CZ43,"D")&gt;0,"DRP",
 IF(OR(SUM(COUNTIF(E43:CZ43,{"P","A","L","E"}))&gt;0,AND(D43&lt;&gt;"",COUNTA(E43:CZ43)=0)),"Active",""))))</f>
      </c>
      <c r="DN43" s="531"/>
    </row>
    <row r="44" ht="15.95" customHeight="1" spans="2:118" x14ac:dyDescent="0.25">
      <c r="B44" s="471">
        <v>39</v>
      </c>
      <c r="C44" s="532">
        <f>IF('Data Input'!M45="","",'Data Input'!M45)</f>
      </c>
      <c r="D44" s="533">
        <f>IF('Data Input'!N45="","",'Data Input'!N45)</f>
      </c>
      <c r="E44" s="534"/>
      <c r="F44" s="535"/>
      <c r="G44" s="535"/>
      <c r="H44" s="535"/>
      <c r="I44" s="535"/>
      <c r="J44" s="535"/>
      <c r="K44" s="535"/>
      <c r="L44" s="535"/>
      <c r="M44" s="535"/>
      <c r="N44" s="535"/>
      <c r="O44" s="535"/>
      <c r="P44" s="535"/>
      <c r="Q44" s="535"/>
      <c r="R44" s="535"/>
      <c r="S44" s="535"/>
      <c r="T44" s="535"/>
      <c r="U44" s="535"/>
      <c r="V44" s="535"/>
      <c r="W44" s="535"/>
      <c r="X44" s="535"/>
      <c r="Y44" s="535"/>
      <c r="Z44" s="535"/>
      <c r="AA44" s="535"/>
      <c r="AB44" s="535"/>
      <c r="AC44" s="535"/>
      <c r="AD44" s="535"/>
      <c r="AE44" s="535"/>
      <c r="AF44" s="535"/>
      <c r="AG44" s="535"/>
      <c r="AH44" s="535"/>
      <c r="AI44" s="535"/>
      <c r="AJ44" s="535"/>
      <c r="AK44" s="535"/>
      <c r="AL44" s="535"/>
      <c r="AM44" s="535"/>
      <c r="AN44" s="535"/>
      <c r="AO44" s="535"/>
      <c r="AP44" s="535"/>
      <c r="AQ44" s="535"/>
      <c r="AR44" s="535"/>
      <c r="AS44" s="535"/>
      <c r="AT44" s="535"/>
      <c r="AU44" s="535"/>
      <c r="AV44" s="535"/>
      <c r="AW44" s="535"/>
      <c r="AX44" s="535"/>
      <c r="AY44" s="535"/>
      <c r="AZ44" s="535"/>
      <c r="BA44" s="535"/>
      <c r="BB44" s="536"/>
      <c r="BC44" s="535"/>
      <c r="BD44" s="535"/>
      <c r="BE44" s="535"/>
      <c r="BF44" s="535"/>
      <c r="BG44" s="535"/>
      <c r="BH44" s="535"/>
      <c r="BI44" s="535"/>
      <c r="BJ44" s="535"/>
      <c r="BK44" s="535"/>
      <c r="BL44" s="535"/>
      <c r="BM44" s="535"/>
      <c r="BN44" s="535"/>
      <c r="BO44" s="535"/>
      <c r="BP44" s="535"/>
      <c r="BQ44" s="535"/>
      <c r="BR44" s="535"/>
      <c r="BS44" s="535"/>
      <c r="BT44" s="535"/>
      <c r="BU44" s="535"/>
      <c r="BV44" s="535"/>
      <c r="BW44" s="535"/>
      <c r="BX44" s="535"/>
      <c r="BY44" s="535"/>
      <c r="BZ44" s="535"/>
      <c r="CA44" s="535"/>
      <c r="CB44" s="535"/>
      <c r="CC44" s="535"/>
      <c r="CD44" s="535"/>
      <c r="CE44" s="535"/>
      <c r="CF44" s="535"/>
      <c r="CG44" s="535"/>
      <c r="CH44" s="535"/>
      <c r="CI44" s="535"/>
      <c r="CJ44" s="535"/>
      <c r="CK44" s="535"/>
      <c r="CL44" s="535"/>
      <c r="CM44" s="535"/>
      <c r="CN44" s="535"/>
      <c r="CO44" s="535"/>
      <c r="CP44" s="535"/>
      <c r="CQ44" s="535"/>
      <c r="CR44" s="535"/>
      <c r="CS44" s="535"/>
      <c r="CT44" s="535"/>
      <c r="CU44" s="535"/>
      <c r="CV44" s="535"/>
      <c r="CW44" s="535"/>
      <c r="CX44" s="535"/>
      <c r="CY44" s="535"/>
      <c r="CZ44" s="537"/>
      <c r="DA44" s="538">
        <f t="array" ref="DA44">IF(D44="","",
 IF($DO$3="Error","Error",
 IF(OR(
 SUM(($E$4:$CZ$4="")*(E44:CZ44&lt;&gt;""))&gt;0,
 SUM(($E$5:$CZ$5="")*(E44:CZ44&lt;&gt;""))&gt;0,
 COUNTA(E44:CZ44)&gt;$DO$3,
 SUMPRODUCT((E44:CZ44&lt;&gt;"")*(ISNA(MATCH(E44:CZ44,{"P","A","L","E","D"},0))))&gt;0),"Error",
 IF(COUNTIFS($E$5:$CZ$5,"T1",E44:CZ44,$DA$5)=0,"--",
 COUNTIFS($E$5:$CZ$5,"T1",E44:CZ44,$DA$5)))))</f>
      </c>
      <c r="DB44" s="539">
        <f t="array" ref="DB44">IF(D44="","",
 IF($DO$3="Error","Error",
 IF(OR(
 SUM(($E$4:$CZ$4="")*(E44:CZ44&lt;&gt;""))&gt;0,
 SUM(($E$5:$CZ$5="")*(E44:CZ44&lt;&gt;""))&gt;0,
 COUNTA(E44:CZ44)&gt;$DO$3,
 SUMPRODUCT((E44:CZ44&lt;&gt;"")*(ISNA(MATCH(E44:CZ44,{"P","A","L","E","D"},0))))&gt;0),"Error",
 IF(COUNTIFS($E$5:$CZ$5,"T1",E44:CZ44,$DB$5)=0,"--",
 COUNTIFS($E$5:$CZ$5,"T1",E44:CZ44,$DB$5)))))</f>
      </c>
      <c r="DC44" s="539">
        <f t="array" ref="DC44">IF(D44="","",
 IF($DO$3="Error","Error",
 IF(OR(
 SUM(($E$4:$CZ$4="")*(E44:CZ44&lt;&gt;""))&gt;0,
 SUM(($E$5:$CZ$5="")*(E44:CZ44&lt;&gt;""))&gt;0,
 COUNTA(E44:CZ44)&gt;$DO$3,
 SUMPRODUCT((E44:CZ44&lt;&gt;"")*(ISNA(MATCH(E44:CZ44,{"P","A","L","E","D"},0))))&gt;0),"Error",
 IF(COUNTIFS($E$5:$CZ$5,"T1",E44:CZ44,$DC$5)=0,"--",
 COUNTIFS($E$5:$CZ$5,"T1",E44:CZ44,$DC$5)))))</f>
      </c>
      <c r="DD44" s="540">
        <f t="array" ref="DD44">IF(D44="","",
 IF($DO$3="Error","Error",
 IF(OR(
 SUM(($E$4:$CZ$4="")*(E44:CZ44&lt;&gt;""))&gt;0,
 SUM(($E$5:$CZ$5="")*(E44:CZ44&lt;&gt;""))&gt;0,
 COUNTA(E44:CZ44)&gt;$DO$3,
 SUMPRODUCT((E44:CZ44&lt;&gt;"")*(ISNA(MATCH(E44:CZ44,{"P","A","L","E","D"},0))))&gt;0),"Error",
 IF(COUNTIFS($E$5:$CZ$5,"T1",E44:CZ44,$DD$5)=0,"--",
 COUNTIFS($E$5:$CZ$5,"T1",E44:CZ44,$DD$5)))))</f>
      </c>
      <c r="DE44" s="541">
        <f t="array" ref="DE44">IF(D44="","",
 IF($DO$3="Error","Error",
 IF(OR(
 SUM(($E$4:$CZ$4="")*(E44:CZ44&lt;&gt;""))&gt;0,
 SUM(($E$5:$CZ$5="")*(E44:CZ44&lt;&gt;""))&gt;0,
 COUNTA(E44:CZ44)&gt;$DO$3,
 SUMPRODUCT((E44:CZ44&lt;&gt;"")*(ISNA(MATCH(E44:CZ44,{"P","A","L","E","D"},0))))&gt;0),"Error",
 IF(COUNTIFS($E$5:$CZ$5,"T2",E44:CZ44,$DE$5)=0,"--",
 COUNTIFS($E$5:$CZ$5,"T2",E44:CZ44,$DE$5)))))</f>
      </c>
      <c r="DF44" s="539">
        <f t="array" ref="DF44">IF(D44="","",
 IF($DO$3="Error","Error",
 IF(OR(
 SUM(($E$4:$CZ$4="")*(E44:CZ44&lt;&gt;""))&gt;0,
 SUM(($E$5:$CZ$5="")*(E44:CZ44&lt;&gt;""))&gt;0,
 COUNTA(E44:CZ44)&gt;$DO$3,
 SUMPRODUCT((E44:CZ44&lt;&gt;"")*(ISNA(MATCH(E44:CZ44,{"P","A","L","E","D"},0))))&gt;0),"Error",
 IF(COUNTIFS($E$5:$CZ$5,"T2",E44:CZ44,$DF$5)=0,"--",
 COUNTIFS($E$5:$CZ$5,"T2",E44:CZ44,$DF$5)))))</f>
      </c>
      <c r="DG44" s="539">
        <f t="array" ref="DG44">IF(D44="","",
 IF($DO$3="Error","Error",
 IF(OR(
 SUM(($E$4:$CZ$4="")*(E44:CZ44&lt;&gt;""))&gt;0,
 SUM(($E$5:$CZ$5="")*(E44:CZ44&lt;&gt;""))&gt;0,
 COUNTA(E44:CZ44)&gt;$DO$3,
 SUMPRODUCT((E44:CZ44&lt;&gt;"")*(ISNA(MATCH(E44:CZ44,{"P","A","L","E","D"},0))))&gt;0),"Error",
 IF(COUNTIFS($E$5:$CZ$5,"T2",E44:CZ44,$DG$5)=0,"--",
 COUNTIFS($E$5:$CZ$5,"T2",E44:CZ44,$DG$5)))))</f>
      </c>
      <c r="DH44" s="542">
        <f t="array" ref="DH44">IF(D44="","",
 IF($DO$3="Error","Error",
 IF(OR(
 SUM(($E$4:$CZ$4="")*(E44:CZ44&lt;&gt;""))&gt;0,
 SUM(($E$5:$CZ$5="")*(E44:CZ44&lt;&gt;""))&gt;0,
 COUNTA(E44:CZ44)&gt;$DO$3,
 SUMPRODUCT((E44:CZ44&lt;&gt;"")*(ISNA(MATCH(E44:CZ44,{"P","A","L","E","D"},0))))&gt;0),"Error",
 IF(COUNTIFS($E$5:$CZ$5,"T2",E44:CZ44,$DH$5)=0,"--",
 COUNTIFS($E$5:$CZ$5,"T2",E44:CZ44,$DH$5)))))</f>
      </c>
      <c r="DI44" s="543">
        <f t="array" ref="DI44">IF(D44="","",
 IF($DO$3="Error","Error",
 IF(OR(
 SUM(($E$4:$CZ$4="")*(E44:CZ44&lt;&gt;""))&gt;0,
 SUM(($E$5:$CZ$5="")*(E44:CZ44&lt;&gt;""))&gt;0,
 COUNTA(E44:CZ44)&gt;$DO$3,
 SUMPRODUCT((E44:CZ44&lt;&gt;"")*(ISNA(MATCH(E44:CZ44,{"P","A","L","E","D"},0))))&gt;0),"Error",
 IF(COUNTIFS($E$5:$CZ$5,"T3",E44:CZ44,$DI$5)=0,"--",
 COUNTIFS($E$5:$CZ$5,"T3",E44:CZ44,$DI$5)))))</f>
      </c>
      <c r="DJ44" s="539">
        <f t="array" ref="DJ44">IF(D44="","",
 IF($DO$3="Error","Error",
 IF(OR(
 SUM(($E$4:$CZ$4="")*(E44:CZ44&lt;&gt;""))&gt;0,
 SUM(($E$5:$CZ$5="")*(E44:CZ44&lt;&gt;""))&gt;0,
 COUNTA(E44:CZ44)&gt;$DO$3,
 SUMPRODUCT((E44:CZ44&lt;&gt;"")*(ISNA(MATCH(E44:CZ44,{"P","A","L","E","D"},0))))&gt;0),"Error",
 IF(COUNTIFS($E$5:$CZ$5,"T3",E44:CZ44,$DJ$5)=0,"--",
 COUNTIFS($E$5:$CZ$5,"T3",E44:CZ44,$DJ$5)))))</f>
      </c>
      <c r="DK44" s="539">
        <f t="array" ref="DK44">IF(D44="","",
 IF($DO$3="Error","Error",
 IF(OR(
 SUM(($E$4:$CZ$4="")*(E44:CZ44&lt;&gt;""))&gt;0,
 SUM(($E$5:$CZ$5="")*(E44:CZ44&lt;&gt;""))&gt;0,
 COUNTA(E44:CZ44)&gt;$DO$3,
 SUMPRODUCT((E44:CZ44&lt;&gt;"")*(ISNA(MATCH(E44:CZ44,{"P","A","L","E","D"},0))))&gt;0),"Error",
 IF(COUNTIFS($E$5:$CZ$5,"T3",E44:CZ44,$DK$5)=0,"--",
 COUNTIFS($E$5:$CZ$5,"T3",E44:CZ44,$DK$5)))))</f>
      </c>
      <c r="DL44" s="540">
        <f t="array" ref="DL44">IF(D44="","",
 IF($DO$3="Error","Error",
 IF(OR(
 SUM(($E$4:$CZ$4="")*(E44:CZ44&lt;&gt;""))&gt;0,
 SUM(($E$5:$CZ$5="")*(E44:CZ44&lt;&gt;""))&gt;0,
 COUNTA(E44:CZ44)&gt;$DO$3,
 SUMPRODUCT((E44:CZ44&lt;&gt;"")*(ISNA(MATCH(E44:CZ44,{"P","A","L","E","D"},0))))&gt;0),"Error",
 IF(COUNTIFS($E$5:$CZ$5,"T3",E44:CZ44,$DL$5)=0,"--",
 COUNTIFS($E$5:$CZ$5,"T3",E44:CZ44,$DL$5)))))</f>
      </c>
      <c r="DM44" s="530">
        <f t="array" ref="DM44">IF(COUNTIF(DA44:DL44,"Error")&gt;0,"Error",
 IF(AND(D44="",COUNTA(E44:CZ44)&gt;0),"Error",
 IF(COUNTIF(E44:CZ44,"D")&gt;0,"DRP",
 IF(OR(SUM(COUNTIF(E44:CZ44,{"P","A","L","E"}))&gt;0,AND(D44&lt;&gt;"",COUNTA(E44:CZ44)=0)),"Active",""))))</f>
      </c>
      <c r="DN44" s="531"/>
    </row>
    <row r="45" ht="15.95" customHeight="1" spans="2:118" x14ac:dyDescent="0.25">
      <c r="B45" s="471">
        <v>40</v>
      </c>
      <c r="C45" s="532">
        <f>IF('Data Input'!M46="","",'Data Input'!M46)</f>
      </c>
      <c r="D45" s="533">
        <f>IF('Data Input'!N46="","",'Data Input'!N46)</f>
      </c>
      <c r="E45" s="534"/>
      <c r="F45" s="535"/>
      <c r="G45" s="535"/>
      <c r="H45" s="535"/>
      <c r="I45" s="535"/>
      <c r="J45" s="535"/>
      <c r="K45" s="535"/>
      <c r="L45" s="535"/>
      <c r="M45" s="535"/>
      <c r="N45" s="535"/>
      <c r="O45" s="535"/>
      <c r="P45" s="535"/>
      <c r="Q45" s="535"/>
      <c r="R45" s="535"/>
      <c r="S45" s="535"/>
      <c r="T45" s="535"/>
      <c r="U45" s="535"/>
      <c r="V45" s="535"/>
      <c r="W45" s="535"/>
      <c r="X45" s="535"/>
      <c r="Y45" s="535"/>
      <c r="Z45" s="535"/>
      <c r="AA45" s="535"/>
      <c r="AB45" s="535"/>
      <c r="AC45" s="535"/>
      <c r="AD45" s="535"/>
      <c r="AE45" s="535"/>
      <c r="AF45" s="535"/>
      <c r="AG45" s="535"/>
      <c r="AH45" s="535"/>
      <c r="AI45" s="535"/>
      <c r="AJ45" s="535"/>
      <c r="AK45" s="535"/>
      <c r="AL45" s="535"/>
      <c r="AM45" s="535"/>
      <c r="AN45" s="535"/>
      <c r="AO45" s="535"/>
      <c r="AP45" s="535"/>
      <c r="AQ45" s="535"/>
      <c r="AR45" s="535"/>
      <c r="AS45" s="535"/>
      <c r="AT45" s="535"/>
      <c r="AU45" s="535"/>
      <c r="AV45" s="535"/>
      <c r="AW45" s="535"/>
      <c r="AX45" s="535"/>
      <c r="AY45" s="535"/>
      <c r="AZ45" s="535"/>
      <c r="BA45" s="535"/>
      <c r="BB45" s="536"/>
      <c r="BC45" s="535"/>
      <c r="BD45" s="535"/>
      <c r="BE45" s="535"/>
      <c r="BF45" s="535"/>
      <c r="BG45" s="535"/>
      <c r="BH45" s="535"/>
      <c r="BI45" s="535"/>
      <c r="BJ45" s="535"/>
      <c r="BK45" s="535"/>
      <c r="BL45" s="535"/>
      <c r="BM45" s="535"/>
      <c r="BN45" s="535"/>
      <c r="BO45" s="535"/>
      <c r="BP45" s="535"/>
      <c r="BQ45" s="535"/>
      <c r="BR45" s="535"/>
      <c r="BS45" s="535"/>
      <c r="BT45" s="535"/>
      <c r="BU45" s="535"/>
      <c r="BV45" s="535"/>
      <c r="BW45" s="535"/>
      <c r="BX45" s="535"/>
      <c r="BY45" s="535"/>
      <c r="BZ45" s="535"/>
      <c r="CA45" s="535"/>
      <c r="CB45" s="535"/>
      <c r="CC45" s="535"/>
      <c r="CD45" s="535"/>
      <c r="CE45" s="535"/>
      <c r="CF45" s="535"/>
      <c r="CG45" s="535"/>
      <c r="CH45" s="535"/>
      <c r="CI45" s="535"/>
      <c r="CJ45" s="535"/>
      <c r="CK45" s="535"/>
      <c r="CL45" s="535"/>
      <c r="CM45" s="535"/>
      <c r="CN45" s="535"/>
      <c r="CO45" s="535"/>
      <c r="CP45" s="535"/>
      <c r="CQ45" s="535"/>
      <c r="CR45" s="535"/>
      <c r="CS45" s="535"/>
      <c r="CT45" s="535"/>
      <c r="CU45" s="535"/>
      <c r="CV45" s="535"/>
      <c r="CW45" s="535"/>
      <c r="CX45" s="535"/>
      <c r="CY45" s="535"/>
      <c r="CZ45" s="537"/>
      <c r="DA45" s="538">
        <f t="array" ref="DA45">IF(D45="","",
 IF($DO$3="Error","Error",
 IF(OR(
 SUM(($E$4:$CZ$4="")*(E45:CZ45&lt;&gt;""))&gt;0,
 SUM(($E$5:$CZ$5="")*(E45:CZ45&lt;&gt;""))&gt;0,
 COUNTA(E45:CZ45)&gt;$DO$3,
 SUMPRODUCT((E45:CZ45&lt;&gt;"")*(ISNA(MATCH(E45:CZ45,{"P","A","L","E","D"},0))))&gt;0),"Error",
 IF(COUNTIFS($E$5:$CZ$5,"T1",E45:CZ45,$DA$5)=0,"--",
 COUNTIFS($E$5:$CZ$5,"T1",E45:CZ45,$DA$5)))))</f>
      </c>
      <c r="DB45" s="539">
        <f t="array" ref="DB45">IF(D45="","",
 IF($DO$3="Error","Error",
 IF(OR(
 SUM(($E$4:$CZ$4="")*(E45:CZ45&lt;&gt;""))&gt;0,
 SUM(($E$5:$CZ$5="")*(E45:CZ45&lt;&gt;""))&gt;0,
 COUNTA(E45:CZ45)&gt;$DO$3,
 SUMPRODUCT((E45:CZ45&lt;&gt;"")*(ISNA(MATCH(E45:CZ45,{"P","A","L","E","D"},0))))&gt;0),"Error",
 IF(COUNTIFS($E$5:$CZ$5,"T1",E45:CZ45,$DB$5)=0,"--",
 COUNTIFS($E$5:$CZ$5,"T1",E45:CZ45,$DB$5)))))</f>
      </c>
      <c r="DC45" s="539">
        <f t="array" ref="DC45">IF(D45="","",
 IF($DO$3="Error","Error",
 IF(OR(
 SUM(($E$4:$CZ$4="")*(E45:CZ45&lt;&gt;""))&gt;0,
 SUM(($E$5:$CZ$5="")*(E45:CZ45&lt;&gt;""))&gt;0,
 COUNTA(E45:CZ45)&gt;$DO$3,
 SUMPRODUCT((E45:CZ45&lt;&gt;"")*(ISNA(MATCH(E45:CZ45,{"P","A","L","E","D"},0))))&gt;0),"Error",
 IF(COUNTIFS($E$5:$CZ$5,"T1",E45:CZ45,$DC$5)=0,"--",
 COUNTIFS($E$5:$CZ$5,"T1",E45:CZ45,$DC$5)))))</f>
      </c>
      <c r="DD45" s="540">
        <f t="array" ref="DD45">IF(D45="","",
 IF($DO$3="Error","Error",
 IF(OR(
 SUM(($E$4:$CZ$4="")*(E45:CZ45&lt;&gt;""))&gt;0,
 SUM(($E$5:$CZ$5="")*(E45:CZ45&lt;&gt;""))&gt;0,
 COUNTA(E45:CZ45)&gt;$DO$3,
 SUMPRODUCT((E45:CZ45&lt;&gt;"")*(ISNA(MATCH(E45:CZ45,{"P","A","L","E","D"},0))))&gt;0),"Error",
 IF(COUNTIFS($E$5:$CZ$5,"T1",E45:CZ45,$DD$5)=0,"--",
 COUNTIFS($E$5:$CZ$5,"T1",E45:CZ45,$DD$5)))))</f>
      </c>
      <c r="DE45" s="541">
        <f t="array" ref="DE45">IF(D45="","",
 IF($DO$3="Error","Error",
 IF(OR(
 SUM(($E$4:$CZ$4="")*(E45:CZ45&lt;&gt;""))&gt;0,
 SUM(($E$5:$CZ$5="")*(E45:CZ45&lt;&gt;""))&gt;0,
 COUNTA(E45:CZ45)&gt;$DO$3,
 SUMPRODUCT((E45:CZ45&lt;&gt;"")*(ISNA(MATCH(E45:CZ45,{"P","A","L","E","D"},0))))&gt;0),"Error",
 IF(COUNTIFS($E$5:$CZ$5,"T2",E45:CZ45,$DE$5)=0,"--",
 COUNTIFS($E$5:$CZ$5,"T2",E45:CZ45,$DE$5)))))</f>
      </c>
      <c r="DF45" s="539">
        <f t="array" ref="DF45">IF(D45="","",
 IF($DO$3="Error","Error",
 IF(OR(
 SUM(($E$4:$CZ$4="")*(E45:CZ45&lt;&gt;""))&gt;0,
 SUM(($E$5:$CZ$5="")*(E45:CZ45&lt;&gt;""))&gt;0,
 COUNTA(E45:CZ45)&gt;$DO$3,
 SUMPRODUCT((E45:CZ45&lt;&gt;"")*(ISNA(MATCH(E45:CZ45,{"P","A","L","E","D"},0))))&gt;0),"Error",
 IF(COUNTIFS($E$5:$CZ$5,"T2",E45:CZ45,$DF$5)=0,"--",
 COUNTIFS($E$5:$CZ$5,"T2",E45:CZ45,$DF$5)))))</f>
      </c>
      <c r="DG45" s="539">
        <f t="array" ref="DG45">IF(D45="","",
 IF($DO$3="Error","Error",
 IF(OR(
 SUM(($E$4:$CZ$4="")*(E45:CZ45&lt;&gt;""))&gt;0,
 SUM(($E$5:$CZ$5="")*(E45:CZ45&lt;&gt;""))&gt;0,
 COUNTA(E45:CZ45)&gt;$DO$3,
 SUMPRODUCT((E45:CZ45&lt;&gt;"")*(ISNA(MATCH(E45:CZ45,{"P","A","L","E","D"},0))))&gt;0),"Error",
 IF(COUNTIFS($E$5:$CZ$5,"T2",E45:CZ45,$DG$5)=0,"--",
 COUNTIFS($E$5:$CZ$5,"T2",E45:CZ45,$DG$5)))))</f>
      </c>
      <c r="DH45" s="542">
        <f t="array" ref="DH45">IF(D45="","",
 IF($DO$3="Error","Error",
 IF(OR(
 SUM(($E$4:$CZ$4="")*(E45:CZ45&lt;&gt;""))&gt;0,
 SUM(($E$5:$CZ$5="")*(E45:CZ45&lt;&gt;""))&gt;0,
 COUNTA(E45:CZ45)&gt;$DO$3,
 SUMPRODUCT((E45:CZ45&lt;&gt;"")*(ISNA(MATCH(E45:CZ45,{"P","A","L","E","D"},0))))&gt;0),"Error",
 IF(COUNTIFS($E$5:$CZ$5,"T2",E45:CZ45,$DH$5)=0,"--",
 COUNTIFS($E$5:$CZ$5,"T2",E45:CZ45,$DH$5)))))</f>
      </c>
      <c r="DI45" s="543">
        <f t="array" ref="DI45">IF(D45="","",
 IF($DO$3="Error","Error",
 IF(OR(
 SUM(($E$4:$CZ$4="")*(E45:CZ45&lt;&gt;""))&gt;0,
 SUM(($E$5:$CZ$5="")*(E45:CZ45&lt;&gt;""))&gt;0,
 COUNTA(E45:CZ45)&gt;$DO$3,
 SUMPRODUCT((E45:CZ45&lt;&gt;"")*(ISNA(MATCH(E45:CZ45,{"P","A","L","E","D"},0))))&gt;0),"Error",
 IF(COUNTIFS($E$5:$CZ$5,"T3",E45:CZ45,$DI$5)=0,"--",
 COUNTIFS($E$5:$CZ$5,"T3",E45:CZ45,$DI$5)))))</f>
      </c>
      <c r="DJ45" s="539">
        <f t="array" ref="DJ45">IF(D45="","",
 IF($DO$3="Error","Error",
 IF(OR(
 SUM(($E$4:$CZ$4="")*(E45:CZ45&lt;&gt;""))&gt;0,
 SUM(($E$5:$CZ$5="")*(E45:CZ45&lt;&gt;""))&gt;0,
 COUNTA(E45:CZ45)&gt;$DO$3,
 SUMPRODUCT((E45:CZ45&lt;&gt;"")*(ISNA(MATCH(E45:CZ45,{"P","A","L","E","D"},0))))&gt;0),"Error",
 IF(COUNTIFS($E$5:$CZ$5,"T3",E45:CZ45,$DJ$5)=0,"--",
 COUNTIFS($E$5:$CZ$5,"T3",E45:CZ45,$DJ$5)))))</f>
      </c>
      <c r="DK45" s="539">
        <f t="array" ref="DK45">IF(D45="","",
 IF($DO$3="Error","Error",
 IF(OR(
 SUM(($E$4:$CZ$4="")*(E45:CZ45&lt;&gt;""))&gt;0,
 SUM(($E$5:$CZ$5="")*(E45:CZ45&lt;&gt;""))&gt;0,
 COUNTA(E45:CZ45)&gt;$DO$3,
 SUMPRODUCT((E45:CZ45&lt;&gt;"")*(ISNA(MATCH(E45:CZ45,{"P","A","L","E","D"},0))))&gt;0),"Error",
 IF(COUNTIFS($E$5:$CZ$5,"T3",E45:CZ45,$DK$5)=0,"--",
 COUNTIFS($E$5:$CZ$5,"T3",E45:CZ45,$DK$5)))))</f>
      </c>
      <c r="DL45" s="540">
        <f t="array" ref="DL45">IF(D45="","",
 IF($DO$3="Error","Error",
 IF(OR(
 SUM(($E$4:$CZ$4="")*(E45:CZ45&lt;&gt;""))&gt;0,
 SUM(($E$5:$CZ$5="")*(E45:CZ45&lt;&gt;""))&gt;0,
 COUNTA(E45:CZ45)&gt;$DO$3,
 SUMPRODUCT((E45:CZ45&lt;&gt;"")*(ISNA(MATCH(E45:CZ45,{"P","A","L","E","D"},0))))&gt;0),"Error",
 IF(COUNTIFS($E$5:$CZ$5,"T3",E45:CZ45,$DL$5)=0,"--",
 COUNTIFS($E$5:$CZ$5,"T3",E45:CZ45,$DL$5)))))</f>
      </c>
      <c r="DM45" s="530">
        <f t="array" ref="DM45">IF(COUNTIF(DA45:DL45,"Error")&gt;0,"Error",
 IF(AND(D45="",COUNTA(E45:CZ45)&gt;0),"Error",
 IF(COUNTIF(E45:CZ45,"D")&gt;0,"DRP",
 IF(OR(SUM(COUNTIF(E45:CZ45,{"P","A","L","E"}))&gt;0,AND(D45&lt;&gt;"",COUNTA(E45:CZ45)=0)),"Active",""))))</f>
      </c>
      <c r="DN45" s="531"/>
    </row>
    <row r="46" ht="15.95" customHeight="1" spans="2:118" x14ac:dyDescent="0.25">
      <c r="B46" s="471">
        <v>41</v>
      </c>
      <c r="C46" s="532">
        <f>IF('Data Input'!M47="","",'Data Input'!M47)</f>
      </c>
      <c r="D46" s="533">
        <f>IF('Data Input'!N47="","",'Data Input'!N47)</f>
      </c>
      <c r="E46" s="534"/>
      <c r="F46" s="535"/>
      <c r="G46" s="535"/>
      <c r="H46" s="535"/>
      <c r="I46" s="535"/>
      <c r="J46" s="535"/>
      <c r="K46" s="535"/>
      <c r="L46" s="535"/>
      <c r="M46" s="535"/>
      <c r="N46" s="535"/>
      <c r="O46" s="535"/>
      <c r="P46" s="535"/>
      <c r="Q46" s="535"/>
      <c r="R46" s="535"/>
      <c r="S46" s="535"/>
      <c r="T46" s="535"/>
      <c r="U46" s="535"/>
      <c r="V46" s="535"/>
      <c r="W46" s="535"/>
      <c r="X46" s="535"/>
      <c r="Y46" s="535"/>
      <c r="Z46" s="535"/>
      <c r="AA46" s="535"/>
      <c r="AB46" s="535"/>
      <c r="AC46" s="535"/>
      <c r="AD46" s="535"/>
      <c r="AE46" s="535"/>
      <c r="AF46" s="535"/>
      <c r="AG46" s="535"/>
      <c r="AH46" s="535"/>
      <c r="AI46" s="535"/>
      <c r="AJ46" s="535"/>
      <c r="AK46" s="535"/>
      <c r="AL46" s="535"/>
      <c r="AM46" s="535"/>
      <c r="AN46" s="535"/>
      <c r="AO46" s="535"/>
      <c r="AP46" s="535"/>
      <c r="AQ46" s="535"/>
      <c r="AR46" s="535"/>
      <c r="AS46" s="535"/>
      <c r="AT46" s="535"/>
      <c r="AU46" s="535"/>
      <c r="AV46" s="535"/>
      <c r="AW46" s="535"/>
      <c r="AX46" s="535"/>
      <c r="AY46" s="535"/>
      <c r="AZ46" s="535"/>
      <c r="BA46" s="535"/>
      <c r="BB46" s="536"/>
      <c r="BC46" s="535"/>
      <c r="BD46" s="535"/>
      <c r="BE46" s="535"/>
      <c r="BF46" s="535"/>
      <c r="BG46" s="535"/>
      <c r="BH46" s="535"/>
      <c r="BI46" s="535"/>
      <c r="BJ46" s="535"/>
      <c r="BK46" s="535"/>
      <c r="BL46" s="535"/>
      <c r="BM46" s="535"/>
      <c r="BN46" s="535"/>
      <c r="BO46" s="535"/>
      <c r="BP46" s="535"/>
      <c r="BQ46" s="535"/>
      <c r="BR46" s="535"/>
      <c r="BS46" s="535"/>
      <c r="BT46" s="535"/>
      <c r="BU46" s="535"/>
      <c r="BV46" s="535"/>
      <c r="BW46" s="535"/>
      <c r="BX46" s="535"/>
      <c r="BY46" s="535"/>
      <c r="BZ46" s="535"/>
      <c r="CA46" s="535"/>
      <c r="CB46" s="535"/>
      <c r="CC46" s="535"/>
      <c r="CD46" s="535"/>
      <c r="CE46" s="535"/>
      <c r="CF46" s="535"/>
      <c r="CG46" s="535"/>
      <c r="CH46" s="535"/>
      <c r="CI46" s="535"/>
      <c r="CJ46" s="535"/>
      <c r="CK46" s="535"/>
      <c r="CL46" s="535"/>
      <c r="CM46" s="535"/>
      <c r="CN46" s="535"/>
      <c r="CO46" s="535"/>
      <c r="CP46" s="535"/>
      <c r="CQ46" s="535"/>
      <c r="CR46" s="535"/>
      <c r="CS46" s="535"/>
      <c r="CT46" s="535"/>
      <c r="CU46" s="535"/>
      <c r="CV46" s="535"/>
      <c r="CW46" s="535"/>
      <c r="CX46" s="535"/>
      <c r="CY46" s="535"/>
      <c r="CZ46" s="537"/>
      <c r="DA46" s="538">
        <f t="array" ref="DA46">IF(D46="","",
 IF($DO$3="Error","Error",
 IF(OR(
 SUM(($E$4:$CZ$4="")*(E46:CZ46&lt;&gt;""))&gt;0,
 SUM(($E$5:$CZ$5="")*(E46:CZ46&lt;&gt;""))&gt;0,
 COUNTA(E46:CZ46)&gt;$DO$3,
 SUMPRODUCT((E46:CZ46&lt;&gt;"")*(ISNA(MATCH(E46:CZ46,{"P","A","L","E","D"},0))))&gt;0),"Error",
 IF(COUNTIFS($E$5:$CZ$5,"T1",E46:CZ46,$DA$5)=0,"--",
 COUNTIFS($E$5:$CZ$5,"T1",E46:CZ46,$DA$5)))))</f>
      </c>
      <c r="DB46" s="539">
        <f t="array" ref="DB46">IF(D46="","",
 IF($DO$3="Error","Error",
 IF(OR(
 SUM(($E$4:$CZ$4="")*(E46:CZ46&lt;&gt;""))&gt;0,
 SUM(($E$5:$CZ$5="")*(E46:CZ46&lt;&gt;""))&gt;0,
 COUNTA(E46:CZ46)&gt;$DO$3,
 SUMPRODUCT((E46:CZ46&lt;&gt;"")*(ISNA(MATCH(E46:CZ46,{"P","A","L","E","D"},0))))&gt;0),"Error",
 IF(COUNTIFS($E$5:$CZ$5,"T1",E46:CZ46,$DB$5)=0,"--",
 COUNTIFS($E$5:$CZ$5,"T1",E46:CZ46,$DB$5)))))</f>
      </c>
      <c r="DC46" s="539">
        <f t="array" ref="DC46">IF(D46="","",
 IF($DO$3="Error","Error",
 IF(OR(
 SUM(($E$4:$CZ$4="")*(E46:CZ46&lt;&gt;""))&gt;0,
 SUM(($E$5:$CZ$5="")*(E46:CZ46&lt;&gt;""))&gt;0,
 COUNTA(E46:CZ46)&gt;$DO$3,
 SUMPRODUCT((E46:CZ46&lt;&gt;"")*(ISNA(MATCH(E46:CZ46,{"P","A","L","E","D"},0))))&gt;0),"Error",
 IF(COUNTIFS($E$5:$CZ$5,"T1",E46:CZ46,$DC$5)=0,"--",
 COUNTIFS($E$5:$CZ$5,"T1",E46:CZ46,$DC$5)))))</f>
      </c>
      <c r="DD46" s="540">
        <f t="array" ref="DD46">IF(D46="","",
 IF($DO$3="Error","Error",
 IF(OR(
 SUM(($E$4:$CZ$4="")*(E46:CZ46&lt;&gt;""))&gt;0,
 SUM(($E$5:$CZ$5="")*(E46:CZ46&lt;&gt;""))&gt;0,
 COUNTA(E46:CZ46)&gt;$DO$3,
 SUMPRODUCT((E46:CZ46&lt;&gt;"")*(ISNA(MATCH(E46:CZ46,{"P","A","L","E","D"},0))))&gt;0),"Error",
 IF(COUNTIFS($E$5:$CZ$5,"T1",E46:CZ46,$DD$5)=0,"--",
 COUNTIFS($E$5:$CZ$5,"T1",E46:CZ46,$DD$5)))))</f>
      </c>
      <c r="DE46" s="541">
        <f t="array" ref="DE46">IF(D46="","",
 IF($DO$3="Error","Error",
 IF(OR(
 SUM(($E$4:$CZ$4="")*(E46:CZ46&lt;&gt;""))&gt;0,
 SUM(($E$5:$CZ$5="")*(E46:CZ46&lt;&gt;""))&gt;0,
 COUNTA(E46:CZ46)&gt;$DO$3,
 SUMPRODUCT((E46:CZ46&lt;&gt;"")*(ISNA(MATCH(E46:CZ46,{"P","A","L","E","D"},0))))&gt;0),"Error",
 IF(COUNTIFS($E$5:$CZ$5,"T2",E46:CZ46,$DE$5)=0,"--",
 COUNTIFS($E$5:$CZ$5,"T2",E46:CZ46,$DE$5)))))</f>
      </c>
      <c r="DF46" s="539">
        <f t="array" ref="DF46">IF(D46="","",
 IF($DO$3="Error","Error",
 IF(OR(
 SUM(($E$4:$CZ$4="")*(E46:CZ46&lt;&gt;""))&gt;0,
 SUM(($E$5:$CZ$5="")*(E46:CZ46&lt;&gt;""))&gt;0,
 COUNTA(E46:CZ46)&gt;$DO$3,
 SUMPRODUCT((E46:CZ46&lt;&gt;"")*(ISNA(MATCH(E46:CZ46,{"P","A","L","E","D"},0))))&gt;0),"Error",
 IF(COUNTIFS($E$5:$CZ$5,"T2",E46:CZ46,$DF$5)=0,"--",
 COUNTIFS($E$5:$CZ$5,"T2",E46:CZ46,$DF$5)))))</f>
      </c>
      <c r="DG46" s="539">
        <f t="array" ref="DG46">IF(D46="","",
 IF($DO$3="Error","Error",
 IF(OR(
 SUM(($E$4:$CZ$4="")*(E46:CZ46&lt;&gt;""))&gt;0,
 SUM(($E$5:$CZ$5="")*(E46:CZ46&lt;&gt;""))&gt;0,
 COUNTA(E46:CZ46)&gt;$DO$3,
 SUMPRODUCT((E46:CZ46&lt;&gt;"")*(ISNA(MATCH(E46:CZ46,{"P","A","L","E","D"},0))))&gt;0),"Error",
 IF(COUNTIFS($E$5:$CZ$5,"T2",E46:CZ46,$DG$5)=0,"--",
 COUNTIFS($E$5:$CZ$5,"T2",E46:CZ46,$DG$5)))))</f>
      </c>
      <c r="DH46" s="542">
        <f t="array" ref="DH46">IF(D46="","",
 IF($DO$3="Error","Error",
 IF(OR(
 SUM(($E$4:$CZ$4="")*(E46:CZ46&lt;&gt;""))&gt;0,
 SUM(($E$5:$CZ$5="")*(E46:CZ46&lt;&gt;""))&gt;0,
 COUNTA(E46:CZ46)&gt;$DO$3,
 SUMPRODUCT((E46:CZ46&lt;&gt;"")*(ISNA(MATCH(E46:CZ46,{"P","A","L","E","D"},0))))&gt;0),"Error",
 IF(COUNTIFS($E$5:$CZ$5,"T2",E46:CZ46,$DH$5)=0,"--",
 COUNTIFS($E$5:$CZ$5,"T2",E46:CZ46,$DH$5)))))</f>
      </c>
      <c r="DI46" s="543">
        <f t="array" ref="DI46">IF(D46="","",
 IF($DO$3="Error","Error",
 IF(OR(
 SUM(($E$4:$CZ$4="")*(E46:CZ46&lt;&gt;""))&gt;0,
 SUM(($E$5:$CZ$5="")*(E46:CZ46&lt;&gt;""))&gt;0,
 COUNTA(E46:CZ46)&gt;$DO$3,
 SUMPRODUCT((E46:CZ46&lt;&gt;"")*(ISNA(MATCH(E46:CZ46,{"P","A","L","E","D"},0))))&gt;0),"Error",
 IF(COUNTIFS($E$5:$CZ$5,"T3",E46:CZ46,$DI$5)=0,"--",
 COUNTIFS($E$5:$CZ$5,"T3",E46:CZ46,$DI$5)))))</f>
      </c>
      <c r="DJ46" s="539">
        <f t="array" ref="DJ46">IF(D46="","",
 IF($DO$3="Error","Error",
 IF(OR(
 SUM(($E$4:$CZ$4="")*(E46:CZ46&lt;&gt;""))&gt;0,
 SUM(($E$5:$CZ$5="")*(E46:CZ46&lt;&gt;""))&gt;0,
 COUNTA(E46:CZ46)&gt;$DO$3,
 SUMPRODUCT((E46:CZ46&lt;&gt;"")*(ISNA(MATCH(E46:CZ46,{"P","A","L","E","D"},0))))&gt;0),"Error",
 IF(COUNTIFS($E$5:$CZ$5,"T3",E46:CZ46,$DJ$5)=0,"--",
 COUNTIFS($E$5:$CZ$5,"T3",E46:CZ46,$DJ$5)))))</f>
      </c>
      <c r="DK46" s="539">
        <f t="array" ref="DK46">IF(D46="","",
 IF($DO$3="Error","Error",
 IF(OR(
 SUM(($E$4:$CZ$4="")*(E46:CZ46&lt;&gt;""))&gt;0,
 SUM(($E$5:$CZ$5="")*(E46:CZ46&lt;&gt;""))&gt;0,
 COUNTA(E46:CZ46)&gt;$DO$3,
 SUMPRODUCT((E46:CZ46&lt;&gt;"")*(ISNA(MATCH(E46:CZ46,{"P","A","L","E","D"},0))))&gt;0),"Error",
 IF(COUNTIFS($E$5:$CZ$5,"T3",E46:CZ46,$DK$5)=0,"--",
 COUNTIFS($E$5:$CZ$5,"T3",E46:CZ46,$DK$5)))))</f>
      </c>
      <c r="DL46" s="540">
        <f t="array" ref="DL46">IF(D46="","",
 IF($DO$3="Error","Error",
 IF(OR(
 SUM(($E$4:$CZ$4="")*(E46:CZ46&lt;&gt;""))&gt;0,
 SUM(($E$5:$CZ$5="")*(E46:CZ46&lt;&gt;""))&gt;0,
 COUNTA(E46:CZ46)&gt;$DO$3,
 SUMPRODUCT((E46:CZ46&lt;&gt;"")*(ISNA(MATCH(E46:CZ46,{"P","A","L","E","D"},0))))&gt;0),"Error",
 IF(COUNTIFS($E$5:$CZ$5,"T3",E46:CZ46,$DL$5)=0,"--",
 COUNTIFS($E$5:$CZ$5,"T3",E46:CZ46,$DL$5)))))</f>
      </c>
      <c r="DM46" s="530">
        <f t="array" ref="DM46">IF(COUNTIF(DA46:DL46,"Error")&gt;0,"Error",
 IF(AND(D46="",COUNTA(E46:CZ46)&gt;0),"Error",
 IF(COUNTIF(E46:CZ46,"D")&gt;0,"DRP",
 IF(OR(SUM(COUNTIF(E46:CZ46,{"P","A","L","E"}))&gt;0,AND(D46&lt;&gt;"",COUNTA(E46:CZ46)=0)),"Active",""))))</f>
      </c>
      <c r="DN46" s="531"/>
    </row>
    <row r="47" ht="15.95" customHeight="1" spans="2:118" x14ac:dyDescent="0.25">
      <c r="B47" s="471">
        <v>42</v>
      </c>
      <c r="C47" s="532">
        <f>IF('Data Input'!M48="","",'Data Input'!M48)</f>
      </c>
      <c r="D47" s="533">
        <f>IF('Data Input'!N48="","",'Data Input'!N48)</f>
      </c>
      <c r="E47" s="534"/>
      <c r="F47" s="535"/>
      <c r="G47" s="535"/>
      <c r="H47" s="535"/>
      <c r="I47" s="535"/>
      <c r="J47" s="535"/>
      <c r="K47" s="535"/>
      <c r="L47" s="535"/>
      <c r="M47" s="535"/>
      <c r="N47" s="535"/>
      <c r="O47" s="535"/>
      <c r="P47" s="535"/>
      <c r="Q47" s="535"/>
      <c r="R47" s="535"/>
      <c r="S47" s="535"/>
      <c r="T47" s="535"/>
      <c r="U47" s="535"/>
      <c r="V47" s="535"/>
      <c r="W47" s="535"/>
      <c r="X47" s="535"/>
      <c r="Y47" s="535"/>
      <c r="Z47" s="535"/>
      <c r="AA47" s="535"/>
      <c r="AB47" s="535"/>
      <c r="AC47" s="535"/>
      <c r="AD47" s="535"/>
      <c r="AE47" s="535"/>
      <c r="AF47" s="535"/>
      <c r="AG47" s="535"/>
      <c r="AH47" s="535"/>
      <c r="AI47" s="535"/>
      <c r="AJ47" s="535"/>
      <c r="AK47" s="535"/>
      <c r="AL47" s="535"/>
      <c r="AM47" s="535"/>
      <c r="AN47" s="535"/>
      <c r="AO47" s="535"/>
      <c r="AP47" s="535"/>
      <c r="AQ47" s="535"/>
      <c r="AR47" s="535"/>
      <c r="AS47" s="535"/>
      <c r="AT47" s="535"/>
      <c r="AU47" s="535"/>
      <c r="AV47" s="535"/>
      <c r="AW47" s="535"/>
      <c r="AX47" s="535"/>
      <c r="AY47" s="535"/>
      <c r="AZ47" s="535"/>
      <c r="BA47" s="535"/>
      <c r="BB47" s="536"/>
      <c r="BC47" s="535"/>
      <c r="BD47" s="535"/>
      <c r="BE47" s="535"/>
      <c r="BF47" s="535"/>
      <c r="BG47" s="535"/>
      <c r="BH47" s="535"/>
      <c r="BI47" s="535"/>
      <c r="BJ47" s="535"/>
      <c r="BK47" s="535"/>
      <c r="BL47" s="535"/>
      <c r="BM47" s="535"/>
      <c r="BN47" s="535"/>
      <c r="BO47" s="535"/>
      <c r="BP47" s="535"/>
      <c r="BQ47" s="535"/>
      <c r="BR47" s="535"/>
      <c r="BS47" s="535"/>
      <c r="BT47" s="535"/>
      <c r="BU47" s="535"/>
      <c r="BV47" s="535"/>
      <c r="BW47" s="535"/>
      <c r="BX47" s="535"/>
      <c r="BY47" s="535"/>
      <c r="BZ47" s="535"/>
      <c r="CA47" s="535"/>
      <c r="CB47" s="535"/>
      <c r="CC47" s="535"/>
      <c r="CD47" s="535"/>
      <c r="CE47" s="535"/>
      <c r="CF47" s="535"/>
      <c r="CG47" s="535"/>
      <c r="CH47" s="535"/>
      <c r="CI47" s="535"/>
      <c r="CJ47" s="535"/>
      <c r="CK47" s="535"/>
      <c r="CL47" s="535"/>
      <c r="CM47" s="535"/>
      <c r="CN47" s="535"/>
      <c r="CO47" s="535"/>
      <c r="CP47" s="535"/>
      <c r="CQ47" s="535"/>
      <c r="CR47" s="535"/>
      <c r="CS47" s="535"/>
      <c r="CT47" s="535"/>
      <c r="CU47" s="535"/>
      <c r="CV47" s="535"/>
      <c r="CW47" s="535"/>
      <c r="CX47" s="535"/>
      <c r="CY47" s="535"/>
      <c r="CZ47" s="537"/>
      <c r="DA47" s="538">
        <f t="array" ref="DA47">IF(D47="","",
 IF($DO$3="Error","Error",
 IF(OR(
 SUM(($E$4:$CZ$4="")*(E47:CZ47&lt;&gt;""))&gt;0,
 SUM(($E$5:$CZ$5="")*(E47:CZ47&lt;&gt;""))&gt;0,
 COUNTA(E47:CZ47)&gt;$DO$3,
 SUMPRODUCT((E47:CZ47&lt;&gt;"")*(ISNA(MATCH(E47:CZ47,{"P","A","L","E","D"},0))))&gt;0),"Error",
 IF(COUNTIFS($E$5:$CZ$5,"T1",E47:CZ47,$DA$5)=0,"--",
 COUNTIFS($E$5:$CZ$5,"T1",E47:CZ47,$DA$5)))))</f>
      </c>
      <c r="DB47" s="539">
        <f t="array" ref="DB47">IF(D47="","",
 IF($DO$3="Error","Error",
 IF(OR(
 SUM(($E$4:$CZ$4="")*(E47:CZ47&lt;&gt;""))&gt;0,
 SUM(($E$5:$CZ$5="")*(E47:CZ47&lt;&gt;""))&gt;0,
 COUNTA(E47:CZ47)&gt;$DO$3,
 SUMPRODUCT((E47:CZ47&lt;&gt;"")*(ISNA(MATCH(E47:CZ47,{"P","A","L","E","D"},0))))&gt;0),"Error",
 IF(COUNTIFS($E$5:$CZ$5,"T1",E47:CZ47,$DB$5)=0,"--",
 COUNTIFS($E$5:$CZ$5,"T1",E47:CZ47,$DB$5)))))</f>
      </c>
      <c r="DC47" s="539">
        <f t="array" ref="DC47">IF(D47="","",
 IF($DO$3="Error","Error",
 IF(OR(
 SUM(($E$4:$CZ$4="")*(E47:CZ47&lt;&gt;""))&gt;0,
 SUM(($E$5:$CZ$5="")*(E47:CZ47&lt;&gt;""))&gt;0,
 COUNTA(E47:CZ47)&gt;$DO$3,
 SUMPRODUCT((E47:CZ47&lt;&gt;"")*(ISNA(MATCH(E47:CZ47,{"P","A","L","E","D"},0))))&gt;0),"Error",
 IF(COUNTIFS($E$5:$CZ$5,"T1",E47:CZ47,$DC$5)=0,"--",
 COUNTIFS($E$5:$CZ$5,"T1",E47:CZ47,$DC$5)))))</f>
      </c>
      <c r="DD47" s="540">
        <f t="array" ref="DD47">IF(D47="","",
 IF($DO$3="Error","Error",
 IF(OR(
 SUM(($E$4:$CZ$4="")*(E47:CZ47&lt;&gt;""))&gt;0,
 SUM(($E$5:$CZ$5="")*(E47:CZ47&lt;&gt;""))&gt;0,
 COUNTA(E47:CZ47)&gt;$DO$3,
 SUMPRODUCT((E47:CZ47&lt;&gt;"")*(ISNA(MATCH(E47:CZ47,{"P","A","L","E","D"},0))))&gt;0),"Error",
 IF(COUNTIFS($E$5:$CZ$5,"T1",E47:CZ47,$DD$5)=0,"--",
 COUNTIFS($E$5:$CZ$5,"T1",E47:CZ47,$DD$5)))))</f>
      </c>
      <c r="DE47" s="541">
        <f t="array" ref="DE47">IF(D47="","",
 IF($DO$3="Error","Error",
 IF(OR(
 SUM(($E$4:$CZ$4="")*(E47:CZ47&lt;&gt;""))&gt;0,
 SUM(($E$5:$CZ$5="")*(E47:CZ47&lt;&gt;""))&gt;0,
 COUNTA(E47:CZ47)&gt;$DO$3,
 SUMPRODUCT((E47:CZ47&lt;&gt;"")*(ISNA(MATCH(E47:CZ47,{"P","A","L","E","D"},0))))&gt;0),"Error",
 IF(COUNTIFS($E$5:$CZ$5,"T2",E47:CZ47,$DE$5)=0,"--",
 COUNTIFS($E$5:$CZ$5,"T2",E47:CZ47,$DE$5)))))</f>
      </c>
      <c r="DF47" s="539">
        <f t="array" ref="DF47">IF(D47="","",
 IF($DO$3="Error","Error",
 IF(OR(
 SUM(($E$4:$CZ$4="")*(E47:CZ47&lt;&gt;""))&gt;0,
 SUM(($E$5:$CZ$5="")*(E47:CZ47&lt;&gt;""))&gt;0,
 COUNTA(E47:CZ47)&gt;$DO$3,
 SUMPRODUCT((E47:CZ47&lt;&gt;"")*(ISNA(MATCH(E47:CZ47,{"P","A","L","E","D"},0))))&gt;0),"Error",
 IF(COUNTIFS($E$5:$CZ$5,"T2",E47:CZ47,$DF$5)=0,"--",
 COUNTIFS($E$5:$CZ$5,"T2",E47:CZ47,$DF$5)))))</f>
      </c>
      <c r="DG47" s="539">
        <f t="array" ref="DG47">IF(D47="","",
 IF($DO$3="Error","Error",
 IF(OR(
 SUM(($E$4:$CZ$4="")*(E47:CZ47&lt;&gt;""))&gt;0,
 SUM(($E$5:$CZ$5="")*(E47:CZ47&lt;&gt;""))&gt;0,
 COUNTA(E47:CZ47)&gt;$DO$3,
 SUMPRODUCT((E47:CZ47&lt;&gt;"")*(ISNA(MATCH(E47:CZ47,{"P","A","L","E","D"},0))))&gt;0),"Error",
 IF(COUNTIFS($E$5:$CZ$5,"T2",E47:CZ47,$DG$5)=0,"--",
 COUNTIFS($E$5:$CZ$5,"T2",E47:CZ47,$DG$5)))))</f>
      </c>
      <c r="DH47" s="542">
        <f t="array" ref="DH47">IF(D47="","",
 IF($DO$3="Error","Error",
 IF(OR(
 SUM(($E$4:$CZ$4="")*(E47:CZ47&lt;&gt;""))&gt;0,
 SUM(($E$5:$CZ$5="")*(E47:CZ47&lt;&gt;""))&gt;0,
 COUNTA(E47:CZ47)&gt;$DO$3,
 SUMPRODUCT((E47:CZ47&lt;&gt;"")*(ISNA(MATCH(E47:CZ47,{"P","A","L","E","D"},0))))&gt;0),"Error",
 IF(COUNTIFS($E$5:$CZ$5,"T2",E47:CZ47,$DH$5)=0,"--",
 COUNTIFS($E$5:$CZ$5,"T2",E47:CZ47,$DH$5)))))</f>
      </c>
      <c r="DI47" s="543">
        <f t="array" ref="DI47">IF(D47="","",
 IF($DO$3="Error","Error",
 IF(OR(
 SUM(($E$4:$CZ$4="")*(E47:CZ47&lt;&gt;""))&gt;0,
 SUM(($E$5:$CZ$5="")*(E47:CZ47&lt;&gt;""))&gt;0,
 COUNTA(E47:CZ47)&gt;$DO$3,
 SUMPRODUCT((E47:CZ47&lt;&gt;"")*(ISNA(MATCH(E47:CZ47,{"P","A","L","E","D"},0))))&gt;0),"Error",
 IF(COUNTIFS($E$5:$CZ$5,"T3",E47:CZ47,$DI$5)=0,"--",
 COUNTIFS($E$5:$CZ$5,"T3",E47:CZ47,$DI$5)))))</f>
      </c>
      <c r="DJ47" s="539">
        <f t="array" ref="DJ47">IF(D47="","",
 IF($DO$3="Error","Error",
 IF(OR(
 SUM(($E$4:$CZ$4="")*(E47:CZ47&lt;&gt;""))&gt;0,
 SUM(($E$5:$CZ$5="")*(E47:CZ47&lt;&gt;""))&gt;0,
 COUNTA(E47:CZ47)&gt;$DO$3,
 SUMPRODUCT((E47:CZ47&lt;&gt;"")*(ISNA(MATCH(E47:CZ47,{"P","A","L","E","D"},0))))&gt;0),"Error",
 IF(COUNTIFS($E$5:$CZ$5,"T3",E47:CZ47,$DJ$5)=0,"--",
 COUNTIFS($E$5:$CZ$5,"T3",E47:CZ47,$DJ$5)))))</f>
      </c>
      <c r="DK47" s="539">
        <f t="array" ref="DK47">IF(D47="","",
 IF($DO$3="Error","Error",
 IF(OR(
 SUM(($E$4:$CZ$4="")*(E47:CZ47&lt;&gt;""))&gt;0,
 SUM(($E$5:$CZ$5="")*(E47:CZ47&lt;&gt;""))&gt;0,
 COUNTA(E47:CZ47)&gt;$DO$3,
 SUMPRODUCT((E47:CZ47&lt;&gt;"")*(ISNA(MATCH(E47:CZ47,{"P","A","L","E","D"},0))))&gt;0),"Error",
 IF(COUNTIFS($E$5:$CZ$5,"T3",E47:CZ47,$DK$5)=0,"--",
 COUNTIFS($E$5:$CZ$5,"T3",E47:CZ47,$DK$5)))))</f>
      </c>
      <c r="DL47" s="540">
        <f t="array" ref="DL47">IF(D47="","",
 IF($DO$3="Error","Error",
 IF(OR(
 SUM(($E$4:$CZ$4="")*(E47:CZ47&lt;&gt;""))&gt;0,
 SUM(($E$5:$CZ$5="")*(E47:CZ47&lt;&gt;""))&gt;0,
 COUNTA(E47:CZ47)&gt;$DO$3,
 SUMPRODUCT((E47:CZ47&lt;&gt;"")*(ISNA(MATCH(E47:CZ47,{"P","A","L","E","D"},0))))&gt;0),"Error",
 IF(COUNTIFS($E$5:$CZ$5,"T3",E47:CZ47,$DL$5)=0,"--",
 COUNTIFS($E$5:$CZ$5,"T3",E47:CZ47,$DL$5)))))</f>
      </c>
      <c r="DM47" s="530">
        <f t="array" ref="DM47">IF(COUNTIF(DA47:DL47,"Error")&gt;0,"Error",
 IF(AND(D47="",COUNTA(E47:CZ47)&gt;0),"Error",
 IF(COUNTIF(E47:CZ47,"D")&gt;0,"DRP",
 IF(OR(SUM(COUNTIF(E47:CZ47,{"P","A","L","E"}))&gt;0,AND(D47&lt;&gt;"",COUNTA(E47:CZ47)=0)),"Active",""))))</f>
      </c>
      <c r="DN47" s="531"/>
    </row>
    <row r="48" ht="15.95" customHeight="1" spans="2:118" x14ac:dyDescent="0.25">
      <c r="B48" s="471">
        <v>43</v>
      </c>
      <c r="C48" s="532">
        <f>IF('Data Input'!M49="","",'Data Input'!M49)</f>
      </c>
      <c r="D48" s="533">
        <f>IF('Data Input'!N49="","",'Data Input'!N49)</f>
      </c>
      <c r="E48" s="534"/>
      <c r="F48" s="535"/>
      <c r="G48" s="535"/>
      <c r="H48" s="535"/>
      <c r="I48" s="535"/>
      <c r="J48" s="535"/>
      <c r="K48" s="535"/>
      <c r="L48" s="535"/>
      <c r="M48" s="535"/>
      <c r="N48" s="535"/>
      <c r="O48" s="535"/>
      <c r="P48" s="535"/>
      <c r="Q48" s="535"/>
      <c r="R48" s="535"/>
      <c r="S48" s="535"/>
      <c r="T48" s="535"/>
      <c r="U48" s="535"/>
      <c r="V48" s="535"/>
      <c r="W48" s="535"/>
      <c r="X48" s="535"/>
      <c r="Y48" s="535"/>
      <c r="Z48" s="535"/>
      <c r="AA48" s="535"/>
      <c r="AB48" s="535"/>
      <c r="AC48" s="535"/>
      <c r="AD48" s="535"/>
      <c r="AE48" s="535"/>
      <c r="AF48" s="535"/>
      <c r="AG48" s="535"/>
      <c r="AH48" s="535"/>
      <c r="AI48" s="535"/>
      <c r="AJ48" s="535"/>
      <c r="AK48" s="535"/>
      <c r="AL48" s="535"/>
      <c r="AM48" s="535"/>
      <c r="AN48" s="535"/>
      <c r="AO48" s="535"/>
      <c r="AP48" s="535"/>
      <c r="AQ48" s="535"/>
      <c r="AR48" s="535"/>
      <c r="AS48" s="535"/>
      <c r="AT48" s="535"/>
      <c r="AU48" s="535"/>
      <c r="AV48" s="535"/>
      <c r="AW48" s="535"/>
      <c r="AX48" s="535"/>
      <c r="AY48" s="535"/>
      <c r="AZ48" s="535"/>
      <c r="BA48" s="535"/>
      <c r="BB48" s="536"/>
      <c r="BC48" s="535"/>
      <c r="BD48" s="535"/>
      <c r="BE48" s="535"/>
      <c r="BF48" s="535"/>
      <c r="BG48" s="535"/>
      <c r="BH48" s="535"/>
      <c r="BI48" s="535"/>
      <c r="BJ48" s="535"/>
      <c r="BK48" s="535"/>
      <c r="BL48" s="535"/>
      <c r="BM48" s="535"/>
      <c r="BN48" s="535"/>
      <c r="BO48" s="535"/>
      <c r="BP48" s="535"/>
      <c r="BQ48" s="535"/>
      <c r="BR48" s="535"/>
      <c r="BS48" s="535"/>
      <c r="BT48" s="535"/>
      <c r="BU48" s="535"/>
      <c r="BV48" s="535"/>
      <c r="BW48" s="535"/>
      <c r="BX48" s="535"/>
      <c r="BY48" s="535"/>
      <c r="BZ48" s="535"/>
      <c r="CA48" s="535"/>
      <c r="CB48" s="535"/>
      <c r="CC48" s="535"/>
      <c r="CD48" s="535"/>
      <c r="CE48" s="535"/>
      <c r="CF48" s="535"/>
      <c r="CG48" s="535"/>
      <c r="CH48" s="535"/>
      <c r="CI48" s="535"/>
      <c r="CJ48" s="535"/>
      <c r="CK48" s="535"/>
      <c r="CL48" s="535"/>
      <c r="CM48" s="535"/>
      <c r="CN48" s="535"/>
      <c r="CO48" s="535"/>
      <c r="CP48" s="535"/>
      <c r="CQ48" s="535"/>
      <c r="CR48" s="535"/>
      <c r="CS48" s="535"/>
      <c r="CT48" s="535"/>
      <c r="CU48" s="535"/>
      <c r="CV48" s="535"/>
      <c r="CW48" s="535"/>
      <c r="CX48" s="535"/>
      <c r="CY48" s="535"/>
      <c r="CZ48" s="537"/>
      <c r="DA48" s="538">
        <f t="array" ref="DA48">IF(D48="","",
 IF($DO$3="Error","Error",
 IF(OR(
 SUM(($E$4:$CZ$4="")*(E48:CZ48&lt;&gt;""))&gt;0,
 SUM(($E$5:$CZ$5="")*(E48:CZ48&lt;&gt;""))&gt;0,
 COUNTA(E48:CZ48)&gt;$DO$3,
 SUMPRODUCT((E48:CZ48&lt;&gt;"")*(ISNA(MATCH(E48:CZ48,{"P","A","L","E","D"},0))))&gt;0),"Error",
 IF(COUNTIFS($E$5:$CZ$5,"T1",E48:CZ48,$DA$5)=0,"--",
 COUNTIFS($E$5:$CZ$5,"T1",E48:CZ48,$DA$5)))))</f>
      </c>
      <c r="DB48" s="539">
        <f t="array" ref="DB48">IF(D48="","",
 IF($DO$3="Error","Error",
 IF(OR(
 SUM(($E$4:$CZ$4="")*(E48:CZ48&lt;&gt;""))&gt;0,
 SUM(($E$5:$CZ$5="")*(E48:CZ48&lt;&gt;""))&gt;0,
 COUNTA(E48:CZ48)&gt;$DO$3,
 SUMPRODUCT((E48:CZ48&lt;&gt;"")*(ISNA(MATCH(E48:CZ48,{"P","A","L","E","D"},0))))&gt;0),"Error",
 IF(COUNTIFS($E$5:$CZ$5,"T1",E48:CZ48,$DB$5)=0,"--",
 COUNTIFS($E$5:$CZ$5,"T1",E48:CZ48,$DB$5)))))</f>
      </c>
      <c r="DC48" s="539">
        <f t="array" ref="DC48">IF(D48="","",
 IF($DO$3="Error","Error",
 IF(OR(
 SUM(($E$4:$CZ$4="")*(E48:CZ48&lt;&gt;""))&gt;0,
 SUM(($E$5:$CZ$5="")*(E48:CZ48&lt;&gt;""))&gt;0,
 COUNTA(E48:CZ48)&gt;$DO$3,
 SUMPRODUCT((E48:CZ48&lt;&gt;"")*(ISNA(MATCH(E48:CZ48,{"P","A","L","E","D"},0))))&gt;0),"Error",
 IF(COUNTIFS($E$5:$CZ$5,"T1",E48:CZ48,$DC$5)=0,"--",
 COUNTIFS($E$5:$CZ$5,"T1",E48:CZ48,$DC$5)))))</f>
      </c>
      <c r="DD48" s="540">
        <f t="array" ref="DD48">IF(D48="","",
 IF($DO$3="Error","Error",
 IF(OR(
 SUM(($E$4:$CZ$4="")*(E48:CZ48&lt;&gt;""))&gt;0,
 SUM(($E$5:$CZ$5="")*(E48:CZ48&lt;&gt;""))&gt;0,
 COUNTA(E48:CZ48)&gt;$DO$3,
 SUMPRODUCT((E48:CZ48&lt;&gt;"")*(ISNA(MATCH(E48:CZ48,{"P","A","L","E","D"},0))))&gt;0),"Error",
 IF(COUNTIFS($E$5:$CZ$5,"T1",E48:CZ48,$DD$5)=0,"--",
 COUNTIFS($E$5:$CZ$5,"T1",E48:CZ48,$DD$5)))))</f>
      </c>
      <c r="DE48" s="541">
        <f t="array" ref="DE48">IF(D48="","",
 IF($DO$3="Error","Error",
 IF(OR(
 SUM(($E$4:$CZ$4="")*(E48:CZ48&lt;&gt;""))&gt;0,
 SUM(($E$5:$CZ$5="")*(E48:CZ48&lt;&gt;""))&gt;0,
 COUNTA(E48:CZ48)&gt;$DO$3,
 SUMPRODUCT((E48:CZ48&lt;&gt;"")*(ISNA(MATCH(E48:CZ48,{"P","A","L","E","D"},0))))&gt;0),"Error",
 IF(COUNTIFS($E$5:$CZ$5,"T2",E48:CZ48,$DE$5)=0,"--",
 COUNTIFS($E$5:$CZ$5,"T2",E48:CZ48,$DE$5)))))</f>
      </c>
      <c r="DF48" s="539">
        <f t="array" ref="DF48">IF(D48="","",
 IF($DO$3="Error","Error",
 IF(OR(
 SUM(($E$4:$CZ$4="")*(E48:CZ48&lt;&gt;""))&gt;0,
 SUM(($E$5:$CZ$5="")*(E48:CZ48&lt;&gt;""))&gt;0,
 COUNTA(E48:CZ48)&gt;$DO$3,
 SUMPRODUCT((E48:CZ48&lt;&gt;"")*(ISNA(MATCH(E48:CZ48,{"P","A","L","E","D"},0))))&gt;0),"Error",
 IF(COUNTIFS($E$5:$CZ$5,"T2",E48:CZ48,$DF$5)=0,"--",
 COUNTIFS($E$5:$CZ$5,"T2",E48:CZ48,$DF$5)))))</f>
      </c>
      <c r="DG48" s="539">
        <f t="array" ref="DG48">IF(D48="","",
 IF($DO$3="Error","Error",
 IF(OR(
 SUM(($E$4:$CZ$4="")*(E48:CZ48&lt;&gt;""))&gt;0,
 SUM(($E$5:$CZ$5="")*(E48:CZ48&lt;&gt;""))&gt;0,
 COUNTA(E48:CZ48)&gt;$DO$3,
 SUMPRODUCT((E48:CZ48&lt;&gt;"")*(ISNA(MATCH(E48:CZ48,{"P","A","L","E","D"},0))))&gt;0),"Error",
 IF(COUNTIFS($E$5:$CZ$5,"T2",E48:CZ48,$DG$5)=0,"--",
 COUNTIFS($E$5:$CZ$5,"T2",E48:CZ48,$DG$5)))))</f>
      </c>
      <c r="DH48" s="542">
        <f t="array" ref="DH48">IF(D48="","",
 IF($DO$3="Error","Error",
 IF(OR(
 SUM(($E$4:$CZ$4="")*(E48:CZ48&lt;&gt;""))&gt;0,
 SUM(($E$5:$CZ$5="")*(E48:CZ48&lt;&gt;""))&gt;0,
 COUNTA(E48:CZ48)&gt;$DO$3,
 SUMPRODUCT((E48:CZ48&lt;&gt;"")*(ISNA(MATCH(E48:CZ48,{"P","A","L","E","D"},0))))&gt;0),"Error",
 IF(COUNTIFS($E$5:$CZ$5,"T2",E48:CZ48,$DH$5)=0,"--",
 COUNTIFS($E$5:$CZ$5,"T2",E48:CZ48,$DH$5)))))</f>
      </c>
      <c r="DI48" s="543">
        <f t="array" ref="DI48">IF(D48="","",
 IF($DO$3="Error","Error",
 IF(OR(
 SUM(($E$4:$CZ$4="")*(E48:CZ48&lt;&gt;""))&gt;0,
 SUM(($E$5:$CZ$5="")*(E48:CZ48&lt;&gt;""))&gt;0,
 COUNTA(E48:CZ48)&gt;$DO$3,
 SUMPRODUCT((E48:CZ48&lt;&gt;"")*(ISNA(MATCH(E48:CZ48,{"P","A","L","E","D"},0))))&gt;0),"Error",
 IF(COUNTIFS($E$5:$CZ$5,"T3",E48:CZ48,$DI$5)=0,"--",
 COUNTIFS($E$5:$CZ$5,"T3",E48:CZ48,$DI$5)))))</f>
      </c>
      <c r="DJ48" s="539">
        <f t="array" ref="DJ48">IF(D48="","",
 IF($DO$3="Error","Error",
 IF(OR(
 SUM(($E$4:$CZ$4="")*(E48:CZ48&lt;&gt;""))&gt;0,
 SUM(($E$5:$CZ$5="")*(E48:CZ48&lt;&gt;""))&gt;0,
 COUNTA(E48:CZ48)&gt;$DO$3,
 SUMPRODUCT((E48:CZ48&lt;&gt;"")*(ISNA(MATCH(E48:CZ48,{"P","A","L","E","D"},0))))&gt;0),"Error",
 IF(COUNTIFS($E$5:$CZ$5,"T3",E48:CZ48,$DJ$5)=0,"--",
 COUNTIFS($E$5:$CZ$5,"T3",E48:CZ48,$DJ$5)))))</f>
      </c>
      <c r="DK48" s="539">
        <f t="array" ref="DK48">IF(D48="","",
 IF($DO$3="Error","Error",
 IF(OR(
 SUM(($E$4:$CZ$4="")*(E48:CZ48&lt;&gt;""))&gt;0,
 SUM(($E$5:$CZ$5="")*(E48:CZ48&lt;&gt;""))&gt;0,
 COUNTA(E48:CZ48)&gt;$DO$3,
 SUMPRODUCT((E48:CZ48&lt;&gt;"")*(ISNA(MATCH(E48:CZ48,{"P","A","L","E","D"},0))))&gt;0),"Error",
 IF(COUNTIFS($E$5:$CZ$5,"T3",E48:CZ48,$DK$5)=0,"--",
 COUNTIFS($E$5:$CZ$5,"T3",E48:CZ48,$DK$5)))))</f>
      </c>
      <c r="DL48" s="540">
        <f t="array" ref="DL48">IF(D48="","",
 IF($DO$3="Error","Error",
 IF(OR(
 SUM(($E$4:$CZ$4="")*(E48:CZ48&lt;&gt;""))&gt;0,
 SUM(($E$5:$CZ$5="")*(E48:CZ48&lt;&gt;""))&gt;0,
 COUNTA(E48:CZ48)&gt;$DO$3,
 SUMPRODUCT((E48:CZ48&lt;&gt;"")*(ISNA(MATCH(E48:CZ48,{"P","A","L","E","D"},0))))&gt;0),"Error",
 IF(COUNTIFS($E$5:$CZ$5,"T3",E48:CZ48,$DL$5)=0,"--",
 COUNTIFS($E$5:$CZ$5,"T3",E48:CZ48,$DL$5)))))</f>
      </c>
      <c r="DM48" s="530">
        <f t="array" ref="DM48">IF(COUNTIF(DA48:DL48,"Error")&gt;0,"Error",
 IF(AND(D48="",COUNTA(E48:CZ48)&gt;0),"Error",
 IF(COUNTIF(E48:CZ48,"D")&gt;0,"DRP",
 IF(OR(SUM(COUNTIF(E48:CZ48,{"P","A","L","E"}))&gt;0,AND(D48&lt;&gt;"",COUNTA(E48:CZ48)=0)),"Active",""))))</f>
      </c>
      <c r="DN48" s="531"/>
    </row>
    <row r="49" ht="15.95" customHeight="1" spans="2:118" x14ac:dyDescent="0.25">
      <c r="B49" s="471">
        <v>44</v>
      </c>
      <c r="C49" s="532">
        <f>IF('Data Input'!M50="","",'Data Input'!M50)</f>
      </c>
      <c r="D49" s="533">
        <f>IF('Data Input'!N50="","",'Data Input'!N50)</f>
      </c>
      <c r="E49" s="534"/>
      <c r="F49" s="535"/>
      <c r="G49" s="535"/>
      <c r="H49" s="535"/>
      <c r="I49" s="535"/>
      <c r="J49" s="535"/>
      <c r="K49" s="535"/>
      <c r="L49" s="535"/>
      <c r="M49" s="535"/>
      <c r="N49" s="535"/>
      <c r="O49" s="535"/>
      <c r="P49" s="535"/>
      <c r="Q49" s="535"/>
      <c r="R49" s="535"/>
      <c r="S49" s="535"/>
      <c r="T49" s="535"/>
      <c r="U49" s="535"/>
      <c r="V49" s="535"/>
      <c r="W49" s="535"/>
      <c r="X49" s="535"/>
      <c r="Y49" s="535"/>
      <c r="Z49" s="535"/>
      <c r="AA49" s="535"/>
      <c r="AB49" s="535"/>
      <c r="AC49" s="535"/>
      <c r="AD49" s="535"/>
      <c r="AE49" s="535"/>
      <c r="AF49" s="535"/>
      <c r="AG49" s="535"/>
      <c r="AH49" s="535"/>
      <c r="AI49" s="535"/>
      <c r="AJ49" s="535"/>
      <c r="AK49" s="535"/>
      <c r="AL49" s="535"/>
      <c r="AM49" s="535"/>
      <c r="AN49" s="535"/>
      <c r="AO49" s="535"/>
      <c r="AP49" s="535"/>
      <c r="AQ49" s="535"/>
      <c r="AR49" s="535"/>
      <c r="AS49" s="535"/>
      <c r="AT49" s="535"/>
      <c r="AU49" s="535"/>
      <c r="AV49" s="535"/>
      <c r="AW49" s="535"/>
      <c r="AX49" s="535"/>
      <c r="AY49" s="535"/>
      <c r="AZ49" s="535"/>
      <c r="BA49" s="535"/>
      <c r="BB49" s="536"/>
      <c r="BC49" s="535"/>
      <c r="BD49" s="535"/>
      <c r="BE49" s="535"/>
      <c r="BF49" s="535"/>
      <c r="BG49" s="535"/>
      <c r="BH49" s="535"/>
      <c r="BI49" s="535"/>
      <c r="BJ49" s="535"/>
      <c r="BK49" s="535"/>
      <c r="BL49" s="535"/>
      <c r="BM49" s="535"/>
      <c r="BN49" s="535"/>
      <c r="BO49" s="535"/>
      <c r="BP49" s="535"/>
      <c r="BQ49" s="535"/>
      <c r="BR49" s="535"/>
      <c r="BS49" s="535"/>
      <c r="BT49" s="535"/>
      <c r="BU49" s="535"/>
      <c r="BV49" s="535"/>
      <c r="BW49" s="535"/>
      <c r="BX49" s="535"/>
      <c r="BY49" s="535"/>
      <c r="BZ49" s="535"/>
      <c r="CA49" s="535"/>
      <c r="CB49" s="535"/>
      <c r="CC49" s="535"/>
      <c r="CD49" s="535"/>
      <c r="CE49" s="535"/>
      <c r="CF49" s="535"/>
      <c r="CG49" s="535"/>
      <c r="CH49" s="535"/>
      <c r="CI49" s="535"/>
      <c r="CJ49" s="535"/>
      <c r="CK49" s="535"/>
      <c r="CL49" s="535"/>
      <c r="CM49" s="535"/>
      <c r="CN49" s="535"/>
      <c r="CO49" s="535"/>
      <c r="CP49" s="535"/>
      <c r="CQ49" s="535"/>
      <c r="CR49" s="535"/>
      <c r="CS49" s="535"/>
      <c r="CT49" s="535"/>
      <c r="CU49" s="535"/>
      <c r="CV49" s="535"/>
      <c r="CW49" s="535"/>
      <c r="CX49" s="535"/>
      <c r="CY49" s="535"/>
      <c r="CZ49" s="537"/>
      <c r="DA49" s="538">
        <f t="array" ref="DA49">IF(D49="","",
 IF($DO$3="Error","Error",
 IF(OR(
 SUM(($E$4:$CZ$4="")*(E49:CZ49&lt;&gt;""))&gt;0,
 SUM(($E$5:$CZ$5="")*(E49:CZ49&lt;&gt;""))&gt;0,
 COUNTA(E49:CZ49)&gt;$DO$3,
 SUMPRODUCT((E49:CZ49&lt;&gt;"")*(ISNA(MATCH(E49:CZ49,{"P","A","L","E","D"},0))))&gt;0),"Error",
 IF(COUNTIFS($E$5:$CZ$5,"T1",E49:CZ49,$DA$5)=0,"--",
 COUNTIFS($E$5:$CZ$5,"T1",E49:CZ49,$DA$5)))))</f>
      </c>
      <c r="DB49" s="539">
        <f t="array" ref="DB49">IF(D49="","",
 IF($DO$3="Error","Error",
 IF(OR(
 SUM(($E$4:$CZ$4="")*(E49:CZ49&lt;&gt;""))&gt;0,
 SUM(($E$5:$CZ$5="")*(E49:CZ49&lt;&gt;""))&gt;0,
 COUNTA(E49:CZ49)&gt;$DO$3,
 SUMPRODUCT((E49:CZ49&lt;&gt;"")*(ISNA(MATCH(E49:CZ49,{"P","A","L","E","D"},0))))&gt;0),"Error",
 IF(COUNTIFS($E$5:$CZ$5,"T1",E49:CZ49,$DB$5)=0,"--",
 COUNTIFS($E$5:$CZ$5,"T1",E49:CZ49,$DB$5)))))</f>
      </c>
      <c r="DC49" s="539">
        <f t="array" ref="DC49">IF(D49="","",
 IF($DO$3="Error","Error",
 IF(OR(
 SUM(($E$4:$CZ$4="")*(E49:CZ49&lt;&gt;""))&gt;0,
 SUM(($E$5:$CZ$5="")*(E49:CZ49&lt;&gt;""))&gt;0,
 COUNTA(E49:CZ49)&gt;$DO$3,
 SUMPRODUCT((E49:CZ49&lt;&gt;"")*(ISNA(MATCH(E49:CZ49,{"P","A","L","E","D"},0))))&gt;0),"Error",
 IF(COUNTIFS($E$5:$CZ$5,"T1",E49:CZ49,$DC$5)=0,"--",
 COUNTIFS($E$5:$CZ$5,"T1",E49:CZ49,$DC$5)))))</f>
      </c>
      <c r="DD49" s="540">
        <f t="array" ref="DD49">IF(D49="","",
 IF($DO$3="Error","Error",
 IF(OR(
 SUM(($E$4:$CZ$4="")*(E49:CZ49&lt;&gt;""))&gt;0,
 SUM(($E$5:$CZ$5="")*(E49:CZ49&lt;&gt;""))&gt;0,
 COUNTA(E49:CZ49)&gt;$DO$3,
 SUMPRODUCT((E49:CZ49&lt;&gt;"")*(ISNA(MATCH(E49:CZ49,{"P","A","L","E","D"},0))))&gt;0),"Error",
 IF(COUNTIFS($E$5:$CZ$5,"T1",E49:CZ49,$DD$5)=0,"--",
 COUNTIFS($E$5:$CZ$5,"T1",E49:CZ49,$DD$5)))))</f>
      </c>
      <c r="DE49" s="541">
        <f t="array" ref="DE49">IF(D49="","",
 IF($DO$3="Error","Error",
 IF(OR(
 SUM(($E$4:$CZ$4="")*(E49:CZ49&lt;&gt;""))&gt;0,
 SUM(($E$5:$CZ$5="")*(E49:CZ49&lt;&gt;""))&gt;0,
 COUNTA(E49:CZ49)&gt;$DO$3,
 SUMPRODUCT((E49:CZ49&lt;&gt;"")*(ISNA(MATCH(E49:CZ49,{"P","A","L","E","D"},0))))&gt;0),"Error",
 IF(COUNTIFS($E$5:$CZ$5,"T2",E49:CZ49,$DE$5)=0,"--",
 COUNTIFS($E$5:$CZ$5,"T2",E49:CZ49,$DE$5)))))</f>
      </c>
      <c r="DF49" s="539">
        <f t="array" ref="DF49">IF(D49="","",
 IF($DO$3="Error","Error",
 IF(OR(
 SUM(($E$4:$CZ$4="")*(E49:CZ49&lt;&gt;""))&gt;0,
 SUM(($E$5:$CZ$5="")*(E49:CZ49&lt;&gt;""))&gt;0,
 COUNTA(E49:CZ49)&gt;$DO$3,
 SUMPRODUCT((E49:CZ49&lt;&gt;"")*(ISNA(MATCH(E49:CZ49,{"P","A","L","E","D"},0))))&gt;0),"Error",
 IF(COUNTIFS($E$5:$CZ$5,"T2",E49:CZ49,$DF$5)=0,"--",
 COUNTIFS($E$5:$CZ$5,"T2",E49:CZ49,$DF$5)))))</f>
      </c>
      <c r="DG49" s="539">
        <f t="array" ref="DG49">IF(D49="","",
 IF($DO$3="Error","Error",
 IF(OR(
 SUM(($E$4:$CZ$4="")*(E49:CZ49&lt;&gt;""))&gt;0,
 SUM(($E$5:$CZ$5="")*(E49:CZ49&lt;&gt;""))&gt;0,
 COUNTA(E49:CZ49)&gt;$DO$3,
 SUMPRODUCT((E49:CZ49&lt;&gt;"")*(ISNA(MATCH(E49:CZ49,{"P","A","L","E","D"},0))))&gt;0),"Error",
 IF(COUNTIFS($E$5:$CZ$5,"T2",E49:CZ49,$DG$5)=0,"--",
 COUNTIFS($E$5:$CZ$5,"T2",E49:CZ49,$DG$5)))))</f>
      </c>
      <c r="DH49" s="542">
        <f t="array" ref="DH49">IF(D49="","",
 IF($DO$3="Error","Error",
 IF(OR(
 SUM(($E$4:$CZ$4="")*(E49:CZ49&lt;&gt;""))&gt;0,
 SUM(($E$5:$CZ$5="")*(E49:CZ49&lt;&gt;""))&gt;0,
 COUNTA(E49:CZ49)&gt;$DO$3,
 SUMPRODUCT((E49:CZ49&lt;&gt;"")*(ISNA(MATCH(E49:CZ49,{"P","A","L","E","D"},0))))&gt;0),"Error",
 IF(COUNTIFS($E$5:$CZ$5,"T2",E49:CZ49,$DH$5)=0,"--",
 COUNTIFS($E$5:$CZ$5,"T2",E49:CZ49,$DH$5)))))</f>
      </c>
      <c r="DI49" s="543">
        <f t="array" ref="DI49">IF(D49="","",
 IF($DO$3="Error","Error",
 IF(OR(
 SUM(($E$4:$CZ$4="")*(E49:CZ49&lt;&gt;""))&gt;0,
 SUM(($E$5:$CZ$5="")*(E49:CZ49&lt;&gt;""))&gt;0,
 COUNTA(E49:CZ49)&gt;$DO$3,
 SUMPRODUCT((E49:CZ49&lt;&gt;"")*(ISNA(MATCH(E49:CZ49,{"P","A","L","E","D"},0))))&gt;0),"Error",
 IF(COUNTIFS($E$5:$CZ$5,"T3",E49:CZ49,$DI$5)=0,"--",
 COUNTIFS($E$5:$CZ$5,"T3",E49:CZ49,$DI$5)))))</f>
      </c>
      <c r="DJ49" s="539">
        <f t="array" ref="DJ49">IF(D49="","",
 IF($DO$3="Error","Error",
 IF(OR(
 SUM(($E$4:$CZ$4="")*(E49:CZ49&lt;&gt;""))&gt;0,
 SUM(($E$5:$CZ$5="")*(E49:CZ49&lt;&gt;""))&gt;0,
 COUNTA(E49:CZ49)&gt;$DO$3,
 SUMPRODUCT((E49:CZ49&lt;&gt;"")*(ISNA(MATCH(E49:CZ49,{"P","A","L","E","D"},0))))&gt;0),"Error",
 IF(COUNTIFS($E$5:$CZ$5,"T3",E49:CZ49,$DJ$5)=0,"--",
 COUNTIFS($E$5:$CZ$5,"T3",E49:CZ49,$DJ$5)))))</f>
      </c>
      <c r="DK49" s="539">
        <f t="array" ref="DK49">IF(D49="","",
 IF($DO$3="Error","Error",
 IF(OR(
 SUM(($E$4:$CZ$4="")*(E49:CZ49&lt;&gt;""))&gt;0,
 SUM(($E$5:$CZ$5="")*(E49:CZ49&lt;&gt;""))&gt;0,
 COUNTA(E49:CZ49)&gt;$DO$3,
 SUMPRODUCT((E49:CZ49&lt;&gt;"")*(ISNA(MATCH(E49:CZ49,{"P","A","L","E","D"},0))))&gt;0),"Error",
 IF(COUNTIFS($E$5:$CZ$5,"T3",E49:CZ49,$DK$5)=0,"--",
 COUNTIFS($E$5:$CZ$5,"T3",E49:CZ49,$DK$5)))))</f>
      </c>
      <c r="DL49" s="540">
        <f t="array" ref="DL49">IF(D49="","",
 IF($DO$3="Error","Error",
 IF(OR(
 SUM(($E$4:$CZ$4="")*(E49:CZ49&lt;&gt;""))&gt;0,
 SUM(($E$5:$CZ$5="")*(E49:CZ49&lt;&gt;""))&gt;0,
 COUNTA(E49:CZ49)&gt;$DO$3,
 SUMPRODUCT((E49:CZ49&lt;&gt;"")*(ISNA(MATCH(E49:CZ49,{"P","A","L","E","D"},0))))&gt;0),"Error",
 IF(COUNTIFS($E$5:$CZ$5,"T3",E49:CZ49,$DL$5)=0,"--",
 COUNTIFS($E$5:$CZ$5,"T3",E49:CZ49,$DL$5)))))</f>
      </c>
      <c r="DM49" s="530">
        <f t="array" ref="DM49">IF(COUNTIF(DA49:DL49,"Error")&gt;0,"Error",
 IF(AND(D49="",COUNTA(E49:CZ49)&gt;0),"Error",
 IF(COUNTIF(E49:CZ49,"D")&gt;0,"DRP",
 IF(OR(SUM(COUNTIF(E49:CZ49,{"P","A","L","E"}))&gt;0,AND(D49&lt;&gt;"",COUNTA(E49:CZ49)=0)),"Active",""))))</f>
      </c>
      <c r="DN49" s="531"/>
    </row>
    <row r="50" ht="15.95" customHeight="1" spans="2:118" x14ac:dyDescent="0.25">
      <c r="B50" s="471">
        <v>45</v>
      </c>
      <c r="C50" s="532">
        <f>IF('Data Input'!M51="","",'Data Input'!M51)</f>
      </c>
      <c r="D50" s="533">
        <f>IF('Data Input'!N51="","",'Data Input'!N51)</f>
      </c>
      <c r="E50" s="534"/>
      <c r="F50" s="535"/>
      <c r="G50" s="535"/>
      <c r="H50" s="535"/>
      <c r="I50" s="535"/>
      <c r="J50" s="535"/>
      <c r="K50" s="535"/>
      <c r="L50" s="535"/>
      <c r="M50" s="535"/>
      <c r="N50" s="535"/>
      <c r="O50" s="535"/>
      <c r="P50" s="535"/>
      <c r="Q50" s="535"/>
      <c r="R50" s="535"/>
      <c r="S50" s="535"/>
      <c r="T50" s="535"/>
      <c r="U50" s="535"/>
      <c r="V50" s="535"/>
      <c r="W50" s="535"/>
      <c r="X50" s="535"/>
      <c r="Y50" s="535"/>
      <c r="Z50" s="535"/>
      <c r="AA50" s="535"/>
      <c r="AB50" s="535"/>
      <c r="AC50" s="535"/>
      <c r="AD50" s="535"/>
      <c r="AE50" s="535"/>
      <c r="AF50" s="535"/>
      <c r="AG50" s="535"/>
      <c r="AH50" s="535"/>
      <c r="AI50" s="535"/>
      <c r="AJ50" s="535"/>
      <c r="AK50" s="535"/>
      <c r="AL50" s="535"/>
      <c r="AM50" s="535"/>
      <c r="AN50" s="535"/>
      <c r="AO50" s="535"/>
      <c r="AP50" s="535"/>
      <c r="AQ50" s="535"/>
      <c r="AR50" s="535"/>
      <c r="AS50" s="535"/>
      <c r="AT50" s="535"/>
      <c r="AU50" s="535"/>
      <c r="AV50" s="535"/>
      <c r="AW50" s="535"/>
      <c r="AX50" s="535"/>
      <c r="AY50" s="535"/>
      <c r="AZ50" s="535"/>
      <c r="BA50" s="535"/>
      <c r="BB50" s="536"/>
      <c r="BC50" s="535"/>
      <c r="BD50" s="535"/>
      <c r="BE50" s="535"/>
      <c r="BF50" s="535"/>
      <c r="BG50" s="535"/>
      <c r="BH50" s="535"/>
      <c r="BI50" s="535"/>
      <c r="BJ50" s="535"/>
      <c r="BK50" s="535"/>
      <c r="BL50" s="535"/>
      <c r="BM50" s="535"/>
      <c r="BN50" s="535"/>
      <c r="BO50" s="535"/>
      <c r="BP50" s="535"/>
      <c r="BQ50" s="535"/>
      <c r="BR50" s="535"/>
      <c r="BS50" s="535"/>
      <c r="BT50" s="535"/>
      <c r="BU50" s="535"/>
      <c r="BV50" s="535"/>
      <c r="BW50" s="535"/>
      <c r="BX50" s="535"/>
      <c r="BY50" s="535"/>
      <c r="BZ50" s="535"/>
      <c r="CA50" s="535"/>
      <c r="CB50" s="535"/>
      <c r="CC50" s="535"/>
      <c r="CD50" s="535"/>
      <c r="CE50" s="535"/>
      <c r="CF50" s="535"/>
      <c r="CG50" s="535"/>
      <c r="CH50" s="535"/>
      <c r="CI50" s="535"/>
      <c r="CJ50" s="535"/>
      <c r="CK50" s="535"/>
      <c r="CL50" s="535"/>
      <c r="CM50" s="535"/>
      <c r="CN50" s="535"/>
      <c r="CO50" s="535"/>
      <c r="CP50" s="535"/>
      <c r="CQ50" s="535"/>
      <c r="CR50" s="535"/>
      <c r="CS50" s="535"/>
      <c r="CT50" s="535"/>
      <c r="CU50" s="535"/>
      <c r="CV50" s="535"/>
      <c r="CW50" s="535"/>
      <c r="CX50" s="535"/>
      <c r="CY50" s="535"/>
      <c r="CZ50" s="537"/>
      <c r="DA50" s="538">
        <f t="array" ref="DA50">IF(D50="","",
 IF($DO$3="Error","Error",
 IF(OR(
 SUM(($E$4:$CZ$4="")*(E50:CZ50&lt;&gt;""))&gt;0,
 SUM(($E$5:$CZ$5="")*(E50:CZ50&lt;&gt;""))&gt;0,
 COUNTA(E50:CZ50)&gt;$DO$3,
 SUMPRODUCT((E50:CZ50&lt;&gt;"")*(ISNA(MATCH(E50:CZ50,{"P","A","L","E","D"},0))))&gt;0),"Error",
 IF(COUNTIFS($E$5:$CZ$5,"T1",E50:CZ50,$DA$5)=0,"--",
 COUNTIFS($E$5:$CZ$5,"T1",E50:CZ50,$DA$5)))))</f>
      </c>
      <c r="DB50" s="539">
        <f t="array" ref="DB50">IF(D50="","",
 IF($DO$3="Error","Error",
 IF(OR(
 SUM(($E$4:$CZ$4="")*(E50:CZ50&lt;&gt;""))&gt;0,
 SUM(($E$5:$CZ$5="")*(E50:CZ50&lt;&gt;""))&gt;0,
 COUNTA(E50:CZ50)&gt;$DO$3,
 SUMPRODUCT((E50:CZ50&lt;&gt;"")*(ISNA(MATCH(E50:CZ50,{"P","A","L","E","D"},0))))&gt;0),"Error",
 IF(COUNTIFS($E$5:$CZ$5,"T1",E50:CZ50,$DB$5)=0,"--",
 COUNTIFS($E$5:$CZ$5,"T1",E50:CZ50,$DB$5)))))</f>
      </c>
      <c r="DC50" s="539">
        <f t="array" ref="DC50">IF(D50="","",
 IF($DO$3="Error","Error",
 IF(OR(
 SUM(($E$4:$CZ$4="")*(E50:CZ50&lt;&gt;""))&gt;0,
 SUM(($E$5:$CZ$5="")*(E50:CZ50&lt;&gt;""))&gt;0,
 COUNTA(E50:CZ50)&gt;$DO$3,
 SUMPRODUCT((E50:CZ50&lt;&gt;"")*(ISNA(MATCH(E50:CZ50,{"P","A","L","E","D"},0))))&gt;0),"Error",
 IF(COUNTIFS($E$5:$CZ$5,"T1",E50:CZ50,$DC$5)=0,"--",
 COUNTIFS($E$5:$CZ$5,"T1",E50:CZ50,$DC$5)))))</f>
      </c>
      <c r="DD50" s="540">
        <f t="array" ref="DD50">IF(D50="","",
 IF($DO$3="Error","Error",
 IF(OR(
 SUM(($E$4:$CZ$4="")*(E50:CZ50&lt;&gt;""))&gt;0,
 SUM(($E$5:$CZ$5="")*(E50:CZ50&lt;&gt;""))&gt;0,
 COUNTA(E50:CZ50)&gt;$DO$3,
 SUMPRODUCT((E50:CZ50&lt;&gt;"")*(ISNA(MATCH(E50:CZ50,{"P","A","L","E","D"},0))))&gt;0),"Error",
 IF(COUNTIFS($E$5:$CZ$5,"T1",E50:CZ50,$DD$5)=0,"--",
 COUNTIFS($E$5:$CZ$5,"T1",E50:CZ50,$DD$5)))))</f>
      </c>
      <c r="DE50" s="541">
        <f t="array" ref="DE50">IF(D50="","",
 IF($DO$3="Error","Error",
 IF(OR(
 SUM(($E$4:$CZ$4="")*(E50:CZ50&lt;&gt;""))&gt;0,
 SUM(($E$5:$CZ$5="")*(E50:CZ50&lt;&gt;""))&gt;0,
 COUNTA(E50:CZ50)&gt;$DO$3,
 SUMPRODUCT((E50:CZ50&lt;&gt;"")*(ISNA(MATCH(E50:CZ50,{"P","A","L","E","D"},0))))&gt;0),"Error",
 IF(COUNTIFS($E$5:$CZ$5,"T2",E50:CZ50,$DE$5)=0,"--",
 COUNTIFS($E$5:$CZ$5,"T2",E50:CZ50,$DE$5)))))</f>
      </c>
      <c r="DF50" s="539">
        <f t="array" ref="DF50">IF(D50="","",
 IF($DO$3="Error","Error",
 IF(OR(
 SUM(($E$4:$CZ$4="")*(E50:CZ50&lt;&gt;""))&gt;0,
 SUM(($E$5:$CZ$5="")*(E50:CZ50&lt;&gt;""))&gt;0,
 COUNTA(E50:CZ50)&gt;$DO$3,
 SUMPRODUCT((E50:CZ50&lt;&gt;"")*(ISNA(MATCH(E50:CZ50,{"P","A","L","E","D"},0))))&gt;0),"Error",
 IF(COUNTIFS($E$5:$CZ$5,"T2",E50:CZ50,$DF$5)=0,"--",
 COUNTIFS($E$5:$CZ$5,"T2",E50:CZ50,$DF$5)))))</f>
      </c>
      <c r="DG50" s="539">
        <f t="array" ref="DG50">IF(D50="","",
 IF($DO$3="Error","Error",
 IF(OR(
 SUM(($E$4:$CZ$4="")*(E50:CZ50&lt;&gt;""))&gt;0,
 SUM(($E$5:$CZ$5="")*(E50:CZ50&lt;&gt;""))&gt;0,
 COUNTA(E50:CZ50)&gt;$DO$3,
 SUMPRODUCT((E50:CZ50&lt;&gt;"")*(ISNA(MATCH(E50:CZ50,{"P","A","L","E","D"},0))))&gt;0),"Error",
 IF(COUNTIFS($E$5:$CZ$5,"T2",E50:CZ50,$DG$5)=0,"--",
 COUNTIFS($E$5:$CZ$5,"T2",E50:CZ50,$DG$5)))))</f>
      </c>
      <c r="DH50" s="542">
        <f t="array" ref="DH50">IF(D50="","",
 IF($DO$3="Error","Error",
 IF(OR(
 SUM(($E$4:$CZ$4="")*(E50:CZ50&lt;&gt;""))&gt;0,
 SUM(($E$5:$CZ$5="")*(E50:CZ50&lt;&gt;""))&gt;0,
 COUNTA(E50:CZ50)&gt;$DO$3,
 SUMPRODUCT((E50:CZ50&lt;&gt;"")*(ISNA(MATCH(E50:CZ50,{"P","A","L","E","D"},0))))&gt;0),"Error",
 IF(COUNTIFS($E$5:$CZ$5,"T2",E50:CZ50,$DH$5)=0,"--",
 COUNTIFS($E$5:$CZ$5,"T2",E50:CZ50,$DH$5)))))</f>
      </c>
      <c r="DI50" s="543">
        <f t="array" ref="DI50">IF(D50="","",
 IF($DO$3="Error","Error",
 IF(OR(
 SUM(($E$4:$CZ$4="")*(E50:CZ50&lt;&gt;""))&gt;0,
 SUM(($E$5:$CZ$5="")*(E50:CZ50&lt;&gt;""))&gt;0,
 COUNTA(E50:CZ50)&gt;$DO$3,
 SUMPRODUCT((E50:CZ50&lt;&gt;"")*(ISNA(MATCH(E50:CZ50,{"P","A","L","E","D"},0))))&gt;0),"Error",
 IF(COUNTIFS($E$5:$CZ$5,"T3",E50:CZ50,$DI$5)=0,"--",
 COUNTIFS($E$5:$CZ$5,"T3",E50:CZ50,$DI$5)))))</f>
      </c>
      <c r="DJ50" s="539">
        <f t="array" ref="DJ50">IF(D50="","",
 IF($DO$3="Error","Error",
 IF(OR(
 SUM(($E$4:$CZ$4="")*(E50:CZ50&lt;&gt;""))&gt;0,
 SUM(($E$5:$CZ$5="")*(E50:CZ50&lt;&gt;""))&gt;0,
 COUNTA(E50:CZ50)&gt;$DO$3,
 SUMPRODUCT((E50:CZ50&lt;&gt;"")*(ISNA(MATCH(E50:CZ50,{"P","A","L","E","D"},0))))&gt;0),"Error",
 IF(COUNTIFS($E$5:$CZ$5,"T3",E50:CZ50,$DJ$5)=0,"--",
 COUNTIFS($E$5:$CZ$5,"T3",E50:CZ50,$DJ$5)))))</f>
      </c>
      <c r="DK50" s="539">
        <f t="array" ref="DK50">IF(D50="","",
 IF($DO$3="Error","Error",
 IF(OR(
 SUM(($E$4:$CZ$4="")*(E50:CZ50&lt;&gt;""))&gt;0,
 SUM(($E$5:$CZ$5="")*(E50:CZ50&lt;&gt;""))&gt;0,
 COUNTA(E50:CZ50)&gt;$DO$3,
 SUMPRODUCT((E50:CZ50&lt;&gt;"")*(ISNA(MATCH(E50:CZ50,{"P","A","L","E","D"},0))))&gt;0),"Error",
 IF(COUNTIFS($E$5:$CZ$5,"T3",E50:CZ50,$DK$5)=0,"--",
 COUNTIFS($E$5:$CZ$5,"T3",E50:CZ50,$DK$5)))))</f>
      </c>
      <c r="DL50" s="540">
        <f t="array" ref="DL50">IF(D50="","",
 IF($DO$3="Error","Error",
 IF(OR(
 SUM(($E$4:$CZ$4="")*(E50:CZ50&lt;&gt;""))&gt;0,
 SUM(($E$5:$CZ$5="")*(E50:CZ50&lt;&gt;""))&gt;0,
 COUNTA(E50:CZ50)&gt;$DO$3,
 SUMPRODUCT((E50:CZ50&lt;&gt;"")*(ISNA(MATCH(E50:CZ50,{"P","A","L","E","D"},0))))&gt;0),"Error",
 IF(COUNTIFS($E$5:$CZ$5,"T3",E50:CZ50,$DL$5)=0,"--",
 COUNTIFS($E$5:$CZ$5,"T3",E50:CZ50,$DL$5)))))</f>
      </c>
      <c r="DM50" s="530">
        <f t="array" ref="DM50">IF(COUNTIF(DA50:DL50,"Error")&gt;0,"Error",
 IF(AND(D50="",COUNTA(E50:CZ50)&gt;0),"Error",
 IF(COUNTIF(E50:CZ50,"D")&gt;0,"DRP",
 IF(OR(SUM(COUNTIF(E50:CZ50,{"P","A","L","E"}))&gt;0,AND(D50&lt;&gt;"",COUNTA(E50:CZ50)=0)),"Active",""))))</f>
      </c>
      <c r="DN50" s="531"/>
    </row>
    <row r="51" ht="15.95" customHeight="1" spans="2:118" x14ac:dyDescent="0.25">
      <c r="B51" s="471">
        <v>46</v>
      </c>
      <c r="C51" s="532">
        <f>IF('Data Input'!M52="","",'Data Input'!M52)</f>
      </c>
      <c r="D51" s="533">
        <f>IF('Data Input'!N52="","",'Data Input'!N52)</f>
      </c>
      <c r="E51" s="534"/>
      <c r="F51" s="535"/>
      <c r="G51" s="535"/>
      <c r="H51" s="535"/>
      <c r="I51" s="535"/>
      <c r="J51" s="535"/>
      <c r="K51" s="535"/>
      <c r="L51" s="535"/>
      <c r="M51" s="535"/>
      <c r="N51" s="535"/>
      <c r="O51" s="535"/>
      <c r="P51" s="535"/>
      <c r="Q51" s="535"/>
      <c r="R51" s="535"/>
      <c r="S51" s="535"/>
      <c r="T51" s="535"/>
      <c r="U51" s="535"/>
      <c r="V51" s="535"/>
      <c r="W51" s="535"/>
      <c r="X51" s="535"/>
      <c r="Y51" s="535"/>
      <c r="Z51" s="535"/>
      <c r="AA51" s="535"/>
      <c r="AB51" s="535"/>
      <c r="AC51" s="535"/>
      <c r="AD51" s="535"/>
      <c r="AE51" s="535"/>
      <c r="AF51" s="535"/>
      <c r="AG51" s="535"/>
      <c r="AH51" s="535"/>
      <c r="AI51" s="535"/>
      <c r="AJ51" s="535"/>
      <c r="AK51" s="535"/>
      <c r="AL51" s="535"/>
      <c r="AM51" s="535"/>
      <c r="AN51" s="535"/>
      <c r="AO51" s="535"/>
      <c r="AP51" s="535"/>
      <c r="AQ51" s="535"/>
      <c r="AR51" s="535"/>
      <c r="AS51" s="535"/>
      <c r="AT51" s="535"/>
      <c r="AU51" s="535"/>
      <c r="AV51" s="535"/>
      <c r="AW51" s="535"/>
      <c r="AX51" s="535"/>
      <c r="AY51" s="535"/>
      <c r="AZ51" s="535"/>
      <c r="BA51" s="535"/>
      <c r="BB51" s="536"/>
      <c r="BC51" s="535"/>
      <c r="BD51" s="535"/>
      <c r="BE51" s="535"/>
      <c r="BF51" s="535"/>
      <c r="BG51" s="535"/>
      <c r="BH51" s="535"/>
      <c r="BI51" s="535"/>
      <c r="BJ51" s="535"/>
      <c r="BK51" s="535"/>
      <c r="BL51" s="535"/>
      <c r="BM51" s="535"/>
      <c r="BN51" s="535"/>
      <c r="BO51" s="535"/>
      <c r="BP51" s="535"/>
      <c r="BQ51" s="535"/>
      <c r="BR51" s="535"/>
      <c r="BS51" s="535"/>
      <c r="BT51" s="535"/>
      <c r="BU51" s="535"/>
      <c r="BV51" s="535"/>
      <c r="BW51" s="535"/>
      <c r="BX51" s="535"/>
      <c r="BY51" s="535"/>
      <c r="BZ51" s="535"/>
      <c r="CA51" s="535"/>
      <c r="CB51" s="535"/>
      <c r="CC51" s="535"/>
      <c r="CD51" s="535"/>
      <c r="CE51" s="535"/>
      <c r="CF51" s="535"/>
      <c r="CG51" s="535"/>
      <c r="CH51" s="535"/>
      <c r="CI51" s="535"/>
      <c r="CJ51" s="535"/>
      <c r="CK51" s="535"/>
      <c r="CL51" s="535"/>
      <c r="CM51" s="535"/>
      <c r="CN51" s="535"/>
      <c r="CO51" s="535"/>
      <c r="CP51" s="535"/>
      <c r="CQ51" s="535"/>
      <c r="CR51" s="535"/>
      <c r="CS51" s="535"/>
      <c r="CT51" s="535"/>
      <c r="CU51" s="535"/>
      <c r="CV51" s="535"/>
      <c r="CW51" s="535"/>
      <c r="CX51" s="535"/>
      <c r="CY51" s="535"/>
      <c r="CZ51" s="537"/>
      <c r="DA51" s="538">
        <f t="array" ref="DA51">IF(D51="","",
 IF($DO$3="Error","Error",
 IF(OR(
 SUM(($E$4:$CZ$4="")*(E51:CZ51&lt;&gt;""))&gt;0,
 SUM(($E$5:$CZ$5="")*(E51:CZ51&lt;&gt;""))&gt;0,
 COUNTA(E51:CZ51)&gt;$DO$3,
 SUMPRODUCT((E51:CZ51&lt;&gt;"")*(ISNA(MATCH(E51:CZ51,{"P","A","L","E","D"},0))))&gt;0),"Error",
 IF(COUNTIFS($E$5:$CZ$5,"T1",E51:CZ51,$DA$5)=0,"--",
 COUNTIFS($E$5:$CZ$5,"T1",E51:CZ51,$DA$5)))))</f>
      </c>
      <c r="DB51" s="539">
        <f t="array" ref="DB51">IF(D51="","",
 IF($DO$3="Error","Error",
 IF(OR(
 SUM(($E$4:$CZ$4="")*(E51:CZ51&lt;&gt;""))&gt;0,
 SUM(($E$5:$CZ$5="")*(E51:CZ51&lt;&gt;""))&gt;0,
 COUNTA(E51:CZ51)&gt;$DO$3,
 SUMPRODUCT((E51:CZ51&lt;&gt;"")*(ISNA(MATCH(E51:CZ51,{"P","A","L","E","D"},0))))&gt;0),"Error",
 IF(COUNTIFS($E$5:$CZ$5,"T1",E51:CZ51,$DB$5)=0,"--",
 COUNTIFS($E$5:$CZ$5,"T1",E51:CZ51,$DB$5)))))</f>
      </c>
      <c r="DC51" s="539">
        <f t="array" ref="DC51">IF(D51="","",
 IF($DO$3="Error","Error",
 IF(OR(
 SUM(($E$4:$CZ$4="")*(E51:CZ51&lt;&gt;""))&gt;0,
 SUM(($E$5:$CZ$5="")*(E51:CZ51&lt;&gt;""))&gt;0,
 COUNTA(E51:CZ51)&gt;$DO$3,
 SUMPRODUCT((E51:CZ51&lt;&gt;"")*(ISNA(MATCH(E51:CZ51,{"P","A","L","E","D"},0))))&gt;0),"Error",
 IF(COUNTIFS($E$5:$CZ$5,"T1",E51:CZ51,$DC$5)=0,"--",
 COUNTIFS($E$5:$CZ$5,"T1",E51:CZ51,$DC$5)))))</f>
      </c>
      <c r="DD51" s="540">
        <f t="array" ref="DD51">IF(D51="","",
 IF($DO$3="Error","Error",
 IF(OR(
 SUM(($E$4:$CZ$4="")*(E51:CZ51&lt;&gt;""))&gt;0,
 SUM(($E$5:$CZ$5="")*(E51:CZ51&lt;&gt;""))&gt;0,
 COUNTA(E51:CZ51)&gt;$DO$3,
 SUMPRODUCT((E51:CZ51&lt;&gt;"")*(ISNA(MATCH(E51:CZ51,{"P","A","L","E","D"},0))))&gt;0),"Error",
 IF(COUNTIFS($E$5:$CZ$5,"T1",E51:CZ51,$DD$5)=0,"--",
 COUNTIFS($E$5:$CZ$5,"T1",E51:CZ51,$DD$5)))))</f>
      </c>
      <c r="DE51" s="541">
        <f t="array" ref="DE51">IF(D51="","",
 IF($DO$3="Error","Error",
 IF(OR(
 SUM(($E$4:$CZ$4="")*(E51:CZ51&lt;&gt;""))&gt;0,
 SUM(($E$5:$CZ$5="")*(E51:CZ51&lt;&gt;""))&gt;0,
 COUNTA(E51:CZ51)&gt;$DO$3,
 SUMPRODUCT((E51:CZ51&lt;&gt;"")*(ISNA(MATCH(E51:CZ51,{"P","A","L","E","D"},0))))&gt;0),"Error",
 IF(COUNTIFS($E$5:$CZ$5,"T2",E51:CZ51,$DE$5)=0,"--",
 COUNTIFS($E$5:$CZ$5,"T2",E51:CZ51,$DE$5)))))</f>
      </c>
      <c r="DF51" s="539">
        <f t="array" ref="DF51">IF(D51="","",
 IF($DO$3="Error","Error",
 IF(OR(
 SUM(($E$4:$CZ$4="")*(E51:CZ51&lt;&gt;""))&gt;0,
 SUM(($E$5:$CZ$5="")*(E51:CZ51&lt;&gt;""))&gt;0,
 COUNTA(E51:CZ51)&gt;$DO$3,
 SUMPRODUCT((E51:CZ51&lt;&gt;"")*(ISNA(MATCH(E51:CZ51,{"P","A","L","E","D"},0))))&gt;0),"Error",
 IF(COUNTIFS($E$5:$CZ$5,"T2",E51:CZ51,$DF$5)=0,"--",
 COUNTIFS($E$5:$CZ$5,"T2",E51:CZ51,$DF$5)))))</f>
      </c>
      <c r="DG51" s="539">
        <f t="array" ref="DG51">IF(D51="","",
 IF($DO$3="Error","Error",
 IF(OR(
 SUM(($E$4:$CZ$4="")*(E51:CZ51&lt;&gt;""))&gt;0,
 SUM(($E$5:$CZ$5="")*(E51:CZ51&lt;&gt;""))&gt;0,
 COUNTA(E51:CZ51)&gt;$DO$3,
 SUMPRODUCT((E51:CZ51&lt;&gt;"")*(ISNA(MATCH(E51:CZ51,{"P","A","L","E","D"},0))))&gt;0),"Error",
 IF(COUNTIFS($E$5:$CZ$5,"T2",E51:CZ51,$DG$5)=0,"--",
 COUNTIFS($E$5:$CZ$5,"T2",E51:CZ51,$DG$5)))))</f>
      </c>
      <c r="DH51" s="542">
        <f t="array" ref="DH51">IF(D51="","",
 IF($DO$3="Error","Error",
 IF(OR(
 SUM(($E$4:$CZ$4="")*(E51:CZ51&lt;&gt;""))&gt;0,
 SUM(($E$5:$CZ$5="")*(E51:CZ51&lt;&gt;""))&gt;0,
 COUNTA(E51:CZ51)&gt;$DO$3,
 SUMPRODUCT((E51:CZ51&lt;&gt;"")*(ISNA(MATCH(E51:CZ51,{"P","A","L","E","D"},0))))&gt;0),"Error",
 IF(COUNTIFS($E$5:$CZ$5,"T2",E51:CZ51,$DH$5)=0,"--",
 COUNTIFS($E$5:$CZ$5,"T2",E51:CZ51,$DH$5)))))</f>
      </c>
      <c r="DI51" s="543">
        <f t="array" ref="DI51">IF(D51="","",
 IF($DO$3="Error","Error",
 IF(OR(
 SUM(($E$4:$CZ$4="")*(E51:CZ51&lt;&gt;""))&gt;0,
 SUM(($E$5:$CZ$5="")*(E51:CZ51&lt;&gt;""))&gt;0,
 COUNTA(E51:CZ51)&gt;$DO$3,
 SUMPRODUCT((E51:CZ51&lt;&gt;"")*(ISNA(MATCH(E51:CZ51,{"P","A","L","E","D"},0))))&gt;0),"Error",
 IF(COUNTIFS($E$5:$CZ$5,"T3",E51:CZ51,$DI$5)=0,"--",
 COUNTIFS($E$5:$CZ$5,"T3",E51:CZ51,$DI$5)))))</f>
      </c>
      <c r="DJ51" s="539">
        <f t="array" ref="DJ51">IF(D51="","",
 IF($DO$3="Error","Error",
 IF(OR(
 SUM(($E$4:$CZ$4="")*(E51:CZ51&lt;&gt;""))&gt;0,
 SUM(($E$5:$CZ$5="")*(E51:CZ51&lt;&gt;""))&gt;0,
 COUNTA(E51:CZ51)&gt;$DO$3,
 SUMPRODUCT((E51:CZ51&lt;&gt;"")*(ISNA(MATCH(E51:CZ51,{"P","A","L","E","D"},0))))&gt;0),"Error",
 IF(COUNTIFS($E$5:$CZ$5,"T3",E51:CZ51,$DJ$5)=0,"--",
 COUNTIFS($E$5:$CZ$5,"T3",E51:CZ51,$DJ$5)))))</f>
      </c>
      <c r="DK51" s="539">
        <f t="array" ref="DK51">IF(D51="","",
 IF($DO$3="Error","Error",
 IF(OR(
 SUM(($E$4:$CZ$4="")*(E51:CZ51&lt;&gt;""))&gt;0,
 SUM(($E$5:$CZ$5="")*(E51:CZ51&lt;&gt;""))&gt;0,
 COUNTA(E51:CZ51)&gt;$DO$3,
 SUMPRODUCT((E51:CZ51&lt;&gt;"")*(ISNA(MATCH(E51:CZ51,{"P","A","L","E","D"},0))))&gt;0),"Error",
 IF(COUNTIFS($E$5:$CZ$5,"T3",E51:CZ51,$DK$5)=0,"--",
 COUNTIFS($E$5:$CZ$5,"T3",E51:CZ51,$DK$5)))))</f>
      </c>
      <c r="DL51" s="540">
        <f t="array" ref="DL51">IF(D51="","",
 IF($DO$3="Error","Error",
 IF(OR(
 SUM(($E$4:$CZ$4="")*(E51:CZ51&lt;&gt;""))&gt;0,
 SUM(($E$5:$CZ$5="")*(E51:CZ51&lt;&gt;""))&gt;0,
 COUNTA(E51:CZ51)&gt;$DO$3,
 SUMPRODUCT((E51:CZ51&lt;&gt;"")*(ISNA(MATCH(E51:CZ51,{"P","A","L","E","D"},0))))&gt;0),"Error",
 IF(COUNTIFS($E$5:$CZ$5,"T3",E51:CZ51,$DL$5)=0,"--",
 COUNTIFS($E$5:$CZ$5,"T3",E51:CZ51,$DL$5)))))</f>
      </c>
      <c r="DM51" s="530">
        <f t="array" ref="DM51">IF(COUNTIF(DA51:DL51,"Error")&gt;0,"Error",
 IF(AND(D51="",COUNTA(E51:CZ51)&gt;0),"Error",
 IF(COUNTIF(E51:CZ51,"D")&gt;0,"DRP",
 IF(OR(SUM(COUNTIF(E51:CZ51,{"P","A","L","E"}))&gt;0,AND(D51&lt;&gt;"",COUNTA(E51:CZ51)=0)),"Active",""))))</f>
      </c>
      <c r="DN51" s="531"/>
    </row>
    <row r="52" ht="15.95" customHeight="1" spans="2:118" x14ac:dyDescent="0.25">
      <c r="B52" s="471">
        <v>47</v>
      </c>
      <c r="C52" s="532">
        <f>IF('Data Input'!M53="","",'Data Input'!M53)</f>
      </c>
      <c r="D52" s="533">
        <f>IF('Data Input'!N53="","",'Data Input'!N53)</f>
      </c>
      <c r="E52" s="534"/>
      <c r="F52" s="535"/>
      <c r="G52" s="535"/>
      <c r="H52" s="535"/>
      <c r="I52" s="535"/>
      <c r="J52" s="535"/>
      <c r="K52" s="535"/>
      <c r="L52" s="535"/>
      <c r="M52" s="535"/>
      <c r="N52" s="535"/>
      <c r="O52" s="535"/>
      <c r="P52" s="535"/>
      <c r="Q52" s="535"/>
      <c r="R52" s="535"/>
      <c r="S52" s="535"/>
      <c r="T52" s="535"/>
      <c r="U52" s="535"/>
      <c r="V52" s="535"/>
      <c r="W52" s="535"/>
      <c r="X52" s="535"/>
      <c r="Y52" s="535"/>
      <c r="Z52" s="535"/>
      <c r="AA52" s="535"/>
      <c r="AB52" s="535"/>
      <c r="AC52" s="535"/>
      <c r="AD52" s="535"/>
      <c r="AE52" s="535"/>
      <c r="AF52" s="535"/>
      <c r="AG52" s="535"/>
      <c r="AH52" s="535"/>
      <c r="AI52" s="535"/>
      <c r="AJ52" s="535"/>
      <c r="AK52" s="535"/>
      <c r="AL52" s="535"/>
      <c r="AM52" s="535"/>
      <c r="AN52" s="535"/>
      <c r="AO52" s="535"/>
      <c r="AP52" s="535"/>
      <c r="AQ52" s="535"/>
      <c r="AR52" s="535"/>
      <c r="AS52" s="535"/>
      <c r="AT52" s="535"/>
      <c r="AU52" s="535"/>
      <c r="AV52" s="535"/>
      <c r="AW52" s="535"/>
      <c r="AX52" s="535"/>
      <c r="AY52" s="535"/>
      <c r="AZ52" s="535"/>
      <c r="BA52" s="535"/>
      <c r="BB52" s="536"/>
      <c r="BC52" s="535"/>
      <c r="BD52" s="535"/>
      <c r="BE52" s="535"/>
      <c r="BF52" s="535"/>
      <c r="BG52" s="535"/>
      <c r="BH52" s="535"/>
      <c r="BI52" s="535"/>
      <c r="BJ52" s="535"/>
      <c r="BK52" s="535"/>
      <c r="BL52" s="535"/>
      <c r="BM52" s="535"/>
      <c r="BN52" s="535"/>
      <c r="BO52" s="535"/>
      <c r="BP52" s="535"/>
      <c r="BQ52" s="535"/>
      <c r="BR52" s="535"/>
      <c r="BS52" s="535"/>
      <c r="BT52" s="535"/>
      <c r="BU52" s="535"/>
      <c r="BV52" s="535"/>
      <c r="BW52" s="535"/>
      <c r="BX52" s="535"/>
      <c r="BY52" s="535"/>
      <c r="BZ52" s="535"/>
      <c r="CA52" s="535"/>
      <c r="CB52" s="535"/>
      <c r="CC52" s="535"/>
      <c r="CD52" s="535"/>
      <c r="CE52" s="535"/>
      <c r="CF52" s="535"/>
      <c r="CG52" s="535"/>
      <c r="CH52" s="535"/>
      <c r="CI52" s="535"/>
      <c r="CJ52" s="535"/>
      <c r="CK52" s="535"/>
      <c r="CL52" s="535"/>
      <c r="CM52" s="535"/>
      <c r="CN52" s="535"/>
      <c r="CO52" s="535"/>
      <c r="CP52" s="535"/>
      <c r="CQ52" s="535"/>
      <c r="CR52" s="535"/>
      <c r="CS52" s="535"/>
      <c r="CT52" s="535"/>
      <c r="CU52" s="535"/>
      <c r="CV52" s="535"/>
      <c r="CW52" s="535"/>
      <c r="CX52" s="535"/>
      <c r="CY52" s="535"/>
      <c r="CZ52" s="537"/>
      <c r="DA52" s="538">
        <f t="array" ref="DA52">IF(D52="","",
 IF($DO$3="Error","Error",
 IF(OR(
 SUM(($E$4:$CZ$4="")*(E52:CZ52&lt;&gt;""))&gt;0,
 SUM(($E$5:$CZ$5="")*(E52:CZ52&lt;&gt;""))&gt;0,
 COUNTA(E52:CZ52)&gt;$DO$3,
 SUMPRODUCT((E52:CZ52&lt;&gt;"")*(ISNA(MATCH(E52:CZ52,{"P","A","L","E","D"},0))))&gt;0),"Error",
 IF(COUNTIFS($E$5:$CZ$5,"T1",E52:CZ52,$DA$5)=0,"--",
 COUNTIFS($E$5:$CZ$5,"T1",E52:CZ52,$DA$5)))))</f>
      </c>
      <c r="DB52" s="539">
        <f t="array" ref="DB52">IF(D52="","",
 IF($DO$3="Error","Error",
 IF(OR(
 SUM(($E$4:$CZ$4="")*(E52:CZ52&lt;&gt;""))&gt;0,
 SUM(($E$5:$CZ$5="")*(E52:CZ52&lt;&gt;""))&gt;0,
 COUNTA(E52:CZ52)&gt;$DO$3,
 SUMPRODUCT((E52:CZ52&lt;&gt;"")*(ISNA(MATCH(E52:CZ52,{"P","A","L","E","D"},0))))&gt;0),"Error",
 IF(COUNTIFS($E$5:$CZ$5,"T1",E52:CZ52,$DB$5)=0,"--",
 COUNTIFS($E$5:$CZ$5,"T1",E52:CZ52,$DB$5)))))</f>
      </c>
      <c r="DC52" s="539">
        <f t="array" ref="DC52">IF(D52="","",
 IF($DO$3="Error","Error",
 IF(OR(
 SUM(($E$4:$CZ$4="")*(E52:CZ52&lt;&gt;""))&gt;0,
 SUM(($E$5:$CZ$5="")*(E52:CZ52&lt;&gt;""))&gt;0,
 COUNTA(E52:CZ52)&gt;$DO$3,
 SUMPRODUCT((E52:CZ52&lt;&gt;"")*(ISNA(MATCH(E52:CZ52,{"P","A","L","E","D"},0))))&gt;0),"Error",
 IF(COUNTIFS($E$5:$CZ$5,"T1",E52:CZ52,$DC$5)=0,"--",
 COUNTIFS($E$5:$CZ$5,"T1",E52:CZ52,$DC$5)))))</f>
      </c>
      <c r="DD52" s="540">
        <f t="array" ref="DD52">IF(D52="","",
 IF($DO$3="Error","Error",
 IF(OR(
 SUM(($E$4:$CZ$4="")*(E52:CZ52&lt;&gt;""))&gt;0,
 SUM(($E$5:$CZ$5="")*(E52:CZ52&lt;&gt;""))&gt;0,
 COUNTA(E52:CZ52)&gt;$DO$3,
 SUMPRODUCT((E52:CZ52&lt;&gt;"")*(ISNA(MATCH(E52:CZ52,{"P","A","L","E","D"},0))))&gt;0),"Error",
 IF(COUNTIFS($E$5:$CZ$5,"T1",E52:CZ52,$DD$5)=0,"--",
 COUNTIFS($E$5:$CZ$5,"T1",E52:CZ52,$DD$5)))))</f>
      </c>
      <c r="DE52" s="541">
        <f t="array" ref="DE52">IF(D52="","",
 IF($DO$3="Error","Error",
 IF(OR(
 SUM(($E$4:$CZ$4="")*(E52:CZ52&lt;&gt;""))&gt;0,
 SUM(($E$5:$CZ$5="")*(E52:CZ52&lt;&gt;""))&gt;0,
 COUNTA(E52:CZ52)&gt;$DO$3,
 SUMPRODUCT((E52:CZ52&lt;&gt;"")*(ISNA(MATCH(E52:CZ52,{"P","A","L","E","D"},0))))&gt;0),"Error",
 IF(COUNTIFS($E$5:$CZ$5,"T2",E52:CZ52,$DE$5)=0,"--",
 COUNTIFS($E$5:$CZ$5,"T2",E52:CZ52,$DE$5)))))</f>
      </c>
      <c r="DF52" s="539">
        <f t="array" ref="DF52">IF(D52="","",
 IF($DO$3="Error","Error",
 IF(OR(
 SUM(($E$4:$CZ$4="")*(E52:CZ52&lt;&gt;""))&gt;0,
 SUM(($E$5:$CZ$5="")*(E52:CZ52&lt;&gt;""))&gt;0,
 COUNTA(E52:CZ52)&gt;$DO$3,
 SUMPRODUCT((E52:CZ52&lt;&gt;"")*(ISNA(MATCH(E52:CZ52,{"P","A","L","E","D"},0))))&gt;0),"Error",
 IF(COUNTIFS($E$5:$CZ$5,"T2",E52:CZ52,$DF$5)=0,"--",
 COUNTIFS($E$5:$CZ$5,"T2",E52:CZ52,$DF$5)))))</f>
      </c>
      <c r="DG52" s="539">
        <f t="array" ref="DG52">IF(D52="","",
 IF($DO$3="Error","Error",
 IF(OR(
 SUM(($E$4:$CZ$4="")*(E52:CZ52&lt;&gt;""))&gt;0,
 SUM(($E$5:$CZ$5="")*(E52:CZ52&lt;&gt;""))&gt;0,
 COUNTA(E52:CZ52)&gt;$DO$3,
 SUMPRODUCT((E52:CZ52&lt;&gt;"")*(ISNA(MATCH(E52:CZ52,{"P","A","L","E","D"},0))))&gt;0),"Error",
 IF(COUNTIFS($E$5:$CZ$5,"T2",E52:CZ52,$DG$5)=0,"--",
 COUNTIFS($E$5:$CZ$5,"T2",E52:CZ52,$DG$5)))))</f>
      </c>
      <c r="DH52" s="542">
        <f t="array" ref="DH52">IF(D52="","",
 IF($DO$3="Error","Error",
 IF(OR(
 SUM(($E$4:$CZ$4="")*(E52:CZ52&lt;&gt;""))&gt;0,
 SUM(($E$5:$CZ$5="")*(E52:CZ52&lt;&gt;""))&gt;0,
 COUNTA(E52:CZ52)&gt;$DO$3,
 SUMPRODUCT((E52:CZ52&lt;&gt;"")*(ISNA(MATCH(E52:CZ52,{"P","A","L","E","D"},0))))&gt;0),"Error",
 IF(COUNTIFS($E$5:$CZ$5,"T2",E52:CZ52,$DH$5)=0,"--",
 COUNTIFS($E$5:$CZ$5,"T2",E52:CZ52,$DH$5)))))</f>
      </c>
      <c r="DI52" s="543">
        <f t="array" ref="DI52">IF(D52="","",
 IF($DO$3="Error","Error",
 IF(OR(
 SUM(($E$4:$CZ$4="")*(E52:CZ52&lt;&gt;""))&gt;0,
 SUM(($E$5:$CZ$5="")*(E52:CZ52&lt;&gt;""))&gt;0,
 COUNTA(E52:CZ52)&gt;$DO$3,
 SUMPRODUCT((E52:CZ52&lt;&gt;"")*(ISNA(MATCH(E52:CZ52,{"P","A","L","E","D"},0))))&gt;0),"Error",
 IF(COUNTIFS($E$5:$CZ$5,"T3",E52:CZ52,$DI$5)=0,"--",
 COUNTIFS($E$5:$CZ$5,"T3",E52:CZ52,$DI$5)))))</f>
      </c>
      <c r="DJ52" s="539">
        <f t="array" ref="DJ52">IF(D52="","",
 IF($DO$3="Error","Error",
 IF(OR(
 SUM(($E$4:$CZ$4="")*(E52:CZ52&lt;&gt;""))&gt;0,
 SUM(($E$5:$CZ$5="")*(E52:CZ52&lt;&gt;""))&gt;0,
 COUNTA(E52:CZ52)&gt;$DO$3,
 SUMPRODUCT((E52:CZ52&lt;&gt;"")*(ISNA(MATCH(E52:CZ52,{"P","A","L","E","D"},0))))&gt;0),"Error",
 IF(COUNTIFS($E$5:$CZ$5,"T3",E52:CZ52,$DJ$5)=0,"--",
 COUNTIFS($E$5:$CZ$5,"T3",E52:CZ52,$DJ$5)))))</f>
      </c>
      <c r="DK52" s="539">
        <f t="array" ref="DK52">IF(D52="","",
 IF($DO$3="Error","Error",
 IF(OR(
 SUM(($E$4:$CZ$4="")*(E52:CZ52&lt;&gt;""))&gt;0,
 SUM(($E$5:$CZ$5="")*(E52:CZ52&lt;&gt;""))&gt;0,
 COUNTA(E52:CZ52)&gt;$DO$3,
 SUMPRODUCT((E52:CZ52&lt;&gt;"")*(ISNA(MATCH(E52:CZ52,{"P","A","L","E","D"},0))))&gt;0),"Error",
 IF(COUNTIFS($E$5:$CZ$5,"T3",E52:CZ52,$DK$5)=0,"--",
 COUNTIFS($E$5:$CZ$5,"T3",E52:CZ52,$DK$5)))))</f>
      </c>
      <c r="DL52" s="540">
        <f t="array" ref="DL52">IF(D52="","",
 IF($DO$3="Error","Error",
 IF(OR(
 SUM(($E$4:$CZ$4="")*(E52:CZ52&lt;&gt;""))&gt;0,
 SUM(($E$5:$CZ$5="")*(E52:CZ52&lt;&gt;""))&gt;0,
 COUNTA(E52:CZ52)&gt;$DO$3,
 SUMPRODUCT((E52:CZ52&lt;&gt;"")*(ISNA(MATCH(E52:CZ52,{"P","A","L","E","D"},0))))&gt;0),"Error",
 IF(COUNTIFS($E$5:$CZ$5,"T3",E52:CZ52,$DL$5)=0,"--",
 COUNTIFS($E$5:$CZ$5,"T3",E52:CZ52,$DL$5)))))</f>
      </c>
      <c r="DM52" s="530">
        <f t="array" ref="DM52">IF(COUNTIF(DA52:DL52,"Error")&gt;0,"Error",
 IF(AND(D52="",COUNTA(E52:CZ52)&gt;0),"Error",
 IF(COUNTIF(E52:CZ52,"D")&gt;0,"DRP",
 IF(OR(SUM(COUNTIF(E52:CZ52,{"P","A","L","E"}))&gt;0,AND(D52&lt;&gt;"",COUNTA(E52:CZ52)=0)),"Active",""))))</f>
      </c>
      <c r="DN52" s="531"/>
    </row>
    <row r="53" ht="15.95" customHeight="1" spans="2:118" x14ac:dyDescent="0.25">
      <c r="B53" s="471">
        <v>48</v>
      </c>
      <c r="C53" s="532">
        <f>IF('Data Input'!M54="","",'Data Input'!M54)</f>
      </c>
      <c r="D53" s="533">
        <f>IF('Data Input'!N54="","",'Data Input'!N54)</f>
      </c>
      <c r="E53" s="534"/>
      <c r="F53" s="535"/>
      <c r="G53" s="535"/>
      <c r="H53" s="535"/>
      <c r="I53" s="535"/>
      <c r="J53" s="535"/>
      <c r="K53" s="535"/>
      <c r="L53" s="535"/>
      <c r="M53" s="535"/>
      <c r="N53" s="535"/>
      <c r="O53" s="535"/>
      <c r="P53" s="535"/>
      <c r="Q53" s="535"/>
      <c r="R53" s="535"/>
      <c r="S53" s="535"/>
      <c r="T53" s="535"/>
      <c r="U53" s="535"/>
      <c r="V53" s="535"/>
      <c r="W53" s="535"/>
      <c r="X53" s="535"/>
      <c r="Y53" s="535"/>
      <c r="Z53" s="535"/>
      <c r="AA53" s="535"/>
      <c r="AB53" s="535"/>
      <c r="AC53" s="535"/>
      <c r="AD53" s="535"/>
      <c r="AE53" s="535"/>
      <c r="AF53" s="535"/>
      <c r="AG53" s="535"/>
      <c r="AH53" s="535"/>
      <c r="AI53" s="535"/>
      <c r="AJ53" s="535"/>
      <c r="AK53" s="535"/>
      <c r="AL53" s="535"/>
      <c r="AM53" s="535"/>
      <c r="AN53" s="535"/>
      <c r="AO53" s="535"/>
      <c r="AP53" s="535"/>
      <c r="AQ53" s="535"/>
      <c r="AR53" s="535"/>
      <c r="AS53" s="535"/>
      <c r="AT53" s="535"/>
      <c r="AU53" s="535"/>
      <c r="AV53" s="535"/>
      <c r="AW53" s="535"/>
      <c r="AX53" s="535"/>
      <c r="AY53" s="535"/>
      <c r="AZ53" s="535"/>
      <c r="BA53" s="535"/>
      <c r="BB53" s="536"/>
      <c r="BC53" s="535"/>
      <c r="BD53" s="535"/>
      <c r="BE53" s="535"/>
      <c r="BF53" s="535"/>
      <c r="BG53" s="535"/>
      <c r="BH53" s="535"/>
      <c r="BI53" s="535"/>
      <c r="BJ53" s="535"/>
      <c r="BK53" s="535"/>
      <c r="BL53" s="535"/>
      <c r="BM53" s="535"/>
      <c r="BN53" s="535"/>
      <c r="BO53" s="535"/>
      <c r="BP53" s="535"/>
      <c r="BQ53" s="535"/>
      <c r="BR53" s="535"/>
      <c r="BS53" s="535"/>
      <c r="BT53" s="535"/>
      <c r="BU53" s="535"/>
      <c r="BV53" s="535"/>
      <c r="BW53" s="535"/>
      <c r="BX53" s="535"/>
      <c r="BY53" s="535"/>
      <c r="BZ53" s="535"/>
      <c r="CA53" s="535"/>
      <c r="CB53" s="535"/>
      <c r="CC53" s="535"/>
      <c r="CD53" s="535"/>
      <c r="CE53" s="535"/>
      <c r="CF53" s="535"/>
      <c r="CG53" s="535"/>
      <c r="CH53" s="535"/>
      <c r="CI53" s="535"/>
      <c r="CJ53" s="535"/>
      <c r="CK53" s="535"/>
      <c r="CL53" s="535"/>
      <c r="CM53" s="535"/>
      <c r="CN53" s="535"/>
      <c r="CO53" s="535"/>
      <c r="CP53" s="535"/>
      <c r="CQ53" s="535"/>
      <c r="CR53" s="535"/>
      <c r="CS53" s="535"/>
      <c r="CT53" s="535"/>
      <c r="CU53" s="535"/>
      <c r="CV53" s="535"/>
      <c r="CW53" s="535"/>
      <c r="CX53" s="535"/>
      <c r="CY53" s="535"/>
      <c r="CZ53" s="537"/>
      <c r="DA53" s="538">
        <f t="array" ref="DA53">IF(D53="","",
 IF($DO$3="Error","Error",
 IF(OR(
 SUM(($E$4:$CZ$4="")*(E53:CZ53&lt;&gt;""))&gt;0,
 SUM(($E$5:$CZ$5="")*(E53:CZ53&lt;&gt;""))&gt;0,
 COUNTA(E53:CZ53)&gt;$DO$3,
 SUMPRODUCT((E53:CZ53&lt;&gt;"")*(ISNA(MATCH(E53:CZ53,{"P","A","L","E","D"},0))))&gt;0),"Error",
 IF(COUNTIFS($E$5:$CZ$5,"T1",E53:CZ53,$DA$5)=0,"--",
 COUNTIFS($E$5:$CZ$5,"T1",E53:CZ53,$DA$5)))))</f>
      </c>
      <c r="DB53" s="539">
        <f t="array" ref="DB53">IF(D53="","",
 IF($DO$3="Error","Error",
 IF(OR(
 SUM(($E$4:$CZ$4="")*(E53:CZ53&lt;&gt;""))&gt;0,
 SUM(($E$5:$CZ$5="")*(E53:CZ53&lt;&gt;""))&gt;0,
 COUNTA(E53:CZ53)&gt;$DO$3,
 SUMPRODUCT((E53:CZ53&lt;&gt;"")*(ISNA(MATCH(E53:CZ53,{"P","A","L","E","D"},0))))&gt;0),"Error",
 IF(COUNTIFS($E$5:$CZ$5,"T1",E53:CZ53,$DB$5)=0,"--",
 COUNTIFS($E$5:$CZ$5,"T1",E53:CZ53,$DB$5)))))</f>
      </c>
      <c r="DC53" s="539">
        <f t="array" ref="DC53">IF(D53="","",
 IF($DO$3="Error","Error",
 IF(OR(
 SUM(($E$4:$CZ$4="")*(E53:CZ53&lt;&gt;""))&gt;0,
 SUM(($E$5:$CZ$5="")*(E53:CZ53&lt;&gt;""))&gt;0,
 COUNTA(E53:CZ53)&gt;$DO$3,
 SUMPRODUCT((E53:CZ53&lt;&gt;"")*(ISNA(MATCH(E53:CZ53,{"P","A","L","E","D"},0))))&gt;0),"Error",
 IF(COUNTIFS($E$5:$CZ$5,"T1",E53:CZ53,$DC$5)=0,"--",
 COUNTIFS($E$5:$CZ$5,"T1",E53:CZ53,$DC$5)))))</f>
      </c>
      <c r="DD53" s="540">
        <f t="array" ref="DD53">IF(D53="","",
 IF($DO$3="Error","Error",
 IF(OR(
 SUM(($E$4:$CZ$4="")*(E53:CZ53&lt;&gt;""))&gt;0,
 SUM(($E$5:$CZ$5="")*(E53:CZ53&lt;&gt;""))&gt;0,
 COUNTA(E53:CZ53)&gt;$DO$3,
 SUMPRODUCT((E53:CZ53&lt;&gt;"")*(ISNA(MATCH(E53:CZ53,{"P","A","L","E","D"},0))))&gt;0),"Error",
 IF(COUNTIFS($E$5:$CZ$5,"T1",E53:CZ53,$DD$5)=0,"--",
 COUNTIFS($E$5:$CZ$5,"T1",E53:CZ53,$DD$5)))))</f>
      </c>
      <c r="DE53" s="541">
        <f t="array" ref="DE53">IF(D53="","",
 IF($DO$3="Error","Error",
 IF(OR(
 SUM(($E$4:$CZ$4="")*(E53:CZ53&lt;&gt;""))&gt;0,
 SUM(($E$5:$CZ$5="")*(E53:CZ53&lt;&gt;""))&gt;0,
 COUNTA(E53:CZ53)&gt;$DO$3,
 SUMPRODUCT((E53:CZ53&lt;&gt;"")*(ISNA(MATCH(E53:CZ53,{"P","A","L","E","D"},0))))&gt;0),"Error",
 IF(COUNTIFS($E$5:$CZ$5,"T2",E53:CZ53,$DE$5)=0,"--",
 COUNTIFS($E$5:$CZ$5,"T2",E53:CZ53,$DE$5)))))</f>
      </c>
      <c r="DF53" s="539">
        <f t="array" ref="DF53">IF(D53="","",
 IF($DO$3="Error","Error",
 IF(OR(
 SUM(($E$4:$CZ$4="")*(E53:CZ53&lt;&gt;""))&gt;0,
 SUM(($E$5:$CZ$5="")*(E53:CZ53&lt;&gt;""))&gt;0,
 COUNTA(E53:CZ53)&gt;$DO$3,
 SUMPRODUCT((E53:CZ53&lt;&gt;"")*(ISNA(MATCH(E53:CZ53,{"P","A","L","E","D"},0))))&gt;0),"Error",
 IF(COUNTIFS($E$5:$CZ$5,"T2",E53:CZ53,$DF$5)=0,"--",
 COUNTIFS($E$5:$CZ$5,"T2",E53:CZ53,$DF$5)))))</f>
      </c>
      <c r="DG53" s="539">
        <f t="array" ref="DG53">IF(D53="","",
 IF($DO$3="Error","Error",
 IF(OR(
 SUM(($E$4:$CZ$4="")*(E53:CZ53&lt;&gt;""))&gt;0,
 SUM(($E$5:$CZ$5="")*(E53:CZ53&lt;&gt;""))&gt;0,
 COUNTA(E53:CZ53)&gt;$DO$3,
 SUMPRODUCT((E53:CZ53&lt;&gt;"")*(ISNA(MATCH(E53:CZ53,{"P","A","L","E","D"},0))))&gt;0),"Error",
 IF(COUNTIFS($E$5:$CZ$5,"T2",E53:CZ53,$DG$5)=0,"--",
 COUNTIFS($E$5:$CZ$5,"T2",E53:CZ53,$DG$5)))))</f>
      </c>
      <c r="DH53" s="542">
        <f t="array" ref="DH53">IF(D53="","",
 IF($DO$3="Error","Error",
 IF(OR(
 SUM(($E$4:$CZ$4="")*(E53:CZ53&lt;&gt;""))&gt;0,
 SUM(($E$5:$CZ$5="")*(E53:CZ53&lt;&gt;""))&gt;0,
 COUNTA(E53:CZ53)&gt;$DO$3,
 SUMPRODUCT((E53:CZ53&lt;&gt;"")*(ISNA(MATCH(E53:CZ53,{"P","A","L","E","D"},0))))&gt;0),"Error",
 IF(COUNTIFS($E$5:$CZ$5,"T2",E53:CZ53,$DH$5)=0,"--",
 COUNTIFS($E$5:$CZ$5,"T2",E53:CZ53,$DH$5)))))</f>
      </c>
      <c r="DI53" s="543">
        <f t="array" ref="DI53">IF(D53="","",
 IF($DO$3="Error","Error",
 IF(OR(
 SUM(($E$4:$CZ$4="")*(E53:CZ53&lt;&gt;""))&gt;0,
 SUM(($E$5:$CZ$5="")*(E53:CZ53&lt;&gt;""))&gt;0,
 COUNTA(E53:CZ53)&gt;$DO$3,
 SUMPRODUCT((E53:CZ53&lt;&gt;"")*(ISNA(MATCH(E53:CZ53,{"P","A","L","E","D"},0))))&gt;0),"Error",
 IF(COUNTIFS($E$5:$CZ$5,"T3",E53:CZ53,$DI$5)=0,"--",
 COUNTIFS($E$5:$CZ$5,"T3",E53:CZ53,$DI$5)))))</f>
      </c>
      <c r="DJ53" s="539">
        <f t="array" ref="DJ53">IF(D53="","",
 IF($DO$3="Error","Error",
 IF(OR(
 SUM(($E$4:$CZ$4="")*(E53:CZ53&lt;&gt;""))&gt;0,
 SUM(($E$5:$CZ$5="")*(E53:CZ53&lt;&gt;""))&gt;0,
 COUNTA(E53:CZ53)&gt;$DO$3,
 SUMPRODUCT((E53:CZ53&lt;&gt;"")*(ISNA(MATCH(E53:CZ53,{"P","A","L","E","D"},0))))&gt;0),"Error",
 IF(COUNTIFS($E$5:$CZ$5,"T3",E53:CZ53,$DJ$5)=0,"--",
 COUNTIFS($E$5:$CZ$5,"T3",E53:CZ53,$DJ$5)))))</f>
      </c>
      <c r="DK53" s="539">
        <f t="array" ref="DK53">IF(D53="","",
 IF($DO$3="Error","Error",
 IF(OR(
 SUM(($E$4:$CZ$4="")*(E53:CZ53&lt;&gt;""))&gt;0,
 SUM(($E$5:$CZ$5="")*(E53:CZ53&lt;&gt;""))&gt;0,
 COUNTA(E53:CZ53)&gt;$DO$3,
 SUMPRODUCT((E53:CZ53&lt;&gt;"")*(ISNA(MATCH(E53:CZ53,{"P","A","L","E","D"},0))))&gt;0),"Error",
 IF(COUNTIFS($E$5:$CZ$5,"T3",E53:CZ53,$DK$5)=0,"--",
 COUNTIFS($E$5:$CZ$5,"T3",E53:CZ53,$DK$5)))))</f>
      </c>
      <c r="DL53" s="540">
        <f t="array" ref="DL53">IF(D53="","",
 IF($DO$3="Error","Error",
 IF(OR(
 SUM(($E$4:$CZ$4="")*(E53:CZ53&lt;&gt;""))&gt;0,
 SUM(($E$5:$CZ$5="")*(E53:CZ53&lt;&gt;""))&gt;0,
 COUNTA(E53:CZ53)&gt;$DO$3,
 SUMPRODUCT((E53:CZ53&lt;&gt;"")*(ISNA(MATCH(E53:CZ53,{"P","A","L","E","D"},0))))&gt;0),"Error",
 IF(COUNTIFS($E$5:$CZ$5,"T3",E53:CZ53,$DL$5)=0,"--",
 COUNTIFS($E$5:$CZ$5,"T3",E53:CZ53,$DL$5)))))</f>
      </c>
      <c r="DM53" s="530">
        <f t="array" ref="DM53">IF(COUNTIF(DA53:DL53,"Error")&gt;0,"Error",
 IF(AND(D53="",COUNTA(E53:CZ53)&gt;0),"Error",
 IF(COUNTIF(E53:CZ53,"D")&gt;0,"DRP",
 IF(OR(SUM(COUNTIF(E53:CZ53,{"P","A","L","E"}))&gt;0,AND(D53&lt;&gt;"",COUNTA(E53:CZ53)=0)),"Active",""))))</f>
      </c>
      <c r="DN53" s="531"/>
    </row>
    <row r="54" ht="15.95" customHeight="1" spans="2:118" x14ac:dyDescent="0.25">
      <c r="B54" s="471">
        <v>49</v>
      </c>
      <c r="C54" s="532">
        <f>IF('Data Input'!M55="","",'Data Input'!M55)</f>
      </c>
      <c r="D54" s="533">
        <f>IF('Data Input'!N55="","",'Data Input'!N55)</f>
      </c>
      <c r="E54" s="534"/>
      <c r="F54" s="535"/>
      <c r="G54" s="535"/>
      <c r="H54" s="535"/>
      <c r="I54" s="535"/>
      <c r="J54" s="535"/>
      <c r="K54" s="535"/>
      <c r="L54" s="535"/>
      <c r="M54" s="535"/>
      <c r="N54" s="535"/>
      <c r="O54" s="535"/>
      <c r="P54" s="535"/>
      <c r="Q54" s="535"/>
      <c r="R54" s="535"/>
      <c r="S54" s="535"/>
      <c r="T54" s="535"/>
      <c r="U54" s="535"/>
      <c r="V54" s="535"/>
      <c r="W54" s="535"/>
      <c r="X54" s="535"/>
      <c r="Y54" s="535"/>
      <c r="Z54" s="535"/>
      <c r="AA54" s="535"/>
      <c r="AB54" s="535"/>
      <c r="AC54" s="535"/>
      <c r="AD54" s="535"/>
      <c r="AE54" s="535"/>
      <c r="AF54" s="535"/>
      <c r="AG54" s="535"/>
      <c r="AH54" s="535"/>
      <c r="AI54" s="535"/>
      <c r="AJ54" s="535"/>
      <c r="AK54" s="535"/>
      <c r="AL54" s="535"/>
      <c r="AM54" s="535"/>
      <c r="AN54" s="535"/>
      <c r="AO54" s="535"/>
      <c r="AP54" s="535"/>
      <c r="AQ54" s="535"/>
      <c r="AR54" s="535"/>
      <c r="AS54" s="535"/>
      <c r="AT54" s="535"/>
      <c r="AU54" s="535"/>
      <c r="AV54" s="535"/>
      <c r="AW54" s="535"/>
      <c r="AX54" s="535"/>
      <c r="AY54" s="535"/>
      <c r="AZ54" s="535"/>
      <c r="BA54" s="535"/>
      <c r="BB54" s="536"/>
      <c r="BC54" s="535"/>
      <c r="BD54" s="535"/>
      <c r="BE54" s="535"/>
      <c r="BF54" s="535"/>
      <c r="BG54" s="535"/>
      <c r="BH54" s="535"/>
      <c r="BI54" s="535"/>
      <c r="BJ54" s="535"/>
      <c r="BK54" s="535"/>
      <c r="BL54" s="535"/>
      <c r="BM54" s="535"/>
      <c r="BN54" s="535"/>
      <c r="BO54" s="535"/>
      <c r="BP54" s="535"/>
      <c r="BQ54" s="535"/>
      <c r="BR54" s="535"/>
      <c r="BS54" s="535"/>
      <c r="BT54" s="535"/>
      <c r="BU54" s="535"/>
      <c r="BV54" s="535"/>
      <c r="BW54" s="535"/>
      <c r="BX54" s="535"/>
      <c r="BY54" s="535"/>
      <c r="BZ54" s="535"/>
      <c r="CA54" s="535"/>
      <c r="CB54" s="535"/>
      <c r="CC54" s="535"/>
      <c r="CD54" s="535"/>
      <c r="CE54" s="535"/>
      <c r="CF54" s="535"/>
      <c r="CG54" s="535"/>
      <c r="CH54" s="535"/>
      <c r="CI54" s="535"/>
      <c r="CJ54" s="535"/>
      <c r="CK54" s="535"/>
      <c r="CL54" s="535"/>
      <c r="CM54" s="535"/>
      <c r="CN54" s="535"/>
      <c r="CO54" s="535"/>
      <c r="CP54" s="535"/>
      <c r="CQ54" s="535"/>
      <c r="CR54" s="535"/>
      <c r="CS54" s="535"/>
      <c r="CT54" s="535"/>
      <c r="CU54" s="535"/>
      <c r="CV54" s="535"/>
      <c r="CW54" s="535"/>
      <c r="CX54" s="535"/>
      <c r="CY54" s="535"/>
      <c r="CZ54" s="537"/>
      <c r="DA54" s="538">
        <f t="array" ref="DA54">IF(D54="","",
 IF($DO$3="Error","Error",
 IF(OR(
 SUM(($E$4:$CZ$4="")*(E54:CZ54&lt;&gt;""))&gt;0,
 SUM(($E$5:$CZ$5="")*(E54:CZ54&lt;&gt;""))&gt;0,
 COUNTA(E54:CZ54)&gt;$DO$3,
 SUMPRODUCT((E54:CZ54&lt;&gt;"")*(ISNA(MATCH(E54:CZ54,{"P","A","L","E","D"},0))))&gt;0),"Error",
 IF(COUNTIFS($E$5:$CZ$5,"T1",E54:CZ54,$DA$5)=0,"--",
 COUNTIFS($E$5:$CZ$5,"T1",E54:CZ54,$DA$5)))))</f>
      </c>
      <c r="DB54" s="539">
        <f t="array" ref="DB54">IF(D54="","",
 IF($DO$3="Error","Error",
 IF(OR(
 SUM(($E$4:$CZ$4="")*(E54:CZ54&lt;&gt;""))&gt;0,
 SUM(($E$5:$CZ$5="")*(E54:CZ54&lt;&gt;""))&gt;0,
 COUNTA(E54:CZ54)&gt;$DO$3,
 SUMPRODUCT((E54:CZ54&lt;&gt;"")*(ISNA(MATCH(E54:CZ54,{"P","A","L","E","D"},0))))&gt;0),"Error",
 IF(COUNTIFS($E$5:$CZ$5,"T1",E54:CZ54,$DB$5)=0,"--",
 COUNTIFS($E$5:$CZ$5,"T1",E54:CZ54,$DB$5)))))</f>
      </c>
      <c r="DC54" s="539">
        <f t="array" ref="DC54">IF(D54="","",
 IF($DO$3="Error","Error",
 IF(OR(
 SUM(($E$4:$CZ$4="")*(E54:CZ54&lt;&gt;""))&gt;0,
 SUM(($E$5:$CZ$5="")*(E54:CZ54&lt;&gt;""))&gt;0,
 COUNTA(E54:CZ54)&gt;$DO$3,
 SUMPRODUCT((E54:CZ54&lt;&gt;"")*(ISNA(MATCH(E54:CZ54,{"P","A","L","E","D"},0))))&gt;0),"Error",
 IF(COUNTIFS($E$5:$CZ$5,"T1",E54:CZ54,$DC$5)=0,"--",
 COUNTIFS($E$5:$CZ$5,"T1",E54:CZ54,$DC$5)))))</f>
      </c>
      <c r="DD54" s="540">
        <f t="array" ref="DD54">IF(D54="","",
 IF($DO$3="Error","Error",
 IF(OR(
 SUM(($E$4:$CZ$4="")*(E54:CZ54&lt;&gt;""))&gt;0,
 SUM(($E$5:$CZ$5="")*(E54:CZ54&lt;&gt;""))&gt;0,
 COUNTA(E54:CZ54)&gt;$DO$3,
 SUMPRODUCT((E54:CZ54&lt;&gt;"")*(ISNA(MATCH(E54:CZ54,{"P","A","L","E","D"},0))))&gt;0),"Error",
 IF(COUNTIFS($E$5:$CZ$5,"T1",E54:CZ54,$DD$5)=0,"--",
 COUNTIFS($E$5:$CZ$5,"T1",E54:CZ54,$DD$5)))))</f>
      </c>
      <c r="DE54" s="541">
        <f t="array" ref="DE54">IF(D54="","",
 IF($DO$3="Error","Error",
 IF(OR(
 SUM(($E$4:$CZ$4="")*(E54:CZ54&lt;&gt;""))&gt;0,
 SUM(($E$5:$CZ$5="")*(E54:CZ54&lt;&gt;""))&gt;0,
 COUNTA(E54:CZ54)&gt;$DO$3,
 SUMPRODUCT((E54:CZ54&lt;&gt;"")*(ISNA(MATCH(E54:CZ54,{"P","A","L","E","D"},0))))&gt;0),"Error",
 IF(COUNTIFS($E$5:$CZ$5,"T2",E54:CZ54,$DE$5)=0,"--",
 COUNTIFS($E$5:$CZ$5,"T2",E54:CZ54,$DE$5)))))</f>
      </c>
      <c r="DF54" s="539">
        <f t="array" ref="DF54">IF(D54="","",
 IF($DO$3="Error","Error",
 IF(OR(
 SUM(($E$4:$CZ$4="")*(E54:CZ54&lt;&gt;""))&gt;0,
 SUM(($E$5:$CZ$5="")*(E54:CZ54&lt;&gt;""))&gt;0,
 COUNTA(E54:CZ54)&gt;$DO$3,
 SUMPRODUCT((E54:CZ54&lt;&gt;"")*(ISNA(MATCH(E54:CZ54,{"P","A","L","E","D"},0))))&gt;0),"Error",
 IF(COUNTIFS($E$5:$CZ$5,"T2",E54:CZ54,$DF$5)=0,"--",
 COUNTIFS($E$5:$CZ$5,"T2",E54:CZ54,$DF$5)))))</f>
      </c>
      <c r="DG54" s="539">
        <f t="array" ref="DG54">IF(D54="","",
 IF($DO$3="Error","Error",
 IF(OR(
 SUM(($E$4:$CZ$4="")*(E54:CZ54&lt;&gt;""))&gt;0,
 SUM(($E$5:$CZ$5="")*(E54:CZ54&lt;&gt;""))&gt;0,
 COUNTA(E54:CZ54)&gt;$DO$3,
 SUMPRODUCT((E54:CZ54&lt;&gt;"")*(ISNA(MATCH(E54:CZ54,{"P","A","L","E","D"},0))))&gt;0),"Error",
 IF(COUNTIFS($E$5:$CZ$5,"T2",E54:CZ54,$DG$5)=0,"--",
 COUNTIFS($E$5:$CZ$5,"T2",E54:CZ54,$DG$5)))))</f>
      </c>
      <c r="DH54" s="542">
        <f t="array" ref="DH54">IF(D54="","",
 IF($DO$3="Error","Error",
 IF(OR(
 SUM(($E$4:$CZ$4="")*(E54:CZ54&lt;&gt;""))&gt;0,
 SUM(($E$5:$CZ$5="")*(E54:CZ54&lt;&gt;""))&gt;0,
 COUNTA(E54:CZ54)&gt;$DO$3,
 SUMPRODUCT((E54:CZ54&lt;&gt;"")*(ISNA(MATCH(E54:CZ54,{"P","A","L","E","D"},0))))&gt;0),"Error",
 IF(COUNTIFS($E$5:$CZ$5,"T2",E54:CZ54,$DH$5)=0,"--",
 COUNTIFS($E$5:$CZ$5,"T2",E54:CZ54,$DH$5)))))</f>
      </c>
      <c r="DI54" s="543">
        <f t="array" ref="DI54">IF(D54="","",
 IF($DO$3="Error","Error",
 IF(OR(
 SUM(($E$4:$CZ$4="")*(E54:CZ54&lt;&gt;""))&gt;0,
 SUM(($E$5:$CZ$5="")*(E54:CZ54&lt;&gt;""))&gt;0,
 COUNTA(E54:CZ54)&gt;$DO$3,
 SUMPRODUCT((E54:CZ54&lt;&gt;"")*(ISNA(MATCH(E54:CZ54,{"P","A","L","E","D"},0))))&gt;0),"Error",
 IF(COUNTIFS($E$5:$CZ$5,"T3",E54:CZ54,$DI$5)=0,"--",
 COUNTIFS($E$5:$CZ$5,"T3",E54:CZ54,$DI$5)))))</f>
      </c>
      <c r="DJ54" s="539">
        <f t="array" ref="DJ54">IF(D54="","",
 IF($DO$3="Error","Error",
 IF(OR(
 SUM(($E$4:$CZ$4="")*(E54:CZ54&lt;&gt;""))&gt;0,
 SUM(($E$5:$CZ$5="")*(E54:CZ54&lt;&gt;""))&gt;0,
 COUNTA(E54:CZ54)&gt;$DO$3,
 SUMPRODUCT((E54:CZ54&lt;&gt;"")*(ISNA(MATCH(E54:CZ54,{"P","A","L","E","D"},0))))&gt;0),"Error",
 IF(COUNTIFS($E$5:$CZ$5,"T3",E54:CZ54,$DJ$5)=0,"--",
 COUNTIFS($E$5:$CZ$5,"T3",E54:CZ54,$DJ$5)))))</f>
      </c>
      <c r="DK54" s="539">
        <f t="array" ref="DK54">IF(D54="","",
 IF($DO$3="Error","Error",
 IF(OR(
 SUM(($E$4:$CZ$4="")*(E54:CZ54&lt;&gt;""))&gt;0,
 SUM(($E$5:$CZ$5="")*(E54:CZ54&lt;&gt;""))&gt;0,
 COUNTA(E54:CZ54)&gt;$DO$3,
 SUMPRODUCT((E54:CZ54&lt;&gt;"")*(ISNA(MATCH(E54:CZ54,{"P","A","L","E","D"},0))))&gt;0),"Error",
 IF(COUNTIFS($E$5:$CZ$5,"T3",E54:CZ54,$DK$5)=0,"--",
 COUNTIFS($E$5:$CZ$5,"T3",E54:CZ54,$DK$5)))))</f>
      </c>
      <c r="DL54" s="540">
        <f t="array" ref="DL54">IF(D54="","",
 IF($DO$3="Error","Error",
 IF(OR(
 SUM(($E$4:$CZ$4="")*(E54:CZ54&lt;&gt;""))&gt;0,
 SUM(($E$5:$CZ$5="")*(E54:CZ54&lt;&gt;""))&gt;0,
 COUNTA(E54:CZ54)&gt;$DO$3,
 SUMPRODUCT((E54:CZ54&lt;&gt;"")*(ISNA(MATCH(E54:CZ54,{"P","A","L","E","D"},0))))&gt;0),"Error",
 IF(COUNTIFS($E$5:$CZ$5,"T3",E54:CZ54,$DL$5)=0,"--",
 COUNTIFS($E$5:$CZ$5,"T3",E54:CZ54,$DL$5)))))</f>
      </c>
      <c r="DM54" s="530">
        <f t="array" ref="DM54">IF(COUNTIF(DA54:DL54,"Error")&gt;0,"Error",
 IF(AND(D54="",COUNTA(E54:CZ54)&gt;0),"Error",
 IF(COUNTIF(E54:CZ54,"D")&gt;0,"DRP",
 IF(OR(SUM(COUNTIF(E54:CZ54,{"P","A","L","E"}))&gt;0,AND(D54&lt;&gt;"",COUNTA(E54:CZ54)=0)),"Active",""))))</f>
      </c>
      <c r="DN54" s="531"/>
    </row>
    <row r="55" ht="15.95" customHeight="1" spans="2:118" x14ac:dyDescent="0.25">
      <c r="B55" s="471">
        <v>50</v>
      </c>
      <c r="C55" s="532">
        <f>IF('Data Input'!M56="","",'Data Input'!M56)</f>
      </c>
      <c r="D55" s="533">
        <f>IF('Data Input'!N56="","",'Data Input'!N56)</f>
      </c>
      <c r="E55" s="534"/>
      <c r="F55" s="535"/>
      <c r="G55" s="535"/>
      <c r="H55" s="535"/>
      <c r="I55" s="535"/>
      <c r="J55" s="535"/>
      <c r="K55" s="535"/>
      <c r="L55" s="535"/>
      <c r="M55" s="535"/>
      <c r="N55" s="535"/>
      <c r="O55" s="535"/>
      <c r="P55" s="535"/>
      <c r="Q55" s="535"/>
      <c r="R55" s="535"/>
      <c r="S55" s="535"/>
      <c r="T55" s="535"/>
      <c r="U55" s="535"/>
      <c r="V55" s="535"/>
      <c r="W55" s="535"/>
      <c r="X55" s="535"/>
      <c r="Y55" s="535"/>
      <c r="Z55" s="535"/>
      <c r="AA55" s="535"/>
      <c r="AB55" s="535"/>
      <c r="AC55" s="535"/>
      <c r="AD55" s="535"/>
      <c r="AE55" s="535"/>
      <c r="AF55" s="535"/>
      <c r="AG55" s="535"/>
      <c r="AH55" s="535"/>
      <c r="AI55" s="535"/>
      <c r="AJ55" s="535"/>
      <c r="AK55" s="535"/>
      <c r="AL55" s="535"/>
      <c r="AM55" s="535"/>
      <c r="AN55" s="535"/>
      <c r="AO55" s="535"/>
      <c r="AP55" s="535"/>
      <c r="AQ55" s="535"/>
      <c r="AR55" s="535"/>
      <c r="AS55" s="535"/>
      <c r="AT55" s="535"/>
      <c r="AU55" s="535"/>
      <c r="AV55" s="535"/>
      <c r="AW55" s="535"/>
      <c r="AX55" s="535"/>
      <c r="AY55" s="535"/>
      <c r="AZ55" s="535"/>
      <c r="BA55" s="535"/>
      <c r="BB55" s="536"/>
      <c r="BC55" s="535"/>
      <c r="BD55" s="535"/>
      <c r="BE55" s="535"/>
      <c r="BF55" s="535"/>
      <c r="BG55" s="535"/>
      <c r="BH55" s="535"/>
      <c r="BI55" s="535"/>
      <c r="BJ55" s="535"/>
      <c r="BK55" s="535"/>
      <c r="BL55" s="535"/>
      <c r="BM55" s="535"/>
      <c r="BN55" s="535"/>
      <c r="BO55" s="535"/>
      <c r="BP55" s="535"/>
      <c r="BQ55" s="535"/>
      <c r="BR55" s="535"/>
      <c r="BS55" s="535"/>
      <c r="BT55" s="535"/>
      <c r="BU55" s="535"/>
      <c r="BV55" s="535"/>
      <c r="BW55" s="535"/>
      <c r="BX55" s="535"/>
      <c r="BY55" s="535"/>
      <c r="BZ55" s="535"/>
      <c r="CA55" s="535"/>
      <c r="CB55" s="535"/>
      <c r="CC55" s="535"/>
      <c r="CD55" s="535"/>
      <c r="CE55" s="535"/>
      <c r="CF55" s="535"/>
      <c r="CG55" s="535"/>
      <c r="CH55" s="535"/>
      <c r="CI55" s="535"/>
      <c r="CJ55" s="535"/>
      <c r="CK55" s="535"/>
      <c r="CL55" s="535"/>
      <c r="CM55" s="535"/>
      <c r="CN55" s="535"/>
      <c r="CO55" s="535"/>
      <c r="CP55" s="535"/>
      <c r="CQ55" s="535"/>
      <c r="CR55" s="535"/>
      <c r="CS55" s="535"/>
      <c r="CT55" s="535"/>
      <c r="CU55" s="535"/>
      <c r="CV55" s="535"/>
      <c r="CW55" s="535"/>
      <c r="CX55" s="535"/>
      <c r="CY55" s="535"/>
      <c r="CZ55" s="537"/>
      <c r="DA55" s="538">
        <f t="array" ref="DA55">IF(D55="","",
 IF($DO$3="Error","Error",
 IF(OR(
 SUM(($E$4:$CZ$4="")*(E55:CZ55&lt;&gt;""))&gt;0,
 SUM(($E$5:$CZ$5="")*(E55:CZ55&lt;&gt;""))&gt;0,
 COUNTA(E55:CZ55)&gt;$DO$3,
 SUMPRODUCT((E55:CZ55&lt;&gt;"")*(ISNA(MATCH(E55:CZ55,{"P","A","L","E","D"},0))))&gt;0),"Error",
 IF(COUNTIFS($E$5:$CZ$5,"T1",E55:CZ55,$DA$5)=0,"--",
 COUNTIFS($E$5:$CZ$5,"T1",E55:CZ55,$DA$5)))))</f>
      </c>
      <c r="DB55" s="539">
        <f t="array" ref="DB55">IF(D55="","",
 IF($DO$3="Error","Error",
 IF(OR(
 SUM(($E$4:$CZ$4="")*(E55:CZ55&lt;&gt;""))&gt;0,
 SUM(($E$5:$CZ$5="")*(E55:CZ55&lt;&gt;""))&gt;0,
 COUNTA(E55:CZ55)&gt;$DO$3,
 SUMPRODUCT((E55:CZ55&lt;&gt;"")*(ISNA(MATCH(E55:CZ55,{"P","A","L","E","D"},0))))&gt;0),"Error",
 IF(COUNTIFS($E$5:$CZ$5,"T1",E55:CZ55,$DB$5)=0,"--",
 COUNTIFS($E$5:$CZ$5,"T1",E55:CZ55,$DB$5)))))</f>
      </c>
      <c r="DC55" s="539">
        <f t="array" ref="DC55">IF(D55="","",
 IF($DO$3="Error","Error",
 IF(OR(
 SUM(($E$4:$CZ$4="")*(E55:CZ55&lt;&gt;""))&gt;0,
 SUM(($E$5:$CZ$5="")*(E55:CZ55&lt;&gt;""))&gt;0,
 COUNTA(E55:CZ55)&gt;$DO$3,
 SUMPRODUCT((E55:CZ55&lt;&gt;"")*(ISNA(MATCH(E55:CZ55,{"P","A","L","E","D"},0))))&gt;0),"Error",
 IF(COUNTIFS($E$5:$CZ$5,"T1",E55:CZ55,$DC$5)=0,"--",
 COUNTIFS($E$5:$CZ$5,"T1",E55:CZ55,$DC$5)))))</f>
      </c>
      <c r="DD55" s="540">
        <f t="array" ref="DD55">IF(D55="","",
 IF($DO$3="Error","Error",
 IF(OR(
 SUM(($E$4:$CZ$4="")*(E55:CZ55&lt;&gt;""))&gt;0,
 SUM(($E$5:$CZ$5="")*(E55:CZ55&lt;&gt;""))&gt;0,
 COUNTA(E55:CZ55)&gt;$DO$3,
 SUMPRODUCT((E55:CZ55&lt;&gt;"")*(ISNA(MATCH(E55:CZ55,{"P","A","L","E","D"},0))))&gt;0),"Error",
 IF(COUNTIFS($E$5:$CZ$5,"T1",E55:CZ55,$DD$5)=0,"--",
 COUNTIFS($E$5:$CZ$5,"T1",E55:CZ55,$DD$5)))))</f>
      </c>
      <c r="DE55" s="541">
        <f t="array" ref="DE55">IF(D55="","",
 IF($DO$3="Error","Error",
 IF(OR(
 SUM(($E$4:$CZ$4="")*(E55:CZ55&lt;&gt;""))&gt;0,
 SUM(($E$5:$CZ$5="")*(E55:CZ55&lt;&gt;""))&gt;0,
 COUNTA(E55:CZ55)&gt;$DO$3,
 SUMPRODUCT((E55:CZ55&lt;&gt;"")*(ISNA(MATCH(E55:CZ55,{"P","A","L","E","D"},0))))&gt;0),"Error",
 IF(COUNTIFS($E$5:$CZ$5,"T2",E55:CZ55,$DE$5)=0,"--",
 COUNTIFS($E$5:$CZ$5,"T2",E55:CZ55,$DE$5)))))</f>
      </c>
      <c r="DF55" s="539">
        <f t="array" ref="DF55">IF(D55="","",
 IF($DO$3="Error","Error",
 IF(OR(
 SUM(($E$4:$CZ$4="")*(E55:CZ55&lt;&gt;""))&gt;0,
 SUM(($E$5:$CZ$5="")*(E55:CZ55&lt;&gt;""))&gt;0,
 COUNTA(E55:CZ55)&gt;$DO$3,
 SUMPRODUCT((E55:CZ55&lt;&gt;"")*(ISNA(MATCH(E55:CZ55,{"P","A","L","E","D"},0))))&gt;0),"Error",
 IF(COUNTIFS($E$5:$CZ$5,"T2",E55:CZ55,$DF$5)=0,"--",
 COUNTIFS($E$5:$CZ$5,"T2",E55:CZ55,$DF$5)))))</f>
      </c>
      <c r="DG55" s="539">
        <f t="array" ref="DG55">IF(D55="","",
 IF($DO$3="Error","Error",
 IF(OR(
 SUM(($E$4:$CZ$4="")*(E55:CZ55&lt;&gt;""))&gt;0,
 SUM(($E$5:$CZ$5="")*(E55:CZ55&lt;&gt;""))&gt;0,
 COUNTA(E55:CZ55)&gt;$DO$3,
 SUMPRODUCT((E55:CZ55&lt;&gt;"")*(ISNA(MATCH(E55:CZ55,{"P","A","L","E","D"},0))))&gt;0),"Error",
 IF(COUNTIFS($E$5:$CZ$5,"T2",E55:CZ55,$DG$5)=0,"--",
 COUNTIFS($E$5:$CZ$5,"T2",E55:CZ55,$DG$5)))))</f>
      </c>
      <c r="DH55" s="542">
        <f t="array" ref="DH55">IF(D55="","",
 IF($DO$3="Error","Error",
 IF(OR(
 SUM(($E$4:$CZ$4="")*(E55:CZ55&lt;&gt;""))&gt;0,
 SUM(($E$5:$CZ$5="")*(E55:CZ55&lt;&gt;""))&gt;0,
 COUNTA(E55:CZ55)&gt;$DO$3,
 SUMPRODUCT((E55:CZ55&lt;&gt;"")*(ISNA(MATCH(E55:CZ55,{"P","A","L","E","D"},0))))&gt;0),"Error",
 IF(COUNTIFS($E$5:$CZ$5,"T2",E55:CZ55,$DH$5)=0,"--",
 COUNTIFS($E$5:$CZ$5,"T2",E55:CZ55,$DH$5)))))</f>
      </c>
      <c r="DI55" s="543">
        <f t="array" ref="DI55">IF(D55="","",
 IF($DO$3="Error","Error",
 IF(OR(
 SUM(($E$4:$CZ$4="")*(E55:CZ55&lt;&gt;""))&gt;0,
 SUM(($E$5:$CZ$5="")*(E55:CZ55&lt;&gt;""))&gt;0,
 COUNTA(E55:CZ55)&gt;$DO$3,
 SUMPRODUCT((E55:CZ55&lt;&gt;"")*(ISNA(MATCH(E55:CZ55,{"P","A","L","E","D"},0))))&gt;0),"Error",
 IF(COUNTIFS($E$5:$CZ$5,"T3",E55:CZ55,$DI$5)=0,"--",
 COUNTIFS($E$5:$CZ$5,"T3",E55:CZ55,$DI$5)))))</f>
      </c>
      <c r="DJ55" s="539">
        <f t="array" ref="DJ55">IF(D55="","",
 IF($DO$3="Error","Error",
 IF(OR(
 SUM(($E$4:$CZ$4="")*(E55:CZ55&lt;&gt;""))&gt;0,
 SUM(($E$5:$CZ$5="")*(E55:CZ55&lt;&gt;""))&gt;0,
 COUNTA(E55:CZ55)&gt;$DO$3,
 SUMPRODUCT((E55:CZ55&lt;&gt;"")*(ISNA(MATCH(E55:CZ55,{"P","A","L","E","D"},0))))&gt;0),"Error",
 IF(COUNTIFS($E$5:$CZ$5,"T3",E55:CZ55,$DJ$5)=0,"--",
 COUNTIFS($E$5:$CZ$5,"T3",E55:CZ55,$DJ$5)))))</f>
      </c>
      <c r="DK55" s="539">
        <f t="array" ref="DK55">IF(D55="","",
 IF($DO$3="Error","Error",
 IF(OR(
 SUM(($E$4:$CZ$4="")*(E55:CZ55&lt;&gt;""))&gt;0,
 SUM(($E$5:$CZ$5="")*(E55:CZ55&lt;&gt;""))&gt;0,
 COUNTA(E55:CZ55)&gt;$DO$3,
 SUMPRODUCT((E55:CZ55&lt;&gt;"")*(ISNA(MATCH(E55:CZ55,{"P","A","L","E","D"},0))))&gt;0),"Error",
 IF(COUNTIFS($E$5:$CZ$5,"T3",E55:CZ55,$DK$5)=0,"--",
 COUNTIFS($E$5:$CZ$5,"T3",E55:CZ55,$DK$5)))))</f>
      </c>
      <c r="DL55" s="540">
        <f t="array" ref="DL55">IF(D55="","",
 IF($DO$3="Error","Error",
 IF(OR(
 SUM(($E$4:$CZ$4="")*(E55:CZ55&lt;&gt;""))&gt;0,
 SUM(($E$5:$CZ$5="")*(E55:CZ55&lt;&gt;""))&gt;0,
 COUNTA(E55:CZ55)&gt;$DO$3,
 SUMPRODUCT((E55:CZ55&lt;&gt;"")*(ISNA(MATCH(E55:CZ55,{"P","A","L","E","D"},0))))&gt;0),"Error",
 IF(COUNTIFS($E$5:$CZ$5,"T3",E55:CZ55,$DL$5)=0,"--",
 COUNTIFS($E$5:$CZ$5,"T3",E55:CZ55,$DL$5)))))</f>
      </c>
      <c r="DM55" s="530">
        <f t="array" ref="DM55">IF(COUNTIF(DA55:DL55,"Error")&gt;0,"Error",
 IF(AND(D55="",COUNTA(E55:CZ55)&gt;0),"Error",
 IF(COUNTIF(E55:CZ55,"D")&gt;0,"DRP",
 IF(OR(SUM(COUNTIF(E55:CZ55,{"P","A","L","E"}))&gt;0,AND(D55&lt;&gt;"",COUNTA(E55:CZ55)=0)),"Active",""))))</f>
      </c>
      <c r="DN55" s="531"/>
    </row>
    <row r="56" ht="15.95" customHeight="1" spans="2:118" x14ac:dyDescent="0.25">
      <c r="B56" s="471">
        <v>51</v>
      </c>
      <c r="C56" s="532">
        <f>IF('Data Input'!M57="","",'Data Input'!M57)</f>
      </c>
      <c r="D56" s="533">
        <f>IF('Data Input'!N57="","",'Data Input'!N57)</f>
      </c>
      <c r="E56" s="534"/>
      <c r="F56" s="535"/>
      <c r="G56" s="535"/>
      <c r="H56" s="535"/>
      <c r="I56" s="535"/>
      <c r="J56" s="535"/>
      <c r="K56" s="535"/>
      <c r="L56" s="535"/>
      <c r="M56" s="535"/>
      <c r="N56" s="535"/>
      <c r="O56" s="535"/>
      <c r="P56" s="535"/>
      <c r="Q56" s="535"/>
      <c r="R56" s="535"/>
      <c r="S56" s="535"/>
      <c r="T56" s="535"/>
      <c r="U56" s="535"/>
      <c r="V56" s="535"/>
      <c r="W56" s="535"/>
      <c r="X56" s="535"/>
      <c r="Y56" s="535"/>
      <c r="Z56" s="535"/>
      <c r="AA56" s="535"/>
      <c r="AB56" s="535"/>
      <c r="AC56" s="535"/>
      <c r="AD56" s="535"/>
      <c r="AE56" s="535"/>
      <c r="AF56" s="535"/>
      <c r="AG56" s="535"/>
      <c r="AH56" s="535"/>
      <c r="AI56" s="535"/>
      <c r="AJ56" s="535"/>
      <c r="AK56" s="535"/>
      <c r="AL56" s="535"/>
      <c r="AM56" s="535"/>
      <c r="AN56" s="535"/>
      <c r="AO56" s="535"/>
      <c r="AP56" s="535"/>
      <c r="AQ56" s="535"/>
      <c r="AR56" s="535"/>
      <c r="AS56" s="535"/>
      <c r="AT56" s="535"/>
      <c r="AU56" s="535"/>
      <c r="AV56" s="535"/>
      <c r="AW56" s="535"/>
      <c r="AX56" s="535"/>
      <c r="AY56" s="535"/>
      <c r="AZ56" s="535"/>
      <c r="BA56" s="535"/>
      <c r="BB56" s="536"/>
      <c r="BC56" s="535"/>
      <c r="BD56" s="535"/>
      <c r="BE56" s="535"/>
      <c r="BF56" s="535"/>
      <c r="BG56" s="535"/>
      <c r="BH56" s="535"/>
      <c r="BI56" s="535"/>
      <c r="BJ56" s="535"/>
      <c r="BK56" s="535"/>
      <c r="BL56" s="535"/>
      <c r="BM56" s="535"/>
      <c r="BN56" s="535"/>
      <c r="BO56" s="535"/>
      <c r="BP56" s="535"/>
      <c r="BQ56" s="535"/>
      <c r="BR56" s="535"/>
      <c r="BS56" s="535"/>
      <c r="BT56" s="535"/>
      <c r="BU56" s="535"/>
      <c r="BV56" s="535"/>
      <c r="BW56" s="535"/>
      <c r="BX56" s="535"/>
      <c r="BY56" s="535"/>
      <c r="BZ56" s="535"/>
      <c r="CA56" s="535"/>
      <c r="CB56" s="535"/>
      <c r="CC56" s="535"/>
      <c r="CD56" s="535"/>
      <c r="CE56" s="535"/>
      <c r="CF56" s="535"/>
      <c r="CG56" s="535"/>
      <c r="CH56" s="535"/>
      <c r="CI56" s="535"/>
      <c r="CJ56" s="535"/>
      <c r="CK56" s="535"/>
      <c r="CL56" s="535"/>
      <c r="CM56" s="535"/>
      <c r="CN56" s="535"/>
      <c r="CO56" s="535"/>
      <c r="CP56" s="535"/>
      <c r="CQ56" s="535"/>
      <c r="CR56" s="535"/>
      <c r="CS56" s="535"/>
      <c r="CT56" s="535"/>
      <c r="CU56" s="535"/>
      <c r="CV56" s="535"/>
      <c r="CW56" s="535"/>
      <c r="CX56" s="535"/>
      <c r="CY56" s="535"/>
      <c r="CZ56" s="537"/>
      <c r="DA56" s="538">
        <f t="array" ref="DA56">IF(D56="","",
 IF($DO$3="Error","Error",
 IF(OR(
 SUM(($E$4:$CZ$4="")*(E56:CZ56&lt;&gt;""))&gt;0,
 SUM(($E$5:$CZ$5="")*(E56:CZ56&lt;&gt;""))&gt;0,
 COUNTA(E56:CZ56)&gt;$DO$3,
 SUMPRODUCT((E56:CZ56&lt;&gt;"")*(ISNA(MATCH(E56:CZ56,{"P","A","L","E","D"},0))))&gt;0),"Error",
 IF(COUNTIFS($E$5:$CZ$5,"T1",E56:CZ56,$DA$5)=0,"--",
 COUNTIFS($E$5:$CZ$5,"T1",E56:CZ56,$DA$5)))))</f>
      </c>
      <c r="DB56" s="539">
        <f t="array" ref="DB56">IF(D56="","",
 IF($DO$3="Error","Error",
 IF(OR(
 SUM(($E$4:$CZ$4="")*(E56:CZ56&lt;&gt;""))&gt;0,
 SUM(($E$5:$CZ$5="")*(E56:CZ56&lt;&gt;""))&gt;0,
 COUNTA(E56:CZ56)&gt;$DO$3,
 SUMPRODUCT((E56:CZ56&lt;&gt;"")*(ISNA(MATCH(E56:CZ56,{"P","A","L","E","D"},0))))&gt;0),"Error",
 IF(COUNTIFS($E$5:$CZ$5,"T1",E56:CZ56,$DB$5)=0,"--",
 COUNTIFS($E$5:$CZ$5,"T1",E56:CZ56,$DB$5)))))</f>
      </c>
      <c r="DC56" s="539">
        <f t="array" ref="DC56">IF(D56="","",
 IF($DO$3="Error","Error",
 IF(OR(
 SUM(($E$4:$CZ$4="")*(E56:CZ56&lt;&gt;""))&gt;0,
 SUM(($E$5:$CZ$5="")*(E56:CZ56&lt;&gt;""))&gt;0,
 COUNTA(E56:CZ56)&gt;$DO$3,
 SUMPRODUCT((E56:CZ56&lt;&gt;"")*(ISNA(MATCH(E56:CZ56,{"P","A","L","E","D"},0))))&gt;0),"Error",
 IF(COUNTIFS($E$5:$CZ$5,"T1",E56:CZ56,$DC$5)=0,"--",
 COUNTIFS($E$5:$CZ$5,"T1",E56:CZ56,$DC$5)))))</f>
      </c>
      <c r="DD56" s="540">
        <f t="array" ref="DD56">IF(D56="","",
 IF($DO$3="Error","Error",
 IF(OR(
 SUM(($E$4:$CZ$4="")*(E56:CZ56&lt;&gt;""))&gt;0,
 SUM(($E$5:$CZ$5="")*(E56:CZ56&lt;&gt;""))&gt;0,
 COUNTA(E56:CZ56)&gt;$DO$3,
 SUMPRODUCT((E56:CZ56&lt;&gt;"")*(ISNA(MATCH(E56:CZ56,{"P","A","L","E","D"},0))))&gt;0),"Error",
 IF(COUNTIFS($E$5:$CZ$5,"T1",E56:CZ56,$DD$5)=0,"--",
 COUNTIFS($E$5:$CZ$5,"T1",E56:CZ56,$DD$5)))))</f>
      </c>
      <c r="DE56" s="541">
        <f t="array" ref="DE56">IF(D56="","",
 IF($DO$3="Error","Error",
 IF(OR(
 SUM(($E$4:$CZ$4="")*(E56:CZ56&lt;&gt;""))&gt;0,
 SUM(($E$5:$CZ$5="")*(E56:CZ56&lt;&gt;""))&gt;0,
 COUNTA(E56:CZ56)&gt;$DO$3,
 SUMPRODUCT((E56:CZ56&lt;&gt;"")*(ISNA(MATCH(E56:CZ56,{"P","A","L","E","D"},0))))&gt;0),"Error",
 IF(COUNTIFS($E$5:$CZ$5,"T2",E56:CZ56,$DE$5)=0,"--",
 COUNTIFS($E$5:$CZ$5,"T2",E56:CZ56,$DE$5)))))</f>
      </c>
      <c r="DF56" s="539">
        <f t="array" ref="DF56">IF(D56="","",
 IF($DO$3="Error","Error",
 IF(OR(
 SUM(($E$4:$CZ$4="")*(E56:CZ56&lt;&gt;""))&gt;0,
 SUM(($E$5:$CZ$5="")*(E56:CZ56&lt;&gt;""))&gt;0,
 COUNTA(E56:CZ56)&gt;$DO$3,
 SUMPRODUCT((E56:CZ56&lt;&gt;"")*(ISNA(MATCH(E56:CZ56,{"P","A","L","E","D"},0))))&gt;0),"Error",
 IF(COUNTIFS($E$5:$CZ$5,"T2",E56:CZ56,$DF$5)=0,"--",
 COUNTIFS($E$5:$CZ$5,"T2",E56:CZ56,$DF$5)))))</f>
      </c>
      <c r="DG56" s="539">
        <f t="array" ref="DG56">IF(D56="","",
 IF($DO$3="Error","Error",
 IF(OR(
 SUM(($E$4:$CZ$4="")*(E56:CZ56&lt;&gt;""))&gt;0,
 SUM(($E$5:$CZ$5="")*(E56:CZ56&lt;&gt;""))&gt;0,
 COUNTA(E56:CZ56)&gt;$DO$3,
 SUMPRODUCT((E56:CZ56&lt;&gt;"")*(ISNA(MATCH(E56:CZ56,{"P","A","L","E","D"},0))))&gt;0),"Error",
 IF(COUNTIFS($E$5:$CZ$5,"T2",E56:CZ56,$DG$5)=0,"--",
 COUNTIFS($E$5:$CZ$5,"T2",E56:CZ56,$DG$5)))))</f>
      </c>
      <c r="DH56" s="542">
        <f t="array" ref="DH56">IF(D56="","",
 IF($DO$3="Error","Error",
 IF(OR(
 SUM(($E$4:$CZ$4="")*(E56:CZ56&lt;&gt;""))&gt;0,
 SUM(($E$5:$CZ$5="")*(E56:CZ56&lt;&gt;""))&gt;0,
 COUNTA(E56:CZ56)&gt;$DO$3,
 SUMPRODUCT((E56:CZ56&lt;&gt;"")*(ISNA(MATCH(E56:CZ56,{"P","A","L","E","D"},0))))&gt;0),"Error",
 IF(COUNTIFS($E$5:$CZ$5,"T2",E56:CZ56,$DH$5)=0,"--",
 COUNTIFS($E$5:$CZ$5,"T2",E56:CZ56,$DH$5)))))</f>
      </c>
      <c r="DI56" s="543">
        <f t="array" ref="DI56">IF(D56="","",
 IF($DO$3="Error","Error",
 IF(OR(
 SUM(($E$4:$CZ$4="")*(E56:CZ56&lt;&gt;""))&gt;0,
 SUM(($E$5:$CZ$5="")*(E56:CZ56&lt;&gt;""))&gt;0,
 COUNTA(E56:CZ56)&gt;$DO$3,
 SUMPRODUCT((E56:CZ56&lt;&gt;"")*(ISNA(MATCH(E56:CZ56,{"P","A","L","E","D"},0))))&gt;0),"Error",
 IF(COUNTIFS($E$5:$CZ$5,"T3",E56:CZ56,$DI$5)=0,"--",
 COUNTIFS($E$5:$CZ$5,"T3",E56:CZ56,$DI$5)))))</f>
      </c>
      <c r="DJ56" s="539">
        <f t="array" ref="DJ56">IF(D56="","",
 IF($DO$3="Error","Error",
 IF(OR(
 SUM(($E$4:$CZ$4="")*(E56:CZ56&lt;&gt;""))&gt;0,
 SUM(($E$5:$CZ$5="")*(E56:CZ56&lt;&gt;""))&gt;0,
 COUNTA(E56:CZ56)&gt;$DO$3,
 SUMPRODUCT((E56:CZ56&lt;&gt;"")*(ISNA(MATCH(E56:CZ56,{"P","A","L","E","D"},0))))&gt;0),"Error",
 IF(COUNTIFS($E$5:$CZ$5,"T3",E56:CZ56,$DJ$5)=0,"--",
 COUNTIFS($E$5:$CZ$5,"T3",E56:CZ56,$DJ$5)))))</f>
      </c>
      <c r="DK56" s="539">
        <f t="array" ref="DK56">IF(D56="","",
 IF($DO$3="Error","Error",
 IF(OR(
 SUM(($E$4:$CZ$4="")*(E56:CZ56&lt;&gt;""))&gt;0,
 SUM(($E$5:$CZ$5="")*(E56:CZ56&lt;&gt;""))&gt;0,
 COUNTA(E56:CZ56)&gt;$DO$3,
 SUMPRODUCT((E56:CZ56&lt;&gt;"")*(ISNA(MATCH(E56:CZ56,{"P","A","L","E","D"},0))))&gt;0),"Error",
 IF(COUNTIFS($E$5:$CZ$5,"T3",E56:CZ56,$DK$5)=0,"--",
 COUNTIFS($E$5:$CZ$5,"T3",E56:CZ56,$DK$5)))))</f>
      </c>
      <c r="DL56" s="540">
        <f t="array" ref="DL56">IF(D56="","",
 IF($DO$3="Error","Error",
 IF(OR(
 SUM(($E$4:$CZ$4="")*(E56:CZ56&lt;&gt;""))&gt;0,
 SUM(($E$5:$CZ$5="")*(E56:CZ56&lt;&gt;""))&gt;0,
 COUNTA(E56:CZ56)&gt;$DO$3,
 SUMPRODUCT((E56:CZ56&lt;&gt;"")*(ISNA(MATCH(E56:CZ56,{"P","A","L","E","D"},0))))&gt;0),"Error",
 IF(COUNTIFS($E$5:$CZ$5,"T3",E56:CZ56,$DL$5)=0,"--",
 COUNTIFS($E$5:$CZ$5,"T3",E56:CZ56,$DL$5)))))</f>
      </c>
      <c r="DM56" s="530">
        <f t="array" ref="DM56">IF(COUNTIF(DA56:DL56,"Error")&gt;0,"Error",
 IF(AND(D56="",COUNTA(E56:CZ56)&gt;0),"Error",
 IF(COUNTIF(E56:CZ56,"D")&gt;0,"DRP",
 IF(OR(SUM(COUNTIF(E56:CZ56,{"P","A","L","E"}))&gt;0,AND(D56&lt;&gt;"",COUNTA(E56:CZ56)=0)),"Active",""))))</f>
      </c>
      <c r="DN56" s="531"/>
    </row>
    <row r="57" ht="15.95" customHeight="1" spans="2:118" x14ac:dyDescent="0.25">
      <c r="B57" s="471">
        <v>52</v>
      </c>
      <c r="C57" s="532">
        <f>IF('Data Input'!M58="","",'Data Input'!M58)</f>
      </c>
      <c r="D57" s="533">
        <f>IF('Data Input'!N58="","",'Data Input'!N58)</f>
      </c>
      <c r="E57" s="534"/>
      <c r="F57" s="535"/>
      <c r="G57" s="535"/>
      <c r="H57" s="535"/>
      <c r="I57" s="535"/>
      <c r="J57" s="535"/>
      <c r="K57" s="535"/>
      <c r="L57" s="535"/>
      <c r="M57" s="535"/>
      <c r="N57" s="535"/>
      <c r="O57" s="535"/>
      <c r="P57" s="535"/>
      <c r="Q57" s="535"/>
      <c r="R57" s="535"/>
      <c r="S57" s="535"/>
      <c r="T57" s="535"/>
      <c r="U57" s="535"/>
      <c r="V57" s="535"/>
      <c r="W57" s="535"/>
      <c r="X57" s="535"/>
      <c r="Y57" s="535"/>
      <c r="Z57" s="535"/>
      <c r="AA57" s="535"/>
      <c r="AB57" s="535"/>
      <c r="AC57" s="535"/>
      <c r="AD57" s="535"/>
      <c r="AE57" s="535"/>
      <c r="AF57" s="535"/>
      <c r="AG57" s="535"/>
      <c r="AH57" s="535"/>
      <c r="AI57" s="535"/>
      <c r="AJ57" s="535"/>
      <c r="AK57" s="535"/>
      <c r="AL57" s="535"/>
      <c r="AM57" s="535"/>
      <c r="AN57" s="535"/>
      <c r="AO57" s="535"/>
      <c r="AP57" s="535"/>
      <c r="AQ57" s="535"/>
      <c r="AR57" s="535"/>
      <c r="AS57" s="535"/>
      <c r="AT57" s="535"/>
      <c r="AU57" s="535"/>
      <c r="AV57" s="535"/>
      <c r="AW57" s="535"/>
      <c r="AX57" s="535"/>
      <c r="AY57" s="535"/>
      <c r="AZ57" s="535"/>
      <c r="BA57" s="535"/>
      <c r="BB57" s="536"/>
      <c r="BC57" s="535"/>
      <c r="BD57" s="535"/>
      <c r="BE57" s="535"/>
      <c r="BF57" s="535"/>
      <c r="BG57" s="535"/>
      <c r="BH57" s="535"/>
      <c r="BI57" s="535"/>
      <c r="BJ57" s="535"/>
      <c r="BK57" s="535"/>
      <c r="BL57" s="535"/>
      <c r="BM57" s="535"/>
      <c r="BN57" s="535"/>
      <c r="BO57" s="535"/>
      <c r="BP57" s="535"/>
      <c r="BQ57" s="535"/>
      <c r="BR57" s="535"/>
      <c r="BS57" s="535"/>
      <c r="BT57" s="535"/>
      <c r="BU57" s="535"/>
      <c r="BV57" s="535"/>
      <c r="BW57" s="535"/>
      <c r="BX57" s="535"/>
      <c r="BY57" s="535"/>
      <c r="BZ57" s="535"/>
      <c r="CA57" s="535"/>
      <c r="CB57" s="535"/>
      <c r="CC57" s="535"/>
      <c r="CD57" s="535"/>
      <c r="CE57" s="535"/>
      <c r="CF57" s="535"/>
      <c r="CG57" s="535"/>
      <c r="CH57" s="535"/>
      <c r="CI57" s="535"/>
      <c r="CJ57" s="535"/>
      <c r="CK57" s="535"/>
      <c r="CL57" s="535"/>
      <c r="CM57" s="535"/>
      <c r="CN57" s="535"/>
      <c r="CO57" s="535"/>
      <c r="CP57" s="535"/>
      <c r="CQ57" s="535"/>
      <c r="CR57" s="535"/>
      <c r="CS57" s="535"/>
      <c r="CT57" s="535"/>
      <c r="CU57" s="535"/>
      <c r="CV57" s="535"/>
      <c r="CW57" s="535"/>
      <c r="CX57" s="535"/>
      <c r="CY57" s="535"/>
      <c r="CZ57" s="537"/>
      <c r="DA57" s="538">
        <f t="array" ref="DA57">IF(D57="","",
 IF($DO$3="Error","Error",
 IF(OR(
 SUM(($E$4:$CZ$4="")*(E57:CZ57&lt;&gt;""))&gt;0,
 SUM(($E$5:$CZ$5="")*(E57:CZ57&lt;&gt;""))&gt;0,
 COUNTA(E57:CZ57)&gt;$DO$3,
 SUMPRODUCT((E57:CZ57&lt;&gt;"")*(ISNA(MATCH(E57:CZ57,{"P","A","L","E","D"},0))))&gt;0),"Error",
 IF(COUNTIFS($E$5:$CZ$5,"T1",E57:CZ57,$DA$5)=0,"--",
 COUNTIFS($E$5:$CZ$5,"T1",E57:CZ57,$DA$5)))))</f>
      </c>
      <c r="DB57" s="539">
        <f t="array" ref="DB57">IF(D57="","",
 IF($DO$3="Error","Error",
 IF(OR(
 SUM(($E$4:$CZ$4="")*(E57:CZ57&lt;&gt;""))&gt;0,
 SUM(($E$5:$CZ$5="")*(E57:CZ57&lt;&gt;""))&gt;0,
 COUNTA(E57:CZ57)&gt;$DO$3,
 SUMPRODUCT((E57:CZ57&lt;&gt;"")*(ISNA(MATCH(E57:CZ57,{"P","A","L","E","D"},0))))&gt;0),"Error",
 IF(COUNTIFS($E$5:$CZ$5,"T1",E57:CZ57,$DB$5)=0,"--",
 COUNTIFS($E$5:$CZ$5,"T1",E57:CZ57,$DB$5)))))</f>
      </c>
      <c r="DC57" s="539">
        <f t="array" ref="DC57">IF(D57="","",
 IF($DO$3="Error","Error",
 IF(OR(
 SUM(($E$4:$CZ$4="")*(E57:CZ57&lt;&gt;""))&gt;0,
 SUM(($E$5:$CZ$5="")*(E57:CZ57&lt;&gt;""))&gt;0,
 COUNTA(E57:CZ57)&gt;$DO$3,
 SUMPRODUCT((E57:CZ57&lt;&gt;"")*(ISNA(MATCH(E57:CZ57,{"P","A","L","E","D"},0))))&gt;0),"Error",
 IF(COUNTIFS($E$5:$CZ$5,"T1",E57:CZ57,$DC$5)=0,"--",
 COUNTIFS($E$5:$CZ$5,"T1",E57:CZ57,$DC$5)))))</f>
      </c>
      <c r="DD57" s="540">
        <f t="array" ref="DD57">IF(D57="","",
 IF($DO$3="Error","Error",
 IF(OR(
 SUM(($E$4:$CZ$4="")*(E57:CZ57&lt;&gt;""))&gt;0,
 SUM(($E$5:$CZ$5="")*(E57:CZ57&lt;&gt;""))&gt;0,
 COUNTA(E57:CZ57)&gt;$DO$3,
 SUMPRODUCT((E57:CZ57&lt;&gt;"")*(ISNA(MATCH(E57:CZ57,{"P","A","L","E","D"},0))))&gt;0),"Error",
 IF(COUNTIFS($E$5:$CZ$5,"T1",E57:CZ57,$DD$5)=0,"--",
 COUNTIFS($E$5:$CZ$5,"T1",E57:CZ57,$DD$5)))))</f>
      </c>
      <c r="DE57" s="541">
        <f t="array" ref="DE57">IF(D57="","",
 IF($DO$3="Error","Error",
 IF(OR(
 SUM(($E$4:$CZ$4="")*(E57:CZ57&lt;&gt;""))&gt;0,
 SUM(($E$5:$CZ$5="")*(E57:CZ57&lt;&gt;""))&gt;0,
 COUNTA(E57:CZ57)&gt;$DO$3,
 SUMPRODUCT((E57:CZ57&lt;&gt;"")*(ISNA(MATCH(E57:CZ57,{"P","A","L","E","D"},0))))&gt;0),"Error",
 IF(COUNTIFS($E$5:$CZ$5,"T2",E57:CZ57,$DE$5)=0,"--",
 COUNTIFS($E$5:$CZ$5,"T2",E57:CZ57,$DE$5)))))</f>
      </c>
      <c r="DF57" s="539">
        <f t="array" ref="DF57">IF(D57="","",
 IF($DO$3="Error","Error",
 IF(OR(
 SUM(($E$4:$CZ$4="")*(E57:CZ57&lt;&gt;""))&gt;0,
 SUM(($E$5:$CZ$5="")*(E57:CZ57&lt;&gt;""))&gt;0,
 COUNTA(E57:CZ57)&gt;$DO$3,
 SUMPRODUCT((E57:CZ57&lt;&gt;"")*(ISNA(MATCH(E57:CZ57,{"P","A","L","E","D"},0))))&gt;0),"Error",
 IF(COUNTIFS($E$5:$CZ$5,"T2",E57:CZ57,$DF$5)=0,"--",
 COUNTIFS($E$5:$CZ$5,"T2",E57:CZ57,$DF$5)))))</f>
      </c>
      <c r="DG57" s="539">
        <f t="array" ref="DG57">IF(D57="","",
 IF($DO$3="Error","Error",
 IF(OR(
 SUM(($E$4:$CZ$4="")*(E57:CZ57&lt;&gt;""))&gt;0,
 SUM(($E$5:$CZ$5="")*(E57:CZ57&lt;&gt;""))&gt;0,
 COUNTA(E57:CZ57)&gt;$DO$3,
 SUMPRODUCT((E57:CZ57&lt;&gt;"")*(ISNA(MATCH(E57:CZ57,{"P","A","L","E","D"},0))))&gt;0),"Error",
 IF(COUNTIFS($E$5:$CZ$5,"T2",E57:CZ57,$DG$5)=0,"--",
 COUNTIFS($E$5:$CZ$5,"T2",E57:CZ57,$DG$5)))))</f>
      </c>
      <c r="DH57" s="542">
        <f t="array" ref="DH57">IF(D57="","",
 IF($DO$3="Error","Error",
 IF(OR(
 SUM(($E$4:$CZ$4="")*(E57:CZ57&lt;&gt;""))&gt;0,
 SUM(($E$5:$CZ$5="")*(E57:CZ57&lt;&gt;""))&gt;0,
 COUNTA(E57:CZ57)&gt;$DO$3,
 SUMPRODUCT((E57:CZ57&lt;&gt;"")*(ISNA(MATCH(E57:CZ57,{"P","A","L","E","D"},0))))&gt;0),"Error",
 IF(COUNTIFS($E$5:$CZ$5,"T2",E57:CZ57,$DH$5)=0,"--",
 COUNTIFS($E$5:$CZ$5,"T2",E57:CZ57,$DH$5)))))</f>
      </c>
      <c r="DI57" s="543">
        <f t="array" ref="DI57">IF(D57="","",
 IF($DO$3="Error","Error",
 IF(OR(
 SUM(($E$4:$CZ$4="")*(E57:CZ57&lt;&gt;""))&gt;0,
 SUM(($E$5:$CZ$5="")*(E57:CZ57&lt;&gt;""))&gt;0,
 COUNTA(E57:CZ57)&gt;$DO$3,
 SUMPRODUCT((E57:CZ57&lt;&gt;"")*(ISNA(MATCH(E57:CZ57,{"P","A","L","E","D"},0))))&gt;0),"Error",
 IF(COUNTIFS($E$5:$CZ$5,"T3",E57:CZ57,$DI$5)=0,"--",
 COUNTIFS($E$5:$CZ$5,"T3",E57:CZ57,$DI$5)))))</f>
      </c>
      <c r="DJ57" s="539">
        <f t="array" ref="DJ57">IF(D57="","",
 IF($DO$3="Error","Error",
 IF(OR(
 SUM(($E$4:$CZ$4="")*(E57:CZ57&lt;&gt;""))&gt;0,
 SUM(($E$5:$CZ$5="")*(E57:CZ57&lt;&gt;""))&gt;0,
 COUNTA(E57:CZ57)&gt;$DO$3,
 SUMPRODUCT((E57:CZ57&lt;&gt;"")*(ISNA(MATCH(E57:CZ57,{"P","A","L","E","D"},0))))&gt;0),"Error",
 IF(COUNTIFS($E$5:$CZ$5,"T3",E57:CZ57,$DJ$5)=0,"--",
 COUNTIFS($E$5:$CZ$5,"T3",E57:CZ57,$DJ$5)))))</f>
      </c>
      <c r="DK57" s="539">
        <f t="array" ref="DK57">IF(D57="","",
 IF($DO$3="Error","Error",
 IF(OR(
 SUM(($E$4:$CZ$4="")*(E57:CZ57&lt;&gt;""))&gt;0,
 SUM(($E$5:$CZ$5="")*(E57:CZ57&lt;&gt;""))&gt;0,
 COUNTA(E57:CZ57)&gt;$DO$3,
 SUMPRODUCT((E57:CZ57&lt;&gt;"")*(ISNA(MATCH(E57:CZ57,{"P","A","L","E","D"},0))))&gt;0),"Error",
 IF(COUNTIFS($E$5:$CZ$5,"T3",E57:CZ57,$DK$5)=0,"--",
 COUNTIFS($E$5:$CZ$5,"T3",E57:CZ57,$DK$5)))))</f>
      </c>
      <c r="DL57" s="540">
        <f t="array" ref="DL57">IF(D57="","",
 IF($DO$3="Error","Error",
 IF(OR(
 SUM(($E$4:$CZ$4="")*(E57:CZ57&lt;&gt;""))&gt;0,
 SUM(($E$5:$CZ$5="")*(E57:CZ57&lt;&gt;""))&gt;0,
 COUNTA(E57:CZ57)&gt;$DO$3,
 SUMPRODUCT((E57:CZ57&lt;&gt;"")*(ISNA(MATCH(E57:CZ57,{"P","A","L","E","D"},0))))&gt;0),"Error",
 IF(COUNTIFS($E$5:$CZ$5,"T3",E57:CZ57,$DL$5)=0,"--",
 COUNTIFS($E$5:$CZ$5,"T3",E57:CZ57,$DL$5)))))</f>
      </c>
      <c r="DM57" s="530">
        <f t="array" ref="DM57">IF(COUNTIF(DA57:DL57,"Error")&gt;0,"Error",
 IF(AND(D57="",COUNTA(E57:CZ57)&gt;0),"Error",
 IF(COUNTIF(E57:CZ57,"D")&gt;0,"DRP",
 IF(OR(SUM(COUNTIF(E57:CZ57,{"P","A","L","E"}))&gt;0,AND(D57&lt;&gt;"",COUNTA(E57:CZ57)=0)),"Active",""))))</f>
      </c>
      <c r="DN57" s="531"/>
    </row>
    <row r="58" ht="15.95" customHeight="1" spans="2:118" x14ac:dyDescent="0.25">
      <c r="B58" s="471">
        <v>53</v>
      </c>
      <c r="C58" s="532">
        <f>IF('Data Input'!M59="","",'Data Input'!M59)</f>
      </c>
      <c r="D58" s="533">
        <f>IF('Data Input'!N59="","",'Data Input'!N59)</f>
      </c>
      <c r="E58" s="534"/>
      <c r="F58" s="535"/>
      <c r="G58" s="535"/>
      <c r="H58" s="535"/>
      <c r="I58" s="535"/>
      <c r="J58" s="535"/>
      <c r="K58" s="535"/>
      <c r="L58" s="535"/>
      <c r="M58" s="535"/>
      <c r="N58" s="535"/>
      <c r="O58" s="535"/>
      <c r="P58" s="535"/>
      <c r="Q58" s="535"/>
      <c r="R58" s="535"/>
      <c r="S58" s="535"/>
      <c r="T58" s="535"/>
      <c r="U58" s="535"/>
      <c r="V58" s="535"/>
      <c r="W58" s="535"/>
      <c r="X58" s="535"/>
      <c r="Y58" s="535"/>
      <c r="Z58" s="535"/>
      <c r="AA58" s="535"/>
      <c r="AB58" s="535"/>
      <c r="AC58" s="535"/>
      <c r="AD58" s="535"/>
      <c r="AE58" s="535"/>
      <c r="AF58" s="535"/>
      <c r="AG58" s="535"/>
      <c r="AH58" s="535"/>
      <c r="AI58" s="535"/>
      <c r="AJ58" s="535"/>
      <c r="AK58" s="535"/>
      <c r="AL58" s="535"/>
      <c r="AM58" s="535"/>
      <c r="AN58" s="535"/>
      <c r="AO58" s="535"/>
      <c r="AP58" s="535"/>
      <c r="AQ58" s="535"/>
      <c r="AR58" s="535"/>
      <c r="AS58" s="535"/>
      <c r="AT58" s="535"/>
      <c r="AU58" s="535"/>
      <c r="AV58" s="535"/>
      <c r="AW58" s="535"/>
      <c r="AX58" s="535"/>
      <c r="AY58" s="535"/>
      <c r="AZ58" s="535"/>
      <c r="BA58" s="535"/>
      <c r="BB58" s="536"/>
      <c r="BC58" s="535"/>
      <c r="BD58" s="535"/>
      <c r="BE58" s="535"/>
      <c r="BF58" s="535"/>
      <c r="BG58" s="535"/>
      <c r="BH58" s="535"/>
      <c r="BI58" s="535"/>
      <c r="BJ58" s="535"/>
      <c r="BK58" s="535"/>
      <c r="BL58" s="535"/>
      <c r="BM58" s="535"/>
      <c r="BN58" s="535"/>
      <c r="BO58" s="535"/>
      <c r="BP58" s="535"/>
      <c r="BQ58" s="535"/>
      <c r="BR58" s="535"/>
      <c r="BS58" s="535"/>
      <c r="BT58" s="535"/>
      <c r="BU58" s="535"/>
      <c r="BV58" s="535"/>
      <c r="BW58" s="535"/>
      <c r="BX58" s="535"/>
      <c r="BY58" s="535"/>
      <c r="BZ58" s="535"/>
      <c r="CA58" s="535"/>
      <c r="CB58" s="535"/>
      <c r="CC58" s="535"/>
      <c r="CD58" s="535"/>
      <c r="CE58" s="535"/>
      <c r="CF58" s="535"/>
      <c r="CG58" s="535"/>
      <c r="CH58" s="535"/>
      <c r="CI58" s="535"/>
      <c r="CJ58" s="535"/>
      <c r="CK58" s="535"/>
      <c r="CL58" s="535"/>
      <c r="CM58" s="535"/>
      <c r="CN58" s="535"/>
      <c r="CO58" s="535"/>
      <c r="CP58" s="535"/>
      <c r="CQ58" s="535"/>
      <c r="CR58" s="535"/>
      <c r="CS58" s="535"/>
      <c r="CT58" s="535"/>
      <c r="CU58" s="535"/>
      <c r="CV58" s="535"/>
      <c r="CW58" s="535"/>
      <c r="CX58" s="535"/>
      <c r="CY58" s="535"/>
      <c r="CZ58" s="537"/>
      <c r="DA58" s="538">
        <f t="array" ref="DA58">IF(D58="","",
 IF($DO$3="Error","Error",
 IF(OR(
 SUM(($E$4:$CZ$4="")*(E58:CZ58&lt;&gt;""))&gt;0,
 SUM(($E$5:$CZ$5="")*(E58:CZ58&lt;&gt;""))&gt;0,
 COUNTA(E58:CZ58)&gt;$DO$3,
 SUMPRODUCT((E58:CZ58&lt;&gt;"")*(ISNA(MATCH(E58:CZ58,{"P","A","L","E","D"},0))))&gt;0),"Error",
 IF(COUNTIFS($E$5:$CZ$5,"T1",E58:CZ58,$DA$5)=0,"--",
 COUNTIFS($E$5:$CZ$5,"T1",E58:CZ58,$DA$5)))))</f>
      </c>
      <c r="DB58" s="539">
        <f t="array" ref="DB58">IF(D58="","",
 IF($DO$3="Error","Error",
 IF(OR(
 SUM(($E$4:$CZ$4="")*(E58:CZ58&lt;&gt;""))&gt;0,
 SUM(($E$5:$CZ$5="")*(E58:CZ58&lt;&gt;""))&gt;0,
 COUNTA(E58:CZ58)&gt;$DO$3,
 SUMPRODUCT((E58:CZ58&lt;&gt;"")*(ISNA(MATCH(E58:CZ58,{"P","A","L","E","D"},0))))&gt;0),"Error",
 IF(COUNTIFS($E$5:$CZ$5,"T1",E58:CZ58,$DB$5)=0,"--",
 COUNTIFS($E$5:$CZ$5,"T1",E58:CZ58,$DB$5)))))</f>
      </c>
      <c r="DC58" s="539">
        <f t="array" ref="DC58">IF(D58="","",
 IF($DO$3="Error","Error",
 IF(OR(
 SUM(($E$4:$CZ$4="")*(E58:CZ58&lt;&gt;""))&gt;0,
 SUM(($E$5:$CZ$5="")*(E58:CZ58&lt;&gt;""))&gt;0,
 COUNTA(E58:CZ58)&gt;$DO$3,
 SUMPRODUCT((E58:CZ58&lt;&gt;"")*(ISNA(MATCH(E58:CZ58,{"P","A","L","E","D"},0))))&gt;0),"Error",
 IF(COUNTIFS($E$5:$CZ$5,"T1",E58:CZ58,$DC$5)=0,"--",
 COUNTIFS($E$5:$CZ$5,"T1",E58:CZ58,$DC$5)))))</f>
      </c>
      <c r="DD58" s="540">
        <f t="array" ref="DD58">IF(D58="","",
 IF($DO$3="Error","Error",
 IF(OR(
 SUM(($E$4:$CZ$4="")*(E58:CZ58&lt;&gt;""))&gt;0,
 SUM(($E$5:$CZ$5="")*(E58:CZ58&lt;&gt;""))&gt;0,
 COUNTA(E58:CZ58)&gt;$DO$3,
 SUMPRODUCT((E58:CZ58&lt;&gt;"")*(ISNA(MATCH(E58:CZ58,{"P","A","L","E","D"},0))))&gt;0),"Error",
 IF(COUNTIFS($E$5:$CZ$5,"T1",E58:CZ58,$DD$5)=0,"--",
 COUNTIFS($E$5:$CZ$5,"T1",E58:CZ58,$DD$5)))))</f>
      </c>
      <c r="DE58" s="541">
        <f t="array" ref="DE58">IF(D58="","",
 IF($DO$3="Error","Error",
 IF(OR(
 SUM(($E$4:$CZ$4="")*(E58:CZ58&lt;&gt;""))&gt;0,
 SUM(($E$5:$CZ$5="")*(E58:CZ58&lt;&gt;""))&gt;0,
 COUNTA(E58:CZ58)&gt;$DO$3,
 SUMPRODUCT((E58:CZ58&lt;&gt;"")*(ISNA(MATCH(E58:CZ58,{"P","A","L","E","D"},0))))&gt;0),"Error",
 IF(COUNTIFS($E$5:$CZ$5,"T2",E58:CZ58,$DE$5)=0,"--",
 COUNTIFS($E$5:$CZ$5,"T2",E58:CZ58,$DE$5)))))</f>
      </c>
      <c r="DF58" s="539">
        <f t="array" ref="DF58">IF(D58="","",
 IF($DO$3="Error","Error",
 IF(OR(
 SUM(($E$4:$CZ$4="")*(E58:CZ58&lt;&gt;""))&gt;0,
 SUM(($E$5:$CZ$5="")*(E58:CZ58&lt;&gt;""))&gt;0,
 COUNTA(E58:CZ58)&gt;$DO$3,
 SUMPRODUCT((E58:CZ58&lt;&gt;"")*(ISNA(MATCH(E58:CZ58,{"P","A","L","E","D"},0))))&gt;0),"Error",
 IF(COUNTIFS($E$5:$CZ$5,"T2",E58:CZ58,$DF$5)=0,"--",
 COUNTIFS($E$5:$CZ$5,"T2",E58:CZ58,$DF$5)))))</f>
      </c>
      <c r="DG58" s="539">
        <f t="array" ref="DG58">IF(D58="","",
 IF($DO$3="Error","Error",
 IF(OR(
 SUM(($E$4:$CZ$4="")*(E58:CZ58&lt;&gt;""))&gt;0,
 SUM(($E$5:$CZ$5="")*(E58:CZ58&lt;&gt;""))&gt;0,
 COUNTA(E58:CZ58)&gt;$DO$3,
 SUMPRODUCT((E58:CZ58&lt;&gt;"")*(ISNA(MATCH(E58:CZ58,{"P","A","L","E","D"},0))))&gt;0),"Error",
 IF(COUNTIFS($E$5:$CZ$5,"T2",E58:CZ58,$DG$5)=0,"--",
 COUNTIFS($E$5:$CZ$5,"T2",E58:CZ58,$DG$5)))))</f>
      </c>
      <c r="DH58" s="542">
        <f t="array" ref="DH58">IF(D58="","",
 IF($DO$3="Error","Error",
 IF(OR(
 SUM(($E$4:$CZ$4="")*(E58:CZ58&lt;&gt;""))&gt;0,
 SUM(($E$5:$CZ$5="")*(E58:CZ58&lt;&gt;""))&gt;0,
 COUNTA(E58:CZ58)&gt;$DO$3,
 SUMPRODUCT((E58:CZ58&lt;&gt;"")*(ISNA(MATCH(E58:CZ58,{"P","A","L","E","D"},0))))&gt;0),"Error",
 IF(COUNTIFS($E$5:$CZ$5,"T2",E58:CZ58,$DH$5)=0,"--",
 COUNTIFS($E$5:$CZ$5,"T2",E58:CZ58,$DH$5)))))</f>
      </c>
      <c r="DI58" s="543">
        <f t="array" ref="DI58">IF(D58="","",
 IF($DO$3="Error","Error",
 IF(OR(
 SUM(($E$4:$CZ$4="")*(E58:CZ58&lt;&gt;""))&gt;0,
 SUM(($E$5:$CZ$5="")*(E58:CZ58&lt;&gt;""))&gt;0,
 COUNTA(E58:CZ58)&gt;$DO$3,
 SUMPRODUCT((E58:CZ58&lt;&gt;"")*(ISNA(MATCH(E58:CZ58,{"P","A","L","E","D"},0))))&gt;0),"Error",
 IF(COUNTIFS($E$5:$CZ$5,"T3",E58:CZ58,$DI$5)=0,"--",
 COUNTIFS($E$5:$CZ$5,"T3",E58:CZ58,$DI$5)))))</f>
      </c>
      <c r="DJ58" s="539">
        <f t="array" ref="DJ58">IF(D58="","",
 IF($DO$3="Error","Error",
 IF(OR(
 SUM(($E$4:$CZ$4="")*(E58:CZ58&lt;&gt;""))&gt;0,
 SUM(($E$5:$CZ$5="")*(E58:CZ58&lt;&gt;""))&gt;0,
 COUNTA(E58:CZ58)&gt;$DO$3,
 SUMPRODUCT((E58:CZ58&lt;&gt;"")*(ISNA(MATCH(E58:CZ58,{"P","A","L","E","D"},0))))&gt;0),"Error",
 IF(COUNTIFS($E$5:$CZ$5,"T3",E58:CZ58,$DJ$5)=0,"--",
 COUNTIFS($E$5:$CZ$5,"T3",E58:CZ58,$DJ$5)))))</f>
      </c>
      <c r="DK58" s="539">
        <f t="array" ref="DK58">IF(D58="","",
 IF($DO$3="Error","Error",
 IF(OR(
 SUM(($E$4:$CZ$4="")*(E58:CZ58&lt;&gt;""))&gt;0,
 SUM(($E$5:$CZ$5="")*(E58:CZ58&lt;&gt;""))&gt;0,
 COUNTA(E58:CZ58)&gt;$DO$3,
 SUMPRODUCT((E58:CZ58&lt;&gt;"")*(ISNA(MATCH(E58:CZ58,{"P","A","L","E","D"},0))))&gt;0),"Error",
 IF(COUNTIFS($E$5:$CZ$5,"T3",E58:CZ58,$DK$5)=0,"--",
 COUNTIFS($E$5:$CZ$5,"T3",E58:CZ58,$DK$5)))))</f>
      </c>
      <c r="DL58" s="540">
        <f t="array" ref="DL58">IF(D58="","",
 IF($DO$3="Error","Error",
 IF(OR(
 SUM(($E$4:$CZ$4="")*(E58:CZ58&lt;&gt;""))&gt;0,
 SUM(($E$5:$CZ$5="")*(E58:CZ58&lt;&gt;""))&gt;0,
 COUNTA(E58:CZ58)&gt;$DO$3,
 SUMPRODUCT((E58:CZ58&lt;&gt;"")*(ISNA(MATCH(E58:CZ58,{"P","A","L","E","D"},0))))&gt;0),"Error",
 IF(COUNTIFS($E$5:$CZ$5,"T3",E58:CZ58,$DL$5)=0,"--",
 COUNTIFS($E$5:$CZ$5,"T3",E58:CZ58,$DL$5)))))</f>
      </c>
      <c r="DM58" s="530">
        <f t="array" ref="DM58">IF(COUNTIF(DA58:DL58,"Error")&gt;0,"Error",
 IF(AND(D58="",COUNTA(E58:CZ58)&gt;0),"Error",
 IF(COUNTIF(E58:CZ58,"D")&gt;0,"DRP",
 IF(OR(SUM(COUNTIF(E58:CZ58,{"P","A","L","E"}))&gt;0,AND(D58&lt;&gt;"",COUNTA(E58:CZ58)=0)),"Active",""))))</f>
      </c>
      <c r="DN58" s="531"/>
    </row>
    <row r="59" ht="15.95" customHeight="1" spans="2:118" x14ac:dyDescent="0.25">
      <c r="B59" s="471">
        <v>54</v>
      </c>
      <c r="C59" s="532">
        <f>IF('Data Input'!M60="","",'Data Input'!M60)</f>
      </c>
      <c r="D59" s="533">
        <f>IF('Data Input'!N60="","",'Data Input'!N60)</f>
      </c>
      <c r="E59" s="534"/>
      <c r="F59" s="535"/>
      <c r="G59" s="535"/>
      <c r="H59" s="535"/>
      <c r="I59" s="535"/>
      <c r="J59" s="535"/>
      <c r="K59" s="535"/>
      <c r="L59" s="535"/>
      <c r="M59" s="535"/>
      <c r="N59" s="535"/>
      <c r="O59" s="535"/>
      <c r="P59" s="535"/>
      <c r="Q59" s="535"/>
      <c r="R59" s="535"/>
      <c r="S59" s="535"/>
      <c r="T59" s="535"/>
      <c r="U59" s="535"/>
      <c r="V59" s="535"/>
      <c r="W59" s="535"/>
      <c r="X59" s="535"/>
      <c r="Y59" s="535"/>
      <c r="Z59" s="535"/>
      <c r="AA59" s="535"/>
      <c r="AB59" s="535"/>
      <c r="AC59" s="535"/>
      <c r="AD59" s="535"/>
      <c r="AE59" s="535"/>
      <c r="AF59" s="535"/>
      <c r="AG59" s="535"/>
      <c r="AH59" s="535"/>
      <c r="AI59" s="535"/>
      <c r="AJ59" s="535"/>
      <c r="AK59" s="535"/>
      <c r="AL59" s="535"/>
      <c r="AM59" s="535"/>
      <c r="AN59" s="535"/>
      <c r="AO59" s="535"/>
      <c r="AP59" s="535"/>
      <c r="AQ59" s="535"/>
      <c r="AR59" s="535"/>
      <c r="AS59" s="535"/>
      <c r="AT59" s="535"/>
      <c r="AU59" s="535"/>
      <c r="AV59" s="535"/>
      <c r="AW59" s="535"/>
      <c r="AX59" s="535"/>
      <c r="AY59" s="535"/>
      <c r="AZ59" s="535"/>
      <c r="BA59" s="535"/>
      <c r="BB59" s="536"/>
      <c r="BC59" s="535"/>
      <c r="BD59" s="535"/>
      <c r="BE59" s="535"/>
      <c r="BF59" s="535"/>
      <c r="BG59" s="535"/>
      <c r="BH59" s="535"/>
      <c r="BI59" s="535"/>
      <c r="BJ59" s="535"/>
      <c r="BK59" s="535"/>
      <c r="BL59" s="535"/>
      <c r="BM59" s="535"/>
      <c r="BN59" s="535"/>
      <c r="BO59" s="535"/>
      <c r="BP59" s="535"/>
      <c r="BQ59" s="535"/>
      <c r="BR59" s="535"/>
      <c r="BS59" s="535"/>
      <c r="BT59" s="535"/>
      <c r="BU59" s="535"/>
      <c r="BV59" s="535"/>
      <c r="BW59" s="535"/>
      <c r="BX59" s="535"/>
      <c r="BY59" s="535"/>
      <c r="BZ59" s="535"/>
      <c r="CA59" s="535"/>
      <c r="CB59" s="535"/>
      <c r="CC59" s="535"/>
      <c r="CD59" s="535"/>
      <c r="CE59" s="535"/>
      <c r="CF59" s="535"/>
      <c r="CG59" s="535"/>
      <c r="CH59" s="535"/>
      <c r="CI59" s="535"/>
      <c r="CJ59" s="535"/>
      <c r="CK59" s="535"/>
      <c r="CL59" s="535"/>
      <c r="CM59" s="535"/>
      <c r="CN59" s="535"/>
      <c r="CO59" s="535"/>
      <c r="CP59" s="535"/>
      <c r="CQ59" s="535"/>
      <c r="CR59" s="535"/>
      <c r="CS59" s="535"/>
      <c r="CT59" s="535"/>
      <c r="CU59" s="535"/>
      <c r="CV59" s="535"/>
      <c r="CW59" s="535"/>
      <c r="CX59" s="535"/>
      <c r="CY59" s="535"/>
      <c r="CZ59" s="537"/>
      <c r="DA59" s="538">
        <f t="array" ref="DA59">IF(D59="","",
 IF($DO$3="Error","Error",
 IF(OR(
 SUM(($E$4:$CZ$4="")*(E59:CZ59&lt;&gt;""))&gt;0,
 SUM(($E$5:$CZ$5="")*(E59:CZ59&lt;&gt;""))&gt;0,
 COUNTA(E59:CZ59)&gt;$DO$3,
 SUMPRODUCT((E59:CZ59&lt;&gt;"")*(ISNA(MATCH(E59:CZ59,{"P","A","L","E","D"},0))))&gt;0),"Error",
 IF(COUNTIFS($E$5:$CZ$5,"T1",E59:CZ59,$DA$5)=0,"--",
 COUNTIFS($E$5:$CZ$5,"T1",E59:CZ59,$DA$5)))))</f>
      </c>
      <c r="DB59" s="539">
        <f t="array" ref="DB59">IF(D59="","",
 IF($DO$3="Error","Error",
 IF(OR(
 SUM(($E$4:$CZ$4="")*(E59:CZ59&lt;&gt;""))&gt;0,
 SUM(($E$5:$CZ$5="")*(E59:CZ59&lt;&gt;""))&gt;0,
 COUNTA(E59:CZ59)&gt;$DO$3,
 SUMPRODUCT((E59:CZ59&lt;&gt;"")*(ISNA(MATCH(E59:CZ59,{"P","A","L","E","D"},0))))&gt;0),"Error",
 IF(COUNTIFS($E$5:$CZ$5,"T1",E59:CZ59,$DB$5)=0,"--",
 COUNTIFS($E$5:$CZ$5,"T1",E59:CZ59,$DB$5)))))</f>
      </c>
      <c r="DC59" s="539">
        <f t="array" ref="DC59">IF(D59="","",
 IF($DO$3="Error","Error",
 IF(OR(
 SUM(($E$4:$CZ$4="")*(E59:CZ59&lt;&gt;""))&gt;0,
 SUM(($E$5:$CZ$5="")*(E59:CZ59&lt;&gt;""))&gt;0,
 COUNTA(E59:CZ59)&gt;$DO$3,
 SUMPRODUCT((E59:CZ59&lt;&gt;"")*(ISNA(MATCH(E59:CZ59,{"P","A","L","E","D"},0))))&gt;0),"Error",
 IF(COUNTIFS($E$5:$CZ$5,"T1",E59:CZ59,$DC$5)=0,"--",
 COUNTIFS($E$5:$CZ$5,"T1",E59:CZ59,$DC$5)))))</f>
      </c>
      <c r="DD59" s="540">
        <f t="array" ref="DD59">IF(D59="","",
 IF($DO$3="Error","Error",
 IF(OR(
 SUM(($E$4:$CZ$4="")*(E59:CZ59&lt;&gt;""))&gt;0,
 SUM(($E$5:$CZ$5="")*(E59:CZ59&lt;&gt;""))&gt;0,
 COUNTA(E59:CZ59)&gt;$DO$3,
 SUMPRODUCT((E59:CZ59&lt;&gt;"")*(ISNA(MATCH(E59:CZ59,{"P","A","L","E","D"},0))))&gt;0),"Error",
 IF(COUNTIFS($E$5:$CZ$5,"T1",E59:CZ59,$DD$5)=0,"--",
 COUNTIFS($E$5:$CZ$5,"T1",E59:CZ59,$DD$5)))))</f>
      </c>
      <c r="DE59" s="541">
        <f t="array" ref="DE59">IF(D59="","",
 IF($DO$3="Error","Error",
 IF(OR(
 SUM(($E$4:$CZ$4="")*(E59:CZ59&lt;&gt;""))&gt;0,
 SUM(($E$5:$CZ$5="")*(E59:CZ59&lt;&gt;""))&gt;0,
 COUNTA(E59:CZ59)&gt;$DO$3,
 SUMPRODUCT((E59:CZ59&lt;&gt;"")*(ISNA(MATCH(E59:CZ59,{"P","A","L","E","D"},0))))&gt;0),"Error",
 IF(COUNTIFS($E$5:$CZ$5,"T2",E59:CZ59,$DE$5)=0,"--",
 COUNTIFS($E$5:$CZ$5,"T2",E59:CZ59,$DE$5)))))</f>
      </c>
      <c r="DF59" s="539">
        <f t="array" ref="DF59">IF(D59="","",
 IF($DO$3="Error","Error",
 IF(OR(
 SUM(($E$4:$CZ$4="")*(E59:CZ59&lt;&gt;""))&gt;0,
 SUM(($E$5:$CZ$5="")*(E59:CZ59&lt;&gt;""))&gt;0,
 COUNTA(E59:CZ59)&gt;$DO$3,
 SUMPRODUCT((E59:CZ59&lt;&gt;"")*(ISNA(MATCH(E59:CZ59,{"P","A","L","E","D"},0))))&gt;0),"Error",
 IF(COUNTIFS($E$5:$CZ$5,"T2",E59:CZ59,$DF$5)=0,"--",
 COUNTIFS($E$5:$CZ$5,"T2",E59:CZ59,$DF$5)))))</f>
      </c>
      <c r="DG59" s="539">
        <f t="array" ref="DG59">IF(D59="","",
 IF($DO$3="Error","Error",
 IF(OR(
 SUM(($E$4:$CZ$4="")*(E59:CZ59&lt;&gt;""))&gt;0,
 SUM(($E$5:$CZ$5="")*(E59:CZ59&lt;&gt;""))&gt;0,
 COUNTA(E59:CZ59)&gt;$DO$3,
 SUMPRODUCT((E59:CZ59&lt;&gt;"")*(ISNA(MATCH(E59:CZ59,{"P","A","L","E","D"},0))))&gt;0),"Error",
 IF(COUNTIFS($E$5:$CZ$5,"T2",E59:CZ59,$DG$5)=0,"--",
 COUNTIFS($E$5:$CZ$5,"T2",E59:CZ59,$DG$5)))))</f>
      </c>
      <c r="DH59" s="542">
        <f t="array" ref="DH59">IF(D59="","",
 IF($DO$3="Error","Error",
 IF(OR(
 SUM(($E$4:$CZ$4="")*(E59:CZ59&lt;&gt;""))&gt;0,
 SUM(($E$5:$CZ$5="")*(E59:CZ59&lt;&gt;""))&gt;0,
 COUNTA(E59:CZ59)&gt;$DO$3,
 SUMPRODUCT((E59:CZ59&lt;&gt;"")*(ISNA(MATCH(E59:CZ59,{"P","A","L","E","D"},0))))&gt;0),"Error",
 IF(COUNTIFS($E$5:$CZ$5,"T2",E59:CZ59,$DH$5)=0,"--",
 COUNTIFS($E$5:$CZ$5,"T2",E59:CZ59,$DH$5)))))</f>
      </c>
      <c r="DI59" s="543">
        <f t="array" ref="DI59">IF(D59="","",
 IF($DO$3="Error","Error",
 IF(OR(
 SUM(($E$4:$CZ$4="")*(E59:CZ59&lt;&gt;""))&gt;0,
 SUM(($E$5:$CZ$5="")*(E59:CZ59&lt;&gt;""))&gt;0,
 COUNTA(E59:CZ59)&gt;$DO$3,
 SUMPRODUCT((E59:CZ59&lt;&gt;"")*(ISNA(MATCH(E59:CZ59,{"P","A","L","E","D"},0))))&gt;0),"Error",
 IF(COUNTIFS($E$5:$CZ$5,"T3",E59:CZ59,$DI$5)=0,"--",
 COUNTIFS($E$5:$CZ$5,"T3",E59:CZ59,$DI$5)))))</f>
      </c>
      <c r="DJ59" s="539">
        <f t="array" ref="DJ59">IF(D59="","",
 IF($DO$3="Error","Error",
 IF(OR(
 SUM(($E$4:$CZ$4="")*(E59:CZ59&lt;&gt;""))&gt;0,
 SUM(($E$5:$CZ$5="")*(E59:CZ59&lt;&gt;""))&gt;0,
 COUNTA(E59:CZ59)&gt;$DO$3,
 SUMPRODUCT((E59:CZ59&lt;&gt;"")*(ISNA(MATCH(E59:CZ59,{"P","A","L","E","D"},0))))&gt;0),"Error",
 IF(COUNTIFS($E$5:$CZ$5,"T3",E59:CZ59,$DJ$5)=0,"--",
 COUNTIFS($E$5:$CZ$5,"T3",E59:CZ59,$DJ$5)))))</f>
      </c>
      <c r="DK59" s="539">
        <f t="array" ref="DK59">IF(D59="","",
 IF($DO$3="Error","Error",
 IF(OR(
 SUM(($E$4:$CZ$4="")*(E59:CZ59&lt;&gt;""))&gt;0,
 SUM(($E$5:$CZ$5="")*(E59:CZ59&lt;&gt;""))&gt;0,
 COUNTA(E59:CZ59)&gt;$DO$3,
 SUMPRODUCT((E59:CZ59&lt;&gt;"")*(ISNA(MATCH(E59:CZ59,{"P","A","L","E","D"},0))))&gt;0),"Error",
 IF(COUNTIFS($E$5:$CZ$5,"T3",E59:CZ59,$DK$5)=0,"--",
 COUNTIFS($E$5:$CZ$5,"T3",E59:CZ59,$DK$5)))))</f>
      </c>
      <c r="DL59" s="540">
        <f t="array" ref="DL59">IF(D59="","",
 IF($DO$3="Error","Error",
 IF(OR(
 SUM(($E$4:$CZ$4="")*(E59:CZ59&lt;&gt;""))&gt;0,
 SUM(($E$5:$CZ$5="")*(E59:CZ59&lt;&gt;""))&gt;0,
 COUNTA(E59:CZ59)&gt;$DO$3,
 SUMPRODUCT((E59:CZ59&lt;&gt;"")*(ISNA(MATCH(E59:CZ59,{"P","A","L","E","D"},0))))&gt;0),"Error",
 IF(COUNTIFS($E$5:$CZ$5,"T3",E59:CZ59,$DL$5)=0,"--",
 COUNTIFS($E$5:$CZ$5,"T3",E59:CZ59,$DL$5)))))</f>
      </c>
      <c r="DM59" s="530">
        <f t="array" ref="DM59">IF(COUNTIF(DA59:DL59,"Error")&gt;0,"Error",
 IF(AND(D59="",COUNTA(E59:CZ59)&gt;0),"Error",
 IF(COUNTIF(E59:CZ59,"D")&gt;0,"DRP",
 IF(OR(SUM(COUNTIF(E59:CZ59,{"P","A","L","E"}))&gt;0,AND(D59&lt;&gt;"",COUNTA(E59:CZ59)=0)),"Active",""))))</f>
      </c>
      <c r="DN59" s="531"/>
    </row>
    <row r="60" ht="15.95" customHeight="1" spans="2:118" x14ac:dyDescent="0.25">
      <c r="B60" s="471">
        <v>55</v>
      </c>
      <c r="C60" s="532">
        <f>IF('Data Input'!M61="","",'Data Input'!M61)</f>
      </c>
      <c r="D60" s="533">
        <f>IF('Data Input'!N61="","",'Data Input'!N61)</f>
      </c>
      <c r="E60" s="534"/>
      <c r="F60" s="535"/>
      <c r="G60" s="535"/>
      <c r="H60" s="535"/>
      <c r="I60" s="535"/>
      <c r="J60" s="535"/>
      <c r="K60" s="535"/>
      <c r="L60" s="535"/>
      <c r="M60" s="535"/>
      <c r="N60" s="535"/>
      <c r="O60" s="535"/>
      <c r="P60" s="535"/>
      <c r="Q60" s="535"/>
      <c r="R60" s="535"/>
      <c r="S60" s="535"/>
      <c r="T60" s="535"/>
      <c r="U60" s="535"/>
      <c r="V60" s="535"/>
      <c r="W60" s="535"/>
      <c r="X60" s="535"/>
      <c r="Y60" s="535"/>
      <c r="Z60" s="535"/>
      <c r="AA60" s="535"/>
      <c r="AB60" s="535"/>
      <c r="AC60" s="535"/>
      <c r="AD60" s="535"/>
      <c r="AE60" s="535"/>
      <c r="AF60" s="535"/>
      <c r="AG60" s="535"/>
      <c r="AH60" s="535"/>
      <c r="AI60" s="535"/>
      <c r="AJ60" s="535"/>
      <c r="AK60" s="535"/>
      <c r="AL60" s="535"/>
      <c r="AM60" s="535"/>
      <c r="AN60" s="535"/>
      <c r="AO60" s="535"/>
      <c r="AP60" s="535"/>
      <c r="AQ60" s="535"/>
      <c r="AR60" s="535"/>
      <c r="AS60" s="535"/>
      <c r="AT60" s="535"/>
      <c r="AU60" s="535"/>
      <c r="AV60" s="535"/>
      <c r="AW60" s="535"/>
      <c r="AX60" s="535"/>
      <c r="AY60" s="535"/>
      <c r="AZ60" s="535"/>
      <c r="BA60" s="535"/>
      <c r="BB60" s="536"/>
      <c r="BC60" s="535"/>
      <c r="BD60" s="535"/>
      <c r="BE60" s="535"/>
      <c r="BF60" s="535"/>
      <c r="BG60" s="535"/>
      <c r="BH60" s="535"/>
      <c r="BI60" s="535"/>
      <c r="BJ60" s="535"/>
      <c r="BK60" s="535"/>
      <c r="BL60" s="535"/>
      <c r="BM60" s="535"/>
      <c r="BN60" s="535"/>
      <c r="BO60" s="535"/>
      <c r="BP60" s="535"/>
      <c r="BQ60" s="535"/>
      <c r="BR60" s="535"/>
      <c r="BS60" s="535"/>
      <c r="BT60" s="535"/>
      <c r="BU60" s="535"/>
      <c r="BV60" s="535"/>
      <c r="BW60" s="535"/>
      <c r="BX60" s="535"/>
      <c r="BY60" s="535"/>
      <c r="BZ60" s="535"/>
      <c r="CA60" s="535"/>
      <c r="CB60" s="535"/>
      <c r="CC60" s="535"/>
      <c r="CD60" s="535"/>
      <c r="CE60" s="535"/>
      <c r="CF60" s="535"/>
      <c r="CG60" s="535"/>
      <c r="CH60" s="535"/>
      <c r="CI60" s="535"/>
      <c r="CJ60" s="535"/>
      <c r="CK60" s="535"/>
      <c r="CL60" s="535"/>
      <c r="CM60" s="535"/>
      <c r="CN60" s="535"/>
      <c r="CO60" s="535"/>
      <c r="CP60" s="535"/>
      <c r="CQ60" s="535"/>
      <c r="CR60" s="535"/>
      <c r="CS60" s="535"/>
      <c r="CT60" s="535"/>
      <c r="CU60" s="535"/>
      <c r="CV60" s="535"/>
      <c r="CW60" s="535"/>
      <c r="CX60" s="535"/>
      <c r="CY60" s="535"/>
      <c r="CZ60" s="537"/>
      <c r="DA60" s="538">
        <f t="array" ref="DA60">IF(D60="","",
 IF($DO$3="Error","Error",
 IF(OR(
 SUM(($E$4:$CZ$4="")*(E60:CZ60&lt;&gt;""))&gt;0,
 SUM(($E$5:$CZ$5="")*(E60:CZ60&lt;&gt;""))&gt;0,
 COUNTA(E60:CZ60)&gt;$DO$3,
 SUMPRODUCT((E60:CZ60&lt;&gt;"")*(ISNA(MATCH(E60:CZ60,{"P","A","L","E","D"},0))))&gt;0),"Error",
 IF(COUNTIFS($E$5:$CZ$5,"T1",E60:CZ60,$DA$5)=0,"--",
 COUNTIFS($E$5:$CZ$5,"T1",E60:CZ60,$DA$5)))))</f>
      </c>
      <c r="DB60" s="539">
        <f t="array" ref="DB60">IF(D60="","",
 IF($DO$3="Error","Error",
 IF(OR(
 SUM(($E$4:$CZ$4="")*(E60:CZ60&lt;&gt;""))&gt;0,
 SUM(($E$5:$CZ$5="")*(E60:CZ60&lt;&gt;""))&gt;0,
 COUNTA(E60:CZ60)&gt;$DO$3,
 SUMPRODUCT((E60:CZ60&lt;&gt;"")*(ISNA(MATCH(E60:CZ60,{"P","A","L","E","D"},0))))&gt;0),"Error",
 IF(COUNTIFS($E$5:$CZ$5,"T1",E60:CZ60,$DB$5)=0,"--",
 COUNTIFS($E$5:$CZ$5,"T1",E60:CZ60,$DB$5)))))</f>
      </c>
      <c r="DC60" s="539">
        <f t="array" ref="DC60">IF(D60="","",
 IF($DO$3="Error","Error",
 IF(OR(
 SUM(($E$4:$CZ$4="")*(E60:CZ60&lt;&gt;""))&gt;0,
 SUM(($E$5:$CZ$5="")*(E60:CZ60&lt;&gt;""))&gt;0,
 COUNTA(E60:CZ60)&gt;$DO$3,
 SUMPRODUCT((E60:CZ60&lt;&gt;"")*(ISNA(MATCH(E60:CZ60,{"P","A","L","E","D"},0))))&gt;0),"Error",
 IF(COUNTIFS($E$5:$CZ$5,"T1",E60:CZ60,$DC$5)=0,"--",
 COUNTIFS($E$5:$CZ$5,"T1",E60:CZ60,$DC$5)))))</f>
      </c>
      <c r="DD60" s="540">
        <f t="array" ref="DD60">IF(D60="","",
 IF($DO$3="Error","Error",
 IF(OR(
 SUM(($E$4:$CZ$4="")*(E60:CZ60&lt;&gt;""))&gt;0,
 SUM(($E$5:$CZ$5="")*(E60:CZ60&lt;&gt;""))&gt;0,
 COUNTA(E60:CZ60)&gt;$DO$3,
 SUMPRODUCT((E60:CZ60&lt;&gt;"")*(ISNA(MATCH(E60:CZ60,{"P","A","L","E","D"},0))))&gt;0),"Error",
 IF(COUNTIFS($E$5:$CZ$5,"T1",E60:CZ60,$DD$5)=0,"--",
 COUNTIFS($E$5:$CZ$5,"T1",E60:CZ60,$DD$5)))))</f>
      </c>
      <c r="DE60" s="541">
        <f t="array" ref="DE60">IF(D60="","",
 IF($DO$3="Error","Error",
 IF(OR(
 SUM(($E$4:$CZ$4="")*(E60:CZ60&lt;&gt;""))&gt;0,
 SUM(($E$5:$CZ$5="")*(E60:CZ60&lt;&gt;""))&gt;0,
 COUNTA(E60:CZ60)&gt;$DO$3,
 SUMPRODUCT((E60:CZ60&lt;&gt;"")*(ISNA(MATCH(E60:CZ60,{"P","A","L","E","D"},0))))&gt;0),"Error",
 IF(COUNTIFS($E$5:$CZ$5,"T2",E60:CZ60,$DE$5)=0,"--",
 COUNTIFS($E$5:$CZ$5,"T2",E60:CZ60,$DE$5)))))</f>
      </c>
      <c r="DF60" s="539">
        <f t="array" ref="DF60">IF(D60="","",
 IF($DO$3="Error","Error",
 IF(OR(
 SUM(($E$4:$CZ$4="")*(E60:CZ60&lt;&gt;""))&gt;0,
 SUM(($E$5:$CZ$5="")*(E60:CZ60&lt;&gt;""))&gt;0,
 COUNTA(E60:CZ60)&gt;$DO$3,
 SUMPRODUCT((E60:CZ60&lt;&gt;"")*(ISNA(MATCH(E60:CZ60,{"P","A","L","E","D"},0))))&gt;0),"Error",
 IF(COUNTIFS($E$5:$CZ$5,"T2",E60:CZ60,$DF$5)=0,"--",
 COUNTIFS($E$5:$CZ$5,"T2",E60:CZ60,$DF$5)))))</f>
      </c>
      <c r="DG60" s="539">
        <f t="array" ref="DG60">IF(D60="","",
 IF($DO$3="Error","Error",
 IF(OR(
 SUM(($E$4:$CZ$4="")*(E60:CZ60&lt;&gt;""))&gt;0,
 SUM(($E$5:$CZ$5="")*(E60:CZ60&lt;&gt;""))&gt;0,
 COUNTA(E60:CZ60)&gt;$DO$3,
 SUMPRODUCT((E60:CZ60&lt;&gt;"")*(ISNA(MATCH(E60:CZ60,{"P","A","L","E","D"},0))))&gt;0),"Error",
 IF(COUNTIFS($E$5:$CZ$5,"T2",E60:CZ60,$DG$5)=0,"--",
 COUNTIFS($E$5:$CZ$5,"T2",E60:CZ60,$DG$5)))))</f>
      </c>
      <c r="DH60" s="542">
        <f t="array" ref="DH60">IF(D60="","",
 IF($DO$3="Error","Error",
 IF(OR(
 SUM(($E$4:$CZ$4="")*(E60:CZ60&lt;&gt;""))&gt;0,
 SUM(($E$5:$CZ$5="")*(E60:CZ60&lt;&gt;""))&gt;0,
 COUNTA(E60:CZ60)&gt;$DO$3,
 SUMPRODUCT((E60:CZ60&lt;&gt;"")*(ISNA(MATCH(E60:CZ60,{"P","A","L","E","D"},0))))&gt;0),"Error",
 IF(COUNTIFS($E$5:$CZ$5,"T2",E60:CZ60,$DH$5)=0,"--",
 COUNTIFS($E$5:$CZ$5,"T2",E60:CZ60,$DH$5)))))</f>
      </c>
      <c r="DI60" s="543">
        <f t="array" ref="DI60">IF(D60="","",
 IF($DO$3="Error","Error",
 IF(OR(
 SUM(($E$4:$CZ$4="")*(E60:CZ60&lt;&gt;""))&gt;0,
 SUM(($E$5:$CZ$5="")*(E60:CZ60&lt;&gt;""))&gt;0,
 COUNTA(E60:CZ60)&gt;$DO$3,
 SUMPRODUCT((E60:CZ60&lt;&gt;"")*(ISNA(MATCH(E60:CZ60,{"P","A","L","E","D"},0))))&gt;0),"Error",
 IF(COUNTIFS($E$5:$CZ$5,"T3",E60:CZ60,$DI$5)=0,"--",
 COUNTIFS($E$5:$CZ$5,"T3",E60:CZ60,$DI$5)))))</f>
      </c>
      <c r="DJ60" s="539">
        <f t="array" ref="DJ60">IF(D60="","",
 IF($DO$3="Error","Error",
 IF(OR(
 SUM(($E$4:$CZ$4="")*(E60:CZ60&lt;&gt;""))&gt;0,
 SUM(($E$5:$CZ$5="")*(E60:CZ60&lt;&gt;""))&gt;0,
 COUNTA(E60:CZ60)&gt;$DO$3,
 SUMPRODUCT((E60:CZ60&lt;&gt;"")*(ISNA(MATCH(E60:CZ60,{"P","A","L","E","D"},0))))&gt;0),"Error",
 IF(COUNTIFS($E$5:$CZ$5,"T3",E60:CZ60,$DJ$5)=0,"--",
 COUNTIFS($E$5:$CZ$5,"T3",E60:CZ60,$DJ$5)))))</f>
      </c>
      <c r="DK60" s="539">
        <f t="array" ref="DK60">IF(D60="","",
 IF($DO$3="Error","Error",
 IF(OR(
 SUM(($E$4:$CZ$4="")*(E60:CZ60&lt;&gt;""))&gt;0,
 SUM(($E$5:$CZ$5="")*(E60:CZ60&lt;&gt;""))&gt;0,
 COUNTA(E60:CZ60)&gt;$DO$3,
 SUMPRODUCT((E60:CZ60&lt;&gt;"")*(ISNA(MATCH(E60:CZ60,{"P","A","L","E","D"},0))))&gt;0),"Error",
 IF(COUNTIFS($E$5:$CZ$5,"T3",E60:CZ60,$DK$5)=0,"--",
 COUNTIFS($E$5:$CZ$5,"T3",E60:CZ60,$DK$5)))))</f>
      </c>
      <c r="DL60" s="540">
        <f t="array" ref="DL60">IF(D60="","",
 IF($DO$3="Error","Error",
 IF(OR(
 SUM(($E$4:$CZ$4="")*(E60:CZ60&lt;&gt;""))&gt;0,
 SUM(($E$5:$CZ$5="")*(E60:CZ60&lt;&gt;""))&gt;0,
 COUNTA(E60:CZ60)&gt;$DO$3,
 SUMPRODUCT((E60:CZ60&lt;&gt;"")*(ISNA(MATCH(E60:CZ60,{"P","A","L","E","D"},0))))&gt;0),"Error",
 IF(COUNTIFS($E$5:$CZ$5,"T3",E60:CZ60,$DL$5)=0,"--",
 COUNTIFS($E$5:$CZ$5,"T3",E60:CZ60,$DL$5)))))</f>
      </c>
      <c r="DM60" s="530">
        <f t="array" ref="DM60">IF(COUNTIF(DA60:DL60,"Error")&gt;0,"Error",
 IF(AND(D60="",COUNTA(E60:CZ60)&gt;0),"Error",
 IF(COUNTIF(E60:CZ60,"D")&gt;0,"DRP",
 IF(OR(SUM(COUNTIF(E60:CZ60,{"P","A","L","E"}))&gt;0,AND(D60&lt;&gt;"",COUNTA(E60:CZ60)=0)),"Active",""))))</f>
      </c>
      <c r="DN60" s="531"/>
    </row>
    <row r="61" ht="15.95" customHeight="1" spans="2:118" x14ac:dyDescent="0.25">
      <c r="B61" s="471">
        <v>56</v>
      </c>
      <c r="C61" s="532">
        <f>IF('Data Input'!M62="","",'Data Input'!M62)</f>
      </c>
      <c r="D61" s="533">
        <f>IF('Data Input'!N62="","",'Data Input'!N62)</f>
      </c>
      <c r="E61" s="534"/>
      <c r="F61" s="535"/>
      <c r="G61" s="535"/>
      <c r="H61" s="535"/>
      <c r="I61" s="535"/>
      <c r="J61" s="535"/>
      <c r="K61" s="535"/>
      <c r="L61" s="535"/>
      <c r="M61" s="535"/>
      <c r="N61" s="535"/>
      <c r="O61" s="535"/>
      <c r="P61" s="535"/>
      <c r="Q61" s="535"/>
      <c r="R61" s="535"/>
      <c r="S61" s="535"/>
      <c r="T61" s="535"/>
      <c r="U61" s="535"/>
      <c r="V61" s="535"/>
      <c r="W61" s="535"/>
      <c r="X61" s="535"/>
      <c r="Y61" s="535"/>
      <c r="Z61" s="535"/>
      <c r="AA61" s="535"/>
      <c r="AB61" s="535"/>
      <c r="AC61" s="535"/>
      <c r="AD61" s="535"/>
      <c r="AE61" s="535"/>
      <c r="AF61" s="535"/>
      <c r="AG61" s="535"/>
      <c r="AH61" s="535"/>
      <c r="AI61" s="535"/>
      <c r="AJ61" s="535"/>
      <c r="AK61" s="535"/>
      <c r="AL61" s="535"/>
      <c r="AM61" s="535"/>
      <c r="AN61" s="535"/>
      <c r="AO61" s="535"/>
      <c r="AP61" s="535"/>
      <c r="AQ61" s="535"/>
      <c r="AR61" s="535"/>
      <c r="AS61" s="535"/>
      <c r="AT61" s="535"/>
      <c r="AU61" s="535"/>
      <c r="AV61" s="535"/>
      <c r="AW61" s="535"/>
      <c r="AX61" s="535"/>
      <c r="AY61" s="535"/>
      <c r="AZ61" s="535"/>
      <c r="BA61" s="535"/>
      <c r="BB61" s="536"/>
      <c r="BC61" s="535"/>
      <c r="BD61" s="535"/>
      <c r="BE61" s="535"/>
      <c r="BF61" s="535"/>
      <c r="BG61" s="535"/>
      <c r="BH61" s="535"/>
      <c r="BI61" s="535"/>
      <c r="BJ61" s="535"/>
      <c r="BK61" s="535"/>
      <c r="BL61" s="535"/>
      <c r="BM61" s="535"/>
      <c r="BN61" s="535"/>
      <c r="BO61" s="535"/>
      <c r="BP61" s="535"/>
      <c r="BQ61" s="535"/>
      <c r="BR61" s="535"/>
      <c r="BS61" s="535"/>
      <c r="BT61" s="535"/>
      <c r="BU61" s="535"/>
      <c r="BV61" s="535"/>
      <c r="BW61" s="535"/>
      <c r="BX61" s="535"/>
      <c r="BY61" s="535"/>
      <c r="BZ61" s="535"/>
      <c r="CA61" s="535"/>
      <c r="CB61" s="535"/>
      <c r="CC61" s="535"/>
      <c r="CD61" s="535"/>
      <c r="CE61" s="535"/>
      <c r="CF61" s="535"/>
      <c r="CG61" s="535"/>
      <c r="CH61" s="535"/>
      <c r="CI61" s="535"/>
      <c r="CJ61" s="535"/>
      <c r="CK61" s="535"/>
      <c r="CL61" s="535"/>
      <c r="CM61" s="535"/>
      <c r="CN61" s="535"/>
      <c r="CO61" s="535"/>
      <c r="CP61" s="535"/>
      <c r="CQ61" s="535"/>
      <c r="CR61" s="535"/>
      <c r="CS61" s="535"/>
      <c r="CT61" s="535"/>
      <c r="CU61" s="535"/>
      <c r="CV61" s="535"/>
      <c r="CW61" s="535"/>
      <c r="CX61" s="535"/>
      <c r="CY61" s="535"/>
      <c r="CZ61" s="537"/>
      <c r="DA61" s="538">
        <f t="array" ref="DA61">IF(D61="","",
 IF($DO$3="Error","Error",
 IF(OR(
 SUM(($E$4:$CZ$4="")*(E61:CZ61&lt;&gt;""))&gt;0,
 SUM(($E$5:$CZ$5="")*(E61:CZ61&lt;&gt;""))&gt;0,
 COUNTA(E61:CZ61)&gt;$DO$3,
 SUMPRODUCT((E61:CZ61&lt;&gt;"")*(ISNA(MATCH(E61:CZ61,{"P","A","L","E","D"},0))))&gt;0),"Error",
 IF(COUNTIFS($E$5:$CZ$5,"T1",E61:CZ61,$DA$5)=0,"--",
 COUNTIFS($E$5:$CZ$5,"T1",E61:CZ61,$DA$5)))))</f>
      </c>
      <c r="DB61" s="539">
        <f t="array" ref="DB61">IF(D61="","",
 IF($DO$3="Error","Error",
 IF(OR(
 SUM(($E$4:$CZ$4="")*(E61:CZ61&lt;&gt;""))&gt;0,
 SUM(($E$5:$CZ$5="")*(E61:CZ61&lt;&gt;""))&gt;0,
 COUNTA(E61:CZ61)&gt;$DO$3,
 SUMPRODUCT((E61:CZ61&lt;&gt;"")*(ISNA(MATCH(E61:CZ61,{"P","A","L","E","D"},0))))&gt;0),"Error",
 IF(COUNTIFS($E$5:$CZ$5,"T1",E61:CZ61,$DB$5)=0,"--",
 COUNTIFS($E$5:$CZ$5,"T1",E61:CZ61,$DB$5)))))</f>
      </c>
      <c r="DC61" s="539">
        <f t="array" ref="DC61">IF(D61="","",
 IF($DO$3="Error","Error",
 IF(OR(
 SUM(($E$4:$CZ$4="")*(E61:CZ61&lt;&gt;""))&gt;0,
 SUM(($E$5:$CZ$5="")*(E61:CZ61&lt;&gt;""))&gt;0,
 COUNTA(E61:CZ61)&gt;$DO$3,
 SUMPRODUCT((E61:CZ61&lt;&gt;"")*(ISNA(MATCH(E61:CZ61,{"P","A","L","E","D"},0))))&gt;0),"Error",
 IF(COUNTIFS($E$5:$CZ$5,"T1",E61:CZ61,$DC$5)=0,"--",
 COUNTIFS($E$5:$CZ$5,"T1",E61:CZ61,$DC$5)))))</f>
      </c>
      <c r="DD61" s="540">
        <f t="array" ref="DD61">IF(D61="","",
 IF($DO$3="Error","Error",
 IF(OR(
 SUM(($E$4:$CZ$4="")*(E61:CZ61&lt;&gt;""))&gt;0,
 SUM(($E$5:$CZ$5="")*(E61:CZ61&lt;&gt;""))&gt;0,
 COUNTA(E61:CZ61)&gt;$DO$3,
 SUMPRODUCT((E61:CZ61&lt;&gt;"")*(ISNA(MATCH(E61:CZ61,{"P","A","L","E","D"},0))))&gt;0),"Error",
 IF(COUNTIFS($E$5:$CZ$5,"T1",E61:CZ61,$DD$5)=0,"--",
 COUNTIFS($E$5:$CZ$5,"T1",E61:CZ61,$DD$5)))))</f>
      </c>
      <c r="DE61" s="541">
        <f t="array" ref="DE61">IF(D61="","",
 IF($DO$3="Error","Error",
 IF(OR(
 SUM(($E$4:$CZ$4="")*(E61:CZ61&lt;&gt;""))&gt;0,
 SUM(($E$5:$CZ$5="")*(E61:CZ61&lt;&gt;""))&gt;0,
 COUNTA(E61:CZ61)&gt;$DO$3,
 SUMPRODUCT((E61:CZ61&lt;&gt;"")*(ISNA(MATCH(E61:CZ61,{"P","A","L","E","D"},0))))&gt;0),"Error",
 IF(COUNTIFS($E$5:$CZ$5,"T2",E61:CZ61,$DE$5)=0,"--",
 COUNTIFS($E$5:$CZ$5,"T2",E61:CZ61,$DE$5)))))</f>
      </c>
      <c r="DF61" s="539">
        <f t="array" ref="DF61">IF(D61="","",
 IF($DO$3="Error","Error",
 IF(OR(
 SUM(($E$4:$CZ$4="")*(E61:CZ61&lt;&gt;""))&gt;0,
 SUM(($E$5:$CZ$5="")*(E61:CZ61&lt;&gt;""))&gt;0,
 COUNTA(E61:CZ61)&gt;$DO$3,
 SUMPRODUCT((E61:CZ61&lt;&gt;"")*(ISNA(MATCH(E61:CZ61,{"P","A","L","E","D"},0))))&gt;0),"Error",
 IF(COUNTIFS($E$5:$CZ$5,"T2",E61:CZ61,$DF$5)=0,"--",
 COUNTIFS($E$5:$CZ$5,"T2",E61:CZ61,$DF$5)))))</f>
      </c>
      <c r="DG61" s="539">
        <f t="array" ref="DG61">IF(D61="","",
 IF($DO$3="Error","Error",
 IF(OR(
 SUM(($E$4:$CZ$4="")*(E61:CZ61&lt;&gt;""))&gt;0,
 SUM(($E$5:$CZ$5="")*(E61:CZ61&lt;&gt;""))&gt;0,
 COUNTA(E61:CZ61)&gt;$DO$3,
 SUMPRODUCT((E61:CZ61&lt;&gt;"")*(ISNA(MATCH(E61:CZ61,{"P","A","L","E","D"},0))))&gt;0),"Error",
 IF(COUNTIFS($E$5:$CZ$5,"T2",E61:CZ61,$DG$5)=0,"--",
 COUNTIFS($E$5:$CZ$5,"T2",E61:CZ61,$DG$5)))))</f>
      </c>
      <c r="DH61" s="542">
        <f t="array" ref="DH61">IF(D61="","",
 IF($DO$3="Error","Error",
 IF(OR(
 SUM(($E$4:$CZ$4="")*(E61:CZ61&lt;&gt;""))&gt;0,
 SUM(($E$5:$CZ$5="")*(E61:CZ61&lt;&gt;""))&gt;0,
 COUNTA(E61:CZ61)&gt;$DO$3,
 SUMPRODUCT((E61:CZ61&lt;&gt;"")*(ISNA(MATCH(E61:CZ61,{"P","A","L","E","D"},0))))&gt;0),"Error",
 IF(COUNTIFS($E$5:$CZ$5,"T2",E61:CZ61,$DH$5)=0,"--",
 COUNTIFS($E$5:$CZ$5,"T2",E61:CZ61,$DH$5)))))</f>
      </c>
      <c r="DI61" s="543">
        <f t="array" ref="DI61">IF(D61="","",
 IF($DO$3="Error","Error",
 IF(OR(
 SUM(($E$4:$CZ$4="")*(E61:CZ61&lt;&gt;""))&gt;0,
 SUM(($E$5:$CZ$5="")*(E61:CZ61&lt;&gt;""))&gt;0,
 COUNTA(E61:CZ61)&gt;$DO$3,
 SUMPRODUCT((E61:CZ61&lt;&gt;"")*(ISNA(MATCH(E61:CZ61,{"P","A","L","E","D"},0))))&gt;0),"Error",
 IF(COUNTIFS($E$5:$CZ$5,"T3",E61:CZ61,$DI$5)=0,"--",
 COUNTIFS($E$5:$CZ$5,"T3",E61:CZ61,$DI$5)))))</f>
      </c>
      <c r="DJ61" s="539">
        <f t="array" ref="DJ61">IF(D61="","",
 IF($DO$3="Error","Error",
 IF(OR(
 SUM(($E$4:$CZ$4="")*(E61:CZ61&lt;&gt;""))&gt;0,
 SUM(($E$5:$CZ$5="")*(E61:CZ61&lt;&gt;""))&gt;0,
 COUNTA(E61:CZ61)&gt;$DO$3,
 SUMPRODUCT((E61:CZ61&lt;&gt;"")*(ISNA(MATCH(E61:CZ61,{"P","A","L","E","D"},0))))&gt;0),"Error",
 IF(COUNTIFS($E$5:$CZ$5,"T3",E61:CZ61,$DJ$5)=0,"--",
 COUNTIFS($E$5:$CZ$5,"T3",E61:CZ61,$DJ$5)))))</f>
      </c>
      <c r="DK61" s="539">
        <f t="array" ref="DK61">IF(D61="","",
 IF($DO$3="Error","Error",
 IF(OR(
 SUM(($E$4:$CZ$4="")*(E61:CZ61&lt;&gt;""))&gt;0,
 SUM(($E$5:$CZ$5="")*(E61:CZ61&lt;&gt;""))&gt;0,
 COUNTA(E61:CZ61)&gt;$DO$3,
 SUMPRODUCT((E61:CZ61&lt;&gt;"")*(ISNA(MATCH(E61:CZ61,{"P","A","L","E","D"},0))))&gt;0),"Error",
 IF(COUNTIFS($E$5:$CZ$5,"T3",E61:CZ61,$DK$5)=0,"--",
 COUNTIFS($E$5:$CZ$5,"T3",E61:CZ61,$DK$5)))))</f>
      </c>
      <c r="DL61" s="540">
        <f t="array" ref="DL61">IF(D61="","",
 IF($DO$3="Error","Error",
 IF(OR(
 SUM(($E$4:$CZ$4="")*(E61:CZ61&lt;&gt;""))&gt;0,
 SUM(($E$5:$CZ$5="")*(E61:CZ61&lt;&gt;""))&gt;0,
 COUNTA(E61:CZ61)&gt;$DO$3,
 SUMPRODUCT((E61:CZ61&lt;&gt;"")*(ISNA(MATCH(E61:CZ61,{"P","A","L","E","D"},0))))&gt;0),"Error",
 IF(COUNTIFS($E$5:$CZ$5,"T3",E61:CZ61,$DL$5)=0,"--",
 COUNTIFS($E$5:$CZ$5,"T3",E61:CZ61,$DL$5)))))</f>
      </c>
      <c r="DM61" s="530">
        <f t="array" ref="DM61">IF(COUNTIF(DA61:DL61,"Error")&gt;0,"Error",
 IF(AND(D61="",COUNTA(E61:CZ61)&gt;0),"Error",
 IF(COUNTIF(E61:CZ61,"D")&gt;0,"DRP",
 IF(OR(SUM(COUNTIF(E61:CZ61,{"P","A","L","E"}))&gt;0,AND(D61&lt;&gt;"",COUNTA(E61:CZ61)=0)),"Active",""))))</f>
      </c>
      <c r="DN61" s="531"/>
    </row>
    <row r="62" ht="15.95" customHeight="1" spans="2:118" x14ac:dyDescent="0.25">
      <c r="B62" s="471">
        <v>57</v>
      </c>
      <c r="C62" s="532">
        <f>IF('Data Input'!M63="","",'Data Input'!M63)</f>
      </c>
      <c r="D62" s="533">
        <f>IF('Data Input'!N63="","",'Data Input'!N63)</f>
      </c>
      <c r="E62" s="534"/>
      <c r="F62" s="535"/>
      <c r="G62" s="535"/>
      <c r="H62" s="535"/>
      <c r="I62" s="535"/>
      <c r="J62" s="535"/>
      <c r="K62" s="535"/>
      <c r="L62" s="535"/>
      <c r="M62" s="535"/>
      <c r="N62" s="535"/>
      <c r="O62" s="535"/>
      <c r="P62" s="535"/>
      <c r="Q62" s="535"/>
      <c r="R62" s="535"/>
      <c r="S62" s="535"/>
      <c r="T62" s="535"/>
      <c r="U62" s="535"/>
      <c r="V62" s="535"/>
      <c r="W62" s="535"/>
      <c r="X62" s="535"/>
      <c r="Y62" s="535"/>
      <c r="Z62" s="535"/>
      <c r="AA62" s="535"/>
      <c r="AB62" s="535"/>
      <c r="AC62" s="535"/>
      <c r="AD62" s="535"/>
      <c r="AE62" s="535"/>
      <c r="AF62" s="535"/>
      <c r="AG62" s="535"/>
      <c r="AH62" s="535"/>
      <c r="AI62" s="535"/>
      <c r="AJ62" s="535"/>
      <c r="AK62" s="535"/>
      <c r="AL62" s="535"/>
      <c r="AM62" s="535"/>
      <c r="AN62" s="535"/>
      <c r="AO62" s="535"/>
      <c r="AP62" s="535"/>
      <c r="AQ62" s="535"/>
      <c r="AR62" s="535"/>
      <c r="AS62" s="535"/>
      <c r="AT62" s="535"/>
      <c r="AU62" s="535"/>
      <c r="AV62" s="535"/>
      <c r="AW62" s="535"/>
      <c r="AX62" s="535"/>
      <c r="AY62" s="535"/>
      <c r="AZ62" s="535"/>
      <c r="BA62" s="535"/>
      <c r="BB62" s="536"/>
      <c r="BC62" s="535"/>
      <c r="BD62" s="535"/>
      <c r="BE62" s="535"/>
      <c r="BF62" s="535"/>
      <c r="BG62" s="535"/>
      <c r="BH62" s="535"/>
      <c r="BI62" s="535"/>
      <c r="BJ62" s="535"/>
      <c r="BK62" s="535"/>
      <c r="BL62" s="535"/>
      <c r="BM62" s="535"/>
      <c r="BN62" s="535"/>
      <c r="BO62" s="535"/>
      <c r="BP62" s="535"/>
      <c r="BQ62" s="535"/>
      <c r="BR62" s="535"/>
      <c r="BS62" s="535"/>
      <c r="BT62" s="535"/>
      <c r="BU62" s="535"/>
      <c r="BV62" s="535"/>
      <c r="BW62" s="535"/>
      <c r="BX62" s="535"/>
      <c r="BY62" s="535"/>
      <c r="BZ62" s="535"/>
      <c r="CA62" s="535"/>
      <c r="CB62" s="535"/>
      <c r="CC62" s="535"/>
      <c r="CD62" s="535"/>
      <c r="CE62" s="535"/>
      <c r="CF62" s="535"/>
      <c r="CG62" s="535"/>
      <c r="CH62" s="535"/>
      <c r="CI62" s="535"/>
      <c r="CJ62" s="535"/>
      <c r="CK62" s="535"/>
      <c r="CL62" s="535"/>
      <c r="CM62" s="535"/>
      <c r="CN62" s="535"/>
      <c r="CO62" s="535"/>
      <c r="CP62" s="535"/>
      <c r="CQ62" s="535"/>
      <c r="CR62" s="535"/>
      <c r="CS62" s="535"/>
      <c r="CT62" s="535"/>
      <c r="CU62" s="535"/>
      <c r="CV62" s="535"/>
      <c r="CW62" s="535"/>
      <c r="CX62" s="535"/>
      <c r="CY62" s="535"/>
      <c r="CZ62" s="537"/>
      <c r="DA62" s="538">
        <f t="array" ref="DA62">IF(D62="","",
 IF($DO$3="Error","Error",
 IF(OR(
 SUM(($E$4:$CZ$4="")*(E62:CZ62&lt;&gt;""))&gt;0,
 SUM(($E$5:$CZ$5="")*(E62:CZ62&lt;&gt;""))&gt;0,
 COUNTA(E62:CZ62)&gt;$DO$3,
 SUMPRODUCT((E62:CZ62&lt;&gt;"")*(ISNA(MATCH(E62:CZ62,{"P","A","L","E","D"},0))))&gt;0),"Error",
 IF(COUNTIFS($E$5:$CZ$5,"T1",E62:CZ62,$DA$5)=0,"--",
 COUNTIFS($E$5:$CZ$5,"T1",E62:CZ62,$DA$5)))))</f>
      </c>
      <c r="DB62" s="539">
        <f t="array" ref="DB62">IF(D62="","",
 IF($DO$3="Error","Error",
 IF(OR(
 SUM(($E$4:$CZ$4="")*(E62:CZ62&lt;&gt;""))&gt;0,
 SUM(($E$5:$CZ$5="")*(E62:CZ62&lt;&gt;""))&gt;0,
 COUNTA(E62:CZ62)&gt;$DO$3,
 SUMPRODUCT((E62:CZ62&lt;&gt;"")*(ISNA(MATCH(E62:CZ62,{"P","A","L","E","D"},0))))&gt;0),"Error",
 IF(COUNTIFS($E$5:$CZ$5,"T1",E62:CZ62,$DB$5)=0,"--",
 COUNTIFS($E$5:$CZ$5,"T1",E62:CZ62,$DB$5)))))</f>
      </c>
      <c r="DC62" s="539">
        <f t="array" ref="DC62">IF(D62="","",
 IF($DO$3="Error","Error",
 IF(OR(
 SUM(($E$4:$CZ$4="")*(E62:CZ62&lt;&gt;""))&gt;0,
 SUM(($E$5:$CZ$5="")*(E62:CZ62&lt;&gt;""))&gt;0,
 COUNTA(E62:CZ62)&gt;$DO$3,
 SUMPRODUCT((E62:CZ62&lt;&gt;"")*(ISNA(MATCH(E62:CZ62,{"P","A","L","E","D"},0))))&gt;0),"Error",
 IF(COUNTIFS($E$5:$CZ$5,"T1",E62:CZ62,$DC$5)=0,"--",
 COUNTIFS($E$5:$CZ$5,"T1",E62:CZ62,$DC$5)))))</f>
      </c>
      <c r="DD62" s="540">
        <f t="array" ref="DD62">IF(D62="","",
 IF($DO$3="Error","Error",
 IF(OR(
 SUM(($E$4:$CZ$4="")*(E62:CZ62&lt;&gt;""))&gt;0,
 SUM(($E$5:$CZ$5="")*(E62:CZ62&lt;&gt;""))&gt;0,
 COUNTA(E62:CZ62)&gt;$DO$3,
 SUMPRODUCT((E62:CZ62&lt;&gt;"")*(ISNA(MATCH(E62:CZ62,{"P","A","L","E","D"},0))))&gt;0),"Error",
 IF(COUNTIFS($E$5:$CZ$5,"T1",E62:CZ62,$DD$5)=0,"--",
 COUNTIFS($E$5:$CZ$5,"T1",E62:CZ62,$DD$5)))))</f>
      </c>
      <c r="DE62" s="541">
        <f t="array" ref="DE62">IF(D62="","",
 IF($DO$3="Error","Error",
 IF(OR(
 SUM(($E$4:$CZ$4="")*(E62:CZ62&lt;&gt;""))&gt;0,
 SUM(($E$5:$CZ$5="")*(E62:CZ62&lt;&gt;""))&gt;0,
 COUNTA(E62:CZ62)&gt;$DO$3,
 SUMPRODUCT((E62:CZ62&lt;&gt;"")*(ISNA(MATCH(E62:CZ62,{"P","A","L","E","D"},0))))&gt;0),"Error",
 IF(COUNTIFS($E$5:$CZ$5,"T2",E62:CZ62,$DE$5)=0,"--",
 COUNTIFS($E$5:$CZ$5,"T2",E62:CZ62,$DE$5)))))</f>
      </c>
      <c r="DF62" s="539">
        <f t="array" ref="DF62">IF(D62="","",
 IF($DO$3="Error","Error",
 IF(OR(
 SUM(($E$4:$CZ$4="")*(E62:CZ62&lt;&gt;""))&gt;0,
 SUM(($E$5:$CZ$5="")*(E62:CZ62&lt;&gt;""))&gt;0,
 COUNTA(E62:CZ62)&gt;$DO$3,
 SUMPRODUCT((E62:CZ62&lt;&gt;"")*(ISNA(MATCH(E62:CZ62,{"P","A","L","E","D"},0))))&gt;0),"Error",
 IF(COUNTIFS($E$5:$CZ$5,"T2",E62:CZ62,$DF$5)=0,"--",
 COUNTIFS($E$5:$CZ$5,"T2",E62:CZ62,$DF$5)))))</f>
      </c>
      <c r="DG62" s="539">
        <f t="array" ref="DG62">IF(D62="","",
 IF($DO$3="Error","Error",
 IF(OR(
 SUM(($E$4:$CZ$4="")*(E62:CZ62&lt;&gt;""))&gt;0,
 SUM(($E$5:$CZ$5="")*(E62:CZ62&lt;&gt;""))&gt;0,
 COUNTA(E62:CZ62)&gt;$DO$3,
 SUMPRODUCT((E62:CZ62&lt;&gt;"")*(ISNA(MATCH(E62:CZ62,{"P","A","L","E","D"},0))))&gt;0),"Error",
 IF(COUNTIFS($E$5:$CZ$5,"T2",E62:CZ62,$DG$5)=0,"--",
 COUNTIFS($E$5:$CZ$5,"T2",E62:CZ62,$DG$5)))))</f>
      </c>
      <c r="DH62" s="542">
        <f t="array" ref="DH62">IF(D62="","",
 IF($DO$3="Error","Error",
 IF(OR(
 SUM(($E$4:$CZ$4="")*(E62:CZ62&lt;&gt;""))&gt;0,
 SUM(($E$5:$CZ$5="")*(E62:CZ62&lt;&gt;""))&gt;0,
 COUNTA(E62:CZ62)&gt;$DO$3,
 SUMPRODUCT((E62:CZ62&lt;&gt;"")*(ISNA(MATCH(E62:CZ62,{"P","A","L","E","D"},0))))&gt;0),"Error",
 IF(COUNTIFS($E$5:$CZ$5,"T2",E62:CZ62,$DH$5)=0,"--",
 COUNTIFS($E$5:$CZ$5,"T2",E62:CZ62,$DH$5)))))</f>
      </c>
      <c r="DI62" s="543">
        <f t="array" ref="DI62">IF(D62="","",
 IF($DO$3="Error","Error",
 IF(OR(
 SUM(($E$4:$CZ$4="")*(E62:CZ62&lt;&gt;""))&gt;0,
 SUM(($E$5:$CZ$5="")*(E62:CZ62&lt;&gt;""))&gt;0,
 COUNTA(E62:CZ62)&gt;$DO$3,
 SUMPRODUCT((E62:CZ62&lt;&gt;"")*(ISNA(MATCH(E62:CZ62,{"P","A","L","E","D"},0))))&gt;0),"Error",
 IF(COUNTIFS($E$5:$CZ$5,"T3",E62:CZ62,$DI$5)=0,"--",
 COUNTIFS($E$5:$CZ$5,"T3",E62:CZ62,$DI$5)))))</f>
      </c>
      <c r="DJ62" s="539">
        <f t="array" ref="DJ62">IF(D62="","",
 IF($DO$3="Error","Error",
 IF(OR(
 SUM(($E$4:$CZ$4="")*(E62:CZ62&lt;&gt;""))&gt;0,
 SUM(($E$5:$CZ$5="")*(E62:CZ62&lt;&gt;""))&gt;0,
 COUNTA(E62:CZ62)&gt;$DO$3,
 SUMPRODUCT((E62:CZ62&lt;&gt;"")*(ISNA(MATCH(E62:CZ62,{"P","A","L","E","D"},0))))&gt;0),"Error",
 IF(COUNTIFS($E$5:$CZ$5,"T3",E62:CZ62,$DJ$5)=0,"--",
 COUNTIFS($E$5:$CZ$5,"T3",E62:CZ62,$DJ$5)))))</f>
      </c>
      <c r="DK62" s="539">
        <f t="array" ref="DK62">IF(D62="","",
 IF($DO$3="Error","Error",
 IF(OR(
 SUM(($E$4:$CZ$4="")*(E62:CZ62&lt;&gt;""))&gt;0,
 SUM(($E$5:$CZ$5="")*(E62:CZ62&lt;&gt;""))&gt;0,
 COUNTA(E62:CZ62)&gt;$DO$3,
 SUMPRODUCT((E62:CZ62&lt;&gt;"")*(ISNA(MATCH(E62:CZ62,{"P","A","L","E","D"},0))))&gt;0),"Error",
 IF(COUNTIFS($E$5:$CZ$5,"T3",E62:CZ62,$DK$5)=0,"--",
 COUNTIFS($E$5:$CZ$5,"T3",E62:CZ62,$DK$5)))))</f>
      </c>
      <c r="DL62" s="540">
        <f t="array" ref="DL62">IF(D62="","",
 IF($DO$3="Error","Error",
 IF(OR(
 SUM(($E$4:$CZ$4="")*(E62:CZ62&lt;&gt;""))&gt;0,
 SUM(($E$5:$CZ$5="")*(E62:CZ62&lt;&gt;""))&gt;0,
 COUNTA(E62:CZ62)&gt;$DO$3,
 SUMPRODUCT((E62:CZ62&lt;&gt;"")*(ISNA(MATCH(E62:CZ62,{"P","A","L","E","D"},0))))&gt;0),"Error",
 IF(COUNTIFS($E$5:$CZ$5,"T3",E62:CZ62,$DL$5)=0,"--",
 COUNTIFS($E$5:$CZ$5,"T3",E62:CZ62,$DL$5)))))</f>
      </c>
      <c r="DM62" s="530">
        <f t="array" ref="DM62">IF(COUNTIF(DA62:DL62,"Error")&gt;0,"Error",
 IF(AND(D62="",COUNTA(E62:CZ62)&gt;0),"Error",
 IF(COUNTIF(E62:CZ62,"D")&gt;0,"DRP",
 IF(OR(SUM(COUNTIF(E62:CZ62,{"P","A","L","E"}))&gt;0,AND(D62&lt;&gt;"",COUNTA(E62:CZ62)=0)),"Active",""))))</f>
      </c>
      <c r="DN62" s="531"/>
    </row>
    <row r="63" ht="15.95" customHeight="1" spans="2:118" x14ac:dyDescent="0.25">
      <c r="B63" s="471">
        <v>58</v>
      </c>
      <c r="C63" s="532">
        <f>IF('Data Input'!M64="","",'Data Input'!M64)</f>
      </c>
      <c r="D63" s="533">
        <f>IF('Data Input'!N64="","",'Data Input'!N64)</f>
      </c>
      <c r="E63" s="534"/>
      <c r="F63" s="535"/>
      <c r="G63" s="535"/>
      <c r="H63" s="535"/>
      <c r="I63" s="535"/>
      <c r="J63" s="535"/>
      <c r="K63" s="535"/>
      <c r="L63" s="535"/>
      <c r="M63" s="535"/>
      <c r="N63" s="535"/>
      <c r="O63" s="535"/>
      <c r="P63" s="535"/>
      <c r="Q63" s="535"/>
      <c r="R63" s="535"/>
      <c r="S63" s="535"/>
      <c r="T63" s="535"/>
      <c r="U63" s="535"/>
      <c r="V63" s="535"/>
      <c r="W63" s="535"/>
      <c r="X63" s="535"/>
      <c r="Y63" s="535"/>
      <c r="Z63" s="535"/>
      <c r="AA63" s="535"/>
      <c r="AB63" s="535"/>
      <c r="AC63" s="535"/>
      <c r="AD63" s="535"/>
      <c r="AE63" s="535"/>
      <c r="AF63" s="535"/>
      <c r="AG63" s="535"/>
      <c r="AH63" s="535"/>
      <c r="AI63" s="535"/>
      <c r="AJ63" s="535"/>
      <c r="AK63" s="535"/>
      <c r="AL63" s="535"/>
      <c r="AM63" s="535"/>
      <c r="AN63" s="535"/>
      <c r="AO63" s="535"/>
      <c r="AP63" s="535"/>
      <c r="AQ63" s="535"/>
      <c r="AR63" s="535"/>
      <c r="AS63" s="535"/>
      <c r="AT63" s="535"/>
      <c r="AU63" s="535"/>
      <c r="AV63" s="535"/>
      <c r="AW63" s="535"/>
      <c r="AX63" s="535"/>
      <c r="AY63" s="535"/>
      <c r="AZ63" s="535"/>
      <c r="BA63" s="535"/>
      <c r="BB63" s="536"/>
      <c r="BC63" s="535"/>
      <c r="BD63" s="535"/>
      <c r="BE63" s="535"/>
      <c r="BF63" s="535"/>
      <c r="BG63" s="535"/>
      <c r="BH63" s="535"/>
      <c r="BI63" s="535"/>
      <c r="BJ63" s="535"/>
      <c r="BK63" s="535"/>
      <c r="BL63" s="535"/>
      <c r="BM63" s="535"/>
      <c r="BN63" s="535"/>
      <c r="BO63" s="535"/>
      <c r="BP63" s="535"/>
      <c r="BQ63" s="535"/>
      <c r="BR63" s="535"/>
      <c r="BS63" s="535"/>
      <c r="BT63" s="535"/>
      <c r="BU63" s="535"/>
      <c r="BV63" s="535"/>
      <c r="BW63" s="535"/>
      <c r="BX63" s="535"/>
      <c r="BY63" s="535"/>
      <c r="BZ63" s="535"/>
      <c r="CA63" s="535"/>
      <c r="CB63" s="535"/>
      <c r="CC63" s="535"/>
      <c r="CD63" s="535"/>
      <c r="CE63" s="535"/>
      <c r="CF63" s="535"/>
      <c r="CG63" s="535"/>
      <c r="CH63" s="535"/>
      <c r="CI63" s="535"/>
      <c r="CJ63" s="535"/>
      <c r="CK63" s="535"/>
      <c r="CL63" s="535"/>
      <c r="CM63" s="535"/>
      <c r="CN63" s="535"/>
      <c r="CO63" s="535"/>
      <c r="CP63" s="535"/>
      <c r="CQ63" s="535"/>
      <c r="CR63" s="535"/>
      <c r="CS63" s="535"/>
      <c r="CT63" s="535"/>
      <c r="CU63" s="535"/>
      <c r="CV63" s="535"/>
      <c r="CW63" s="535"/>
      <c r="CX63" s="535"/>
      <c r="CY63" s="535"/>
      <c r="CZ63" s="537"/>
      <c r="DA63" s="538">
        <f t="array" ref="DA63">IF(D63="","",
 IF($DO$3="Error","Error",
 IF(OR(
 SUM(($E$4:$CZ$4="")*(E63:CZ63&lt;&gt;""))&gt;0,
 SUM(($E$5:$CZ$5="")*(E63:CZ63&lt;&gt;""))&gt;0,
 COUNTA(E63:CZ63)&gt;$DO$3,
 SUMPRODUCT((E63:CZ63&lt;&gt;"")*(ISNA(MATCH(E63:CZ63,{"P","A","L","E","D"},0))))&gt;0),"Error",
 IF(COUNTIFS($E$5:$CZ$5,"T1",E63:CZ63,$DA$5)=0,"--",
 COUNTIFS($E$5:$CZ$5,"T1",E63:CZ63,$DA$5)))))</f>
      </c>
      <c r="DB63" s="539">
        <f t="array" ref="DB63">IF(D63="","",
 IF($DO$3="Error","Error",
 IF(OR(
 SUM(($E$4:$CZ$4="")*(E63:CZ63&lt;&gt;""))&gt;0,
 SUM(($E$5:$CZ$5="")*(E63:CZ63&lt;&gt;""))&gt;0,
 COUNTA(E63:CZ63)&gt;$DO$3,
 SUMPRODUCT((E63:CZ63&lt;&gt;"")*(ISNA(MATCH(E63:CZ63,{"P","A","L","E","D"},0))))&gt;0),"Error",
 IF(COUNTIFS($E$5:$CZ$5,"T1",E63:CZ63,$DB$5)=0,"--",
 COUNTIFS($E$5:$CZ$5,"T1",E63:CZ63,$DB$5)))))</f>
      </c>
      <c r="DC63" s="539">
        <f t="array" ref="DC63">IF(D63="","",
 IF($DO$3="Error","Error",
 IF(OR(
 SUM(($E$4:$CZ$4="")*(E63:CZ63&lt;&gt;""))&gt;0,
 SUM(($E$5:$CZ$5="")*(E63:CZ63&lt;&gt;""))&gt;0,
 COUNTA(E63:CZ63)&gt;$DO$3,
 SUMPRODUCT((E63:CZ63&lt;&gt;"")*(ISNA(MATCH(E63:CZ63,{"P","A","L","E","D"},0))))&gt;0),"Error",
 IF(COUNTIFS($E$5:$CZ$5,"T1",E63:CZ63,$DC$5)=0,"--",
 COUNTIFS($E$5:$CZ$5,"T1",E63:CZ63,$DC$5)))))</f>
      </c>
      <c r="DD63" s="540">
        <f t="array" ref="DD63">IF(D63="","",
 IF($DO$3="Error","Error",
 IF(OR(
 SUM(($E$4:$CZ$4="")*(E63:CZ63&lt;&gt;""))&gt;0,
 SUM(($E$5:$CZ$5="")*(E63:CZ63&lt;&gt;""))&gt;0,
 COUNTA(E63:CZ63)&gt;$DO$3,
 SUMPRODUCT((E63:CZ63&lt;&gt;"")*(ISNA(MATCH(E63:CZ63,{"P","A","L","E","D"},0))))&gt;0),"Error",
 IF(COUNTIFS($E$5:$CZ$5,"T1",E63:CZ63,$DD$5)=0,"--",
 COUNTIFS($E$5:$CZ$5,"T1",E63:CZ63,$DD$5)))))</f>
      </c>
      <c r="DE63" s="541">
        <f t="array" ref="DE63">IF(D63="","",
 IF($DO$3="Error","Error",
 IF(OR(
 SUM(($E$4:$CZ$4="")*(E63:CZ63&lt;&gt;""))&gt;0,
 SUM(($E$5:$CZ$5="")*(E63:CZ63&lt;&gt;""))&gt;0,
 COUNTA(E63:CZ63)&gt;$DO$3,
 SUMPRODUCT((E63:CZ63&lt;&gt;"")*(ISNA(MATCH(E63:CZ63,{"P","A","L","E","D"},0))))&gt;0),"Error",
 IF(COUNTIFS($E$5:$CZ$5,"T2",E63:CZ63,$DE$5)=0,"--",
 COUNTIFS($E$5:$CZ$5,"T2",E63:CZ63,$DE$5)))))</f>
      </c>
      <c r="DF63" s="539">
        <f t="array" ref="DF63">IF(D63="","",
 IF($DO$3="Error","Error",
 IF(OR(
 SUM(($E$4:$CZ$4="")*(E63:CZ63&lt;&gt;""))&gt;0,
 SUM(($E$5:$CZ$5="")*(E63:CZ63&lt;&gt;""))&gt;0,
 COUNTA(E63:CZ63)&gt;$DO$3,
 SUMPRODUCT((E63:CZ63&lt;&gt;"")*(ISNA(MATCH(E63:CZ63,{"P","A","L","E","D"},0))))&gt;0),"Error",
 IF(COUNTIFS($E$5:$CZ$5,"T2",E63:CZ63,$DF$5)=0,"--",
 COUNTIFS($E$5:$CZ$5,"T2",E63:CZ63,$DF$5)))))</f>
      </c>
      <c r="DG63" s="539">
        <f t="array" ref="DG63">IF(D63="","",
 IF($DO$3="Error","Error",
 IF(OR(
 SUM(($E$4:$CZ$4="")*(E63:CZ63&lt;&gt;""))&gt;0,
 SUM(($E$5:$CZ$5="")*(E63:CZ63&lt;&gt;""))&gt;0,
 COUNTA(E63:CZ63)&gt;$DO$3,
 SUMPRODUCT((E63:CZ63&lt;&gt;"")*(ISNA(MATCH(E63:CZ63,{"P","A","L","E","D"},0))))&gt;0),"Error",
 IF(COUNTIFS($E$5:$CZ$5,"T2",E63:CZ63,$DG$5)=0,"--",
 COUNTIFS($E$5:$CZ$5,"T2",E63:CZ63,$DG$5)))))</f>
      </c>
      <c r="DH63" s="542">
        <f t="array" ref="DH63">IF(D63="","",
 IF($DO$3="Error","Error",
 IF(OR(
 SUM(($E$4:$CZ$4="")*(E63:CZ63&lt;&gt;""))&gt;0,
 SUM(($E$5:$CZ$5="")*(E63:CZ63&lt;&gt;""))&gt;0,
 COUNTA(E63:CZ63)&gt;$DO$3,
 SUMPRODUCT((E63:CZ63&lt;&gt;"")*(ISNA(MATCH(E63:CZ63,{"P","A","L","E","D"},0))))&gt;0),"Error",
 IF(COUNTIFS($E$5:$CZ$5,"T2",E63:CZ63,$DH$5)=0,"--",
 COUNTIFS($E$5:$CZ$5,"T2",E63:CZ63,$DH$5)))))</f>
      </c>
      <c r="DI63" s="543">
        <f t="array" ref="DI63">IF(D63="","",
 IF($DO$3="Error","Error",
 IF(OR(
 SUM(($E$4:$CZ$4="")*(E63:CZ63&lt;&gt;""))&gt;0,
 SUM(($E$5:$CZ$5="")*(E63:CZ63&lt;&gt;""))&gt;0,
 COUNTA(E63:CZ63)&gt;$DO$3,
 SUMPRODUCT((E63:CZ63&lt;&gt;"")*(ISNA(MATCH(E63:CZ63,{"P","A","L","E","D"},0))))&gt;0),"Error",
 IF(COUNTIFS($E$5:$CZ$5,"T3",E63:CZ63,$DI$5)=0,"--",
 COUNTIFS($E$5:$CZ$5,"T3",E63:CZ63,$DI$5)))))</f>
      </c>
      <c r="DJ63" s="539">
        <f t="array" ref="DJ63">IF(D63="","",
 IF($DO$3="Error","Error",
 IF(OR(
 SUM(($E$4:$CZ$4="")*(E63:CZ63&lt;&gt;""))&gt;0,
 SUM(($E$5:$CZ$5="")*(E63:CZ63&lt;&gt;""))&gt;0,
 COUNTA(E63:CZ63)&gt;$DO$3,
 SUMPRODUCT((E63:CZ63&lt;&gt;"")*(ISNA(MATCH(E63:CZ63,{"P","A","L","E","D"},0))))&gt;0),"Error",
 IF(COUNTIFS($E$5:$CZ$5,"T3",E63:CZ63,$DJ$5)=0,"--",
 COUNTIFS($E$5:$CZ$5,"T3",E63:CZ63,$DJ$5)))))</f>
      </c>
      <c r="DK63" s="539">
        <f t="array" ref="DK63">IF(D63="","",
 IF($DO$3="Error","Error",
 IF(OR(
 SUM(($E$4:$CZ$4="")*(E63:CZ63&lt;&gt;""))&gt;0,
 SUM(($E$5:$CZ$5="")*(E63:CZ63&lt;&gt;""))&gt;0,
 COUNTA(E63:CZ63)&gt;$DO$3,
 SUMPRODUCT((E63:CZ63&lt;&gt;"")*(ISNA(MATCH(E63:CZ63,{"P","A","L","E","D"},0))))&gt;0),"Error",
 IF(COUNTIFS($E$5:$CZ$5,"T3",E63:CZ63,$DK$5)=0,"--",
 COUNTIFS($E$5:$CZ$5,"T3",E63:CZ63,$DK$5)))))</f>
      </c>
      <c r="DL63" s="540">
        <f t="array" ref="DL63">IF(D63="","",
 IF($DO$3="Error","Error",
 IF(OR(
 SUM(($E$4:$CZ$4="")*(E63:CZ63&lt;&gt;""))&gt;0,
 SUM(($E$5:$CZ$5="")*(E63:CZ63&lt;&gt;""))&gt;0,
 COUNTA(E63:CZ63)&gt;$DO$3,
 SUMPRODUCT((E63:CZ63&lt;&gt;"")*(ISNA(MATCH(E63:CZ63,{"P","A","L","E","D"},0))))&gt;0),"Error",
 IF(COUNTIFS($E$5:$CZ$5,"T3",E63:CZ63,$DL$5)=0,"--",
 COUNTIFS($E$5:$CZ$5,"T3",E63:CZ63,$DL$5)))))</f>
      </c>
      <c r="DM63" s="530">
        <f t="array" ref="DM63">IF(COUNTIF(DA63:DL63,"Error")&gt;0,"Error",
 IF(AND(D63="",COUNTA(E63:CZ63)&gt;0),"Error",
 IF(COUNTIF(E63:CZ63,"D")&gt;0,"DRP",
 IF(OR(SUM(COUNTIF(E63:CZ63,{"P","A","L","E"}))&gt;0,AND(D63&lt;&gt;"",COUNTA(E63:CZ63)=0)),"Active",""))))</f>
      </c>
      <c r="DN63" s="531"/>
    </row>
    <row r="64" ht="15.95" customHeight="1" spans="2:118" x14ac:dyDescent="0.25">
      <c r="B64" s="471">
        <v>59</v>
      </c>
      <c r="C64" s="532">
        <f>IF('Data Input'!M65="","",'Data Input'!M65)</f>
      </c>
      <c r="D64" s="533">
        <f>IF('Data Input'!N65="","",'Data Input'!N65)</f>
      </c>
      <c r="E64" s="534"/>
      <c r="F64" s="535"/>
      <c r="G64" s="535"/>
      <c r="H64" s="535"/>
      <c r="I64" s="535"/>
      <c r="J64" s="535"/>
      <c r="K64" s="535"/>
      <c r="L64" s="535"/>
      <c r="M64" s="535"/>
      <c r="N64" s="535"/>
      <c r="O64" s="535"/>
      <c r="P64" s="535"/>
      <c r="Q64" s="535"/>
      <c r="R64" s="535"/>
      <c r="S64" s="535"/>
      <c r="T64" s="535"/>
      <c r="U64" s="535"/>
      <c r="V64" s="535"/>
      <c r="W64" s="535"/>
      <c r="X64" s="535"/>
      <c r="Y64" s="535"/>
      <c r="Z64" s="535"/>
      <c r="AA64" s="535"/>
      <c r="AB64" s="535"/>
      <c r="AC64" s="535"/>
      <c r="AD64" s="535"/>
      <c r="AE64" s="535"/>
      <c r="AF64" s="535"/>
      <c r="AG64" s="535"/>
      <c r="AH64" s="535"/>
      <c r="AI64" s="535"/>
      <c r="AJ64" s="535"/>
      <c r="AK64" s="535"/>
      <c r="AL64" s="535"/>
      <c r="AM64" s="535"/>
      <c r="AN64" s="535"/>
      <c r="AO64" s="535"/>
      <c r="AP64" s="535"/>
      <c r="AQ64" s="535"/>
      <c r="AR64" s="535"/>
      <c r="AS64" s="535"/>
      <c r="AT64" s="535"/>
      <c r="AU64" s="535"/>
      <c r="AV64" s="535"/>
      <c r="AW64" s="535"/>
      <c r="AX64" s="535"/>
      <c r="AY64" s="535"/>
      <c r="AZ64" s="535"/>
      <c r="BA64" s="535"/>
      <c r="BB64" s="536"/>
      <c r="BC64" s="535"/>
      <c r="BD64" s="535"/>
      <c r="BE64" s="535"/>
      <c r="BF64" s="535"/>
      <c r="BG64" s="535"/>
      <c r="BH64" s="535"/>
      <c r="BI64" s="535"/>
      <c r="BJ64" s="535"/>
      <c r="BK64" s="535"/>
      <c r="BL64" s="535"/>
      <c r="BM64" s="535"/>
      <c r="BN64" s="535"/>
      <c r="BO64" s="535"/>
      <c r="BP64" s="535"/>
      <c r="BQ64" s="535"/>
      <c r="BR64" s="535"/>
      <c r="BS64" s="535"/>
      <c r="BT64" s="535"/>
      <c r="BU64" s="535"/>
      <c r="BV64" s="535"/>
      <c r="BW64" s="535"/>
      <c r="BX64" s="535"/>
      <c r="BY64" s="535"/>
      <c r="BZ64" s="535"/>
      <c r="CA64" s="535"/>
      <c r="CB64" s="535"/>
      <c r="CC64" s="535"/>
      <c r="CD64" s="535"/>
      <c r="CE64" s="535"/>
      <c r="CF64" s="535"/>
      <c r="CG64" s="535"/>
      <c r="CH64" s="535"/>
      <c r="CI64" s="535"/>
      <c r="CJ64" s="535"/>
      <c r="CK64" s="535"/>
      <c r="CL64" s="535"/>
      <c r="CM64" s="535"/>
      <c r="CN64" s="535"/>
      <c r="CO64" s="535"/>
      <c r="CP64" s="535"/>
      <c r="CQ64" s="535"/>
      <c r="CR64" s="535"/>
      <c r="CS64" s="535"/>
      <c r="CT64" s="535"/>
      <c r="CU64" s="535"/>
      <c r="CV64" s="535"/>
      <c r="CW64" s="535"/>
      <c r="CX64" s="535"/>
      <c r="CY64" s="535"/>
      <c r="CZ64" s="537"/>
      <c r="DA64" s="538">
        <f t="array" ref="DA64">IF(D64="","",
 IF($DO$3="Error","Error",
 IF(OR(
 SUM(($E$4:$CZ$4="")*(E64:CZ64&lt;&gt;""))&gt;0,
 SUM(($E$5:$CZ$5="")*(E64:CZ64&lt;&gt;""))&gt;0,
 COUNTA(E64:CZ64)&gt;$DO$3,
 SUMPRODUCT((E64:CZ64&lt;&gt;"")*(ISNA(MATCH(E64:CZ64,{"P","A","L","E","D"},0))))&gt;0),"Error",
 IF(COUNTIFS($E$5:$CZ$5,"T1",E64:CZ64,$DA$5)=0,"--",
 COUNTIFS($E$5:$CZ$5,"T1",E64:CZ64,$DA$5)))))</f>
      </c>
      <c r="DB64" s="539">
        <f t="array" ref="DB64">IF(D64="","",
 IF($DO$3="Error","Error",
 IF(OR(
 SUM(($E$4:$CZ$4="")*(E64:CZ64&lt;&gt;""))&gt;0,
 SUM(($E$5:$CZ$5="")*(E64:CZ64&lt;&gt;""))&gt;0,
 COUNTA(E64:CZ64)&gt;$DO$3,
 SUMPRODUCT((E64:CZ64&lt;&gt;"")*(ISNA(MATCH(E64:CZ64,{"P","A","L","E","D"},0))))&gt;0),"Error",
 IF(COUNTIFS($E$5:$CZ$5,"T1",E64:CZ64,$DB$5)=0,"--",
 COUNTIFS($E$5:$CZ$5,"T1",E64:CZ64,$DB$5)))))</f>
      </c>
      <c r="DC64" s="539">
        <f t="array" ref="DC64">IF(D64="","",
 IF($DO$3="Error","Error",
 IF(OR(
 SUM(($E$4:$CZ$4="")*(E64:CZ64&lt;&gt;""))&gt;0,
 SUM(($E$5:$CZ$5="")*(E64:CZ64&lt;&gt;""))&gt;0,
 COUNTA(E64:CZ64)&gt;$DO$3,
 SUMPRODUCT((E64:CZ64&lt;&gt;"")*(ISNA(MATCH(E64:CZ64,{"P","A","L","E","D"},0))))&gt;0),"Error",
 IF(COUNTIFS($E$5:$CZ$5,"T1",E64:CZ64,$DC$5)=0,"--",
 COUNTIFS($E$5:$CZ$5,"T1",E64:CZ64,$DC$5)))))</f>
      </c>
      <c r="DD64" s="540">
        <f t="array" ref="DD64">IF(D64="","",
 IF($DO$3="Error","Error",
 IF(OR(
 SUM(($E$4:$CZ$4="")*(E64:CZ64&lt;&gt;""))&gt;0,
 SUM(($E$5:$CZ$5="")*(E64:CZ64&lt;&gt;""))&gt;0,
 COUNTA(E64:CZ64)&gt;$DO$3,
 SUMPRODUCT((E64:CZ64&lt;&gt;"")*(ISNA(MATCH(E64:CZ64,{"P","A","L","E","D"},0))))&gt;0),"Error",
 IF(COUNTIFS($E$5:$CZ$5,"T1",E64:CZ64,$DD$5)=0,"--",
 COUNTIFS($E$5:$CZ$5,"T1",E64:CZ64,$DD$5)))))</f>
      </c>
      <c r="DE64" s="541">
        <f t="array" ref="DE64">IF(D64="","",
 IF($DO$3="Error","Error",
 IF(OR(
 SUM(($E$4:$CZ$4="")*(E64:CZ64&lt;&gt;""))&gt;0,
 SUM(($E$5:$CZ$5="")*(E64:CZ64&lt;&gt;""))&gt;0,
 COUNTA(E64:CZ64)&gt;$DO$3,
 SUMPRODUCT((E64:CZ64&lt;&gt;"")*(ISNA(MATCH(E64:CZ64,{"P","A","L","E","D"},0))))&gt;0),"Error",
 IF(COUNTIFS($E$5:$CZ$5,"T2",E64:CZ64,$DE$5)=0,"--",
 COUNTIFS($E$5:$CZ$5,"T2",E64:CZ64,$DE$5)))))</f>
      </c>
      <c r="DF64" s="539">
        <f t="array" ref="DF64">IF(D64="","",
 IF($DO$3="Error","Error",
 IF(OR(
 SUM(($E$4:$CZ$4="")*(E64:CZ64&lt;&gt;""))&gt;0,
 SUM(($E$5:$CZ$5="")*(E64:CZ64&lt;&gt;""))&gt;0,
 COUNTA(E64:CZ64)&gt;$DO$3,
 SUMPRODUCT((E64:CZ64&lt;&gt;"")*(ISNA(MATCH(E64:CZ64,{"P","A","L","E","D"},0))))&gt;0),"Error",
 IF(COUNTIFS($E$5:$CZ$5,"T2",E64:CZ64,$DF$5)=0,"--",
 COUNTIFS($E$5:$CZ$5,"T2",E64:CZ64,$DF$5)))))</f>
      </c>
      <c r="DG64" s="539">
        <f t="array" ref="DG64">IF(D64="","",
 IF($DO$3="Error","Error",
 IF(OR(
 SUM(($E$4:$CZ$4="")*(E64:CZ64&lt;&gt;""))&gt;0,
 SUM(($E$5:$CZ$5="")*(E64:CZ64&lt;&gt;""))&gt;0,
 COUNTA(E64:CZ64)&gt;$DO$3,
 SUMPRODUCT((E64:CZ64&lt;&gt;"")*(ISNA(MATCH(E64:CZ64,{"P","A","L","E","D"},0))))&gt;0),"Error",
 IF(COUNTIFS($E$5:$CZ$5,"T2",E64:CZ64,$DG$5)=0,"--",
 COUNTIFS($E$5:$CZ$5,"T2",E64:CZ64,$DG$5)))))</f>
      </c>
      <c r="DH64" s="542">
        <f t="array" ref="DH64">IF(D64="","",
 IF($DO$3="Error","Error",
 IF(OR(
 SUM(($E$4:$CZ$4="")*(E64:CZ64&lt;&gt;""))&gt;0,
 SUM(($E$5:$CZ$5="")*(E64:CZ64&lt;&gt;""))&gt;0,
 COUNTA(E64:CZ64)&gt;$DO$3,
 SUMPRODUCT((E64:CZ64&lt;&gt;"")*(ISNA(MATCH(E64:CZ64,{"P","A","L","E","D"},0))))&gt;0),"Error",
 IF(COUNTIFS($E$5:$CZ$5,"T2",E64:CZ64,$DH$5)=0,"--",
 COUNTIFS($E$5:$CZ$5,"T2",E64:CZ64,$DH$5)))))</f>
      </c>
      <c r="DI64" s="543">
        <f t="array" ref="DI64">IF(D64="","",
 IF($DO$3="Error","Error",
 IF(OR(
 SUM(($E$4:$CZ$4="")*(E64:CZ64&lt;&gt;""))&gt;0,
 SUM(($E$5:$CZ$5="")*(E64:CZ64&lt;&gt;""))&gt;0,
 COUNTA(E64:CZ64)&gt;$DO$3,
 SUMPRODUCT((E64:CZ64&lt;&gt;"")*(ISNA(MATCH(E64:CZ64,{"P","A","L","E","D"},0))))&gt;0),"Error",
 IF(COUNTIFS($E$5:$CZ$5,"T3",E64:CZ64,$DI$5)=0,"--",
 COUNTIFS($E$5:$CZ$5,"T3",E64:CZ64,$DI$5)))))</f>
      </c>
      <c r="DJ64" s="539">
        <f t="array" ref="DJ64">IF(D64="","",
 IF($DO$3="Error","Error",
 IF(OR(
 SUM(($E$4:$CZ$4="")*(E64:CZ64&lt;&gt;""))&gt;0,
 SUM(($E$5:$CZ$5="")*(E64:CZ64&lt;&gt;""))&gt;0,
 COUNTA(E64:CZ64)&gt;$DO$3,
 SUMPRODUCT((E64:CZ64&lt;&gt;"")*(ISNA(MATCH(E64:CZ64,{"P","A","L","E","D"},0))))&gt;0),"Error",
 IF(COUNTIFS($E$5:$CZ$5,"T3",E64:CZ64,$DJ$5)=0,"--",
 COUNTIFS($E$5:$CZ$5,"T3",E64:CZ64,$DJ$5)))))</f>
      </c>
      <c r="DK64" s="539">
        <f t="array" ref="DK64">IF(D64="","",
 IF($DO$3="Error","Error",
 IF(OR(
 SUM(($E$4:$CZ$4="")*(E64:CZ64&lt;&gt;""))&gt;0,
 SUM(($E$5:$CZ$5="")*(E64:CZ64&lt;&gt;""))&gt;0,
 COUNTA(E64:CZ64)&gt;$DO$3,
 SUMPRODUCT((E64:CZ64&lt;&gt;"")*(ISNA(MATCH(E64:CZ64,{"P","A","L","E","D"},0))))&gt;0),"Error",
 IF(COUNTIFS($E$5:$CZ$5,"T3",E64:CZ64,$DK$5)=0,"--",
 COUNTIFS($E$5:$CZ$5,"T3",E64:CZ64,$DK$5)))))</f>
      </c>
      <c r="DL64" s="540">
        <f t="array" ref="DL64">IF(D64="","",
 IF($DO$3="Error","Error",
 IF(OR(
 SUM(($E$4:$CZ$4="")*(E64:CZ64&lt;&gt;""))&gt;0,
 SUM(($E$5:$CZ$5="")*(E64:CZ64&lt;&gt;""))&gt;0,
 COUNTA(E64:CZ64)&gt;$DO$3,
 SUMPRODUCT((E64:CZ64&lt;&gt;"")*(ISNA(MATCH(E64:CZ64,{"P","A","L","E","D"},0))))&gt;0),"Error",
 IF(COUNTIFS($E$5:$CZ$5,"T3",E64:CZ64,$DL$5)=0,"--",
 COUNTIFS($E$5:$CZ$5,"T3",E64:CZ64,$DL$5)))))</f>
      </c>
      <c r="DM64" s="530">
        <f t="array" ref="DM64">IF(COUNTIF(DA64:DL64,"Error")&gt;0,"Error",
 IF(AND(D64="",COUNTA(E64:CZ64)&gt;0),"Error",
 IF(COUNTIF(E64:CZ64,"D")&gt;0,"DRP",
 IF(OR(SUM(COUNTIF(E64:CZ64,{"P","A","L","E"}))&gt;0,AND(D64&lt;&gt;"",COUNTA(E64:CZ64)=0)),"Active",""))))</f>
      </c>
      <c r="DN64" s="531"/>
    </row>
    <row r="65" ht="15.95" customHeight="1" spans="2:118" x14ac:dyDescent="0.25">
      <c r="B65" s="473">
        <v>60</v>
      </c>
      <c r="C65" s="544">
        <f>IF('Data Input'!M66="","",'Data Input'!M66)</f>
      </c>
      <c r="D65" s="545">
        <f>IF('Data Input'!N66="","",'Data Input'!N66)</f>
      </c>
      <c r="E65" s="318"/>
      <c r="F65" s="319"/>
      <c r="G65" s="319"/>
      <c r="H65" s="319"/>
      <c r="I65" s="319"/>
      <c r="J65" s="319"/>
      <c r="K65" s="319"/>
      <c r="L65" s="319"/>
      <c r="M65" s="319"/>
      <c r="N65" s="319"/>
      <c r="O65" s="319"/>
      <c r="P65" s="319"/>
      <c r="Q65" s="319"/>
      <c r="R65" s="319"/>
      <c r="S65" s="319"/>
      <c r="T65" s="319"/>
      <c r="U65" s="319"/>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9"/>
      <c r="AU65" s="319"/>
      <c r="AV65" s="319"/>
      <c r="AW65" s="319"/>
      <c r="AX65" s="319"/>
      <c r="AY65" s="319"/>
      <c r="AZ65" s="319"/>
      <c r="BA65" s="319"/>
      <c r="BB65" s="546"/>
      <c r="BC65" s="319"/>
      <c r="BD65" s="319"/>
      <c r="BE65" s="319"/>
      <c r="BF65" s="319"/>
      <c r="BG65" s="319"/>
      <c r="BH65" s="319"/>
      <c r="BI65" s="319"/>
      <c r="BJ65" s="319"/>
      <c r="BK65" s="319"/>
      <c r="BL65" s="319"/>
      <c r="BM65" s="319"/>
      <c r="BN65" s="319"/>
      <c r="BO65" s="319"/>
      <c r="BP65" s="319"/>
      <c r="BQ65" s="319"/>
      <c r="BR65" s="319"/>
      <c r="BS65" s="319"/>
      <c r="BT65" s="319"/>
      <c r="BU65" s="319"/>
      <c r="BV65" s="319"/>
      <c r="BW65" s="319"/>
      <c r="BX65" s="319"/>
      <c r="BY65" s="319"/>
      <c r="BZ65" s="319"/>
      <c r="CA65" s="319"/>
      <c r="CB65" s="319"/>
      <c r="CC65" s="319"/>
      <c r="CD65" s="319"/>
      <c r="CE65" s="319"/>
      <c r="CF65" s="319"/>
      <c r="CG65" s="319"/>
      <c r="CH65" s="319"/>
      <c r="CI65" s="319"/>
      <c r="CJ65" s="319"/>
      <c r="CK65" s="319"/>
      <c r="CL65" s="319"/>
      <c r="CM65" s="319"/>
      <c r="CN65" s="319"/>
      <c r="CO65" s="319"/>
      <c r="CP65" s="319"/>
      <c r="CQ65" s="319"/>
      <c r="CR65" s="319"/>
      <c r="CS65" s="319"/>
      <c r="CT65" s="319"/>
      <c r="CU65" s="319"/>
      <c r="CV65" s="319"/>
      <c r="CW65" s="319"/>
      <c r="CX65" s="319"/>
      <c r="CY65" s="319"/>
      <c r="CZ65" s="547"/>
      <c r="DA65" s="548">
        <f t="array" ref="DA65">IF(D65="","",
 IF($DO$3="Error","Error",
 IF(OR(
 SUM(($E$4:$CZ$4="")*(E65:CZ65&lt;&gt;""))&gt;0,
 SUM(($E$5:$CZ$5="")*(E65:CZ65&lt;&gt;""))&gt;0,
 COUNTA(E65:CZ65)&gt;$DO$3,
 SUMPRODUCT((E65:CZ65&lt;&gt;"")*(ISNA(MATCH(E65:CZ65,{"P","A","L","E","D"},0))))&gt;0),"Error",
 IF(COUNTIFS($E$5:$CZ$5,"T1",E65:CZ65,$DA$5)=0,"--",
 COUNTIFS($E$5:$CZ$5,"T1",E65:CZ65,$DA$5)))))</f>
      </c>
      <c r="DB65" s="549">
        <f t="array" ref="DB65">IF(D65="","",
 IF($DO$3="Error","Error",
 IF(OR(
 SUM(($E$4:$CZ$4="")*(E65:CZ65&lt;&gt;""))&gt;0,
 SUM(($E$5:$CZ$5="")*(E65:CZ65&lt;&gt;""))&gt;0,
 COUNTA(E65:CZ65)&gt;$DO$3,
 SUMPRODUCT((E65:CZ65&lt;&gt;"")*(ISNA(MATCH(E65:CZ65,{"P","A","L","E","D"},0))))&gt;0),"Error",
 IF(COUNTIFS($E$5:$CZ$5,"T1",E65:CZ65,$DB$5)=0,"--",
 COUNTIFS($E$5:$CZ$5,"T1",E65:CZ65,$DB$5)))))</f>
      </c>
      <c r="DC65" s="549">
        <f t="array" ref="DC65">IF(D65="","",
 IF($DO$3="Error","Error",
 IF(OR(
 SUM(($E$4:$CZ$4="")*(E65:CZ65&lt;&gt;""))&gt;0,
 SUM(($E$5:$CZ$5="")*(E65:CZ65&lt;&gt;""))&gt;0,
 COUNTA(E65:CZ65)&gt;$DO$3,
 SUMPRODUCT((E65:CZ65&lt;&gt;"")*(ISNA(MATCH(E65:CZ65,{"P","A","L","E","D"},0))))&gt;0),"Error",
 IF(COUNTIFS($E$5:$CZ$5,"T1",E65:CZ65,$DC$5)=0,"--",
 COUNTIFS($E$5:$CZ$5,"T1",E65:CZ65,$DC$5)))))</f>
      </c>
      <c r="DD65" s="550">
        <f t="array" ref="DD65">IF(D65="","",
 IF($DO$3="Error","Error",
 IF(OR(
 SUM(($E$4:$CZ$4="")*(E65:CZ65&lt;&gt;""))&gt;0,
 SUM(($E$5:$CZ$5="")*(E65:CZ65&lt;&gt;""))&gt;0,
 COUNTA(E65:CZ65)&gt;$DO$3,
 SUMPRODUCT((E65:CZ65&lt;&gt;"")*(ISNA(MATCH(E65:CZ65,{"P","A","L","E","D"},0))))&gt;0),"Error",
 IF(COUNTIFS($E$5:$CZ$5,"T1",E65:CZ65,$DD$5)=0,"--",
 COUNTIFS($E$5:$CZ$5,"T1",E65:CZ65,$DD$5)))))</f>
      </c>
      <c r="DE65" s="551">
        <f t="array" ref="DE65">IF(D65="","",
 IF($DO$3="Error","Error",
 IF(OR(
 SUM(($E$4:$CZ$4="")*(E65:CZ65&lt;&gt;""))&gt;0,
 SUM(($E$5:$CZ$5="")*(E65:CZ65&lt;&gt;""))&gt;0,
 COUNTA(E65:CZ65)&gt;$DO$3,
 SUMPRODUCT((E65:CZ65&lt;&gt;"")*(ISNA(MATCH(E65:CZ65,{"P","A","L","E","D"},0))))&gt;0),"Error",
 IF(COUNTIFS($E$5:$CZ$5,"T2",E65:CZ65,$DE$5)=0,"--",
 COUNTIFS($E$5:$CZ$5,"T2",E65:CZ65,$DE$5)))))</f>
      </c>
      <c r="DF65" s="549">
        <f t="array" ref="DF65">IF(D65="","",
 IF($DO$3="Error","Error",
 IF(OR(
 SUM(($E$4:$CZ$4="")*(E65:CZ65&lt;&gt;""))&gt;0,
 SUM(($E$5:$CZ$5="")*(E65:CZ65&lt;&gt;""))&gt;0,
 COUNTA(E65:CZ65)&gt;$DO$3,
 SUMPRODUCT((E65:CZ65&lt;&gt;"")*(ISNA(MATCH(E65:CZ65,{"P","A","L","E","D"},0))))&gt;0),"Error",
 IF(COUNTIFS($E$5:$CZ$5,"T2",E65:CZ65,$DF$5)=0,"--",
 COUNTIFS($E$5:$CZ$5,"T2",E65:CZ65,$DF$5)))))</f>
      </c>
      <c r="DG65" s="549">
        <f t="array" ref="DG65">IF(D65="","",
 IF($DO$3="Error","Error",
 IF(OR(
 SUM(($E$4:$CZ$4="")*(E65:CZ65&lt;&gt;""))&gt;0,
 SUM(($E$5:$CZ$5="")*(E65:CZ65&lt;&gt;""))&gt;0,
 COUNTA(E65:CZ65)&gt;$DO$3,
 SUMPRODUCT((E65:CZ65&lt;&gt;"")*(ISNA(MATCH(E65:CZ65,{"P","A","L","E","D"},0))))&gt;0),"Error",
 IF(COUNTIFS($E$5:$CZ$5,"T2",E65:CZ65,$DG$5)=0,"--",
 COUNTIFS($E$5:$CZ$5,"T2",E65:CZ65,$DG$5)))))</f>
      </c>
      <c r="DH65" s="552">
        <f t="array" ref="DH65">IF(D65="","",
 IF($DO$3="Error","Error",
 IF(OR(
 SUM(($E$4:$CZ$4="")*(E65:CZ65&lt;&gt;""))&gt;0,
 SUM(($E$5:$CZ$5="")*(E65:CZ65&lt;&gt;""))&gt;0,
 COUNTA(E65:CZ65)&gt;$DO$3,
 SUMPRODUCT((E65:CZ65&lt;&gt;"")*(ISNA(MATCH(E65:CZ65,{"P","A","L","E","D"},0))))&gt;0),"Error",
 IF(COUNTIFS($E$5:$CZ$5,"T2",E65:CZ65,$DH$5)=0,"--",
 COUNTIFS($E$5:$CZ$5,"T2",E65:CZ65,$DH$5)))))</f>
      </c>
      <c r="DI65" s="553">
        <f t="array" ref="DI65">IF(D65="","",
 IF($DO$3="Error","Error",
 IF(OR(
 SUM(($E$4:$CZ$4="")*(E65:CZ65&lt;&gt;""))&gt;0,
 SUM(($E$5:$CZ$5="")*(E65:CZ65&lt;&gt;""))&gt;0,
 COUNTA(E65:CZ65)&gt;$DO$3,
 SUMPRODUCT((E65:CZ65&lt;&gt;"")*(ISNA(MATCH(E65:CZ65,{"P","A","L","E","D"},0))))&gt;0),"Error",
 IF(COUNTIFS($E$5:$CZ$5,"T3",E65:CZ65,$DI$5)=0,"--",
 COUNTIFS($E$5:$CZ$5,"T3",E65:CZ65,$DI$5)))))</f>
      </c>
      <c r="DJ65" s="549">
        <f t="array" ref="DJ65">IF(D65="","",
 IF($DO$3="Error","Error",
 IF(OR(
 SUM(($E$4:$CZ$4="")*(E65:CZ65&lt;&gt;""))&gt;0,
 SUM(($E$5:$CZ$5="")*(E65:CZ65&lt;&gt;""))&gt;0,
 COUNTA(E65:CZ65)&gt;$DO$3,
 SUMPRODUCT((E65:CZ65&lt;&gt;"")*(ISNA(MATCH(E65:CZ65,{"P","A","L","E","D"},0))))&gt;0),"Error",
 IF(COUNTIFS($E$5:$CZ$5,"T3",E65:CZ65,$DJ$5)=0,"--",
 COUNTIFS($E$5:$CZ$5,"T3",E65:CZ65,$DJ$5)))))</f>
      </c>
      <c r="DK65" s="549">
        <f t="array" ref="DK65">IF(D65="","",
 IF($DO$3="Error","Error",
 IF(OR(
 SUM(($E$4:$CZ$4="")*(E65:CZ65&lt;&gt;""))&gt;0,
 SUM(($E$5:$CZ$5="")*(E65:CZ65&lt;&gt;""))&gt;0,
 COUNTA(E65:CZ65)&gt;$DO$3,
 SUMPRODUCT((E65:CZ65&lt;&gt;"")*(ISNA(MATCH(E65:CZ65,{"P","A","L","E","D"},0))))&gt;0),"Error",
 IF(COUNTIFS($E$5:$CZ$5,"T3",E65:CZ65,$DK$5)=0,"--",
 COUNTIFS($E$5:$CZ$5,"T3",E65:CZ65,$DK$5)))))</f>
      </c>
      <c r="DL65" s="550">
        <f t="array" ref="DL65">IF(D65="","",
 IF($DO$3="Error","Error",
 IF(OR(
 SUM(($E$4:$CZ$4="")*(E65:CZ65&lt;&gt;""))&gt;0,
 SUM(($E$5:$CZ$5="")*(E65:CZ65&lt;&gt;""))&gt;0,
 COUNTA(E65:CZ65)&gt;$DO$3,
 SUMPRODUCT((E65:CZ65&lt;&gt;"")*(ISNA(MATCH(E65:CZ65,{"P","A","L","E","D"},0))))&gt;0),"Error",
 IF(COUNTIFS($E$5:$CZ$5,"T3",E65:CZ65,$DL$5)=0,"--",
 COUNTIFS($E$5:$CZ$5,"T3",E65:CZ65,$DL$5)))))</f>
      </c>
      <c r="DM65" s="530">
        <f t="array" ref="DM65">IF(COUNTIF(DA65:DL65,"Error")&gt;0,"Error",
 IF(AND(D65="",COUNTA(E65:CZ65)&gt;0),"Error",
 IF(COUNTIF(E65:CZ65,"D")&gt;0,"DRP",
 IF(OR(SUM(COUNTIF(E65:CZ65,{"P","A","L","E"}))&gt;0,AND(D65&lt;&gt;"",COUNTA(E65:CZ65)=0)),"Active",""))))</f>
      </c>
      <c r="DN65" s="531"/>
    </row>
    <row r="66" spans="2:117" x14ac:dyDescent="0.25">
      <c r="B66" s="401"/>
      <c r="C66" s="554"/>
      <c r="D66" s="554"/>
      <c r="E66" s="554"/>
      <c r="F66" s="554"/>
      <c r="G66" s="554"/>
      <c r="H66" s="554"/>
      <c r="I66" s="554"/>
      <c r="J66" s="554"/>
      <c r="K66" s="554"/>
      <c r="L66" s="554"/>
      <c r="M66" s="554"/>
      <c r="N66" s="554"/>
      <c r="O66" s="554"/>
      <c r="P66" s="554"/>
      <c r="Q66" s="554"/>
      <c r="R66" s="554"/>
      <c r="S66" s="554"/>
      <c r="T66" s="554"/>
      <c r="U66" s="554"/>
      <c r="V66" s="554"/>
      <c r="W66" s="554"/>
      <c r="X66" s="554"/>
      <c r="Y66" s="554"/>
      <c r="Z66" s="554"/>
      <c r="AA66" s="554"/>
      <c r="AB66" s="554"/>
      <c r="AC66" s="554"/>
      <c r="AD66" s="554"/>
      <c r="AE66" s="554"/>
      <c r="AF66" s="554"/>
      <c r="AG66" s="554"/>
      <c r="AH66" s="554"/>
      <c r="AI66" s="554"/>
      <c r="AJ66" s="554"/>
      <c r="AK66" s="554"/>
      <c r="AL66" s="554"/>
      <c r="AM66" s="554"/>
      <c r="AN66" s="554"/>
      <c r="AO66" s="554"/>
      <c r="AP66" s="554"/>
      <c r="AQ66" s="554"/>
      <c r="AR66" s="554"/>
      <c r="AS66" s="554"/>
      <c r="AT66" s="554"/>
      <c r="AU66" s="554"/>
      <c r="AV66" s="554"/>
      <c r="AW66" s="554"/>
      <c r="AX66" s="554"/>
      <c r="AY66" s="554"/>
      <c r="AZ66" s="554"/>
      <c r="BA66" s="554"/>
      <c r="BB66" s="554"/>
      <c r="BC66" s="554"/>
      <c r="BD66" s="554"/>
      <c r="BE66" s="554"/>
      <c r="BF66" s="554"/>
      <c r="BG66" s="554"/>
      <c r="BH66" s="554"/>
      <c r="BI66" s="554"/>
      <c r="BJ66" s="554"/>
      <c r="BK66" s="554"/>
      <c r="BL66" s="554"/>
      <c r="BM66" s="554"/>
      <c r="BN66" s="554"/>
      <c r="BO66" s="554"/>
      <c r="BP66" s="554"/>
      <c r="BQ66" s="554"/>
      <c r="BR66" s="554"/>
      <c r="BS66" s="554"/>
      <c r="BT66" s="554"/>
      <c r="BU66" s="554"/>
      <c r="BV66" s="554"/>
      <c r="BW66" s="554"/>
      <c r="BX66" s="554"/>
      <c r="BY66" s="554"/>
      <c r="BZ66" s="554"/>
      <c r="CA66" s="554"/>
      <c r="CB66" s="554"/>
      <c r="CC66" s="554"/>
      <c r="CD66" s="554"/>
      <c r="CE66" s="554"/>
      <c r="CF66" s="554"/>
      <c r="CG66" s="554"/>
      <c r="CH66" s="554"/>
      <c r="CI66" s="554"/>
      <c r="CJ66" s="554"/>
      <c r="CK66" s="554"/>
      <c r="CL66" s="554"/>
      <c r="CM66" s="554"/>
      <c r="CN66" s="554"/>
      <c r="CO66" s="554"/>
      <c r="CP66" s="554"/>
      <c r="CQ66" s="554"/>
      <c r="CR66" s="554"/>
      <c r="CS66" s="554"/>
      <c r="CT66" s="554"/>
      <c r="CU66" s="554"/>
      <c r="CV66" s="554"/>
      <c r="CW66" s="554"/>
      <c r="CX66" s="554"/>
      <c r="CY66" s="554"/>
      <c r="CZ66" s="554"/>
      <c r="DA66" s="401"/>
      <c r="DB66" s="554"/>
      <c r="DC66" s="554"/>
      <c r="DD66" s="554"/>
      <c r="DE66" s="554"/>
      <c r="DF66" s="554"/>
      <c r="DG66" s="554"/>
      <c r="DH66" s="554"/>
      <c r="DI66" s="554"/>
      <c r="DJ66" s="554"/>
      <c r="DK66" s="554"/>
      <c r="DL66" s="554"/>
      <c r="DM66" s="554"/>
    </row>
  </sheetData>
  <sheetProtection sheet="1" algorithmName="SHA-512" hashValue="X1zxMx5J1tTH9+sFCA3LYFWPft1EXF7+Bg0MKMUrVm1J2tDLSIv0S7taflXxe6CPle5/d55JrnIlq0H/ucjOnA==" saltValue="Dqv7WVt7+w918l7joPJHPg==" spinCount="100000" objects="1" scenarios="1"/>
  <mergeCells count="11">
    <mergeCell ref="B2:D2"/>
    <mergeCell ref="DA2:DM2"/>
    <mergeCell ref="B3:C5"/>
    <mergeCell ref="DA3:DD3"/>
    <mergeCell ref="DE3:DH3"/>
    <mergeCell ref="DI3:DL3"/>
    <mergeCell ref="D3:D5"/>
    <mergeCell ref="DA4:DD4"/>
    <mergeCell ref="DE4:DH4"/>
    <mergeCell ref="DI4:DL4"/>
    <mergeCell ref="DM3:DM5"/>
  </mergeCells>
  <conditionalFormatting sqref="E4:CZ5">
    <cfRule type="expression" dxfId="37" priority="6">
      <formula>AND(ISTEXT(E$4),(E$4&lt;&gt;""))</formula>
    </cfRule>
  </conditionalFormatting>
  <conditionalFormatting sqref="E6:CZ65">
    <cfRule type="expression" dxfId="38" priority="5">
      <formula>AND(E6&lt;&gt;"P",E6&lt;&gt;"A",E6&lt;&gt;"L",E6&lt;&gt;"E",E6&lt;&gt;"D",E6&lt;&gt;"")</formula>
    </cfRule>
    <cfRule type="containsText" dxfId="39" priority="7">
      <formula>NOT(ISERROR(SEARCH("D",E6)))</formula>
    </cfRule>
    <cfRule type="containsText" dxfId="40" priority="9">
      <formula>NOT(ISERROR(SEARCH("E",E6)))</formula>
    </cfRule>
    <cfRule type="containsText" dxfId="41" priority="10">
      <formula>NOT(ISERROR(SEARCH("L",E6)))</formula>
    </cfRule>
    <cfRule type="containsText" dxfId="42" priority="11">
      <formula>NOT(ISERROR(SEARCH("A",E6)))</formula>
    </cfRule>
    <cfRule type="containsText" dxfId="43" priority="12">
      <formula>NOT(ISERROR(SEARCH("P",E6)))</formula>
    </cfRule>
  </conditionalFormatting>
  <conditionalFormatting sqref="DM6:DM65">
    <cfRule priority="1"/>
  </conditionalFormatting>
  <dataValidations count="9">
    <dataValidation type="list" allowBlank="1" showInputMessage="1" showErrorMessage="1" sqref="AA10:CZ65">
      <formula1>"P, A, L, E, D"</formula1>
    </dataValidation>
    <dataValidation showInputMessage="1" prompt="Input date here" showErrorMessage="1" sqref="AA4:CZ4"/>
    <dataValidation type="list" allowBlank="1" showInputMessage="1" showErrorMessage="1" sqref="AA5:CZ5">
      <formula1>"T1, T2, T3"</formula1>
    </dataValidation>
    <dataValidation type="list" allowBlank="1" showInputMessage="1" showErrorMessage="1" sqref="AA6:CZ65">
      <formula1>"P, A, L, E, D"</formula1>
    </dataValidation>
    <dataValidation showInputMessage="1" prompt="Total number of sessions per term" showErrorMessage="1" sqref="DA4:DL4"/>
    <dataValidation type="list" allowBlank="1" showInputMessage="1" showErrorMessage="1" sqref="E10:CZ65">
      <formula1>"P, A, L, E, D"</formula1>
    </dataValidation>
    <dataValidation showInputMessage="1" prompt="Input date here" showErrorMessage="1" sqref="E4:CZ4"/>
    <dataValidation type="list" allowBlank="1" showInputMessage="1" showErrorMessage="1" sqref="E5:CZ5">
      <formula1>"T1, T2, T3"</formula1>
    </dataValidation>
    <dataValidation type="list" allowBlank="1" showInputMessage="1" showErrorMessage="1" sqref="E6:CZ65">
      <formula1>"P, A, L, E, D"</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7"/>
  <sheetViews>
    <sheetView workbookViewId="0" showGridLines="0" zoomScale="100" zoomScaleNormal="100">
      <selection activeCell="G8" sqref="G8"/>
    </sheetView>
  </sheetViews>
  <sheetFormatPr defaultRowHeight="17.1" outlineLevelRow="0" outlineLevelCol="0" x14ac:dyDescent="0.25" defaultColWidth="8.85546875" customHeight="1"/>
  <cols>
    <col min="1" max="3" width="2.140625" style="167" customWidth="1"/>
    <col min="4" max="4" width="8.85546875" style="640" customWidth="1"/>
    <col min="5" max="5" width="15.85546875" style="167" customWidth="1"/>
    <col min="6" max="6" width="30.85546875" style="167" customWidth="1"/>
    <col min="7" max="7" width="15.85546875" style="641" customWidth="1"/>
    <col min="8" max="9" width="40.85546875" style="167" customWidth="1"/>
    <col min="10" max="12" width="2.140625" style="167" customWidth="1"/>
    <col min="13" max="16384" width="8.85546875" style="167" customWidth="1"/>
  </cols>
  <sheetData>
    <row r="1" ht="9.95" customHeight="1" spans="2:11" x14ac:dyDescent="0.25">
      <c r="B1" s="168"/>
      <c r="C1" s="168"/>
      <c r="D1" s="168"/>
      <c r="E1" s="168"/>
      <c r="F1" s="168"/>
      <c r="G1" s="168"/>
      <c r="H1" s="168"/>
      <c r="I1" s="168"/>
      <c r="J1" s="168"/>
      <c r="K1" s="168"/>
    </row>
    <row r="2" ht="39.95" customHeight="1" spans="2:11" x14ac:dyDescent="0.25">
      <c r="B2" s="189"/>
      <c r="C2" s="642"/>
      <c r="D2" s="643" t="s">
        <v>313</v>
      </c>
      <c r="E2" s="643"/>
      <c r="F2" s="643"/>
      <c r="G2" s="643"/>
      <c r="H2" s="643"/>
      <c r="I2" s="643"/>
      <c r="J2" s="642"/>
      <c r="K2" s="191"/>
    </row>
    <row r="3" ht="15" customHeight="1" spans="2:11" x14ac:dyDescent="0.25">
      <c r="B3" s="556"/>
      <c r="C3" s="644"/>
      <c r="D3" s="645"/>
      <c r="E3" s="645"/>
      <c r="F3" s="645"/>
      <c r="G3" s="645"/>
      <c r="H3" s="645"/>
      <c r="I3" s="645"/>
      <c r="J3" s="644"/>
      <c r="K3" s="559"/>
    </row>
    <row r="4" ht="24.95" customHeight="1" spans="2:11" x14ac:dyDescent="0.25">
      <c r="B4" s="556"/>
      <c r="C4" s="646"/>
      <c r="D4" s="175" t="s">
        <v>314</v>
      </c>
      <c r="E4" s="175" t="s">
        <v>228</v>
      </c>
      <c r="F4" s="175" t="s">
        <v>85</v>
      </c>
      <c r="G4" s="175" t="s">
        <v>315</v>
      </c>
      <c r="H4" s="175" t="s">
        <v>316</v>
      </c>
      <c r="I4" s="175" t="s">
        <v>317</v>
      </c>
      <c r="J4" s="646"/>
      <c r="K4" s="559"/>
    </row>
    <row r="5" ht="17.1" customHeight="1" spans="2:11" x14ac:dyDescent="0.25">
      <c r="B5" s="556"/>
      <c r="D5" s="640">
        <f t="array" ref="D5:D7">IF(E5="","",_xlfn.SEQUENCE(ROWS(_xlfn.ANCHORARRAY(E5))))</f>
        <v>1</v>
      </c>
      <c r="E5" s="167">
        <f t="array" ref="E5:G7">IFERROR(_xlfn._xlws.FILTER(_xlfn.HSTACK('Grading Summary'!$C$9:$C$68,'Grading Summary'!$D$9:$D$68,'Grading Summary'!$H$9:$H$68),
 (('Grading Summary'!$I$9:$I$68="Failed [Developing]")+('Grading Summary'!$I$9:$I$68="Failed [Emerging]"))&gt;0),"")</f>
        <v>2000490030</v>
      </c>
      <c r="F5" s="143" t="s">
        <v>318</v>
      </c>
      <c r="G5" s="641">
        <v>74</v>
      </c>
      <c r="H5" s="647"/>
      <c r="I5" s="647"/>
      <c r="K5" s="559"/>
    </row>
    <row r="6" ht="17.1" customHeight="1" spans="2:11" x14ac:dyDescent="0.25">
      <c r="B6" s="556"/>
      <c r="D6" s="640">
        <v>2</v>
      </c>
      <c r="E6" s="167">
        <v>2000481947</v>
      </c>
      <c r="F6" s="143" t="s">
        <v>319</v>
      </c>
      <c r="G6" s="641">
        <v>74</v>
      </c>
      <c r="H6" s="647"/>
      <c r="I6" s="647"/>
      <c r="K6" s="559"/>
    </row>
    <row r="7" ht="17.1" customHeight="1" spans="2:11" x14ac:dyDescent="0.25">
      <c r="B7" s="556"/>
      <c r="D7" s="640">
        <v>3</v>
      </c>
      <c r="E7" s="167">
        <v>2000494490</v>
      </c>
      <c r="F7" s="143" t="s">
        <v>320</v>
      </c>
      <c r="G7" s="641">
        <v>74</v>
      </c>
      <c r="H7" s="647"/>
      <c r="I7" s="647"/>
      <c r="K7" s="559"/>
    </row>
    <row r="8" ht="17.1" customHeight="1" spans="2:11" x14ac:dyDescent="0.25">
      <c r="B8" s="556"/>
      <c r="F8" s="143"/>
      <c r="H8" s="647"/>
      <c r="I8" s="647"/>
      <c r="K8" s="559"/>
    </row>
    <row r="9" ht="17.1" customHeight="1" spans="2:11" x14ac:dyDescent="0.25">
      <c r="B9" s="556"/>
      <c r="F9" s="143"/>
      <c r="H9" s="647"/>
      <c r="I9" s="647"/>
      <c r="K9" s="559"/>
    </row>
    <row r="10" ht="17.1" customHeight="1" spans="2:11" x14ac:dyDescent="0.25">
      <c r="B10" s="556"/>
      <c r="F10" s="143"/>
      <c r="H10" s="647"/>
      <c r="I10" s="647"/>
      <c r="K10" s="559"/>
    </row>
    <row r="11" ht="17.1" customHeight="1" spans="2:11" x14ac:dyDescent="0.25">
      <c r="B11" s="556"/>
      <c r="F11" s="143"/>
      <c r="H11" s="647"/>
      <c r="I11" s="647"/>
      <c r="K11" s="559"/>
    </row>
    <row r="12" ht="17.1" customHeight="1" spans="2:11" x14ac:dyDescent="0.25">
      <c r="B12" s="556"/>
      <c r="F12" s="143"/>
      <c r="H12" s="647"/>
      <c r="I12" s="647"/>
      <c r="K12" s="559"/>
    </row>
    <row r="13" ht="17.1" customHeight="1" spans="2:11" x14ac:dyDescent="0.25">
      <c r="B13" s="556"/>
      <c r="F13" s="143"/>
      <c r="H13" s="647"/>
      <c r="I13" s="647"/>
      <c r="K13" s="559"/>
    </row>
    <row r="14" ht="17.1" customHeight="1" spans="2:11" x14ac:dyDescent="0.25">
      <c r="B14" s="556"/>
      <c r="F14" s="143"/>
      <c r="H14" s="647"/>
      <c r="I14" s="647"/>
      <c r="K14" s="559"/>
    </row>
    <row r="15" ht="17.1" customHeight="1" spans="2:11" x14ac:dyDescent="0.25">
      <c r="B15" s="556"/>
      <c r="F15" s="143"/>
      <c r="H15" s="647"/>
      <c r="I15" s="647"/>
      <c r="K15" s="559"/>
    </row>
    <row r="16" ht="17.1" customHeight="1" spans="2:11" x14ac:dyDescent="0.25">
      <c r="B16" s="556"/>
      <c r="F16" s="143"/>
      <c r="H16" s="647"/>
      <c r="I16" s="647"/>
      <c r="K16" s="559"/>
    </row>
    <row r="17" ht="17.1" customHeight="1" spans="2:11" x14ac:dyDescent="0.25">
      <c r="B17" s="556"/>
      <c r="F17" s="143"/>
      <c r="H17" s="647"/>
      <c r="I17" s="647"/>
      <c r="K17" s="559"/>
    </row>
    <row r="18" ht="17.1" customHeight="1" spans="2:11" x14ac:dyDescent="0.25">
      <c r="B18" s="556"/>
      <c r="F18" s="143"/>
      <c r="H18" s="647"/>
      <c r="I18" s="647"/>
      <c r="K18" s="559"/>
    </row>
    <row r="19" ht="17.1" customHeight="1" spans="2:11" x14ac:dyDescent="0.25">
      <c r="B19" s="556"/>
      <c r="F19" s="143"/>
      <c r="H19" s="647"/>
      <c r="I19" s="647"/>
      <c r="K19" s="559"/>
    </row>
    <row r="20" ht="17.1" customHeight="1" spans="2:11" x14ac:dyDescent="0.25">
      <c r="B20" s="556"/>
      <c r="F20" s="143"/>
      <c r="H20" s="647"/>
      <c r="I20" s="647"/>
      <c r="K20" s="559"/>
    </row>
    <row r="21" ht="17.1" customHeight="1" spans="2:11" x14ac:dyDescent="0.25">
      <c r="B21" s="556"/>
      <c r="F21" s="143"/>
      <c r="H21" s="647"/>
      <c r="I21" s="647"/>
      <c r="K21" s="559"/>
    </row>
    <row r="22" ht="17.1" customHeight="1" spans="2:11" x14ac:dyDescent="0.25">
      <c r="B22" s="556"/>
      <c r="F22" s="143"/>
      <c r="H22" s="647"/>
      <c r="I22" s="647"/>
      <c r="K22" s="559"/>
    </row>
    <row r="23" ht="17.1" customHeight="1" spans="2:11" x14ac:dyDescent="0.25">
      <c r="B23" s="556"/>
      <c r="F23" s="143"/>
      <c r="H23" s="647"/>
      <c r="I23" s="647"/>
      <c r="K23" s="559"/>
    </row>
    <row r="24" ht="17.1" customHeight="1" spans="2:11" x14ac:dyDescent="0.25">
      <c r="B24" s="556"/>
      <c r="F24" s="143"/>
      <c r="H24" s="647"/>
      <c r="I24" s="647"/>
      <c r="K24" s="559"/>
    </row>
    <row r="25" ht="17.1" customHeight="1" spans="2:11" x14ac:dyDescent="0.25">
      <c r="B25" s="556"/>
      <c r="F25" s="143"/>
      <c r="H25" s="647"/>
      <c r="I25" s="647"/>
      <c r="K25" s="559"/>
    </row>
    <row r="26" ht="17.1" customHeight="1" spans="2:11" x14ac:dyDescent="0.25">
      <c r="B26" s="556"/>
      <c r="F26" s="143"/>
      <c r="H26" s="647"/>
      <c r="I26" s="647"/>
      <c r="K26" s="559"/>
    </row>
    <row r="27" ht="17.1" customHeight="1" spans="2:11" x14ac:dyDescent="0.25">
      <c r="B27" s="556"/>
      <c r="F27" s="143"/>
      <c r="H27" s="647"/>
      <c r="I27" s="647"/>
      <c r="K27" s="559"/>
    </row>
    <row r="28" ht="17.1" customHeight="1" spans="2:11" x14ac:dyDescent="0.25">
      <c r="B28" s="556"/>
      <c r="F28" s="143"/>
      <c r="H28" s="647"/>
      <c r="I28" s="647"/>
      <c r="K28" s="559"/>
    </row>
    <row r="29" ht="17.1" customHeight="1" spans="2:11" x14ac:dyDescent="0.25">
      <c r="B29" s="556"/>
      <c r="F29" s="143"/>
      <c r="H29" s="647"/>
      <c r="I29" s="647"/>
      <c r="K29" s="559"/>
    </row>
    <row r="30" ht="17.1" customHeight="1" spans="2:11" x14ac:dyDescent="0.25">
      <c r="B30" s="556"/>
      <c r="F30" s="143"/>
      <c r="H30" s="647"/>
      <c r="I30" s="647"/>
      <c r="K30" s="559"/>
    </row>
    <row r="31" ht="17.1" customHeight="1" spans="2:11" x14ac:dyDescent="0.25">
      <c r="B31" s="556"/>
      <c r="F31" s="143"/>
      <c r="H31" s="647"/>
      <c r="I31" s="647"/>
      <c r="K31" s="559"/>
    </row>
    <row r="32" ht="17.1" customHeight="1" spans="2:11" x14ac:dyDescent="0.25">
      <c r="B32" s="556"/>
      <c r="F32" s="143"/>
      <c r="H32" s="647"/>
      <c r="I32" s="647"/>
      <c r="K32" s="559"/>
    </row>
    <row r="33" ht="17.1" customHeight="1" spans="2:11" x14ac:dyDescent="0.25">
      <c r="B33" s="556"/>
      <c r="F33" s="143"/>
      <c r="H33" s="647"/>
      <c r="I33" s="647"/>
      <c r="K33" s="559"/>
    </row>
    <row r="34" ht="17.1" customHeight="1" spans="2:11" x14ac:dyDescent="0.25">
      <c r="B34" s="556"/>
      <c r="F34" s="143"/>
      <c r="H34" s="647"/>
      <c r="I34" s="647"/>
      <c r="K34" s="559"/>
    </row>
    <row r="35" ht="17.1" customHeight="1" spans="2:11" x14ac:dyDescent="0.25">
      <c r="B35" s="556"/>
      <c r="F35" s="143"/>
      <c r="H35" s="647"/>
      <c r="I35" s="647"/>
      <c r="K35" s="559"/>
    </row>
    <row r="36" ht="17.1" customHeight="1" spans="2:11" x14ac:dyDescent="0.25">
      <c r="B36" s="556"/>
      <c r="F36" s="143"/>
      <c r="H36" s="647"/>
      <c r="I36" s="647"/>
      <c r="K36" s="559"/>
    </row>
    <row r="37" ht="17.1" customHeight="1" spans="2:11" x14ac:dyDescent="0.25">
      <c r="B37" s="556"/>
      <c r="F37" s="143"/>
      <c r="H37" s="647"/>
      <c r="I37" s="647"/>
      <c r="K37" s="559"/>
    </row>
    <row r="38" ht="17.1" customHeight="1" spans="2:11" x14ac:dyDescent="0.25">
      <c r="B38" s="556"/>
      <c r="F38" s="143"/>
      <c r="H38" s="647"/>
      <c r="I38" s="647"/>
      <c r="K38" s="559"/>
    </row>
    <row r="39" ht="17.1" customHeight="1" spans="2:11" x14ac:dyDescent="0.25">
      <c r="B39" s="556"/>
      <c r="F39" s="143"/>
      <c r="H39" s="647"/>
      <c r="I39" s="647"/>
      <c r="K39" s="559"/>
    </row>
    <row r="40" ht="17.1" customHeight="1" spans="2:11" x14ac:dyDescent="0.25">
      <c r="B40" s="556"/>
      <c r="F40" s="143"/>
      <c r="H40" s="647"/>
      <c r="I40" s="647"/>
      <c r="K40" s="559"/>
    </row>
    <row r="41" ht="17.1" customHeight="1" spans="2:11" x14ac:dyDescent="0.25">
      <c r="B41" s="556"/>
      <c r="F41" s="143"/>
      <c r="H41" s="647"/>
      <c r="I41" s="647"/>
      <c r="K41" s="559"/>
    </row>
    <row r="42" ht="17.1" customHeight="1" spans="2:11" x14ac:dyDescent="0.25">
      <c r="B42" s="556"/>
      <c r="F42" s="143"/>
      <c r="H42" s="647"/>
      <c r="I42" s="647"/>
      <c r="K42" s="559"/>
    </row>
    <row r="43" ht="17.1" customHeight="1" spans="2:11" x14ac:dyDescent="0.25">
      <c r="B43" s="556"/>
      <c r="F43" s="143"/>
      <c r="H43" s="647"/>
      <c r="I43" s="647"/>
      <c r="K43" s="559"/>
    </row>
    <row r="44" ht="17.1" customHeight="1" spans="2:11" x14ac:dyDescent="0.25">
      <c r="B44" s="556"/>
      <c r="F44" s="143"/>
      <c r="H44" s="647"/>
      <c r="I44" s="647"/>
      <c r="K44" s="559"/>
    </row>
    <row r="45" ht="17.1" customHeight="1" spans="2:11" x14ac:dyDescent="0.25">
      <c r="B45" s="556"/>
      <c r="F45" s="143"/>
      <c r="H45" s="647"/>
      <c r="I45" s="647"/>
      <c r="K45" s="559"/>
    </row>
    <row r="46" ht="17.1" customHeight="1" spans="2:11" x14ac:dyDescent="0.25">
      <c r="B46" s="556"/>
      <c r="F46" s="143"/>
      <c r="H46" s="647"/>
      <c r="I46" s="647"/>
      <c r="K46" s="559"/>
    </row>
    <row r="47" ht="17.1" customHeight="1" spans="2:11" x14ac:dyDescent="0.25">
      <c r="B47" s="556"/>
      <c r="F47" s="143"/>
      <c r="H47" s="647"/>
      <c r="I47" s="647"/>
      <c r="K47" s="559"/>
    </row>
    <row r="48" ht="17.1" customHeight="1" spans="2:11" x14ac:dyDescent="0.25">
      <c r="B48" s="556"/>
      <c r="F48" s="143"/>
      <c r="H48" s="647"/>
      <c r="I48" s="647"/>
      <c r="K48" s="559"/>
    </row>
    <row r="49" ht="17.1" customHeight="1" spans="2:11" x14ac:dyDescent="0.25">
      <c r="B49" s="556"/>
      <c r="F49" s="143"/>
      <c r="H49" s="647"/>
      <c r="I49" s="647"/>
      <c r="K49" s="559"/>
    </row>
    <row r="50" ht="17.1" customHeight="1" spans="2:11" x14ac:dyDescent="0.25">
      <c r="B50" s="556"/>
      <c r="F50" s="143"/>
      <c r="H50" s="647"/>
      <c r="I50" s="647"/>
      <c r="K50" s="559"/>
    </row>
    <row r="51" ht="17.1" customHeight="1" spans="2:11" x14ac:dyDescent="0.25">
      <c r="B51" s="556"/>
      <c r="F51" s="143"/>
      <c r="H51" s="647"/>
      <c r="I51" s="647"/>
      <c r="K51" s="559"/>
    </row>
    <row r="52" ht="17.1" customHeight="1" spans="2:11" x14ac:dyDescent="0.25">
      <c r="B52" s="556"/>
      <c r="F52" s="143"/>
      <c r="H52" s="647"/>
      <c r="I52" s="647"/>
      <c r="K52" s="559"/>
    </row>
    <row r="53" ht="17.1" customHeight="1" spans="2:11" x14ac:dyDescent="0.25">
      <c r="B53" s="556"/>
      <c r="F53" s="143"/>
      <c r="H53" s="647"/>
      <c r="I53" s="647"/>
      <c r="K53" s="559"/>
    </row>
    <row r="54" ht="17.1" customHeight="1" spans="2:11" x14ac:dyDescent="0.25">
      <c r="B54" s="556"/>
      <c r="F54" s="143"/>
      <c r="H54" s="647"/>
      <c r="I54" s="647"/>
      <c r="K54" s="559"/>
    </row>
    <row r="55" ht="17.1" customHeight="1" spans="2:11" x14ac:dyDescent="0.25">
      <c r="B55" s="556"/>
      <c r="F55" s="143"/>
      <c r="H55" s="647"/>
      <c r="I55" s="647"/>
      <c r="K55" s="559"/>
    </row>
    <row r="56" ht="17.1" customHeight="1" spans="2:11" x14ac:dyDescent="0.25">
      <c r="B56" s="556"/>
      <c r="F56" s="143"/>
      <c r="H56" s="647"/>
      <c r="I56" s="647"/>
      <c r="K56" s="559"/>
    </row>
    <row r="57" ht="17.1" customHeight="1" spans="2:11" x14ac:dyDescent="0.25">
      <c r="B57" s="556"/>
      <c r="F57" s="143"/>
      <c r="H57" s="647"/>
      <c r="I57" s="647"/>
      <c r="K57" s="559"/>
    </row>
    <row r="58" ht="17.1" customHeight="1" spans="2:11" x14ac:dyDescent="0.25">
      <c r="B58" s="556"/>
      <c r="F58" s="143"/>
      <c r="H58" s="647"/>
      <c r="I58" s="647"/>
      <c r="K58" s="559"/>
    </row>
    <row r="59" ht="17.1" customHeight="1" spans="2:11" x14ac:dyDescent="0.25">
      <c r="B59" s="556"/>
      <c r="F59" s="143"/>
      <c r="H59" s="647"/>
      <c r="I59" s="647"/>
      <c r="K59" s="559"/>
    </row>
    <row r="60" ht="17.1" customHeight="1" spans="2:11" x14ac:dyDescent="0.25">
      <c r="B60" s="556"/>
      <c r="F60" s="143"/>
      <c r="H60" s="647"/>
      <c r="I60" s="647"/>
      <c r="K60" s="559"/>
    </row>
    <row r="61" ht="17.1" customHeight="1" spans="2:11" x14ac:dyDescent="0.25">
      <c r="B61" s="556"/>
      <c r="F61" s="143"/>
      <c r="H61" s="647"/>
      <c r="I61" s="647"/>
      <c r="K61" s="559"/>
    </row>
    <row r="62" ht="17.1" customHeight="1" spans="2:11" x14ac:dyDescent="0.25">
      <c r="B62" s="556"/>
      <c r="F62" s="143"/>
      <c r="H62" s="647"/>
      <c r="I62" s="647"/>
      <c r="K62" s="559"/>
    </row>
    <row r="63" ht="17.1" customHeight="1" spans="2:11" x14ac:dyDescent="0.25">
      <c r="B63" s="556"/>
      <c r="F63" s="143"/>
      <c r="H63" s="647"/>
      <c r="I63" s="647"/>
      <c r="K63" s="559"/>
    </row>
    <row r="64" ht="17.1" customHeight="1" spans="2:11" x14ac:dyDescent="0.25">
      <c r="B64" s="556"/>
      <c r="F64" s="143"/>
      <c r="H64" s="647"/>
      <c r="I64" s="647"/>
      <c r="K64" s="559"/>
    </row>
    <row r="65" ht="9.95" customHeight="1" spans="2:11" x14ac:dyDescent="0.25">
      <c r="B65" s="556"/>
      <c r="F65" s="143"/>
      <c r="H65" s="143"/>
      <c r="I65" s="143"/>
      <c r="K65" s="559"/>
    </row>
    <row r="66" ht="15" customHeight="1" spans="2:11" x14ac:dyDescent="0.25">
      <c r="B66" s="637"/>
      <c r="C66" s="187"/>
      <c r="D66" s="648"/>
      <c r="E66" s="187"/>
      <c r="F66" s="187"/>
      <c r="G66" s="649"/>
      <c r="H66" s="187"/>
      <c r="I66" s="187"/>
      <c r="J66" s="187"/>
      <c r="K66" s="638"/>
    </row>
    <row r="67" ht="9.95" customHeight="1" x14ac:dyDescent="0.25"/>
  </sheetData>
  <sheetProtection sheet="1" algorithmName="SHA-512" hashValue="S+9NtqEkI5kmwmyJT2PouyUJU0ulRbmyCVcQn3mWVywBz+zNMnN+5kwCO+TdFmDKyJxJQmIOHpUMg27DzUS6RA==" saltValue="BGBS+5JmqTfITOe7TU8wMg==" spinCount="100000" objects="1" scenarios="1"/>
  <mergeCells count="1">
    <mergeCell ref="D2:I2"/>
  </mergeCells>
  <conditionalFormatting sqref="D5:I64">
    <cfRule type="expression" dxfId="44" priority="1">
      <formula>$D5&lt;&gt;""</formula>
    </cfRule>
  </conditionalFormatting>
  <printOptions horizontalCentered="1" verticalCentered="1"/>
  <pageMargins left="0" right="0" top="0" bottom="0" header="0" footer="0"/>
  <pageSetup orientation="portrait" horizontalDpi="0" verticalDpi="0" scale="63" fitToWidth="1" fitToHeight="0"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4"/>
  <sheetViews>
    <sheetView workbookViewId="0" zoomScale="100" zoomScaleNormal="100">
      <selection activeCell="A29" sqref="A29"/>
    </sheetView>
  </sheetViews>
  <sheetFormatPr defaultRowHeight="15" outlineLevelRow="0" outlineLevelCol="0" x14ac:dyDescent="0.25"/>
  <cols>
    <col min="1" max="1" width="25.5703125" style="477" customWidth="1"/>
  </cols>
  <sheetData>
    <row r="1" spans="1:1" x14ac:dyDescent="0.25">
      <c r="A1" s="478" t="s">
        <v>230</v>
      </c>
    </row>
    <row r="2" spans="1:1" x14ac:dyDescent="0.25">
      <c r="A2" s="477" t="s">
        <v>231</v>
      </c>
    </row>
    <row r="3" spans="1:1" x14ac:dyDescent="0.25">
      <c r="A3" s="477" t="s">
        <v>232</v>
      </c>
    </row>
    <row r="4" spans="1:1" x14ac:dyDescent="0.25">
      <c r="A4" s="477" t="s">
        <v>233</v>
      </c>
    </row>
    <row r="5" spans="1:1" x14ac:dyDescent="0.25">
      <c r="A5" s="477" t="s">
        <v>234</v>
      </c>
    </row>
    <row r="6" spans="1:1" x14ac:dyDescent="0.25">
      <c r="A6" s="477" t="s">
        <v>235</v>
      </c>
    </row>
    <row r="7" spans="1:1" x14ac:dyDescent="0.25">
      <c r="A7" s="477" t="s">
        <v>236</v>
      </c>
    </row>
    <row r="8" spans="1:1" x14ac:dyDescent="0.25">
      <c r="A8" s="477" t="s">
        <v>237</v>
      </c>
    </row>
    <row r="9" spans="1:1" x14ac:dyDescent="0.25">
      <c r="A9" s="477" t="s">
        <v>238</v>
      </c>
    </row>
    <row r="10" spans="1:1" x14ac:dyDescent="0.25">
      <c r="A10" s="477" t="s">
        <v>239</v>
      </c>
    </row>
    <row r="11" spans="1:1" x14ac:dyDescent="0.25">
      <c r="A11" s="477" t="s">
        <v>240</v>
      </c>
    </row>
    <row r="12" spans="1:1" x14ac:dyDescent="0.25">
      <c r="A12" s="477" t="s">
        <v>241</v>
      </c>
    </row>
    <row r="13" spans="1:1" x14ac:dyDescent="0.25">
      <c r="A13" s="477" t="s">
        <v>242</v>
      </c>
    </row>
    <row r="14" spans="1:1" x14ac:dyDescent="0.25">
      <c r="A14" s="477" t="s">
        <v>243</v>
      </c>
    </row>
    <row r="15" spans="1:1" x14ac:dyDescent="0.25">
      <c r="A15" s="477" t="s">
        <v>244</v>
      </c>
    </row>
    <row r="16" spans="1:1" x14ac:dyDescent="0.25">
      <c r="A16" s="477" t="s">
        <v>245</v>
      </c>
    </row>
    <row r="17" spans="1:1" x14ac:dyDescent="0.25">
      <c r="A17" s="477" t="s">
        <v>246</v>
      </c>
    </row>
    <row r="18" spans="1:1" x14ac:dyDescent="0.25">
      <c r="A18" s="477" t="s">
        <v>247</v>
      </c>
    </row>
    <row r="19" spans="1:1" x14ac:dyDescent="0.25">
      <c r="A19" s="477" t="s">
        <v>248</v>
      </c>
    </row>
    <row r="20" spans="1:1" x14ac:dyDescent="0.25">
      <c r="A20" s="477" t="s">
        <v>249</v>
      </c>
    </row>
    <row r="21" spans="1:1" x14ac:dyDescent="0.25">
      <c r="A21" s="477" t="s">
        <v>250</v>
      </c>
    </row>
    <row r="22" spans="1:1" x14ac:dyDescent="0.25">
      <c r="A22" s="477" t="s">
        <v>251</v>
      </c>
    </row>
    <row r="23" spans="1:1" x14ac:dyDescent="0.25">
      <c r="A23" s="477" t="s">
        <v>252</v>
      </c>
    </row>
    <row r="24" spans="1:1" x14ac:dyDescent="0.25">
      <c r="A24" s="477" t="s">
        <v>253</v>
      </c>
    </row>
    <row r="25" spans="1:1" x14ac:dyDescent="0.25">
      <c r="A25" s="477" t="s">
        <v>254</v>
      </c>
    </row>
    <row r="26" spans="1:1" x14ac:dyDescent="0.25">
      <c r="A26" s="477" t="s">
        <v>255</v>
      </c>
    </row>
    <row r="27" spans="1:1" x14ac:dyDescent="0.25">
      <c r="A27" s="477" t="s">
        <v>256</v>
      </c>
    </row>
    <row r="28" spans="1:1" x14ac:dyDescent="0.25">
      <c r="A28" s="477" t="s">
        <v>257</v>
      </c>
    </row>
    <row r="29" spans="1:1" x14ac:dyDescent="0.25">
      <c r="A29" s="477" t="s">
        <v>258</v>
      </c>
    </row>
    <row r="30" spans="1:1" x14ac:dyDescent="0.25">
      <c r="A30" s="477" t="s">
        <v>259</v>
      </c>
    </row>
    <row r="31" spans="1:1" x14ac:dyDescent="0.25">
      <c r="A31" s="477" t="s">
        <v>260</v>
      </c>
    </row>
    <row r="32" spans="1:1" x14ac:dyDescent="0.25">
      <c r="A32" s="477" t="s">
        <v>261</v>
      </c>
    </row>
    <row r="33" spans="1:1" x14ac:dyDescent="0.25">
      <c r="A33" s="477" t="s">
        <v>262</v>
      </c>
    </row>
    <row r="34" spans="1:1" x14ac:dyDescent="0.25">
      <c r="A34" s="477" t="s">
        <v>263</v>
      </c>
    </row>
    <row r="35" spans="1:1" x14ac:dyDescent="0.25">
      <c r="A35" s="477" t="s">
        <v>264</v>
      </c>
    </row>
    <row r="36" spans="1:1" x14ac:dyDescent="0.25">
      <c r="A36" s="477" t="s">
        <v>265</v>
      </c>
    </row>
    <row r="37" spans="1:1" x14ac:dyDescent="0.25">
      <c r="A37" s="477" t="s">
        <v>266</v>
      </c>
    </row>
    <row r="38" spans="1:1" x14ac:dyDescent="0.25">
      <c r="A38" s="477" t="s">
        <v>267</v>
      </c>
    </row>
    <row r="39" spans="1:1" x14ac:dyDescent="0.25">
      <c r="A39" s="477" t="s">
        <v>268</v>
      </c>
    </row>
    <row r="40" spans="1:1" x14ac:dyDescent="0.25">
      <c r="A40" s="477" t="s">
        <v>147</v>
      </c>
    </row>
    <row r="41" spans="1:1" x14ac:dyDescent="0.25">
      <c r="A41" s="477" t="s">
        <v>269</v>
      </c>
    </row>
    <row r="42" spans="1:1" x14ac:dyDescent="0.25">
      <c r="A42" s="477" t="s">
        <v>270</v>
      </c>
    </row>
    <row r="43" spans="1:1" x14ac:dyDescent="0.25">
      <c r="A43" s="477" t="s">
        <v>271</v>
      </c>
    </row>
    <row r="44" spans="1:1" x14ac:dyDescent="0.25">
      <c r="A44" s="477" t="s">
        <v>272</v>
      </c>
    </row>
    <row r="45" spans="1:1" x14ac:dyDescent="0.25">
      <c r="A45" s="477" t="s">
        <v>273</v>
      </c>
    </row>
    <row r="46" spans="1:1" x14ac:dyDescent="0.25">
      <c r="A46" s="477" t="s">
        <v>274</v>
      </c>
    </row>
    <row r="47" spans="1:1" x14ac:dyDescent="0.25">
      <c r="A47" s="477" t="s">
        <v>275</v>
      </c>
    </row>
    <row r="48" spans="1:1" x14ac:dyDescent="0.25">
      <c r="A48" s="477" t="s">
        <v>276</v>
      </c>
    </row>
    <row r="49" spans="1:1" x14ac:dyDescent="0.25">
      <c r="A49" s="477" t="s">
        <v>277</v>
      </c>
    </row>
    <row r="50" spans="1:1" x14ac:dyDescent="0.25">
      <c r="A50" s="477" t="s">
        <v>278</v>
      </c>
    </row>
    <row r="51" spans="1:1" x14ac:dyDescent="0.25">
      <c r="A51" s="477" t="s">
        <v>279</v>
      </c>
    </row>
    <row r="52" spans="1:1" x14ac:dyDescent="0.25">
      <c r="A52" s="477" t="s">
        <v>280</v>
      </c>
    </row>
    <row r="53" spans="1:1" x14ac:dyDescent="0.25">
      <c r="A53" s="477" t="s">
        <v>281</v>
      </c>
    </row>
    <row r="54" spans="1:1" x14ac:dyDescent="0.25">
      <c r="A54" s="477" t="s">
        <v>282</v>
      </c>
    </row>
    <row r="55" spans="1:1" x14ac:dyDescent="0.25">
      <c r="A55" s="477" t="s">
        <v>283</v>
      </c>
    </row>
    <row r="56" spans="1:1" x14ac:dyDescent="0.25">
      <c r="A56" s="477" t="s">
        <v>284</v>
      </c>
    </row>
    <row r="57" spans="1:1" x14ac:dyDescent="0.25">
      <c r="A57" s="477" t="s">
        <v>285</v>
      </c>
    </row>
    <row r="58" spans="1:1" x14ac:dyDescent="0.25">
      <c r="A58" s="477" t="s">
        <v>286</v>
      </c>
    </row>
    <row r="59" spans="1:1" x14ac:dyDescent="0.25">
      <c r="A59" s="477" t="s">
        <v>287</v>
      </c>
    </row>
    <row r="60" spans="1:1" x14ac:dyDescent="0.25">
      <c r="A60" s="477" t="s">
        <v>288</v>
      </c>
    </row>
    <row r="61" spans="1:1" x14ac:dyDescent="0.25">
      <c r="A61" s="477" t="s">
        <v>289</v>
      </c>
    </row>
    <row r="62" spans="1:1" x14ac:dyDescent="0.25">
      <c r="A62" s="477" t="s">
        <v>290</v>
      </c>
    </row>
    <row r="63" spans="1:1" x14ac:dyDescent="0.25">
      <c r="A63" s="477" t="s">
        <v>291</v>
      </c>
    </row>
    <row r="64" spans="1:1" x14ac:dyDescent="0.25">
      <c r="A64" s="477" t="s">
        <v>292</v>
      </c>
    </row>
  </sheetData>
  <sheetProtection sheet="1" algorithmName="SHA-512" hashValue="R0ls7zjARqlbdZu67R563tYCV620ngiWe5Cm1f8F37Wl7imr1eN2oP6P4AKl+9zkwZw88r9540Oeg4J/HASPag==" saltValue="FOJF7hRs9ZTYEhSW6ciNkw==" spinCount="100000"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zoomScale="100" zoomScaleNormal="100">
      <selection activeCell="C13" sqref="C13"/>
    </sheetView>
  </sheetViews>
  <sheetFormatPr defaultRowHeight="15" outlineLevelRow="0" outlineLevelCol="0" x14ac:dyDescent="0.25" defaultColWidth="8.85546875"/>
  <cols>
    <col min="1" max="1" width="23.85546875" style="682" customWidth="1"/>
    <col min="2" max="3" width="12.85546875" style="682" customWidth="1"/>
    <col min="4" max="6" width="8.85546875" style="477" customWidth="1"/>
    <col min="7" max="7" width="20.42578125" style="477" customWidth="1"/>
    <col min="8" max="16384" width="8.85546875" style="477" customWidth="1"/>
  </cols>
  <sheetData>
    <row r="1" spans="1:3" x14ac:dyDescent="0.25">
      <c r="A1" s="683" t="s">
        <v>149</v>
      </c>
      <c r="B1" s="683" t="s">
        <v>159</v>
      </c>
      <c r="C1" s="683" t="s">
        <v>335</v>
      </c>
    </row>
    <row r="2" spans="1:7" x14ac:dyDescent="0.25">
      <c r="A2" s="684" t="s">
        <v>150</v>
      </c>
      <c r="B2" s="682">
        <v>12</v>
      </c>
      <c r="C2" s="682">
        <f t="array" ref="C2:C3">_xlfn._xlws.FILTER($B:$B,$A:$A='Data Input'!$G$7)</f>
        <v>12</v>
      </c>
      <c r="G2" s="684"/>
    </row>
    <row r="3" spans="1:3" x14ac:dyDescent="0.25">
      <c r="A3" s="684" t="s">
        <v>150</v>
      </c>
      <c r="B3" s="682">
        <v>11</v>
      </c>
      <c r="C3" s="682">
        <v>11</v>
      </c>
    </row>
    <row r="4" spans="1:2" x14ac:dyDescent="0.25">
      <c r="A4" s="684" t="s">
        <v>336</v>
      </c>
      <c r="B4" s="682">
        <v>10</v>
      </c>
    </row>
    <row r="5" spans="1:2" x14ac:dyDescent="0.25">
      <c r="A5" s="684" t="s">
        <v>336</v>
      </c>
      <c r="B5" s="682">
        <v>9</v>
      </c>
    </row>
    <row r="6" spans="1:2" x14ac:dyDescent="0.25">
      <c r="A6" s="684" t="s">
        <v>336</v>
      </c>
      <c r="B6" s="682">
        <v>8</v>
      </c>
    </row>
    <row r="7" spans="1:2" x14ac:dyDescent="0.25">
      <c r="A7" s="684" t="s">
        <v>336</v>
      </c>
      <c r="B7" s="682">
        <v>7</v>
      </c>
    </row>
  </sheetData>
  <sheetProtection sheet="1" algorithmName="SHA-512" hashValue="o/DV0MkgOne2VBff2FSvh58GM8iZAeNCOFmCa7EETdbkLELiTYYhtoZG3HH2W/23uVOcl4MYLc1RRp0qdyVM3g==" saltValue="aSDXSNVU81x3zeckpL8nbA==" spinCount="100000"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owGridLines="0" zoomScale="100" zoomScaleNormal="100">
      <pane ySplit="4" topLeftCell="A5" activePane="bottomLeft" state="frozen"/>
      <selection pane="bottomLeft" activeCell="F7" sqref="F7"/>
    </sheetView>
  </sheetViews>
  <sheetFormatPr defaultRowHeight="15" outlineLevelRow="0" outlineLevelCol="0" x14ac:dyDescent="0.25"/>
  <cols>
    <col min="1" max="3" width="2.140625" style="1" customWidth="1"/>
    <col min="4" max="5" width="20.85546875" style="167" customWidth="1"/>
    <col min="6" max="7" width="40.85546875" style="1" customWidth="1"/>
    <col min="8" max="10" width="2.140625" style="1" customWidth="1"/>
    <col min="11" max="16384" width="8.85546875" style="1" hidden="1" customWidth="1"/>
  </cols>
  <sheetData>
    <row r="1" ht="9.95" customHeight="1" spans="2:9" x14ac:dyDescent="0.25">
      <c r="B1" s="12"/>
      <c r="C1" s="12"/>
      <c r="D1" s="168"/>
      <c r="E1" s="168"/>
      <c r="F1" s="12"/>
      <c r="G1" s="12"/>
      <c r="H1" s="12"/>
      <c r="I1" s="12"/>
    </row>
    <row r="2" ht="39.95" customHeight="1" spans="2:9" x14ac:dyDescent="0.25">
      <c r="B2" s="169"/>
      <c r="C2" s="4" t="s">
        <v>117</v>
      </c>
      <c r="D2" s="4"/>
      <c r="E2" s="4"/>
      <c r="F2" s="4"/>
      <c r="G2" s="4"/>
      <c r="H2" s="4"/>
      <c r="I2" s="170"/>
    </row>
    <row r="3" ht="15" customHeight="1" spans="2:9" x14ac:dyDescent="0.25">
      <c r="B3" s="171"/>
      <c r="C3" s="172"/>
      <c r="D3" s="172"/>
      <c r="E3" s="172"/>
      <c r="F3" s="172"/>
      <c r="G3" s="172"/>
      <c r="H3" s="172"/>
      <c r="I3" s="173"/>
    </row>
    <row r="4" ht="24.95" customHeight="1" spans="2:9" x14ac:dyDescent="0.25">
      <c r="B4" s="171"/>
      <c r="C4" s="174"/>
      <c r="D4" s="175" t="s">
        <v>118</v>
      </c>
      <c r="E4" s="175" t="s">
        <v>119</v>
      </c>
      <c r="F4" s="175" t="s">
        <v>120</v>
      </c>
      <c r="G4" s="175" t="s">
        <v>121</v>
      </c>
      <c r="H4" s="174"/>
      <c r="I4" s="173"/>
    </row>
    <row r="5" ht="9.95" customHeight="1" spans="2:9" x14ac:dyDescent="0.25">
      <c r="B5" s="171"/>
      <c r="C5" s="12"/>
      <c r="D5" s="176"/>
      <c r="E5" s="176"/>
      <c r="F5" s="176"/>
      <c r="G5" s="176"/>
      <c r="H5" s="12"/>
      <c r="I5" s="173"/>
    </row>
    <row r="6" ht="60" customHeight="1" spans="2:9" s="143" customFormat="1" x14ac:dyDescent="0.25">
      <c r="B6" s="177"/>
      <c r="C6" s="43"/>
      <c r="D6" s="178" t="s">
        <v>122</v>
      </c>
      <c r="E6" s="179" t="s">
        <v>123</v>
      </c>
      <c r="F6" s="180" t="s">
        <v>124</v>
      </c>
      <c r="G6" s="180" t="s">
        <v>125</v>
      </c>
      <c r="H6" s="43"/>
      <c r="I6" s="181"/>
    </row>
    <row r="7" ht="60" customHeight="1" spans="2:9" s="143" customFormat="1" x14ac:dyDescent="0.25">
      <c r="B7" s="177"/>
      <c r="C7" s="43"/>
      <c r="D7" s="182" t="s">
        <v>126</v>
      </c>
      <c r="E7" s="183" t="s">
        <v>127</v>
      </c>
      <c r="F7" s="184" t="s">
        <v>128</v>
      </c>
      <c r="G7" s="184" t="s">
        <v>129</v>
      </c>
      <c r="H7" s="43"/>
      <c r="I7" s="181"/>
    </row>
    <row r="8" ht="60" customHeight="1" spans="2:9" s="143" customFormat="1" x14ac:dyDescent="0.25">
      <c r="B8" s="177"/>
      <c r="C8" s="43"/>
      <c r="D8" s="182" t="s">
        <v>130</v>
      </c>
      <c r="E8" s="183" t="s">
        <v>131</v>
      </c>
      <c r="F8" s="184" t="s">
        <v>132</v>
      </c>
      <c r="G8" s="184" t="s">
        <v>133</v>
      </c>
      <c r="H8" s="43"/>
      <c r="I8" s="181"/>
    </row>
    <row r="9" ht="60" customHeight="1" spans="2:9" s="143" customFormat="1" x14ac:dyDescent="0.25">
      <c r="B9" s="177"/>
      <c r="C9" s="43"/>
      <c r="D9" s="182" t="s">
        <v>134</v>
      </c>
      <c r="E9" s="183" t="s">
        <v>135</v>
      </c>
      <c r="F9" s="184" t="s">
        <v>136</v>
      </c>
      <c r="G9" s="184" t="s">
        <v>137</v>
      </c>
      <c r="H9" s="43"/>
      <c r="I9" s="181"/>
    </row>
    <row r="10" ht="60" customHeight="1" spans="2:9" s="143" customFormat="1" x14ac:dyDescent="0.25">
      <c r="B10" s="177"/>
      <c r="C10" s="43"/>
      <c r="D10" s="182" t="s">
        <v>138</v>
      </c>
      <c r="E10" s="183" t="s">
        <v>139</v>
      </c>
      <c r="F10" s="184" t="s">
        <v>140</v>
      </c>
      <c r="G10" s="184" t="s">
        <v>141</v>
      </c>
      <c r="H10" s="43"/>
      <c r="I10" s="181"/>
    </row>
    <row r="11" ht="9.95" customHeight="1" spans="2:9" x14ac:dyDescent="0.25">
      <c r="B11" s="171"/>
      <c r="C11" s="12"/>
      <c r="D11" s="168"/>
      <c r="E11" s="168"/>
      <c r="F11" s="12"/>
      <c r="G11" s="12"/>
      <c r="H11" s="12"/>
      <c r="I11" s="173"/>
    </row>
    <row r="12" ht="15" customHeight="1" spans="2:9" x14ac:dyDescent="0.25">
      <c r="B12" s="185"/>
      <c r="C12" s="186"/>
      <c r="D12" s="187"/>
      <c r="E12" s="187"/>
      <c r="F12" s="186"/>
      <c r="G12" s="186"/>
      <c r="H12" s="186"/>
      <c r="I12" s="188"/>
    </row>
    <row r="13" ht="9.95" customHeight="1" x14ac:dyDescent="0.25"/>
  </sheetData>
  <sheetProtection sheet="1" algorithmName="SHA-512" hashValue="lb5CxsrpegwxtD71K5V3NgqEFvVjeTlvuCz6fU+GUDEjWV+IPl6t4q+glY9ULaDQR/RG9Mlh38h3pnxrTOd0vQ==" saltValue="QNGlSkRVfilGk0SJIVk4eQ==" spinCount="100000" objects="1" scenarios="1"/>
  <mergeCells count="1">
    <mergeCell ref="C2:H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6"/>
  <sheetViews>
    <sheetView workbookViewId="0" showGridLines="0" zoomScale="100" zoomScaleNormal="100">
      <pane ySplit="3" topLeftCell="A4" activePane="bottomLeft" state="frozen"/>
      <selection pane="bottomLeft" activeCell="H3" sqref="H3"/>
    </sheetView>
  </sheetViews>
  <sheetFormatPr defaultRowHeight="18" outlineLevelRow="0" outlineLevelCol="0" x14ac:dyDescent="0.25" customHeight="1"/>
  <cols>
    <col min="1" max="3" width="2.140625" style="1" customWidth="1"/>
    <col min="4" max="13" width="8.85546875" style="1" customWidth="1"/>
    <col min="14" max="14" width="20.85546875" style="1" customWidth="1"/>
    <col min="15" max="15" width="17" style="1" customWidth="1"/>
    <col min="16" max="18" width="2.140625" style="1" customWidth="1"/>
    <col min="19" max="19" style="1" hidden="1" customWidth="1"/>
    <col min="20" max="16384" width="8.85546875" style="1" hidden="1" customWidth="1"/>
  </cols>
  <sheetData>
    <row r="1" ht="9.95" customHeight="1" x14ac:dyDescent="0.25"/>
    <row r="2" ht="39.95" customHeight="1" spans="2:17" x14ac:dyDescent="0.25">
      <c r="B2" s="2"/>
      <c r="C2" s="3"/>
      <c r="D2" s="4" t="s">
        <v>0</v>
      </c>
      <c r="E2" s="4"/>
      <c r="F2" s="4"/>
      <c r="G2" s="4"/>
      <c r="H2" s="4"/>
      <c r="I2" s="4"/>
      <c r="J2" s="4"/>
      <c r="K2" s="4"/>
      <c r="L2" s="4"/>
      <c r="M2" s="4"/>
      <c r="N2" s="4"/>
      <c r="O2" s="4"/>
      <c r="P2" s="5"/>
      <c r="Q2" s="6"/>
    </row>
    <row r="3" ht="15" customHeight="1" spans="2:17" x14ac:dyDescent="0.25">
      <c r="B3" s="7"/>
      <c r="C3" s="8"/>
      <c r="D3" s="8"/>
      <c r="E3" s="8"/>
      <c r="F3" s="8"/>
      <c r="G3" s="8"/>
      <c r="H3" s="8"/>
      <c r="I3" s="8"/>
      <c r="J3" s="8"/>
      <c r="K3" s="8"/>
      <c r="L3" s="8"/>
      <c r="M3" s="8"/>
      <c r="N3" s="8"/>
      <c r="O3" s="8"/>
      <c r="P3" s="8"/>
      <c r="Q3" s="9"/>
    </row>
    <row r="4" ht="24.95" customHeight="1" spans="2:17" x14ac:dyDescent="0.25">
      <c r="B4" s="7"/>
      <c r="C4" s="10"/>
      <c r="D4" s="11" t="s">
        <v>1</v>
      </c>
      <c r="E4" s="10"/>
      <c r="F4" s="10"/>
      <c r="G4" s="10"/>
      <c r="H4" s="10"/>
      <c r="I4" s="10"/>
      <c r="J4" s="10"/>
      <c r="K4" s="10"/>
      <c r="L4" s="10"/>
      <c r="M4" s="10"/>
      <c r="N4" s="10"/>
      <c r="O4" s="10"/>
      <c r="P4" s="10"/>
      <c r="Q4" s="9"/>
    </row>
    <row r="5" ht="9.95" customHeight="1" spans="2:17" x14ac:dyDescent="0.25">
      <c r="B5" s="7"/>
      <c r="C5" s="12"/>
      <c r="D5" s="12"/>
      <c r="E5" s="12"/>
      <c r="F5" s="12"/>
      <c r="G5" s="12"/>
      <c r="H5" s="12"/>
      <c r="I5" s="12"/>
      <c r="J5" s="12"/>
      <c r="K5" s="12"/>
      <c r="L5" s="12"/>
      <c r="M5" s="12"/>
      <c r="N5" s="12"/>
      <c r="O5" s="12"/>
      <c r="P5" s="12"/>
      <c r="Q5" s="9"/>
    </row>
    <row r="6" ht="18" customHeight="1" spans="2:17" x14ac:dyDescent="0.25">
      <c r="B6" s="7"/>
      <c r="C6" s="12"/>
      <c r="D6" s="13" t="s">
        <v>2</v>
      </c>
      <c r="E6" s="13"/>
      <c r="F6" s="13"/>
      <c r="G6" s="13"/>
      <c r="H6" s="13"/>
      <c r="I6" s="13"/>
      <c r="J6" s="13"/>
      <c r="K6" s="13"/>
      <c r="L6" s="13"/>
      <c r="M6" s="13"/>
      <c r="N6" s="13"/>
      <c r="O6" s="13"/>
      <c r="P6" s="13"/>
      <c r="Q6" s="9"/>
    </row>
    <row r="7" ht="18" customHeight="1" spans="2:17" x14ac:dyDescent="0.25">
      <c r="B7" s="7"/>
      <c r="C7" s="12"/>
      <c r="D7" s="14"/>
      <c r="E7" s="14"/>
      <c r="F7" s="14"/>
      <c r="G7" s="14"/>
      <c r="H7" s="14"/>
      <c r="I7" s="14"/>
      <c r="J7" s="14"/>
      <c r="K7" s="14"/>
      <c r="L7" s="14"/>
      <c r="M7" s="14"/>
      <c r="N7" s="14"/>
      <c r="O7" s="13"/>
      <c r="P7" s="13"/>
      <c r="Q7" s="9"/>
    </row>
    <row r="8" ht="18" customHeight="1" spans="2:17" x14ac:dyDescent="0.25">
      <c r="B8" s="7"/>
      <c r="C8" s="12"/>
      <c r="D8" s="15" t="s">
        <v>3</v>
      </c>
      <c r="E8" s="15"/>
      <c r="F8" s="15"/>
      <c r="G8" s="15"/>
      <c r="H8" s="15"/>
      <c r="I8" s="15"/>
      <c r="J8" s="15"/>
      <c r="K8" s="15"/>
      <c r="L8" s="15"/>
      <c r="M8" s="15"/>
      <c r="N8" s="15"/>
      <c r="O8" s="15"/>
      <c r="P8" s="13"/>
      <c r="Q8" s="9"/>
    </row>
    <row r="9" ht="18" customHeight="1" spans="2:17" x14ac:dyDescent="0.25">
      <c r="B9" s="7"/>
      <c r="C9" s="12"/>
      <c r="D9" s="13"/>
      <c r="E9" s="13"/>
      <c r="F9" s="13"/>
      <c r="G9" s="13"/>
      <c r="H9" s="13"/>
      <c r="I9" s="13"/>
      <c r="J9" s="13"/>
      <c r="K9" s="13"/>
      <c r="L9" s="13"/>
      <c r="M9" s="13"/>
      <c r="N9" s="13"/>
      <c r="O9" s="13"/>
      <c r="P9" s="13"/>
      <c r="Q9" s="9"/>
    </row>
    <row r="10" ht="18" customHeight="1" spans="2:17" x14ac:dyDescent="0.25">
      <c r="B10" s="7"/>
      <c r="C10" s="12"/>
      <c r="D10" s="15" t="s">
        <v>4</v>
      </c>
      <c r="E10" s="15"/>
      <c r="F10" s="15"/>
      <c r="G10" s="15"/>
      <c r="H10" s="15"/>
      <c r="I10" s="15"/>
      <c r="J10" s="15"/>
      <c r="K10" s="15"/>
      <c r="L10" s="15"/>
      <c r="M10" s="15"/>
      <c r="N10" s="15"/>
      <c r="O10" s="15"/>
      <c r="P10" s="13"/>
      <c r="Q10" s="9"/>
    </row>
    <row r="11" ht="18" customHeight="1" spans="2:17" x14ac:dyDescent="0.25">
      <c r="B11" s="7"/>
      <c r="C11" s="12"/>
      <c r="D11" s="12"/>
      <c r="E11" s="12"/>
      <c r="F11" s="12"/>
      <c r="G11" s="12"/>
      <c r="H11" s="12"/>
      <c r="I11" s="12"/>
      <c r="J11" s="12"/>
      <c r="K11" s="12"/>
      <c r="L11" s="12"/>
      <c r="M11" s="12"/>
      <c r="N11" s="12"/>
      <c r="O11" s="12"/>
      <c r="P11" s="12"/>
      <c r="Q11" s="9"/>
    </row>
    <row r="12" ht="24.95" customHeight="1" spans="2:17" x14ac:dyDescent="0.25">
      <c r="B12" s="7"/>
      <c r="C12" s="10"/>
      <c r="D12" s="11" t="s">
        <v>5</v>
      </c>
      <c r="E12" s="10"/>
      <c r="F12" s="10"/>
      <c r="G12" s="10"/>
      <c r="H12" s="10"/>
      <c r="I12" s="10"/>
      <c r="J12" s="10"/>
      <c r="K12" s="10"/>
      <c r="L12" s="10"/>
      <c r="M12" s="10"/>
      <c r="N12" s="10"/>
      <c r="O12" s="10"/>
      <c r="P12" s="10"/>
      <c r="Q12" s="9"/>
    </row>
    <row r="13" ht="9.95" customHeight="1" spans="2:17" x14ac:dyDescent="0.25">
      <c r="B13" s="7"/>
      <c r="C13" s="12"/>
      <c r="D13" s="12"/>
      <c r="E13" s="12"/>
      <c r="F13" s="12"/>
      <c r="G13" s="12"/>
      <c r="H13" s="12"/>
      <c r="I13" s="12"/>
      <c r="J13" s="12"/>
      <c r="K13" s="12"/>
      <c r="L13" s="12"/>
      <c r="M13" s="12"/>
      <c r="N13" s="12"/>
      <c r="O13" s="12"/>
      <c r="P13" s="12"/>
      <c r="Q13" s="9"/>
    </row>
    <row r="14" ht="36" customHeight="1" spans="2:17" x14ac:dyDescent="0.25">
      <c r="B14" s="7"/>
      <c r="C14" s="12"/>
      <c r="D14" s="16" t="s">
        <v>6</v>
      </c>
      <c r="E14" s="16"/>
      <c r="F14" s="16"/>
      <c r="G14" s="16"/>
      <c r="H14" s="16"/>
      <c r="I14" s="16"/>
      <c r="J14" s="16"/>
      <c r="K14" s="16"/>
      <c r="L14" s="16"/>
      <c r="M14" s="16"/>
      <c r="N14" s="16"/>
      <c r="O14" s="16"/>
      <c r="P14" s="13"/>
      <c r="Q14" s="9"/>
    </row>
    <row r="15" ht="18" customHeight="1" spans="2:17" x14ac:dyDescent="0.25">
      <c r="B15" s="7"/>
      <c r="C15" s="12"/>
      <c r="D15" s="12"/>
      <c r="E15" s="12"/>
      <c r="F15" s="12"/>
      <c r="G15" s="12"/>
      <c r="H15" s="12"/>
      <c r="I15" s="12"/>
      <c r="J15" s="12"/>
      <c r="K15" s="12"/>
      <c r="L15" s="12"/>
      <c r="M15" s="12"/>
      <c r="N15" s="12"/>
      <c r="O15" s="12"/>
      <c r="P15" s="12"/>
      <c r="Q15" s="9"/>
    </row>
    <row r="16" ht="18" customHeight="1" spans="2:17" x14ac:dyDescent="0.25">
      <c r="B16" s="7"/>
      <c r="C16" s="12"/>
      <c r="D16" s="13" t="s">
        <v>7</v>
      </c>
      <c r="E16" s="13"/>
      <c r="F16" s="13"/>
      <c r="G16" s="13"/>
      <c r="H16" s="13"/>
      <c r="I16" s="13"/>
      <c r="J16" s="13"/>
      <c r="K16" s="13"/>
      <c r="L16" s="13"/>
      <c r="M16" s="13"/>
      <c r="N16" s="13"/>
      <c r="O16" s="13"/>
      <c r="P16" s="13"/>
      <c r="Q16" s="9"/>
    </row>
    <row r="17" ht="18" customHeight="1" spans="2:17" x14ac:dyDescent="0.25">
      <c r="B17" s="7"/>
      <c r="C17" s="12"/>
      <c r="D17" s="12"/>
      <c r="E17" s="12"/>
      <c r="F17" s="12"/>
      <c r="G17" s="12"/>
      <c r="H17" s="12"/>
      <c r="I17" s="12"/>
      <c r="J17" s="12"/>
      <c r="K17" s="12"/>
      <c r="L17" s="12"/>
      <c r="M17" s="12"/>
      <c r="N17" s="12"/>
      <c r="O17" s="12"/>
      <c r="P17" s="12"/>
      <c r="Q17" s="9"/>
    </row>
    <row r="18" ht="18" customHeight="1" spans="2:17" x14ac:dyDescent="0.25">
      <c r="B18" s="7"/>
      <c r="C18" s="12"/>
      <c r="D18" s="12"/>
      <c r="E18" s="12"/>
      <c r="F18" s="17" t="s">
        <v>8</v>
      </c>
      <c r="G18" s="18"/>
      <c r="H18" s="18"/>
      <c r="I18" s="19"/>
      <c r="J18" s="20">
        <v>1</v>
      </c>
      <c r="K18" s="21">
        <v>2</v>
      </c>
      <c r="L18" s="21">
        <v>3</v>
      </c>
      <c r="M18" s="22"/>
      <c r="N18" s="12"/>
      <c r="O18" s="12"/>
      <c r="P18" s="12"/>
      <c r="Q18" s="9"/>
    </row>
    <row r="19" ht="18" customHeight="1" spans="2:17" x14ac:dyDescent="0.25">
      <c r="B19" s="7"/>
      <c r="C19" s="12"/>
      <c r="D19" s="12"/>
      <c r="E19" s="12"/>
      <c r="F19" s="23"/>
      <c r="G19" s="24"/>
      <c r="H19" s="24"/>
      <c r="I19" s="25"/>
      <c r="J19" s="20">
        <v>20</v>
      </c>
      <c r="K19" s="21">
        <v>20</v>
      </c>
      <c r="L19" s="21">
        <v>20</v>
      </c>
      <c r="M19" s="22"/>
      <c r="N19" s="26" t="s">
        <v>9</v>
      </c>
      <c r="O19" s="12"/>
      <c r="P19" s="12"/>
      <c r="Q19" s="9"/>
    </row>
    <row r="20" ht="18" customHeight="1" spans="2:17" x14ac:dyDescent="0.25">
      <c r="B20" s="7"/>
      <c r="C20" s="12"/>
      <c r="D20" s="12"/>
      <c r="E20" s="12"/>
      <c r="F20" s="23"/>
      <c r="G20" s="24"/>
      <c r="H20" s="24"/>
      <c r="I20" s="25"/>
      <c r="J20" s="27">
        <v>46201</v>
      </c>
      <c r="K20" s="28">
        <v>46202</v>
      </c>
      <c r="L20" s="28">
        <v>46203</v>
      </c>
      <c r="M20" s="29"/>
      <c r="N20" s="26" t="s">
        <v>10</v>
      </c>
      <c r="O20" s="12"/>
      <c r="P20" s="12"/>
      <c r="Q20" s="9"/>
    </row>
    <row r="21" ht="18" customHeight="1" spans="2:17" x14ac:dyDescent="0.25">
      <c r="B21" s="7"/>
      <c r="C21" s="12"/>
      <c r="D21" s="12"/>
      <c r="E21" s="12"/>
      <c r="F21" s="30"/>
      <c r="G21" s="31"/>
      <c r="H21" s="31"/>
      <c r="I21" s="32"/>
      <c r="J21" s="20" t="s">
        <v>11</v>
      </c>
      <c r="K21" s="21" t="s">
        <v>12</v>
      </c>
      <c r="L21" s="21" t="s">
        <v>13</v>
      </c>
      <c r="M21" s="22"/>
      <c r="N21" s="26" t="s">
        <v>14</v>
      </c>
      <c r="O21" s="12"/>
      <c r="P21" s="12"/>
      <c r="Q21" s="9"/>
    </row>
    <row r="22" ht="3" customHeight="1" spans="2:17" x14ac:dyDescent="0.25">
      <c r="B22" s="7"/>
      <c r="C22" s="12"/>
      <c r="D22" s="12"/>
      <c r="E22" s="12"/>
      <c r="F22" s="33"/>
      <c r="G22" s="33"/>
      <c r="H22" s="33"/>
      <c r="I22" s="34"/>
      <c r="J22" s="35"/>
      <c r="K22" s="36"/>
      <c r="L22" s="36"/>
      <c r="M22" s="22"/>
      <c r="N22" s="12"/>
      <c r="O22" s="12"/>
      <c r="P22" s="12"/>
      <c r="Q22" s="9"/>
    </row>
    <row r="23" ht="18" customHeight="1" spans="2:19" x14ac:dyDescent="0.25">
      <c r="B23" s="7"/>
      <c r="C23" s="12"/>
      <c r="D23" s="12"/>
      <c r="E23" s="12"/>
      <c r="F23" s="37" t="s">
        <v>15</v>
      </c>
      <c r="G23" s="38"/>
      <c r="H23" s="38"/>
      <c r="I23" s="39"/>
      <c r="J23" s="40">
        <v>18</v>
      </c>
      <c r="K23" s="41">
        <v>17</v>
      </c>
      <c r="L23" s="41">
        <v>4</v>
      </c>
      <c r="M23" s="22"/>
      <c r="N23" s="12"/>
      <c r="O23" s="12"/>
      <c r="P23" s="12"/>
      <c r="Q23" s="9"/>
      <c r="S23" s="42"/>
    </row>
    <row r="24" ht="18" customHeight="1" spans="2:19" x14ac:dyDescent="0.25">
      <c r="B24" s="7"/>
      <c r="C24" s="12"/>
      <c r="D24" s="12"/>
      <c r="E24" s="12"/>
      <c r="F24" s="37" t="s">
        <v>16</v>
      </c>
      <c r="G24" s="38"/>
      <c r="H24" s="38"/>
      <c r="I24" s="39"/>
      <c r="J24" s="40">
        <v>16</v>
      </c>
      <c r="K24" s="41">
        <v>12</v>
      </c>
      <c r="L24" s="41">
        <v>5</v>
      </c>
      <c r="M24" s="22"/>
      <c r="N24" s="12"/>
      <c r="O24" s="12"/>
      <c r="P24" s="12"/>
      <c r="Q24" s="9"/>
      <c r="S24" s="42"/>
    </row>
    <row r="25" ht="18" customHeight="1" spans="2:19" x14ac:dyDescent="0.25">
      <c r="B25" s="7"/>
      <c r="C25" s="12"/>
      <c r="D25" s="12"/>
      <c r="E25" s="12"/>
      <c r="F25" s="37" t="s">
        <v>17</v>
      </c>
      <c r="G25" s="38"/>
      <c r="H25" s="38"/>
      <c r="I25" s="39"/>
      <c r="J25" s="40">
        <v>14</v>
      </c>
      <c r="K25" s="41">
        <v>10</v>
      </c>
      <c r="L25" s="41">
        <v>10</v>
      </c>
      <c r="M25" s="22"/>
      <c r="N25" s="12"/>
      <c r="O25" s="12"/>
      <c r="P25" s="12"/>
      <c r="Q25" s="9"/>
      <c r="S25" s="42"/>
    </row>
    <row r="26" ht="18" customHeight="1" spans="2:19" x14ac:dyDescent="0.25">
      <c r="B26" s="7"/>
      <c r="C26" s="12"/>
      <c r="D26" s="12"/>
      <c r="E26" s="12"/>
      <c r="F26" s="37" t="s">
        <v>18</v>
      </c>
      <c r="G26" s="38"/>
      <c r="H26" s="38"/>
      <c r="I26" s="39"/>
      <c r="J26" s="40">
        <v>20</v>
      </c>
      <c r="K26" s="41">
        <v>8</v>
      </c>
      <c r="L26" s="41">
        <v>10</v>
      </c>
      <c r="M26" s="22"/>
      <c r="N26" s="12"/>
      <c r="O26" s="12"/>
      <c r="P26" s="12"/>
      <c r="Q26" s="9"/>
      <c r="S26" s="42"/>
    </row>
    <row r="27" ht="18" customHeight="1" spans="2:17" x14ac:dyDescent="0.25">
      <c r="B27" s="7"/>
      <c r="C27" s="12"/>
      <c r="D27" s="12"/>
      <c r="E27" s="12"/>
      <c r="F27" s="12"/>
      <c r="G27" s="12"/>
      <c r="H27" s="12"/>
      <c r="I27" s="12"/>
      <c r="J27" s="12"/>
      <c r="K27" s="12"/>
      <c r="L27" s="12"/>
      <c r="M27" s="12"/>
      <c r="N27" s="12"/>
      <c r="O27" s="12"/>
      <c r="P27" s="12"/>
      <c r="Q27" s="9"/>
    </row>
    <row r="28" ht="18" customHeight="1" spans="2:17" x14ac:dyDescent="0.25">
      <c r="B28" s="7"/>
      <c r="C28" s="12"/>
      <c r="D28" s="12"/>
      <c r="E28" s="12"/>
      <c r="F28" s="43" t="s">
        <v>19</v>
      </c>
      <c r="G28" s="43"/>
      <c r="H28" s="43"/>
      <c r="I28" s="43"/>
      <c r="J28" s="43"/>
      <c r="K28" s="43"/>
      <c r="L28" s="43"/>
      <c r="M28" s="43"/>
      <c r="N28" s="43"/>
      <c r="O28" s="12"/>
      <c r="P28" s="12"/>
      <c r="Q28" s="9"/>
    </row>
    <row r="29" ht="18" customHeight="1" spans="2:17" x14ac:dyDescent="0.25">
      <c r="B29" s="7"/>
      <c r="C29" s="12"/>
      <c r="D29" s="12"/>
      <c r="E29" s="12"/>
      <c r="F29" s="43" t="s">
        <v>20</v>
      </c>
      <c r="G29" s="43"/>
      <c r="H29" s="43"/>
      <c r="I29" s="43"/>
      <c r="J29" s="43"/>
      <c r="K29" s="43"/>
      <c r="L29" s="43"/>
      <c r="M29" s="43"/>
      <c r="N29" s="43"/>
      <c r="O29" s="12"/>
      <c r="P29" s="12"/>
      <c r="Q29" s="9"/>
    </row>
    <row r="30" ht="18" customHeight="1" spans="2:17" x14ac:dyDescent="0.25">
      <c r="B30" s="7"/>
      <c r="C30" s="12"/>
      <c r="D30" s="12"/>
      <c r="E30" s="12"/>
      <c r="F30" s="43" t="s">
        <v>21</v>
      </c>
      <c r="G30" s="43"/>
      <c r="H30" s="43"/>
      <c r="I30" s="43"/>
      <c r="J30" s="43"/>
      <c r="K30" s="43"/>
      <c r="L30" s="43"/>
      <c r="M30" s="43"/>
      <c r="N30" s="43"/>
      <c r="O30" s="12"/>
      <c r="P30" s="12"/>
      <c r="Q30" s="9"/>
    </row>
    <row r="31" ht="18" customHeight="1" spans="2:17" x14ac:dyDescent="0.25">
      <c r="B31" s="7"/>
      <c r="C31" s="12"/>
      <c r="D31" s="12"/>
      <c r="E31" s="12"/>
      <c r="F31" s="44" t="s">
        <v>22</v>
      </c>
      <c r="G31" s="44"/>
      <c r="H31" s="44"/>
      <c r="I31" s="44"/>
      <c r="J31" s="44"/>
      <c r="K31" s="44"/>
      <c r="L31" s="44"/>
      <c r="M31" s="44"/>
      <c r="N31" s="44"/>
      <c r="O31" s="12"/>
      <c r="P31" s="12"/>
      <c r="Q31" s="9"/>
    </row>
    <row r="32" ht="18" customHeight="1" spans="2:17" x14ac:dyDescent="0.25">
      <c r="B32" s="7"/>
      <c r="C32" s="12"/>
      <c r="D32" s="12"/>
      <c r="E32" s="12"/>
      <c r="F32" s="44" t="s">
        <v>23</v>
      </c>
      <c r="G32" s="44"/>
      <c r="H32" s="44"/>
      <c r="I32" s="44"/>
      <c r="J32" s="44"/>
      <c r="K32" s="44"/>
      <c r="L32" s="44"/>
      <c r="M32" s="44"/>
      <c r="N32" s="44"/>
      <c r="O32" s="12"/>
      <c r="P32" s="12"/>
      <c r="Q32" s="9"/>
    </row>
    <row r="33" ht="18" customHeight="1" spans="2:17" x14ac:dyDescent="0.25">
      <c r="B33" s="7"/>
      <c r="C33" s="12"/>
      <c r="D33" s="12"/>
      <c r="E33" s="12"/>
      <c r="F33" s="44" t="s">
        <v>24</v>
      </c>
      <c r="G33" s="44"/>
      <c r="H33" s="44"/>
      <c r="I33" s="44"/>
      <c r="J33" s="44"/>
      <c r="K33" s="44"/>
      <c r="L33" s="44"/>
      <c r="M33" s="44"/>
      <c r="N33" s="44"/>
      <c r="O33" s="12"/>
      <c r="P33" s="12"/>
      <c r="Q33" s="9"/>
    </row>
    <row r="34" ht="18" customHeight="1" spans="2:17" x14ac:dyDescent="0.25">
      <c r="B34" s="7"/>
      <c r="C34" s="12"/>
      <c r="D34" s="12"/>
      <c r="E34" s="12"/>
      <c r="F34" s="44" t="s">
        <v>25</v>
      </c>
      <c r="G34" s="44"/>
      <c r="H34" s="44"/>
      <c r="I34" s="44"/>
      <c r="J34" s="44"/>
      <c r="K34" s="44"/>
      <c r="L34" s="44"/>
      <c r="M34" s="44"/>
      <c r="N34" s="44"/>
      <c r="O34" s="12"/>
      <c r="P34" s="12"/>
      <c r="Q34" s="9"/>
    </row>
    <row r="35" ht="18" customHeight="1" spans="2:17" x14ac:dyDescent="0.25">
      <c r="B35" s="7"/>
      <c r="C35" s="12"/>
      <c r="D35" s="12"/>
      <c r="E35" s="12"/>
      <c r="F35" s="12" t="s">
        <v>26</v>
      </c>
      <c r="G35" s="12"/>
      <c r="H35" s="12"/>
      <c r="I35" s="12"/>
      <c r="J35" s="12"/>
      <c r="K35" s="12"/>
      <c r="L35" s="12"/>
      <c r="M35" s="12"/>
      <c r="N35" s="12"/>
      <c r="O35" s="12"/>
      <c r="P35" s="12"/>
      <c r="Q35" s="9"/>
    </row>
    <row r="36" ht="18" customHeight="1" spans="2:17" x14ac:dyDescent="0.25">
      <c r="B36" s="7"/>
      <c r="C36" s="12"/>
      <c r="D36" s="12"/>
      <c r="E36" s="12"/>
      <c r="F36" s="12"/>
      <c r="G36" s="12"/>
      <c r="H36" s="12"/>
      <c r="I36" s="12"/>
      <c r="J36" s="12"/>
      <c r="K36" s="12"/>
      <c r="L36" s="12"/>
      <c r="M36" s="12"/>
      <c r="N36" s="12"/>
      <c r="O36" s="12"/>
      <c r="P36" s="12"/>
      <c r="Q36" s="9"/>
    </row>
    <row r="37" ht="36" customHeight="1" spans="2:17" x14ac:dyDescent="0.25">
      <c r="B37" s="7"/>
      <c r="C37" s="12"/>
      <c r="D37" s="15" t="s">
        <v>27</v>
      </c>
      <c r="E37" s="15"/>
      <c r="F37" s="15"/>
      <c r="G37" s="15"/>
      <c r="H37" s="15"/>
      <c r="I37" s="15"/>
      <c r="J37" s="15"/>
      <c r="K37" s="15"/>
      <c r="L37" s="15"/>
      <c r="M37" s="15"/>
      <c r="N37" s="15"/>
      <c r="O37" s="15"/>
      <c r="P37" s="45"/>
      <c r="Q37" s="9"/>
    </row>
    <row r="38" ht="18" customHeight="1" spans="2:17" x14ac:dyDescent="0.25">
      <c r="B38" s="7"/>
      <c r="C38" s="12"/>
      <c r="D38" s="12"/>
      <c r="E38" s="12"/>
      <c r="F38" s="12"/>
      <c r="G38" s="12"/>
      <c r="H38" s="12"/>
      <c r="I38" s="12"/>
      <c r="J38" s="12"/>
      <c r="K38" s="12"/>
      <c r="L38" s="12"/>
      <c r="M38" s="12"/>
      <c r="N38" s="12"/>
      <c r="O38" s="12"/>
      <c r="P38" s="12"/>
      <c r="Q38" s="9"/>
    </row>
    <row r="39" ht="36" customHeight="1" spans="2:17" x14ac:dyDescent="0.25">
      <c r="B39" s="7"/>
      <c r="C39" s="12"/>
      <c r="D39" s="12"/>
      <c r="E39" s="12"/>
      <c r="F39" s="46" t="s">
        <v>28</v>
      </c>
      <c r="G39" s="47"/>
      <c r="H39" s="47"/>
      <c r="I39" s="47"/>
      <c r="J39" s="47"/>
      <c r="K39" s="47"/>
      <c r="L39" s="47"/>
      <c r="M39" s="48"/>
      <c r="N39" s="12"/>
      <c r="O39" s="12"/>
      <c r="P39" s="12"/>
      <c r="Q39" s="9"/>
    </row>
    <row r="40" ht="18" customHeight="1" spans="2:17" x14ac:dyDescent="0.25">
      <c r="B40" s="7"/>
      <c r="C40" s="12"/>
      <c r="D40" s="12"/>
      <c r="E40" s="12"/>
      <c r="F40" s="21">
        <v>1</v>
      </c>
      <c r="G40" s="21">
        <v>2</v>
      </c>
      <c r="H40" s="21">
        <v>3</v>
      </c>
      <c r="I40" s="21">
        <v>4</v>
      </c>
      <c r="J40" s="21">
        <v>5</v>
      </c>
      <c r="K40" s="21" t="s">
        <v>29</v>
      </c>
      <c r="L40" s="21" t="s">
        <v>30</v>
      </c>
      <c r="M40" s="21" t="s">
        <v>31</v>
      </c>
      <c r="N40" s="12"/>
      <c r="O40" s="12"/>
      <c r="P40" s="12"/>
      <c r="Q40" s="9"/>
    </row>
    <row r="41" ht="18" customHeight="1" spans="2:17" x14ac:dyDescent="0.25">
      <c r="B41" s="7"/>
      <c r="C41" s="12"/>
      <c r="D41" s="12"/>
      <c r="E41" s="12"/>
      <c r="F41" s="21">
        <v>20</v>
      </c>
      <c r="G41" s="21">
        <v>20</v>
      </c>
      <c r="H41" s="21">
        <v>20</v>
      </c>
      <c r="I41" s="21"/>
      <c r="J41" s="21"/>
      <c r="K41" s="49">
        <v>60</v>
      </c>
      <c r="L41" s="49">
        <v>100</v>
      </c>
      <c r="M41" s="50">
        <v>0.25</v>
      </c>
      <c r="N41" s="12"/>
      <c r="O41" s="12"/>
      <c r="P41" s="12"/>
      <c r="Q41" s="9"/>
    </row>
    <row r="42" ht="18" customHeight="1" spans="2:17" x14ac:dyDescent="0.25">
      <c r="B42" s="7"/>
      <c r="C42" s="12"/>
      <c r="D42" s="12"/>
      <c r="E42" s="12"/>
      <c r="F42" s="28">
        <v>46201</v>
      </c>
      <c r="G42" s="28">
        <v>46202</v>
      </c>
      <c r="H42" s="28">
        <v>46203</v>
      </c>
      <c r="I42" s="21"/>
      <c r="J42" s="21"/>
      <c r="K42" s="51"/>
      <c r="L42" s="51"/>
      <c r="M42" s="52"/>
      <c r="N42" s="12"/>
      <c r="O42" s="12"/>
      <c r="P42" s="12"/>
      <c r="Q42" s="9"/>
    </row>
    <row r="43" ht="18" customHeight="1" spans="2:17" x14ac:dyDescent="0.25">
      <c r="B43" s="7"/>
      <c r="C43" s="12"/>
      <c r="D43" s="12"/>
      <c r="E43" s="12"/>
      <c r="F43" s="21" t="s">
        <v>11</v>
      </c>
      <c r="G43" s="21" t="s">
        <v>12</v>
      </c>
      <c r="H43" s="21" t="s">
        <v>13</v>
      </c>
      <c r="I43" s="21"/>
      <c r="J43" s="21"/>
      <c r="K43" s="53"/>
      <c r="L43" s="53"/>
      <c r="M43" s="54"/>
      <c r="N43" s="12"/>
      <c r="O43" s="12"/>
      <c r="P43" s="12"/>
      <c r="Q43" s="9"/>
    </row>
    <row r="44" ht="3" customHeight="1" spans="2:17" x14ac:dyDescent="0.25">
      <c r="B44" s="7"/>
      <c r="C44" s="12"/>
      <c r="D44" s="12"/>
      <c r="E44" s="12"/>
      <c r="F44" s="36"/>
      <c r="G44" s="36"/>
      <c r="H44" s="36"/>
      <c r="I44" s="36"/>
      <c r="J44" s="36"/>
      <c r="K44" s="55"/>
      <c r="L44" s="55"/>
      <c r="M44" s="56"/>
      <c r="N44" s="12"/>
      <c r="O44" s="12"/>
      <c r="P44" s="12"/>
      <c r="Q44" s="9"/>
    </row>
    <row r="45" ht="18" customHeight="1" spans="2:17" x14ac:dyDescent="0.25">
      <c r="B45" s="7"/>
      <c r="C45" s="12"/>
      <c r="D45" s="12"/>
      <c r="E45" s="12"/>
      <c r="F45" s="41">
        <v>18</v>
      </c>
      <c r="G45" s="41">
        <v>17</v>
      </c>
      <c r="H45" s="41">
        <v>4</v>
      </c>
      <c r="I45" s="41"/>
      <c r="J45" s="41"/>
      <c r="K45" s="21">
        <v>39</v>
      </c>
      <c r="L45" s="21">
        <v>65</v>
      </c>
      <c r="M45" s="21">
        <v>16.25</v>
      </c>
      <c r="N45" s="12"/>
      <c r="O45" s="12"/>
      <c r="P45" s="12"/>
      <c r="Q45" s="9"/>
    </row>
    <row r="46" ht="18" customHeight="1" spans="2:17" x14ac:dyDescent="0.25">
      <c r="B46" s="7"/>
      <c r="C46" s="12"/>
      <c r="D46" s="12"/>
      <c r="E46" s="12"/>
      <c r="F46" s="41">
        <v>16</v>
      </c>
      <c r="G46" s="41">
        <v>12</v>
      </c>
      <c r="H46" s="41">
        <v>5</v>
      </c>
      <c r="I46" s="41"/>
      <c r="J46" s="41"/>
      <c r="K46" s="21">
        <v>33</v>
      </c>
      <c r="L46" s="21">
        <v>55.00000000000001</v>
      </c>
      <c r="M46" s="21">
        <v>13.750000000000002</v>
      </c>
      <c r="N46" s="12"/>
      <c r="O46" s="12"/>
      <c r="P46" s="12"/>
      <c r="Q46" s="9"/>
    </row>
    <row r="47" ht="18" customHeight="1" spans="2:17" x14ac:dyDescent="0.25">
      <c r="B47" s="7"/>
      <c r="C47" s="12"/>
      <c r="D47" s="12"/>
      <c r="E47" s="12"/>
      <c r="F47" s="41">
        <v>14</v>
      </c>
      <c r="G47" s="41">
        <v>10</v>
      </c>
      <c r="H47" s="41">
        <v>10</v>
      </c>
      <c r="I47" s="41"/>
      <c r="J47" s="41"/>
      <c r="K47" s="21">
        <v>34</v>
      </c>
      <c r="L47" s="57">
        <v>56.666666666666664</v>
      </c>
      <c r="M47" s="57">
        <v>14.166666666666666</v>
      </c>
      <c r="N47" s="12"/>
      <c r="O47" s="12"/>
      <c r="P47" s="12"/>
      <c r="Q47" s="9"/>
    </row>
    <row r="48" ht="18" customHeight="1" spans="2:17" x14ac:dyDescent="0.25">
      <c r="B48" s="7"/>
      <c r="C48" s="12"/>
      <c r="D48" s="12"/>
      <c r="E48" s="12"/>
      <c r="F48" s="41">
        <v>20</v>
      </c>
      <c r="G48" s="41">
        <v>8</v>
      </c>
      <c r="H48" s="58">
        <v>21</v>
      </c>
      <c r="I48" s="41"/>
      <c r="J48" s="41"/>
      <c r="K48" s="59" t="s">
        <v>32</v>
      </c>
      <c r="L48" s="59" t="s">
        <v>32</v>
      </c>
      <c r="M48" s="59" t="s">
        <v>32</v>
      </c>
      <c r="N48" s="12"/>
      <c r="O48" s="12"/>
      <c r="P48" s="12"/>
      <c r="Q48" s="9"/>
    </row>
    <row r="49" ht="18" customHeight="1" spans="2:17" x14ac:dyDescent="0.25">
      <c r="B49" s="7"/>
      <c r="C49" s="12"/>
      <c r="D49" s="12"/>
      <c r="E49" s="12"/>
      <c r="F49" s="60"/>
      <c r="G49" s="60"/>
      <c r="H49" s="60"/>
      <c r="I49" s="60"/>
      <c r="J49" s="60"/>
      <c r="K49" s="60" t="s">
        <v>33</v>
      </c>
      <c r="L49" s="60" t="s">
        <v>33</v>
      </c>
      <c r="M49" s="60" t="s">
        <v>33</v>
      </c>
      <c r="N49" s="12"/>
      <c r="O49" s="12"/>
      <c r="P49" s="12"/>
      <c r="Q49" s="9"/>
    </row>
    <row r="50" ht="36" customHeight="1" spans="2:17" x14ac:dyDescent="0.25">
      <c r="B50" s="7"/>
      <c r="C50" s="12"/>
      <c r="D50" s="15" t="s">
        <v>34</v>
      </c>
      <c r="E50" s="15"/>
      <c r="F50" s="15"/>
      <c r="G50" s="15"/>
      <c r="H50" s="15"/>
      <c r="I50" s="15"/>
      <c r="J50" s="15"/>
      <c r="K50" s="15"/>
      <c r="L50" s="15"/>
      <c r="M50" s="15"/>
      <c r="N50" s="15"/>
      <c r="O50" s="15"/>
      <c r="P50" s="45"/>
      <c r="Q50" s="9"/>
    </row>
    <row r="51" ht="18" customHeight="1" spans="2:17" x14ac:dyDescent="0.25">
      <c r="B51" s="7"/>
      <c r="C51" s="12"/>
      <c r="D51" s="15"/>
      <c r="E51" s="15"/>
      <c r="F51" s="15"/>
      <c r="G51" s="15"/>
      <c r="H51" s="15"/>
      <c r="I51" s="15"/>
      <c r="J51" s="15"/>
      <c r="K51" s="15"/>
      <c r="L51" s="15"/>
      <c r="M51" s="15"/>
      <c r="N51" s="15"/>
      <c r="O51" s="15"/>
      <c r="P51" s="45"/>
      <c r="Q51" s="9"/>
    </row>
    <row r="52" ht="54" customHeight="1" spans="2:17" x14ac:dyDescent="0.25">
      <c r="B52" s="7"/>
      <c r="C52" s="12"/>
      <c r="D52" s="15"/>
      <c r="E52" s="15"/>
      <c r="F52" s="61" t="s">
        <v>35</v>
      </c>
      <c r="G52" s="62"/>
      <c r="H52" s="61" t="s">
        <v>36</v>
      </c>
      <c r="I52" s="63"/>
      <c r="J52" s="62" t="s">
        <v>37</v>
      </c>
      <c r="K52" s="62"/>
      <c r="L52" s="63"/>
      <c r="M52" s="15"/>
      <c r="N52" s="15"/>
      <c r="O52" s="15"/>
      <c r="P52" s="45"/>
      <c r="Q52" s="9"/>
    </row>
    <row r="53" ht="3" customHeight="1" spans="2:17" x14ac:dyDescent="0.25">
      <c r="B53" s="7"/>
      <c r="C53" s="12"/>
      <c r="D53" s="15"/>
      <c r="E53" s="15"/>
      <c r="F53" s="64"/>
      <c r="G53" s="65"/>
      <c r="H53" s="65"/>
      <c r="I53" s="65"/>
      <c r="J53" s="65"/>
      <c r="K53" s="65"/>
      <c r="L53" s="66"/>
      <c r="M53" s="15"/>
      <c r="N53" s="15"/>
      <c r="O53" s="15"/>
      <c r="P53" s="45"/>
      <c r="Q53" s="9"/>
    </row>
    <row r="54" ht="18" customHeight="1" spans="2:17" x14ac:dyDescent="0.25">
      <c r="B54" s="7"/>
      <c r="C54" s="12"/>
      <c r="D54" s="15"/>
      <c r="E54" s="15"/>
      <c r="F54" s="67">
        <v>88</v>
      </c>
      <c r="G54" s="68"/>
      <c r="H54" s="69">
        <v>90</v>
      </c>
      <c r="I54" s="70"/>
      <c r="J54" s="71" t="s">
        <v>38</v>
      </c>
      <c r="K54" s="72"/>
      <c r="L54" s="73"/>
      <c r="M54" s="15"/>
      <c r="N54" s="15"/>
      <c r="O54" s="15"/>
      <c r="P54" s="45"/>
      <c r="Q54" s="9"/>
    </row>
    <row r="55" ht="18" customHeight="1" spans="2:17" x14ac:dyDescent="0.25">
      <c r="B55" s="7"/>
      <c r="C55" s="12"/>
      <c r="D55" s="15"/>
      <c r="E55" s="15"/>
      <c r="F55" s="74">
        <v>87</v>
      </c>
      <c r="G55" s="75"/>
      <c r="H55" s="76">
        <v>89</v>
      </c>
      <c r="I55" s="77"/>
      <c r="J55" s="71" t="s">
        <v>39</v>
      </c>
      <c r="K55" s="72"/>
      <c r="L55" s="73"/>
      <c r="M55" s="15"/>
      <c r="N55" s="15"/>
      <c r="O55" s="15"/>
      <c r="P55" s="45"/>
      <c r="Q55" s="9"/>
    </row>
    <row r="56" ht="18" customHeight="1" spans="2:17" x14ac:dyDescent="0.25">
      <c r="B56" s="7"/>
      <c r="C56" s="12"/>
      <c r="D56" s="15"/>
      <c r="E56" s="15"/>
      <c r="F56" s="74">
        <v>75.8</v>
      </c>
      <c r="G56" s="75"/>
      <c r="H56" s="76">
        <v>79</v>
      </c>
      <c r="I56" s="77"/>
      <c r="J56" s="71" t="s">
        <v>40</v>
      </c>
      <c r="K56" s="72"/>
      <c r="L56" s="73"/>
      <c r="M56" s="15"/>
      <c r="N56" s="15"/>
      <c r="O56" s="15"/>
      <c r="P56" s="45"/>
      <c r="Q56" s="9"/>
    </row>
    <row r="57" ht="18" customHeight="1" spans="2:17" x14ac:dyDescent="0.25">
      <c r="B57" s="7"/>
      <c r="C57" s="12"/>
      <c r="D57" s="15"/>
      <c r="E57" s="15"/>
      <c r="F57" s="74">
        <v>69</v>
      </c>
      <c r="G57" s="75"/>
      <c r="H57" s="78">
        <v>74</v>
      </c>
      <c r="I57" s="79"/>
      <c r="J57" s="80" t="s">
        <v>41</v>
      </c>
      <c r="K57" s="81"/>
      <c r="L57" s="82"/>
      <c r="M57" s="15"/>
      <c r="N57" s="15"/>
      <c r="O57" s="15"/>
      <c r="P57" s="45"/>
      <c r="Q57" s="9"/>
    </row>
    <row r="58" ht="18" customHeight="1" spans="2:17" x14ac:dyDescent="0.25">
      <c r="B58" s="7"/>
      <c r="C58" s="12"/>
      <c r="D58" s="15"/>
      <c r="E58" s="15"/>
      <c r="F58" s="74">
        <v>0</v>
      </c>
      <c r="G58" s="75"/>
      <c r="H58" s="78">
        <v>60</v>
      </c>
      <c r="I58" s="79"/>
      <c r="J58" s="80" t="s">
        <v>42</v>
      </c>
      <c r="K58" s="81"/>
      <c r="L58" s="82"/>
      <c r="M58" s="15"/>
      <c r="N58" s="15"/>
      <c r="O58" s="15"/>
      <c r="P58" s="45"/>
      <c r="Q58" s="9"/>
    </row>
    <row r="59" ht="18" customHeight="1" spans="2:17" x14ac:dyDescent="0.25">
      <c r="B59" s="7"/>
      <c r="C59" s="12"/>
      <c r="D59" s="15"/>
      <c r="E59" s="15"/>
      <c r="F59" s="76"/>
      <c r="G59" s="77"/>
      <c r="H59" s="76"/>
      <c r="I59" s="77"/>
      <c r="J59" s="83" t="s">
        <v>43</v>
      </c>
      <c r="K59" s="84"/>
      <c r="L59" s="85"/>
      <c r="M59" s="15"/>
      <c r="N59" s="15"/>
      <c r="O59" s="15"/>
      <c r="P59" s="45"/>
      <c r="Q59" s="9"/>
    </row>
    <row r="60" ht="18" customHeight="1" spans="2:17" x14ac:dyDescent="0.25">
      <c r="B60" s="7"/>
      <c r="C60" s="12"/>
      <c r="D60" s="15"/>
      <c r="E60" s="15"/>
      <c r="F60" s="15"/>
      <c r="G60" s="15"/>
      <c r="H60" s="15"/>
      <c r="I60" s="15"/>
      <c r="J60" s="15"/>
      <c r="K60" s="15"/>
      <c r="L60" s="15"/>
      <c r="M60" s="15"/>
      <c r="N60" s="15"/>
      <c r="O60" s="15"/>
      <c r="P60" s="45"/>
      <c r="Q60" s="9"/>
    </row>
    <row r="61" ht="36" customHeight="1" spans="2:17" x14ac:dyDescent="0.25">
      <c r="B61" s="7"/>
      <c r="C61" s="12"/>
      <c r="D61" s="86" t="s">
        <v>44</v>
      </c>
      <c r="E61" s="86"/>
      <c r="F61" s="86"/>
      <c r="G61" s="86"/>
      <c r="H61" s="86"/>
      <c r="I61" s="86"/>
      <c r="J61" s="86"/>
      <c r="K61" s="86"/>
      <c r="L61" s="86"/>
      <c r="M61" s="86"/>
      <c r="N61" s="86"/>
      <c r="O61" s="86"/>
      <c r="P61" s="45"/>
      <c r="Q61" s="9"/>
    </row>
    <row r="62" ht="18" customHeight="1" spans="2:17" x14ac:dyDescent="0.25">
      <c r="B62" s="7"/>
      <c r="C62" s="12"/>
      <c r="D62" s="15"/>
      <c r="E62" s="15"/>
      <c r="F62" s="15"/>
      <c r="G62" s="15"/>
      <c r="H62" s="15"/>
      <c r="I62" s="15"/>
      <c r="J62" s="87"/>
      <c r="K62" s="87"/>
      <c r="L62" s="15"/>
      <c r="M62" s="15"/>
      <c r="N62" s="15"/>
      <c r="O62" s="15"/>
      <c r="P62" s="45"/>
      <c r="Q62" s="9"/>
    </row>
    <row r="63" ht="18" customHeight="1" spans="2:17" x14ac:dyDescent="0.25">
      <c r="B63" s="7"/>
      <c r="C63" s="12"/>
      <c r="D63" s="15" t="s">
        <v>45</v>
      </c>
      <c r="E63" s="15"/>
      <c r="F63" s="15"/>
      <c r="G63" s="15"/>
      <c r="H63" s="15"/>
      <c r="I63" s="15"/>
      <c r="J63" s="15"/>
      <c r="K63" s="15"/>
      <c r="L63" s="15"/>
      <c r="M63" s="15"/>
      <c r="N63" s="15"/>
      <c r="O63" s="15"/>
      <c r="P63" s="45"/>
      <c r="Q63" s="9"/>
    </row>
    <row r="64" ht="36" customHeight="1" spans="2:17" x14ac:dyDescent="0.25">
      <c r="B64" s="7"/>
      <c r="C64" s="12"/>
      <c r="D64" s="88"/>
      <c r="E64" s="88"/>
      <c r="F64" s="45" t="s">
        <v>46</v>
      </c>
      <c r="G64" s="45"/>
      <c r="H64" s="45"/>
      <c r="I64" s="45"/>
      <c r="J64" s="45"/>
      <c r="K64" s="45"/>
      <c r="L64" s="45"/>
      <c r="M64" s="45"/>
      <c r="N64" s="45"/>
      <c r="O64" s="45"/>
      <c r="P64" s="45"/>
      <c r="Q64" s="9"/>
    </row>
    <row r="65" ht="36" customHeight="1" spans="2:17" x14ac:dyDescent="0.25">
      <c r="B65" s="7"/>
      <c r="C65" s="12"/>
      <c r="D65" s="88"/>
      <c r="E65" s="88"/>
      <c r="F65" s="45" t="s">
        <v>47</v>
      </c>
      <c r="G65" s="45"/>
      <c r="H65" s="45"/>
      <c r="I65" s="45"/>
      <c r="J65" s="45"/>
      <c r="K65" s="45"/>
      <c r="L65" s="45"/>
      <c r="M65" s="45"/>
      <c r="N65" s="45"/>
      <c r="O65" s="45"/>
      <c r="P65" s="45"/>
      <c r="Q65" s="9"/>
    </row>
    <row r="66" ht="65.1" customHeight="1" spans="2:17" x14ac:dyDescent="0.25">
      <c r="B66" s="7"/>
      <c r="C66" s="12"/>
      <c r="D66" s="88"/>
      <c r="E66" s="88"/>
      <c r="F66" s="45" t="s">
        <v>48</v>
      </c>
      <c r="G66" s="45"/>
      <c r="H66" s="45"/>
      <c r="I66" s="45"/>
      <c r="J66" s="45"/>
      <c r="K66" s="45"/>
      <c r="L66" s="45"/>
      <c r="M66" s="45"/>
      <c r="N66" s="45"/>
      <c r="O66" s="45"/>
      <c r="P66" s="45"/>
      <c r="Q66" s="9"/>
    </row>
    <row r="67" ht="36" customHeight="1" spans="2:17" x14ac:dyDescent="0.25">
      <c r="B67" s="7"/>
      <c r="C67" s="12"/>
      <c r="D67" s="86" t="s">
        <v>49</v>
      </c>
      <c r="E67" s="86"/>
      <c r="F67" s="86"/>
      <c r="G67" s="86"/>
      <c r="H67" s="86"/>
      <c r="I67" s="86"/>
      <c r="J67" s="86"/>
      <c r="K67" s="86"/>
      <c r="L67" s="86"/>
      <c r="M67" s="86"/>
      <c r="N67" s="86"/>
      <c r="O67" s="86"/>
      <c r="P67" s="45"/>
      <c r="Q67" s="9"/>
    </row>
    <row r="68" ht="18" customHeight="1" spans="2:17" x14ac:dyDescent="0.25">
      <c r="B68" s="7"/>
      <c r="C68" s="12"/>
      <c r="D68" s="86"/>
      <c r="E68" s="86"/>
      <c r="F68" s="86"/>
      <c r="G68" s="86"/>
      <c r="H68" s="86"/>
      <c r="I68" s="86"/>
      <c r="J68" s="86"/>
      <c r="K68" s="86"/>
      <c r="L68" s="86"/>
      <c r="M68" s="86"/>
      <c r="N68" s="86"/>
      <c r="O68" s="86"/>
      <c r="P68" s="45"/>
      <c r="Q68" s="9"/>
    </row>
    <row r="69" ht="18" customHeight="1" spans="2:17" x14ac:dyDescent="0.25">
      <c r="B69" s="7"/>
      <c r="C69" s="12"/>
      <c r="D69" s="86"/>
      <c r="E69" s="86"/>
      <c r="F69" s="89" t="s">
        <v>8</v>
      </c>
      <c r="G69" s="90"/>
      <c r="H69" s="91"/>
      <c r="I69" s="92">
        <v>1</v>
      </c>
      <c r="J69" s="92">
        <v>2</v>
      </c>
      <c r="K69" s="92">
        <v>3</v>
      </c>
      <c r="L69" s="92">
        <v>4</v>
      </c>
      <c r="M69" s="92">
        <v>5</v>
      </c>
      <c r="N69" s="86"/>
      <c r="O69" s="86"/>
      <c r="P69" s="45"/>
      <c r="Q69" s="9"/>
    </row>
    <row r="70" ht="18" customHeight="1" spans="2:17" x14ac:dyDescent="0.25">
      <c r="B70" s="7"/>
      <c r="C70" s="12"/>
      <c r="D70" s="86"/>
      <c r="E70" s="86"/>
      <c r="F70" s="93"/>
      <c r="G70" s="94"/>
      <c r="H70" s="95"/>
      <c r="I70" s="96">
        <v>30</v>
      </c>
      <c r="J70" s="96">
        <v>30</v>
      </c>
      <c r="K70" s="96">
        <v>30</v>
      </c>
      <c r="L70" s="96">
        <v>30</v>
      </c>
      <c r="M70" s="96">
        <v>30</v>
      </c>
      <c r="N70" s="86"/>
      <c r="O70" s="86"/>
      <c r="P70" s="45"/>
      <c r="Q70" s="9"/>
    </row>
    <row r="71" ht="18" customHeight="1" spans="2:17" x14ac:dyDescent="0.25">
      <c r="B71" s="7"/>
      <c r="C71" s="12"/>
      <c r="D71" s="86"/>
      <c r="E71" s="86"/>
      <c r="F71" s="93"/>
      <c r="G71" s="94"/>
      <c r="H71" s="95"/>
      <c r="I71" s="28">
        <v>46237</v>
      </c>
      <c r="J71" s="28">
        <v>46238</v>
      </c>
      <c r="K71" s="28">
        <v>46239</v>
      </c>
      <c r="L71" s="28">
        <v>46240</v>
      </c>
      <c r="M71" s="28">
        <v>46241</v>
      </c>
      <c r="N71" s="86"/>
      <c r="O71" s="86"/>
      <c r="P71" s="45"/>
      <c r="Q71" s="9"/>
    </row>
    <row r="72" ht="18" customHeight="1" spans="2:17" x14ac:dyDescent="0.25">
      <c r="B72" s="7"/>
      <c r="C72" s="12"/>
      <c r="D72" s="86"/>
      <c r="E72" s="86"/>
      <c r="F72" s="97"/>
      <c r="G72" s="98"/>
      <c r="H72" s="99"/>
      <c r="I72" s="100" t="s">
        <v>13</v>
      </c>
      <c r="J72" s="100" t="s">
        <v>50</v>
      </c>
      <c r="K72" s="100" t="s">
        <v>51</v>
      </c>
      <c r="L72" s="100" t="s">
        <v>52</v>
      </c>
      <c r="M72" s="100" t="s">
        <v>53</v>
      </c>
      <c r="N72" s="86"/>
      <c r="O72" s="86"/>
      <c r="P72" s="45"/>
      <c r="Q72" s="9"/>
    </row>
    <row r="73" ht="18" customHeight="1" spans="2:17" x14ac:dyDescent="0.25">
      <c r="B73" s="7"/>
      <c r="C73" s="12"/>
      <c r="D73" s="86"/>
      <c r="E73" s="86"/>
      <c r="F73" s="101" t="s">
        <v>54</v>
      </c>
      <c r="G73" s="102"/>
      <c r="H73" s="103"/>
      <c r="I73" s="41">
        <v>21</v>
      </c>
      <c r="J73" s="41">
        <v>26</v>
      </c>
      <c r="K73" s="41">
        <v>22</v>
      </c>
      <c r="L73" s="104"/>
      <c r="M73" s="104"/>
      <c r="N73" s="86"/>
      <c r="O73" s="86"/>
      <c r="P73" s="45"/>
      <c r="Q73" s="9"/>
    </row>
    <row r="74" ht="18" customHeight="1" spans="2:17" x14ac:dyDescent="0.25">
      <c r="B74" s="7"/>
      <c r="C74" s="12"/>
      <c r="D74" s="86"/>
      <c r="E74" s="86"/>
      <c r="F74" s="101" t="s">
        <v>55</v>
      </c>
      <c r="G74" s="102"/>
      <c r="H74" s="103"/>
      <c r="I74" s="41">
        <v>25</v>
      </c>
      <c r="J74" s="104"/>
      <c r="K74" s="41">
        <v>15</v>
      </c>
      <c r="L74" s="41">
        <v>29</v>
      </c>
      <c r="M74" s="41">
        <v>19</v>
      </c>
      <c r="N74" s="86"/>
      <c r="O74" s="86"/>
      <c r="P74" s="45"/>
      <c r="Q74" s="9"/>
    </row>
    <row r="75" ht="18" customHeight="1" spans="2:17" x14ac:dyDescent="0.25">
      <c r="B75" s="7"/>
      <c r="C75" s="12"/>
      <c r="D75" s="86"/>
      <c r="E75" s="86"/>
      <c r="F75" s="101" t="s">
        <v>56</v>
      </c>
      <c r="G75" s="102"/>
      <c r="H75" s="103"/>
      <c r="I75" s="41">
        <v>19</v>
      </c>
      <c r="J75" s="41">
        <v>26</v>
      </c>
      <c r="K75" s="41">
        <v>16</v>
      </c>
      <c r="L75" s="41">
        <v>28</v>
      </c>
      <c r="M75" s="41">
        <v>16</v>
      </c>
      <c r="N75" s="86"/>
      <c r="O75" s="86"/>
      <c r="P75" s="45"/>
      <c r="Q75" s="9"/>
    </row>
    <row r="76" ht="18" customHeight="1" spans="2:17" x14ac:dyDescent="0.25">
      <c r="B76" s="7"/>
      <c r="C76" s="12"/>
      <c r="D76" s="86"/>
      <c r="E76" s="86"/>
      <c r="F76" s="101" t="s">
        <v>57</v>
      </c>
      <c r="G76" s="102"/>
      <c r="H76" s="103"/>
      <c r="I76" s="104"/>
      <c r="J76" s="41">
        <v>27</v>
      </c>
      <c r="K76" s="41">
        <v>27</v>
      </c>
      <c r="L76" s="104"/>
      <c r="M76" s="41">
        <v>28</v>
      </c>
      <c r="N76" s="86"/>
      <c r="O76" s="86"/>
      <c r="P76" s="45"/>
      <c r="Q76" s="9"/>
    </row>
    <row r="77" ht="18" customHeight="1" spans="2:17" x14ac:dyDescent="0.25">
      <c r="B77" s="7"/>
      <c r="C77" s="12"/>
      <c r="D77" s="86"/>
      <c r="E77" s="86"/>
      <c r="F77" s="101" t="s">
        <v>58</v>
      </c>
      <c r="G77" s="102"/>
      <c r="H77" s="103"/>
      <c r="I77" s="41">
        <v>19</v>
      </c>
      <c r="J77" s="41">
        <v>20</v>
      </c>
      <c r="K77" s="41">
        <v>21</v>
      </c>
      <c r="L77" s="41">
        <v>20</v>
      </c>
      <c r="M77" s="41">
        <v>18</v>
      </c>
      <c r="N77" s="86"/>
      <c r="O77" s="86"/>
      <c r="P77" s="45"/>
      <c r="Q77" s="9"/>
    </row>
    <row r="78" ht="18" customHeight="1" spans="2:17" x14ac:dyDescent="0.25">
      <c r="B78" s="7"/>
      <c r="C78" s="12"/>
      <c r="D78" s="86"/>
      <c r="E78" s="86"/>
      <c r="F78" s="86"/>
      <c r="G78" s="86"/>
      <c r="H78" s="86"/>
      <c r="I78" s="86"/>
      <c r="J78" s="86"/>
      <c r="K78" s="86"/>
      <c r="L78" s="86"/>
      <c r="M78" s="86"/>
      <c r="N78" s="86"/>
      <c r="O78" s="86"/>
      <c r="P78" s="45"/>
      <c r="Q78" s="9"/>
    </row>
    <row r="79" ht="36" customHeight="1" spans="2:17" x14ac:dyDescent="0.25">
      <c r="B79" s="7"/>
      <c r="C79" s="12"/>
      <c r="D79" s="86" t="s">
        <v>59</v>
      </c>
      <c r="E79" s="86"/>
      <c r="F79" s="86"/>
      <c r="G79" s="86"/>
      <c r="H79" s="86"/>
      <c r="I79" s="86"/>
      <c r="J79" s="86"/>
      <c r="K79" s="86"/>
      <c r="L79" s="86"/>
      <c r="M79" s="86"/>
      <c r="N79" s="86"/>
      <c r="O79" s="86"/>
      <c r="P79" s="45"/>
      <c r="Q79" s="9"/>
    </row>
    <row r="80" ht="18" customHeight="1" spans="2:17" x14ac:dyDescent="0.25">
      <c r="B80" s="7"/>
      <c r="C80" s="12"/>
      <c r="D80" s="15"/>
      <c r="E80" s="15"/>
      <c r="F80" s="15"/>
      <c r="G80" s="15"/>
      <c r="H80" s="15"/>
      <c r="I80" s="15"/>
      <c r="J80" s="15"/>
      <c r="K80" s="15"/>
      <c r="L80" s="15"/>
      <c r="M80" s="15"/>
      <c r="N80" s="15"/>
      <c r="O80" s="15"/>
      <c r="P80" s="45"/>
      <c r="Q80" s="9"/>
    </row>
    <row r="81" ht="54" customHeight="1" spans="2:17" x14ac:dyDescent="0.25">
      <c r="B81" s="7"/>
      <c r="C81" s="12"/>
      <c r="D81" s="15"/>
      <c r="E81" s="15"/>
      <c r="F81" s="96" t="s">
        <v>28</v>
      </c>
      <c r="G81" s="96"/>
      <c r="H81" s="96" t="s">
        <v>60</v>
      </c>
      <c r="I81" s="96"/>
      <c r="J81" s="61" t="s">
        <v>35</v>
      </c>
      <c r="K81" s="63"/>
      <c r="L81" s="61" t="s">
        <v>61</v>
      </c>
      <c r="M81" s="63"/>
      <c r="N81" s="105" t="s">
        <v>62</v>
      </c>
      <c r="O81" s="15"/>
      <c r="P81" s="45"/>
      <c r="Q81" s="9"/>
    </row>
    <row r="82" ht="18" customHeight="1" spans="2:17" x14ac:dyDescent="0.25">
      <c r="B82" s="7"/>
      <c r="C82" s="12"/>
      <c r="D82" s="15"/>
      <c r="E82" s="15"/>
      <c r="F82" s="106">
        <v>1</v>
      </c>
      <c r="G82" s="106" t="s">
        <v>31</v>
      </c>
      <c r="H82" s="106">
        <v>1</v>
      </c>
      <c r="I82" s="106" t="s">
        <v>31</v>
      </c>
      <c r="J82" s="107"/>
      <c r="K82" s="108"/>
      <c r="L82" s="107"/>
      <c r="M82" s="108"/>
      <c r="N82" s="109"/>
      <c r="O82" s="15"/>
      <c r="P82" s="45"/>
      <c r="Q82" s="9"/>
    </row>
    <row r="83" ht="18" customHeight="1" spans="2:17" x14ac:dyDescent="0.25">
      <c r="B83" s="7"/>
      <c r="C83" s="12"/>
      <c r="D83" s="15"/>
      <c r="E83" s="15"/>
      <c r="F83" s="96">
        <v>20</v>
      </c>
      <c r="G83" s="110">
        <v>0.25</v>
      </c>
      <c r="H83" s="96">
        <v>20</v>
      </c>
      <c r="I83" s="110">
        <v>0.5</v>
      </c>
      <c r="J83" s="107"/>
      <c r="K83" s="108"/>
      <c r="L83" s="107"/>
      <c r="M83" s="108"/>
      <c r="N83" s="109"/>
      <c r="O83" s="15"/>
      <c r="P83" s="45"/>
      <c r="Q83" s="9"/>
    </row>
    <row r="84" ht="18" customHeight="1" spans="2:17" x14ac:dyDescent="0.25">
      <c r="B84" s="7"/>
      <c r="C84" s="12"/>
      <c r="D84" s="15"/>
      <c r="E84" s="15"/>
      <c r="F84" s="111">
        <v>46023</v>
      </c>
      <c r="G84" s="112"/>
      <c r="H84" s="111">
        <v>46043</v>
      </c>
      <c r="I84" s="112"/>
      <c r="J84" s="107"/>
      <c r="K84" s="108"/>
      <c r="L84" s="107"/>
      <c r="M84" s="108"/>
      <c r="N84" s="109"/>
      <c r="O84" s="15"/>
      <c r="P84" s="45"/>
      <c r="Q84" s="9"/>
    </row>
    <row r="85" ht="18" customHeight="1" spans="2:17" x14ac:dyDescent="0.25">
      <c r="B85" s="7"/>
      <c r="C85" s="12"/>
      <c r="D85" s="15"/>
      <c r="E85" s="15"/>
      <c r="F85" s="96" t="s">
        <v>13</v>
      </c>
      <c r="G85" s="113"/>
      <c r="H85" s="96" t="s">
        <v>11</v>
      </c>
      <c r="I85" s="113"/>
      <c r="J85" s="114"/>
      <c r="K85" s="115"/>
      <c r="L85" s="114"/>
      <c r="M85" s="115"/>
      <c r="N85" s="116"/>
      <c r="O85" s="15"/>
      <c r="P85" s="45"/>
      <c r="Q85" s="9"/>
    </row>
    <row r="86" ht="3" customHeight="1" spans="2:17" x14ac:dyDescent="0.25">
      <c r="B86" s="7"/>
      <c r="C86" s="12"/>
      <c r="D86" s="15"/>
      <c r="E86" s="15"/>
      <c r="F86" s="117"/>
      <c r="G86" s="118"/>
      <c r="H86" s="117"/>
      <c r="I86" s="118"/>
      <c r="J86" s="119"/>
      <c r="K86" s="120"/>
      <c r="L86" s="119"/>
      <c r="M86" s="120"/>
      <c r="N86" s="118"/>
      <c r="O86" s="15"/>
      <c r="P86" s="45"/>
      <c r="Q86" s="9"/>
    </row>
    <row r="87" ht="18" customHeight="1" spans="2:17" x14ac:dyDescent="0.25">
      <c r="B87" s="7"/>
      <c r="C87" s="12"/>
      <c r="D87" s="15"/>
      <c r="E87" s="15"/>
      <c r="F87" s="121">
        <v>10</v>
      </c>
      <c r="G87" s="122">
        <v>12.5</v>
      </c>
      <c r="H87" s="121">
        <v>10</v>
      </c>
      <c r="I87" s="122">
        <v>25</v>
      </c>
      <c r="J87" s="76"/>
      <c r="K87" s="77"/>
      <c r="L87" s="76"/>
      <c r="M87" s="77"/>
      <c r="N87" s="123" t="s">
        <v>43</v>
      </c>
      <c r="O87" s="15"/>
      <c r="P87" s="45"/>
      <c r="Q87" s="9"/>
    </row>
    <row r="88" ht="18" customHeight="1" spans="2:17" x14ac:dyDescent="0.25">
      <c r="B88" s="7"/>
      <c r="C88" s="12"/>
      <c r="D88" s="15"/>
      <c r="E88" s="15"/>
      <c r="F88" s="15"/>
      <c r="G88" s="124"/>
      <c r="H88" s="15"/>
      <c r="I88" s="124"/>
      <c r="J88" s="87"/>
      <c r="K88" s="87"/>
      <c r="L88" s="87"/>
      <c r="M88" s="87"/>
      <c r="N88" s="125"/>
      <c r="O88" s="15"/>
      <c r="P88" s="45"/>
      <c r="Q88" s="9"/>
    </row>
    <row r="89" ht="24.95" customHeight="1" spans="2:17" x14ac:dyDescent="0.25">
      <c r="B89" s="7"/>
      <c r="C89" s="10"/>
      <c r="D89" s="126" t="s">
        <v>63</v>
      </c>
      <c r="E89" s="126"/>
      <c r="F89" s="126"/>
      <c r="G89" s="126"/>
      <c r="H89" s="126"/>
      <c r="I89" s="126"/>
      <c r="J89" s="126"/>
      <c r="K89" s="126"/>
      <c r="L89" s="126"/>
      <c r="M89" s="126"/>
      <c r="N89" s="126"/>
      <c r="O89" s="126"/>
      <c r="P89" s="127"/>
      <c r="Q89" s="9"/>
    </row>
    <row r="90" ht="9.95" customHeight="1" spans="2:17" x14ac:dyDescent="0.25">
      <c r="B90" s="7"/>
      <c r="C90" s="128"/>
      <c r="D90" s="129"/>
      <c r="E90" s="129"/>
      <c r="F90" s="129"/>
      <c r="G90" s="129"/>
      <c r="H90" s="129"/>
      <c r="I90" s="129"/>
      <c r="J90" s="129"/>
      <c r="K90" s="129"/>
      <c r="L90" s="129"/>
      <c r="M90" s="129"/>
      <c r="N90" s="129"/>
      <c r="O90" s="129"/>
      <c r="P90" s="130"/>
      <c r="Q90" s="9"/>
    </row>
    <row r="91" ht="36" customHeight="1" spans="2:17" x14ac:dyDescent="0.25">
      <c r="B91" s="7"/>
      <c r="C91" s="128"/>
      <c r="D91" s="16" t="s">
        <v>64</v>
      </c>
      <c r="E91" s="131"/>
      <c r="F91" s="131"/>
      <c r="G91" s="131"/>
      <c r="H91" s="131"/>
      <c r="I91" s="131"/>
      <c r="J91" s="131"/>
      <c r="K91" s="131"/>
      <c r="L91" s="131"/>
      <c r="M91" s="131"/>
      <c r="N91" s="131"/>
      <c r="O91" s="131"/>
      <c r="P91" s="130"/>
      <c r="Q91" s="9"/>
    </row>
    <row r="92" ht="18" customHeight="1" spans="2:17" x14ac:dyDescent="0.25">
      <c r="B92" s="7"/>
      <c r="C92" s="128"/>
      <c r="D92" s="132"/>
      <c r="E92" s="132"/>
      <c r="F92" s="132"/>
      <c r="G92" s="132"/>
      <c r="H92" s="132"/>
      <c r="I92" s="132"/>
      <c r="J92" s="132"/>
      <c r="K92" s="132"/>
      <c r="L92" s="132"/>
      <c r="M92" s="132"/>
      <c r="N92" s="132"/>
      <c r="O92" s="132"/>
      <c r="P92" s="130"/>
      <c r="Q92" s="9"/>
    </row>
    <row r="93" ht="36" customHeight="1" spans="2:17" x14ac:dyDescent="0.25">
      <c r="B93" s="7"/>
      <c r="C93" s="128"/>
      <c r="D93" s="16" t="s">
        <v>65</v>
      </c>
      <c r="E93" s="16"/>
      <c r="F93" s="16"/>
      <c r="G93" s="16"/>
      <c r="H93" s="16"/>
      <c r="I93" s="16"/>
      <c r="J93" s="16"/>
      <c r="K93" s="16"/>
      <c r="L93" s="16"/>
      <c r="M93" s="16"/>
      <c r="N93" s="16"/>
      <c r="O93" s="16"/>
      <c r="P93" s="130"/>
      <c r="Q93" s="9"/>
    </row>
    <row r="94" ht="18" customHeight="1" spans="2:17" x14ac:dyDescent="0.25">
      <c r="B94" s="7"/>
      <c r="C94" s="128"/>
      <c r="D94" s="129"/>
      <c r="E94" s="129"/>
      <c r="F94" s="129"/>
      <c r="G94" s="129"/>
      <c r="H94" s="129"/>
      <c r="I94" s="129"/>
      <c r="J94" s="129"/>
      <c r="K94" s="129"/>
      <c r="L94" s="129"/>
      <c r="M94" s="129"/>
      <c r="N94" s="129"/>
      <c r="O94" s="129"/>
      <c r="P94" s="130"/>
      <c r="Q94" s="9"/>
    </row>
    <row r="95" ht="24.95" customHeight="1" spans="2:17" x14ac:dyDescent="0.25">
      <c r="B95" s="7"/>
      <c r="C95" s="10"/>
      <c r="D95" s="126" t="s">
        <v>66</v>
      </c>
      <c r="E95" s="126"/>
      <c r="F95" s="126"/>
      <c r="G95" s="126"/>
      <c r="H95" s="126"/>
      <c r="I95" s="126"/>
      <c r="J95" s="126"/>
      <c r="K95" s="126"/>
      <c r="L95" s="126"/>
      <c r="M95" s="126"/>
      <c r="N95" s="126"/>
      <c r="O95" s="126"/>
      <c r="P95" s="127"/>
      <c r="Q95" s="9"/>
    </row>
    <row r="96" ht="9.95" customHeight="1" spans="2:17" x14ac:dyDescent="0.25">
      <c r="B96" s="7"/>
      <c r="C96" s="12"/>
      <c r="D96" s="15"/>
      <c r="E96" s="15"/>
      <c r="F96" s="15"/>
      <c r="G96" s="15"/>
      <c r="H96" s="15"/>
      <c r="I96" s="15"/>
      <c r="J96" s="15"/>
      <c r="K96" s="15"/>
      <c r="L96" s="15"/>
      <c r="M96" s="15"/>
      <c r="N96" s="15"/>
      <c r="O96" s="15"/>
      <c r="P96" s="45"/>
      <c r="Q96" s="9"/>
    </row>
    <row r="97" ht="18" customHeight="1" spans="2:17" x14ac:dyDescent="0.25">
      <c r="B97" s="7"/>
      <c r="C97" s="12"/>
      <c r="D97" s="16" t="s">
        <v>67</v>
      </c>
      <c r="E97" s="16"/>
      <c r="F97" s="16"/>
      <c r="G97" s="16"/>
      <c r="H97" s="16"/>
      <c r="I97" s="16"/>
      <c r="J97" s="16"/>
      <c r="K97" s="16"/>
      <c r="L97" s="16"/>
      <c r="M97" s="16"/>
      <c r="N97" s="16"/>
      <c r="O97" s="16"/>
      <c r="P97" s="45"/>
      <c r="Q97" s="9"/>
    </row>
    <row r="98" ht="18" customHeight="1" spans="2:17" x14ac:dyDescent="0.25">
      <c r="B98" s="7"/>
      <c r="C98" s="12"/>
      <c r="D98" s="15"/>
      <c r="E98" s="15"/>
      <c r="F98" s="15"/>
      <c r="G98" s="15"/>
      <c r="H98" s="15"/>
      <c r="I98" s="15"/>
      <c r="J98" s="15"/>
      <c r="K98" s="15"/>
      <c r="L98" s="15"/>
      <c r="M98" s="15"/>
      <c r="N98" s="15"/>
      <c r="O98" s="15"/>
      <c r="P98" s="45"/>
      <c r="Q98" s="9"/>
    </row>
    <row r="99" ht="36" customHeight="1" spans="2:17" x14ac:dyDescent="0.25">
      <c r="B99" s="7"/>
      <c r="C99" s="12"/>
      <c r="D99" s="16" t="s">
        <v>68</v>
      </c>
      <c r="E99" s="16"/>
      <c r="F99" s="16"/>
      <c r="G99" s="16"/>
      <c r="H99" s="16"/>
      <c r="I99" s="16"/>
      <c r="J99" s="16"/>
      <c r="K99" s="16"/>
      <c r="L99" s="16"/>
      <c r="M99" s="16"/>
      <c r="N99" s="16"/>
      <c r="O99" s="16"/>
      <c r="P99" s="45"/>
      <c r="Q99" s="9"/>
    </row>
    <row r="100" ht="18" customHeight="1" spans="2:17" x14ac:dyDescent="0.25">
      <c r="B100" s="7"/>
      <c r="C100" s="12"/>
      <c r="D100" s="15"/>
      <c r="E100" s="15"/>
      <c r="F100" s="15"/>
      <c r="G100" s="15"/>
      <c r="H100" s="15"/>
      <c r="I100" s="15"/>
      <c r="J100" s="15"/>
      <c r="K100" s="15"/>
      <c r="L100" s="15"/>
      <c r="M100" s="15"/>
      <c r="N100" s="15"/>
      <c r="O100" s="15"/>
      <c r="P100" s="45"/>
      <c r="Q100" s="9"/>
    </row>
    <row r="101" ht="18" customHeight="1" spans="2:17" x14ac:dyDescent="0.25">
      <c r="B101" s="7"/>
      <c r="C101" s="12"/>
      <c r="D101" s="15" t="s">
        <v>69</v>
      </c>
      <c r="E101" s="15"/>
      <c r="F101" s="15"/>
      <c r="G101" s="15"/>
      <c r="H101" s="15"/>
      <c r="I101" s="15"/>
      <c r="J101" s="15"/>
      <c r="K101" s="15"/>
      <c r="L101" s="15"/>
      <c r="M101" s="15"/>
      <c r="N101" s="15"/>
      <c r="O101" s="15"/>
      <c r="P101" s="45"/>
      <c r="Q101" s="9"/>
    </row>
    <row r="102" ht="18" customHeight="1" spans="2:17" x14ac:dyDescent="0.25">
      <c r="B102" s="7"/>
      <c r="C102" s="12"/>
      <c r="D102" s="15"/>
      <c r="E102" s="15"/>
      <c r="F102" s="15"/>
      <c r="G102" s="15"/>
      <c r="H102" s="15"/>
      <c r="I102" s="15"/>
      <c r="J102" s="15"/>
      <c r="K102" s="15"/>
      <c r="L102" s="15"/>
      <c r="M102" s="15"/>
      <c r="N102" s="15"/>
      <c r="O102" s="15"/>
      <c r="P102" s="45"/>
      <c r="Q102" s="9"/>
    </row>
    <row r="103" ht="36" customHeight="1" spans="2:17" x14ac:dyDescent="0.25">
      <c r="B103" s="7"/>
      <c r="C103" s="12"/>
      <c r="D103" s="15"/>
      <c r="E103" s="15"/>
      <c r="F103" s="133" t="s">
        <v>70</v>
      </c>
      <c r="G103" s="133"/>
      <c r="H103" s="133" t="s">
        <v>71</v>
      </c>
      <c r="I103" s="133"/>
      <c r="J103" s="133" t="s">
        <v>72</v>
      </c>
      <c r="K103" s="133"/>
      <c r="L103" s="133" t="s">
        <v>73</v>
      </c>
      <c r="M103" s="133"/>
      <c r="N103" s="133" t="s">
        <v>74</v>
      </c>
      <c r="O103" s="15"/>
      <c r="P103" s="45"/>
      <c r="Q103" s="9"/>
    </row>
    <row r="104" ht="18" customHeight="1" spans="2:17" x14ac:dyDescent="0.25">
      <c r="B104" s="7"/>
      <c r="C104" s="12"/>
      <c r="D104" s="15"/>
      <c r="E104" s="15"/>
      <c r="F104" s="134">
        <v>90</v>
      </c>
      <c r="G104" s="134"/>
      <c r="H104" s="134">
        <v>90</v>
      </c>
      <c r="I104" s="134"/>
      <c r="J104" s="134">
        <v>90</v>
      </c>
      <c r="K104" s="134"/>
      <c r="L104" s="134">
        <v>90</v>
      </c>
      <c r="M104" s="134"/>
      <c r="N104" s="134" t="s">
        <v>75</v>
      </c>
      <c r="O104" s="15"/>
      <c r="P104" s="45"/>
      <c r="Q104" s="9"/>
    </row>
    <row r="105" ht="18" customHeight="1" spans="2:17" x14ac:dyDescent="0.25">
      <c r="B105" s="7"/>
      <c r="C105" s="12"/>
      <c r="D105" s="15"/>
      <c r="E105" s="15"/>
      <c r="F105" s="100">
        <v>89</v>
      </c>
      <c r="G105" s="100"/>
      <c r="H105" s="100">
        <v>89</v>
      </c>
      <c r="I105" s="100"/>
      <c r="J105" s="100">
        <v>89</v>
      </c>
      <c r="K105" s="100"/>
      <c r="L105" s="100">
        <v>89</v>
      </c>
      <c r="M105" s="100"/>
      <c r="N105" s="100" t="s">
        <v>76</v>
      </c>
      <c r="O105" s="15"/>
      <c r="P105" s="45"/>
      <c r="Q105" s="9"/>
    </row>
    <row r="106" ht="18" customHeight="1" spans="2:17" x14ac:dyDescent="0.25">
      <c r="B106" s="7"/>
      <c r="C106" s="12"/>
      <c r="D106" s="15"/>
      <c r="E106" s="15"/>
      <c r="F106" s="100">
        <v>79</v>
      </c>
      <c r="G106" s="100"/>
      <c r="H106" s="100">
        <v>79</v>
      </c>
      <c r="I106" s="100"/>
      <c r="J106" s="100">
        <v>79</v>
      </c>
      <c r="K106" s="100"/>
      <c r="L106" s="100">
        <v>79</v>
      </c>
      <c r="M106" s="100"/>
      <c r="N106" s="100" t="s">
        <v>77</v>
      </c>
      <c r="O106" s="15"/>
      <c r="P106" s="45"/>
      <c r="Q106" s="9"/>
    </row>
    <row r="107" ht="18" customHeight="1" spans="2:17" x14ac:dyDescent="0.25">
      <c r="B107" s="7"/>
      <c r="C107" s="12"/>
      <c r="D107" s="15"/>
      <c r="E107" s="15"/>
      <c r="F107" s="135">
        <v>74</v>
      </c>
      <c r="G107" s="135"/>
      <c r="H107" s="135">
        <v>74</v>
      </c>
      <c r="I107" s="135"/>
      <c r="J107" s="135">
        <v>74</v>
      </c>
      <c r="K107" s="135"/>
      <c r="L107" s="135">
        <v>74</v>
      </c>
      <c r="M107" s="135"/>
      <c r="N107" s="136" t="s">
        <v>78</v>
      </c>
      <c r="O107" s="15"/>
      <c r="P107" s="45"/>
      <c r="Q107" s="9"/>
    </row>
    <row r="108" ht="18" customHeight="1" spans="2:17" x14ac:dyDescent="0.25">
      <c r="B108" s="7"/>
      <c r="C108" s="12"/>
      <c r="D108" s="15"/>
      <c r="E108" s="15"/>
      <c r="F108" s="137">
        <v>60</v>
      </c>
      <c r="G108" s="137"/>
      <c r="H108" s="137">
        <v>60</v>
      </c>
      <c r="I108" s="137"/>
      <c r="J108" s="137">
        <v>60</v>
      </c>
      <c r="K108" s="137"/>
      <c r="L108" s="137">
        <v>60</v>
      </c>
      <c r="M108" s="137"/>
      <c r="N108" s="138" t="s">
        <v>79</v>
      </c>
      <c r="O108" s="15"/>
      <c r="P108" s="45"/>
      <c r="Q108" s="9"/>
    </row>
    <row r="109" ht="18" customHeight="1" spans="2:17" x14ac:dyDescent="0.25">
      <c r="B109" s="7"/>
      <c r="C109" s="12"/>
      <c r="D109" s="15"/>
      <c r="E109" s="15"/>
      <c r="F109" s="139"/>
      <c r="G109" s="139"/>
      <c r="H109" s="139"/>
      <c r="I109" s="139"/>
      <c r="J109" s="139"/>
      <c r="K109" s="139"/>
      <c r="L109" s="139"/>
      <c r="M109" s="139"/>
      <c r="N109" s="125"/>
      <c r="O109" s="15"/>
      <c r="P109" s="45"/>
      <c r="Q109" s="9"/>
    </row>
    <row r="110" ht="18" customHeight="1" spans="2:17" s="140" customFormat="1" x14ac:dyDescent="0.25">
      <c r="B110" s="141"/>
      <c r="C110" s="13"/>
      <c r="D110" s="16" t="s">
        <v>80</v>
      </c>
      <c r="E110" s="16"/>
      <c r="F110" s="16"/>
      <c r="G110" s="16"/>
      <c r="H110" s="16"/>
      <c r="I110" s="16"/>
      <c r="J110" s="16"/>
      <c r="K110" s="16"/>
      <c r="L110" s="16"/>
      <c r="M110" s="16"/>
      <c r="N110" s="16"/>
      <c r="O110" s="16"/>
      <c r="P110" s="15"/>
      <c r="Q110" s="142"/>
    </row>
    <row r="111" ht="18" customHeight="1" spans="2:17" s="140" customFormat="1" x14ac:dyDescent="0.25">
      <c r="B111" s="141"/>
      <c r="D111" s="16"/>
      <c r="E111" s="16"/>
      <c r="F111" s="16"/>
      <c r="G111" s="16"/>
      <c r="H111" s="16"/>
      <c r="I111" s="16"/>
      <c r="J111" s="16"/>
      <c r="K111" s="16"/>
      <c r="L111" s="16"/>
      <c r="M111" s="16"/>
      <c r="N111" s="16"/>
      <c r="O111" s="16"/>
      <c r="P111" s="16"/>
      <c r="Q111" s="142"/>
    </row>
    <row r="112" ht="24.95" customHeight="1" spans="2:17" x14ac:dyDescent="0.25">
      <c r="B112" s="7"/>
      <c r="C112" s="10"/>
      <c r="D112" s="126" t="s">
        <v>81</v>
      </c>
      <c r="E112" s="126"/>
      <c r="F112" s="126"/>
      <c r="G112" s="126"/>
      <c r="H112" s="126"/>
      <c r="I112" s="126"/>
      <c r="J112" s="126"/>
      <c r="K112" s="126"/>
      <c r="L112" s="126"/>
      <c r="M112" s="126"/>
      <c r="N112" s="126"/>
      <c r="O112" s="126"/>
      <c r="P112" s="127"/>
      <c r="Q112" s="9"/>
    </row>
    <row r="113" ht="9.95" customHeight="1" spans="2:17" x14ac:dyDescent="0.25">
      <c r="B113" s="7"/>
      <c r="C113" s="12"/>
      <c r="D113" s="15"/>
      <c r="E113" s="15"/>
      <c r="F113" s="15"/>
      <c r="G113" s="15"/>
      <c r="H113" s="15"/>
      <c r="I113" s="15"/>
      <c r="J113" s="15"/>
      <c r="K113" s="15"/>
      <c r="L113" s="15"/>
      <c r="M113" s="15"/>
      <c r="N113" s="15"/>
      <c r="O113" s="15"/>
      <c r="P113" s="45"/>
      <c r="Q113" s="9"/>
    </row>
    <row r="114" ht="36" customHeight="1" spans="2:17" s="143" customFormat="1" x14ac:dyDescent="0.25">
      <c r="B114" s="144"/>
      <c r="C114" s="43"/>
      <c r="D114" s="15" t="s">
        <v>82</v>
      </c>
      <c r="E114" s="15"/>
      <c r="F114" s="15"/>
      <c r="G114" s="15"/>
      <c r="H114" s="15"/>
      <c r="I114" s="15"/>
      <c r="J114" s="15"/>
      <c r="K114" s="15"/>
      <c r="L114" s="15"/>
      <c r="M114" s="15"/>
      <c r="N114" s="15"/>
      <c r="O114" s="15"/>
      <c r="P114" s="45"/>
      <c r="Q114" s="145"/>
    </row>
    <row r="115" ht="18" customHeight="1" spans="2:17" x14ac:dyDescent="0.25">
      <c r="B115" s="7"/>
      <c r="C115" s="12"/>
      <c r="D115" s="15"/>
      <c r="E115" s="15"/>
      <c r="F115" s="15"/>
      <c r="G115" s="15"/>
      <c r="H115" s="15"/>
      <c r="I115" s="15"/>
      <c r="J115" s="15"/>
      <c r="K115" s="15"/>
      <c r="L115" s="15"/>
      <c r="M115" s="15"/>
      <c r="N115" s="15"/>
      <c r="O115" s="15"/>
      <c r="P115" s="45"/>
      <c r="Q115" s="9"/>
    </row>
    <row r="116" ht="36" customHeight="1" spans="2:17" x14ac:dyDescent="0.25">
      <c r="B116" s="7"/>
      <c r="C116" s="12"/>
      <c r="D116" s="15" t="s">
        <v>83</v>
      </c>
      <c r="E116" s="15"/>
      <c r="F116" s="15"/>
      <c r="G116" s="15"/>
      <c r="H116" s="15"/>
      <c r="I116" s="15"/>
      <c r="J116" s="15"/>
      <c r="K116" s="15"/>
      <c r="L116" s="15"/>
      <c r="M116" s="15"/>
      <c r="N116" s="15"/>
      <c r="O116" s="15"/>
      <c r="P116" s="45"/>
      <c r="Q116" s="9"/>
    </row>
    <row r="117" ht="18" customHeight="1" spans="2:17" x14ac:dyDescent="0.25">
      <c r="B117" s="7"/>
      <c r="C117" s="12"/>
      <c r="D117" s="15"/>
      <c r="E117" s="15"/>
      <c r="F117" s="15"/>
      <c r="G117" s="15"/>
      <c r="H117" s="15"/>
      <c r="I117" s="15"/>
      <c r="J117" s="15"/>
      <c r="K117" s="15"/>
      <c r="L117" s="15"/>
      <c r="M117" s="15"/>
      <c r="N117" s="15"/>
      <c r="O117" s="15"/>
      <c r="P117" s="45"/>
      <c r="Q117" s="9"/>
    </row>
    <row r="118" ht="36" customHeight="1" spans="2:17" x14ac:dyDescent="0.25">
      <c r="B118" s="7"/>
      <c r="C118" s="12"/>
      <c r="D118" s="15"/>
      <c r="E118" s="15"/>
      <c r="F118" s="15"/>
      <c r="G118" s="15"/>
      <c r="H118" s="61" t="s">
        <v>84</v>
      </c>
      <c r="I118" s="62"/>
      <c r="J118" s="62"/>
      <c r="K118" s="62"/>
      <c r="L118" s="62"/>
      <c r="M118" s="63"/>
      <c r="N118" s="15"/>
      <c r="O118" s="15"/>
      <c r="P118" s="45"/>
      <c r="Q118" s="9"/>
    </row>
    <row r="119" ht="18" customHeight="1" spans="2:17" x14ac:dyDescent="0.25">
      <c r="B119" s="7"/>
      <c r="C119" s="12"/>
      <c r="D119" s="15"/>
      <c r="E119" s="15"/>
      <c r="F119" s="15"/>
      <c r="G119" s="15"/>
      <c r="H119" s="146" t="s">
        <v>85</v>
      </c>
      <c r="I119" s="147"/>
      <c r="J119" s="147"/>
      <c r="K119" s="147"/>
      <c r="L119" s="147"/>
      <c r="M119" s="148"/>
      <c r="N119" s="15"/>
      <c r="O119" s="15"/>
      <c r="P119" s="45"/>
      <c r="Q119" s="9"/>
    </row>
    <row r="120" ht="36" customHeight="1" spans="2:17" x14ac:dyDescent="0.25">
      <c r="B120" s="7"/>
      <c r="C120" s="12"/>
      <c r="D120" s="15"/>
      <c r="E120" s="15"/>
      <c r="F120" s="15"/>
      <c r="G120" s="15"/>
      <c r="H120" s="149" t="s">
        <v>86</v>
      </c>
      <c r="I120" s="150"/>
      <c r="J120" s="151"/>
      <c r="K120" s="15"/>
      <c r="L120" s="15"/>
      <c r="M120" s="15"/>
      <c r="N120" s="15"/>
      <c r="O120" s="15"/>
      <c r="P120" s="45"/>
      <c r="Q120" s="9"/>
    </row>
    <row r="121" ht="18" customHeight="1" spans="2:17" x14ac:dyDescent="0.25">
      <c r="B121" s="7"/>
      <c r="C121" s="12"/>
      <c r="D121" s="15"/>
      <c r="E121" s="15"/>
      <c r="F121" s="15"/>
      <c r="G121" s="15"/>
      <c r="H121" s="146" t="s">
        <v>87</v>
      </c>
      <c r="I121" s="147"/>
      <c r="J121" s="148"/>
      <c r="K121" s="15"/>
      <c r="L121" s="15"/>
      <c r="M121" s="152" t="s">
        <v>88</v>
      </c>
      <c r="N121" s="152"/>
      <c r="O121" s="15"/>
      <c r="P121" s="45"/>
      <c r="Q121" s="9"/>
    </row>
    <row r="122" ht="18" customHeight="1" spans="2:17" x14ac:dyDescent="0.25">
      <c r="B122" s="7"/>
      <c r="C122" s="12"/>
      <c r="D122" s="15"/>
      <c r="E122" s="15"/>
      <c r="F122" s="15"/>
      <c r="G122" s="15"/>
      <c r="H122" s="153"/>
      <c r="I122" s="153"/>
      <c r="J122" s="153"/>
      <c r="K122" s="15"/>
      <c r="L122" s="15"/>
      <c r="M122" s="152"/>
      <c r="N122" s="152"/>
      <c r="O122" s="15"/>
      <c r="P122" s="45"/>
      <c r="Q122" s="9"/>
    </row>
    <row r="123" ht="18" customHeight="1" spans="2:17" x14ac:dyDescent="0.25">
      <c r="B123" s="7"/>
      <c r="C123" s="12"/>
      <c r="D123" s="16" t="s">
        <v>89</v>
      </c>
      <c r="E123" s="16"/>
      <c r="F123" s="16"/>
      <c r="G123" s="16"/>
      <c r="H123" s="16"/>
      <c r="I123" s="16"/>
      <c r="J123" s="16"/>
      <c r="K123" s="16"/>
      <c r="L123" s="16"/>
      <c r="M123" s="16"/>
      <c r="N123" s="16"/>
      <c r="O123" s="16"/>
      <c r="P123" s="45"/>
      <c r="Q123" s="9"/>
    </row>
    <row r="124" ht="18" customHeight="1" spans="2:17" x14ac:dyDescent="0.25">
      <c r="B124" s="7"/>
      <c r="C124" s="12"/>
      <c r="D124" s="16"/>
      <c r="E124" s="15"/>
      <c r="F124" s="15"/>
      <c r="G124" s="15"/>
      <c r="H124" s="15"/>
      <c r="I124" s="15"/>
      <c r="J124" s="15"/>
      <c r="K124" s="15"/>
      <c r="L124" s="15"/>
      <c r="M124" s="15"/>
      <c r="O124" s="15"/>
      <c r="P124" s="45"/>
      <c r="Q124" s="9"/>
    </row>
    <row r="125" ht="24.95" customHeight="1" spans="2:17" x14ac:dyDescent="0.25">
      <c r="B125" s="7"/>
      <c r="C125" s="10"/>
      <c r="D125" s="11" t="s">
        <v>90</v>
      </c>
      <c r="E125" s="10"/>
      <c r="F125" s="10"/>
      <c r="G125" s="10"/>
      <c r="H125" s="10"/>
      <c r="I125" s="10"/>
      <c r="J125" s="10"/>
      <c r="K125" s="10"/>
      <c r="L125" s="10"/>
      <c r="M125" s="10"/>
      <c r="N125" s="10"/>
      <c r="O125" s="10"/>
      <c r="P125" s="10"/>
      <c r="Q125" s="9"/>
    </row>
    <row r="126" ht="9.95" customHeight="1" spans="2:17" x14ac:dyDescent="0.25">
      <c r="B126" s="7"/>
      <c r="C126" s="12"/>
      <c r="D126" s="12"/>
      <c r="E126" s="12"/>
      <c r="F126" s="12"/>
      <c r="G126" s="12"/>
      <c r="H126" s="12"/>
      <c r="I126" s="12"/>
      <c r="J126" s="12"/>
      <c r="K126" s="12"/>
      <c r="L126" s="12"/>
      <c r="M126" s="12"/>
      <c r="N126" s="12"/>
      <c r="O126" s="12"/>
      <c r="P126" s="12"/>
      <c r="Q126" s="9"/>
    </row>
    <row r="127" ht="36" customHeight="1" spans="2:17" x14ac:dyDescent="0.25">
      <c r="B127" s="7"/>
      <c r="C127" s="12"/>
      <c r="D127" s="15" t="s">
        <v>91</v>
      </c>
      <c r="E127" s="15"/>
      <c r="F127" s="15"/>
      <c r="G127" s="15"/>
      <c r="H127" s="15"/>
      <c r="I127" s="15"/>
      <c r="J127" s="15"/>
      <c r="K127" s="15"/>
      <c r="L127" s="15"/>
      <c r="M127" s="15"/>
      <c r="N127" s="15"/>
      <c r="O127" s="15"/>
      <c r="P127" s="45"/>
      <c r="Q127" s="9"/>
    </row>
    <row r="128" ht="18" customHeight="1" spans="2:17" x14ac:dyDescent="0.25">
      <c r="B128" s="7"/>
      <c r="C128" s="12"/>
      <c r="D128" s="13"/>
      <c r="E128" s="13"/>
      <c r="F128" s="13"/>
      <c r="G128" s="13"/>
      <c r="H128" s="13"/>
      <c r="I128" s="13"/>
      <c r="J128" s="13"/>
      <c r="K128" s="13"/>
      <c r="L128" s="13"/>
      <c r="M128" s="13"/>
      <c r="N128" s="13"/>
      <c r="O128" s="13"/>
      <c r="P128" s="12"/>
      <c r="Q128" s="9"/>
    </row>
    <row r="129" ht="18" customHeight="1" spans="2:17" x14ac:dyDescent="0.25">
      <c r="B129" s="7"/>
      <c r="C129" s="12"/>
      <c r="D129" s="13" t="s">
        <v>92</v>
      </c>
      <c r="E129" s="13"/>
      <c r="F129" s="13"/>
      <c r="G129" s="13"/>
      <c r="H129" s="13"/>
      <c r="I129" s="13"/>
      <c r="J129" s="13"/>
      <c r="K129" s="13"/>
      <c r="L129" s="13"/>
      <c r="M129" s="13"/>
      <c r="N129" s="13"/>
      <c r="O129" s="13"/>
      <c r="P129" s="12"/>
      <c r="Q129" s="9"/>
    </row>
    <row r="130" ht="18" customHeight="1" spans="2:17" x14ac:dyDescent="0.25">
      <c r="B130" s="7"/>
      <c r="C130" s="12"/>
      <c r="D130" s="12"/>
      <c r="E130" s="12"/>
      <c r="F130" s="12"/>
      <c r="G130" s="12"/>
      <c r="H130" s="12"/>
      <c r="I130" s="12"/>
      <c r="J130" s="12"/>
      <c r="K130" s="12"/>
      <c r="L130" s="12"/>
      <c r="M130" s="12"/>
      <c r="N130" s="12"/>
      <c r="O130" s="12"/>
      <c r="P130" s="12"/>
      <c r="Q130" s="9"/>
    </row>
    <row r="131" ht="18" customHeight="1" spans="2:17" x14ac:dyDescent="0.25">
      <c r="B131" s="7"/>
      <c r="C131" s="12"/>
      <c r="D131" s="12"/>
      <c r="E131" s="12"/>
      <c r="F131" s="154">
        <v>1</v>
      </c>
      <c r="G131" s="154">
        <v>2</v>
      </c>
      <c r="H131" s="154">
        <v>3</v>
      </c>
      <c r="I131" s="154">
        <v>4</v>
      </c>
      <c r="J131" s="154">
        <v>5</v>
      </c>
      <c r="K131" s="154">
        <v>6</v>
      </c>
      <c r="L131" s="154">
        <v>7</v>
      </c>
      <c r="M131" s="154">
        <v>8</v>
      </c>
      <c r="N131" s="12"/>
      <c r="O131" s="12"/>
      <c r="P131" s="12"/>
      <c r="Q131" s="9"/>
    </row>
    <row r="132" ht="18" customHeight="1" spans="2:17" x14ac:dyDescent="0.25">
      <c r="B132" s="7"/>
      <c r="C132" s="12"/>
      <c r="D132" s="12"/>
      <c r="E132" s="12"/>
      <c r="F132" s="41" t="s">
        <v>93</v>
      </c>
      <c r="G132" s="41" t="s">
        <v>94</v>
      </c>
      <c r="H132" s="41" t="s">
        <v>95</v>
      </c>
      <c r="I132" s="41" t="s">
        <v>96</v>
      </c>
      <c r="J132" s="41" t="s">
        <v>97</v>
      </c>
      <c r="K132" s="41" t="s">
        <v>93</v>
      </c>
      <c r="L132" s="41" t="s">
        <v>98</v>
      </c>
      <c r="M132" s="41" t="s">
        <v>99</v>
      </c>
      <c r="N132" s="12"/>
      <c r="O132" s="12"/>
      <c r="P132" s="12"/>
      <c r="Q132" s="9"/>
    </row>
    <row r="133" ht="18" customHeight="1" spans="2:17" x14ac:dyDescent="0.25">
      <c r="B133" s="7"/>
      <c r="C133" s="12"/>
      <c r="D133" s="12"/>
      <c r="E133" s="12"/>
      <c r="F133" s="155">
        <v>46203</v>
      </c>
      <c r="G133" s="155">
        <v>46204</v>
      </c>
      <c r="H133" s="155">
        <v>46205</v>
      </c>
      <c r="I133" s="155">
        <v>46206</v>
      </c>
      <c r="J133" s="155">
        <v>46207</v>
      </c>
      <c r="K133" s="155">
        <v>46208</v>
      </c>
      <c r="L133" s="155">
        <v>46209</v>
      </c>
      <c r="M133" s="155">
        <v>46210</v>
      </c>
      <c r="N133" s="12"/>
      <c r="O133" s="12"/>
      <c r="P133" s="12"/>
      <c r="Q133" s="9"/>
    </row>
    <row r="134" ht="3" customHeight="1" spans="2:17" x14ac:dyDescent="0.25">
      <c r="B134" s="7"/>
      <c r="C134" s="12"/>
      <c r="D134" s="12"/>
      <c r="E134" s="12"/>
      <c r="F134" s="33"/>
      <c r="G134" s="33"/>
      <c r="H134" s="33"/>
      <c r="I134" s="33"/>
      <c r="J134" s="33"/>
      <c r="K134" s="33"/>
      <c r="L134" s="33"/>
      <c r="M134" s="33"/>
      <c r="N134" s="12"/>
      <c r="O134" s="12"/>
      <c r="P134" s="12"/>
      <c r="Q134" s="9"/>
    </row>
    <row r="135" ht="18" customHeight="1" spans="2:17" x14ac:dyDescent="0.25">
      <c r="B135" s="7"/>
      <c r="C135" s="12"/>
      <c r="D135" s="12"/>
      <c r="E135" s="12"/>
      <c r="F135" s="21" t="s">
        <v>100</v>
      </c>
      <c r="G135" s="21" t="s">
        <v>100</v>
      </c>
      <c r="H135" s="21" t="s">
        <v>100</v>
      </c>
      <c r="I135" s="21" t="s">
        <v>100</v>
      </c>
      <c r="J135" s="21" t="s">
        <v>100</v>
      </c>
      <c r="K135" s="21" t="s">
        <v>100</v>
      </c>
      <c r="L135" s="21" t="s">
        <v>100</v>
      </c>
      <c r="M135" s="21" t="s">
        <v>100</v>
      </c>
      <c r="N135" s="12"/>
      <c r="O135" s="12"/>
      <c r="P135" s="12"/>
      <c r="Q135" s="9"/>
    </row>
    <row r="136" ht="18" customHeight="1" spans="2:17" x14ac:dyDescent="0.25">
      <c r="B136" s="7"/>
      <c r="C136" s="12"/>
      <c r="D136" s="12"/>
      <c r="E136" s="12"/>
      <c r="F136" s="21" t="s">
        <v>100</v>
      </c>
      <c r="G136" s="21" t="s">
        <v>100</v>
      </c>
      <c r="H136" s="21" t="s">
        <v>100</v>
      </c>
      <c r="I136" s="21" t="s">
        <v>101</v>
      </c>
      <c r="J136" s="21" t="s">
        <v>100</v>
      </c>
      <c r="K136" s="21" t="s">
        <v>100</v>
      </c>
      <c r="L136" s="21" t="s">
        <v>100</v>
      </c>
      <c r="M136" s="21" t="s">
        <v>100</v>
      </c>
      <c r="N136" s="12"/>
      <c r="O136" s="12"/>
      <c r="P136" s="12"/>
      <c r="Q136" s="9"/>
    </row>
    <row r="137" ht="18" customHeight="1" spans="2:17" x14ac:dyDescent="0.25">
      <c r="B137" s="7"/>
      <c r="C137" s="12"/>
      <c r="D137" s="12"/>
      <c r="E137" s="12"/>
      <c r="F137" s="21" t="s">
        <v>100</v>
      </c>
      <c r="G137" s="21" t="s">
        <v>9</v>
      </c>
      <c r="H137" s="21" t="s">
        <v>100</v>
      </c>
      <c r="I137" s="21" t="s">
        <v>100</v>
      </c>
      <c r="J137" s="21" t="s">
        <v>100</v>
      </c>
      <c r="K137" s="21" t="s">
        <v>100</v>
      </c>
      <c r="L137" s="21" t="s">
        <v>100</v>
      </c>
      <c r="M137" s="21" t="s">
        <v>100</v>
      </c>
      <c r="N137" s="12"/>
      <c r="O137" s="12"/>
      <c r="P137" s="12"/>
      <c r="Q137" s="9"/>
    </row>
    <row r="138" ht="18" customHeight="1" spans="2:17" x14ac:dyDescent="0.25">
      <c r="B138" s="7"/>
      <c r="C138" s="12"/>
      <c r="D138" s="12"/>
      <c r="E138" s="12"/>
      <c r="F138" s="21" t="s">
        <v>100</v>
      </c>
      <c r="G138" s="21" t="s">
        <v>100</v>
      </c>
      <c r="H138" s="21" t="s">
        <v>100</v>
      </c>
      <c r="I138" s="21" t="s">
        <v>100</v>
      </c>
      <c r="J138" s="21" t="s">
        <v>100</v>
      </c>
      <c r="K138" s="21" t="s">
        <v>100</v>
      </c>
      <c r="L138" s="21" t="s">
        <v>100</v>
      </c>
      <c r="M138" s="21" t="s">
        <v>100</v>
      </c>
      <c r="N138" s="12"/>
      <c r="O138" s="12"/>
      <c r="P138" s="12"/>
      <c r="Q138" s="9"/>
    </row>
    <row r="139" ht="18" customHeight="1" spans="2:17" x14ac:dyDescent="0.25">
      <c r="B139" s="7"/>
      <c r="C139" s="12"/>
      <c r="D139" s="12"/>
      <c r="E139" s="12"/>
      <c r="F139" s="21" t="s">
        <v>100</v>
      </c>
      <c r="G139" s="21" t="s">
        <v>100</v>
      </c>
      <c r="H139" s="21" t="s">
        <v>100</v>
      </c>
      <c r="I139" s="21" t="s">
        <v>101</v>
      </c>
      <c r="J139" s="21" t="s">
        <v>100</v>
      </c>
      <c r="K139" s="21" t="s">
        <v>100</v>
      </c>
      <c r="L139" s="21" t="s">
        <v>100</v>
      </c>
      <c r="M139" s="21" t="s">
        <v>100</v>
      </c>
      <c r="N139" s="12"/>
      <c r="O139" s="12"/>
      <c r="P139" s="12"/>
      <c r="Q139" s="9"/>
    </row>
    <row r="140" ht="18" customHeight="1" spans="2:17" x14ac:dyDescent="0.25">
      <c r="B140" s="7"/>
      <c r="C140" s="12"/>
      <c r="D140" s="12"/>
      <c r="E140" s="12"/>
      <c r="F140" s="21" t="s">
        <v>100</v>
      </c>
      <c r="G140" s="21" t="s">
        <v>100</v>
      </c>
      <c r="H140" s="21" t="s">
        <v>100</v>
      </c>
      <c r="I140" s="21" t="s">
        <v>100</v>
      </c>
      <c r="J140" s="21" t="s">
        <v>100</v>
      </c>
      <c r="K140" s="21" t="s">
        <v>100</v>
      </c>
      <c r="L140" s="21" t="s">
        <v>102</v>
      </c>
      <c r="M140" s="21" t="s">
        <v>100</v>
      </c>
      <c r="N140" s="12"/>
      <c r="O140" s="12"/>
      <c r="P140" s="12"/>
      <c r="Q140" s="9"/>
    </row>
    <row r="141" ht="18" customHeight="1" spans="2:17" x14ac:dyDescent="0.25">
      <c r="B141" s="7"/>
      <c r="C141" s="12"/>
      <c r="D141" s="12"/>
      <c r="E141" s="12"/>
      <c r="F141" s="12"/>
      <c r="G141" s="12"/>
      <c r="H141" s="12"/>
      <c r="I141" s="12"/>
      <c r="J141" s="12"/>
      <c r="K141" s="12"/>
      <c r="L141" s="12"/>
      <c r="M141" s="12"/>
      <c r="N141" s="12"/>
      <c r="O141" s="12"/>
      <c r="P141" s="12"/>
      <c r="Q141" s="9"/>
    </row>
    <row r="142" ht="18" customHeight="1" spans="2:17" x14ac:dyDescent="0.25">
      <c r="B142" s="7"/>
      <c r="C142" s="12"/>
      <c r="D142" s="13" t="s">
        <v>103</v>
      </c>
      <c r="E142" s="12"/>
      <c r="F142" s="12"/>
      <c r="G142" s="12"/>
      <c r="H142" s="12"/>
      <c r="I142" s="12"/>
      <c r="J142" s="12"/>
      <c r="K142" s="12"/>
      <c r="L142" s="12"/>
      <c r="M142" s="12"/>
      <c r="N142" s="12"/>
      <c r="O142" s="12"/>
      <c r="P142" s="12"/>
      <c r="Q142" s="9"/>
    </row>
    <row r="143" ht="18" customHeight="1" spans="2:17" x14ac:dyDescent="0.25">
      <c r="B143" s="7"/>
      <c r="C143" s="12"/>
      <c r="D143" s="12"/>
      <c r="E143" s="12"/>
      <c r="F143" s="12"/>
      <c r="G143" s="12"/>
      <c r="H143" s="12"/>
      <c r="I143" s="12"/>
      <c r="J143" s="12"/>
      <c r="K143" s="12"/>
      <c r="L143" s="12"/>
      <c r="M143" s="12"/>
      <c r="N143" s="12"/>
      <c r="O143" s="12"/>
      <c r="P143" s="12"/>
      <c r="Q143" s="9"/>
    </row>
    <row r="144" ht="24.95" customHeight="1" spans="2:17" x14ac:dyDescent="0.25">
      <c r="B144" s="7"/>
      <c r="C144" s="12"/>
      <c r="D144" s="12"/>
      <c r="E144" s="12"/>
      <c r="F144" s="12"/>
      <c r="G144" s="12"/>
      <c r="H144" s="156" t="s">
        <v>104</v>
      </c>
      <c r="I144" s="157"/>
      <c r="J144" s="157" t="s">
        <v>105</v>
      </c>
      <c r="K144" s="158"/>
      <c r="L144" s="12"/>
      <c r="M144" s="12"/>
      <c r="N144" s="12"/>
      <c r="O144" s="12"/>
      <c r="P144" s="12"/>
      <c r="Q144" s="9"/>
    </row>
    <row r="145" ht="18" customHeight="1" spans="2:17" x14ac:dyDescent="0.25">
      <c r="B145" s="7"/>
      <c r="C145" s="12"/>
      <c r="D145" s="12"/>
      <c r="E145" s="12"/>
      <c r="F145" s="12"/>
      <c r="G145" s="12"/>
      <c r="H145" s="20" t="s">
        <v>100</v>
      </c>
      <c r="I145" s="21"/>
      <c r="J145" s="41" t="s">
        <v>106</v>
      </c>
      <c r="K145" s="159"/>
      <c r="L145" s="12"/>
      <c r="M145" s="12"/>
      <c r="N145" s="12"/>
      <c r="O145" s="12"/>
      <c r="P145" s="12"/>
      <c r="Q145" s="9"/>
    </row>
    <row r="146" ht="18" customHeight="1" spans="2:17" x14ac:dyDescent="0.25">
      <c r="B146" s="7"/>
      <c r="C146" s="12"/>
      <c r="D146" s="12"/>
      <c r="E146" s="12"/>
      <c r="F146" s="12"/>
      <c r="G146" s="12"/>
      <c r="H146" s="20" t="s">
        <v>9</v>
      </c>
      <c r="I146" s="21"/>
      <c r="J146" s="41" t="s">
        <v>107</v>
      </c>
      <c r="K146" s="159"/>
      <c r="L146" s="12"/>
      <c r="M146" s="12"/>
      <c r="N146" s="12"/>
      <c r="O146" s="12"/>
      <c r="P146" s="12"/>
      <c r="Q146" s="9"/>
    </row>
    <row r="147" ht="18" customHeight="1" spans="2:17" x14ac:dyDescent="0.25">
      <c r="B147" s="7"/>
      <c r="C147" s="12"/>
      <c r="D147" s="12"/>
      <c r="E147" s="12"/>
      <c r="F147" s="12"/>
      <c r="G147" s="12"/>
      <c r="H147" s="20" t="s">
        <v>101</v>
      </c>
      <c r="I147" s="21"/>
      <c r="J147" s="41" t="s">
        <v>108</v>
      </c>
      <c r="K147" s="159"/>
      <c r="L147" s="12"/>
      <c r="M147" s="12"/>
      <c r="N147" s="12"/>
      <c r="O147" s="12"/>
      <c r="P147" s="12"/>
      <c r="Q147" s="9"/>
    </row>
    <row r="148" ht="18" customHeight="1" spans="2:17" x14ac:dyDescent="0.25">
      <c r="B148" s="7"/>
      <c r="C148" s="12"/>
      <c r="D148" s="12"/>
      <c r="E148" s="12"/>
      <c r="F148" s="12"/>
      <c r="G148" s="12"/>
      <c r="H148" s="20" t="s">
        <v>102</v>
      </c>
      <c r="I148" s="21"/>
      <c r="J148" s="41" t="s">
        <v>109</v>
      </c>
      <c r="K148" s="159"/>
      <c r="L148" s="12"/>
      <c r="M148" s="12"/>
      <c r="N148" s="12"/>
      <c r="O148" s="12"/>
      <c r="P148" s="12"/>
      <c r="Q148" s="9"/>
    </row>
    <row r="149" ht="18" customHeight="1" spans="2:17" x14ac:dyDescent="0.25">
      <c r="B149" s="7"/>
      <c r="C149" s="12"/>
      <c r="D149" s="12"/>
      <c r="E149" s="12"/>
      <c r="F149" s="12"/>
      <c r="G149" s="12"/>
      <c r="H149" s="160" t="s">
        <v>110</v>
      </c>
      <c r="I149" s="161"/>
      <c r="J149" s="162" t="s">
        <v>111</v>
      </c>
      <c r="K149" s="163"/>
      <c r="L149" s="12"/>
      <c r="M149" s="12"/>
      <c r="N149" s="12"/>
      <c r="O149" s="12"/>
      <c r="P149" s="12"/>
      <c r="Q149" s="9"/>
    </row>
    <row r="150" ht="18" customHeight="1" spans="2:17" x14ac:dyDescent="0.25">
      <c r="B150" s="7"/>
      <c r="C150" s="12"/>
      <c r="D150" s="12"/>
      <c r="E150" s="12"/>
      <c r="F150" s="12"/>
      <c r="G150" s="12"/>
      <c r="H150" s="12"/>
      <c r="I150" s="12"/>
      <c r="J150" s="12"/>
      <c r="K150" s="12"/>
      <c r="L150" s="12"/>
      <c r="M150" s="12"/>
      <c r="N150" s="12"/>
      <c r="O150" s="12"/>
      <c r="P150" s="12"/>
      <c r="Q150" s="9"/>
    </row>
    <row r="151" ht="36" customHeight="1" spans="2:17" x14ac:dyDescent="0.25">
      <c r="B151" s="7"/>
      <c r="C151" s="12"/>
      <c r="D151" s="15" t="s">
        <v>112</v>
      </c>
      <c r="E151" s="15"/>
      <c r="F151" s="15"/>
      <c r="G151" s="15"/>
      <c r="H151" s="15"/>
      <c r="I151" s="15"/>
      <c r="J151" s="15"/>
      <c r="K151" s="15"/>
      <c r="L151" s="15"/>
      <c r="M151" s="15"/>
      <c r="N151" s="15"/>
      <c r="O151" s="15"/>
      <c r="P151" s="45"/>
      <c r="Q151" s="9"/>
    </row>
    <row r="152" ht="18" customHeight="1" spans="2:17" x14ac:dyDescent="0.25">
      <c r="B152" s="7"/>
      <c r="C152" s="12"/>
      <c r="D152" s="15"/>
      <c r="E152" s="15"/>
      <c r="F152" s="15"/>
      <c r="G152" s="15"/>
      <c r="H152" s="15"/>
      <c r="I152" s="15"/>
      <c r="J152" s="15"/>
      <c r="K152" s="15"/>
      <c r="L152" s="15"/>
      <c r="M152" s="15"/>
      <c r="N152" s="15"/>
      <c r="O152" s="15"/>
      <c r="P152" s="45"/>
      <c r="Q152" s="9"/>
    </row>
    <row r="153" ht="24.95" customHeight="1" spans="2:17" x14ac:dyDescent="0.25">
      <c r="B153" s="7"/>
      <c r="C153" s="10"/>
      <c r="D153" s="126" t="s">
        <v>113</v>
      </c>
      <c r="E153" s="126"/>
      <c r="F153" s="126"/>
      <c r="G153" s="126"/>
      <c r="H153" s="126"/>
      <c r="I153" s="126"/>
      <c r="J153" s="126"/>
      <c r="K153" s="126"/>
      <c r="L153" s="126"/>
      <c r="M153" s="126"/>
      <c r="N153" s="126"/>
      <c r="O153" s="126"/>
      <c r="P153" s="127"/>
      <c r="Q153" s="9"/>
    </row>
    <row r="154" ht="9.95" customHeight="1" spans="2:17" x14ac:dyDescent="0.25">
      <c r="B154" s="7"/>
      <c r="C154" s="12"/>
      <c r="D154" s="15"/>
      <c r="E154" s="15"/>
      <c r="F154" s="15"/>
      <c r="G154" s="15"/>
      <c r="H154" s="15"/>
      <c r="I154" s="15"/>
      <c r="J154" s="15"/>
      <c r="K154" s="15"/>
      <c r="L154" s="15"/>
      <c r="M154" s="15"/>
      <c r="N154" s="15"/>
      <c r="O154" s="15"/>
      <c r="P154" s="45"/>
      <c r="Q154" s="9"/>
    </row>
    <row r="155" ht="36" customHeight="1" spans="2:17" x14ac:dyDescent="0.25">
      <c r="B155" s="7"/>
      <c r="C155" s="12"/>
      <c r="D155" s="15" t="s">
        <v>114</v>
      </c>
      <c r="E155" s="15"/>
      <c r="F155" s="15"/>
      <c r="G155" s="15"/>
      <c r="H155" s="15"/>
      <c r="I155" s="15"/>
      <c r="J155" s="15"/>
      <c r="K155" s="15"/>
      <c r="L155" s="15"/>
      <c r="M155" s="15"/>
      <c r="N155" s="15"/>
      <c r="O155" s="15"/>
      <c r="P155" s="45"/>
      <c r="Q155" s="9"/>
    </row>
    <row r="156" ht="18" customHeight="1" spans="2:17" x14ac:dyDescent="0.25">
      <c r="B156" s="7"/>
      <c r="C156" s="12"/>
      <c r="D156" s="86"/>
      <c r="E156" s="86"/>
      <c r="F156" s="86"/>
      <c r="G156" s="86"/>
      <c r="H156" s="86"/>
      <c r="I156" s="86"/>
      <c r="J156" s="86"/>
      <c r="K156" s="86"/>
      <c r="L156" s="86"/>
      <c r="M156" s="86"/>
      <c r="N156" s="86"/>
      <c r="O156" s="86"/>
      <c r="P156" s="45"/>
      <c r="Q156" s="9"/>
    </row>
    <row r="157" ht="36" customHeight="1" spans="2:17" x14ac:dyDescent="0.25">
      <c r="B157" s="7"/>
      <c r="C157" s="12"/>
      <c r="D157" s="15" t="s">
        <v>115</v>
      </c>
      <c r="E157" s="15"/>
      <c r="F157" s="15"/>
      <c r="G157" s="15"/>
      <c r="H157" s="15"/>
      <c r="I157" s="15"/>
      <c r="J157" s="15"/>
      <c r="K157" s="15"/>
      <c r="L157" s="15"/>
      <c r="M157" s="15"/>
      <c r="N157" s="15"/>
      <c r="O157" s="15"/>
      <c r="P157" s="45"/>
      <c r="Q157" s="9"/>
    </row>
    <row r="158" ht="18" customHeight="1" spans="2:17" x14ac:dyDescent="0.25">
      <c r="B158" s="7"/>
      <c r="C158" s="12"/>
      <c r="D158" s="15"/>
      <c r="E158" s="15"/>
      <c r="F158" s="15"/>
      <c r="G158" s="15"/>
      <c r="H158" s="15"/>
      <c r="I158" s="15"/>
      <c r="J158" s="15"/>
      <c r="K158" s="15"/>
      <c r="L158" s="15"/>
      <c r="M158" s="15"/>
      <c r="N158" s="15"/>
      <c r="O158" s="15"/>
      <c r="P158" s="45"/>
      <c r="Q158" s="9"/>
    </row>
    <row r="159" ht="18" customHeight="1" spans="2:17" x14ac:dyDescent="0.25">
      <c r="B159" s="7"/>
      <c r="C159" s="12"/>
      <c r="D159" s="16" t="s">
        <v>116</v>
      </c>
      <c r="E159" s="16"/>
      <c r="F159" s="16"/>
      <c r="G159" s="16"/>
      <c r="H159" s="16"/>
      <c r="I159" s="16"/>
      <c r="J159" s="16"/>
      <c r="K159" s="16"/>
      <c r="L159" s="16"/>
      <c r="M159" s="16"/>
      <c r="N159" s="16"/>
      <c r="O159" s="16"/>
      <c r="P159" s="45"/>
      <c r="Q159" s="9"/>
    </row>
    <row r="160" ht="9.95" customHeight="1" spans="2:17" x14ac:dyDescent="0.25">
      <c r="B160" s="7"/>
      <c r="C160" s="12"/>
      <c r="D160" s="16"/>
      <c r="E160" s="15"/>
      <c r="F160" s="15"/>
      <c r="G160" s="15"/>
      <c r="H160" s="15"/>
      <c r="I160" s="15"/>
      <c r="J160" s="15"/>
      <c r="K160" s="15"/>
      <c r="L160" s="15"/>
      <c r="M160" s="15"/>
      <c r="N160" s="15"/>
      <c r="O160" s="15"/>
      <c r="P160" s="45"/>
      <c r="Q160" s="9"/>
    </row>
    <row r="161" ht="15" customHeight="1" spans="2:17" x14ac:dyDescent="0.25">
      <c r="B161" s="164"/>
      <c r="C161" s="165"/>
      <c r="D161" s="165"/>
      <c r="E161" s="165"/>
      <c r="F161" s="165"/>
      <c r="G161" s="165"/>
      <c r="H161" s="165"/>
      <c r="I161" s="165"/>
      <c r="J161" s="165"/>
      <c r="K161" s="165"/>
      <c r="L161" s="165"/>
      <c r="M161" s="165"/>
      <c r="N161" s="165"/>
      <c r="O161" s="165"/>
      <c r="P161" s="165"/>
      <c r="Q161" s="166"/>
    </row>
    <row r="162" ht="9.95" customHeight="1" x14ac:dyDescent="0.25"/>
    <row r="163" ht="18" customHeight="1" x14ac:dyDescent="0.25"/>
    <row r="164" ht="18" customHeight="1" x14ac:dyDescent="0.25"/>
    <row r="165" ht="18" customHeight="1" x14ac:dyDescent="0.25"/>
    <row r="166" ht="18" customHeight="1" x14ac:dyDescent="0.25"/>
  </sheetData>
  <sheetProtection sheet="1" algorithmName="SHA-512" hashValue="Z3yTRDWoemK6yaP4lJ0aQrch+QbNjMp5v6c5668NPM7jIDpvfZpA3K0k+gydCHRWKBsffftvA1Vmpx4FdgZBAg==" saltValue="KUa+ZyjdJfPIFI/T6i8I6Q==" spinCount="100000" objects="1" scenarios="1"/>
  <mergeCells count="127">
    <mergeCell ref="D2:O2"/>
    <mergeCell ref="D6:O6"/>
    <mergeCell ref="D8:O8"/>
    <mergeCell ref="D10:O10"/>
    <mergeCell ref="D14:O14"/>
    <mergeCell ref="D16:O16"/>
    <mergeCell ref="F18:I21"/>
    <mergeCell ref="F23:I23"/>
    <mergeCell ref="F24:I24"/>
    <mergeCell ref="F25:I25"/>
    <mergeCell ref="F26:I26"/>
    <mergeCell ref="F28:N28"/>
    <mergeCell ref="F29:N29"/>
    <mergeCell ref="F30:N30"/>
    <mergeCell ref="F31:N31"/>
    <mergeCell ref="F32:N32"/>
    <mergeCell ref="F33:N33"/>
    <mergeCell ref="F34:N34"/>
    <mergeCell ref="D37:O37"/>
    <mergeCell ref="F39:M39"/>
    <mergeCell ref="K41:K43"/>
    <mergeCell ref="L41:L43"/>
    <mergeCell ref="M41:M43"/>
    <mergeCell ref="D50:O50"/>
    <mergeCell ref="F52:G52"/>
    <mergeCell ref="H52:I52"/>
    <mergeCell ref="J52:L52"/>
    <mergeCell ref="F54:G54"/>
    <mergeCell ref="H54:I54"/>
    <mergeCell ref="J54:L54"/>
    <mergeCell ref="F55:G55"/>
    <mergeCell ref="H55:I55"/>
    <mergeCell ref="J55:L55"/>
    <mergeCell ref="F56:G56"/>
    <mergeCell ref="H56:I56"/>
    <mergeCell ref="J56:L56"/>
    <mergeCell ref="F57:G57"/>
    <mergeCell ref="H57:I57"/>
    <mergeCell ref="J57:L57"/>
    <mergeCell ref="F58:G58"/>
    <mergeCell ref="H58:I58"/>
    <mergeCell ref="J58:L58"/>
    <mergeCell ref="F59:G59"/>
    <mergeCell ref="H59:I59"/>
    <mergeCell ref="J59:L59"/>
    <mergeCell ref="D61:O61"/>
    <mergeCell ref="J62:K62"/>
    <mergeCell ref="D63:O63"/>
    <mergeCell ref="F64:O64"/>
    <mergeCell ref="F65:O65"/>
    <mergeCell ref="F66:O66"/>
    <mergeCell ref="D67:O67"/>
    <mergeCell ref="F69:H72"/>
    <mergeCell ref="F73:H73"/>
    <mergeCell ref="F74:H74"/>
    <mergeCell ref="F75:H75"/>
    <mergeCell ref="F76:H76"/>
    <mergeCell ref="F77:H77"/>
    <mergeCell ref="D79:O79"/>
    <mergeCell ref="F81:G81"/>
    <mergeCell ref="H81:I81"/>
    <mergeCell ref="J81:K85"/>
    <mergeCell ref="L81:M85"/>
    <mergeCell ref="N81:N85"/>
    <mergeCell ref="G83:G85"/>
    <mergeCell ref="I83:I85"/>
    <mergeCell ref="J87:K87"/>
    <mergeCell ref="L87:M87"/>
    <mergeCell ref="D89:O89"/>
    <mergeCell ref="D91:O91"/>
    <mergeCell ref="D93:O93"/>
    <mergeCell ref="D95:O95"/>
    <mergeCell ref="D97:O97"/>
    <mergeCell ref="D99:O99"/>
    <mergeCell ref="D101:O101"/>
    <mergeCell ref="F103:G103"/>
    <mergeCell ref="H103:I103"/>
    <mergeCell ref="J103:K103"/>
    <mergeCell ref="L103:M103"/>
    <mergeCell ref="F104:G104"/>
    <mergeCell ref="H104:I104"/>
    <mergeCell ref="J104:K104"/>
    <mergeCell ref="L104:M104"/>
    <mergeCell ref="F105:G105"/>
    <mergeCell ref="H105:I105"/>
    <mergeCell ref="J105:K105"/>
    <mergeCell ref="L105:M105"/>
    <mergeCell ref="F106:G106"/>
    <mergeCell ref="H106:I106"/>
    <mergeCell ref="J106:K106"/>
    <mergeCell ref="L106:M106"/>
    <mergeCell ref="F107:G107"/>
    <mergeCell ref="H107:I107"/>
    <mergeCell ref="J107:K107"/>
    <mergeCell ref="L107:M107"/>
    <mergeCell ref="F108:G108"/>
    <mergeCell ref="H108:I108"/>
    <mergeCell ref="J108:K108"/>
    <mergeCell ref="L108:M108"/>
    <mergeCell ref="D110:O110"/>
    <mergeCell ref="D112:O112"/>
    <mergeCell ref="D114:O114"/>
    <mergeCell ref="D116:O116"/>
    <mergeCell ref="H118:M118"/>
    <mergeCell ref="H119:M119"/>
    <mergeCell ref="H120:J120"/>
    <mergeCell ref="H121:J121"/>
    <mergeCell ref="M121:N121"/>
    <mergeCell ref="D123:O123"/>
    <mergeCell ref="D127:O127"/>
    <mergeCell ref="H144:I144"/>
    <mergeCell ref="J144:K144"/>
    <mergeCell ref="H145:I145"/>
    <mergeCell ref="J145:K145"/>
    <mergeCell ref="H146:I146"/>
    <mergeCell ref="J146:K146"/>
    <mergeCell ref="H147:I147"/>
    <mergeCell ref="J147:K147"/>
    <mergeCell ref="H148:I148"/>
    <mergeCell ref="J148:K148"/>
    <mergeCell ref="H149:I149"/>
    <mergeCell ref="J149:K149"/>
    <mergeCell ref="D151:O151"/>
    <mergeCell ref="D153:O153"/>
    <mergeCell ref="D155:O155"/>
    <mergeCell ref="D157:O157"/>
    <mergeCell ref="D159:O159"/>
  </mergeCells>
  <pageMargins left="0.7" right="0.7" top="0.75" bottom="0.75" header="0.3" footer="0.3"/>
  <pageSetup paperSize="9" orientation="portrait" horizontalDpi="0" verticalDpi="0" scale="100" fitToWidth="1" fitToHeight="1"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M65"/>
  <sheetViews>
    <sheetView workbookViewId="0" showGridLines="0" zoomScale="100" zoomScaleNormal="100">
      <selection activeCell="E8" sqref="E8"/>
    </sheetView>
  </sheetViews>
  <sheetFormatPr defaultRowHeight="15" outlineLevelRow="0" outlineLevelCol="0" x14ac:dyDescent="0.25" defaultColWidth="8.85546875"/>
  <cols>
    <col min="1" max="1" width="2.140625" style="167" customWidth="1"/>
    <col min="2" max="2" width="15.85546875" style="167" customWidth="1"/>
    <col min="3" max="3" width="35.85546875" style="167" customWidth="1"/>
    <col min="4" max="4" width="15.85546875" style="167" customWidth="1"/>
    <col min="5" max="14" width="10.85546875" style="167" customWidth="1"/>
    <col min="15" max="15" width="25.85546875" style="167" customWidth="1"/>
    <col min="16" max="16" width="15.85546875" style="167" customWidth="1"/>
    <col min="17" max="26" width="10.85546875" style="167" customWidth="1"/>
    <col min="27" max="27" width="25.85546875" style="167" customWidth="1"/>
    <col min="28" max="28" width="15.85546875" style="167" customWidth="1"/>
    <col min="29" max="38" width="10.85546875" style="167" customWidth="1"/>
    <col min="39" max="39" width="25.85546875" style="167" customWidth="1"/>
    <col min="40" max="16384" width="8.85546875" style="167" customWidth="1"/>
  </cols>
  <sheetData>
    <row r="1" ht="9.95" customHeight="1" x14ac:dyDescent="0.25"/>
    <row r="2" ht="20.1" customHeight="1" spans="2:39" x14ac:dyDescent="0.25">
      <c r="B2" s="650" t="s">
        <v>321</v>
      </c>
      <c r="C2" s="651" t="str">
        <f>IF('Data Input'!$G$10="","",PROPER('Data Input'!$G$10))</f>
        <v>John Marq E. Ramos</v>
      </c>
      <c r="D2" s="652" t="s">
        <v>70</v>
      </c>
      <c r="E2" s="653" t="s">
        <v>185</v>
      </c>
      <c r="F2" s="653"/>
      <c r="G2" s="653"/>
      <c r="H2" s="653"/>
      <c r="I2" s="653"/>
      <c r="J2" s="653" t="s">
        <v>187</v>
      </c>
      <c r="K2" s="653"/>
      <c r="L2" s="653"/>
      <c r="M2" s="653"/>
      <c r="N2" s="653"/>
      <c r="O2" s="262" t="s">
        <v>322</v>
      </c>
      <c r="P2" s="654" t="s">
        <v>71</v>
      </c>
      <c r="Q2" s="653" t="s">
        <v>185</v>
      </c>
      <c r="R2" s="653"/>
      <c r="S2" s="653"/>
      <c r="T2" s="653"/>
      <c r="U2" s="653"/>
      <c r="V2" s="653" t="s">
        <v>187</v>
      </c>
      <c r="W2" s="653"/>
      <c r="X2" s="653"/>
      <c r="Y2" s="653"/>
      <c r="Z2" s="653"/>
      <c r="AA2" s="655" t="s">
        <v>322</v>
      </c>
      <c r="AB2" s="652" t="s">
        <v>72</v>
      </c>
      <c r="AC2" s="651" t="s">
        <v>185</v>
      </c>
      <c r="AD2" s="656"/>
      <c r="AE2" s="656"/>
      <c r="AF2" s="656"/>
      <c r="AG2" s="657"/>
      <c r="AH2" s="651" t="s">
        <v>187</v>
      </c>
      <c r="AI2" s="656"/>
      <c r="AJ2" s="656"/>
      <c r="AK2" s="656"/>
      <c r="AL2" s="657"/>
      <c r="AM2" s="262" t="s">
        <v>322</v>
      </c>
    </row>
    <row r="3" ht="20.1" customHeight="1" spans="2:39" x14ac:dyDescent="0.25">
      <c r="B3" s="471" t="s">
        <v>323</v>
      </c>
      <c r="C3" s="658" t="str">
        <f>IF(OR('Data Input'!$G$11="",'Data Input'!$G$16=""),"",UPPER('Data Input'!$G$11&amp;" - "&amp;'Data Input'!$G$16))</f>
        <v>11 - BE/ICT</v>
      </c>
      <c r="D3" s="659" t="s">
        <v>324</v>
      </c>
      <c r="E3" s="660" t="s">
        <v>325</v>
      </c>
      <c r="F3" s="660" t="s">
        <v>326</v>
      </c>
      <c r="G3" s="660" t="s">
        <v>327</v>
      </c>
      <c r="H3" s="660" t="s">
        <v>328</v>
      </c>
      <c r="I3" s="660" t="s">
        <v>329</v>
      </c>
      <c r="J3" s="660" t="s">
        <v>330</v>
      </c>
      <c r="K3" s="660" t="s">
        <v>331</v>
      </c>
      <c r="L3" s="660" t="s">
        <v>332</v>
      </c>
      <c r="M3" s="660" t="s">
        <v>333</v>
      </c>
      <c r="N3" s="660" t="s">
        <v>334</v>
      </c>
      <c r="O3" s="661"/>
      <c r="P3" s="489" t="s">
        <v>324</v>
      </c>
      <c r="Q3" s="660" t="s">
        <v>325</v>
      </c>
      <c r="R3" s="660" t="s">
        <v>326</v>
      </c>
      <c r="S3" s="660" t="s">
        <v>327</v>
      </c>
      <c r="T3" s="660" t="s">
        <v>328</v>
      </c>
      <c r="U3" s="660" t="s">
        <v>329</v>
      </c>
      <c r="V3" s="660" t="s">
        <v>330</v>
      </c>
      <c r="W3" s="660" t="s">
        <v>331</v>
      </c>
      <c r="X3" s="660" t="s">
        <v>332</v>
      </c>
      <c r="Y3" s="660" t="s">
        <v>333</v>
      </c>
      <c r="Z3" s="660" t="s">
        <v>334</v>
      </c>
      <c r="AA3" s="662"/>
      <c r="AB3" s="659" t="s">
        <v>324</v>
      </c>
      <c r="AC3" s="660" t="s">
        <v>325</v>
      </c>
      <c r="AD3" s="660" t="s">
        <v>326</v>
      </c>
      <c r="AE3" s="660" t="s">
        <v>327</v>
      </c>
      <c r="AF3" s="660" t="s">
        <v>328</v>
      </c>
      <c r="AG3" s="660" t="s">
        <v>329</v>
      </c>
      <c r="AH3" s="660" t="s">
        <v>330</v>
      </c>
      <c r="AI3" s="660" t="s">
        <v>331</v>
      </c>
      <c r="AJ3" s="660" t="s">
        <v>332</v>
      </c>
      <c r="AK3" s="660" t="s">
        <v>333</v>
      </c>
      <c r="AL3" s="660" t="s">
        <v>334</v>
      </c>
      <c r="AM3" s="661"/>
    </row>
    <row r="4" ht="20.1" customHeight="1" spans="2:39" x14ac:dyDescent="0.25">
      <c r="B4" s="663" t="s">
        <v>228</v>
      </c>
      <c r="C4" s="664" t="s">
        <v>85</v>
      </c>
      <c r="D4" s="665"/>
      <c r="E4" s="666"/>
      <c r="F4" s="666"/>
      <c r="G4" s="666"/>
      <c r="H4" s="666"/>
      <c r="I4" s="666"/>
      <c r="J4" s="666"/>
      <c r="K4" s="666"/>
      <c r="L4" s="666"/>
      <c r="M4" s="666"/>
      <c r="N4" s="666"/>
      <c r="O4" s="667"/>
      <c r="P4" s="668"/>
      <c r="Q4" s="669"/>
      <c r="R4" s="669"/>
      <c r="S4" s="669"/>
      <c r="T4" s="669"/>
      <c r="U4" s="669"/>
      <c r="V4" s="669"/>
      <c r="W4" s="669"/>
      <c r="X4" s="669"/>
      <c r="Y4" s="669"/>
      <c r="Z4" s="669"/>
      <c r="AA4" s="670"/>
      <c r="AB4" s="665"/>
      <c r="AC4" s="669"/>
      <c r="AD4" s="669"/>
      <c r="AE4" s="669"/>
      <c r="AF4" s="669"/>
      <c r="AG4" s="669"/>
      <c r="AH4" s="669"/>
      <c r="AI4" s="669"/>
      <c r="AJ4" s="669"/>
      <c r="AK4" s="669"/>
      <c r="AL4" s="669"/>
      <c r="AM4" s="667"/>
    </row>
    <row r="5" ht="15.95" customHeight="1" spans="2:39" x14ac:dyDescent="0.25">
      <c r="B5" s="524">
        <f>IF('Data Input'!M7="","",'Data Input'!M7)</f>
        <v>2000498439</v>
      </c>
      <c r="C5" s="671" t="str">
        <f>IF(ISBLANK('Data Input'!N7),"",PROPER('Data Input'!N7))</f>
        <v>Abendante, Carl Yuan</v>
      </c>
      <c r="D5" s="524" t="str">
        <f>IF(ISBLANK('Term 1'!BG9),"",('Term 1'!BG9))</f>
        <v>Passed [B]</v>
      </c>
      <c r="E5" s="672"/>
      <c r="F5" s="672"/>
      <c r="G5" s="672"/>
      <c r="H5" s="672"/>
      <c r="I5" s="672"/>
      <c r="J5" s="672"/>
      <c r="K5" s="672"/>
      <c r="L5" s="672"/>
      <c r="M5" s="672"/>
      <c r="N5" s="672"/>
      <c r="O5" s="673"/>
      <c r="P5" s="524" t="str">
        <f>IF(ISBLANK('Term 2'!BG9),"",('Term 2'!BG9))</f>
        <v>Passed [C]</v>
      </c>
      <c r="Q5" s="672"/>
      <c r="R5" s="672"/>
      <c r="S5" s="672"/>
      <c r="T5" s="672"/>
      <c r="U5" s="672"/>
      <c r="V5" s="672"/>
      <c r="W5" s="672"/>
      <c r="X5" s="672"/>
      <c r="Y5" s="672"/>
      <c r="Z5" s="672"/>
      <c r="AA5" s="674"/>
      <c r="AB5" s="524" t="str">
        <f>IF(ISBLANK('Term 3'!BG9),"",('Term 3'!BG9))</f>
        <v>Passed [B]</v>
      </c>
      <c r="AC5" s="672"/>
      <c r="AD5" s="672"/>
      <c r="AE5" s="672"/>
      <c r="AF5" s="672"/>
      <c r="AG5" s="672"/>
      <c r="AH5" s="672"/>
      <c r="AI5" s="672"/>
      <c r="AJ5" s="672"/>
      <c r="AK5" s="672"/>
      <c r="AL5" s="672"/>
      <c r="AM5" s="673"/>
    </row>
    <row r="6" ht="15.95" customHeight="1" spans="2:39" x14ac:dyDescent="0.25">
      <c r="B6" s="524">
        <f>IF('Data Input'!M8="","",'Data Input'!M8)</f>
        <v>2000483599</v>
      </c>
      <c r="C6" s="671" t="str">
        <f>IF(ISBLANK('Data Input'!N8),"",PROPER('Data Input'!N8))</f>
        <v>Acala, Aji Rheyacelle</v>
      </c>
      <c r="D6" s="524" t="str">
        <f>IF(ISBLANK('Term 1'!BG10),"",('Term 1'!BG10))</f>
        <v>Passed [B]</v>
      </c>
      <c r="E6" s="219"/>
      <c r="F6" s="219"/>
      <c r="G6" s="219"/>
      <c r="H6" s="219"/>
      <c r="I6" s="219"/>
      <c r="J6" s="219"/>
      <c r="K6" s="219"/>
      <c r="L6" s="219"/>
      <c r="M6" s="219"/>
      <c r="N6" s="219"/>
      <c r="O6" s="675"/>
      <c r="P6" s="524">
        <f>IF(ISBLANK('Term 2'!BG10),"",('Term 2'!BG10))</f>
      </c>
      <c r="Q6" s="219"/>
      <c r="R6" s="219"/>
      <c r="S6" s="219"/>
      <c r="T6" s="219"/>
      <c r="U6" s="219"/>
      <c r="V6" s="219"/>
      <c r="W6" s="219"/>
      <c r="X6" s="219"/>
      <c r="Y6" s="219"/>
      <c r="Z6" s="219"/>
      <c r="AA6" s="676"/>
      <c r="AB6" s="524">
        <f>IF(ISBLANK('Term 3'!BG10),"",('Term 3'!BG10))</f>
      </c>
      <c r="AC6" s="219"/>
      <c r="AD6" s="219"/>
      <c r="AE6" s="219"/>
      <c r="AF6" s="219"/>
      <c r="AG6" s="219"/>
      <c r="AH6" s="219"/>
      <c r="AI6" s="219"/>
      <c r="AJ6" s="219"/>
      <c r="AK6" s="219"/>
      <c r="AL6" s="219"/>
      <c r="AM6" s="675"/>
    </row>
    <row r="7" ht="15.95" customHeight="1" spans="2:39" x14ac:dyDescent="0.25">
      <c r="B7" s="524">
        <f>IF('Data Input'!M9="","",'Data Input'!M9)</f>
        <v>2000480423</v>
      </c>
      <c r="C7" s="671" t="str">
        <f>IF(ISBLANK('Data Input'!N9),"",PROPER('Data Input'!N9))</f>
        <v>Baer, Shania Pearl</v>
      </c>
      <c r="D7" s="524" t="str">
        <f>IF(ISBLANK('Term 1'!BG11),"",('Term 1'!BG11))</f>
        <v>Passed [B]</v>
      </c>
      <c r="E7" s="219"/>
      <c r="F7" s="219"/>
      <c r="G7" s="219"/>
      <c r="H7" s="219"/>
      <c r="I7" s="219"/>
      <c r="J7" s="219"/>
      <c r="K7" s="219"/>
      <c r="L7" s="219"/>
      <c r="M7" s="219"/>
      <c r="N7" s="219"/>
      <c r="O7" s="675"/>
      <c r="P7" s="524">
        <f>IF(ISBLANK('Term 2'!BG11),"",('Term 2'!BG11))</f>
      </c>
      <c r="Q7" s="219"/>
      <c r="R7" s="219"/>
      <c r="S7" s="219"/>
      <c r="T7" s="219"/>
      <c r="U7" s="219"/>
      <c r="V7" s="219"/>
      <c r="W7" s="219"/>
      <c r="X7" s="219"/>
      <c r="Y7" s="219"/>
      <c r="Z7" s="219"/>
      <c r="AA7" s="676"/>
      <c r="AB7" s="524">
        <f>IF(ISBLANK('Term 3'!BG11),"",('Term 3'!BG11))</f>
      </c>
      <c r="AC7" s="219"/>
      <c r="AD7" s="219"/>
      <c r="AE7" s="219"/>
      <c r="AF7" s="219"/>
      <c r="AG7" s="219"/>
      <c r="AH7" s="219"/>
      <c r="AI7" s="219"/>
      <c r="AJ7" s="219"/>
      <c r="AK7" s="219"/>
      <c r="AL7" s="219"/>
      <c r="AM7" s="675"/>
    </row>
    <row r="8" ht="15.95" customHeight="1" spans="2:39" x14ac:dyDescent="0.25">
      <c r="B8" s="524">
        <f>IF('Data Input'!M10="","",'Data Input'!M10)</f>
        <v>2000487858</v>
      </c>
      <c r="C8" s="671" t="str">
        <f>IF(ISBLANK('Data Input'!N10),"",PROPER('Data Input'!N10))</f>
        <v>Bagaporo, Ryeanna Mheryl</v>
      </c>
      <c r="D8" s="524" t="str">
        <f>IF(ISBLANK('Term 1'!BG12),"",('Term 1'!BG12))</f>
        <v>Passed [C]</v>
      </c>
      <c r="E8" s="219"/>
      <c r="F8" s="219"/>
      <c r="G8" s="219"/>
      <c r="H8" s="219"/>
      <c r="I8" s="219"/>
      <c r="J8" s="219"/>
      <c r="K8" s="219"/>
      <c r="L8" s="219"/>
      <c r="M8" s="219"/>
      <c r="N8" s="219"/>
      <c r="O8" s="675"/>
      <c r="P8" s="524">
        <f>IF(ISBLANK('Term 2'!BG12),"",('Term 2'!BG12))</f>
      </c>
      <c r="Q8" s="219"/>
      <c r="R8" s="219"/>
      <c r="S8" s="219"/>
      <c r="T8" s="219"/>
      <c r="U8" s="219"/>
      <c r="V8" s="219"/>
      <c r="W8" s="219"/>
      <c r="X8" s="219"/>
      <c r="Y8" s="219"/>
      <c r="Z8" s="219"/>
      <c r="AA8" s="676"/>
      <c r="AB8" s="524">
        <f>IF(ISBLANK('Term 3'!BG12),"",('Term 3'!BG12))</f>
      </c>
      <c r="AC8" s="219"/>
      <c r="AD8" s="219"/>
      <c r="AE8" s="219"/>
      <c r="AF8" s="219"/>
      <c r="AG8" s="219"/>
      <c r="AH8" s="219"/>
      <c r="AI8" s="219"/>
      <c r="AJ8" s="219"/>
      <c r="AK8" s="219"/>
      <c r="AL8" s="219"/>
      <c r="AM8" s="675"/>
    </row>
    <row r="9" ht="15.95" customHeight="1" spans="2:39" x14ac:dyDescent="0.25">
      <c r="B9" s="524">
        <f>IF('Data Input'!M11="","",'Data Input'!M11)</f>
        <v>2000497598</v>
      </c>
      <c r="C9" s="671" t="str">
        <f>IF(ISBLANK('Data Input'!N11),"",PROPER('Data Input'!N11))</f>
        <v>Belarmino, Easean</v>
      </c>
      <c r="D9" s="524">
        <f>IF(ISBLANK('Term 1'!BG13),"",('Term 1'!BG13))</f>
      </c>
      <c r="E9" s="219"/>
      <c r="F9" s="219"/>
      <c r="G9" s="219"/>
      <c r="H9" s="219"/>
      <c r="I9" s="219"/>
      <c r="J9" s="219"/>
      <c r="K9" s="219"/>
      <c r="L9" s="219"/>
      <c r="M9" s="219"/>
      <c r="N9" s="219"/>
      <c r="O9" s="675"/>
      <c r="P9" s="524">
        <f>IF(ISBLANK('Term 2'!BG13),"",('Term 2'!BG13))</f>
      </c>
      <c r="Q9" s="219"/>
      <c r="R9" s="219"/>
      <c r="S9" s="219"/>
      <c r="T9" s="219"/>
      <c r="U9" s="219"/>
      <c r="V9" s="219"/>
      <c r="W9" s="219"/>
      <c r="X9" s="219"/>
      <c r="Y9" s="219"/>
      <c r="Z9" s="219"/>
      <c r="AA9" s="676"/>
      <c r="AB9" s="524">
        <f>IF(ISBLANK('Term 3'!BG13),"",('Term 3'!BG13))</f>
      </c>
      <c r="AC9" s="219"/>
      <c r="AD9" s="219"/>
      <c r="AE9" s="219"/>
      <c r="AF9" s="219"/>
      <c r="AG9" s="219"/>
      <c r="AH9" s="219"/>
      <c r="AI9" s="219"/>
      <c r="AJ9" s="219"/>
      <c r="AK9" s="219"/>
      <c r="AL9" s="219"/>
      <c r="AM9" s="675"/>
    </row>
    <row r="10" ht="15.95" customHeight="1" spans="2:39" x14ac:dyDescent="0.25">
      <c r="B10" s="524">
        <f>IF('Data Input'!M12="","",'Data Input'!M12)</f>
        <v>2000504370</v>
      </c>
      <c r="C10" s="671" t="str">
        <f>IF(ISBLANK('Data Input'!N12),"",PROPER('Data Input'!N12))</f>
        <v>Borja, Greedy</v>
      </c>
      <c r="D10" s="524" t="str">
        <f>IF(ISBLANK('Term 1'!BG14),"",('Term 1'!BG14))</f>
        <v>Passed [B]</v>
      </c>
      <c r="E10" s="219"/>
      <c r="F10" s="219"/>
      <c r="G10" s="219"/>
      <c r="H10" s="219"/>
      <c r="I10" s="219"/>
      <c r="J10" s="219"/>
      <c r="K10" s="219"/>
      <c r="L10" s="219"/>
      <c r="M10" s="219"/>
      <c r="N10" s="219"/>
      <c r="O10" s="675"/>
      <c r="P10" s="524">
        <f>IF(ISBLANK('Term 2'!BG14),"",('Term 2'!BG14))</f>
      </c>
      <c r="Q10" s="219"/>
      <c r="R10" s="219"/>
      <c r="S10" s="219"/>
      <c r="T10" s="219"/>
      <c r="U10" s="219"/>
      <c r="V10" s="219"/>
      <c r="W10" s="219"/>
      <c r="X10" s="219"/>
      <c r="Y10" s="219"/>
      <c r="Z10" s="219"/>
      <c r="AA10" s="676"/>
      <c r="AB10" s="524">
        <f>IF(ISBLANK('Term 3'!BG14),"",('Term 3'!BG14))</f>
      </c>
      <c r="AC10" s="219"/>
      <c r="AD10" s="219"/>
      <c r="AE10" s="219"/>
      <c r="AF10" s="219"/>
      <c r="AG10" s="219"/>
      <c r="AH10" s="219"/>
      <c r="AI10" s="219"/>
      <c r="AJ10" s="219"/>
      <c r="AK10" s="219"/>
      <c r="AL10" s="219"/>
      <c r="AM10" s="675"/>
    </row>
    <row r="11" ht="15.95" customHeight="1" spans="2:39" x14ac:dyDescent="0.25">
      <c r="B11" s="524">
        <f>IF('Data Input'!M13="","",'Data Input'!M13)</f>
        <v>2000480420</v>
      </c>
      <c r="C11" s="671" t="str">
        <f>IF(ISBLANK('Data Input'!N13),"",PROPER('Data Input'!N13))</f>
        <v>Cabalquinto, Juvy</v>
      </c>
      <c r="D11" s="524" t="str">
        <f>IF(ISBLANK('Term 1'!BG15),"",('Term 1'!BG15))</f>
        <v>Passed [C]</v>
      </c>
      <c r="E11" s="219"/>
      <c r="F11" s="219"/>
      <c r="G11" s="219"/>
      <c r="H11" s="219"/>
      <c r="I11" s="219"/>
      <c r="J11" s="219"/>
      <c r="K11" s="219"/>
      <c r="L11" s="219"/>
      <c r="M11" s="219"/>
      <c r="N11" s="219"/>
      <c r="O11" s="675"/>
      <c r="P11" s="524">
        <f>IF(ISBLANK('Term 2'!BG15),"",('Term 2'!BG15))</f>
      </c>
      <c r="Q11" s="219"/>
      <c r="R11" s="219"/>
      <c r="S11" s="219"/>
      <c r="T11" s="219"/>
      <c r="U11" s="219"/>
      <c r="V11" s="219"/>
      <c r="W11" s="219"/>
      <c r="X11" s="219"/>
      <c r="Y11" s="219"/>
      <c r="Z11" s="219"/>
      <c r="AA11" s="676"/>
      <c r="AB11" s="524">
        <f>IF(ISBLANK('Term 3'!BG15),"",('Term 3'!BG15))</f>
      </c>
      <c r="AC11" s="219"/>
      <c r="AD11" s="219"/>
      <c r="AE11" s="219"/>
      <c r="AF11" s="219"/>
      <c r="AG11" s="219"/>
      <c r="AH11" s="219"/>
      <c r="AI11" s="219"/>
      <c r="AJ11" s="219"/>
      <c r="AK11" s="219"/>
      <c r="AL11" s="219"/>
      <c r="AM11" s="675"/>
    </row>
    <row r="12" ht="15.95" customHeight="1" spans="2:39" x14ac:dyDescent="0.25">
      <c r="B12" s="524">
        <f>IF('Data Input'!M14="","",'Data Input'!M14)</f>
        <v>2000487004</v>
      </c>
      <c r="C12" s="671" t="str">
        <f>IF(ISBLANK('Data Input'!N14),"",PROPER('Data Input'!N14))</f>
        <v>Conlu, Marc Jeffrey</v>
      </c>
      <c r="D12" s="524" t="str">
        <f>IF(ISBLANK('Term 1'!BG16),"",('Term 1'!BG16))</f>
        <v>Passed [C]</v>
      </c>
      <c r="E12" s="219"/>
      <c r="F12" s="219"/>
      <c r="G12" s="219"/>
      <c r="H12" s="219"/>
      <c r="I12" s="219"/>
      <c r="J12" s="219"/>
      <c r="K12" s="219"/>
      <c r="L12" s="219"/>
      <c r="M12" s="219"/>
      <c r="N12" s="219"/>
      <c r="O12" s="675"/>
      <c r="P12" s="524">
        <f>IF(ISBLANK('Term 2'!BG16),"",('Term 2'!BG16))</f>
      </c>
      <c r="Q12" s="219"/>
      <c r="R12" s="219"/>
      <c r="S12" s="219"/>
      <c r="T12" s="219"/>
      <c r="U12" s="219"/>
      <c r="V12" s="219"/>
      <c r="W12" s="219"/>
      <c r="X12" s="219"/>
      <c r="Y12" s="219"/>
      <c r="Z12" s="219"/>
      <c r="AA12" s="676"/>
      <c r="AB12" s="524">
        <f>IF(ISBLANK('Term 3'!BG16),"",('Term 3'!BG16))</f>
      </c>
      <c r="AC12" s="219"/>
      <c r="AD12" s="219"/>
      <c r="AE12" s="219"/>
      <c r="AF12" s="219"/>
      <c r="AG12" s="219"/>
      <c r="AH12" s="219"/>
      <c r="AI12" s="219"/>
      <c r="AJ12" s="219"/>
      <c r="AK12" s="219"/>
      <c r="AL12" s="219"/>
      <c r="AM12" s="675"/>
    </row>
    <row r="13" ht="15.95" customHeight="1" spans="2:39" x14ac:dyDescent="0.25">
      <c r="B13" s="524">
        <f>IF('Data Input'!M15="","",'Data Input'!M15)</f>
        <v>2000488434</v>
      </c>
      <c r="C13" s="671" t="str">
        <f>IF(ISBLANK('Data Input'!N15),"",PROPER('Data Input'!N15))</f>
        <v>De Luna, Felicity Ryne</v>
      </c>
      <c r="D13" s="524" t="str">
        <f>IF(ISBLANK('Term 1'!BG17),"",('Term 1'!BG17))</f>
        <v>Passed [C]</v>
      </c>
      <c r="E13" s="219"/>
      <c r="F13" s="219"/>
      <c r="G13" s="219"/>
      <c r="H13" s="219"/>
      <c r="I13" s="219"/>
      <c r="J13" s="219"/>
      <c r="K13" s="219"/>
      <c r="L13" s="219"/>
      <c r="M13" s="219"/>
      <c r="N13" s="219"/>
      <c r="O13" s="675"/>
      <c r="P13" s="524">
        <f>IF(ISBLANK('Term 2'!BG17),"",('Term 2'!BG17))</f>
      </c>
      <c r="Q13" s="219"/>
      <c r="R13" s="219"/>
      <c r="S13" s="219"/>
      <c r="T13" s="219"/>
      <c r="U13" s="219"/>
      <c r="V13" s="219"/>
      <c r="W13" s="219"/>
      <c r="X13" s="219"/>
      <c r="Y13" s="219"/>
      <c r="Z13" s="219"/>
      <c r="AA13" s="676"/>
      <c r="AB13" s="524">
        <f>IF(ISBLANK('Term 3'!BG17),"",('Term 3'!BG17))</f>
      </c>
      <c r="AC13" s="219"/>
      <c r="AD13" s="219"/>
      <c r="AE13" s="219"/>
      <c r="AF13" s="219"/>
      <c r="AG13" s="219"/>
      <c r="AH13" s="219"/>
      <c r="AI13" s="219"/>
      <c r="AJ13" s="219"/>
      <c r="AK13" s="219"/>
      <c r="AL13" s="219"/>
      <c r="AM13" s="675"/>
    </row>
    <row r="14" ht="15.95" customHeight="1" spans="2:39" x14ac:dyDescent="0.25">
      <c r="B14" s="524">
        <f>IF('Data Input'!M16="","",'Data Input'!M16)</f>
        <v>2000485973</v>
      </c>
      <c r="C14" s="671" t="str">
        <f>IF(ISBLANK('Data Input'!N16),"",PROPER('Data Input'!N16))</f>
        <v>Delos Reyes, Gavin Zue</v>
      </c>
      <c r="D14" s="524" t="str">
        <f>IF(ISBLANK('Term 1'!BG18),"",('Term 1'!BG18))</f>
        <v>Passed [B]</v>
      </c>
      <c r="E14" s="219"/>
      <c r="F14" s="219"/>
      <c r="G14" s="219"/>
      <c r="H14" s="219"/>
      <c r="I14" s="219"/>
      <c r="J14" s="219"/>
      <c r="K14" s="219"/>
      <c r="L14" s="219"/>
      <c r="M14" s="219"/>
      <c r="N14" s="219"/>
      <c r="O14" s="675"/>
      <c r="P14" s="524">
        <f>IF(ISBLANK('Term 2'!BG18),"",('Term 2'!BG18))</f>
      </c>
      <c r="Q14" s="219"/>
      <c r="R14" s="219"/>
      <c r="S14" s="219"/>
      <c r="T14" s="219"/>
      <c r="U14" s="219"/>
      <c r="V14" s="219"/>
      <c r="W14" s="219"/>
      <c r="X14" s="219"/>
      <c r="Y14" s="219"/>
      <c r="Z14" s="219"/>
      <c r="AA14" s="676"/>
      <c r="AB14" s="524">
        <f>IF(ISBLANK('Term 3'!BG18),"",('Term 3'!BG18))</f>
      </c>
      <c r="AC14" s="219"/>
      <c r="AD14" s="219"/>
      <c r="AE14" s="219"/>
      <c r="AF14" s="219"/>
      <c r="AG14" s="219"/>
      <c r="AH14" s="219"/>
      <c r="AI14" s="219"/>
      <c r="AJ14" s="219"/>
      <c r="AK14" s="219"/>
      <c r="AL14" s="219"/>
      <c r="AM14" s="675"/>
    </row>
    <row r="15" ht="15.95" customHeight="1" spans="2:39" x14ac:dyDescent="0.25">
      <c r="B15" s="524">
        <f>IF('Data Input'!M17="","",'Data Input'!M17)</f>
        <v>2000486374</v>
      </c>
      <c r="C15" s="671" t="str">
        <f>IF(ISBLANK('Data Input'!N17),"",PROPER('Data Input'!N17))</f>
        <v>Dianela, Mary Diane</v>
      </c>
      <c r="D15" s="524" t="str">
        <f>IF(ISBLANK('Term 1'!BG19),"",('Term 1'!BG19))</f>
        <v>Passed [B]</v>
      </c>
      <c r="E15" s="219"/>
      <c r="F15" s="219"/>
      <c r="G15" s="219"/>
      <c r="H15" s="219"/>
      <c r="I15" s="219"/>
      <c r="J15" s="219"/>
      <c r="K15" s="219"/>
      <c r="L15" s="219"/>
      <c r="M15" s="219"/>
      <c r="N15" s="219"/>
      <c r="O15" s="675"/>
      <c r="P15" s="524">
        <f>IF(ISBLANK('Term 2'!BG19),"",('Term 2'!BG19))</f>
      </c>
      <c r="Q15" s="219"/>
      <c r="R15" s="219"/>
      <c r="S15" s="219"/>
      <c r="T15" s="219"/>
      <c r="U15" s="219"/>
      <c r="V15" s="219"/>
      <c r="W15" s="219"/>
      <c r="X15" s="219"/>
      <c r="Y15" s="219"/>
      <c r="Z15" s="219"/>
      <c r="AA15" s="676"/>
      <c r="AB15" s="524">
        <f>IF(ISBLANK('Term 3'!BG19),"",('Term 3'!BG19))</f>
      </c>
      <c r="AC15" s="219"/>
      <c r="AD15" s="219"/>
      <c r="AE15" s="219"/>
      <c r="AF15" s="219"/>
      <c r="AG15" s="219"/>
      <c r="AH15" s="219"/>
      <c r="AI15" s="219"/>
      <c r="AJ15" s="219"/>
      <c r="AK15" s="219"/>
      <c r="AL15" s="219"/>
      <c r="AM15" s="675"/>
    </row>
    <row r="16" ht="15.95" customHeight="1" spans="2:39" x14ac:dyDescent="0.25">
      <c r="B16" s="524">
        <f>IF('Data Input'!M18="","",'Data Input'!M18)</f>
        <v>2000486376</v>
      </c>
      <c r="C16" s="671" t="str">
        <f>IF(ISBLANK('Data Input'!N18),"",PROPER('Data Input'!N18))</f>
        <v>Dikit, Jon Juin</v>
      </c>
      <c r="D16" s="524" t="str">
        <f>IF(ISBLANK('Term 1'!BG20),"",('Term 1'!BG20))</f>
        <v>Passed [C]</v>
      </c>
      <c r="E16" s="219"/>
      <c r="F16" s="219"/>
      <c r="G16" s="219"/>
      <c r="H16" s="219"/>
      <c r="I16" s="219"/>
      <c r="J16" s="219"/>
      <c r="K16" s="219"/>
      <c r="L16" s="219"/>
      <c r="M16" s="219"/>
      <c r="N16" s="219"/>
      <c r="O16" s="675"/>
      <c r="P16" s="524">
        <f>IF(ISBLANK('Term 2'!BG20),"",('Term 2'!BG20))</f>
      </c>
      <c r="Q16" s="219"/>
      <c r="R16" s="219"/>
      <c r="S16" s="219"/>
      <c r="T16" s="219"/>
      <c r="U16" s="219"/>
      <c r="V16" s="219"/>
      <c r="W16" s="219"/>
      <c r="X16" s="219"/>
      <c r="Y16" s="219"/>
      <c r="Z16" s="219"/>
      <c r="AA16" s="676"/>
      <c r="AB16" s="524">
        <f>IF(ISBLANK('Term 3'!BG20),"",('Term 3'!BG20))</f>
      </c>
      <c r="AC16" s="219"/>
      <c r="AD16" s="219"/>
      <c r="AE16" s="219"/>
      <c r="AF16" s="219"/>
      <c r="AG16" s="219"/>
      <c r="AH16" s="219"/>
      <c r="AI16" s="219"/>
      <c r="AJ16" s="219"/>
      <c r="AK16" s="219"/>
      <c r="AL16" s="219"/>
      <c r="AM16" s="675"/>
    </row>
    <row r="17" ht="15.95" customHeight="1" spans="2:39" x14ac:dyDescent="0.25">
      <c r="B17" s="524">
        <f>IF('Data Input'!M19="","",'Data Input'!M19)</f>
        <v>2000490030</v>
      </c>
      <c r="C17" s="671" t="str">
        <f>IF(ISBLANK('Data Input'!N19),"",PROPER('Data Input'!N19))</f>
        <v>Estor, Phoeb Remedios</v>
      </c>
      <c r="D17" s="524" t="str">
        <f>IF(ISBLANK('Term 1'!BG21),"",('Term 1'!BG21))</f>
        <v>Failed [D]</v>
      </c>
      <c r="E17" s="219"/>
      <c r="F17" s="219"/>
      <c r="G17" s="219"/>
      <c r="H17" s="219"/>
      <c r="I17" s="219"/>
      <c r="J17" s="219"/>
      <c r="K17" s="219"/>
      <c r="L17" s="219"/>
      <c r="M17" s="219"/>
      <c r="N17" s="219"/>
      <c r="O17" s="675"/>
      <c r="P17" s="524">
        <f>IF(ISBLANK('Term 2'!BG21),"",('Term 2'!BG21))</f>
      </c>
      <c r="Q17" s="219"/>
      <c r="R17" s="219"/>
      <c r="S17" s="219"/>
      <c r="T17" s="219"/>
      <c r="U17" s="219"/>
      <c r="V17" s="219"/>
      <c r="W17" s="219"/>
      <c r="X17" s="219"/>
      <c r="Y17" s="219"/>
      <c r="Z17" s="219"/>
      <c r="AA17" s="676"/>
      <c r="AB17" s="524">
        <f>IF(ISBLANK('Term 3'!BG21),"",('Term 3'!BG21))</f>
      </c>
      <c r="AC17" s="219"/>
      <c r="AD17" s="219"/>
      <c r="AE17" s="219"/>
      <c r="AF17" s="219"/>
      <c r="AG17" s="219"/>
      <c r="AH17" s="219"/>
      <c r="AI17" s="219"/>
      <c r="AJ17" s="219"/>
      <c r="AK17" s="219"/>
      <c r="AL17" s="219"/>
      <c r="AM17" s="675"/>
    </row>
    <row r="18" ht="15.95" customHeight="1" spans="2:39" x14ac:dyDescent="0.25">
      <c r="B18" s="524">
        <f>IF('Data Input'!M20="","",'Data Input'!M20)</f>
        <v>2000498660</v>
      </c>
      <c r="C18" s="671" t="str">
        <f>IF(ISBLANK('Data Input'!N20),"",PROPER('Data Input'!N20))</f>
        <v>Estoria, John Kyle Timothy</v>
      </c>
      <c r="D18" s="524" t="str">
        <f>IF(ISBLANK('Term 1'!BG22),"",('Term 1'!BG22))</f>
        <v>Passed [B]</v>
      </c>
      <c r="E18" s="219"/>
      <c r="F18" s="219"/>
      <c r="G18" s="219"/>
      <c r="H18" s="219"/>
      <c r="I18" s="219"/>
      <c r="J18" s="219"/>
      <c r="K18" s="219"/>
      <c r="L18" s="219"/>
      <c r="M18" s="219"/>
      <c r="N18" s="219"/>
      <c r="O18" s="675"/>
      <c r="P18" s="524">
        <f>IF(ISBLANK('Term 2'!BG22),"",('Term 2'!BG22))</f>
      </c>
      <c r="Q18" s="219"/>
      <c r="R18" s="219"/>
      <c r="S18" s="219"/>
      <c r="T18" s="219"/>
      <c r="U18" s="219"/>
      <c r="V18" s="219"/>
      <c r="W18" s="219"/>
      <c r="X18" s="219"/>
      <c r="Y18" s="219"/>
      <c r="Z18" s="219"/>
      <c r="AA18" s="676"/>
      <c r="AB18" s="524">
        <f>IF(ISBLANK('Term 3'!BG22),"",('Term 3'!BG22))</f>
      </c>
      <c r="AC18" s="219"/>
      <c r="AD18" s="219"/>
      <c r="AE18" s="219"/>
      <c r="AF18" s="219"/>
      <c r="AG18" s="219"/>
      <c r="AH18" s="219"/>
      <c r="AI18" s="219"/>
      <c r="AJ18" s="219"/>
      <c r="AK18" s="219"/>
      <c r="AL18" s="219"/>
      <c r="AM18" s="675"/>
    </row>
    <row r="19" ht="15.95" customHeight="1" spans="2:39" x14ac:dyDescent="0.25">
      <c r="B19" s="524">
        <f>IF('Data Input'!M21="","",'Data Input'!M21)</f>
        <v>2000485981</v>
      </c>
      <c r="C19" s="671" t="str">
        <f>IF(ISBLANK('Data Input'!N21),"",PROPER('Data Input'!N21))</f>
        <v>Garcia, Ariorie Ven Amher</v>
      </c>
      <c r="D19" s="524" t="str">
        <f>IF(ISBLANK('Term 1'!BG23),"",('Term 1'!BG23))</f>
        <v>Passed [B]</v>
      </c>
      <c r="E19" s="219"/>
      <c r="F19" s="219"/>
      <c r="G19" s="219"/>
      <c r="H19" s="219"/>
      <c r="I19" s="219"/>
      <c r="J19" s="219"/>
      <c r="K19" s="219"/>
      <c r="L19" s="219"/>
      <c r="M19" s="219"/>
      <c r="N19" s="219"/>
      <c r="O19" s="675"/>
      <c r="P19" s="524">
        <f>IF(ISBLANK('Term 2'!BG23),"",('Term 2'!BG23))</f>
      </c>
      <c r="Q19" s="219"/>
      <c r="R19" s="219"/>
      <c r="S19" s="219"/>
      <c r="T19" s="219"/>
      <c r="U19" s="219"/>
      <c r="V19" s="219"/>
      <c r="W19" s="219"/>
      <c r="X19" s="219"/>
      <c r="Y19" s="219"/>
      <c r="Z19" s="219"/>
      <c r="AA19" s="676"/>
      <c r="AB19" s="524">
        <f>IF(ISBLANK('Term 3'!BG23),"",('Term 3'!BG23))</f>
      </c>
      <c r="AC19" s="219"/>
      <c r="AD19" s="219"/>
      <c r="AE19" s="219"/>
      <c r="AF19" s="219"/>
      <c r="AG19" s="219"/>
      <c r="AH19" s="219"/>
      <c r="AI19" s="219"/>
      <c r="AJ19" s="219"/>
      <c r="AK19" s="219"/>
      <c r="AL19" s="219"/>
      <c r="AM19" s="675"/>
    </row>
    <row r="20" ht="15.95" customHeight="1" spans="2:39" x14ac:dyDescent="0.25">
      <c r="B20" s="524">
        <f>IF('Data Input'!M22="","",'Data Input'!M22)</f>
        <v>2000499229</v>
      </c>
      <c r="C20" s="671" t="str">
        <f>IF(ISBLANK('Data Input'!N22),"",PROPER('Data Input'!N22))</f>
        <v>Gavino, Reisha Lorriane</v>
      </c>
      <c r="D20" s="524" t="str">
        <f>IF(ISBLANK('Term 1'!BG24),"",('Term 1'!BG24))</f>
        <v>Passed [C]</v>
      </c>
      <c r="E20" s="219"/>
      <c r="F20" s="219"/>
      <c r="G20" s="219"/>
      <c r="H20" s="219"/>
      <c r="I20" s="219"/>
      <c r="J20" s="219"/>
      <c r="K20" s="219"/>
      <c r="L20" s="219"/>
      <c r="M20" s="219"/>
      <c r="N20" s="219"/>
      <c r="O20" s="675"/>
      <c r="P20" s="524">
        <f>IF(ISBLANK('Term 2'!BG24),"",('Term 2'!BG24))</f>
      </c>
      <c r="Q20" s="219"/>
      <c r="R20" s="219"/>
      <c r="S20" s="219"/>
      <c r="T20" s="219"/>
      <c r="U20" s="219"/>
      <c r="V20" s="219"/>
      <c r="W20" s="219"/>
      <c r="X20" s="219"/>
      <c r="Y20" s="219"/>
      <c r="Z20" s="219"/>
      <c r="AA20" s="676"/>
      <c r="AB20" s="524">
        <f>IF(ISBLANK('Term 3'!BG24),"",('Term 3'!BG24))</f>
      </c>
      <c r="AC20" s="219"/>
      <c r="AD20" s="219"/>
      <c r="AE20" s="219"/>
      <c r="AF20" s="219"/>
      <c r="AG20" s="219"/>
      <c r="AH20" s="219"/>
      <c r="AI20" s="219"/>
      <c r="AJ20" s="219"/>
      <c r="AK20" s="219"/>
      <c r="AL20" s="219"/>
      <c r="AM20" s="675"/>
    </row>
    <row r="21" ht="15.95" customHeight="1" spans="2:39" x14ac:dyDescent="0.25">
      <c r="B21" s="524">
        <f>IF('Data Input'!M23="","",'Data Input'!M23)</f>
        <v>2000481947</v>
      </c>
      <c r="C21" s="671" t="str">
        <f>IF(ISBLANK('Data Input'!N23),"",PROPER('Data Input'!N23))</f>
        <v>Jacobo, Ezra</v>
      </c>
      <c r="D21" s="524" t="str">
        <f>IF(ISBLANK('Term 1'!BG25),"",('Term 1'!BG25))</f>
        <v>At-Risk</v>
      </c>
      <c r="E21" s="219"/>
      <c r="F21" s="219"/>
      <c r="G21" s="219"/>
      <c r="H21" s="219"/>
      <c r="I21" s="219"/>
      <c r="J21" s="219"/>
      <c r="K21" s="219"/>
      <c r="L21" s="219"/>
      <c r="M21" s="219"/>
      <c r="N21" s="219"/>
      <c r="O21" s="675"/>
      <c r="P21" s="524">
        <f>IF(ISBLANK('Term 2'!BG25),"",('Term 2'!BG25))</f>
      </c>
      <c r="Q21" s="219"/>
      <c r="R21" s="219"/>
      <c r="S21" s="219"/>
      <c r="T21" s="219"/>
      <c r="U21" s="219"/>
      <c r="V21" s="219"/>
      <c r="W21" s="219"/>
      <c r="X21" s="219"/>
      <c r="Y21" s="219"/>
      <c r="Z21" s="219"/>
      <c r="AA21" s="676"/>
      <c r="AB21" s="524">
        <f>IF(ISBLANK('Term 3'!BG25),"",('Term 3'!BG25))</f>
      </c>
      <c r="AC21" s="219"/>
      <c r="AD21" s="219"/>
      <c r="AE21" s="219"/>
      <c r="AF21" s="219"/>
      <c r="AG21" s="219"/>
      <c r="AH21" s="219"/>
      <c r="AI21" s="219"/>
      <c r="AJ21" s="219"/>
      <c r="AK21" s="219"/>
      <c r="AL21" s="219"/>
      <c r="AM21" s="675"/>
    </row>
    <row r="22" ht="15.95" customHeight="1" spans="2:39" x14ac:dyDescent="0.25">
      <c r="B22" s="524">
        <f>IF('Data Input'!M24="","",'Data Input'!M24)</f>
        <v>2000488472</v>
      </c>
      <c r="C22" s="671" t="str">
        <f>IF(ISBLANK('Data Input'!N24),"",PROPER('Data Input'!N24))</f>
        <v>Jani, Joseph Louie</v>
      </c>
      <c r="D22" s="524" t="str">
        <f>IF(ISBLANK('Term 1'!BG26),"",('Term 1'!BG26))</f>
        <v>Passed [B]</v>
      </c>
      <c r="E22" s="219"/>
      <c r="F22" s="219"/>
      <c r="G22" s="219"/>
      <c r="H22" s="219"/>
      <c r="I22" s="219"/>
      <c r="J22" s="219"/>
      <c r="K22" s="219"/>
      <c r="L22" s="219"/>
      <c r="M22" s="219"/>
      <c r="N22" s="219"/>
      <c r="O22" s="675"/>
      <c r="P22" s="524">
        <f>IF(ISBLANK('Term 2'!BG26),"",('Term 2'!BG26))</f>
      </c>
      <c r="Q22" s="219"/>
      <c r="R22" s="219"/>
      <c r="S22" s="219"/>
      <c r="T22" s="219"/>
      <c r="U22" s="219"/>
      <c r="V22" s="219"/>
      <c r="W22" s="219"/>
      <c r="X22" s="219"/>
      <c r="Y22" s="219"/>
      <c r="Z22" s="219"/>
      <c r="AA22" s="676"/>
      <c r="AB22" s="524">
        <f>IF(ISBLANK('Term 3'!BG26),"",('Term 3'!BG26))</f>
      </c>
      <c r="AC22" s="219"/>
      <c r="AD22" s="219"/>
      <c r="AE22" s="219"/>
      <c r="AF22" s="219"/>
      <c r="AG22" s="219"/>
      <c r="AH22" s="219"/>
      <c r="AI22" s="219"/>
      <c r="AJ22" s="219"/>
      <c r="AK22" s="219"/>
      <c r="AL22" s="219"/>
      <c r="AM22" s="675"/>
    </row>
    <row r="23" ht="15.95" customHeight="1" spans="2:39" x14ac:dyDescent="0.25">
      <c r="B23" s="524">
        <f>IF('Data Input'!M25="","",'Data Input'!M25)</f>
        <v>2000494958</v>
      </c>
      <c r="C23" s="671" t="str">
        <f>IF(ISBLANK('Data Input'!N25),"",PROPER('Data Input'!N25))</f>
        <v>Ledesma, Carl Austin</v>
      </c>
      <c r="D23" s="524" t="str">
        <f>IF(ISBLANK('Term 1'!BG27),"",('Term 1'!BG27))</f>
        <v>Passed [A]</v>
      </c>
      <c r="E23" s="219"/>
      <c r="F23" s="219"/>
      <c r="G23" s="219"/>
      <c r="H23" s="219"/>
      <c r="I23" s="219"/>
      <c r="J23" s="219"/>
      <c r="K23" s="219"/>
      <c r="L23" s="219"/>
      <c r="M23" s="219"/>
      <c r="N23" s="219"/>
      <c r="O23" s="675"/>
      <c r="P23" s="524">
        <f>IF(ISBLANK('Term 2'!BG27),"",('Term 2'!BG27))</f>
      </c>
      <c r="Q23" s="219"/>
      <c r="R23" s="219"/>
      <c r="S23" s="219"/>
      <c r="T23" s="219"/>
      <c r="U23" s="219"/>
      <c r="V23" s="219"/>
      <c r="W23" s="219"/>
      <c r="X23" s="219"/>
      <c r="Y23" s="219"/>
      <c r="Z23" s="219"/>
      <c r="AA23" s="676"/>
      <c r="AB23" s="524">
        <f>IF(ISBLANK('Term 3'!BG27),"",('Term 3'!BG27))</f>
      </c>
      <c r="AC23" s="219"/>
      <c r="AD23" s="219"/>
      <c r="AE23" s="219"/>
      <c r="AF23" s="219"/>
      <c r="AG23" s="219"/>
      <c r="AH23" s="219"/>
      <c r="AI23" s="219"/>
      <c r="AJ23" s="219"/>
      <c r="AK23" s="219"/>
      <c r="AL23" s="219"/>
      <c r="AM23" s="675"/>
    </row>
    <row r="24" ht="15.95" customHeight="1" spans="2:39" x14ac:dyDescent="0.25">
      <c r="B24" s="524">
        <f>IF('Data Input'!M26="","",'Data Input'!M26)</f>
        <v>2000498659</v>
      </c>
      <c r="C24" s="671" t="str">
        <f>IF(ISBLANK('Data Input'!N26),"",PROPER('Data Input'!N26))</f>
        <v>Llamado, John Jerome</v>
      </c>
      <c r="D24" s="524" t="str">
        <f>IF(ISBLANK('Term 1'!BG28),"",('Term 1'!BG28))</f>
        <v>Passed [C]</v>
      </c>
      <c r="E24" s="219"/>
      <c r="F24" s="219"/>
      <c r="G24" s="219"/>
      <c r="H24" s="219"/>
      <c r="I24" s="219"/>
      <c r="J24" s="219"/>
      <c r="K24" s="219"/>
      <c r="L24" s="219"/>
      <c r="M24" s="219"/>
      <c r="N24" s="219"/>
      <c r="O24" s="675"/>
      <c r="P24" s="524">
        <f>IF(ISBLANK('Term 2'!BG28),"",('Term 2'!BG28))</f>
      </c>
      <c r="Q24" s="219"/>
      <c r="R24" s="219"/>
      <c r="S24" s="219"/>
      <c r="T24" s="219"/>
      <c r="U24" s="219"/>
      <c r="V24" s="219"/>
      <c r="W24" s="219"/>
      <c r="X24" s="219"/>
      <c r="Y24" s="219"/>
      <c r="Z24" s="219"/>
      <c r="AA24" s="676"/>
      <c r="AB24" s="524">
        <f>IF(ISBLANK('Term 3'!BG28),"",('Term 3'!BG28))</f>
      </c>
      <c r="AC24" s="219"/>
      <c r="AD24" s="219"/>
      <c r="AE24" s="219"/>
      <c r="AF24" s="219"/>
      <c r="AG24" s="219"/>
      <c r="AH24" s="219"/>
      <c r="AI24" s="219"/>
      <c r="AJ24" s="219"/>
      <c r="AK24" s="219"/>
      <c r="AL24" s="219"/>
      <c r="AM24" s="675"/>
    </row>
    <row r="25" ht="15.95" customHeight="1" spans="2:39" x14ac:dyDescent="0.25">
      <c r="B25" s="524">
        <f>IF('Data Input'!M27="","",'Data Input'!M27)</f>
        <v>2000496341</v>
      </c>
      <c r="C25" s="671" t="str">
        <f>IF(ISBLANK('Data Input'!N27),"",PROPER('Data Input'!N27))</f>
        <v>Maquite, John Michael</v>
      </c>
      <c r="D25" s="524" t="str">
        <f>IF(ISBLANK('Term 1'!BG29),"",('Term 1'!BG29))</f>
        <v>Passed [C]</v>
      </c>
      <c r="E25" s="219"/>
      <c r="F25" s="219"/>
      <c r="G25" s="219"/>
      <c r="H25" s="219"/>
      <c r="I25" s="219"/>
      <c r="J25" s="219"/>
      <c r="K25" s="219"/>
      <c r="L25" s="219"/>
      <c r="M25" s="219"/>
      <c r="N25" s="219"/>
      <c r="O25" s="675"/>
      <c r="P25" s="524">
        <f>IF(ISBLANK('Term 2'!BG29),"",('Term 2'!BG29))</f>
      </c>
      <c r="Q25" s="219"/>
      <c r="R25" s="219"/>
      <c r="S25" s="219"/>
      <c r="T25" s="219"/>
      <c r="U25" s="219"/>
      <c r="V25" s="219"/>
      <c r="W25" s="219"/>
      <c r="X25" s="219"/>
      <c r="Y25" s="219"/>
      <c r="Z25" s="219"/>
      <c r="AA25" s="676"/>
      <c r="AB25" s="524">
        <f>IF(ISBLANK('Term 3'!BG29),"",('Term 3'!BG29))</f>
      </c>
      <c r="AC25" s="219"/>
      <c r="AD25" s="219"/>
      <c r="AE25" s="219"/>
      <c r="AF25" s="219"/>
      <c r="AG25" s="219"/>
      <c r="AH25" s="219"/>
      <c r="AI25" s="219"/>
      <c r="AJ25" s="219"/>
      <c r="AK25" s="219"/>
      <c r="AL25" s="219"/>
      <c r="AM25" s="675"/>
    </row>
    <row r="26" ht="15.95" customHeight="1" spans="2:39" x14ac:dyDescent="0.25">
      <c r="B26" s="524">
        <f>IF('Data Input'!M28="","",'Data Input'!M28)</f>
        <v>2000494490</v>
      </c>
      <c r="C26" s="671" t="str">
        <f>IF(ISBLANK('Data Input'!N28),"",PROPER('Data Input'!N28))</f>
        <v>Melgar, Niza Jade</v>
      </c>
      <c r="D26" s="524" t="str">
        <f>IF(ISBLANK('Term 1'!BG30),"",('Term 1'!BG30))</f>
        <v>Failed [D]</v>
      </c>
      <c r="E26" s="219"/>
      <c r="F26" s="219"/>
      <c r="G26" s="219"/>
      <c r="H26" s="219"/>
      <c r="I26" s="219"/>
      <c r="J26" s="219"/>
      <c r="K26" s="219"/>
      <c r="L26" s="219"/>
      <c r="M26" s="219"/>
      <c r="N26" s="219"/>
      <c r="O26" s="675"/>
      <c r="P26" s="524">
        <f>IF(ISBLANK('Term 2'!BG30),"",('Term 2'!BG30))</f>
      </c>
      <c r="Q26" s="219"/>
      <c r="R26" s="219"/>
      <c r="S26" s="219"/>
      <c r="T26" s="219"/>
      <c r="U26" s="219"/>
      <c r="V26" s="219"/>
      <c r="W26" s="219"/>
      <c r="X26" s="219"/>
      <c r="Y26" s="219"/>
      <c r="Z26" s="219"/>
      <c r="AA26" s="676"/>
      <c r="AB26" s="524">
        <f>IF(ISBLANK('Term 3'!BG30),"",('Term 3'!BG30))</f>
      </c>
      <c r="AC26" s="219"/>
      <c r="AD26" s="219"/>
      <c r="AE26" s="219"/>
      <c r="AF26" s="219"/>
      <c r="AG26" s="219"/>
      <c r="AH26" s="219"/>
      <c r="AI26" s="219"/>
      <c r="AJ26" s="219"/>
      <c r="AK26" s="219"/>
      <c r="AL26" s="219"/>
      <c r="AM26" s="675"/>
    </row>
    <row r="27" ht="15.95" customHeight="1" spans="2:39" x14ac:dyDescent="0.25">
      <c r="B27" s="524">
        <f>IF('Data Input'!M29="","",'Data Input'!M29)</f>
        <v>2000492883</v>
      </c>
      <c r="C27" s="671" t="str">
        <f>IF(ISBLANK('Data Input'!N29),"",PROPER('Data Input'!N29))</f>
        <v>Morada, Carl Ely</v>
      </c>
      <c r="D27" s="524" t="str">
        <f>IF(ISBLANK('Term 1'!BG31),"",('Term 1'!BG31))</f>
        <v>Passed [B]</v>
      </c>
      <c r="E27" s="219"/>
      <c r="F27" s="219"/>
      <c r="G27" s="219"/>
      <c r="H27" s="219"/>
      <c r="I27" s="219"/>
      <c r="J27" s="219"/>
      <c r="K27" s="219"/>
      <c r="L27" s="219"/>
      <c r="M27" s="219"/>
      <c r="N27" s="219"/>
      <c r="O27" s="675"/>
      <c r="P27" s="524">
        <f>IF(ISBLANK('Term 2'!BG31),"",('Term 2'!BG31))</f>
      </c>
      <c r="Q27" s="219"/>
      <c r="R27" s="219"/>
      <c r="S27" s="219"/>
      <c r="T27" s="219"/>
      <c r="U27" s="219"/>
      <c r="V27" s="219"/>
      <c r="W27" s="219"/>
      <c r="X27" s="219"/>
      <c r="Y27" s="219"/>
      <c r="Z27" s="219"/>
      <c r="AA27" s="676"/>
      <c r="AB27" s="524">
        <f>IF(ISBLANK('Term 3'!BG31),"",('Term 3'!BG31))</f>
      </c>
      <c r="AC27" s="219"/>
      <c r="AD27" s="219"/>
      <c r="AE27" s="219"/>
      <c r="AF27" s="219"/>
      <c r="AG27" s="219"/>
      <c r="AH27" s="219"/>
      <c r="AI27" s="219"/>
      <c r="AJ27" s="219"/>
      <c r="AK27" s="219"/>
      <c r="AL27" s="219"/>
      <c r="AM27" s="675"/>
    </row>
    <row r="28" ht="15.95" customHeight="1" spans="2:39" x14ac:dyDescent="0.25">
      <c r="B28" s="524">
        <f>IF('Data Input'!M30="","",'Data Input'!M30)</f>
        <v>2000493062</v>
      </c>
      <c r="C28" s="671" t="str">
        <f>IF(ISBLANK('Data Input'!N30),"",PROPER('Data Input'!N30))</f>
        <v>Olores, Frecious Natalie</v>
      </c>
      <c r="D28" s="524" t="str">
        <f>IF(ISBLANK('Term 1'!BG32),"",('Term 1'!BG32))</f>
        <v>Passed [C]</v>
      </c>
      <c r="E28" s="219"/>
      <c r="F28" s="219"/>
      <c r="G28" s="219"/>
      <c r="H28" s="219"/>
      <c r="I28" s="219"/>
      <c r="J28" s="219"/>
      <c r="K28" s="219"/>
      <c r="L28" s="219"/>
      <c r="M28" s="219"/>
      <c r="N28" s="219"/>
      <c r="O28" s="675"/>
      <c r="P28" s="524">
        <f>IF(ISBLANK('Term 2'!BG32),"",('Term 2'!BG32))</f>
      </c>
      <c r="Q28" s="219"/>
      <c r="R28" s="219"/>
      <c r="S28" s="219"/>
      <c r="T28" s="219"/>
      <c r="U28" s="219"/>
      <c r="V28" s="219"/>
      <c r="W28" s="219"/>
      <c r="X28" s="219"/>
      <c r="Y28" s="219"/>
      <c r="Z28" s="219"/>
      <c r="AA28" s="676"/>
      <c r="AB28" s="524">
        <f>IF(ISBLANK('Term 3'!BG32),"",('Term 3'!BG32))</f>
      </c>
      <c r="AC28" s="219"/>
      <c r="AD28" s="219"/>
      <c r="AE28" s="219"/>
      <c r="AF28" s="219"/>
      <c r="AG28" s="219"/>
      <c r="AH28" s="219"/>
      <c r="AI28" s="219"/>
      <c r="AJ28" s="219"/>
      <c r="AK28" s="219"/>
      <c r="AL28" s="219"/>
      <c r="AM28" s="675"/>
    </row>
    <row r="29" ht="15.95" customHeight="1" spans="2:39" x14ac:dyDescent="0.25">
      <c r="B29" s="524">
        <f>IF('Data Input'!M31="","",'Data Input'!M31)</f>
        <v>2000499699</v>
      </c>
      <c r="C29" s="671" t="str">
        <f>IF(ISBLANK('Data Input'!N31),"",PROPER('Data Input'!N31))</f>
        <v>Ortinero, Christel Ace</v>
      </c>
      <c r="D29" s="524" t="str">
        <f>IF(ISBLANK('Term 1'!BG33),"",('Term 1'!BG33))</f>
        <v>Passed [C]</v>
      </c>
      <c r="E29" s="219"/>
      <c r="F29" s="219"/>
      <c r="G29" s="219"/>
      <c r="H29" s="219"/>
      <c r="I29" s="219"/>
      <c r="J29" s="219"/>
      <c r="K29" s="219"/>
      <c r="L29" s="219"/>
      <c r="M29" s="219"/>
      <c r="N29" s="219"/>
      <c r="O29" s="675"/>
      <c r="P29" s="524">
        <f>IF(ISBLANK('Term 2'!BG33),"",('Term 2'!BG33))</f>
      </c>
      <c r="Q29" s="219"/>
      <c r="R29" s="219"/>
      <c r="S29" s="219"/>
      <c r="T29" s="219"/>
      <c r="U29" s="219"/>
      <c r="V29" s="219"/>
      <c r="W29" s="219"/>
      <c r="X29" s="219"/>
      <c r="Y29" s="219"/>
      <c r="Z29" s="219"/>
      <c r="AA29" s="676"/>
      <c r="AB29" s="524">
        <f>IF(ISBLANK('Term 3'!BG33),"",('Term 3'!BG33))</f>
      </c>
      <c r="AC29" s="219"/>
      <c r="AD29" s="219"/>
      <c r="AE29" s="219"/>
      <c r="AF29" s="219"/>
      <c r="AG29" s="219"/>
      <c r="AH29" s="219"/>
      <c r="AI29" s="219"/>
      <c r="AJ29" s="219"/>
      <c r="AK29" s="219"/>
      <c r="AL29" s="219"/>
      <c r="AM29" s="675"/>
    </row>
    <row r="30" ht="15.95" customHeight="1" spans="2:39" x14ac:dyDescent="0.25">
      <c r="B30" s="524">
        <f>IF('Data Input'!M32="","",'Data Input'!M32)</f>
        <v>2000481841</v>
      </c>
      <c r="C30" s="671" t="str">
        <f>IF(ISBLANK('Data Input'!N32),"",PROPER('Data Input'!N32))</f>
        <v>Pascua, Jhon Gavriel</v>
      </c>
      <c r="D30" s="524" t="str">
        <f>IF(ISBLANK('Term 1'!BG34),"",('Term 1'!BG34))</f>
        <v>Passed [C]</v>
      </c>
      <c r="E30" s="219"/>
      <c r="F30" s="219"/>
      <c r="G30" s="219"/>
      <c r="H30" s="219"/>
      <c r="I30" s="219"/>
      <c r="J30" s="219"/>
      <c r="K30" s="219"/>
      <c r="L30" s="219"/>
      <c r="M30" s="219"/>
      <c r="N30" s="219"/>
      <c r="O30" s="675"/>
      <c r="P30" s="524">
        <f>IF(ISBLANK('Term 2'!BG34),"",('Term 2'!BG34))</f>
      </c>
      <c r="Q30" s="219"/>
      <c r="R30" s="219"/>
      <c r="S30" s="219"/>
      <c r="T30" s="219"/>
      <c r="U30" s="219"/>
      <c r="V30" s="219"/>
      <c r="W30" s="219"/>
      <c r="X30" s="219"/>
      <c r="Y30" s="219"/>
      <c r="Z30" s="219"/>
      <c r="AA30" s="676"/>
      <c r="AB30" s="524">
        <f>IF(ISBLANK('Term 3'!BG34),"",('Term 3'!BG34))</f>
      </c>
      <c r="AC30" s="219"/>
      <c r="AD30" s="219"/>
      <c r="AE30" s="219"/>
      <c r="AF30" s="219"/>
      <c r="AG30" s="219"/>
      <c r="AH30" s="219"/>
      <c r="AI30" s="219"/>
      <c r="AJ30" s="219"/>
      <c r="AK30" s="219"/>
      <c r="AL30" s="219"/>
      <c r="AM30" s="675"/>
    </row>
    <row r="31" ht="15.95" customHeight="1" spans="2:39" x14ac:dyDescent="0.25">
      <c r="B31" s="524">
        <f>IF('Data Input'!M33="","",'Data Input'!M33)</f>
        <v>2000492838</v>
      </c>
      <c r="C31" s="671" t="str">
        <f>IF(ISBLANK('Data Input'!N33),"",PROPER('Data Input'!N33))</f>
        <v>Pastor, Jaydhen</v>
      </c>
      <c r="D31" s="524" t="str">
        <f>IF(ISBLANK('Term 1'!BG35),"",('Term 1'!BG35))</f>
        <v>Passed [A]</v>
      </c>
      <c r="E31" s="219"/>
      <c r="F31" s="219"/>
      <c r="G31" s="219"/>
      <c r="H31" s="219"/>
      <c r="I31" s="219"/>
      <c r="J31" s="219"/>
      <c r="K31" s="219"/>
      <c r="L31" s="219"/>
      <c r="M31" s="219"/>
      <c r="N31" s="219"/>
      <c r="O31" s="675"/>
      <c r="P31" s="524">
        <f>IF(ISBLANK('Term 2'!BG35),"",('Term 2'!BG35))</f>
      </c>
      <c r="Q31" s="219"/>
      <c r="R31" s="219"/>
      <c r="S31" s="219"/>
      <c r="T31" s="219"/>
      <c r="U31" s="219"/>
      <c r="V31" s="219"/>
      <c r="W31" s="219"/>
      <c r="X31" s="219"/>
      <c r="Y31" s="219"/>
      <c r="Z31" s="219"/>
      <c r="AA31" s="676"/>
      <c r="AB31" s="524">
        <f>IF(ISBLANK('Term 3'!BG35),"",('Term 3'!BG35))</f>
      </c>
      <c r="AC31" s="219"/>
      <c r="AD31" s="219"/>
      <c r="AE31" s="219"/>
      <c r="AF31" s="219"/>
      <c r="AG31" s="219"/>
      <c r="AH31" s="219"/>
      <c r="AI31" s="219"/>
      <c r="AJ31" s="219"/>
      <c r="AK31" s="219"/>
      <c r="AL31" s="219"/>
      <c r="AM31" s="675"/>
    </row>
    <row r="32" ht="15.95" customHeight="1" spans="2:39" x14ac:dyDescent="0.25">
      <c r="B32" s="524">
        <f>IF('Data Input'!M34="","",'Data Input'!M34)</f>
        <v>2000485198</v>
      </c>
      <c r="C32" s="671" t="str">
        <f>IF(ISBLANK('Data Input'!N34),"",PROPER('Data Input'!N34))</f>
        <v>Placente, Rhian</v>
      </c>
      <c r="D32" s="524" t="str">
        <f>IF(ISBLANK('Term 1'!BG36),"",('Term 1'!BG36))</f>
        <v>Passed [C]</v>
      </c>
      <c r="E32" s="219"/>
      <c r="F32" s="219"/>
      <c r="G32" s="219"/>
      <c r="H32" s="219"/>
      <c r="I32" s="219"/>
      <c r="J32" s="219"/>
      <c r="K32" s="219"/>
      <c r="L32" s="219"/>
      <c r="M32" s="219"/>
      <c r="N32" s="219"/>
      <c r="O32" s="675"/>
      <c r="P32" s="524">
        <f>IF(ISBLANK('Term 2'!BG36),"",('Term 2'!BG36))</f>
      </c>
      <c r="Q32" s="219"/>
      <c r="R32" s="219"/>
      <c r="S32" s="219"/>
      <c r="T32" s="219"/>
      <c r="U32" s="219"/>
      <c r="V32" s="219"/>
      <c r="W32" s="219"/>
      <c r="X32" s="219"/>
      <c r="Y32" s="219"/>
      <c r="Z32" s="219"/>
      <c r="AA32" s="676"/>
      <c r="AB32" s="524">
        <f>IF(ISBLANK('Term 3'!BG36),"",('Term 3'!BG36))</f>
      </c>
      <c r="AC32" s="219"/>
      <c r="AD32" s="219"/>
      <c r="AE32" s="219"/>
      <c r="AF32" s="219"/>
      <c r="AG32" s="219"/>
      <c r="AH32" s="219"/>
      <c r="AI32" s="219"/>
      <c r="AJ32" s="219"/>
      <c r="AK32" s="219"/>
      <c r="AL32" s="219"/>
      <c r="AM32" s="675"/>
    </row>
    <row r="33" ht="15.95" customHeight="1" spans="2:39" x14ac:dyDescent="0.25">
      <c r="B33" s="524">
        <f>IF('Data Input'!M35="","",'Data Input'!M35)</f>
      </c>
      <c r="C33" s="671">
        <f>IF(ISBLANK('Data Input'!N35),"",PROPER('Data Input'!N35))</f>
      </c>
      <c r="D33" s="524">
        <f>IF(ISBLANK('Term 1'!BG37),"",('Term 1'!BG37))</f>
      </c>
      <c r="E33" s="219"/>
      <c r="F33" s="219"/>
      <c r="G33" s="219"/>
      <c r="H33" s="219"/>
      <c r="I33" s="219"/>
      <c r="J33" s="219"/>
      <c r="K33" s="219"/>
      <c r="L33" s="219"/>
      <c r="M33" s="219"/>
      <c r="N33" s="219"/>
      <c r="O33" s="675"/>
      <c r="P33" s="524">
        <f>IF(ISBLANK('Term 2'!BG37),"",('Term 2'!BG37))</f>
      </c>
      <c r="Q33" s="219"/>
      <c r="R33" s="219"/>
      <c r="S33" s="219"/>
      <c r="T33" s="219"/>
      <c r="U33" s="219"/>
      <c r="V33" s="219"/>
      <c r="W33" s="219"/>
      <c r="X33" s="219"/>
      <c r="Y33" s="219"/>
      <c r="Z33" s="219"/>
      <c r="AA33" s="676"/>
      <c r="AB33" s="524">
        <f>IF(ISBLANK('Term 3'!BG37),"",('Term 3'!BG37))</f>
      </c>
      <c r="AC33" s="219"/>
      <c r="AD33" s="219"/>
      <c r="AE33" s="219"/>
      <c r="AF33" s="219"/>
      <c r="AG33" s="219"/>
      <c r="AH33" s="219"/>
      <c r="AI33" s="219"/>
      <c r="AJ33" s="219"/>
      <c r="AK33" s="219"/>
      <c r="AL33" s="219"/>
      <c r="AM33" s="675"/>
    </row>
    <row r="34" ht="15.95" customHeight="1" spans="2:39" x14ac:dyDescent="0.25">
      <c r="B34" s="524">
        <f>IF('Data Input'!M36="","",'Data Input'!M36)</f>
      </c>
      <c r="C34" s="671">
        <f>IF(ISBLANK('Data Input'!N36),"",PROPER('Data Input'!N36))</f>
      </c>
      <c r="D34" s="524">
        <f>IF(ISBLANK('Term 1'!BG38),"",('Term 1'!BG38))</f>
      </c>
      <c r="E34" s="219"/>
      <c r="F34" s="219"/>
      <c r="G34" s="219"/>
      <c r="H34" s="219"/>
      <c r="I34" s="219"/>
      <c r="J34" s="219"/>
      <c r="K34" s="219"/>
      <c r="L34" s="219"/>
      <c r="M34" s="219"/>
      <c r="N34" s="219"/>
      <c r="O34" s="675"/>
      <c r="P34" s="524">
        <f>IF(ISBLANK('Term 2'!BG38),"",('Term 2'!BG38))</f>
      </c>
      <c r="Q34" s="219"/>
      <c r="R34" s="219"/>
      <c r="S34" s="219"/>
      <c r="T34" s="219"/>
      <c r="U34" s="219"/>
      <c r="V34" s="219"/>
      <c r="W34" s="219"/>
      <c r="X34" s="219"/>
      <c r="Y34" s="219"/>
      <c r="Z34" s="219"/>
      <c r="AA34" s="676"/>
      <c r="AB34" s="524">
        <f>IF(ISBLANK('Term 3'!BG38),"",('Term 3'!BG38))</f>
      </c>
      <c r="AC34" s="219"/>
      <c r="AD34" s="219"/>
      <c r="AE34" s="219"/>
      <c r="AF34" s="219"/>
      <c r="AG34" s="219"/>
      <c r="AH34" s="219"/>
      <c r="AI34" s="219"/>
      <c r="AJ34" s="219"/>
      <c r="AK34" s="219"/>
      <c r="AL34" s="219"/>
      <c r="AM34" s="675"/>
    </row>
    <row r="35" ht="15.95" customHeight="1" spans="2:39" x14ac:dyDescent="0.25">
      <c r="B35" s="524">
        <f>IF('Data Input'!M37="","",'Data Input'!M37)</f>
      </c>
      <c r="C35" s="671">
        <f>IF(ISBLANK('Data Input'!N37),"",PROPER('Data Input'!N37))</f>
      </c>
      <c r="D35" s="524">
        <f>IF(ISBLANK('Term 1'!BG39),"",('Term 1'!BG39))</f>
      </c>
      <c r="E35" s="219"/>
      <c r="F35" s="219"/>
      <c r="G35" s="219"/>
      <c r="H35" s="219"/>
      <c r="I35" s="219"/>
      <c r="J35" s="219"/>
      <c r="K35" s="219"/>
      <c r="L35" s="219"/>
      <c r="M35" s="219"/>
      <c r="N35" s="219"/>
      <c r="O35" s="675"/>
      <c r="P35" s="524">
        <f>IF(ISBLANK('Term 2'!BG39),"",('Term 2'!BG39))</f>
      </c>
      <c r="Q35" s="219"/>
      <c r="R35" s="219"/>
      <c r="S35" s="219"/>
      <c r="T35" s="219"/>
      <c r="U35" s="219"/>
      <c r="V35" s="219"/>
      <c r="W35" s="219"/>
      <c r="X35" s="219"/>
      <c r="Y35" s="219"/>
      <c r="Z35" s="219"/>
      <c r="AA35" s="676"/>
      <c r="AB35" s="524">
        <f>IF(ISBLANK('Term 3'!BG39),"",('Term 3'!BG39))</f>
      </c>
      <c r="AC35" s="219"/>
      <c r="AD35" s="219"/>
      <c r="AE35" s="219"/>
      <c r="AF35" s="219"/>
      <c r="AG35" s="219"/>
      <c r="AH35" s="219"/>
      <c r="AI35" s="219"/>
      <c r="AJ35" s="219"/>
      <c r="AK35" s="219"/>
      <c r="AL35" s="219"/>
      <c r="AM35" s="675"/>
    </row>
    <row r="36" ht="15.95" customHeight="1" spans="2:39" x14ac:dyDescent="0.25">
      <c r="B36" s="524">
        <f>IF('Data Input'!M38="","",'Data Input'!M38)</f>
      </c>
      <c r="C36" s="671">
        <f>IF(ISBLANK('Data Input'!N38),"",PROPER('Data Input'!N38))</f>
      </c>
      <c r="D36" s="524">
        <f>IF(ISBLANK('Term 1'!BG40),"",('Term 1'!BG40))</f>
      </c>
      <c r="E36" s="219"/>
      <c r="F36" s="219"/>
      <c r="G36" s="219"/>
      <c r="H36" s="219"/>
      <c r="I36" s="219"/>
      <c r="J36" s="219"/>
      <c r="K36" s="219"/>
      <c r="L36" s="219"/>
      <c r="M36" s="219"/>
      <c r="N36" s="219"/>
      <c r="O36" s="675"/>
      <c r="P36" s="524">
        <f>IF(ISBLANK('Term 2'!BG40),"",('Term 2'!BG40))</f>
      </c>
      <c r="Q36" s="219"/>
      <c r="R36" s="219"/>
      <c r="S36" s="219"/>
      <c r="T36" s="219"/>
      <c r="U36" s="219"/>
      <c r="V36" s="219"/>
      <c r="W36" s="219"/>
      <c r="X36" s="219"/>
      <c r="Y36" s="219"/>
      <c r="Z36" s="219"/>
      <c r="AA36" s="676"/>
      <c r="AB36" s="524">
        <f>IF(ISBLANK('Term 3'!BG40),"",('Term 3'!BG40))</f>
      </c>
      <c r="AC36" s="219"/>
      <c r="AD36" s="219"/>
      <c r="AE36" s="219"/>
      <c r="AF36" s="219"/>
      <c r="AG36" s="219"/>
      <c r="AH36" s="219"/>
      <c r="AI36" s="219"/>
      <c r="AJ36" s="219"/>
      <c r="AK36" s="219"/>
      <c r="AL36" s="219"/>
      <c r="AM36" s="675"/>
    </row>
    <row r="37" ht="15.95" customHeight="1" spans="2:39" x14ac:dyDescent="0.25">
      <c r="B37" s="524">
        <f>IF('Data Input'!M39="","",'Data Input'!M39)</f>
      </c>
      <c r="C37" s="671">
        <f>IF(ISBLANK('Data Input'!N39),"",PROPER('Data Input'!N39))</f>
      </c>
      <c r="D37" s="524">
        <f>IF(ISBLANK('Term 1'!BG41),"",('Term 1'!BG41))</f>
      </c>
      <c r="E37" s="219"/>
      <c r="F37" s="219"/>
      <c r="G37" s="219"/>
      <c r="H37" s="219"/>
      <c r="I37" s="219"/>
      <c r="J37" s="219"/>
      <c r="K37" s="219"/>
      <c r="L37" s="219"/>
      <c r="M37" s="219"/>
      <c r="N37" s="219"/>
      <c r="O37" s="675"/>
      <c r="P37" s="524">
        <f>IF(ISBLANK('Term 2'!BG41),"",('Term 2'!BG41))</f>
      </c>
      <c r="Q37" s="219"/>
      <c r="R37" s="219"/>
      <c r="S37" s="219"/>
      <c r="T37" s="219"/>
      <c r="U37" s="219"/>
      <c r="V37" s="219"/>
      <c r="W37" s="219"/>
      <c r="X37" s="219"/>
      <c r="Y37" s="219"/>
      <c r="Z37" s="219"/>
      <c r="AA37" s="676"/>
      <c r="AB37" s="524">
        <f>IF(ISBLANK('Term 3'!BG41),"",('Term 3'!BG41))</f>
      </c>
      <c r="AC37" s="219"/>
      <c r="AD37" s="219"/>
      <c r="AE37" s="219"/>
      <c r="AF37" s="219"/>
      <c r="AG37" s="219"/>
      <c r="AH37" s="219"/>
      <c r="AI37" s="219"/>
      <c r="AJ37" s="219"/>
      <c r="AK37" s="219"/>
      <c r="AL37" s="219"/>
      <c r="AM37" s="675"/>
    </row>
    <row r="38" ht="15.95" customHeight="1" spans="2:39" x14ac:dyDescent="0.25">
      <c r="B38" s="524">
        <f>IF('Data Input'!M40="","",'Data Input'!M40)</f>
      </c>
      <c r="C38" s="671">
        <f>IF(ISBLANK('Data Input'!N40),"",PROPER('Data Input'!N40))</f>
      </c>
      <c r="D38" s="524">
        <f>IF(ISBLANK('Term 1'!BG42),"",('Term 1'!BG42))</f>
      </c>
      <c r="E38" s="219"/>
      <c r="F38" s="219"/>
      <c r="G38" s="219"/>
      <c r="H38" s="219"/>
      <c r="I38" s="219"/>
      <c r="J38" s="219"/>
      <c r="K38" s="219"/>
      <c r="L38" s="219"/>
      <c r="M38" s="219"/>
      <c r="N38" s="219"/>
      <c r="O38" s="675"/>
      <c r="P38" s="524">
        <f>IF(ISBLANK('Term 2'!BG42),"",('Term 2'!BG42))</f>
      </c>
      <c r="Q38" s="219"/>
      <c r="R38" s="219"/>
      <c r="S38" s="219"/>
      <c r="T38" s="219"/>
      <c r="U38" s="219"/>
      <c r="V38" s="219"/>
      <c r="W38" s="219"/>
      <c r="X38" s="219"/>
      <c r="Y38" s="219"/>
      <c r="Z38" s="219"/>
      <c r="AA38" s="676"/>
      <c r="AB38" s="524">
        <f>IF(ISBLANK('Term 3'!BG42),"",('Term 3'!BG42))</f>
      </c>
      <c r="AC38" s="219"/>
      <c r="AD38" s="219"/>
      <c r="AE38" s="219"/>
      <c r="AF38" s="219"/>
      <c r="AG38" s="219"/>
      <c r="AH38" s="219"/>
      <c r="AI38" s="219"/>
      <c r="AJ38" s="219"/>
      <c r="AK38" s="219"/>
      <c r="AL38" s="219"/>
      <c r="AM38" s="675"/>
    </row>
    <row r="39" ht="15.95" customHeight="1" spans="2:39" x14ac:dyDescent="0.25">
      <c r="B39" s="524">
        <f>IF('Data Input'!M41="","",'Data Input'!M41)</f>
      </c>
      <c r="C39" s="671">
        <f>IF(ISBLANK('Data Input'!N41),"",PROPER('Data Input'!N41))</f>
      </c>
      <c r="D39" s="524">
        <f>IF(ISBLANK('Term 1'!BG43),"",('Term 1'!BG43))</f>
      </c>
      <c r="E39" s="219"/>
      <c r="F39" s="219"/>
      <c r="G39" s="219"/>
      <c r="H39" s="219"/>
      <c r="I39" s="219"/>
      <c r="J39" s="219"/>
      <c r="K39" s="219"/>
      <c r="L39" s="219"/>
      <c r="M39" s="219"/>
      <c r="N39" s="219"/>
      <c r="O39" s="675"/>
      <c r="P39" s="524">
        <f>IF(ISBLANK('Term 2'!BG43),"",('Term 2'!BG43))</f>
      </c>
      <c r="Q39" s="219"/>
      <c r="R39" s="219"/>
      <c r="S39" s="219"/>
      <c r="T39" s="219"/>
      <c r="U39" s="219"/>
      <c r="V39" s="219"/>
      <c r="W39" s="219"/>
      <c r="X39" s="219"/>
      <c r="Y39" s="219"/>
      <c r="Z39" s="219"/>
      <c r="AA39" s="676"/>
      <c r="AB39" s="524">
        <f>IF(ISBLANK('Term 3'!BG43),"",('Term 3'!BG43))</f>
      </c>
      <c r="AC39" s="219"/>
      <c r="AD39" s="219"/>
      <c r="AE39" s="219"/>
      <c r="AF39" s="219"/>
      <c r="AG39" s="219"/>
      <c r="AH39" s="219"/>
      <c r="AI39" s="219"/>
      <c r="AJ39" s="219"/>
      <c r="AK39" s="219"/>
      <c r="AL39" s="219"/>
      <c r="AM39" s="675"/>
    </row>
    <row r="40" ht="15.95" customHeight="1" spans="2:39" x14ac:dyDescent="0.25">
      <c r="B40" s="524">
        <f>IF('Data Input'!M42="","",'Data Input'!M42)</f>
      </c>
      <c r="C40" s="671">
        <f>IF(ISBLANK('Data Input'!N42),"",PROPER('Data Input'!N42))</f>
      </c>
      <c r="D40" s="524">
        <f>IF(ISBLANK('Term 1'!BG44),"",('Term 1'!BG44))</f>
      </c>
      <c r="E40" s="219"/>
      <c r="F40" s="219"/>
      <c r="G40" s="219"/>
      <c r="H40" s="219"/>
      <c r="I40" s="219"/>
      <c r="J40" s="219"/>
      <c r="K40" s="219"/>
      <c r="L40" s="219"/>
      <c r="M40" s="219"/>
      <c r="N40" s="219"/>
      <c r="O40" s="675"/>
      <c r="P40" s="524">
        <f>IF(ISBLANK('Term 2'!BG44),"",('Term 2'!BG44))</f>
      </c>
      <c r="Q40" s="219"/>
      <c r="R40" s="219"/>
      <c r="S40" s="219"/>
      <c r="T40" s="219"/>
      <c r="U40" s="219"/>
      <c r="V40" s="219"/>
      <c r="W40" s="219"/>
      <c r="X40" s="219"/>
      <c r="Y40" s="219"/>
      <c r="Z40" s="219"/>
      <c r="AA40" s="676"/>
      <c r="AB40" s="524">
        <f>IF(ISBLANK('Term 3'!BG44),"",('Term 3'!BG44))</f>
      </c>
      <c r="AC40" s="219"/>
      <c r="AD40" s="219"/>
      <c r="AE40" s="219"/>
      <c r="AF40" s="219"/>
      <c r="AG40" s="219"/>
      <c r="AH40" s="219"/>
      <c r="AI40" s="219"/>
      <c r="AJ40" s="219"/>
      <c r="AK40" s="219"/>
      <c r="AL40" s="219"/>
      <c r="AM40" s="675"/>
    </row>
    <row r="41" ht="15.95" customHeight="1" spans="2:39" x14ac:dyDescent="0.25">
      <c r="B41" s="524">
        <f>IF('Data Input'!M43="","",'Data Input'!M43)</f>
      </c>
      <c r="C41" s="671">
        <f>IF(ISBLANK('Data Input'!N43),"",PROPER('Data Input'!N43))</f>
      </c>
      <c r="D41" s="524">
        <f>IF(ISBLANK('Term 1'!BG45),"",('Term 1'!BG45))</f>
      </c>
      <c r="E41" s="219"/>
      <c r="F41" s="219"/>
      <c r="G41" s="219"/>
      <c r="H41" s="219"/>
      <c r="I41" s="219"/>
      <c r="J41" s="219"/>
      <c r="K41" s="219"/>
      <c r="L41" s="219"/>
      <c r="M41" s="219"/>
      <c r="N41" s="219"/>
      <c r="O41" s="675"/>
      <c r="P41" s="524">
        <f>IF(ISBLANK('Term 2'!BG45),"",('Term 2'!BG45))</f>
      </c>
      <c r="Q41" s="219"/>
      <c r="R41" s="219"/>
      <c r="S41" s="219"/>
      <c r="T41" s="219"/>
      <c r="U41" s="219"/>
      <c r="V41" s="219"/>
      <c r="W41" s="219"/>
      <c r="X41" s="219"/>
      <c r="Y41" s="219"/>
      <c r="Z41" s="219"/>
      <c r="AA41" s="676"/>
      <c r="AB41" s="524">
        <f>IF(ISBLANK('Term 3'!BG45),"",('Term 3'!BG45))</f>
      </c>
      <c r="AC41" s="219"/>
      <c r="AD41" s="219"/>
      <c r="AE41" s="219"/>
      <c r="AF41" s="219"/>
      <c r="AG41" s="219"/>
      <c r="AH41" s="219"/>
      <c r="AI41" s="219"/>
      <c r="AJ41" s="219"/>
      <c r="AK41" s="219"/>
      <c r="AL41" s="219"/>
      <c r="AM41" s="675"/>
    </row>
    <row r="42" ht="15.95" customHeight="1" spans="2:39" x14ac:dyDescent="0.25">
      <c r="B42" s="524">
        <f>IF('Data Input'!M44="","",'Data Input'!M44)</f>
      </c>
      <c r="C42" s="671">
        <f>IF(ISBLANK('Data Input'!N44),"",PROPER('Data Input'!N44))</f>
      </c>
      <c r="D42" s="524">
        <f>IF(ISBLANK('Term 1'!BG46),"",('Term 1'!BG46))</f>
      </c>
      <c r="E42" s="219"/>
      <c r="F42" s="219"/>
      <c r="G42" s="219"/>
      <c r="H42" s="219"/>
      <c r="I42" s="219"/>
      <c r="J42" s="219"/>
      <c r="K42" s="219"/>
      <c r="L42" s="219"/>
      <c r="M42" s="219"/>
      <c r="N42" s="219"/>
      <c r="O42" s="675"/>
      <c r="P42" s="524">
        <f>IF(ISBLANK('Term 2'!BG46),"",('Term 2'!BG46))</f>
      </c>
      <c r="Q42" s="219"/>
      <c r="R42" s="219"/>
      <c r="S42" s="219"/>
      <c r="T42" s="219"/>
      <c r="U42" s="219"/>
      <c r="V42" s="219"/>
      <c r="W42" s="219"/>
      <c r="X42" s="219"/>
      <c r="Y42" s="219"/>
      <c r="Z42" s="219"/>
      <c r="AA42" s="676"/>
      <c r="AB42" s="524">
        <f>IF(ISBLANK('Term 3'!BG46),"",('Term 3'!BG46))</f>
      </c>
      <c r="AC42" s="219"/>
      <c r="AD42" s="219"/>
      <c r="AE42" s="219"/>
      <c r="AF42" s="219"/>
      <c r="AG42" s="219"/>
      <c r="AH42" s="219"/>
      <c r="AI42" s="219"/>
      <c r="AJ42" s="219"/>
      <c r="AK42" s="219"/>
      <c r="AL42" s="219"/>
      <c r="AM42" s="675"/>
    </row>
    <row r="43" ht="15.95" customHeight="1" spans="2:39" x14ac:dyDescent="0.25">
      <c r="B43" s="524">
        <f>IF('Data Input'!M45="","",'Data Input'!M45)</f>
      </c>
      <c r="C43" s="671">
        <f>IF(ISBLANK('Data Input'!N45),"",PROPER('Data Input'!N45))</f>
      </c>
      <c r="D43" s="524">
        <f>IF(ISBLANK('Term 1'!BG47),"",('Term 1'!BG47))</f>
      </c>
      <c r="E43" s="219"/>
      <c r="F43" s="219"/>
      <c r="G43" s="219"/>
      <c r="H43" s="219"/>
      <c r="I43" s="219"/>
      <c r="J43" s="219"/>
      <c r="K43" s="219"/>
      <c r="L43" s="219"/>
      <c r="M43" s="219"/>
      <c r="N43" s="219"/>
      <c r="O43" s="675"/>
      <c r="P43" s="524">
        <f>IF(ISBLANK('Term 2'!BG47),"",('Term 2'!BG47))</f>
      </c>
      <c r="Q43" s="219"/>
      <c r="R43" s="219"/>
      <c r="S43" s="219"/>
      <c r="T43" s="219"/>
      <c r="U43" s="219"/>
      <c r="V43" s="219"/>
      <c r="W43" s="219"/>
      <c r="X43" s="219"/>
      <c r="Y43" s="219"/>
      <c r="Z43" s="219"/>
      <c r="AA43" s="676"/>
      <c r="AB43" s="524">
        <f>IF(ISBLANK('Term 3'!BG47),"",('Term 3'!BG47))</f>
      </c>
      <c r="AC43" s="219"/>
      <c r="AD43" s="219"/>
      <c r="AE43" s="219"/>
      <c r="AF43" s="219"/>
      <c r="AG43" s="219"/>
      <c r="AH43" s="219"/>
      <c r="AI43" s="219"/>
      <c r="AJ43" s="219"/>
      <c r="AK43" s="219"/>
      <c r="AL43" s="219"/>
      <c r="AM43" s="675"/>
    </row>
    <row r="44" ht="15.95" customHeight="1" spans="2:39" x14ac:dyDescent="0.25">
      <c r="B44" s="524">
        <f>IF('Data Input'!M46="","",'Data Input'!M46)</f>
      </c>
      <c r="C44" s="671">
        <f>IF(ISBLANK('Data Input'!N46),"",PROPER('Data Input'!N46))</f>
      </c>
      <c r="D44" s="524">
        <f>IF(ISBLANK('Term 1'!BG48),"",('Term 1'!BG48))</f>
      </c>
      <c r="E44" s="219"/>
      <c r="F44" s="219"/>
      <c r="G44" s="219"/>
      <c r="H44" s="219"/>
      <c r="I44" s="219"/>
      <c r="J44" s="219"/>
      <c r="K44" s="219"/>
      <c r="L44" s="219"/>
      <c r="M44" s="219"/>
      <c r="N44" s="219"/>
      <c r="O44" s="675"/>
      <c r="P44" s="524">
        <f>IF(ISBLANK('Term 2'!BG48),"",('Term 2'!BG48))</f>
      </c>
      <c r="Q44" s="219"/>
      <c r="R44" s="219"/>
      <c r="S44" s="219"/>
      <c r="T44" s="219"/>
      <c r="U44" s="219"/>
      <c r="V44" s="219"/>
      <c r="W44" s="219"/>
      <c r="X44" s="219"/>
      <c r="Y44" s="219"/>
      <c r="Z44" s="219"/>
      <c r="AA44" s="676"/>
      <c r="AB44" s="524">
        <f>IF(ISBLANK('Term 3'!BG48),"",('Term 3'!BG48))</f>
      </c>
      <c r="AC44" s="219"/>
      <c r="AD44" s="219"/>
      <c r="AE44" s="219"/>
      <c r="AF44" s="219"/>
      <c r="AG44" s="219"/>
      <c r="AH44" s="219"/>
      <c r="AI44" s="219"/>
      <c r="AJ44" s="219"/>
      <c r="AK44" s="219"/>
      <c r="AL44" s="219"/>
      <c r="AM44" s="675"/>
    </row>
    <row r="45" ht="15.95" customHeight="1" spans="2:39" x14ac:dyDescent="0.25">
      <c r="B45" s="524">
        <f>IF('Data Input'!M47="","",'Data Input'!M47)</f>
      </c>
      <c r="C45" s="671">
        <f>IF(ISBLANK('Data Input'!N47),"",PROPER('Data Input'!N47))</f>
      </c>
      <c r="D45" s="524">
        <f>IF(ISBLANK('Term 1'!BG49),"",('Term 1'!BG49))</f>
      </c>
      <c r="E45" s="219"/>
      <c r="F45" s="219"/>
      <c r="G45" s="219"/>
      <c r="H45" s="219"/>
      <c r="I45" s="219"/>
      <c r="J45" s="219"/>
      <c r="K45" s="219"/>
      <c r="L45" s="219"/>
      <c r="M45" s="219"/>
      <c r="N45" s="219"/>
      <c r="O45" s="675"/>
      <c r="P45" s="524">
        <f>IF(ISBLANK('Term 2'!BG49),"",('Term 2'!BG49))</f>
      </c>
      <c r="Q45" s="219"/>
      <c r="R45" s="219"/>
      <c r="S45" s="219"/>
      <c r="T45" s="219"/>
      <c r="U45" s="219"/>
      <c r="V45" s="219"/>
      <c r="W45" s="219"/>
      <c r="X45" s="219"/>
      <c r="Y45" s="219"/>
      <c r="Z45" s="219"/>
      <c r="AA45" s="676"/>
      <c r="AB45" s="524">
        <f>IF(ISBLANK('Term 3'!BG49),"",('Term 3'!BG49))</f>
      </c>
      <c r="AC45" s="219"/>
      <c r="AD45" s="219"/>
      <c r="AE45" s="219"/>
      <c r="AF45" s="219"/>
      <c r="AG45" s="219"/>
      <c r="AH45" s="219"/>
      <c r="AI45" s="219"/>
      <c r="AJ45" s="219"/>
      <c r="AK45" s="219"/>
      <c r="AL45" s="219"/>
      <c r="AM45" s="675"/>
    </row>
    <row r="46" ht="15.95" customHeight="1" spans="2:39" x14ac:dyDescent="0.25">
      <c r="B46" s="524">
        <f>IF('Data Input'!M48="","",'Data Input'!M48)</f>
      </c>
      <c r="C46" s="671">
        <f>IF(ISBLANK('Data Input'!N48),"",PROPER('Data Input'!N48))</f>
      </c>
      <c r="D46" s="524">
        <f>IF(ISBLANK('Term 1'!BG50),"",('Term 1'!BG50))</f>
      </c>
      <c r="E46" s="219"/>
      <c r="F46" s="219"/>
      <c r="G46" s="219"/>
      <c r="H46" s="219"/>
      <c r="I46" s="219"/>
      <c r="J46" s="219"/>
      <c r="K46" s="219"/>
      <c r="L46" s="219"/>
      <c r="M46" s="219"/>
      <c r="N46" s="219"/>
      <c r="O46" s="675"/>
      <c r="P46" s="524">
        <f>IF(ISBLANK('Term 2'!BG50),"",('Term 2'!BG50))</f>
      </c>
      <c r="Q46" s="219"/>
      <c r="R46" s="219"/>
      <c r="S46" s="219"/>
      <c r="T46" s="219"/>
      <c r="U46" s="219"/>
      <c r="V46" s="219"/>
      <c r="W46" s="219"/>
      <c r="X46" s="219"/>
      <c r="Y46" s="219"/>
      <c r="Z46" s="219"/>
      <c r="AA46" s="676"/>
      <c r="AB46" s="524">
        <f>IF(ISBLANK('Term 3'!BG50),"",('Term 3'!BG50))</f>
      </c>
      <c r="AC46" s="219"/>
      <c r="AD46" s="219"/>
      <c r="AE46" s="219"/>
      <c r="AF46" s="219"/>
      <c r="AG46" s="219"/>
      <c r="AH46" s="219"/>
      <c r="AI46" s="219"/>
      <c r="AJ46" s="219"/>
      <c r="AK46" s="219"/>
      <c r="AL46" s="219"/>
      <c r="AM46" s="675"/>
    </row>
    <row r="47" ht="15.95" customHeight="1" spans="2:39" x14ac:dyDescent="0.25">
      <c r="B47" s="524">
        <f>IF('Data Input'!M49="","",'Data Input'!M49)</f>
      </c>
      <c r="C47" s="671">
        <f>IF(ISBLANK('Data Input'!N49),"",PROPER('Data Input'!N49))</f>
      </c>
      <c r="D47" s="524">
        <f>IF(ISBLANK('Term 1'!BG51),"",('Term 1'!BG51))</f>
      </c>
      <c r="E47" s="219"/>
      <c r="F47" s="219"/>
      <c r="G47" s="219"/>
      <c r="H47" s="219"/>
      <c r="I47" s="219"/>
      <c r="J47" s="219"/>
      <c r="K47" s="219"/>
      <c r="L47" s="219"/>
      <c r="M47" s="219"/>
      <c r="N47" s="219"/>
      <c r="O47" s="675"/>
      <c r="P47" s="524">
        <f>IF(ISBLANK('Term 2'!BG51),"",('Term 2'!BG51))</f>
      </c>
      <c r="Q47" s="219"/>
      <c r="R47" s="219"/>
      <c r="S47" s="219"/>
      <c r="T47" s="219"/>
      <c r="U47" s="219"/>
      <c r="V47" s="219"/>
      <c r="W47" s="219"/>
      <c r="X47" s="219"/>
      <c r="Y47" s="219"/>
      <c r="Z47" s="219"/>
      <c r="AA47" s="676"/>
      <c r="AB47" s="524">
        <f>IF(ISBLANK('Term 3'!BG51),"",('Term 3'!BG51))</f>
      </c>
      <c r="AC47" s="219"/>
      <c r="AD47" s="219"/>
      <c r="AE47" s="219"/>
      <c r="AF47" s="219"/>
      <c r="AG47" s="219"/>
      <c r="AH47" s="219"/>
      <c r="AI47" s="219"/>
      <c r="AJ47" s="219"/>
      <c r="AK47" s="219"/>
      <c r="AL47" s="219"/>
      <c r="AM47" s="675"/>
    </row>
    <row r="48" ht="15.95" customHeight="1" spans="2:39" x14ac:dyDescent="0.25">
      <c r="B48" s="524">
        <f>IF('Data Input'!M50="","",'Data Input'!M50)</f>
      </c>
      <c r="C48" s="671">
        <f>IF(ISBLANK('Data Input'!N50),"",PROPER('Data Input'!N50))</f>
      </c>
      <c r="D48" s="524">
        <f>IF(ISBLANK('Term 1'!BG52),"",('Term 1'!BG52))</f>
      </c>
      <c r="E48" s="219"/>
      <c r="F48" s="219"/>
      <c r="G48" s="219"/>
      <c r="H48" s="219"/>
      <c r="I48" s="219"/>
      <c r="J48" s="219"/>
      <c r="K48" s="219"/>
      <c r="L48" s="219"/>
      <c r="M48" s="219"/>
      <c r="N48" s="219"/>
      <c r="O48" s="675"/>
      <c r="P48" s="524">
        <f>IF(ISBLANK('Term 2'!BG52),"",('Term 2'!BG52))</f>
      </c>
      <c r="Q48" s="219"/>
      <c r="R48" s="219"/>
      <c r="S48" s="219"/>
      <c r="T48" s="219"/>
      <c r="U48" s="219"/>
      <c r="V48" s="219"/>
      <c r="W48" s="219"/>
      <c r="X48" s="219"/>
      <c r="Y48" s="219"/>
      <c r="Z48" s="219"/>
      <c r="AA48" s="676"/>
      <c r="AB48" s="524">
        <f>IF(ISBLANK('Term 3'!BG52),"",('Term 3'!BG52))</f>
      </c>
      <c r="AC48" s="219"/>
      <c r="AD48" s="219"/>
      <c r="AE48" s="219"/>
      <c r="AF48" s="219"/>
      <c r="AG48" s="219"/>
      <c r="AH48" s="219"/>
      <c r="AI48" s="219"/>
      <c r="AJ48" s="219"/>
      <c r="AK48" s="219"/>
      <c r="AL48" s="219"/>
      <c r="AM48" s="675"/>
    </row>
    <row r="49" ht="15.95" customHeight="1" spans="2:39" x14ac:dyDescent="0.25">
      <c r="B49" s="524">
        <f>IF('Data Input'!M51="","",'Data Input'!M51)</f>
      </c>
      <c r="C49" s="671">
        <f>IF(ISBLANK('Data Input'!N51),"",PROPER('Data Input'!N51))</f>
      </c>
      <c r="D49" s="524">
        <f>IF(ISBLANK('Term 1'!BG53),"",('Term 1'!BG53))</f>
      </c>
      <c r="E49" s="219"/>
      <c r="F49" s="219"/>
      <c r="G49" s="219"/>
      <c r="H49" s="219"/>
      <c r="I49" s="219"/>
      <c r="J49" s="219"/>
      <c r="K49" s="219"/>
      <c r="L49" s="219"/>
      <c r="M49" s="219"/>
      <c r="N49" s="219"/>
      <c r="O49" s="675"/>
      <c r="P49" s="524">
        <f>IF(ISBLANK('Term 2'!BG53),"",('Term 2'!BG53))</f>
      </c>
      <c r="Q49" s="219"/>
      <c r="R49" s="219"/>
      <c r="S49" s="219"/>
      <c r="T49" s="219"/>
      <c r="U49" s="219"/>
      <c r="V49" s="219"/>
      <c r="W49" s="219"/>
      <c r="X49" s="219"/>
      <c r="Y49" s="219"/>
      <c r="Z49" s="219"/>
      <c r="AA49" s="676"/>
      <c r="AB49" s="524">
        <f>IF(ISBLANK('Term 3'!BG53),"",('Term 3'!BG53))</f>
      </c>
      <c r="AC49" s="219"/>
      <c r="AD49" s="219"/>
      <c r="AE49" s="219"/>
      <c r="AF49" s="219"/>
      <c r="AG49" s="219"/>
      <c r="AH49" s="219"/>
      <c r="AI49" s="219"/>
      <c r="AJ49" s="219"/>
      <c r="AK49" s="219"/>
      <c r="AL49" s="219"/>
      <c r="AM49" s="675"/>
    </row>
    <row r="50" ht="15.95" customHeight="1" spans="2:39" x14ac:dyDescent="0.25">
      <c r="B50" s="524">
        <f>IF('Data Input'!M52="","",'Data Input'!M52)</f>
      </c>
      <c r="C50" s="671">
        <f>IF(ISBLANK('Data Input'!N52),"",PROPER('Data Input'!N52))</f>
      </c>
      <c r="D50" s="524">
        <f>IF(ISBLANK('Term 1'!BG54),"",('Term 1'!BG54))</f>
      </c>
      <c r="E50" s="219"/>
      <c r="F50" s="219"/>
      <c r="G50" s="219"/>
      <c r="H50" s="219"/>
      <c r="I50" s="219"/>
      <c r="J50" s="219"/>
      <c r="K50" s="219"/>
      <c r="L50" s="219"/>
      <c r="M50" s="219"/>
      <c r="N50" s="219"/>
      <c r="O50" s="675"/>
      <c r="P50" s="524">
        <f>IF(ISBLANK('Term 2'!BG54),"",('Term 2'!BG54))</f>
      </c>
      <c r="Q50" s="219"/>
      <c r="R50" s="219"/>
      <c r="S50" s="219"/>
      <c r="T50" s="219"/>
      <c r="U50" s="219"/>
      <c r="V50" s="219"/>
      <c r="W50" s="219"/>
      <c r="X50" s="219"/>
      <c r="Y50" s="219"/>
      <c r="Z50" s="219"/>
      <c r="AA50" s="676"/>
      <c r="AB50" s="524">
        <f>IF(ISBLANK('Term 3'!BG54),"",('Term 3'!BG54))</f>
      </c>
      <c r="AC50" s="219"/>
      <c r="AD50" s="219"/>
      <c r="AE50" s="219"/>
      <c r="AF50" s="219"/>
      <c r="AG50" s="219"/>
      <c r="AH50" s="219"/>
      <c r="AI50" s="219"/>
      <c r="AJ50" s="219"/>
      <c r="AK50" s="219"/>
      <c r="AL50" s="219"/>
      <c r="AM50" s="675"/>
    </row>
    <row r="51" ht="15.95" customHeight="1" spans="2:39" x14ac:dyDescent="0.25">
      <c r="B51" s="524">
        <f>IF('Data Input'!M53="","",'Data Input'!M53)</f>
      </c>
      <c r="C51" s="671">
        <f>IF(ISBLANK('Data Input'!N53),"",PROPER('Data Input'!N53))</f>
      </c>
      <c r="D51" s="524">
        <f>IF(ISBLANK('Term 1'!BG55),"",('Term 1'!BG55))</f>
      </c>
      <c r="E51" s="219"/>
      <c r="F51" s="219"/>
      <c r="G51" s="219"/>
      <c r="H51" s="219"/>
      <c r="I51" s="219"/>
      <c r="J51" s="219"/>
      <c r="K51" s="219"/>
      <c r="L51" s="219"/>
      <c r="M51" s="219"/>
      <c r="N51" s="219"/>
      <c r="O51" s="675"/>
      <c r="P51" s="524">
        <f>IF(ISBLANK('Term 2'!BG55),"",('Term 2'!BG55))</f>
      </c>
      <c r="Q51" s="219"/>
      <c r="R51" s="219"/>
      <c r="S51" s="219"/>
      <c r="T51" s="219"/>
      <c r="U51" s="219"/>
      <c r="V51" s="219"/>
      <c r="W51" s="219"/>
      <c r="X51" s="219"/>
      <c r="Y51" s="219"/>
      <c r="Z51" s="219"/>
      <c r="AA51" s="676"/>
      <c r="AB51" s="524">
        <f>IF(ISBLANK('Term 3'!BG55),"",('Term 3'!BG55))</f>
      </c>
      <c r="AC51" s="219"/>
      <c r="AD51" s="219"/>
      <c r="AE51" s="219"/>
      <c r="AF51" s="219"/>
      <c r="AG51" s="219"/>
      <c r="AH51" s="219"/>
      <c r="AI51" s="219"/>
      <c r="AJ51" s="219"/>
      <c r="AK51" s="219"/>
      <c r="AL51" s="219"/>
      <c r="AM51" s="675"/>
    </row>
    <row r="52" ht="15.95" customHeight="1" spans="2:39" x14ac:dyDescent="0.25">
      <c r="B52" s="524">
        <f>IF('Data Input'!M54="","",'Data Input'!M54)</f>
      </c>
      <c r="C52" s="671">
        <f>IF(ISBLANK('Data Input'!N54),"",PROPER('Data Input'!N54))</f>
      </c>
      <c r="D52" s="524">
        <f>IF(ISBLANK('Term 1'!BG56),"",('Term 1'!BG56))</f>
      </c>
      <c r="E52" s="219"/>
      <c r="F52" s="219"/>
      <c r="G52" s="219"/>
      <c r="H52" s="219"/>
      <c r="I52" s="219"/>
      <c r="J52" s="219"/>
      <c r="K52" s="219"/>
      <c r="L52" s="219"/>
      <c r="M52" s="219"/>
      <c r="N52" s="219"/>
      <c r="O52" s="675"/>
      <c r="P52" s="524">
        <f>IF(ISBLANK('Term 2'!BG56),"",('Term 2'!BG56))</f>
      </c>
      <c r="Q52" s="219"/>
      <c r="R52" s="219"/>
      <c r="S52" s="219"/>
      <c r="T52" s="219"/>
      <c r="U52" s="219"/>
      <c r="V52" s="219"/>
      <c r="W52" s="219"/>
      <c r="X52" s="219"/>
      <c r="Y52" s="219"/>
      <c r="Z52" s="219"/>
      <c r="AA52" s="676"/>
      <c r="AB52" s="524">
        <f>IF(ISBLANK('Term 3'!BG56),"",('Term 3'!BG56))</f>
      </c>
      <c r="AC52" s="219"/>
      <c r="AD52" s="219"/>
      <c r="AE52" s="219"/>
      <c r="AF52" s="219"/>
      <c r="AG52" s="219"/>
      <c r="AH52" s="219"/>
      <c r="AI52" s="219"/>
      <c r="AJ52" s="219"/>
      <c r="AK52" s="219"/>
      <c r="AL52" s="219"/>
      <c r="AM52" s="675"/>
    </row>
    <row r="53" ht="15.95" customHeight="1" spans="2:39" x14ac:dyDescent="0.25">
      <c r="B53" s="524">
        <f>IF('Data Input'!M55="","",'Data Input'!M55)</f>
      </c>
      <c r="C53" s="671">
        <f>IF(ISBLANK('Data Input'!N55),"",PROPER('Data Input'!N55))</f>
      </c>
      <c r="D53" s="524">
        <f>IF(ISBLANK('Term 1'!BG57),"",('Term 1'!BG57))</f>
      </c>
      <c r="E53" s="219"/>
      <c r="F53" s="219"/>
      <c r="G53" s="219"/>
      <c r="H53" s="219"/>
      <c r="I53" s="219"/>
      <c r="J53" s="219"/>
      <c r="K53" s="219"/>
      <c r="L53" s="219"/>
      <c r="M53" s="219"/>
      <c r="N53" s="219"/>
      <c r="O53" s="675"/>
      <c r="P53" s="524">
        <f>IF(ISBLANK('Term 2'!BG57),"",('Term 2'!BG57))</f>
      </c>
      <c r="Q53" s="219"/>
      <c r="R53" s="219"/>
      <c r="S53" s="219"/>
      <c r="T53" s="219"/>
      <c r="U53" s="219"/>
      <c r="V53" s="219"/>
      <c r="W53" s="219"/>
      <c r="X53" s="219"/>
      <c r="Y53" s="219"/>
      <c r="Z53" s="219"/>
      <c r="AA53" s="676"/>
      <c r="AB53" s="524">
        <f>IF(ISBLANK('Term 3'!BG57),"",('Term 3'!BG57))</f>
      </c>
      <c r="AC53" s="219"/>
      <c r="AD53" s="219"/>
      <c r="AE53" s="219"/>
      <c r="AF53" s="219"/>
      <c r="AG53" s="219"/>
      <c r="AH53" s="219"/>
      <c r="AI53" s="219"/>
      <c r="AJ53" s="219"/>
      <c r="AK53" s="219"/>
      <c r="AL53" s="219"/>
      <c r="AM53" s="675"/>
    </row>
    <row r="54" ht="15.95" customHeight="1" spans="2:39" x14ac:dyDescent="0.25">
      <c r="B54" s="524">
        <f>IF('Data Input'!M56="","",'Data Input'!M56)</f>
      </c>
      <c r="C54" s="671">
        <f>IF(ISBLANK('Data Input'!N56),"",PROPER('Data Input'!N56))</f>
      </c>
      <c r="D54" s="524">
        <f>IF(ISBLANK('Term 1'!BG58),"",('Term 1'!BG58))</f>
      </c>
      <c r="E54" s="219"/>
      <c r="F54" s="219"/>
      <c r="G54" s="219"/>
      <c r="H54" s="219"/>
      <c r="I54" s="219"/>
      <c r="J54" s="219"/>
      <c r="K54" s="219"/>
      <c r="L54" s="219"/>
      <c r="M54" s="219"/>
      <c r="N54" s="219"/>
      <c r="O54" s="675"/>
      <c r="P54" s="524">
        <f>IF(ISBLANK('Term 2'!BG58),"",('Term 2'!BG58))</f>
      </c>
      <c r="Q54" s="219"/>
      <c r="R54" s="219"/>
      <c r="S54" s="219"/>
      <c r="T54" s="219"/>
      <c r="U54" s="219"/>
      <c r="V54" s="219"/>
      <c r="W54" s="219"/>
      <c r="X54" s="219"/>
      <c r="Y54" s="219"/>
      <c r="Z54" s="219"/>
      <c r="AA54" s="676"/>
      <c r="AB54" s="524">
        <f>IF(ISBLANK('Term 3'!BG58),"",('Term 3'!BG58))</f>
      </c>
      <c r="AC54" s="219"/>
      <c r="AD54" s="219"/>
      <c r="AE54" s="219"/>
      <c r="AF54" s="219"/>
      <c r="AG54" s="219"/>
      <c r="AH54" s="219"/>
      <c r="AI54" s="219"/>
      <c r="AJ54" s="219"/>
      <c r="AK54" s="219"/>
      <c r="AL54" s="219"/>
      <c r="AM54" s="675"/>
    </row>
    <row r="55" ht="15.95" customHeight="1" spans="2:39" x14ac:dyDescent="0.25">
      <c r="B55" s="524">
        <f>IF('Data Input'!M57="","",'Data Input'!M57)</f>
      </c>
      <c r="C55" s="671">
        <f>IF(ISBLANK('Data Input'!N57),"",PROPER('Data Input'!N57))</f>
      </c>
      <c r="D55" s="524">
        <f>IF(ISBLANK('Term 1'!BG59),"",('Term 1'!BG59))</f>
      </c>
      <c r="E55" s="219"/>
      <c r="F55" s="219"/>
      <c r="G55" s="219"/>
      <c r="H55" s="219"/>
      <c r="I55" s="219"/>
      <c r="J55" s="219"/>
      <c r="K55" s="219"/>
      <c r="L55" s="219"/>
      <c r="M55" s="219"/>
      <c r="N55" s="219"/>
      <c r="O55" s="675"/>
      <c r="P55" s="524">
        <f>IF(ISBLANK('Term 2'!BG59),"",('Term 2'!BG59))</f>
      </c>
      <c r="Q55" s="219"/>
      <c r="R55" s="219"/>
      <c r="S55" s="219"/>
      <c r="T55" s="219"/>
      <c r="U55" s="219"/>
      <c r="V55" s="219"/>
      <c r="W55" s="219"/>
      <c r="X55" s="219"/>
      <c r="Y55" s="219"/>
      <c r="Z55" s="219"/>
      <c r="AA55" s="676"/>
      <c r="AB55" s="524">
        <f>IF(ISBLANK('Term 3'!BG59),"",('Term 3'!BG59))</f>
      </c>
      <c r="AC55" s="219"/>
      <c r="AD55" s="219"/>
      <c r="AE55" s="219"/>
      <c r="AF55" s="219"/>
      <c r="AG55" s="219"/>
      <c r="AH55" s="219"/>
      <c r="AI55" s="219"/>
      <c r="AJ55" s="219"/>
      <c r="AK55" s="219"/>
      <c r="AL55" s="219"/>
      <c r="AM55" s="675"/>
    </row>
    <row r="56" ht="15.95" customHeight="1" spans="2:39" x14ac:dyDescent="0.25">
      <c r="B56" s="524">
        <f>IF('Data Input'!M58="","",'Data Input'!M58)</f>
      </c>
      <c r="C56" s="671">
        <f>IF(ISBLANK('Data Input'!N58),"",PROPER('Data Input'!N58))</f>
      </c>
      <c r="D56" s="524">
        <f>IF(ISBLANK('Term 1'!BG60),"",('Term 1'!BG60))</f>
      </c>
      <c r="E56" s="219"/>
      <c r="F56" s="219"/>
      <c r="G56" s="219"/>
      <c r="H56" s="219"/>
      <c r="I56" s="219"/>
      <c r="J56" s="219"/>
      <c r="K56" s="219"/>
      <c r="L56" s="219"/>
      <c r="M56" s="219"/>
      <c r="N56" s="219"/>
      <c r="O56" s="675"/>
      <c r="P56" s="524">
        <f>IF(ISBLANK('Term 2'!BG60),"",('Term 2'!BG60))</f>
      </c>
      <c r="Q56" s="219"/>
      <c r="R56" s="219"/>
      <c r="S56" s="219"/>
      <c r="T56" s="219"/>
      <c r="U56" s="219"/>
      <c r="V56" s="219"/>
      <c r="W56" s="219"/>
      <c r="X56" s="219"/>
      <c r="Y56" s="219"/>
      <c r="Z56" s="219"/>
      <c r="AA56" s="676"/>
      <c r="AB56" s="524">
        <f>IF(ISBLANK('Term 3'!BG60),"",('Term 3'!BG60))</f>
      </c>
      <c r="AC56" s="219"/>
      <c r="AD56" s="219"/>
      <c r="AE56" s="219"/>
      <c r="AF56" s="219"/>
      <c r="AG56" s="219"/>
      <c r="AH56" s="219"/>
      <c r="AI56" s="219"/>
      <c r="AJ56" s="219"/>
      <c r="AK56" s="219"/>
      <c r="AL56" s="219"/>
      <c r="AM56" s="675"/>
    </row>
    <row r="57" ht="15.95" customHeight="1" spans="2:39" x14ac:dyDescent="0.25">
      <c r="B57" s="524">
        <f>IF('Data Input'!M59="","",'Data Input'!M59)</f>
      </c>
      <c r="C57" s="671">
        <f>IF(ISBLANK('Data Input'!N59),"",PROPER('Data Input'!N59))</f>
      </c>
      <c r="D57" s="524">
        <f>IF(ISBLANK('Term 1'!BG61),"",('Term 1'!BG61))</f>
      </c>
      <c r="E57" s="219"/>
      <c r="F57" s="219"/>
      <c r="G57" s="219"/>
      <c r="H57" s="219"/>
      <c r="I57" s="219"/>
      <c r="J57" s="219"/>
      <c r="K57" s="219"/>
      <c r="L57" s="219"/>
      <c r="M57" s="219"/>
      <c r="N57" s="219"/>
      <c r="O57" s="675"/>
      <c r="P57" s="524">
        <f>IF(ISBLANK('Term 2'!BG61),"",('Term 2'!BG61))</f>
      </c>
      <c r="Q57" s="219"/>
      <c r="R57" s="219"/>
      <c r="S57" s="219"/>
      <c r="T57" s="219"/>
      <c r="U57" s="219"/>
      <c r="V57" s="219"/>
      <c r="W57" s="219"/>
      <c r="X57" s="219"/>
      <c r="Y57" s="219"/>
      <c r="Z57" s="219"/>
      <c r="AA57" s="676"/>
      <c r="AB57" s="524">
        <f>IF(ISBLANK('Term 3'!BG61),"",('Term 3'!BG61))</f>
      </c>
      <c r="AC57" s="219"/>
      <c r="AD57" s="219"/>
      <c r="AE57" s="219"/>
      <c r="AF57" s="219"/>
      <c r="AG57" s="219"/>
      <c r="AH57" s="219"/>
      <c r="AI57" s="219"/>
      <c r="AJ57" s="219"/>
      <c r="AK57" s="219"/>
      <c r="AL57" s="219"/>
      <c r="AM57" s="675"/>
    </row>
    <row r="58" ht="15.95" customHeight="1" spans="2:39" x14ac:dyDescent="0.25">
      <c r="B58" s="524">
        <f>IF('Data Input'!M60="","",'Data Input'!M60)</f>
      </c>
      <c r="C58" s="671">
        <f>IF(ISBLANK('Data Input'!N60),"",PROPER('Data Input'!N60))</f>
      </c>
      <c r="D58" s="524">
        <f>IF(ISBLANK('Term 1'!BG62),"",('Term 1'!BG62))</f>
      </c>
      <c r="E58" s="219"/>
      <c r="F58" s="219"/>
      <c r="G58" s="219"/>
      <c r="H58" s="219"/>
      <c r="I58" s="219"/>
      <c r="J58" s="219"/>
      <c r="K58" s="219"/>
      <c r="L58" s="219"/>
      <c r="M58" s="219"/>
      <c r="N58" s="219"/>
      <c r="O58" s="675"/>
      <c r="P58" s="524">
        <f>IF(ISBLANK('Term 2'!BG62),"",('Term 2'!BG62))</f>
      </c>
      <c r="Q58" s="219"/>
      <c r="R58" s="219"/>
      <c r="S58" s="219"/>
      <c r="T58" s="219"/>
      <c r="U58" s="219"/>
      <c r="V58" s="219"/>
      <c r="W58" s="219"/>
      <c r="X58" s="219"/>
      <c r="Y58" s="219"/>
      <c r="Z58" s="219"/>
      <c r="AA58" s="676"/>
      <c r="AB58" s="524">
        <f>IF(ISBLANK('Term 3'!BG62),"",('Term 3'!BG62))</f>
      </c>
      <c r="AC58" s="219"/>
      <c r="AD58" s="219"/>
      <c r="AE58" s="219"/>
      <c r="AF58" s="219"/>
      <c r="AG58" s="219"/>
      <c r="AH58" s="219"/>
      <c r="AI58" s="219"/>
      <c r="AJ58" s="219"/>
      <c r="AK58" s="219"/>
      <c r="AL58" s="219"/>
      <c r="AM58" s="675"/>
    </row>
    <row r="59" ht="15.95" customHeight="1" spans="2:39" x14ac:dyDescent="0.25">
      <c r="B59" s="524">
        <f>IF('Data Input'!M61="","",'Data Input'!M61)</f>
      </c>
      <c r="C59" s="671">
        <f>IF(ISBLANK('Data Input'!N61),"",PROPER('Data Input'!N61))</f>
      </c>
      <c r="D59" s="524">
        <f>IF(ISBLANK('Term 1'!BG63),"",('Term 1'!BG63))</f>
      </c>
      <c r="E59" s="219"/>
      <c r="F59" s="219"/>
      <c r="G59" s="219"/>
      <c r="H59" s="219"/>
      <c r="I59" s="219"/>
      <c r="J59" s="219"/>
      <c r="K59" s="219"/>
      <c r="L59" s="219"/>
      <c r="M59" s="219"/>
      <c r="N59" s="219"/>
      <c r="O59" s="675"/>
      <c r="P59" s="524">
        <f>IF(ISBLANK('Term 2'!BG63),"",('Term 2'!BG63))</f>
      </c>
      <c r="Q59" s="219"/>
      <c r="R59" s="219"/>
      <c r="S59" s="219"/>
      <c r="T59" s="219"/>
      <c r="U59" s="219"/>
      <c r="V59" s="219"/>
      <c r="W59" s="219"/>
      <c r="X59" s="219"/>
      <c r="Y59" s="219"/>
      <c r="Z59" s="219"/>
      <c r="AA59" s="676"/>
      <c r="AB59" s="524">
        <f>IF(ISBLANK('Term 3'!BG63),"",('Term 3'!BG63))</f>
      </c>
      <c r="AC59" s="219"/>
      <c r="AD59" s="219"/>
      <c r="AE59" s="219"/>
      <c r="AF59" s="219"/>
      <c r="AG59" s="219"/>
      <c r="AH59" s="219"/>
      <c r="AI59" s="219"/>
      <c r="AJ59" s="219"/>
      <c r="AK59" s="219"/>
      <c r="AL59" s="219"/>
      <c r="AM59" s="675"/>
    </row>
    <row r="60" ht="15.95" customHeight="1" spans="2:39" x14ac:dyDescent="0.25">
      <c r="B60" s="524">
        <f>IF('Data Input'!M62="","",'Data Input'!M62)</f>
      </c>
      <c r="C60" s="671">
        <f>IF(ISBLANK('Data Input'!N62),"",PROPER('Data Input'!N62))</f>
      </c>
      <c r="D60" s="524">
        <f>IF(ISBLANK('Term 1'!BG64),"",('Term 1'!BG64))</f>
      </c>
      <c r="E60" s="219"/>
      <c r="F60" s="219"/>
      <c r="G60" s="219"/>
      <c r="H60" s="219"/>
      <c r="I60" s="219"/>
      <c r="J60" s="219"/>
      <c r="K60" s="219"/>
      <c r="L60" s="219"/>
      <c r="M60" s="219"/>
      <c r="N60" s="219"/>
      <c r="O60" s="675"/>
      <c r="P60" s="524">
        <f>IF(ISBLANK('Term 2'!BG64),"",('Term 2'!BG64))</f>
      </c>
      <c r="Q60" s="219"/>
      <c r="R60" s="219"/>
      <c r="S60" s="219"/>
      <c r="T60" s="219"/>
      <c r="U60" s="219"/>
      <c r="V60" s="219"/>
      <c r="W60" s="219"/>
      <c r="X60" s="219"/>
      <c r="Y60" s="219"/>
      <c r="Z60" s="219"/>
      <c r="AA60" s="676"/>
      <c r="AB60" s="524">
        <f>IF(ISBLANK('Term 3'!BG64),"",('Term 3'!BG64))</f>
      </c>
      <c r="AC60" s="219"/>
      <c r="AD60" s="219"/>
      <c r="AE60" s="219"/>
      <c r="AF60" s="219"/>
      <c r="AG60" s="219"/>
      <c r="AH60" s="219"/>
      <c r="AI60" s="219"/>
      <c r="AJ60" s="219"/>
      <c r="AK60" s="219"/>
      <c r="AL60" s="219"/>
      <c r="AM60" s="675"/>
    </row>
    <row r="61" ht="15.95" customHeight="1" spans="2:39" x14ac:dyDescent="0.25">
      <c r="B61" s="524">
        <f>IF('Data Input'!M63="","",'Data Input'!M63)</f>
      </c>
      <c r="C61" s="671">
        <f>IF(ISBLANK('Data Input'!N63),"",PROPER('Data Input'!N63))</f>
      </c>
      <c r="D61" s="524">
        <f>IF(ISBLANK('Term 1'!BG65),"",('Term 1'!BG65))</f>
      </c>
      <c r="E61" s="219"/>
      <c r="F61" s="219"/>
      <c r="G61" s="219"/>
      <c r="H61" s="219"/>
      <c r="I61" s="219"/>
      <c r="J61" s="219"/>
      <c r="K61" s="219"/>
      <c r="L61" s="219"/>
      <c r="M61" s="219"/>
      <c r="N61" s="219"/>
      <c r="O61" s="675"/>
      <c r="P61" s="524">
        <f>IF(ISBLANK('Term 2'!BG65),"",('Term 2'!BG65))</f>
      </c>
      <c r="Q61" s="219"/>
      <c r="R61" s="219"/>
      <c r="S61" s="219"/>
      <c r="T61" s="219"/>
      <c r="U61" s="219"/>
      <c r="V61" s="219"/>
      <c r="W61" s="219"/>
      <c r="X61" s="219"/>
      <c r="Y61" s="219"/>
      <c r="Z61" s="219"/>
      <c r="AA61" s="676"/>
      <c r="AB61" s="524">
        <f>IF(ISBLANK('Term 3'!BG65),"",('Term 3'!BG65))</f>
      </c>
      <c r="AC61" s="219"/>
      <c r="AD61" s="219"/>
      <c r="AE61" s="219"/>
      <c r="AF61" s="219"/>
      <c r="AG61" s="219"/>
      <c r="AH61" s="219"/>
      <c r="AI61" s="219"/>
      <c r="AJ61" s="219"/>
      <c r="AK61" s="219"/>
      <c r="AL61" s="219"/>
      <c r="AM61" s="675"/>
    </row>
    <row r="62" ht="15.95" customHeight="1" spans="2:39" x14ac:dyDescent="0.25">
      <c r="B62" s="524">
        <f>IF('Data Input'!M64="","",'Data Input'!M64)</f>
      </c>
      <c r="C62" s="671">
        <f>IF(ISBLANK('Data Input'!N64),"",PROPER('Data Input'!N64))</f>
      </c>
      <c r="D62" s="524">
        <f>IF(ISBLANK('Term 1'!BG66),"",('Term 1'!BG66))</f>
      </c>
      <c r="E62" s="219"/>
      <c r="F62" s="219"/>
      <c r="G62" s="219"/>
      <c r="H62" s="219"/>
      <c r="I62" s="219"/>
      <c r="J62" s="219"/>
      <c r="K62" s="219"/>
      <c r="L62" s="219"/>
      <c r="M62" s="219"/>
      <c r="N62" s="219"/>
      <c r="O62" s="675"/>
      <c r="P62" s="524">
        <f>IF(ISBLANK('Term 2'!BG66),"",('Term 2'!BG66))</f>
      </c>
      <c r="Q62" s="219"/>
      <c r="R62" s="219"/>
      <c r="S62" s="219"/>
      <c r="T62" s="219"/>
      <c r="U62" s="219"/>
      <c r="V62" s="219"/>
      <c r="W62" s="219"/>
      <c r="X62" s="219"/>
      <c r="Y62" s="219"/>
      <c r="Z62" s="219"/>
      <c r="AA62" s="676"/>
      <c r="AB62" s="524">
        <f>IF(ISBLANK('Term 3'!BG66),"",('Term 3'!BG66))</f>
      </c>
      <c r="AC62" s="219"/>
      <c r="AD62" s="219"/>
      <c r="AE62" s="219"/>
      <c r="AF62" s="219"/>
      <c r="AG62" s="219"/>
      <c r="AH62" s="219"/>
      <c r="AI62" s="219"/>
      <c r="AJ62" s="219"/>
      <c r="AK62" s="219"/>
      <c r="AL62" s="219"/>
      <c r="AM62" s="675"/>
    </row>
    <row r="63" ht="15.95" customHeight="1" spans="2:39" x14ac:dyDescent="0.25">
      <c r="B63" s="524">
        <f>IF('Data Input'!M65="","",'Data Input'!M65)</f>
      </c>
      <c r="C63" s="671">
        <f>IF(ISBLANK('Data Input'!N65),"",PROPER('Data Input'!N65))</f>
      </c>
      <c r="D63" s="524">
        <f>IF(ISBLANK('Term 1'!BG67),"",('Term 1'!BG67))</f>
      </c>
      <c r="E63" s="219"/>
      <c r="F63" s="219"/>
      <c r="G63" s="219"/>
      <c r="H63" s="219"/>
      <c r="I63" s="219"/>
      <c r="J63" s="219"/>
      <c r="K63" s="219"/>
      <c r="L63" s="219"/>
      <c r="M63" s="219"/>
      <c r="N63" s="219"/>
      <c r="O63" s="675"/>
      <c r="P63" s="524">
        <f>IF(ISBLANK('Term 2'!BG67),"",('Term 2'!BG67))</f>
      </c>
      <c r="Q63" s="219"/>
      <c r="R63" s="219"/>
      <c r="S63" s="219"/>
      <c r="T63" s="219"/>
      <c r="U63" s="219"/>
      <c r="V63" s="219"/>
      <c r="W63" s="219"/>
      <c r="X63" s="219"/>
      <c r="Y63" s="219"/>
      <c r="Z63" s="219"/>
      <c r="AA63" s="676"/>
      <c r="AB63" s="524">
        <f>IF(ISBLANK('Term 3'!BG67),"",('Term 3'!BG67))</f>
      </c>
      <c r="AC63" s="219"/>
      <c r="AD63" s="219"/>
      <c r="AE63" s="219"/>
      <c r="AF63" s="219"/>
      <c r="AG63" s="219"/>
      <c r="AH63" s="219"/>
      <c r="AI63" s="219"/>
      <c r="AJ63" s="219"/>
      <c r="AK63" s="219"/>
      <c r="AL63" s="219"/>
      <c r="AM63" s="675"/>
    </row>
    <row r="64" ht="15.95" customHeight="1" spans="2:39" x14ac:dyDescent="0.25">
      <c r="B64" s="677">
        <f>IF('Data Input'!M66="","",'Data Input'!M66)</f>
      </c>
      <c r="C64" s="678">
        <f>IF(ISBLANK('Data Input'!N66),"",PROPER('Data Input'!N66))</f>
      </c>
      <c r="D64" s="524">
        <f>IF(ISBLANK('Term 1'!BG68),"",('Term 1'!BG68))</f>
      </c>
      <c r="E64" s="679"/>
      <c r="F64" s="679"/>
      <c r="G64" s="679"/>
      <c r="H64" s="679"/>
      <c r="I64" s="679"/>
      <c r="J64" s="679"/>
      <c r="K64" s="679"/>
      <c r="L64" s="679"/>
      <c r="M64" s="679"/>
      <c r="N64" s="679"/>
      <c r="O64" s="680"/>
      <c r="P64" s="524">
        <f>IF(ISBLANK('Term 2'!BG68),"",('Term 2'!BG68))</f>
      </c>
      <c r="Q64" s="679"/>
      <c r="R64" s="679"/>
      <c r="S64" s="679"/>
      <c r="T64" s="679"/>
      <c r="U64" s="679"/>
      <c r="V64" s="679"/>
      <c r="W64" s="679"/>
      <c r="X64" s="679"/>
      <c r="Y64" s="679"/>
      <c r="Z64" s="679"/>
      <c r="AA64" s="681"/>
      <c r="AB64" s="524">
        <f>IF(ISBLANK('Term 3'!BG68),"",('Term 3'!BG68))</f>
      </c>
      <c r="AC64" s="679"/>
      <c r="AD64" s="679"/>
      <c r="AE64" s="679"/>
      <c r="AF64" s="679"/>
      <c r="AG64" s="679"/>
      <c r="AH64" s="679"/>
      <c r="AI64" s="679"/>
      <c r="AJ64" s="679"/>
      <c r="AK64" s="679"/>
      <c r="AL64" s="679"/>
      <c r="AM64" s="680"/>
    </row>
    <row r="65" spans="2:39" x14ac:dyDescent="0.25">
      <c r="B65" s="401"/>
      <c r="C65" s="401"/>
      <c r="D65" s="401"/>
      <c r="E65" s="401"/>
      <c r="F65" s="401"/>
      <c r="G65" s="401"/>
      <c r="H65" s="401"/>
      <c r="I65" s="401"/>
      <c r="J65" s="401"/>
      <c r="K65" s="401"/>
      <c r="L65" s="401"/>
      <c r="M65" s="401"/>
      <c r="N65" s="401"/>
      <c r="O65" s="401"/>
      <c r="P65" s="401"/>
      <c r="Q65" s="401"/>
      <c r="R65" s="401"/>
      <c r="S65" s="401"/>
      <c r="T65" s="401"/>
      <c r="U65" s="401"/>
      <c r="V65" s="401"/>
      <c r="W65" s="401"/>
      <c r="X65" s="401"/>
      <c r="Y65" s="401"/>
      <c r="Z65" s="401"/>
      <c r="AA65" s="401"/>
      <c r="AB65" s="401"/>
      <c r="AC65" s="401"/>
      <c r="AD65" s="401"/>
      <c r="AE65" s="401"/>
      <c r="AF65" s="401"/>
      <c r="AG65" s="401"/>
      <c r="AH65" s="401"/>
      <c r="AI65" s="401"/>
      <c r="AJ65" s="401"/>
      <c r="AK65" s="401"/>
      <c r="AL65" s="401"/>
      <c r="AM65" s="401"/>
    </row>
  </sheetData>
  <sheetProtection sheet="1" algorithmName="SHA-512" hashValue="AUPhU4qiTD4zjr0i5fAgZMfpLt8d1lh2kqevY2viVg1qTo0o/qwvGe3BKM2qwdymFaV5v4CDIy7lHu6Emw0nxQ==" saltValue="HO1a0wiV4ZxBAkazNQvYmg==" spinCount="100000" objects="1" scenarios="1"/>
  <mergeCells count="12">
    <mergeCell ref="E2:I2"/>
    <mergeCell ref="J2:N2"/>
    <mergeCell ref="Q2:U2"/>
    <mergeCell ref="V2:Z2"/>
    <mergeCell ref="AC2:AG2"/>
    <mergeCell ref="AH2:AL2"/>
    <mergeCell ref="O2:O4"/>
    <mergeCell ref="AA2:AA4"/>
    <mergeCell ref="AM2:AM4"/>
    <mergeCell ref="D3:D4"/>
    <mergeCell ref="P3:P4"/>
    <mergeCell ref="AB3:AB4"/>
  </mergeCells>
  <conditionalFormatting sqref="D5:D64 P5:P64 AB5:AB64">
    <cfRule priority="1"/>
    <cfRule priority="2"/>
    <cfRule priority="3"/>
  </conditionalFormatting>
  <dataValidations count="1803">
    <dataValidation type="whole" allowBlank="1" showInputMessage="1" showErrorMessage="1" sqref="AC10">
      <formula1>0</formula1>
      <formula2>NaN</formula2>
    </dataValidation>
    <dataValidation type="whole" allowBlank="1" showInputMessage="1" showErrorMessage="1" sqref="AC11">
      <formula1>0</formula1>
      <formula2>NaN</formula2>
    </dataValidation>
    <dataValidation type="whole" allowBlank="1" showInputMessage="1" showErrorMessage="1" sqref="AC12">
      <formula1>0</formula1>
      <formula2>NaN</formula2>
    </dataValidation>
    <dataValidation type="whole" allowBlank="1" showInputMessage="1" showErrorMessage="1" sqref="AC13">
      <formula1>0</formula1>
      <formula2>NaN</formula2>
    </dataValidation>
    <dataValidation type="whole" allowBlank="1" showInputMessage="1" showErrorMessage="1" sqref="AC14">
      <formula1>0</formula1>
      <formula2>NaN</formula2>
    </dataValidation>
    <dataValidation type="whole" allowBlank="1" showInputMessage="1" showErrorMessage="1" sqref="AC15">
      <formula1>0</formula1>
      <formula2>NaN</formula2>
    </dataValidation>
    <dataValidation type="whole" allowBlank="1" showInputMessage="1" showErrorMessage="1" sqref="AC16">
      <formula1>0</formula1>
      <formula2>NaN</formula2>
    </dataValidation>
    <dataValidation type="whole" allowBlank="1" showInputMessage="1" showErrorMessage="1" sqref="AC17">
      <formula1>0</formula1>
      <formula2>NaN</formula2>
    </dataValidation>
    <dataValidation type="whole" allowBlank="1" showInputMessage="1" showErrorMessage="1" sqref="AC18">
      <formula1>0</formula1>
      <formula2>NaN</formula2>
    </dataValidation>
    <dataValidation type="whole" allowBlank="1" showInputMessage="1" showErrorMessage="1" sqref="AC19">
      <formula1>0</formula1>
      <formula2>NaN</formula2>
    </dataValidation>
    <dataValidation type="whole" allowBlank="1" showInputMessage="1" showErrorMessage="1" sqref="AC20">
      <formula1>0</formula1>
      <formula2>NaN</formula2>
    </dataValidation>
    <dataValidation type="whole" allowBlank="1" showInputMessage="1" showErrorMessage="1" sqref="AC21">
      <formula1>0</formula1>
      <formula2>NaN</formula2>
    </dataValidation>
    <dataValidation type="whole" allowBlank="1" showInputMessage="1" showErrorMessage="1" sqref="AC22">
      <formula1>0</formula1>
      <formula2>NaN</formula2>
    </dataValidation>
    <dataValidation type="whole" allowBlank="1" showInputMessage="1" showErrorMessage="1" sqref="AC23">
      <formula1>0</formula1>
      <formula2>NaN</formula2>
    </dataValidation>
    <dataValidation type="whole" allowBlank="1" showInputMessage="1" showErrorMessage="1" sqref="AC24">
      <formula1>0</formula1>
      <formula2>NaN</formula2>
    </dataValidation>
    <dataValidation type="whole" allowBlank="1" showInputMessage="1" showErrorMessage="1" sqref="AC25">
      <formula1>0</formula1>
      <formula2>NaN</formula2>
    </dataValidation>
    <dataValidation type="whole" allowBlank="1" showInputMessage="1" showErrorMessage="1" sqref="AC26">
      <formula1>0</formula1>
      <formula2>NaN</formula2>
    </dataValidation>
    <dataValidation type="whole" allowBlank="1" showInputMessage="1" showErrorMessage="1" sqref="AC27">
      <formula1>0</formula1>
      <formula2>NaN</formula2>
    </dataValidation>
    <dataValidation type="whole" allowBlank="1" showInputMessage="1" showErrorMessage="1" sqref="AC28">
      <formula1>0</formula1>
      <formula2>NaN</formula2>
    </dataValidation>
    <dataValidation type="whole" allowBlank="1" showInputMessage="1" showErrorMessage="1" sqref="AC29">
      <formula1>0</formula1>
      <formula2>NaN</formula2>
    </dataValidation>
    <dataValidation type="whole" allowBlank="1" showInputMessage="1" showErrorMessage="1" sqref="AC30">
      <formula1>0</formula1>
      <formula2>NaN</formula2>
    </dataValidation>
    <dataValidation type="whole" allowBlank="1" showInputMessage="1" showErrorMessage="1" sqref="AC31">
      <formula1>0</formula1>
      <formula2>NaN</formula2>
    </dataValidation>
    <dataValidation type="whole" allowBlank="1" showInputMessage="1" showErrorMessage="1" sqref="AC32">
      <formula1>0</formula1>
      <formula2>NaN</formula2>
    </dataValidation>
    <dataValidation type="whole" allowBlank="1" showInputMessage="1" showErrorMessage="1" sqref="AC33">
      <formula1>0</formula1>
      <formula2>NaN</formula2>
    </dataValidation>
    <dataValidation type="whole" allowBlank="1" showInputMessage="1" showErrorMessage="1" sqref="AC34">
      <formula1>0</formula1>
      <formula2>NaN</formula2>
    </dataValidation>
    <dataValidation type="whole" allowBlank="1" showInputMessage="1" showErrorMessage="1" sqref="AC35">
      <formula1>0</formula1>
      <formula2>NaN</formula2>
    </dataValidation>
    <dataValidation type="whole" allowBlank="1" showInputMessage="1" showErrorMessage="1" sqref="AC36">
      <formula1>0</formula1>
      <formula2>NaN</formula2>
    </dataValidation>
    <dataValidation type="whole" allowBlank="1" showInputMessage="1" showErrorMessage="1" sqref="AC37">
      <formula1>0</formula1>
      <formula2>NaN</formula2>
    </dataValidation>
    <dataValidation type="whole" allowBlank="1" showInputMessage="1" showErrorMessage="1" sqref="AC38">
      <formula1>0</formula1>
      <formula2>NaN</formula2>
    </dataValidation>
    <dataValidation type="whole" allowBlank="1" showInputMessage="1" showErrorMessage="1" sqref="AC39">
      <formula1>0</formula1>
      <formula2>NaN</formula2>
    </dataValidation>
    <dataValidation showInputMessage="1" prompt="Input possible highest score here" showErrorMessage="1" sqref="AC4:AL4"/>
    <dataValidation type="whole" allowBlank="1" showInputMessage="1" showErrorMessage="1" sqref="AC40">
      <formula1>0</formula1>
      <formula2>NaN</formula2>
    </dataValidation>
    <dataValidation type="whole" allowBlank="1" showInputMessage="1" showErrorMessage="1" sqref="AC41">
      <formula1>0</formula1>
      <formula2>NaN</formula2>
    </dataValidation>
    <dataValidation type="whole" allowBlank="1" showInputMessage="1" showErrorMessage="1" sqref="AC42">
      <formula1>0</formula1>
      <formula2>NaN</formula2>
    </dataValidation>
    <dataValidation type="whole" allowBlank="1" showInputMessage="1" showErrorMessage="1" sqref="AC43">
      <formula1>0</formula1>
      <formula2>NaN</formula2>
    </dataValidation>
    <dataValidation type="whole" allowBlank="1" showInputMessage="1" showErrorMessage="1" sqref="AC44">
      <formula1>0</formula1>
      <formula2>NaN</formula2>
    </dataValidation>
    <dataValidation type="whole" allowBlank="1" showInputMessage="1" showErrorMessage="1" sqref="AC45">
      <formula1>0</formula1>
      <formula2>NaN</formula2>
    </dataValidation>
    <dataValidation type="whole" allowBlank="1" showInputMessage="1" showErrorMessage="1" sqref="AC46">
      <formula1>0</formula1>
      <formula2>NaN</formula2>
    </dataValidation>
    <dataValidation type="whole" allowBlank="1" showInputMessage="1" showErrorMessage="1" sqref="AC47">
      <formula1>0</formula1>
      <formula2>NaN</formula2>
    </dataValidation>
    <dataValidation type="whole" allowBlank="1" showInputMessage="1" showErrorMessage="1" sqref="AC48">
      <formula1>0</formula1>
      <formula2>NaN</formula2>
    </dataValidation>
    <dataValidation type="whole" allowBlank="1" showInputMessage="1" showErrorMessage="1" sqref="AC49">
      <formula1>0</formula1>
      <formula2>NaN</formula2>
    </dataValidation>
    <dataValidation type="whole" allowBlank="1" showInputMessage="1" showErrorMessage="1" sqref="AC5">
      <formula1>0</formula1>
      <formula2>NaN</formula2>
    </dataValidation>
    <dataValidation type="whole" allowBlank="1" showInputMessage="1" showErrorMessage="1" sqref="AC50">
      <formula1>0</formula1>
      <formula2>NaN</formula2>
    </dataValidation>
    <dataValidation type="whole" allowBlank="1" showInputMessage="1" showErrorMessage="1" sqref="AC51">
      <formula1>0</formula1>
      <formula2>NaN</formula2>
    </dataValidation>
    <dataValidation type="whole" allowBlank="1" showInputMessage="1" showErrorMessage="1" sqref="AC52">
      <formula1>0</formula1>
      <formula2>NaN</formula2>
    </dataValidation>
    <dataValidation type="whole" allowBlank="1" showInputMessage="1" showErrorMessage="1" sqref="AC53">
      <formula1>0</formula1>
      <formula2>NaN</formula2>
    </dataValidation>
    <dataValidation type="whole" allowBlank="1" showInputMessage="1" showErrorMessage="1" sqref="AC54">
      <formula1>0</formula1>
      <formula2>NaN</formula2>
    </dataValidation>
    <dataValidation type="whole" allowBlank="1" showInputMessage="1" showErrorMessage="1" sqref="AC55">
      <formula1>0</formula1>
      <formula2>NaN</formula2>
    </dataValidation>
    <dataValidation type="whole" allowBlank="1" showInputMessage="1" showErrorMessage="1" sqref="AC56">
      <formula1>0</formula1>
      <formula2>NaN</formula2>
    </dataValidation>
    <dataValidation type="whole" allowBlank="1" showInputMessage="1" showErrorMessage="1" sqref="AC57">
      <formula1>0</formula1>
      <formula2>NaN</formula2>
    </dataValidation>
    <dataValidation type="whole" allowBlank="1" showInputMessage="1" showErrorMessage="1" sqref="AC58">
      <formula1>0</formula1>
      <formula2>NaN</formula2>
    </dataValidation>
    <dataValidation type="whole" allowBlank="1" showInputMessage="1" showErrorMessage="1" sqref="AC59">
      <formula1>0</formula1>
      <formula2>NaN</formula2>
    </dataValidation>
    <dataValidation type="whole" allowBlank="1" showInputMessage="1" showErrorMessage="1" sqref="AC6">
      <formula1>0</formula1>
      <formula2>NaN</formula2>
    </dataValidation>
    <dataValidation type="whole" allowBlank="1" showInputMessage="1" showErrorMessage="1" sqref="AC60">
      <formula1>0</formula1>
      <formula2>NaN</formula2>
    </dataValidation>
    <dataValidation type="whole" allowBlank="1" showInputMessage="1" showErrorMessage="1" sqref="AC61">
      <formula1>0</formula1>
      <formula2>NaN</formula2>
    </dataValidation>
    <dataValidation type="whole" allowBlank="1" showInputMessage="1" showErrorMessage="1" sqref="AC62">
      <formula1>0</formula1>
      <formula2>NaN</formula2>
    </dataValidation>
    <dataValidation type="whole" allowBlank="1" showInputMessage="1" showErrorMessage="1" sqref="AC63">
      <formula1>0</formula1>
      <formula2>NaN</formula2>
    </dataValidation>
    <dataValidation type="whole" allowBlank="1" showInputMessage="1" showErrorMessage="1" sqref="AC64">
      <formula1>0</formula1>
      <formula2>NaN</formula2>
    </dataValidation>
    <dataValidation type="whole" allowBlank="1" showInputMessage="1" showErrorMessage="1" sqref="AC7">
      <formula1>0</formula1>
      <formula2>NaN</formula2>
    </dataValidation>
    <dataValidation type="whole" allowBlank="1" showInputMessage="1" showErrorMessage="1" sqref="AC8">
      <formula1>0</formula1>
      <formula2>NaN</formula2>
    </dataValidation>
    <dataValidation type="whole" allowBlank="1" showInputMessage="1" showErrorMessage="1" sqref="AC9">
      <formula1>0</formula1>
      <formula2>NaN</formula2>
    </dataValidation>
    <dataValidation type="whole" allowBlank="1" showInputMessage="1" showErrorMessage="1" sqref="AD10">
      <formula1>0</formula1>
      <formula2>NaN</formula2>
    </dataValidation>
    <dataValidation type="whole" allowBlank="1" showInputMessage="1" showErrorMessage="1" sqref="AD11">
      <formula1>0</formula1>
      <formula2>NaN</formula2>
    </dataValidation>
    <dataValidation type="whole" allowBlank="1" showInputMessage="1" showErrorMessage="1" sqref="AD12">
      <formula1>0</formula1>
      <formula2>NaN</formula2>
    </dataValidation>
    <dataValidation type="whole" allowBlank="1" showInputMessage="1" showErrorMessage="1" sqref="AD13">
      <formula1>0</formula1>
      <formula2>NaN</formula2>
    </dataValidation>
    <dataValidation type="whole" allowBlank="1" showInputMessage="1" showErrorMessage="1" sqref="AD14">
      <formula1>0</formula1>
      <formula2>NaN</formula2>
    </dataValidation>
    <dataValidation type="whole" allowBlank="1" showInputMessage="1" showErrorMessage="1" sqref="AD15">
      <formula1>0</formula1>
      <formula2>NaN</formula2>
    </dataValidation>
    <dataValidation type="whole" allowBlank="1" showInputMessage="1" showErrorMessage="1" sqref="AD16">
      <formula1>0</formula1>
      <formula2>NaN</formula2>
    </dataValidation>
    <dataValidation type="whole" allowBlank="1" showInputMessage="1" showErrorMessage="1" sqref="AD17">
      <formula1>0</formula1>
      <formula2>NaN</formula2>
    </dataValidation>
    <dataValidation type="whole" allowBlank="1" showInputMessage="1" showErrorMessage="1" sqref="AD18">
      <formula1>0</formula1>
      <formula2>NaN</formula2>
    </dataValidation>
    <dataValidation type="whole" allowBlank="1" showInputMessage="1" showErrorMessage="1" sqref="AD19">
      <formula1>0</formula1>
      <formula2>NaN</formula2>
    </dataValidation>
    <dataValidation type="whole" allowBlank="1" showInputMessage="1" showErrorMessage="1" sqref="AD20">
      <formula1>0</formula1>
      <formula2>NaN</formula2>
    </dataValidation>
    <dataValidation type="whole" allowBlank="1" showInputMessage="1" showErrorMessage="1" sqref="AD21">
      <formula1>0</formula1>
      <formula2>NaN</formula2>
    </dataValidation>
    <dataValidation type="whole" allowBlank="1" showInputMessage="1" showErrorMessage="1" sqref="AD22">
      <formula1>0</formula1>
      <formula2>NaN</formula2>
    </dataValidation>
    <dataValidation type="whole" allowBlank="1" showInputMessage="1" showErrorMessage="1" sqref="AD23">
      <formula1>0</formula1>
      <formula2>NaN</formula2>
    </dataValidation>
    <dataValidation type="whole" allowBlank="1" showInputMessage="1" showErrorMessage="1" sqref="AD24">
      <formula1>0</formula1>
      <formula2>NaN</formula2>
    </dataValidation>
    <dataValidation type="whole" allowBlank="1" showInputMessage="1" showErrorMessage="1" sqref="AD25">
      <formula1>0</formula1>
      <formula2>NaN</formula2>
    </dataValidation>
    <dataValidation type="whole" allowBlank="1" showInputMessage="1" showErrorMessage="1" sqref="AD26">
      <formula1>0</formula1>
      <formula2>NaN</formula2>
    </dataValidation>
    <dataValidation type="whole" allowBlank="1" showInputMessage="1" showErrorMessage="1" sqref="AD27">
      <formula1>0</formula1>
      <formula2>NaN</formula2>
    </dataValidation>
    <dataValidation type="whole" allowBlank="1" showInputMessage="1" showErrorMessage="1" sqref="AD28">
      <formula1>0</formula1>
      <formula2>NaN</formula2>
    </dataValidation>
    <dataValidation type="whole" allowBlank="1" showInputMessage="1" showErrorMessage="1" sqref="AD29">
      <formula1>0</formula1>
      <formula2>NaN</formula2>
    </dataValidation>
    <dataValidation type="whole" allowBlank="1" showInputMessage="1" showErrorMessage="1" sqref="AD30">
      <formula1>0</formula1>
      <formula2>NaN</formula2>
    </dataValidation>
    <dataValidation type="whole" allowBlank="1" showInputMessage="1" showErrorMessage="1" sqref="AD31">
      <formula1>0</formula1>
      <formula2>NaN</formula2>
    </dataValidation>
    <dataValidation type="whole" allowBlank="1" showInputMessage="1" showErrorMessage="1" sqref="AD32">
      <formula1>0</formula1>
      <formula2>NaN</formula2>
    </dataValidation>
    <dataValidation type="whole" allowBlank="1" showInputMessage="1" showErrorMessage="1" sqref="AD33">
      <formula1>0</formula1>
      <formula2>NaN</formula2>
    </dataValidation>
    <dataValidation type="whole" allowBlank="1" showInputMessage="1" showErrorMessage="1" sqref="AD34">
      <formula1>0</formula1>
      <formula2>NaN</formula2>
    </dataValidation>
    <dataValidation type="whole" allowBlank="1" showInputMessage="1" showErrorMessage="1" sqref="AD35">
      <formula1>0</formula1>
      <formula2>NaN</formula2>
    </dataValidation>
    <dataValidation type="whole" allowBlank="1" showInputMessage="1" showErrorMessage="1" sqref="AD36">
      <formula1>0</formula1>
      <formula2>NaN</formula2>
    </dataValidation>
    <dataValidation type="whole" allowBlank="1" showInputMessage="1" showErrorMessage="1" sqref="AD37">
      <formula1>0</formula1>
      <formula2>NaN</formula2>
    </dataValidation>
    <dataValidation type="whole" allowBlank="1" showInputMessage="1" showErrorMessage="1" sqref="AD38">
      <formula1>0</formula1>
      <formula2>NaN</formula2>
    </dataValidation>
    <dataValidation type="whole" allowBlank="1" showInputMessage="1" showErrorMessage="1" sqref="AD39">
      <formula1>0</formula1>
      <formula2>NaN</formula2>
    </dataValidation>
    <dataValidation type="whole" allowBlank="1" showInputMessage="1" showErrorMessage="1" sqref="AD40">
      <formula1>0</formula1>
      <formula2>NaN</formula2>
    </dataValidation>
    <dataValidation type="whole" allowBlank="1" showInputMessage="1" showErrorMessage="1" sqref="AD41">
      <formula1>0</formula1>
      <formula2>NaN</formula2>
    </dataValidation>
    <dataValidation type="whole" allowBlank="1" showInputMessage="1" showErrorMessage="1" sqref="AD42">
      <formula1>0</formula1>
      <formula2>NaN</formula2>
    </dataValidation>
    <dataValidation type="whole" allowBlank="1" showInputMessage="1" showErrorMessage="1" sqref="AD43">
      <formula1>0</formula1>
      <formula2>NaN</formula2>
    </dataValidation>
    <dataValidation type="whole" allowBlank="1" showInputMessage="1" showErrorMessage="1" sqref="AD44">
      <formula1>0</formula1>
      <formula2>NaN</formula2>
    </dataValidation>
    <dataValidation type="whole" allowBlank="1" showInputMessage="1" showErrorMessage="1" sqref="AD45">
      <formula1>0</formula1>
      <formula2>NaN</formula2>
    </dataValidation>
    <dataValidation type="whole" allowBlank="1" showInputMessage="1" showErrorMessage="1" sqref="AD46">
      <formula1>0</formula1>
      <formula2>NaN</formula2>
    </dataValidation>
    <dataValidation type="whole" allowBlank="1" showInputMessage="1" showErrorMessage="1" sqref="AD47">
      <formula1>0</formula1>
      <formula2>NaN</formula2>
    </dataValidation>
    <dataValidation type="whole" allowBlank="1" showInputMessage="1" showErrorMessage="1" sqref="AD48">
      <formula1>0</formula1>
      <formula2>NaN</formula2>
    </dataValidation>
    <dataValidation type="whole" allowBlank="1" showInputMessage="1" showErrorMessage="1" sqref="AD49">
      <formula1>0</formula1>
      <formula2>NaN</formula2>
    </dataValidation>
    <dataValidation type="whole" allowBlank="1" showInputMessage="1" showErrorMessage="1" sqref="AD5">
      <formula1>0</formula1>
      <formula2>NaN</formula2>
    </dataValidation>
    <dataValidation type="whole" allowBlank="1" showInputMessage="1" showErrorMessage="1" sqref="AD50">
      <formula1>0</formula1>
      <formula2>NaN</formula2>
    </dataValidation>
    <dataValidation type="whole" allowBlank="1" showInputMessage="1" showErrorMessage="1" sqref="AD51">
      <formula1>0</formula1>
      <formula2>NaN</formula2>
    </dataValidation>
    <dataValidation type="whole" allowBlank="1" showInputMessage="1" showErrorMessage="1" sqref="AD52">
      <formula1>0</formula1>
      <formula2>NaN</formula2>
    </dataValidation>
    <dataValidation type="whole" allowBlank="1" showInputMessage="1" showErrorMessage="1" sqref="AD53">
      <formula1>0</formula1>
      <formula2>NaN</formula2>
    </dataValidation>
    <dataValidation type="whole" allowBlank="1" showInputMessage="1" showErrorMessage="1" sqref="AD54">
      <formula1>0</formula1>
      <formula2>NaN</formula2>
    </dataValidation>
    <dataValidation type="whole" allowBlank="1" showInputMessage="1" showErrorMessage="1" sqref="AD55">
      <formula1>0</formula1>
      <formula2>NaN</formula2>
    </dataValidation>
    <dataValidation type="whole" allowBlank="1" showInputMessage="1" showErrorMessage="1" sqref="AD56">
      <formula1>0</formula1>
      <formula2>NaN</formula2>
    </dataValidation>
    <dataValidation type="whole" allowBlank="1" showInputMessage="1" showErrorMessage="1" sqref="AD57">
      <formula1>0</formula1>
      <formula2>NaN</formula2>
    </dataValidation>
    <dataValidation type="whole" allowBlank="1" showInputMessage="1" showErrorMessage="1" sqref="AD58">
      <formula1>0</formula1>
      <formula2>NaN</formula2>
    </dataValidation>
    <dataValidation type="whole" allowBlank="1" showInputMessage="1" showErrorMessage="1" sqref="AD59">
      <formula1>0</formula1>
      <formula2>NaN</formula2>
    </dataValidation>
    <dataValidation type="whole" allowBlank="1" showInputMessage="1" showErrorMessage="1" sqref="AD6">
      <formula1>0</formula1>
      <formula2>NaN</formula2>
    </dataValidation>
    <dataValidation type="whole" allowBlank="1" showInputMessage="1" showErrorMessage="1" sqref="AD60">
      <formula1>0</formula1>
      <formula2>NaN</formula2>
    </dataValidation>
    <dataValidation type="whole" allowBlank="1" showInputMessage="1" showErrorMessage="1" sqref="AD61">
      <formula1>0</formula1>
      <formula2>NaN</formula2>
    </dataValidation>
    <dataValidation type="whole" allowBlank="1" showInputMessage="1" showErrorMessage="1" sqref="AD62">
      <formula1>0</formula1>
      <formula2>NaN</formula2>
    </dataValidation>
    <dataValidation type="whole" allowBlank="1" showInputMessage="1" showErrorMessage="1" sqref="AD63">
      <formula1>0</formula1>
      <formula2>NaN</formula2>
    </dataValidation>
    <dataValidation type="whole" allowBlank="1" showInputMessage="1" showErrorMessage="1" sqref="AD64">
      <formula1>0</formula1>
      <formula2>NaN</formula2>
    </dataValidation>
    <dataValidation type="whole" allowBlank="1" showInputMessage="1" showErrorMessage="1" sqref="AD7">
      <formula1>0</formula1>
      <formula2>NaN</formula2>
    </dataValidation>
    <dataValidation type="whole" allowBlank="1" showInputMessage="1" showErrorMessage="1" sqref="AD8">
      <formula1>0</formula1>
      <formula2>NaN</formula2>
    </dataValidation>
    <dataValidation type="whole" allowBlank="1" showInputMessage="1" showErrorMessage="1" sqref="AD9">
      <formula1>0</formula1>
      <formula2>NaN</formula2>
    </dataValidation>
    <dataValidation type="whole" allowBlank="1" showInputMessage="1" showErrorMessage="1" sqref="AE10">
      <formula1>0</formula1>
      <formula2>NaN</formula2>
    </dataValidation>
    <dataValidation type="whole" allowBlank="1" showInputMessage="1" showErrorMessage="1" sqref="AE11">
      <formula1>0</formula1>
      <formula2>NaN</formula2>
    </dataValidation>
    <dataValidation type="whole" allowBlank="1" showInputMessage="1" showErrorMessage="1" sqref="AE12">
      <formula1>0</formula1>
      <formula2>NaN</formula2>
    </dataValidation>
    <dataValidation type="whole" allowBlank="1" showInputMessage="1" showErrorMessage="1" sqref="AE13">
      <formula1>0</formula1>
      <formula2>NaN</formula2>
    </dataValidation>
    <dataValidation type="whole" allowBlank="1" showInputMessage="1" showErrorMessage="1" sqref="AE14">
      <formula1>0</formula1>
      <formula2>NaN</formula2>
    </dataValidation>
    <dataValidation type="whole" allowBlank="1" showInputMessage="1" showErrorMessage="1" sqref="AE15">
      <formula1>0</formula1>
      <formula2>NaN</formula2>
    </dataValidation>
    <dataValidation type="whole" allowBlank="1" showInputMessage="1" showErrorMessage="1" sqref="AE16">
      <formula1>0</formula1>
      <formula2>NaN</formula2>
    </dataValidation>
    <dataValidation type="whole" allowBlank="1" showInputMessage="1" showErrorMessage="1" sqref="AE17">
      <formula1>0</formula1>
      <formula2>NaN</formula2>
    </dataValidation>
    <dataValidation type="whole" allowBlank="1" showInputMessage="1" showErrorMessage="1" sqref="AE18">
      <formula1>0</formula1>
      <formula2>NaN</formula2>
    </dataValidation>
    <dataValidation type="whole" allowBlank="1" showInputMessage="1" showErrorMessage="1" sqref="AE19">
      <formula1>0</formula1>
      <formula2>NaN</formula2>
    </dataValidation>
    <dataValidation type="whole" allowBlank="1" showInputMessage="1" showErrorMessage="1" sqref="AE20">
      <formula1>0</formula1>
      <formula2>NaN</formula2>
    </dataValidation>
    <dataValidation type="whole" allowBlank="1" showInputMessage="1" showErrorMessage="1" sqref="AE21">
      <formula1>0</formula1>
      <formula2>NaN</formula2>
    </dataValidation>
    <dataValidation type="whole" allowBlank="1" showInputMessage="1" showErrorMessage="1" sqref="AE22">
      <formula1>0</formula1>
      <formula2>NaN</formula2>
    </dataValidation>
    <dataValidation type="whole" allowBlank="1" showInputMessage="1" showErrorMessage="1" sqref="AE23">
      <formula1>0</formula1>
      <formula2>NaN</formula2>
    </dataValidation>
    <dataValidation type="whole" allowBlank="1" showInputMessage="1" showErrorMessage="1" sqref="AE24">
      <formula1>0</formula1>
      <formula2>NaN</formula2>
    </dataValidation>
    <dataValidation type="whole" allowBlank="1" showInputMessage="1" showErrorMessage="1" sqref="AE25">
      <formula1>0</formula1>
      <formula2>NaN</formula2>
    </dataValidation>
    <dataValidation type="whole" allowBlank="1" showInputMessage="1" showErrorMessage="1" sqref="AE26">
      <formula1>0</formula1>
      <formula2>NaN</formula2>
    </dataValidation>
    <dataValidation type="whole" allowBlank="1" showInputMessage="1" showErrorMessage="1" sqref="AE27">
      <formula1>0</formula1>
      <formula2>NaN</formula2>
    </dataValidation>
    <dataValidation type="whole" allowBlank="1" showInputMessage="1" showErrorMessage="1" sqref="AE28">
      <formula1>0</formula1>
      <formula2>NaN</formula2>
    </dataValidation>
    <dataValidation type="whole" allowBlank="1" showInputMessage="1" showErrorMessage="1" sqref="AE29">
      <formula1>0</formula1>
      <formula2>NaN</formula2>
    </dataValidation>
    <dataValidation type="whole" allowBlank="1" showInputMessage="1" showErrorMessage="1" sqref="AE30">
      <formula1>0</formula1>
      <formula2>NaN</formula2>
    </dataValidation>
    <dataValidation type="whole" allowBlank="1" showInputMessage="1" showErrorMessage="1" sqref="AE31">
      <formula1>0</formula1>
      <formula2>NaN</formula2>
    </dataValidation>
    <dataValidation type="whole" allowBlank="1" showInputMessage="1" showErrorMessage="1" sqref="AE32">
      <formula1>0</formula1>
      <formula2>NaN</formula2>
    </dataValidation>
    <dataValidation type="whole" allowBlank="1" showInputMessage="1" showErrorMessage="1" sqref="AE33">
      <formula1>0</formula1>
      <formula2>NaN</formula2>
    </dataValidation>
    <dataValidation type="whole" allowBlank="1" showInputMessage="1" showErrorMessage="1" sqref="AE34">
      <formula1>0</formula1>
      <formula2>NaN</formula2>
    </dataValidation>
    <dataValidation type="whole" allowBlank="1" showInputMessage="1" showErrorMessage="1" sqref="AE35">
      <formula1>0</formula1>
      <formula2>NaN</formula2>
    </dataValidation>
    <dataValidation type="whole" allowBlank="1" showInputMessage="1" showErrorMessage="1" sqref="AE36">
      <formula1>0</formula1>
      <formula2>NaN</formula2>
    </dataValidation>
    <dataValidation type="whole" allowBlank="1" showInputMessage="1" showErrorMessage="1" sqref="AE37">
      <formula1>0</formula1>
      <formula2>NaN</formula2>
    </dataValidation>
    <dataValidation type="whole" allowBlank="1" showInputMessage="1" showErrorMessage="1" sqref="AE38">
      <formula1>0</formula1>
      <formula2>NaN</formula2>
    </dataValidation>
    <dataValidation type="whole" allowBlank="1" showInputMessage="1" showErrorMessage="1" sqref="AE39">
      <formula1>0</formula1>
      <formula2>NaN</formula2>
    </dataValidation>
    <dataValidation type="whole" allowBlank="1" showInputMessage="1" showErrorMessage="1" sqref="AE40">
      <formula1>0</formula1>
      <formula2>NaN</formula2>
    </dataValidation>
    <dataValidation type="whole" allowBlank="1" showInputMessage="1" showErrorMessage="1" sqref="AE41">
      <formula1>0</formula1>
      <formula2>NaN</formula2>
    </dataValidation>
    <dataValidation type="whole" allowBlank="1" showInputMessage="1" showErrorMessage="1" sqref="AE42">
      <formula1>0</formula1>
      <formula2>NaN</formula2>
    </dataValidation>
    <dataValidation type="whole" allowBlank="1" showInputMessage="1" showErrorMessage="1" sqref="AE43">
      <formula1>0</formula1>
      <formula2>NaN</formula2>
    </dataValidation>
    <dataValidation type="whole" allowBlank="1" showInputMessage="1" showErrorMessage="1" sqref="AE44">
      <formula1>0</formula1>
      <formula2>NaN</formula2>
    </dataValidation>
    <dataValidation type="whole" allowBlank="1" showInputMessage="1" showErrorMessage="1" sqref="AE45">
      <formula1>0</formula1>
      <formula2>NaN</formula2>
    </dataValidation>
    <dataValidation type="whole" allowBlank="1" showInputMessage="1" showErrorMessage="1" sqref="AE46">
      <formula1>0</formula1>
      <formula2>NaN</formula2>
    </dataValidation>
    <dataValidation type="whole" allowBlank="1" showInputMessage="1" showErrorMessage="1" sqref="AE47">
      <formula1>0</formula1>
      <formula2>NaN</formula2>
    </dataValidation>
    <dataValidation type="whole" allowBlank="1" showInputMessage="1" showErrorMessage="1" sqref="AE48">
      <formula1>0</formula1>
      <formula2>NaN</formula2>
    </dataValidation>
    <dataValidation type="whole" allowBlank="1" showInputMessage="1" showErrorMessage="1" sqref="AE49">
      <formula1>0</formula1>
      <formula2>NaN</formula2>
    </dataValidation>
    <dataValidation type="whole" allowBlank="1" showInputMessage="1" showErrorMessage="1" sqref="AE5">
      <formula1>0</formula1>
      <formula2>NaN</formula2>
    </dataValidation>
    <dataValidation type="whole" allowBlank="1" showInputMessage="1" showErrorMessage="1" sqref="AE50">
      <formula1>0</formula1>
      <formula2>NaN</formula2>
    </dataValidation>
    <dataValidation type="whole" allowBlank="1" showInputMessage="1" showErrorMessage="1" sqref="AE51">
      <formula1>0</formula1>
      <formula2>NaN</formula2>
    </dataValidation>
    <dataValidation type="whole" allowBlank="1" showInputMessage="1" showErrorMessage="1" sqref="AE52">
      <formula1>0</formula1>
      <formula2>NaN</formula2>
    </dataValidation>
    <dataValidation type="whole" allowBlank="1" showInputMessage="1" showErrorMessage="1" sqref="AE53">
      <formula1>0</formula1>
      <formula2>NaN</formula2>
    </dataValidation>
    <dataValidation type="whole" allowBlank="1" showInputMessage="1" showErrorMessage="1" sqref="AE54">
      <formula1>0</formula1>
      <formula2>NaN</formula2>
    </dataValidation>
    <dataValidation type="whole" allowBlank="1" showInputMessage="1" showErrorMessage="1" sqref="AE55">
      <formula1>0</formula1>
      <formula2>NaN</formula2>
    </dataValidation>
    <dataValidation type="whole" allowBlank="1" showInputMessage="1" showErrorMessage="1" sqref="AE56">
      <formula1>0</formula1>
      <formula2>NaN</formula2>
    </dataValidation>
    <dataValidation type="whole" allowBlank="1" showInputMessage="1" showErrorMessage="1" sqref="AE57">
      <formula1>0</formula1>
      <formula2>NaN</formula2>
    </dataValidation>
    <dataValidation type="whole" allowBlank="1" showInputMessage="1" showErrorMessage="1" sqref="AE58">
      <formula1>0</formula1>
      <formula2>NaN</formula2>
    </dataValidation>
    <dataValidation type="whole" allowBlank="1" showInputMessage="1" showErrorMessage="1" sqref="AE59">
      <formula1>0</formula1>
      <formula2>NaN</formula2>
    </dataValidation>
    <dataValidation type="whole" allowBlank="1" showInputMessage="1" showErrorMessage="1" sqref="AE6">
      <formula1>0</formula1>
      <formula2>NaN</formula2>
    </dataValidation>
    <dataValidation type="whole" allowBlank="1" showInputMessage="1" showErrorMessage="1" sqref="AE60">
      <formula1>0</formula1>
      <formula2>NaN</formula2>
    </dataValidation>
    <dataValidation type="whole" allowBlank="1" showInputMessage="1" showErrorMessage="1" sqref="AE61">
      <formula1>0</formula1>
      <formula2>NaN</formula2>
    </dataValidation>
    <dataValidation type="whole" allowBlank="1" showInputMessage="1" showErrorMessage="1" sqref="AE62">
      <formula1>0</formula1>
      <formula2>NaN</formula2>
    </dataValidation>
    <dataValidation type="whole" allowBlank="1" showInputMessage="1" showErrorMessage="1" sqref="AE63">
      <formula1>0</formula1>
      <formula2>NaN</formula2>
    </dataValidation>
    <dataValidation type="whole" allowBlank="1" showInputMessage="1" showErrorMessage="1" sqref="AE64">
      <formula1>0</formula1>
      <formula2>NaN</formula2>
    </dataValidation>
    <dataValidation type="whole" allowBlank="1" showInputMessage="1" showErrorMessage="1" sqref="AE7">
      <formula1>0</formula1>
      <formula2>NaN</formula2>
    </dataValidation>
    <dataValidation type="whole" allowBlank="1" showInputMessage="1" showErrorMessage="1" sqref="AE8">
      <formula1>0</formula1>
      <formula2>NaN</formula2>
    </dataValidation>
    <dataValidation type="whole" allowBlank="1" showInputMessage="1" showErrorMessage="1" sqref="AE9">
      <formula1>0</formula1>
      <formula2>NaN</formula2>
    </dataValidation>
    <dataValidation type="whole" allowBlank="1" showInputMessage="1" showErrorMessage="1" sqref="AF10">
      <formula1>0</formula1>
      <formula2>NaN</formula2>
    </dataValidation>
    <dataValidation type="whole" allowBlank="1" showInputMessage="1" showErrorMessage="1" sqref="AF11">
      <formula1>0</formula1>
      <formula2>NaN</formula2>
    </dataValidation>
    <dataValidation type="whole" allowBlank="1" showInputMessage="1" showErrorMessage="1" sqref="AF12">
      <formula1>0</formula1>
      <formula2>NaN</formula2>
    </dataValidation>
    <dataValidation type="whole" allowBlank="1" showInputMessage="1" showErrorMessage="1" sqref="AF13">
      <formula1>0</formula1>
      <formula2>NaN</formula2>
    </dataValidation>
    <dataValidation type="whole" allowBlank="1" showInputMessage="1" showErrorMessage="1" sqref="AF14">
      <formula1>0</formula1>
      <formula2>NaN</formula2>
    </dataValidation>
    <dataValidation type="whole" allowBlank="1" showInputMessage="1" showErrorMessage="1" sqref="AF15">
      <formula1>0</formula1>
      <formula2>NaN</formula2>
    </dataValidation>
    <dataValidation type="whole" allowBlank="1" showInputMessage="1" showErrorMessage="1" sqref="AF16">
      <formula1>0</formula1>
      <formula2>NaN</formula2>
    </dataValidation>
    <dataValidation type="whole" allowBlank="1" showInputMessage="1" showErrorMessage="1" sqref="AF17">
      <formula1>0</formula1>
      <formula2>NaN</formula2>
    </dataValidation>
    <dataValidation type="whole" allowBlank="1" showInputMessage="1" showErrorMessage="1" sqref="AF18">
      <formula1>0</formula1>
      <formula2>NaN</formula2>
    </dataValidation>
    <dataValidation type="whole" allowBlank="1" showInputMessage="1" showErrorMessage="1" sqref="AF19">
      <formula1>0</formula1>
      <formula2>NaN</formula2>
    </dataValidation>
    <dataValidation type="whole" allowBlank="1" showInputMessage="1" showErrorMessage="1" sqref="AF20">
      <formula1>0</formula1>
      <formula2>NaN</formula2>
    </dataValidation>
    <dataValidation type="whole" allowBlank="1" showInputMessage="1" showErrorMessage="1" sqref="AF21">
      <formula1>0</formula1>
      <formula2>NaN</formula2>
    </dataValidation>
    <dataValidation type="whole" allowBlank="1" showInputMessage="1" showErrorMessage="1" sqref="AF22">
      <formula1>0</formula1>
      <formula2>NaN</formula2>
    </dataValidation>
    <dataValidation type="whole" allowBlank="1" showInputMessage="1" showErrorMessage="1" sqref="AF23">
      <formula1>0</formula1>
      <formula2>NaN</formula2>
    </dataValidation>
    <dataValidation type="whole" allowBlank="1" showInputMessage="1" showErrorMessage="1" sqref="AF24">
      <formula1>0</formula1>
      <formula2>NaN</formula2>
    </dataValidation>
    <dataValidation type="whole" allowBlank="1" showInputMessage="1" showErrorMessage="1" sqref="AF25">
      <formula1>0</formula1>
      <formula2>NaN</formula2>
    </dataValidation>
    <dataValidation type="whole" allowBlank="1" showInputMessage="1" showErrorMessage="1" sqref="AF26">
      <formula1>0</formula1>
      <formula2>NaN</formula2>
    </dataValidation>
    <dataValidation type="whole" allowBlank="1" showInputMessage="1" showErrorMessage="1" sqref="AF27">
      <formula1>0</formula1>
      <formula2>NaN</formula2>
    </dataValidation>
    <dataValidation type="whole" allowBlank="1" showInputMessage="1" showErrorMessage="1" sqref="AF28">
      <formula1>0</formula1>
      <formula2>NaN</formula2>
    </dataValidation>
    <dataValidation type="whole" allowBlank="1" showInputMessage="1" showErrorMessage="1" sqref="AF29">
      <formula1>0</formula1>
      <formula2>NaN</formula2>
    </dataValidation>
    <dataValidation type="whole" allowBlank="1" showInputMessage="1" showErrorMessage="1" sqref="AF30">
      <formula1>0</formula1>
      <formula2>NaN</formula2>
    </dataValidation>
    <dataValidation type="whole" allowBlank="1" showInputMessage="1" showErrorMessage="1" sqref="AF31">
      <formula1>0</formula1>
      <formula2>NaN</formula2>
    </dataValidation>
    <dataValidation type="whole" allowBlank="1" showInputMessage="1" showErrorMessage="1" sqref="AF32">
      <formula1>0</formula1>
      <formula2>NaN</formula2>
    </dataValidation>
    <dataValidation type="whole" allowBlank="1" showInputMessage="1" showErrorMessage="1" sqref="AF33">
      <formula1>0</formula1>
      <formula2>NaN</formula2>
    </dataValidation>
    <dataValidation type="whole" allowBlank="1" showInputMessage="1" showErrorMessage="1" sqref="AF34">
      <formula1>0</formula1>
      <formula2>NaN</formula2>
    </dataValidation>
    <dataValidation type="whole" allowBlank="1" showInputMessage="1" showErrorMessage="1" sqref="AF35">
      <formula1>0</formula1>
      <formula2>NaN</formula2>
    </dataValidation>
    <dataValidation type="whole" allowBlank="1" showInputMessage="1" showErrorMessage="1" sqref="AF36">
      <formula1>0</formula1>
      <formula2>NaN</formula2>
    </dataValidation>
    <dataValidation type="whole" allowBlank="1" showInputMessage="1" showErrorMessage="1" sqref="AF37">
      <formula1>0</formula1>
      <formula2>NaN</formula2>
    </dataValidation>
    <dataValidation type="whole" allowBlank="1" showInputMessage="1" showErrorMessage="1" sqref="AF38">
      <formula1>0</formula1>
      <formula2>NaN</formula2>
    </dataValidation>
    <dataValidation type="whole" allowBlank="1" showInputMessage="1" showErrorMessage="1" sqref="AF39">
      <formula1>0</formula1>
      <formula2>NaN</formula2>
    </dataValidation>
    <dataValidation type="whole" allowBlank="1" showInputMessage="1" showErrorMessage="1" sqref="AF40">
      <formula1>0</formula1>
      <formula2>NaN</formula2>
    </dataValidation>
    <dataValidation type="whole" allowBlank="1" showInputMessage="1" showErrorMessage="1" sqref="AF41">
      <formula1>0</formula1>
      <formula2>NaN</formula2>
    </dataValidation>
    <dataValidation type="whole" allowBlank="1" showInputMessage="1" showErrorMessage="1" sqref="AF42">
      <formula1>0</formula1>
      <formula2>NaN</formula2>
    </dataValidation>
    <dataValidation type="whole" allowBlank="1" showInputMessage="1" showErrorMessage="1" sqref="AF43">
      <formula1>0</formula1>
      <formula2>NaN</formula2>
    </dataValidation>
    <dataValidation type="whole" allowBlank="1" showInputMessage="1" showErrorMessage="1" sqref="AF44">
      <formula1>0</formula1>
      <formula2>NaN</formula2>
    </dataValidation>
    <dataValidation type="whole" allowBlank="1" showInputMessage="1" showErrorMessage="1" sqref="AF45">
      <formula1>0</formula1>
      <formula2>NaN</formula2>
    </dataValidation>
    <dataValidation type="whole" allowBlank="1" showInputMessage="1" showErrorMessage="1" sqref="AF46">
      <formula1>0</formula1>
      <formula2>NaN</formula2>
    </dataValidation>
    <dataValidation type="whole" allowBlank="1" showInputMessage="1" showErrorMessage="1" sqref="AF47">
      <formula1>0</formula1>
      <formula2>NaN</formula2>
    </dataValidation>
    <dataValidation type="whole" allowBlank="1" showInputMessage="1" showErrorMessage="1" sqref="AF48">
      <formula1>0</formula1>
      <formula2>NaN</formula2>
    </dataValidation>
    <dataValidation type="whole" allowBlank="1" showInputMessage="1" showErrorMessage="1" sqref="AF49">
      <formula1>0</formula1>
      <formula2>NaN</formula2>
    </dataValidation>
    <dataValidation type="whole" allowBlank="1" showInputMessage="1" showErrorMessage="1" sqref="AF5">
      <formula1>0</formula1>
      <formula2>NaN</formula2>
    </dataValidation>
    <dataValidation type="whole" allowBlank="1" showInputMessage="1" showErrorMessage="1" sqref="AF50">
      <formula1>0</formula1>
      <formula2>NaN</formula2>
    </dataValidation>
    <dataValidation type="whole" allowBlank="1" showInputMessage="1" showErrorMessage="1" sqref="AF51">
      <formula1>0</formula1>
      <formula2>NaN</formula2>
    </dataValidation>
    <dataValidation type="whole" allowBlank="1" showInputMessage="1" showErrorMessage="1" sqref="AF52">
      <formula1>0</formula1>
      <formula2>NaN</formula2>
    </dataValidation>
    <dataValidation type="whole" allowBlank="1" showInputMessage="1" showErrorMessage="1" sqref="AF53">
      <formula1>0</formula1>
      <formula2>NaN</formula2>
    </dataValidation>
    <dataValidation type="whole" allowBlank="1" showInputMessage="1" showErrorMessage="1" sqref="AF54">
      <formula1>0</formula1>
      <formula2>NaN</formula2>
    </dataValidation>
    <dataValidation type="whole" allowBlank="1" showInputMessage="1" showErrorMessage="1" sqref="AF55">
      <formula1>0</formula1>
      <formula2>NaN</formula2>
    </dataValidation>
    <dataValidation type="whole" allowBlank="1" showInputMessage="1" showErrorMessage="1" sqref="AF56">
      <formula1>0</formula1>
      <formula2>NaN</formula2>
    </dataValidation>
    <dataValidation type="whole" allowBlank="1" showInputMessage="1" showErrorMessage="1" sqref="AF57">
      <formula1>0</formula1>
      <formula2>NaN</formula2>
    </dataValidation>
    <dataValidation type="whole" allowBlank="1" showInputMessage="1" showErrorMessage="1" sqref="AF58">
      <formula1>0</formula1>
      <formula2>NaN</formula2>
    </dataValidation>
    <dataValidation type="whole" allowBlank="1" showInputMessage="1" showErrorMessage="1" sqref="AF59">
      <formula1>0</formula1>
      <formula2>NaN</formula2>
    </dataValidation>
    <dataValidation type="whole" allowBlank="1" showInputMessage="1" showErrorMessage="1" sqref="AF6">
      <formula1>0</formula1>
      <formula2>NaN</formula2>
    </dataValidation>
    <dataValidation type="whole" allowBlank="1" showInputMessage="1" showErrorMessage="1" sqref="AF60">
      <formula1>0</formula1>
      <formula2>NaN</formula2>
    </dataValidation>
    <dataValidation type="whole" allowBlank="1" showInputMessage="1" showErrorMessage="1" sqref="AF61">
      <formula1>0</formula1>
      <formula2>NaN</formula2>
    </dataValidation>
    <dataValidation type="whole" allowBlank="1" showInputMessage="1" showErrorMessage="1" sqref="AF62">
      <formula1>0</formula1>
      <formula2>NaN</formula2>
    </dataValidation>
    <dataValidation type="whole" allowBlank="1" showInputMessage="1" showErrorMessage="1" sqref="AF63">
      <formula1>0</formula1>
      <formula2>NaN</formula2>
    </dataValidation>
    <dataValidation type="whole" allowBlank="1" showInputMessage="1" showErrorMessage="1" sqref="AF64">
      <formula1>0</formula1>
      <formula2>NaN</formula2>
    </dataValidation>
    <dataValidation type="whole" allowBlank="1" showInputMessage="1" showErrorMessage="1" sqref="AF7">
      <formula1>0</formula1>
      <formula2>NaN</formula2>
    </dataValidation>
    <dataValidation type="whole" allowBlank="1" showInputMessage="1" showErrorMessage="1" sqref="AF8">
      <formula1>0</formula1>
      <formula2>NaN</formula2>
    </dataValidation>
    <dataValidation type="whole" allowBlank="1" showInputMessage="1" showErrorMessage="1" sqref="AF9">
      <formula1>0</formula1>
      <formula2>NaN</formula2>
    </dataValidation>
    <dataValidation type="whole" allowBlank="1" showInputMessage="1" showErrorMessage="1" sqref="AG10">
      <formula1>0</formula1>
      <formula2>NaN</formula2>
    </dataValidation>
    <dataValidation type="whole" allowBlank="1" showInputMessage="1" showErrorMessage="1" sqref="AG11">
      <formula1>0</formula1>
      <formula2>NaN</formula2>
    </dataValidation>
    <dataValidation type="whole" allowBlank="1" showInputMessage="1" showErrorMessage="1" sqref="AG12">
      <formula1>0</formula1>
      <formula2>NaN</formula2>
    </dataValidation>
    <dataValidation type="whole" allowBlank="1" showInputMessage="1" showErrorMessage="1" sqref="AG13">
      <formula1>0</formula1>
      <formula2>NaN</formula2>
    </dataValidation>
    <dataValidation type="whole" allowBlank="1" showInputMessage="1" showErrorMessage="1" sqref="AG14">
      <formula1>0</formula1>
      <formula2>NaN</formula2>
    </dataValidation>
    <dataValidation type="whole" allowBlank="1" showInputMessage="1" showErrorMessage="1" sqref="AG15">
      <formula1>0</formula1>
      <formula2>NaN</formula2>
    </dataValidation>
    <dataValidation type="whole" allowBlank="1" showInputMessage="1" showErrorMessage="1" sqref="AG16">
      <formula1>0</formula1>
      <formula2>NaN</formula2>
    </dataValidation>
    <dataValidation type="whole" allowBlank="1" showInputMessage="1" showErrorMessage="1" sqref="AG17">
      <formula1>0</formula1>
      <formula2>NaN</formula2>
    </dataValidation>
    <dataValidation type="whole" allowBlank="1" showInputMessage="1" showErrorMessage="1" sqref="AG18">
      <formula1>0</formula1>
      <formula2>NaN</formula2>
    </dataValidation>
    <dataValidation type="whole" allowBlank="1" showInputMessage="1" showErrorMessage="1" sqref="AG19">
      <formula1>0</formula1>
      <formula2>NaN</formula2>
    </dataValidation>
    <dataValidation type="whole" allowBlank="1" showInputMessage="1" showErrorMessage="1" sqref="AG20">
      <formula1>0</formula1>
      <formula2>NaN</formula2>
    </dataValidation>
    <dataValidation type="whole" allowBlank="1" showInputMessage="1" showErrorMessage="1" sqref="AG21">
      <formula1>0</formula1>
      <formula2>NaN</formula2>
    </dataValidation>
    <dataValidation type="whole" allowBlank="1" showInputMessage="1" showErrorMessage="1" sqref="AG22">
      <formula1>0</formula1>
      <formula2>NaN</formula2>
    </dataValidation>
    <dataValidation type="whole" allowBlank="1" showInputMessage="1" showErrorMessage="1" sqref="AG23">
      <formula1>0</formula1>
      <formula2>NaN</formula2>
    </dataValidation>
    <dataValidation type="whole" allowBlank="1" showInputMessage="1" showErrorMessage="1" sqref="AG24">
      <formula1>0</formula1>
      <formula2>NaN</formula2>
    </dataValidation>
    <dataValidation type="whole" allowBlank="1" showInputMessage="1" showErrorMessage="1" sqref="AG25">
      <formula1>0</formula1>
      <formula2>NaN</formula2>
    </dataValidation>
    <dataValidation type="whole" allowBlank="1" showInputMessage="1" showErrorMessage="1" sqref="AG26">
      <formula1>0</formula1>
      <formula2>NaN</formula2>
    </dataValidation>
    <dataValidation type="whole" allowBlank="1" showInputMessage="1" showErrorMessage="1" sqref="AG27">
      <formula1>0</formula1>
      <formula2>NaN</formula2>
    </dataValidation>
    <dataValidation type="whole" allowBlank="1" showInputMessage="1" showErrorMessage="1" sqref="AG28">
      <formula1>0</formula1>
      <formula2>NaN</formula2>
    </dataValidation>
    <dataValidation type="whole" allowBlank="1" showInputMessage="1" showErrorMessage="1" sqref="AG29">
      <formula1>0</formula1>
      <formula2>NaN</formula2>
    </dataValidation>
    <dataValidation type="whole" allowBlank="1" showInputMessage="1" showErrorMessage="1" sqref="AG30">
      <formula1>0</formula1>
      <formula2>NaN</formula2>
    </dataValidation>
    <dataValidation type="whole" allowBlank="1" showInputMessage="1" showErrorMessage="1" sqref="AG31">
      <formula1>0</formula1>
      <formula2>NaN</formula2>
    </dataValidation>
    <dataValidation type="whole" allowBlank="1" showInputMessage="1" showErrorMessage="1" sqref="AG32">
      <formula1>0</formula1>
      <formula2>NaN</formula2>
    </dataValidation>
    <dataValidation type="whole" allowBlank="1" showInputMessage="1" showErrorMessage="1" sqref="AG33">
      <formula1>0</formula1>
      <formula2>NaN</formula2>
    </dataValidation>
    <dataValidation type="whole" allowBlank="1" showInputMessage="1" showErrorMessage="1" sqref="AG34">
      <formula1>0</formula1>
      <formula2>NaN</formula2>
    </dataValidation>
    <dataValidation type="whole" allowBlank="1" showInputMessage="1" showErrorMessage="1" sqref="AG35">
      <formula1>0</formula1>
      <formula2>NaN</formula2>
    </dataValidation>
    <dataValidation type="whole" allowBlank="1" showInputMessage="1" showErrorMessage="1" sqref="AG36">
      <formula1>0</formula1>
      <formula2>NaN</formula2>
    </dataValidation>
    <dataValidation type="whole" allowBlank="1" showInputMessage="1" showErrorMessage="1" sqref="AG37">
      <formula1>0</formula1>
      <formula2>NaN</formula2>
    </dataValidation>
    <dataValidation type="whole" allowBlank="1" showInputMessage="1" showErrorMessage="1" sqref="AG38">
      <formula1>0</formula1>
      <formula2>NaN</formula2>
    </dataValidation>
    <dataValidation type="whole" allowBlank="1" showInputMessage="1" showErrorMessage="1" sqref="AG39">
      <formula1>0</formula1>
      <formula2>NaN</formula2>
    </dataValidation>
    <dataValidation type="whole" allowBlank="1" showInputMessage="1" showErrorMessage="1" sqref="AG40">
      <formula1>0</formula1>
      <formula2>NaN</formula2>
    </dataValidation>
    <dataValidation type="whole" allowBlank="1" showInputMessage="1" showErrorMessage="1" sqref="AG41">
      <formula1>0</formula1>
      <formula2>NaN</formula2>
    </dataValidation>
    <dataValidation type="whole" allowBlank="1" showInputMessage="1" showErrorMessage="1" sqref="AG42">
      <formula1>0</formula1>
      <formula2>NaN</formula2>
    </dataValidation>
    <dataValidation type="whole" allowBlank="1" showInputMessage="1" showErrorMessage="1" sqref="AG43">
      <formula1>0</formula1>
      <formula2>NaN</formula2>
    </dataValidation>
    <dataValidation type="whole" allowBlank="1" showInputMessage="1" showErrorMessage="1" sqref="AG44">
      <formula1>0</formula1>
      <formula2>NaN</formula2>
    </dataValidation>
    <dataValidation type="whole" allowBlank="1" showInputMessage="1" showErrorMessage="1" sqref="AG45">
      <formula1>0</formula1>
      <formula2>NaN</formula2>
    </dataValidation>
    <dataValidation type="whole" allowBlank="1" showInputMessage="1" showErrorMessage="1" sqref="AG46">
      <formula1>0</formula1>
      <formula2>NaN</formula2>
    </dataValidation>
    <dataValidation type="whole" allowBlank="1" showInputMessage="1" showErrorMessage="1" sqref="AG47">
      <formula1>0</formula1>
      <formula2>NaN</formula2>
    </dataValidation>
    <dataValidation type="whole" allowBlank="1" showInputMessage="1" showErrorMessage="1" sqref="AG48">
      <formula1>0</formula1>
      <formula2>NaN</formula2>
    </dataValidation>
    <dataValidation type="whole" allowBlank="1" showInputMessage="1" showErrorMessage="1" sqref="AG49">
      <formula1>0</formula1>
      <formula2>NaN</formula2>
    </dataValidation>
    <dataValidation type="whole" allowBlank="1" showInputMessage="1" showErrorMessage="1" sqref="AG5">
      <formula1>0</formula1>
      <formula2>NaN</formula2>
    </dataValidation>
    <dataValidation type="whole" allowBlank="1" showInputMessage="1" showErrorMessage="1" sqref="AG50">
      <formula1>0</formula1>
      <formula2>NaN</formula2>
    </dataValidation>
    <dataValidation type="whole" allowBlank="1" showInputMessage="1" showErrorMessage="1" sqref="AG51">
      <formula1>0</formula1>
      <formula2>NaN</formula2>
    </dataValidation>
    <dataValidation type="whole" allowBlank="1" showInputMessage="1" showErrorMessage="1" sqref="AG52">
      <formula1>0</formula1>
      <formula2>NaN</formula2>
    </dataValidation>
    <dataValidation type="whole" allowBlank="1" showInputMessage="1" showErrorMessage="1" sqref="AG53">
      <formula1>0</formula1>
      <formula2>NaN</formula2>
    </dataValidation>
    <dataValidation type="whole" allowBlank="1" showInputMessage="1" showErrorMessage="1" sqref="AG54">
      <formula1>0</formula1>
      <formula2>NaN</formula2>
    </dataValidation>
    <dataValidation type="whole" allowBlank="1" showInputMessage="1" showErrorMessage="1" sqref="AG55">
      <formula1>0</formula1>
      <formula2>NaN</formula2>
    </dataValidation>
    <dataValidation type="whole" allowBlank="1" showInputMessage="1" showErrorMessage="1" sqref="AG56">
      <formula1>0</formula1>
      <formula2>NaN</formula2>
    </dataValidation>
    <dataValidation type="whole" allowBlank="1" showInputMessage="1" showErrorMessage="1" sqref="AG57">
      <formula1>0</formula1>
      <formula2>NaN</formula2>
    </dataValidation>
    <dataValidation type="whole" allowBlank="1" showInputMessage="1" showErrorMessage="1" sqref="AG58">
      <formula1>0</formula1>
      <formula2>NaN</formula2>
    </dataValidation>
    <dataValidation type="whole" allowBlank="1" showInputMessage="1" showErrorMessage="1" sqref="AG59">
      <formula1>0</formula1>
      <formula2>NaN</formula2>
    </dataValidation>
    <dataValidation type="whole" allowBlank="1" showInputMessage="1" showErrorMessage="1" sqref="AG6">
      <formula1>0</formula1>
      <formula2>NaN</formula2>
    </dataValidation>
    <dataValidation type="whole" allowBlank="1" showInputMessage="1" showErrorMessage="1" sqref="AG60">
      <formula1>0</formula1>
      <formula2>NaN</formula2>
    </dataValidation>
    <dataValidation type="whole" allowBlank="1" showInputMessage="1" showErrorMessage="1" sqref="AG61">
      <formula1>0</formula1>
      <formula2>NaN</formula2>
    </dataValidation>
    <dataValidation type="whole" allowBlank="1" showInputMessage="1" showErrorMessage="1" sqref="AG62">
      <formula1>0</formula1>
      <formula2>NaN</formula2>
    </dataValidation>
    <dataValidation type="whole" allowBlank="1" showInputMessage="1" showErrorMessage="1" sqref="AG63">
      <formula1>0</formula1>
      <formula2>NaN</formula2>
    </dataValidation>
    <dataValidation type="whole" allowBlank="1" showInputMessage="1" showErrorMessage="1" sqref="AG64">
      <formula1>0</formula1>
      <formula2>NaN</formula2>
    </dataValidation>
    <dataValidation type="whole" allowBlank="1" showInputMessage="1" showErrorMessage="1" sqref="AG7">
      <formula1>0</formula1>
      <formula2>NaN</formula2>
    </dataValidation>
    <dataValidation type="whole" allowBlank="1" showInputMessage="1" showErrorMessage="1" sqref="AG8">
      <formula1>0</formula1>
      <formula2>NaN</formula2>
    </dataValidation>
    <dataValidation type="whole" allowBlank="1" showInputMessage="1" showErrorMessage="1" sqref="AG9">
      <formula1>0</formula1>
      <formula2>NaN</formula2>
    </dataValidation>
    <dataValidation type="whole" allowBlank="1" showInputMessage="1" showErrorMessage="1" sqref="AH10">
      <formula1>0</formula1>
      <formula2>NaN</formula2>
    </dataValidation>
    <dataValidation type="whole" allowBlank="1" showInputMessage="1" showErrorMessage="1" sqref="AH11">
      <formula1>0</formula1>
      <formula2>NaN</formula2>
    </dataValidation>
    <dataValidation type="whole" allowBlank="1" showInputMessage="1" showErrorMessage="1" sqref="AH12">
      <formula1>0</formula1>
      <formula2>NaN</formula2>
    </dataValidation>
    <dataValidation type="whole" allowBlank="1" showInputMessage="1" showErrorMessage="1" sqref="AH13">
      <formula1>0</formula1>
      <formula2>NaN</formula2>
    </dataValidation>
    <dataValidation type="whole" allowBlank="1" showInputMessage="1" showErrorMessage="1" sqref="AH14">
      <formula1>0</formula1>
      <formula2>NaN</formula2>
    </dataValidation>
    <dataValidation type="whole" allowBlank="1" showInputMessage="1" showErrorMessage="1" sqref="AH15">
      <formula1>0</formula1>
      <formula2>NaN</formula2>
    </dataValidation>
    <dataValidation type="whole" allowBlank="1" showInputMessage="1" showErrorMessage="1" sqref="AH16">
      <formula1>0</formula1>
      <formula2>NaN</formula2>
    </dataValidation>
    <dataValidation type="whole" allowBlank="1" showInputMessage="1" showErrorMessage="1" sqref="AH17">
      <formula1>0</formula1>
      <formula2>NaN</formula2>
    </dataValidation>
    <dataValidation type="whole" allowBlank="1" showInputMessage="1" showErrorMessage="1" sqref="AH18">
      <formula1>0</formula1>
      <formula2>NaN</formula2>
    </dataValidation>
    <dataValidation type="whole" allowBlank="1" showInputMessage="1" showErrorMessage="1" sqref="AH19">
      <formula1>0</formula1>
      <formula2>NaN</formula2>
    </dataValidation>
    <dataValidation type="whole" allowBlank="1" showInputMessage="1" showErrorMessage="1" sqref="AH20">
      <formula1>0</formula1>
      <formula2>NaN</formula2>
    </dataValidation>
    <dataValidation type="whole" allowBlank="1" showInputMessage="1" showErrorMessage="1" sqref="AH21">
      <formula1>0</formula1>
      <formula2>NaN</formula2>
    </dataValidation>
    <dataValidation type="whole" allowBlank="1" showInputMessage="1" showErrorMessage="1" sqref="AH22">
      <formula1>0</formula1>
      <formula2>NaN</formula2>
    </dataValidation>
    <dataValidation type="whole" allowBlank="1" showInputMessage="1" showErrorMessage="1" sqref="AH23">
      <formula1>0</formula1>
      <formula2>NaN</formula2>
    </dataValidation>
    <dataValidation type="whole" allowBlank="1" showInputMessage="1" showErrorMessage="1" sqref="AH24">
      <formula1>0</formula1>
      <formula2>NaN</formula2>
    </dataValidation>
    <dataValidation type="whole" allowBlank="1" showInputMessage="1" showErrorMessage="1" sqref="AH25">
      <formula1>0</formula1>
      <formula2>NaN</formula2>
    </dataValidation>
    <dataValidation type="whole" allowBlank="1" showInputMessage="1" showErrorMessage="1" sqref="AH26">
      <formula1>0</formula1>
      <formula2>NaN</formula2>
    </dataValidation>
    <dataValidation type="whole" allowBlank="1" showInputMessage="1" showErrorMessage="1" sqref="AH27">
      <formula1>0</formula1>
      <formula2>NaN</formula2>
    </dataValidation>
    <dataValidation type="whole" allowBlank="1" showInputMessage="1" showErrorMessage="1" sqref="AH28">
      <formula1>0</formula1>
      <formula2>NaN</formula2>
    </dataValidation>
    <dataValidation type="whole" allowBlank="1" showInputMessage="1" showErrorMessage="1" sqref="AH29">
      <formula1>0</formula1>
      <formula2>NaN</formula2>
    </dataValidation>
    <dataValidation type="whole" allowBlank="1" showInputMessage="1" showErrorMessage="1" sqref="AH30">
      <formula1>0</formula1>
      <formula2>NaN</formula2>
    </dataValidation>
    <dataValidation type="whole" allowBlank="1" showInputMessage="1" showErrorMessage="1" sqref="AH31">
      <formula1>0</formula1>
      <formula2>NaN</formula2>
    </dataValidation>
    <dataValidation type="whole" allowBlank="1" showInputMessage="1" showErrorMessage="1" sqref="AH32">
      <formula1>0</formula1>
      <formula2>NaN</formula2>
    </dataValidation>
    <dataValidation type="whole" allowBlank="1" showInputMessage="1" showErrorMessage="1" sqref="AH33">
      <formula1>0</formula1>
      <formula2>NaN</formula2>
    </dataValidation>
    <dataValidation type="whole" allowBlank="1" showInputMessage="1" showErrorMessage="1" sqref="AH34">
      <formula1>0</formula1>
      <formula2>NaN</formula2>
    </dataValidation>
    <dataValidation type="whole" allowBlank="1" showInputMessage="1" showErrorMessage="1" sqref="AH35">
      <formula1>0</formula1>
      <formula2>NaN</formula2>
    </dataValidation>
    <dataValidation type="whole" allowBlank="1" showInputMessage="1" showErrorMessage="1" sqref="AH36">
      <formula1>0</formula1>
      <formula2>NaN</formula2>
    </dataValidation>
    <dataValidation type="whole" allowBlank="1" showInputMessage="1" showErrorMessage="1" sqref="AH37">
      <formula1>0</formula1>
      <formula2>NaN</formula2>
    </dataValidation>
    <dataValidation type="whole" allowBlank="1" showInputMessage="1" showErrorMessage="1" sqref="AH38">
      <formula1>0</formula1>
      <formula2>NaN</formula2>
    </dataValidation>
    <dataValidation type="whole" allowBlank="1" showInputMessage="1" showErrorMessage="1" sqref="AH39">
      <formula1>0</formula1>
      <formula2>NaN</formula2>
    </dataValidation>
    <dataValidation type="whole" allowBlank="1" showInputMessage="1" showErrorMessage="1" sqref="AH40">
      <formula1>0</formula1>
      <formula2>NaN</formula2>
    </dataValidation>
    <dataValidation type="whole" allowBlank="1" showInputMessage="1" showErrorMessage="1" sqref="AH41">
      <formula1>0</formula1>
      <formula2>NaN</formula2>
    </dataValidation>
    <dataValidation type="whole" allowBlank="1" showInputMessage="1" showErrorMessage="1" sqref="AH42">
      <formula1>0</formula1>
      <formula2>NaN</formula2>
    </dataValidation>
    <dataValidation type="whole" allowBlank="1" showInputMessage="1" showErrorMessage="1" sqref="AH43">
      <formula1>0</formula1>
      <formula2>NaN</formula2>
    </dataValidation>
    <dataValidation type="whole" allowBlank="1" showInputMessage="1" showErrorMessage="1" sqref="AH44">
      <formula1>0</formula1>
      <formula2>NaN</formula2>
    </dataValidation>
    <dataValidation type="whole" allowBlank="1" showInputMessage="1" showErrorMessage="1" sqref="AH45">
      <formula1>0</formula1>
      <formula2>NaN</formula2>
    </dataValidation>
    <dataValidation type="whole" allowBlank="1" showInputMessage="1" showErrorMessage="1" sqref="AH46">
      <formula1>0</formula1>
      <formula2>NaN</formula2>
    </dataValidation>
    <dataValidation type="whole" allowBlank="1" showInputMessage="1" showErrorMessage="1" sqref="AH47">
      <formula1>0</formula1>
      <formula2>NaN</formula2>
    </dataValidation>
    <dataValidation type="whole" allowBlank="1" showInputMessage="1" showErrorMessage="1" sqref="AH48">
      <formula1>0</formula1>
      <formula2>NaN</formula2>
    </dataValidation>
    <dataValidation type="whole" allowBlank="1" showInputMessage="1" showErrorMessage="1" sqref="AH49">
      <formula1>0</formula1>
      <formula2>NaN</formula2>
    </dataValidation>
    <dataValidation type="whole" allowBlank="1" showInputMessage="1" showErrorMessage="1" sqref="AH5">
      <formula1>0</formula1>
      <formula2>NaN</formula2>
    </dataValidation>
    <dataValidation type="whole" allowBlank="1" showInputMessage="1" showErrorMessage="1" sqref="AH50">
      <formula1>0</formula1>
      <formula2>NaN</formula2>
    </dataValidation>
    <dataValidation type="whole" allowBlank="1" showInputMessage="1" showErrorMessage="1" sqref="AH51">
      <formula1>0</formula1>
      <formula2>NaN</formula2>
    </dataValidation>
    <dataValidation type="whole" allowBlank="1" showInputMessage="1" showErrorMessage="1" sqref="AH52">
      <formula1>0</formula1>
      <formula2>NaN</formula2>
    </dataValidation>
    <dataValidation type="whole" allowBlank="1" showInputMessage="1" showErrorMessage="1" sqref="AH53">
      <formula1>0</formula1>
      <formula2>NaN</formula2>
    </dataValidation>
    <dataValidation type="whole" allowBlank="1" showInputMessage="1" showErrorMessage="1" sqref="AH54">
      <formula1>0</formula1>
      <formula2>NaN</formula2>
    </dataValidation>
    <dataValidation type="whole" allowBlank="1" showInputMessage="1" showErrorMessage="1" sqref="AH55">
      <formula1>0</formula1>
      <formula2>NaN</formula2>
    </dataValidation>
    <dataValidation type="whole" allowBlank="1" showInputMessage="1" showErrorMessage="1" sqref="AH56">
      <formula1>0</formula1>
      <formula2>NaN</formula2>
    </dataValidation>
    <dataValidation type="whole" allowBlank="1" showInputMessage="1" showErrorMessage="1" sqref="AH57">
      <formula1>0</formula1>
      <formula2>NaN</formula2>
    </dataValidation>
    <dataValidation type="whole" allowBlank="1" showInputMessage="1" showErrorMessage="1" sqref="AH58">
      <formula1>0</formula1>
      <formula2>NaN</formula2>
    </dataValidation>
    <dataValidation type="whole" allowBlank="1" showInputMessage="1" showErrorMessage="1" sqref="AH59">
      <formula1>0</formula1>
      <formula2>NaN</formula2>
    </dataValidation>
    <dataValidation type="whole" allowBlank="1" showInputMessage="1" showErrorMessage="1" sqref="AH6">
      <formula1>0</formula1>
      <formula2>NaN</formula2>
    </dataValidation>
    <dataValidation type="whole" allowBlank="1" showInputMessage="1" showErrorMessage="1" sqref="AH60">
      <formula1>0</formula1>
      <formula2>NaN</formula2>
    </dataValidation>
    <dataValidation type="whole" allowBlank="1" showInputMessage="1" showErrorMessage="1" sqref="AH61">
      <formula1>0</formula1>
      <formula2>NaN</formula2>
    </dataValidation>
    <dataValidation type="whole" allowBlank="1" showInputMessage="1" showErrorMessage="1" sqref="AH62">
      <formula1>0</formula1>
      <formula2>NaN</formula2>
    </dataValidation>
    <dataValidation type="whole" allowBlank="1" showInputMessage="1" showErrorMessage="1" sqref="AH63">
      <formula1>0</formula1>
      <formula2>NaN</formula2>
    </dataValidation>
    <dataValidation type="whole" allowBlank="1" showInputMessage="1" showErrorMessage="1" sqref="AH64">
      <formula1>0</formula1>
      <formula2>NaN</formula2>
    </dataValidation>
    <dataValidation type="whole" allowBlank="1" showInputMessage="1" showErrorMessage="1" sqref="AH7">
      <formula1>0</formula1>
      <formula2>NaN</formula2>
    </dataValidation>
    <dataValidation type="whole" allowBlank="1" showInputMessage="1" showErrorMessage="1" sqref="AH8">
      <formula1>0</formula1>
      <formula2>NaN</formula2>
    </dataValidation>
    <dataValidation type="whole" allowBlank="1" showInputMessage="1" showErrorMessage="1" sqref="AH9">
      <formula1>0</formula1>
      <formula2>NaN</formula2>
    </dataValidation>
    <dataValidation type="whole" allowBlank="1" showInputMessage="1" showErrorMessage="1" sqref="AI10">
      <formula1>0</formula1>
      <formula2>NaN</formula2>
    </dataValidation>
    <dataValidation type="whole" allowBlank="1" showInputMessage="1" showErrorMessage="1" sqref="AI11">
      <formula1>0</formula1>
      <formula2>NaN</formula2>
    </dataValidation>
    <dataValidation type="whole" allowBlank="1" showInputMessage="1" showErrorMessage="1" sqref="AI12">
      <formula1>0</formula1>
      <formula2>NaN</formula2>
    </dataValidation>
    <dataValidation type="whole" allowBlank="1" showInputMessage="1" showErrorMessage="1" sqref="AI13">
      <formula1>0</formula1>
      <formula2>NaN</formula2>
    </dataValidation>
    <dataValidation type="whole" allowBlank="1" showInputMessage="1" showErrorMessage="1" sqref="AI14">
      <formula1>0</formula1>
      <formula2>NaN</formula2>
    </dataValidation>
    <dataValidation type="whole" allowBlank="1" showInputMessage="1" showErrorMessage="1" sqref="AI15">
      <formula1>0</formula1>
      <formula2>NaN</formula2>
    </dataValidation>
    <dataValidation type="whole" allowBlank="1" showInputMessage="1" showErrorMessage="1" sqref="AI16">
      <formula1>0</formula1>
      <formula2>NaN</formula2>
    </dataValidation>
    <dataValidation type="whole" allowBlank="1" showInputMessage="1" showErrorMessage="1" sqref="AI17">
      <formula1>0</formula1>
      <formula2>NaN</formula2>
    </dataValidation>
    <dataValidation type="whole" allowBlank="1" showInputMessage="1" showErrorMessage="1" sqref="AI18">
      <formula1>0</formula1>
      <formula2>NaN</formula2>
    </dataValidation>
    <dataValidation type="whole" allowBlank="1" showInputMessage="1" showErrorMessage="1" sqref="AI19">
      <formula1>0</formula1>
      <formula2>NaN</formula2>
    </dataValidation>
    <dataValidation type="whole" allowBlank="1" showInputMessage="1" showErrorMessage="1" sqref="AI20">
      <formula1>0</formula1>
      <formula2>NaN</formula2>
    </dataValidation>
    <dataValidation type="whole" allowBlank="1" showInputMessage="1" showErrorMessage="1" sqref="AI21">
      <formula1>0</formula1>
      <formula2>NaN</formula2>
    </dataValidation>
    <dataValidation type="whole" allowBlank="1" showInputMessage="1" showErrorMessage="1" sqref="AI22">
      <formula1>0</formula1>
      <formula2>NaN</formula2>
    </dataValidation>
    <dataValidation type="whole" allowBlank="1" showInputMessage="1" showErrorMessage="1" sqref="AI23">
      <formula1>0</formula1>
      <formula2>NaN</formula2>
    </dataValidation>
    <dataValidation type="whole" allowBlank="1" showInputMessage="1" showErrorMessage="1" sqref="AI24">
      <formula1>0</formula1>
      <formula2>NaN</formula2>
    </dataValidation>
    <dataValidation type="whole" allowBlank="1" showInputMessage="1" showErrorMessage="1" sqref="AI25">
      <formula1>0</formula1>
      <formula2>NaN</formula2>
    </dataValidation>
    <dataValidation type="whole" allowBlank="1" showInputMessage="1" showErrorMessage="1" sqref="AI26">
      <formula1>0</formula1>
      <formula2>NaN</formula2>
    </dataValidation>
    <dataValidation type="whole" allowBlank="1" showInputMessage="1" showErrorMessage="1" sqref="AI27">
      <formula1>0</formula1>
      <formula2>NaN</formula2>
    </dataValidation>
    <dataValidation type="whole" allowBlank="1" showInputMessage="1" showErrorMessage="1" sqref="AI28">
      <formula1>0</formula1>
      <formula2>NaN</formula2>
    </dataValidation>
    <dataValidation type="whole" allowBlank="1" showInputMessage="1" showErrorMessage="1" sqref="AI29">
      <formula1>0</formula1>
      <formula2>NaN</formula2>
    </dataValidation>
    <dataValidation type="whole" allowBlank="1" showInputMessage="1" showErrorMessage="1" sqref="AI30">
      <formula1>0</formula1>
      <formula2>NaN</formula2>
    </dataValidation>
    <dataValidation type="whole" allowBlank="1" showInputMessage="1" showErrorMessage="1" sqref="AI31">
      <formula1>0</formula1>
      <formula2>NaN</formula2>
    </dataValidation>
    <dataValidation type="whole" allowBlank="1" showInputMessage="1" showErrorMessage="1" sqref="AI32">
      <formula1>0</formula1>
      <formula2>NaN</formula2>
    </dataValidation>
    <dataValidation type="whole" allowBlank="1" showInputMessage="1" showErrorMessage="1" sqref="AI33">
      <formula1>0</formula1>
      <formula2>NaN</formula2>
    </dataValidation>
    <dataValidation type="whole" allowBlank="1" showInputMessage="1" showErrorMessage="1" sqref="AI34">
      <formula1>0</formula1>
      <formula2>NaN</formula2>
    </dataValidation>
    <dataValidation type="whole" allowBlank="1" showInputMessage="1" showErrorMessage="1" sqref="AI35">
      <formula1>0</formula1>
      <formula2>NaN</formula2>
    </dataValidation>
    <dataValidation type="whole" allowBlank="1" showInputMessage="1" showErrorMessage="1" sqref="AI36">
      <formula1>0</formula1>
      <formula2>NaN</formula2>
    </dataValidation>
    <dataValidation type="whole" allowBlank="1" showInputMessage="1" showErrorMessage="1" sqref="AI37">
      <formula1>0</formula1>
      <formula2>NaN</formula2>
    </dataValidation>
    <dataValidation type="whole" allowBlank="1" showInputMessage="1" showErrorMessage="1" sqref="AI38">
      <formula1>0</formula1>
      <formula2>NaN</formula2>
    </dataValidation>
    <dataValidation type="whole" allowBlank="1" showInputMessage="1" showErrorMessage="1" sqref="AI39">
      <formula1>0</formula1>
      <formula2>NaN</formula2>
    </dataValidation>
    <dataValidation type="whole" allowBlank="1" showInputMessage="1" showErrorMessage="1" sqref="AI40">
      <formula1>0</formula1>
      <formula2>NaN</formula2>
    </dataValidation>
    <dataValidation type="whole" allowBlank="1" showInputMessage="1" showErrorMessage="1" sqref="AI41">
      <formula1>0</formula1>
      <formula2>NaN</formula2>
    </dataValidation>
    <dataValidation type="whole" allowBlank="1" showInputMessage="1" showErrorMessage="1" sqref="AI42">
      <formula1>0</formula1>
      <formula2>NaN</formula2>
    </dataValidation>
    <dataValidation type="whole" allowBlank="1" showInputMessage="1" showErrorMessage="1" sqref="AI43">
      <formula1>0</formula1>
      <formula2>NaN</formula2>
    </dataValidation>
    <dataValidation type="whole" allowBlank="1" showInputMessage="1" showErrorMessage="1" sqref="AI44">
      <formula1>0</formula1>
      <formula2>NaN</formula2>
    </dataValidation>
    <dataValidation type="whole" allowBlank="1" showInputMessage="1" showErrorMessage="1" sqref="AI45">
      <formula1>0</formula1>
      <formula2>NaN</formula2>
    </dataValidation>
    <dataValidation type="whole" allowBlank="1" showInputMessage="1" showErrorMessage="1" sqref="AI46">
      <formula1>0</formula1>
      <formula2>NaN</formula2>
    </dataValidation>
    <dataValidation type="whole" allowBlank="1" showInputMessage="1" showErrorMessage="1" sqref="AI47">
      <formula1>0</formula1>
      <formula2>NaN</formula2>
    </dataValidation>
    <dataValidation type="whole" allowBlank="1" showInputMessage="1" showErrorMessage="1" sqref="AI48">
      <formula1>0</formula1>
      <formula2>NaN</formula2>
    </dataValidation>
    <dataValidation type="whole" allowBlank="1" showInputMessage="1" showErrorMessage="1" sqref="AI49">
      <formula1>0</formula1>
      <formula2>NaN</formula2>
    </dataValidation>
    <dataValidation type="whole" allowBlank="1" showInputMessage="1" showErrorMessage="1" sqref="AI5">
      <formula1>0</formula1>
      <formula2>NaN</formula2>
    </dataValidation>
    <dataValidation type="whole" allowBlank="1" showInputMessage="1" showErrorMessage="1" sqref="AI50">
      <formula1>0</formula1>
      <formula2>NaN</formula2>
    </dataValidation>
    <dataValidation type="whole" allowBlank="1" showInputMessage="1" showErrorMessage="1" sqref="AI51">
      <formula1>0</formula1>
      <formula2>NaN</formula2>
    </dataValidation>
    <dataValidation type="whole" allowBlank="1" showInputMessage="1" showErrorMessage="1" sqref="AI52">
      <formula1>0</formula1>
      <formula2>NaN</formula2>
    </dataValidation>
    <dataValidation type="whole" allowBlank="1" showInputMessage="1" showErrorMessage="1" sqref="AI53">
      <formula1>0</formula1>
      <formula2>NaN</formula2>
    </dataValidation>
    <dataValidation type="whole" allowBlank="1" showInputMessage="1" showErrorMessage="1" sqref="AI54">
      <formula1>0</formula1>
      <formula2>NaN</formula2>
    </dataValidation>
    <dataValidation type="whole" allowBlank="1" showInputMessage="1" showErrorMessage="1" sqref="AI55">
      <formula1>0</formula1>
      <formula2>NaN</formula2>
    </dataValidation>
    <dataValidation type="whole" allowBlank="1" showInputMessage="1" showErrorMessage="1" sqref="AI56">
      <formula1>0</formula1>
      <formula2>NaN</formula2>
    </dataValidation>
    <dataValidation type="whole" allowBlank="1" showInputMessage="1" showErrorMessage="1" sqref="AI57">
      <formula1>0</formula1>
      <formula2>NaN</formula2>
    </dataValidation>
    <dataValidation type="whole" allowBlank="1" showInputMessage="1" showErrorMessage="1" sqref="AI58">
      <formula1>0</formula1>
      <formula2>NaN</formula2>
    </dataValidation>
    <dataValidation type="whole" allowBlank="1" showInputMessage="1" showErrorMessage="1" sqref="AI59">
      <formula1>0</formula1>
      <formula2>NaN</formula2>
    </dataValidation>
    <dataValidation type="whole" allowBlank="1" showInputMessage="1" showErrorMessage="1" sqref="AI6">
      <formula1>0</formula1>
      <formula2>NaN</formula2>
    </dataValidation>
    <dataValidation type="whole" allowBlank="1" showInputMessage="1" showErrorMessage="1" sqref="AI60">
      <formula1>0</formula1>
      <formula2>NaN</formula2>
    </dataValidation>
    <dataValidation type="whole" allowBlank="1" showInputMessage="1" showErrorMessage="1" sqref="AI61">
      <formula1>0</formula1>
      <formula2>NaN</formula2>
    </dataValidation>
    <dataValidation type="whole" allowBlank="1" showInputMessage="1" showErrorMessage="1" sqref="AI62">
      <formula1>0</formula1>
      <formula2>NaN</formula2>
    </dataValidation>
    <dataValidation type="whole" allowBlank="1" showInputMessage="1" showErrorMessage="1" sqref="AI63">
      <formula1>0</formula1>
      <formula2>NaN</formula2>
    </dataValidation>
    <dataValidation type="whole" allowBlank="1" showInputMessage="1" showErrorMessage="1" sqref="AI64">
      <formula1>0</formula1>
      <formula2>NaN</formula2>
    </dataValidation>
    <dataValidation type="whole" allowBlank="1" showInputMessage="1" showErrorMessage="1" sqref="AI7">
      <formula1>0</formula1>
      <formula2>NaN</formula2>
    </dataValidation>
    <dataValidation type="whole" allowBlank="1" showInputMessage="1" showErrorMessage="1" sqref="AI8">
      <formula1>0</formula1>
      <formula2>NaN</formula2>
    </dataValidation>
    <dataValidation type="whole" allowBlank="1" showInputMessage="1" showErrorMessage="1" sqref="AI9">
      <formula1>0</formula1>
      <formula2>NaN</formula2>
    </dataValidation>
    <dataValidation type="whole" allowBlank="1" showInputMessage="1" showErrorMessage="1" sqref="AJ10">
      <formula1>0</formula1>
      <formula2>NaN</formula2>
    </dataValidation>
    <dataValidation type="whole" allowBlank="1" showInputMessage="1" showErrorMessage="1" sqref="AJ11">
      <formula1>0</formula1>
      <formula2>NaN</formula2>
    </dataValidation>
    <dataValidation type="whole" allowBlank="1" showInputMessage="1" showErrorMessage="1" sqref="AJ12">
      <formula1>0</formula1>
      <formula2>NaN</formula2>
    </dataValidation>
    <dataValidation type="whole" allowBlank="1" showInputMessage="1" showErrorMessage="1" sqref="AJ13">
      <formula1>0</formula1>
      <formula2>NaN</formula2>
    </dataValidation>
    <dataValidation type="whole" allowBlank="1" showInputMessage="1" showErrorMessage="1" sqref="AJ14">
      <formula1>0</formula1>
      <formula2>NaN</formula2>
    </dataValidation>
    <dataValidation type="whole" allowBlank="1" showInputMessage="1" showErrorMessage="1" sqref="AJ15">
      <formula1>0</formula1>
      <formula2>NaN</formula2>
    </dataValidation>
    <dataValidation type="whole" allowBlank="1" showInputMessage="1" showErrorMessage="1" sqref="AJ16">
      <formula1>0</formula1>
      <formula2>NaN</formula2>
    </dataValidation>
    <dataValidation type="whole" allowBlank="1" showInputMessage="1" showErrorMessage="1" sqref="AJ17">
      <formula1>0</formula1>
      <formula2>NaN</formula2>
    </dataValidation>
    <dataValidation type="whole" allowBlank="1" showInputMessage="1" showErrorMessage="1" sqref="AJ18">
      <formula1>0</formula1>
      <formula2>NaN</formula2>
    </dataValidation>
    <dataValidation type="whole" allowBlank="1" showInputMessage="1" showErrorMessage="1" sqref="AJ19">
      <formula1>0</formula1>
      <formula2>NaN</formula2>
    </dataValidation>
    <dataValidation type="whole" allowBlank="1" showInputMessage="1" showErrorMessage="1" sqref="AJ20">
      <formula1>0</formula1>
      <formula2>NaN</formula2>
    </dataValidation>
    <dataValidation type="whole" allowBlank="1" showInputMessage="1" showErrorMessage="1" sqref="AJ21">
      <formula1>0</formula1>
      <formula2>NaN</formula2>
    </dataValidation>
    <dataValidation type="whole" allowBlank="1" showInputMessage="1" showErrorMessage="1" sqref="AJ22">
      <formula1>0</formula1>
      <formula2>NaN</formula2>
    </dataValidation>
    <dataValidation type="whole" allowBlank="1" showInputMessage="1" showErrorMessage="1" sqref="AJ23">
      <formula1>0</formula1>
      <formula2>NaN</formula2>
    </dataValidation>
    <dataValidation type="whole" allowBlank="1" showInputMessage="1" showErrorMessage="1" sqref="AJ24">
      <formula1>0</formula1>
      <formula2>NaN</formula2>
    </dataValidation>
    <dataValidation type="whole" allowBlank="1" showInputMessage="1" showErrorMessage="1" sqref="AJ25">
      <formula1>0</formula1>
      <formula2>NaN</formula2>
    </dataValidation>
    <dataValidation type="whole" allowBlank="1" showInputMessage="1" showErrorMessage="1" sqref="AJ26">
      <formula1>0</formula1>
      <formula2>NaN</formula2>
    </dataValidation>
    <dataValidation type="whole" allowBlank="1" showInputMessage="1" showErrorMessage="1" sqref="AJ27">
      <formula1>0</formula1>
      <formula2>NaN</formula2>
    </dataValidation>
    <dataValidation type="whole" allowBlank="1" showInputMessage="1" showErrorMessage="1" sqref="AJ28">
      <formula1>0</formula1>
      <formula2>NaN</formula2>
    </dataValidation>
    <dataValidation type="whole" allowBlank="1" showInputMessage="1" showErrorMessage="1" sqref="AJ29">
      <formula1>0</formula1>
      <formula2>NaN</formula2>
    </dataValidation>
    <dataValidation type="whole" allowBlank="1" showInputMessage="1" showErrorMessage="1" sqref="AJ30">
      <formula1>0</formula1>
      <formula2>NaN</formula2>
    </dataValidation>
    <dataValidation type="whole" allowBlank="1" showInputMessage="1" showErrorMessage="1" sqref="AJ31">
      <formula1>0</formula1>
      <formula2>NaN</formula2>
    </dataValidation>
    <dataValidation type="whole" allowBlank="1" showInputMessage="1" showErrorMessage="1" sqref="AJ32">
      <formula1>0</formula1>
      <formula2>NaN</formula2>
    </dataValidation>
    <dataValidation type="whole" allowBlank="1" showInputMessage="1" showErrorMessage="1" sqref="AJ33">
      <formula1>0</formula1>
      <formula2>NaN</formula2>
    </dataValidation>
    <dataValidation type="whole" allowBlank="1" showInputMessage="1" showErrorMessage="1" sqref="AJ34">
      <formula1>0</formula1>
      <formula2>NaN</formula2>
    </dataValidation>
    <dataValidation type="whole" allowBlank="1" showInputMessage="1" showErrorMessage="1" sqref="AJ35">
      <formula1>0</formula1>
      <formula2>NaN</formula2>
    </dataValidation>
    <dataValidation type="whole" allowBlank="1" showInputMessage="1" showErrorMessage="1" sqref="AJ36">
      <formula1>0</formula1>
      <formula2>NaN</formula2>
    </dataValidation>
    <dataValidation type="whole" allowBlank="1" showInputMessage="1" showErrorMessage="1" sqref="AJ37">
      <formula1>0</formula1>
      <formula2>NaN</formula2>
    </dataValidation>
    <dataValidation type="whole" allowBlank="1" showInputMessage="1" showErrorMessage="1" sqref="AJ38">
      <formula1>0</formula1>
      <formula2>NaN</formula2>
    </dataValidation>
    <dataValidation type="whole" allowBlank="1" showInputMessage="1" showErrorMessage="1" sqref="AJ39">
      <formula1>0</formula1>
      <formula2>NaN</formula2>
    </dataValidation>
    <dataValidation type="whole" allowBlank="1" showInputMessage="1" showErrorMessage="1" sqref="AJ40">
      <formula1>0</formula1>
      <formula2>NaN</formula2>
    </dataValidation>
    <dataValidation type="whole" allowBlank="1" showInputMessage="1" showErrorMessage="1" sqref="AJ41">
      <formula1>0</formula1>
      <formula2>NaN</formula2>
    </dataValidation>
    <dataValidation type="whole" allowBlank="1" showInputMessage="1" showErrorMessage="1" sqref="AJ42">
      <formula1>0</formula1>
      <formula2>NaN</formula2>
    </dataValidation>
    <dataValidation type="whole" allowBlank="1" showInputMessage="1" showErrorMessage="1" sqref="AJ43">
      <formula1>0</formula1>
      <formula2>NaN</formula2>
    </dataValidation>
    <dataValidation type="whole" allowBlank="1" showInputMessage="1" showErrorMessage="1" sqref="AJ44">
      <formula1>0</formula1>
      <formula2>NaN</formula2>
    </dataValidation>
    <dataValidation type="whole" allowBlank="1" showInputMessage="1" showErrorMessage="1" sqref="AJ45">
      <formula1>0</formula1>
      <formula2>NaN</formula2>
    </dataValidation>
    <dataValidation type="whole" allowBlank="1" showInputMessage="1" showErrorMessage="1" sqref="AJ46">
      <formula1>0</formula1>
      <formula2>NaN</formula2>
    </dataValidation>
    <dataValidation type="whole" allowBlank="1" showInputMessage="1" showErrorMessage="1" sqref="AJ47">
      <formula1>0</formula1>
      <formula2>NaN</formula2>
    </dataValidation>
    <dataValidation type="whole" allowBlank="1" showInputMessage="1" showErrorMessage="1" sqref="AJ48">
      <formula1>0</formula1>
      <formula2>NaN</formula2>
    </dataValidation>
    <dataValidation type="whole" allowBlank="1" showInputMessage="1" showErrorMessage="1" sqref="AJ49">
      <formula1>0</formula1>
      <formula2>NaN</formula2>
    </dataValidation>
    <dataValidation type="whole" allowBlank="1" showInputMessage="1" showErrorMessage="1" sqref="AJ5">
      <formula1>0</formula1>
      <formula2>NaN</formula2>
    </dataValidation>
    <dataValidation type="whole" allowBlank="1" showInputMessage="1" showErrorMessage="1" sqref="AJ50">
      <formula1>0</formula1>
      <formula2>NaN</formula2>
    </dataValidation>
    <dataValidation type="whole" allowBlank="1" showInputMessage="1" showErrorMessage="1" sqref="AJ51">
      <formula1>0</formula1>
      <formula2>NaN</formula2>
    </dataValidation>
    <dataValidation type="whole" allowBlank="1" showInputMessage="1" showErrorMessage="1" sqref="AJ52">
      <formula1>0</formula1>
      <formula2>NaN</formula2>
    </dataValidation>
    <dataValidation type="whole" allowBlank="1" showInputMessage="1" showErrorMessage="1" sqref="AJ53">
      <formula1>0</formula1>
      <formula2>NaN</formula2>
    </dataValidation>
    <dataValidation type="whole" allowBlank="1" showInputMessage="1" showErrorMessage="1" sqref="AJ54">
      <formula1>0</formula1>
      <formula2>NaN</formula2>
    </dataValidation>
    <dataValidation type="whole" allowBlank="1" showInputMessage="1" showErrorMessage="1" sqref="AJ55">
      <formula1>0</formula1>
      <formula2>NaN</formula2>
    </dataValidation>
    <dataValidation type="whole" allowBlank="1" showInputMessage="1" showErrorMessage="1" sqref="AJ56">
      <formula1>0</formula1>
      <formula2>NaN</formula2>
    </dataValidation>
    <dataValidation type="whole" allowBlank="1" showInputMessage="1" showErrorMessage="1" sqref="AJ57">
      <formula1>0</formula1>
      <formula2>NaN</formula2>
    </dataValidation>
    <dataValidation type="whole" allowBlank="1" showInputMessage="1" showErrorMessage="1" sqref="AJ58">
      <formula1>0</formula1>
      <formula2>NaN</formula2>
    </dataValidation>
    <dataValidation type="whole" allowBlank="1" showInputMessage="1" showErrorMessage="1" sqref="AJ59">
      <formula1>0</formula1>
      <formula2>NaN</formula2>
    </dataValidation>
    <dataValidation type="whole" allowBlank="1" showInputMessage="1" showErrorMessage="1" sqref="AJ6">
      <formula1>0</formula1>
      <formula2>NaN</formula2>
    </dataValidation>
    <dataValidation type="whole" allowBlank="1" showInputMessage="1" showErrorMessage="1" sqref="AJ60">
      <formula1>0</formula1>
      <formula2>NaN</formula2>
    </dataValidation>
    <dataValidation type="whole" allowBlank="1" showInputMessage="1" showErrorMessage="1" sqref="AJ61">
      <formula1>0</formula1>
      <formula2>NaN</formula2>
    </dataValidation>
    <dataValidation type="whole" allowBlank="1" showInputMessage="1" showErrorMessage="1" sqref="AJ62">
      <formula1>0</formula1>
      <formula2>NaN</formula2>
    </dataValidation>
    <dataValidation type="whole" allowBlank="1" showInputMessage="1" showErrorMessage="1" sqref="AJ63">
      <formula1>0</formula1>
      <formula2>NaN</formula2>
    </dataValidation>
    <dataValidation type="whole" allowBlank="1" showInputMessage="1" showErrorMessage="1" sqref="AJ64">
      <formula1>0</formula1>
      <formula2>NaN</formula2>
    </dataValidation>
    <dataValidation type="whole" allowBlank="1" showInputMessage="1" showErrorMessage="1" sqref="AJ7">
      <formula1>0</formula1>
      <formula2>NaN</formula2>
    </dataValidation>
    <dataValidation type="whole" allowBlank="1" showInputMessage="1" showErrorMessage="1" sqref="AJ8">
      <formula1>0</formula1>
      <formula2>NaN</formula2>
    </dataValidation>
    <dataValidation type="whole" allowBlank="1" showInputMessage="1" showErrorMessage="1" sqref="AJ9">
      <formula1>0</formula1>
      <formula2>NaN</formula2>
    </dataValidation>
    <dataValidation type="whole" allowBlank="1" showInputMessage="1" showErrorMessage="1" sqref="AK10">
      <formula1>0</formula1>
      <formula2>NaN</formula2>
    </dataValidation>
    <dataValidation type="whole" allowBlank="1" showInputMessage="1" showErrorMessage="1" sqref="AK11">
      <formula1>0</formula1>
      <formula2>NaN</formula2>
    </dataValidation>
    <dataValidation type="whole" allowBlank="1" showInputMessage="1" showErrorMessage="1" sqref="AK12">
      <formula1>0</formula1>
      <formula2>NaN</formula2>
    </dataValidation>
    <dataValidation type="whole" allowBlank="1" showInputMessage="1" showErrorMessage="1" sqref="AK13">
      <formula1>0</formula1>
      <formula2>NaN</formula2>
    </dataValidation>
    <dataValidation type="whole" allowBlank="1" showInputMessage="1" showErrorMessage="1" sqref="AK14">
      <formula1>0</formula1>
      <formula2>NaN</formula2>
    </dataValidation>
    <dataValidation type="whole" allowBlank="1" showInputMessage="1" showErrorMessage="1" sqref="AK15">
      <formula1>0</formula1>
      <formula2>NaN</formula2>
    </dataValidation>
    <dataValidation type="whole" allowBlank="1" showInputMessage="1" showErrorMessage="1" sqref="AK16">
      <formula1>0</formula1>
      <formula2>NaN</formula2>
    </dataValidation>
    <dataValidation type="whole" allowBlank="1" showInputMessage="1" showErrorMessage="1" sqref="AK17">
      <formula1>0</formula1>
      <formula2>NaN</formula2>
    </dataValidation>
    <dataValidation type="whole" allowBlank="1" showInputMessage="1" showErrorMessage="1" sqref="AK18">
      <formula1>0</formula1>
      <formula2>NaN</formula2>
    </dataValidation>
    <dataValidation type="whole" allowBlank="1" showInputMessage="1" showErrorMessage="1" sqref="AK19">
      <formula1>0</formula1>
      <formula2>NaN</formula2>
    </dataValidation>
    <dataValidation type="whole" allowBlank="1" showInputMessage="1" showErrorMessage="1" sqref="AK20">
      <formula1>0</formula1>
      <formula2>NaN</formula2>
    </dataValidation>
    <dataValidation type="whole" allowBlank="1" showInputMessage="1" showErrorMessage="1" sqref="AK21">
      <formula1>0</formula1>
      <formula2>NaN</formula2>
    </dataValidation>
    <dataValidation type="whole" allowBlank="1" showInputMessage="1" showErrorMessage="1" sqref="AK22">
      <formula1>0</formula1>
      <formula2>NaN</formula2>
    </dataValidation>
    <dataValidation type="whole" allowBlank="1" showInputMessage="1" showErrorMessage="1" sqref="AK23">
      <formula1>0</formula1>
      <formula2>NaN</formula2>
    </dataValidation>
    <dataValidation type="whole" allowBlank="1" showInputMessage="1" showErrorMessage="1" sqref="AK24">
      <formula1>0</formula1>
      <formula2>NaN</formula2>
    </dataValidation>
    <dataValidation type="whole" allowBlank="1" showInputMessage="1" showErrorMessage="1" sqref="AK25">
      <formula1>0</formula1>
      <formula2>NaN</formula2>
    </dataValidation>
    <dataValidation type="whole" allowBlank="1" showInputMessage="1" showErrorMessage="1" sqref="AK26">
      <formula1>0</formula1>
      <formula2>NaN</formula2>
    </dataValidation>
    <dataValidation type="whole" allowBlank="1" showInputMessage="1" showErrorMessage="1" sqref="AK27">
      <formula1>0</formula1>
      <formula2>NaN</formula2>
    </dataValidation>
    <dataValidation type="whole" allowBlank="1" showInputMessage="1" showErrorMessage="1" sqref="AK28">
      <formula1>0</formula1>
      <formula2>NaN</formula2>
    </dataValidation>
    <dataValidation type="whole" allowBlank="1" showInputMessage="1" showErrorMessage="1" sqref="AK29">
      <formula1>0</formula1>
      <formula2>NaN</formula2>
    </dataValidation>
    <dataValidation type="whole" allowBlank="1" showInputMessage="1" showErrorMessage="1" sqref="AK30">
      <formula1>0</formula1>
      <formula2>NaN</formula2>
    </dataValidation>
    <dataValidation type="whole" allowBlank="1" showInputMessage="1" showErrorMessage="1" sqref="AK31">
      <formula1>0</formula1>
      <formula2>NaN</formula2>
    </dataValidation>
    <dataValidation type="whole" allowBlank="1" showInputMessage="1" showErrorMessage="1" sqref="AK32">
      <formula1>0</formula1>
      <formula2>NaN</formula2>
    </dataValidation>
    <dataValidation type="whole" allowBlank="1" showInputMessage="1" showErrorMessage="1" sqref="AK33">
      <formula1>0</formula1>
      <formula2>NaN</formula2>
    </dataValidation>
    <dataValidation type="whole" allowBlank="1" showInputMessage="1" showErrorMessage="1" sqref="AK34">
      <formula1>0</formula1>
      <formula2>NaN</formula2>
    </dataValidation>
    <dataValidation type="whole" allowBlank="1" showInputMessage="1" showErrorMessage="1" sqref="AK35">
      <formula1>0</formula1>
      <formula2>NaN</formula2>
    </dataValidation>
    <dataValidation type="whole" allowBlank="1" showInputMessage="1" showErrorMessage="1" sqref="AK36">
      <formula1>0</formula1>
      <formula2>NaN</formula2>
    </dataValidation>
    <dataValidation type="whole" allowBlank="1" showInputMessage="1" showErrorMessage="1" sqref="AK37">
      <formula1>0</formula1>
      <formula2>NaN</formula2>
    </dataValidation>
    <dataValidation type="whole" allowBlank="1" showInputMessage="1" showErrorMessage="1" sqref="AK38">
      <formula1>0</formula1>
      <formula2>NaN</formula2>
    </dataValidation>
    <dataValidation type="whole" allowBlank="1" showInputMessage="1" showErrorMessage="1" sqref="AK39">
      <formula1>0</formula1>
      <formula2>NaN</formula2>
    </dataValidation>
    <dataValidation type="whole" allowBlank="1" showInputMessage="1" showErrorMessage="1" sqref="AK40">
      <formula1>0</formula1>
      <formula2>NaN</formula2>
    </dataValidation>
    <dataValidation type="whole" allowBlank="1" showInputMessage="1" showErrorMessage="1" sqref="AK41">
      <formula1>0</formula1>
      <formula2>NaN</formula2>
    </dataValidation>
    <dataValidation type="whole" allowBlank="1" showInputMessage="1" showErrorMessage="1" sqref="AK42">
      <formula1>0</formula1>
      <formula2>NaN</formula2>
    </dataValidation>
    <dataValidation type="whole" allowBlank="1" showInputMessage="1" showErrorMessage="1" sqref="AK43">
      <formula1>0</formula1>
      <formula2>NaN</formula2>
    </dataValidation>
    <dataValidation type="whole" allowBlank="1" showInputMessage="1" showErrorMessage="1" sqref="AK44">
      <formula1>0</formula1>
      <formula2>NaN</formula2>
    </dataValidation>
    <dataValidation type="whole" allowBlank="1" showInputMessage="1" showErrorMessage="1" sqref="AK45">
      <formula1>0</formula1>
      <formula2>NaN</formula2>
    </dataValidation>
    <dataValidation type="whole" allowBlank="1" showInputMessage="1" showErrorMessage="1" sqref="AK46">
      <formula1>0</formula1>
      <formula2>NaN</formula2>
    </dataValidation>
    <dataValidation type="whole" allowBlank="1" showInputMessage="1" showErrorMessage="1" sqref="AK47">
      <formula1>0</formula1>
      <formula2>NaN</formula2>
    </dataValidation>
    <dataValidation type="whole" allowBlank="1" showInputMessage="1" showErrorMessage="1" sqref="AK48">
      <formula1>0</formula1>
      <formula2>NaN</formula2>
    </dataValidation>
    <dataValidation type="whole" allowBlank="1" showInputMessage="1" showErrorMessage="1" sqref="AK49">
      <formula1>0</formula1>
      <formula2>NaN</formula2>
    </dataValidation>
    <dataValidation type="whole" allowBlank="1" showInputMessage="1" showErrorMessage="1" sqref="AK5">
      <formula1>0</formula1>
      <formula2>NaN</formula2>
    </dataValidation>
    <dataValidation type="whole" allowBlank="1" showInputMessage="1" showErrorMessage="1" sqref="AK50">
      <formula1>0</formula1>
      <formula2>NaN</formula2>
    </dataValidation>
    <dataValidation type="whole" allowBlank="1" showInputMessage="1" showErrorMessage="1" sqref="AK51">
      <formula1>0</formula1>
      <formula2>NaN</formula2>
    </dataValidation>
    <dataValidation type="whole" allowBlank="1" showInputMessage="1" showErrorMessage="1" sqref="AK52">
      <formula1>0</formula1>
      <formula2>NaN</formula2>
    </dataValidation>
    <dataValidation type="whole" allowBlank="1" showInputMessage="1" showErrorMessage="1" sqref="AK53">
      <formula1>0</formula1>
      <formula2>NaN</formula2>
    </dataValidation>
    <dataValidation type="whole" allowBlank="1" showInputMessage="1" showErrorMessage="1" sqref="AK54">
      <formula1>0</formula1>
      <formula2>NaN</formula2>
    </dataValidation>
    <dataValidation type="whole" allowBlank="1" showInputMessage="1" showErrorMessage="1" sqref="AK55">
      <formula1>0</formula1>
      <formula2>NaN</formula2>
    </dataValidation>
    <dataValidation type="whole" allowBlank="1" showInputMessage="1" showErrorMessage="1" sqref="AK56">
      <formula1>0</formula1>
      <formula2>NaN</formula2>
    </dataValidation>
    <dataValidation type="whole" allowBlank="1" showInputMessage="1" showErrorMessage="1" sqref="AK57">
      <formula1>0</formula1>
      <formula2>NaN</formula2>
    </dataValidation>
    <dataValidation type="whole" allowBlank="1" showInputMessage="1" showErrorMessage="1" sqref="AK58">
      <formula1>0</formula1>
      <formula2>NaN</formula2>
    </dataValidation>
    <dataValidation type="whole" allowBlank="1" showInputMessage="1" showErrorMessage="1" sqref="AK59">
      <formula1>0</formula1>
      <formula2>NaN</formula2>
    </dataValidation>
    <dataValidation type="whole" allowBlank="1" showInputMessage="1" showErrorMessage="1" sqref="AK6">
      <formula1>0</formula1>
      <formula2>NaN</formula2>
    </dataValidation>
    <dataValidation type="whole" allowBlank="1" showInputMessage="1" showErrorMessage="1" sqref="AK60">
      <formula1>0</formula1>
      <formula2>NaN</formula2>
    </dataValidation>
    <dataValidation type="whole" allowBlank="1" showInputMessage="1" showErrorMessage="1" sqref="AK61">
      <formula1>0</formula1>
      <formula2>NaN</formula2>
    </dataValidation>
    <dataValidation type="whole" allowBlank="1" showInputMessage="1" showErrorMessage="1" sqref="AK62">
      <formula1>0</formula1>
      <formula2>NaN</formula2>
    </dataValidation>
    <dataValidation type="whole" allowBlank="1" showInputMessage="1" showErrorMessage="1" sqref="AK63">
      <formula1>0</formula1>
      <formula2>NaN</formula2>
    </dataValidation>
    <dataValidation type="whole" allowBlank="1" showInputMessage="1" showErrorMessage="1" sqref="AK64">
      <formula1>0</formula1>
      <formula2>NaN</formula2>
    </dataValidation>
    <dataValidation type="whole" allowBlank="1" showInputMessage="1" showErrorMessage="1" sqref="AK7">
      <formula1>0</formula1>
      <formula2>NaN</formula2>
    </dataValidation>
    <dataValidation type="whole" allowBlank="1" showInputMessage="1" showErrorMessage="1" sqref="AK8">
      <formula1>0</formula1>
      <formula2>NaN</formula2>
    </dataValidation>
    <dataValidation type="whole" allowBlank="1" showInputMessage="1" showErrorMessage="1" sqref="AK9">
      <formula1>0</formula1>
      <formula2>NaN</formula2>
    </dataValidation>
    <dataValidation type="whole" allowBlank="1" showInputMessage="1" showErrorMessage="1" sqref="AL10">
      <formula1>0</formula1>
      <formula2>NaN</formula2>
    </dataValidation>
    <dataValidation type="whole" allowBlank="1" showInputMessage="1" showErrorMessage="1" sqref="AL11">
      <formula1>0</formula1>
      <formula2>NaN</formula2>
    </dataValidation>
    <dataValidation type="whole" allowBlank="1" showInputMessage="1" showErrorMessage="1" sqref="AL12">
      <formula1>0</formula1>
      <formula2>NaN</formula2>
    </dataValidation>
    <dataValidation type="whole" allowBlank="1" showInputMessage="1" showErrorMessage="1" sqref="AL13">
      <formula1>0</formula1>
      <formula2>NaN</formula2>
    </dataValidation>
    <dataValidation type="whole" allowBlank="1" showInputMessage="1" showErrorMessage="1" sqref="AL14">
      <formula1>0</formula1>
      <formula2>NaN</formula2>
    </dataValidation>
    <dataValidation type="whole" allowBlank="1" showInputMessage="1" showErrorMessage="1" sqref="AL15">
      <formula1>0</formula1>
      <formula2>NaN</formula2>
    </dataValidation>
    <dataValidation type="whole" allowBlank="1" showInputMessage="1" showErrorMessage="1" sqref="AL16">
      <formula1>0</formula1>
      <formula2>NaN</formula2>
    </dataValidation>
    <dataValidation type="whole" allowBlank="1" showInputMessage="1" showErrorMessage="1" sqref="AL17">
      <formula1>0</formula1>
      <formula2>NaN</formula2>
    </dataValidation>
    <dataValidation type="whole" allowBlank="1" showInputMessage="1" showErrorMessage="1" sqref="AL18">
      <formula1>0</formula1>
      <formula2>NaN</formula2>
    </dataValidation>
    <dataValidation type="whole" allowBlank="1" showInputMessage="1" showErrorMessage="1" sqref="AL19">
      <formula1>0</formula1>
      <formula2>NaN</formula2>
    </dataValidation>
    <dataValidation type="whole" allowBlank="1" showInputMessage="1" showErrorMessage="1" sqref="AL20">
      <formula1>0</formula1>
      <formula2>NaN</formula2>
    </dataValidation>
    <dataValidation type="whole" allowBlank="1" showInputMessage="1" showErrorMessage="1" sqref="AL21">
      <formula1>0</formula1>
      <formula2>NaN</formula2>
    </dataValidation>
    <dataValidation type="whole" allowBlank="1" showInputMessage="1" showErrorMessage="1" sqref="AL22">
      <formula1>0</formula1>
      <formula2>NaN</formula2>
    </dataValidation>
    <dataValidation type="whole" allowBlank="1" showInputMessage="1" showErrorMessage="1" sqref="AL23">
      <formula1>0</formula1>
      <formula2>NaN</formula2>
    </dataValidation>
    <dataValidation type="whole" allowBlank="1" showInputMessage="1" showErrorMessage="1" sqref="AL24">
      <formula1>0</formula1>
      <formula2>NaN</formula2>
    </dataValidation>
    <dataValidation type="whole" allowBlank="1" showInputMessage="1" showErrorMessage="1" sqref="AL25">
      <formula1>0</formula1>
      <formula2>NaN</formula2>
    </dataValidation>
    <dataValidation type="whole" allowBlank="1" showInputMessage="1" showErrorMessage="1" sqref="AL26">
      <formula1>0</formula1>
      <formula2>NaN</formula2>
    </dataValidation>
    <dataValidation type="whole" allowBlank="1" showInputMessage="1" showErrorMessage="1" sqref="AL27">
      <formula1>0</formula1>
      <formula2>NaN</formula2>
    </dataValidation>
    <dataValidation type="whole" allowBlank="1" showInputMessage="1" showErrorMessage="1" sqref="AL28">
      <formula1>0</formula1>
      <formula2>NaN</formula2>
    </dataValidation>
    <dataValidation type="whole" allowBlank="1" showInputMessage="1" showErrorMessage="1" sqref="AL29">
      <formula1>0</formula1>
      <formula2>NaN</formula2>
    </dataValidation>
    <dataValidation type="whole" allowBlank="1" showInputMessage="1" showErrorMessage="1" sqref="AL30">
      <formula1>0</formula1>
      <formula2>NaN</formula2>
    </dataValidation>
    <dataValidation type="whole" allowBlank="1" showInputMessage="1" showErrorMessage="1" sqref="AL31">
      <formula1>0</formula1>
      <formula2>NaN</formula2>
    </dataValidation>
    <dataValidation type="whole" allowBlank="1" showInputMessage="1" showErrorMessage="1" sqref="AL32">
      <formula1>0</formula1>
      <formula2>NaN</formula2>
    </dataValidation>
    <dataValidation type="whole" allowBlank="1" showInputMessage="1" showErrorMessage="1" sqref="AL33">
      <formula1>0</formula1>
      <formula2>NaN</formula2>
    </dataValidation>
    <dataValidation type="whole" allowBlank="1" showInputMessage="1" showErrorMessage="1" sqref="AL34">
      <formula1>0</formula1>
      <formula2>NaN</formula2>
    </dataValidation>
    <dataValidation type="whole" allowBlank="1" showInputMessage="1" showErrorMessage="1" sqref="AL35">
      <formula1>0</formula1>
      <formula2>NaN</formula2>
    </dataValidation>
    <dataValidation type="whole" allowBlank="1" showInputMessage="1" showErrorMessage="1" sqref="AL36">
      <formula1>0</formula1>
      <formula2>NaN</formula2>
    </dataValidation>
    <dataValidation type="whole" allowBlank="1" showInputMessage="1" showErrorMessage="1" sqref="AL37">
      <formula1>0</formula1>
      <formula2>NaN</formula2>
    </dataValidation>
    <dataValidation type="whole" allowBlank="1" showInputMessage="1" showErrorMessage="1" sqref="AL38">
      <formula1>0</formula1>
      <formula2>NaN</formula2>
    </dataValidation>
    <dataValidation type="whole" allowBlank="1" showInputMessage="1" showErrorMessage="1" sqref="AL39">
      <formula1>0</formula1>
      <formula2>NaN</formula2>
    </dataValidation>
    <dataValidation type="whole" allowBlank="1" showInputMessage="1" showErrorMessage="1" sqref="AL40">
      <formula1>0</formula1>
      <formula2>NaN</formula2>
    </dataValidation>
    <dataValidation type="whole" allowBlank="1" showInputMessage="1" showErrorMessage="1" sqref="AL41">
      <formula1>0</formula1>
      <formula2>NaN</formula2>
    </dataValidation>
    <dataValidation type="whole" allowBlank="1" showInputMessage="1" showErrorMessage="1" sqref="AL42">
      <formula1>0</formula1>
      <formula2>NaN</formula2>
    </dataValidation>
    <dataValidation type="whole" allowBlank="1" showInputMessage="1" showErrorMessage="1" sqref="AL43">
      <formula1>0</formula1>
      <formula2>NaN</formula2>
    </dataValidation>
    <dataValidation type="whole" allowBlank="1" showInputMessage="1" showErrorMessage="1" sqref="AL44">
      <formula1>0</formula1>
      <formula2>NaN</formula2>
    </dataValidation>
    <dataValidation type="whole" allowBlank="1" showInputMessage="1" showErrorMessage="1" sqref="AL45">
      <formula1>0</formula1>
      <formula2>NaN</formula2>
    </dataValidation>
    <dataValidation type="whole" allowBlank="1" showInputMessage="1" showErrorMessage="1" sqref="AL46">
      <formula1>0</formula1>
      <formula2>NaN</formula2>
    </dataValidation>
    <dataValidation type="whole" allowBlank="1" showInputMessage="1" showErrorMessage="1" sqref="AL47">
      <formula1>0</formula1>
      <formula2>NaN</formula2>
    </dataValidation>
    <dataValidation type="whole" allowBlank="1" showInputMessage="1" showErrorMessage="1" sqref="AL48">
      <formula1>0</formula1>
      <formula2>NaN</formula2>
    </dataValidation>
    <dataValidation type="whole" allowBlank="1" showInputMessage="1" showErrorMessage="1" sqref="AL49">
      <formula1>0</formula1>
      <formula2>NaN</formula2>
    </dataValidation>
    <dataValidation type="whole" allowBlank="1" showInputMessage="1" showErrorMessage="1" sqref="AL5">
      <formula1>0</formula1>
      <formula2>NaN</formula2>
    </dataValidation>
    <dataValidation type="whole" allowBlank="1" showInputMessage="1" showErrorMessage="1" sqref="AL50">
      <formula1>0</formula1>
      <formula2>NaN</formula2>
    </dataValidation>
    <dataValidation type="whole" allowBlank="1" showInputMessage="1" showErrorMessage="1" sqref="AL51">
      <formula1>0</formula1>
      <formula2>NaN</formula2>
    </dataValidation>
    <dataValidation type="whole" allowBlank="1" showInputMessage="1" showErrorMessage="1" sqref="AL52">
      <formula1>0</formula1>
      <formula2>NaN</formula2>
    </dataValidation>
    <dataValidation type="whole" allowBlank="1" showInputMessage="1" showErrorMessage="1" sqref="AL53">
      <formula1>0</formula1>
      <formula2>NaN</formula2>
    </dataValidation>
    <dataValidation type="whole" allowBlank="1" showInputMessage="1" showErrorMessage="1" sqref="AL54">
      <formula1>0</formula1>
      <formula2>NaN</formula2>
    </dataValidation>
    <dataValidation type="whole" allowBlank="1" showInputMessage="1" showErrorMessage="1" sqref="AL55">
      <formula1>0</formula1>
      <formula2>NaN</formula2>
    </dataValidation>
    <dataValidation type="whole" allowBlank="1" showInputMessage="1" showErrorMessage="1" sqref="AL56">
      <formula1>0</formula1>
      <formula2>NaN</formula2>
    </dataValidation>
    <dataValidation type="whole" allowBlank="1" showInputMessage="1" showErrorMessage="1" sqref="AL57">
      <formula1>0</formula1>
      <formula2>NaN</formula2>
    </dataValidation>
    <dataValidation type="whole" allowBlank="1" showInputMessage="1" showErrorMessage="1" sqref="AL58">
      <formula1>0</formula1>
      <formula2>NaN</formula2>
    </dataValidation>
    <dataValidation type="whole" allowBlank="1" showInputMessage="1" showErrorMessage="1" sqref="AL59">
      <formula1>0</formula1>
      <formula2>NaN</formula2>
    </dataValidation>
    <dataValidation type="whole" allowBlank="1" showInputMessage="1" showErrorMessage="1" sqref="AL6">
      <formula1>0</formula1>
      <formula2>NaN</formula2>
    </dataValidation>
    <dataValidation type="whole" allowBlank="1" showInputMessage="1" showErrorMessage="1" sqref="AL60">
      <formula1>0</formula1>
      <formula2>NaN</formula2>
    </dataValidation>
    <dataValidation type="whole" allowBlank="1" showInputMessage="1" showErrorMessage="1" sqref="AL61">
      <formula1>0</formula1>
      <formula2>NaN</formula2>
    </dataValidation>
    <dataValidation type="whole" allowBlank="1" showInputMessage="1" showErrorMessage="1" sqref="AL62">
      <formula1>0</formula1>
      <formula2>NaN</formula2>
    </dataValidation>
    <dataValidation type="whole" allowBlank="1" showInputMessage="1" showErrorMessage="1" sqref="AL63">
      <formula1>0</formula1>
      <formula2>NaN</formula2>
    </dataValidation>
    <dataValidation type="whole" allowBlank="1" showInputMessage="1" showErrorMessage="1" sqref="AL64">
      <formula1>0</formula1>
      <formula2>NaN</formula2>
    </dataValidation>
    <dataValidation type="whole" allowBlank="1" showInputMessage="1" showErrorMessage="1" sqref="AL7">
      <formula1>0</formula1>
      <formula2>NaN</formula2>
    </dataValidation>
    <dataValidation type="whole" allowBlank="1" showInputMessage="1" showErrorMessage="1" sqref="AL8">
      <formula1>0</formula1>
      <formula2>NaN</formula2>
    </dataValidation>
    <dataValidation type="whole" allowBlank="1" showInputMessage="1" showErrorMessage="1" sqref="AL9">
      <formula1>0</formula1>
      <formula2>NaN</formula2>
    </dataValidation>
    <dataValidation type="whole" allowBlank="1" showInputMessage="1" showErrorMessage="1" sqref="E10">
      <formula1>0</formula1>
      <formula2>NaN</formula2>
    </dataValidation>
    <dataValidation type="whole" allowBlank="1" showInputMessage="1" showErrorMessage="1" sqref="E11">
      <formula1>0</formula1>
      <formula2>NaN</formula2>
    </dataValidation>
    <dataValidation type="whole" allowBlank="1" showInputMessage="1" showErrorMessage="1" sqref="E12">
      <formula1>0</formula1>
      <formula2>NaN</formula2>
    </dataValidation>
    <dataValidation type="whole" allowBlank="1" showInputMessage="1" showErrorMessage="1" sqref="E13">
      <formula1>0</formula1>
      <formula2>NaN</formula2>
    </dataValidation>
    <dataValidation type="whole" allowBlank="1" showInputMessage="1" showErrorMessage="1" sqref="E14">
      <formula1>0</formula1>
      <formula2>NaN</formula2>
    </dataValidation>
    <dataValidation type="whole" allowBlank="1" showInputMessage="1" showErrorMessage="1" sqref="E15">
      <formula1>0</formula1>
      <formula2>NaN</formula2>
    </dataValidation>
    <dataValidation type="whole" allowBlank="1" showInputMessage="1" showErrorMessage="1" sqref="E16">
      <formula1>0</formula1>
      <formula2>NaN</formula2>
    </dataValidation>
    <dataValidation type="whole" allowBlank="1" showInputMessage="1" showErrorMessage="1" sqref="E17">
      <formula1>0</formula1>
      <formula2>NaN</formula2>
    </dataValidation>
    <dataValidation type="whole" allowBlank="1" showInputMessage="1" showErrorMessage="1" sqref="E18">
      <formula1>0</formula1>
      <formula2>NaN</formula2>
    </dataValidation>
    <dataValidation type="whole" allowBlank="1" showInputMessage="1" showErrorMessage="1" sqref="E19">
      <formula1>0</formula1>
      <formula2>NaN</formula2>
    </dataValidation>
    <dataValidation type="whole" allowBlank="1" showInputMessage="1" showErrorMessage="1" sqref="E20">
      <formula1>0</formula1>
      <formula2>NaN</formula2>
    </dataValidation>
    <dataValidation type="whole" allowBlank="1" showInputMessage="1" showErrorMessage="1" sqref="E21">
      <formula1>0</formula1>
      <formula2>NaN</formula2>
    </dataValidation>
    <dataValidation type="whole" allowBlank="1" showInputMessage="1" showErrorMessage="1" sqref="E22">
      <formula1>0</formula1>
      <formula2>NaN</formula2>
    </dataValidation>
    <dataValidation type="whole" allowBlank="1" showInputMessage="1" showErrorMessage="1" sqref="E23">
      <formula1>0</formula1>
      <formula2>NaN</formula2>
    </dataValidation>
    <dataValidation type="whole" allowBlank="1" showInputMessage="1" showErrorMessage="1" sqref="E24">
      <formula1>0</formula1>
      <formula2>NaN</formula2>
    </dataValidation>
    <dataValidation type="whole" allowBlank="1" showInputMessage="1" showErrorMessage="1" sqref="E25">
      <formula1>0</formula1>
      <formula2>NaN</formula2>
    </dataValidation>
    <dataValidation type="whole" allowBlank="1" showInputMessage="1" showErrorMessage="1" sqref="E26">
      <formula1>0</formula1>
      <formula2>NaN</formula2>
    </dataValidation>
    <dataValidation type="whole" allowBlank="1" showInputMessage="1" showErrorMessage="1" sqref="E27">
      <formula1>0</formula1>
      <formula2>NaN</formula2>
    </dataValidation>
    <dataValidation type="whole" allowBlank="1" showInputMessage="1" showErrorMessage="1" sqref="E28">
      <formula1>0</formula1>
      <formula2>NaN</formula2>
    </dataValidation>
    <dataValidation type="whole" allowBlank="1" showInputMessage="1" showErrorMessage="1" sqref="E29">
      <formula1>0</formula1>
      <formula2>NaN</formula2>
    </dataValidation>
    <dataValidation type="whole" allowBlank="1" showInputMessage="1" showErrorMessage="1" sqref="E30">
      <formula1>0</formula1>
      <formula2>NaN</formula2>
    </dataValidation>
    <dataValidation type="whole" allowBlank="1" showInputMessage="1" showErrorMessage="1" sqref="E31">
      <formula1>0</formula1>
      <formula2>NaN</formula2>
    </dataValidation>
    <dataValidation type="whole" allowBlank="1" showInputMessage="1" showErrorMessage="1" sqref="E32">
      <formula1>0</formula1>
      <formula2>NaN</formula2>
    </dataValidation>
    <dataValidation type="whole" allowBlank="1" showInputMessage="1" showErrorMessage="1" sqref="E33">
      <formula1>0</formula1>
      <formula2>NaN</formula2>
    </dataValidation>
    <dataValidation type="whole" allowBlank="1" showInputMessage="1" showErrorMessage="1" sqref="E34">
      <formula1>0</formula1>
      <formula2>NaN</formula2>
    </dataValidation>
    <dataValidation type="whole" allowBlank="1" showInputMessage="1" showErrorMessage="1" sqref="E35">
      <formula1>0</formula1>
      <formula2>NaN</formula2>
    </dataValidation>
    <dataValidation type="whole" allowBlank="1" showInputMessage="1" showErrorMessage="1" sqref="E36">
      <formula1>0</formula1>
      <formula2>NaN</formula2>
    </dataValidation>
    <dataValidation type="whole" allowBlank="1" showInputMessage="1" showErrorMessage="1" sqref="E37">
      <formula1>0</formula1>
      <formula2>NaN</formula2>
    </dataValidation>
    <dataValidation type="whole" allowBlank="1" showInputMessage="1" showErrorMessage="1" sqref="E38">
      <formula1>0</formula1>
      <formula2>NaN</formula2>
    </dataValidation>
    <dataValidation type="whole" allowBlank="1" showInputMessage="1" showErrorMessage="1" sqref="E39">
      <formula1>0</formula1>
      <formula2>NaN</formula2>
    </dataValidation>
    <dataValidation showInputMessage="1" prompt="Input possible highest score here" showErrorMessage="1" sqref="E4:N4"/>
    <dataValidation type="whole" allowBlank="1" showInputMessage="1" showErrorMessage="1" sqref="E40">
      <formula1>0</formula1>
      <formula2>NaN</formula2>
    </dataValidation>
    <dataValidation type="whole" allowBlank="1" showInputMessage="1" showErrorMessage="1" sqref="E41">
      <formula1>0</formula1>
      <formula2>NaN</formula2>
    </dataValidation>
    <dataValidation type="whole" allowBlank="1" showInputMessage="1" showErrorMessage="1" sqref="E42">
      <formula1>0</formula1>
      <formula2>NaN</formula2>
    </dataValidation>
    <dataValidation type="whole" allowBlank="1" showInputMessage="1" showErrorMessage="1" sqref="E43">
      <formula1>0</formula1>
      <formula2>NaN</formula2>
    </dataValidation>
    <dataValidation type="whole" allowBlank="1" showInputMessage="1" showErrorMessage="1" sqref="E44">
      <formula1>0</formula1>
      <formula2>NaN</formula2>
    </dataValidation>
    <dataValidation type="whole" allowBlank="1" showInputMessage="1" showErrorMessage="1" sqref="E45">
      <formula1>0</formula1>
      <formula2>NaN</formula2>
    </dataValidation>
    <dataValidation type="whole" allowBlank="1" showInputMessage="1" showErrorMessage="1" sqref="E46">
      <formula1>0</formula1>
      <formula2>NaN</formula2>
    </dataValidation>
    <dataValidation type="whole" allowBlank="1" showInputMessage="1" showErrorMessage="1" sqref="E47">
      <formula1>0</formula1>
      <formula2>NaN</formula2>
    </dataValidation>
    <dataValidation type="whole" allowBlank="1" showInputMessage="1" showErrorMessage="1" sqref="E48">
      <formula1>0</formula1>
      <formula2>NaN</formula2>
    </dataValidation>
    <dataValidation type="whole" allowBlank="1" showInputMessage="1" showErrorMessage="1" sqref="E49">
      <formula1>0</formula1>
      <formula2>NaN</formula2>
    </dataValidation>
    <dataValidation type="whole" allowBlank="1" showInputMessage="1" showErrorMessage="1" sqref="E5">
      <formula1>0</formula1>
      <formula2>NaN</formula2>
    </dataValidation>
    <dataValidation type="whole" allowBlank="1" showInputMessage="1" showErrorMessage="1" sqref="E50">
      <formula1>0</formula1>
      <formula2>NaN</formula2>
    </dataValidation>
    <dataValidation type="whole" allowBlank="1" showInputMessage="1" showErrorMessage="1" sqref="E51">
      <formula1>0</formula1>
      <formula2>NaN</formula2>
    </dataValidation>
    <dataValidation type="whole" allowBlank="1" showInputMessage="1" showErrorMessage="1" sqref="E52">
      <formula1>0</formula1>
      <formula2>NaN</formula2>
    </dataValidation>
    <dataValidation type="whole" allowBlank="1" showInputMessage="1" showErrorMessage="1" sqref="E53">
      <formula1>0</formula1>
      <formula2>NaN</formula2>
    </dataValidation>
    <dataValidation type="whole" allowBlank="1" showInputMessage="1" showErrorMessage="1" sqref="E54">
      <formula1>0</formula1>
      <formula2>NaN</formula2>
    </dataValidation>
    <dataValidation type="whole" allowBlank="1" showInputMessage="1" showErrorMessage="1" sqref="E55">
      <formula1>0</formula1>
      <formula2>NaN</formula2>
    </dataValidation>
    <dataValidation type="whole" allowBlank="1" showInputMessage="1" showErrorMessage="1" sqref="E56">
      <formula1>0</formula1>
      <formula2>NaN</formula2>
    </dataValidation>
    <dataValidation type="whole" allowBlank="1" showInputMessage="1" showErrorMessage="1" sqref="E57">
      <formula1>0</formula1>
      <formula2>NaN</formula2>
    </dataValidation>
    <dataValidation type="whole" allowBlank="1" showInputMessage="1" showErrorMessage="1" sqref="E58">
      <formula1>0</formula1>
      <formula2>NaN</formula2>
    </dataValidation>
    <dataValidation type="whole" allowBlank="1" showInputMessage="1" showErrorMessage="1" sqref="E59">
      <formula1>0</formula1>
      <formula2>NaN</formula2>
    </dataValidation>
    <dataValidation type="whole" allowBlank="1" showInputMessage="1" showErrorMessage="1" sqref="E6">
      <formula1>0</formula1>
      <formula2>NaN</formula2>
    </dataValidation>
    <dataValidation type="whole" allowBlank="1" showInputMessage="1" showErrorMessage="1" sqref="E60">
      <formula1>0</formula1>
      <formula2>NaN</formula2>
    </dataValidation>
    <dataValidation type="whole" allowBlank="1" showInputMessage="1" showErrorMessage="1" sqref="E61">
      <formula1>0</formula1>
      <formula2>NaN</formula2>
    </dataValidation>
    <dataValidation type="whole" allowBlank="1" showInputMessage="1" showErrorMessage="1" sqref="E62">
      <formula1>0</formula1>
      <formula2>NaN</formula2>
    </dataValidation>
    <dataValidation type="whole" allowBlank="1" showInputMessage="1" showErrorMessage="1" sqref="E63">
      <formula1>0</formula1>
      <formula2>NaN</formula2>
    </dataValidation>
    <dataValidation type="whole" allowBlank="1" showInputMessage="1" showErrorMessage="1" sqref="E64">
      <formula1>0</formula1>
      <formula2>NaN</formula2>
    </dataValidation>
    <dataValidation type="whole" allowBlank="1" showInputMessage="1" showErrorMessage="1" sqref="E7">
      <formula1>0</formula1>
      <formula2>NaN</formula2>
    </dataValidation>
    <dataValidation type="whole" allowBlank="1" showInputMessage="1" showErrorMessage="1" sqref="E8">
      <formula1>0</formula1>
      <formula2>NaN</formula2>
    </dataValidation>
    <dataValidation type="whole" allowBlank="1" showInputMessage="1" showErrorMessage="1" sqref="E9">
      <formula1>0</formula1>
      <formula2>NaN</formula2>
    </dataValidation>
    <dataValidation type="whole" allowBlank="1" showInputMessage="1" showErrorMessage="1" sqref="F10">
      <formula1>0</formula1>
      <formula2>NaN</formula2>
    </dataValidation>
    <dataValidation type="whole" allowBlank="1" showInputMessage="1" showErrorMessage="1" sqref="F11">
      <formula1>0</formula1>
      <formula2>NaN</formula2>
    </dataValidation>
    <dataValidation type="whole" allowBlank="1" showInputMessage="1" showErrorMessage="1" sqref="F12">
      <formula1>0</formula1>
      <formula2>NaN</formula2>
    </dataValidation>
    <dataValidation type="whole" allowBlank="1" showInputMessage="1" showErrorMessage="1" sqref="F13">
      <formula1>0</formula1>
      <formula2>NaN</formula2>
    </dataValidation>
    <dataValidation type="whole" allowBlank="1" showInputMessage="1" showErrorMessage="1" sqref="F14">
      <formula1>0</formula1>
      <formula2>NaN</formula2>
    </dataValidation>
    <dataValidation type="whole" allowBlank="1" showInputMessage="1" showErrorMessage="1" sqref="F15">
      <formula1>0</formula1>
      <formula2>NaN</formula2>
    </dataValidation>
    <dataValidation type="whole" allowBlank="1" showInputMessage="1" showErrorMessage="1" sqref="F16">
      <formula1>0</formula1>
      <formula2>NaN</formula2>
    </dataValidation>
    <dataValidation type="whole" allowBlank="1" showInputMessage="1" showErrorMessage="1" sqref="F17">
      <formula1>0</formula1>
      <formula2>NaN</formula2>
    </dataValidation>
    <dataValidation type="whole" allowBlank="1" showInputMessage="1" showErrorMessage="1" sqref="F18">
      <formula1>0</formula1>
      <formula2>NaN</formula2>
    </dataValidation>
    <dataValidation type="whole" allowBlank="1" showInputMessage="1" showErrorMessage="1" sqref="F19">
      <formula1>0</formula1>
      <formula2>NaN</formula2>
    </dataValidation>
    <dataValidation type="whole" allowBlank="1" showInputMessage="1" showErrorMessage="1" sqref="F20">
      <formula1>0</formula1>
      <formula2>NaN</formula2>
    </dataValidation>
    <dataValidation type="whole" allowBlank="1" showInputMessage="1" showErrorMessage="1" sqref="F21">
      <formula1>0</formula1>
      <formula2>NaN</formula2>
    </dataValidation>
    <dataValidation type="whole" allowBlank="1" showInputMessage="1" showErrorMessage="1" sqref="F22">
      <formula1>0</formula1>
      <formula2>NaN</formula2>
    </dataValidation>
    <dataValidation type="whole" allowBlank="1" showInputMessage="1" showErrorMessage="1" sqref="F23">
      <formula1>0</formula1>
      <formula2>NaN</formula2>
    </dataValidation>
    <dataValidation type="whole" allowBlank="1" showInputMessage="1" showErrorMessage="1" sqref="F24">
      <formula1>0</formula1>
      <formula2>NaN</formula2>
    </dataValidation>
    <dataValidation type="whole" allowBlank="1" showInputMessage="1" showErrorMessage="1" sqref="F25">
      <formula1>0</formula1>
      <formula2>NaN</formula2>
    </dataValidation>
    <dataValidation type="whole" allowBlank="1" showInputMessage="1" showErrorMessage="1" sqref="F26">
      <formula1>0</formula1>
      <formula2>NaN</formula2>
    </dataValidation>
    <dataValidation type="whole" allowBlank="1" showInputMessage="1" showErrorMessage="1" sqref="F27">
      <formula1>0</formula1>
      <formula2>NaN</formula2>
    </dataValidation>
    <dataValidation type="whole" allowBlank="1" showInputMessage="1" showErrorMessage="1" sqref="F28">
      <formula1>0</formula1>
      <formula2>NaN</formula2>
    </dataValidation>
    <dataValidation type="whole" allowBlank="1" showInputMessage="1" showErrorMessage="1" sqref="F29">
      <formula1>0</formula1>
      <formula2>NaN</formula2>
    </dataValidation>
    <dataValidation type="whole" allowBlank="1" showInputMessage="1" showErrorMessage="1" sqref="F30">
      <formula1>0</formula1>
      <formula2>NaN</formula2>
    </dataValidation>
    <dataValidation type="whole" allowBlank="1" showInputMessage="1" showErrorMessage="1" sqref="F31">
      <formula1>0</formula1>
      <formula2>NaN</formula2>
    </dataValidation>
    <dataValidation type="whole" allowBlank="1" showInputMessage="1" showErrorMessage="1" sqref="F32">
      <formula1>0</formula1>
      <formula2>NaN</formula2>
    </dataValidation>
    <dataValidation type="whole" allowBlank="1" showInputMessage="1" showErrorMessage="1" sqref="F33">
      <formula1>0</formula1>
      <formula2>NaN</formula2>
    </dataValidation>
    <dataValidation type="whole" allowBlank="1" showInputMessage="1" showErrorMessage="1" sqref="F34">
      <formula1>0</formula1>
      <formula2>NaN</formula2>
    </dataValidation>
    <dataValidation type="whole" allowBlank="1" showInputMessage="1" showErrorMessage="1" sqref="F35">
      <formula1>0</formula1>
      <formula2>NaN</formula2>
    </dataValidation>
    <dataValidation type="whole" allowBlank="1" showInputMessage="1" showErrorMessage="1" sqref="F36">
      <formula1>0</formula1>
      <formula2>NaN</formula2>
    </dataValidation>
    <dataValidation type="whole" allowBlank="1" showInputMessage="1" showErrorMessage="1" sqref="F37">
      <formula1>0</formula1>
      <formula2>NaN</formula2>
    </dataValidation>
    <dataValidation type="whole" allowBlank="1" showInputMessage="1" showErrorMessage="1" sqref="F38">
      <formula1>0</formula1>
      <formula2>NaN</formula2>
    </dataValidation>
    <dataValidation type="whole" allowBlank="1" showInputMessage="1" showErrorMessage="1" sqref="F39">
      <formula1>0</formula1>
      <formula2>NaN</formula2>
    </dataValidation>
    <dataValidation type="whole" allowBlank="1" showInputMessage="1" showErrorMessage="1" sqref="F40">
      <formula1>0</formula1>
      <formula2>NaN</formula2>
    </dataValidation>
    <dataValidation type="whole" allowBlank="1" showInputMessage="1" showErrorMessage="1" sqref="F41">
      <formula1>0</formula1>
      <formula2>NaN</formula2>
    </dataValidation>
    <dataValidation type="whole" allowBlank="1" showInputMessage="1" showErrorMessage="1" sqref="F42">
      <formula1>0</formula1>
      <formula2>NaN</formula2>
    </dataValidation>
    <dataValidation type="whole" allowBlank="1" showInputMessage="1" showErrorMessage="1" sqref="F43">
      <formula1>0</formula1>
      <formula2>NaN</formula2>
    </dataValidation>
    <dataValidation type="whole" allowBlank="1" showInputMessage="1" showErrorMessage="1" sqref="F44">
      <formula1>0</formula1>
      <formula2>NaN</formula2>
    </dataValidation>
    <dataValidation type="whole" allowBlank="1" showInputMessage="1" showErrorMessage="1" sqref="F45">
      <formula1>0</formula1>
      <formula2>NaN</formula2>
    </dataValidation>
    <dataValidation type="whole" allowBlank="1" showInputMessage="1" showErrorMessage="1" sqref="F46">
      <formula1>0</formula1>
      <formula2>NaN</formula2>
    </dataValidation>
    <dataValidation type="whole" allowBlank="1" showInputMessage="1" showErrorMessage="1" sqref="F47">
      <formula1>0</formula1>
      <formula2>NaN</formula2>
    </dataValidation>
    <dataValidation type="whole" allowBlank="1" showInputMessage="1" showErrorMessage="1" sqref="F48">
      <formula1>0</formula1>
      <formula2>NaN</formula2>
    </dataValidation>
    <dataValidation type="whole" allowBlank="1" showInputMessage="1" showErrorMessage="1" sqref="F49">
      <formula1>0</formula1>
      <formula2>NaN</formula2>
    </dataValidation>
    <dataValidation type="whole" allowBlank="1" showInputMessage="1" showErrorMessage="1" sqref="F5">
      <formula1>0</formula1>
      <formula2>NaN</formula2>
    </dataValidation>
    <dataValidation type="whole" allowBlank="1" showInputMessage="1" showErrorMessage="1" sqref="F50">
      <formula1>0</formula1>
      <formula2>NaN</formula2>
    </dataValidation>
    <dataValidation type="whole" allowBlank="1" showInputMessage="1" showErrorMessage="1" sqref="F51">
      <formula1>0</formula1>
      <formula2>NaN</formula2>
    </dataValidation>
    <dataValidation type="whole" allowBlank="1" showInputMessage="1" showErrorMessage="1" sqref="F52">
      <formula1>0</formula1>
      <formula2>NaN</formula2>
    </dataValidation>
    <dataValidation type="whole" allowBlank="1" showInputMessage="1" showErrorMessage="1" sqref="F53">
      <formula1>0</formula1>
      <formula2>NaN</formula2>
    </dataValidation>
    <dataValidation type="whole" allowBlank="1" showInputMessage="1" showErrorMessage="1" sqref="F54">
      <formula1>0</formula1>
      <formula2>NaN</formula2>
    </dataValidation>
    <dataValidation type="whole" allowBlank="1" showInputMessage="1" showErrorMessage="1" sqref="F55">
      <formula1>0</formula1>
      <formula2>NaN</formula2>
    </dataValidation>
    <dataValidation type="whole" allowBlank="1" showInputMessage="1" showErrorMessage="1" sqref="F56">
      <formula1>0</formula1>
      <formula2>NaN</formula2>
    </dataValidation>
    <dataValidation type="whole" allowBlank="1" showInputMessage="1" showErrorMessage="1" sqref="F57">
      <formula1>0</formula1>
      <formula2>NaN</formula2>
    </dataValidation>
    <dataValidation type="whole" allowBlank="1" showInputMessage="1" showErrorMessage="1" sqref="F58">
      <formula1>0</formula1>
      <formula2>NaN</formula2>
    </dataValidation>
    <dataValidation type="whole" allowBlank="1" showInputMessage="1" showErrorMessage="1" sqref="F59">
      <formula1>0</formula1>
      <formula2>NaN</formula2>
    </dataValidation>
    <dataValidation type="whole" allowBlank="1" showInputMessage="1" showErrorMessage="1" sqref="F6">
      <formula1>0</formula1>
      <formula2>NaN</formula2>
    </dataValidation>
    <dataValidation type="whole" allowBlank="1" showInputMessage="1" showErrorMessage="1" sqref="F60">
      <formula1>0</formula1>
      <formula2>NaN</formula2>
    </dataValidation>
    <dataValidation type="whole" allowBlank="1" showInputMessage="1" showErrorMessage="1" sqref="F61">
      <formula1>0</formula1>
      <formula2>NaN</formula2>
    </dataValidation>
    <dataValidation type="whole" allowBlank="1" showInputMessage="1" showErrorMessage="1" sqref="F62">
      <formula1>0</formula1>
      <formula2>NaN</formula2>
    </dataValidation>
    <dataValidation type="whole" allowBlank="1" showInputMessage="1" showErrorMessage="1" sqref="F63">
      <formula1>0</formula1>
      <formula2>NaN</formula2>
    </dataValidation>
    <dataValidation type="whole" allowBlank="1" showInputMessage="1" showErrorMessage="1" sqref="F64">
      <formula1>0</formula1>
      <formula2>NaN</formula2>
    </dataValidation>
    <dataValidation type="whole" allowBlank="1" showInputMessage="1" showErrorMessage="1" sqref="F7">
      <formula1>0</formula1>
      <formula2>NaN</formula2>
    </dataValidation>
    <dataValidation type="whole" allowBlank="1" showInputMessage="1" showErrorMessage="1" sqref="F8">
      <formula1>0</formula1>
      <formula2>NaN</formula2>
    </dataValidation>
    <dataValidation type="whole" allowBlank="1" showInputMessage="1" showErrorMessage="1" sqref="F9">
      <formula1>0</formula1>
      <formula2>NaN</formula2>
    </dataValidation>
    <dataValidation type="whole" allowBlank="1" showInputMessage="1" showErrorMessage="1" sqref="G10">
      <formula1>0</formula1>
      <formula2>NaN</formula2>
    </dataValidation>
    <dataValidation type="whole" allowBlank="1" showInputMessage="1" showErrorMessage="1" sqref="G11">
      <formula1>0</formula1>
      <formula2>NaN</formula2>
    </dataValidation>
    <dataValidation type="whole" allowBlank="1" showInputMessage="1" showErrorMessage="1" sqref="G12">
      <formula1>0</formula1>
      <formula2>NaN</formula2>
    </dataValidation>
    <dataValidation type="whole" allowBlank="1" showInputMessage="1" showErrorMessage="1" sqref="G13">
      <formula1>0</formula1>
      <formula2>NaN</formula2>
    </dataValidation>
    <dataValidation type="whole" allowBlank="1" showInputMessage="1" showErrorMessage="1" sqref="G14">
      <formula1>0</formula1>
      <formula2>NaN</formula2>
    </dataValidation>
    <dataValidation type="whole" allowBlank="1" showInputMessage="1" showErrorMessage="1" sqref="G15">
      <formula1>0</formula1>
      <formula2>NaN</formula2>
    </dataValidation>
    <dataValidation type="whole" allowBlank="1" showInputMessage="1" showErrorMessage="1" sqref="G16">
      <formula1>0</formula1>
      <formula2>NaN</formula2>
    </dataValidation>
    <dataValidation type="whole" allowBlank="1" showInputMessage="1" showErrorMessage="1" sqref="G17">
      <formula1>0</formula1>
      <formula2>NaN</formula2>
    </dataValidation>
    <dataValidation type="whole" allowBlank="1" showInputMessage="1" showErrorMessage="1" sqref="G18">
      <formula1>0</formula1>
      <formula2>NaN</formula2>
    </dataValidation>
    <dataValidation type="whole" allowBlank="1" showInputMessage="1" showErrorMessage="1" sqref="G19">
      <formula1>0</formula1>
      <formula2>NaN</formula2>
    </dataValidation>
    <dataValidation type="whole" allowBlank="1" showInputMessage="1" showErrorMessage="1" sqref="G20">
      <formula1>0</formula1>
      <formula2>NaN</formula2>
    </dataValidation>
    <dataValidation type="whole" allowBlank="1" showInputMessage="1" showErrorMessage="1" sqref="G21">
      <formula1>0</formula1>
      <formula2>NaN</formula2>
    </dataValidation>
    <dataValidation type="whole" allowBlank="1" showInputMessage="1" showErrorMessage="1" sqref="G22">
      <formula1>0</formula1>
      <formula2>NaN</formula2>
    </dataValidation>
    <dataValidation type="whole" allowBlank="1" showInputMessage="1" showErrorMessage="1" sqref="G23">
      <formula1>0</formula1>
      <formula2>NaN</formula2>
    </dataValidation>
    <dataValidation type="whole" allowBlank="1" showInputMessage="1" showErrorMessage="1" sqref="G24">
      <formula1>0</formula1>
      <formula2>NaN</formula2>
    </dataValidation>
    <dataValidation type="whole" allowBlank="1" showInputMessage="1" showErrorMessage="1" sqref="G25">
      <formula1>0</formula1>
      <formula2>NaN</formula2>
    </dataValidation>
    <dataValidation type="whole" allowBlank="1" showInputMessage="1" showErrorMessage="1" sqref="G26">
      <formula1>0</formula1>
      <formula2>NaN</formula2>
    </dataValidation>
    <dataValidation type="whole" allowBlank="1" showInputMessage="1" showErrorMessage="1" sqref="G27">
      <formula1>0</formula1>
      <formula2>NaN</formula2>
    </dataValidation>
    <dataValidation type="whole" allowBlank="1" showInputMessage="1" showErrorMessage="1" sqref="G28">
      <formula1>0</formula1>
      <formula2>NaN</formula2>
    </dataValidation>
    <dataValidation type="whole" allowBlank="1" showInputMessage="1" showErrorMessage="1" sqref="G29">
      <formula1>0</formula1>
      <formula2>NaN</formula2>
    </dataValidation>
    <dataValidation type="whole" allowBlank="1" showInputMessage="1" showErrorMessage="1" sqref="G30">
      <formula1>0</formula1>
      <formula2>NaN</formula2>
    </dataValidation>
    <dataValidation type="whole" allowBlank="1" showInputMessage="1" showErrorMessage="1" sqref="G31">
      <formula1>0</formula1>
      <formula2>NaN</formula2>
    </dataValidation>
    <dataValidation type="whole" allowBlank="1" showInputMessage="1" showErrorMessage="1" sqref="G32">
      <formula1>0</formula1>
      <formula2>NaN</formula2>
    </dataValidation>
    <dataValidation type="whole" allowBlank="1" showInputMessage="1" showErrorMessage="1" sqref="G33">
      <formula1>0</formula1>
      <formula2>NaN</formula2>
    </dataValidation>
    <dataValidation type="whole" allowBlank="1" showInputMessage="1" showErrorMessage="1" sqref="G34">
      <formula1>0</formula1>
      <formula2>NaN</formula2>
    </dataValidation>
    <dataValidation type="whole" allowBlank="1" showInputMessage="1" showErrorMessage="1" sqref="G35">
      <formula1>0</formula1>
      <formula2>NaN</formula2>
    </dataValidation>
    <dataValidation type="whole" allowBlank="1" showInputMessage="1" showErrorMessage="1" sqref="G36">
      <formula1>0</formula1>
      <formula2>NaN</formula2>
    </dataValidation>
    <dataValidation type="whole" allowBlank="1" showInputMessage="1" showErrorMessage="1" sqref="G37">
      <formula1>0</formula1>
      <formula2>NaN</formula2>
    </dataValidation>
    <dataValidation type="whole" allowBlank="1" showInputMessage="1" showErrorMessage="1" sqref="G38">
      <formula1>0</formula1>
      <formula2>NaN</formula2>
    </dataValidation>
    <dataValidation type="whole" allowBlank="1" showInputMessage="1" showErrorMessage="1" sqref="G39">
      <formula1>0</formula1>
      <formula2>NaN</formula2>
    </dataValidation>
    <dataValidation type="whole" allowBlank="1" showInputMessage="1" showErrorMessage="1" sqref="G40">
      <formula1>0</formula1>
      <formula2>NaN</formula2>
    </dataValidation>
    <dataValidation type="whole" allowBlank="1" showInputMessage="1" showErrorMessage="1" sqref="G41">
      <formula1>0</formula1>
      <formula2>NaN</formula2>
    </dataValidation>
    <dataValidation type="whole" allowBlank="1" showInputMessage="1" showErrorMessage="1" sqref="G42">
      <formula1>0</formula1>
      <formula2>NaN</formula2>
    </dataValidation>
    <dataValidation type="whole" allowBlank="1" showInputMessage="1" showErrorMessage="1" sqref="G43">
      <formula1>0</formula1>
      <formula2>NaN</formula2>
    </dataValidation>
    <dataValidation type="whole" allowBlank="1" showInputMessage="1" showErrorMessage="1" sqref="G44">
      <formula1>0</formula1>
      <formula2>NaN</formula2>
    </dataValidation>
    <dataValidation type="whole" allowBlank="1" showInputMessage="1" showErrorMessage="1" sqref="G45">
      <formula1>0</formula1>
      <formula2>NaN</formula2>
    </dataValidation>
    <dataValidation type="whole" allowBlank="1" showInputMessage="1" showErrorMessage="1" sqref="G46">
      <formula1>0</formula1>
      <formula2>NaN</formula2>
    </dataValidation>
    <dataValidation type="whole" allowBlank="1" showInputMessage="1" showErrorMessage="1" sqref="G47">
      <formula1>0</formula1>
      <formula2>NaN</formula2>
    </dataValidation>
    <dataValidation type="whole" allowBlank="1" showInputMessage="1" showErrorMessage="1" sqref="G48">
      <formula1>0</formula1>
      <formula2>NaN</formula2>
    </dataValidation>
    <dataValidation type="whole" allowBlank="1" showInputMessage="1" showErrorMessage="1" sqref="G49">
      <formula1>0</formula1>
      <formula2>NaN</formula2>
    </dataValidation>
    <dataValidation type="whole" allowBlank="1" showInputMessage="1" showErrorMessage="1" sqref="G5">
      <formula1>0</formula1>
      <formula2>NaN</formula2>
    </dataValidation>
    <dataValidation type="whole" allowBlank="1" showInputMessage="1" showErrorMessage="1" sqref="G50">
      <formula1>0</formula1>
      <formula2>NaN</formula2>
    </dataValidation>
    <dataValidation type="whole" allowBlank="1" showInputMessage="1" showErrorMessage="1" sqref="G51">
      <formula1>0</formula1>
      <formula2>NaN</formula2>
    </dataValidation>
    <dataValidation type="whole" allowBlank="1" showInputMessage="1" showErrorMessage="1" sqref="G52">
      <formula1>0</formula1>
      <formula2>NaN</formula2>
    </dataValidation>
    <dataValidation type="whole" allowBlank="1" showInputMessage="1" showErrorMessage="1" sqref="G53">
      <formula1>0</formula1>
      <formula2>NaN</formula2>
    </dataValidation>
    <dataValidation type="whole" allowBlank="1" showInputMessage="1" showErrorMessage="1" sqref="G54">
      <formula1>0</formula1>
      <formula2>NaN</formula2>
    </dataValidation>
    <dataValidation type="whole" allowBlank="1" showInputMessage="1" showErrorMessage="1" sqref="G55">
      <formula1>0</formula1>
      <formula2>NaN</formula2>
    </dataValidation>
    <dataValidation type="whole" allowBlank="1" showInputMessage="1" showErrorMessage="1" sqref="G56">
      <formula1>0</formula1>
      <formula2>NaN</formula2>
    </dataValidation>
    <dataValidation type="whole" allowBlank="1" showInputMessage="1" showErrorMessage="1" sqref="G57">
      <formula1>0</formula1>
      <formula2>NaN</formula2>
    </dataValidation>
    <dataValidation type="whole" allowBlank="1" showInputMessage="1" showErrorMessage="1" sqref="G58">
      <formula1>0</formula1>
      <formula2>NaN</formula2>
    </dataValidation>
    <dataValidation type="whole" allowBlank="1" showInputMessage="1" showErrorMessage="1" sqref="G59">
      <formula1>0</formula1>
      <formula2>NaN</formula2>
    </dataValidation>
    <dataValidation type="whole" allowBlank="1" showInputMessage="1" showErrorMessage="1" sqref="G6">
      <formula1>0</formula1>
      <formula2>NaN</formula2>
    </dataValidation>
    <dataValidation type="whole" allowBlank="1" showInputMessage="1" showErrorMessage="1" sqref="G60">
      <formula1>0</formula1>
      <formula2>NaN</formula2>
    </dataValidation>
    <dataValidation type="whole" allowBlank="1" showInputMessage="1" showErrorMessage="1" sqref="G61">
      <formula1>0</formula1>
      <formula2>NaN</formula2>
    </dataValidation>
    <dataValidation type="whole" allowBlank="1" showInputMessage="1" showErrorMessage="1" sqref="G62">
      <formula1>0</formula1>
      <formula2>NaN</formula2>
    </dataValidation>
    <dataValidation type="whole" allowBlank="1" showInputMessage="1" showErrorMessage="1" sqref="G63">
      <formula1>0</formula1>
      <formula2>NaN</formula2>
    </dataValidation>
    <dataValidation type="whole" allowBlank="1" showInputMessage="1" showErrorMessage="1" sqref="G64">
      <formula1>0</formula1>
      <formula2>NaN</formula2>
    </dataValidation>
    <dataValidation type="whole" allowBlank="1" showInputMessage="1" showErrorMessage="1" sqref="G7">
      <formula1>0</formula1>
      <formula2>NaN</formula2>
    </dataValidation>
    <dataValidation type="whole" allowBlank="1" showInputMessage="1" showErrorMessage="1" sqref="G8">
      <formula1>0</formula1>
      <formula2>NaN</formula2>
    </dataValidation>
    <dataValidation type="whole" allowBlank="1" showInputMessage="1" showErrorMessage="1" sqref="G9">
      <formula1>0</formula1>
      <formula2>NaN</formula2>
    </dataValidation>
    <dataValidation type="whole" allowBlank="1" showInputMessage="1" showErrorMessage="1" sqref="H10">
      <formula1>0</formula1>
      <formula2>NaN</formula2>
    </dataValidation>
    <dataValidation type="whole" allowBlank="1" showInputMessage="1" showErrorMessage="1" sqref="H11">
      <formula1>0</formula1>
      <formula2>NaN</formula2>
    </dataValidation>
    <dataValidation type="whole" allowBlank="1" showInputMessage="1" showErrorMessage="1" sqref="H12">
      <formula1>0</formula1>
      <formula2>NaN</formula2>
    </dataValidation>
    <dataValidation type="whole" allowBlank="1" showInputMessage="1" showErrorMessage="1" sqref="H13">
      <formula1>0</formula1>
      <formula2>NaN</formula2>
    </dataValidation>
    <dataValidation type="whole" allowBlank="1" showInputMessage="1" showErrorMessage="1" sqref="H14">
      <formula1>0</formula1>
      <formula2>NaN</formula2>
    </dataValidation>
    <dataValidation type="whole" allowBlank="1" showInputMessage="1" showErrorMessage="1" sqref="H15">
      <formula1>0</formula1>
      <formula2>NaN</formula2>
    </dataValidation>
    <dataValidation type="whole" allowBlank="1" showInputMessage="1" showErrorMessage="1" sqref="H16">
      <formula1>0</formula1>
      <formula2>NaN</formula2>
    </dataValidation>
    <dataValidation type="whole" allowBlank="1" showInputMessage="1" showErrorMessage="1" sqref="H17">
      <formula1>0</formula1>
      <formula2>NaN</formula2>
    </dataValidation>
    <dataValidation type="whole" allowBlank="1" showInputMessage="1" showErrorMessage="1" sqref="H18">
      <formula1>0</formula1>
      <formula2>NaN</formula2>
    </dataValidation>
    <dataValidation type="whole" allowBlank="1" showInputMessage="1" showErrorMessage="1" sqref="H19">
      <formula1>0</formula1>
      <formula2>NaN</formula2>
    </dataValidation>
    <dataValidation type="whole" allowBlank="1" showInputMessage="1" showErrorMessage="1" sqref="H20">
      <formula1>0</formula1>
      <formula2>NaN</formula2>
    </dataValidation>
    <dataValidation type="whole" allowBlank="1" showInputMessage="1" showErrorMessage="1" sqref="H21">
      <formula1>0</formula1>
      <formula2>NaN</formula2>
    </dataValidation>
    <dataValidation type="whole" allowBlank="1" showInputMessage="1" showErrorMessage="1" sqref="H22">
      <formula1>0</formula1>
      <formula2>NaN</formula2>
    </dataValidation>
    <dataValidation type="whole" allowBlank="1" showInputMessage="1" showErrorMessage="1" sqref="H23">
      <formula1>0</formula1>
      <formula2>NaN</formula2>
    </dataValidation>
    <dataValidation type="whole" allowBlank="1" showInputMessage="1" showErrorMessage="1" sqref="H24">
      <formula1>0</formula1>
      <formula2>NaN</formula2>
    </dataValidation>
    <dataValidation type="whole" allowBlank="1" showInputMessage="1" showErrorMessage="1" sqref="H25">
      <formula1>0</formula1>
      <formula2>NaN</formula2>
    </dataValidation>
    <dataValidation type="whole" allowBlank="1" showInputMessage="1" showErrorMessage="1" sqref="H26">
      <formula1>0</formula1>
      <formula2>NaN</formula2>
    </dataValidation>
    <dataValidation type="whole" allowBlank="1" showInputMessage="1" showErrorMessage="1" sqref="H27">
      <formula1>0</formula1>
      <formula2>NaN</formula2>
    </dataValidation>
    <dataValidation type="whole" allowBlank="1" showInputMessage="1" showErrorMessage="1" sqref="H28">
      <formula1>0</formula1>
      <formula2>NaN</formula2>
    </dataValidation>
    <dataValidation type="whole" allowBlank="1" showInputMessage="1" showErrorMessage="1" sqref="H29">
      <formula1>0</formula1>
      <formula2>NaN</formula2>
    </dataValidation>
    <dataValidation type="whole" allowBlank="1" showInputMessage="1" showErrorMessage="1" sqref="H30">
      <formula1>0</formula1>
      <formula2>NaN</formula2>
    </dataValidation>
    <dataValidation type="whole" allowBlank="1" showInputMessage="1" showErrorMessage="1" sqref="H31">
      <formula1>0</formula1>
      <formula2>NaN</formula2>
    </dataValidation>
    <dataValidation type="whole" allowBlank="1" showInputMessage="1" showErrorMessage="1" sqref="H32">
      <formula1>0</formula1>
      <formula2>NaN</formula2>
    </dataValidation>
    <dataValidation type="whole" allowBlank="1" showInputMessage="1" showErrorMessage="1" sqref="H33">
      <formula1>0</formula1>
      <formula2>NaN</formula2>
    </dataValidation>
    <dataValidation type="whole" allowBlank="1" showInputMessage="1" showErrorMessage="1" sqref="H34">
      <formula1>0</formula1>
      <formula2>NaN</formula2>
    </dataValidation>
    <dataValidation type="whole" allowBlank="1" showInputMessage="1" showErrorMessage="1" sqref="H35">
      <formula1>0</formula1>
      <formula2>NaN</formula2>
    </dataValidation>
    <dataValidation type="whole" allowBlank="1" showInputMessage="1" showErrorMessage="1" sqref="H36">
      <formula1>0</formula1>
      <formula2>NaN</formula2>
    </dataValidation>
    <dataValidation type="whole" allowBlank="1" showInputMessage="1" showErrorMessage="1" sqref="H37">
      <formula1>0</formula1>
      <formula2>NaN</formula2>
    </dataValidation>
    <dataValidation type="whole" allowBlank="1" showInputMessage="1" showErrorMessage="1" sqref="H38">
      <formula1>0</formula1>
      <formula2>NaN</formula2>
    </dataValidation>
    <dataValidation type="whole" allowBlank="1" showInputMessage="1" showErrorMessage="1" sqref="H39">
      <formula1>0</formula1>
      <formula2>NaN</formula2>
    </dataValidation>
    <dataValidation type="whole" allowBlank="1" showInputMessage="1" showErrorMessage="1" sqref="H40">
      <formula1>0</formula1>
      <formula2>NaN</formula2>
    </dataValidation>
    <dataValidation type="whole" allowBlank="1" showInputMessage="1" showErrorMessage="1" sqref="H41">
      <formula1>0</formula1>
      <formula2>NaN</formula2>
    </dataValidation>
    <dataValidation type="whole" allowBlank="1" showInputMessage="1" showErrorMessage="1" sqref="H42">
      <formula1>0</formula1>
      <formula2>NaN</formula2>
    </dataValidation>
    <dataValidation type="whole" allowBlank="1" showInputMessage="1" showErrorMessage="1" sqref="H43">
      <formula1>0</formula1>
      <formula2>NaN</formula2>
    </dataValidation>
    <dataValidation type="whole" allowBlank="1" showInputMessage="1" showErrorMessage="1" sqref="H44">
      <formula1>0</formula1>
      <formula2>NaN</formula2>
    </dataValidation>
    <dataValidation type="whole" allowBlank="1" showInputMessage="1" showErrorMessage="1" sqref="H45">
      <formula1>0</formula1>
      <formula2>NaN</formula2>
    </dataValidation>
    <dataValidation type="whole" allowBlank="1" showInputMessage="1" showErrorMessage="1" sqref="H46">
      <formula1>0</formula1>
      <formula2>NaN</formula2>
    </dataValidation>
    <dataValidation type="whole" allowBlank="1" showInputMessage="1" showErrorMessage="1" sqref="H47">
      <formula1>0</formula1>
      <formula2>NaN</formula2>
    </dataValidation>
    <dataValidation type="whole" allowBlank="1" showInputMessage="1" showErrorMessage="1" sqref="H48">
      <formula1>0</formula1>
      <formula2>NaN</formula2>
    </dataValidation>
    <dataValidation type="whole" allowBlank="1" showInputMessage="1" showErrorMessage="1" sqref="H49">
      <formula1>0</formula1>
      <formula2>NaN</formula2>
    </dataValidation>
    <dataValidation type="whole" allowBlank="1" showInputMessage="1" showErrorMessage="1" sqref="H5">
      <formula1>0</formula1>
      <formula2>NaN</formula2>
    </dataValidation>
    <dataValidation type="whole" allowBlank="1" showInputMessage="1" showErrorMessage="1" sqref="H50">
      <formula1>0</formula1>
      <formula2>NaN</formula2>
    </dataValidation>
    <dataValidation type="whole" allowBlank="1" showInputMessage="1" showErrorMessage="1" sqref="H51">
      <formula1>0</formula1>
      <formula2>NaN</formula2>
    </dataValidation>
    <dataValidation type="whole" allowBlank="1" showInputMessage="1" showErrorMessage="1" sqref="H52">
      <formula1>0</formula1>
      <formula2>NaN</formula2>
    </dataValidation>
    <dataValidation type="whole" allowBlank="1" showInputMessage="1" showErrorMessage="1" sqref="H53">
      <formula1>0</formula1>
      <formula2>NaN</formula2>
    </dataValidation>
    <dataValidation type="whole" allowBlank="1" showInputMessage="1" showErrorMessage="1" sqref="H54">
      <formula1>0</formula1>
      <formula2>NaN</formula2>
    </dataValidation>
    <dataValidation type="whole" allowBlank="1" showInputMessage="1" showErrorMessage="1" sqref="H55">
      <formula1>0</formula1>
      <formula2>NaN</formula2>
    </dataValidation>
    <dataValidation type="whole" allowBlank="1" showInputMessage="1" showErrorMessage="1" sqref="H56">
      <formula1>0</formula1>
      <formula2>NaN</formula2>
    </dataValidation>
    <dataValidation type="whole" allowBlank="1" showInputMessage="1" showErrorMessage="1" sqref="H57">
      <formula1>0</formula1>
      <formula2>NaN</formula2>
    </dataValidation>
    <dataValidation type="whole" allowBlank="1" showInputMessage="1" showErrorMessage="1" sqref="H58">
      <formula1>0</formula1>
      <formula2>NaN</formula2>
    </dataValidation>
    <dataValidation type="whole" allowBlank="1" showInputMessage="1" showErrorMessage="1" sqref="H59">
      <formula1>0</formula1>
      <formula2>NaN</formula2>
    </dataValidation>
    <dataValidation type="whole" allowBlank="1" showInputMessage="1" showErrorMessage="1" sqref="H6">
      <formula1>0</formula1>
      <formula2>NaN</formula2>
    </dataValidation>
    <dataValidation type="whole" allowBlank="1" showInputMessage="1" showErrorMessage="1" sqref="H60">
      <formula1>0</formula1>
      <formula2>NaN</formula2>
    </dataValidation>
    <dataValidation type="whole" allowBlank="1" showInputMessage="1" showErrorMessage="1" sqref="H61">
      <formula1>0</formula1>
      <formula2>NaN</formula2>
    </dataValidation>
    <dataValidation type="whole" allowBlank="1" showInputMessage="1" showErrorMessage="1" sqref="H62">
      <formula1>0</formula1>
      <formula2>NaN</formula2>
    </dataValidation>
    <dataValidation type="whole" allowBlank="1" showInputMessage="1" showErrorMessage="1" sqref="H63">
      <formula1>0</formula1>
      <formula2>NaN</formula2>
    </dataValidation>
    <dataValidation type="whole" allowBlank="1" showInputMessage="1" showErrorMessage="1" sqref="H64">
      <formula1>0</formula1>
      <formula2>NaN</formula2>
    </dataValidation>
    <dataValidation type="whole" allowBlank="1" showInputMessage="1" showErrorMessage="1" sqref="H7">
      <formula1>0</formula1>
      <formula2>NaN</formula2>
    </dataValidation>
    <dataValidation type="whole" allowBlank="1" showInputMessage="1" showErrorMessage="1" sqref="H8">
      <formula1>0</formula1>
      <formula2>NaN</formula2>
    </dataValidation>
    <dataValidation type="whole" allowBlank="1" showInputMessage="1" showErrorMessage="1" sqref="H9">
      <formula1>0</formula1>
      <formula2>NaN</formula2>
    </dataValidation>
    <dataValidation type="whole" allowBlank="1" showInputMessage="1" showErrorMessage="1" sqref="I10">
      <formula1>0</formula1>
      <formula2>NaN</formula2>
    </dataValidation>
    <dataValidation type="whole" allowBlank="1" showInputMessage="1" showErrorMessage="1" sqref="I11">
      <formula1>0</formula1>
      <formula2>NaN</formula2>
    </dataValidation>
    <dataValidation type="whole" allowBlank="1" showInputMessage="1" showErrorMessage="1" sqref="I12">
      <formula1>0</formula1>
      <formula2>NaN</formula2>
    </dataValidation>
    <dataValidation type="whole" allowBlank="1" showInputMessage="1" showErrorMessage="1" sqref="I13">
      <formula1>0</formula1>
      <formula2>NaN</formula2>
    </dataValidation>
    <dataValidation type="whole" allowBlank="1" showInputMessage="1" showErrorMessage="1" sqref="I14">
      <formula1>0</formula1>
      <formula2>NaN</formula2>
    </dataValidation>
    <dataValidation type="whole" allowBlank="1" showInputMessage="1" showErrorMessage="1" sqref="I15">
      <formula1>0</formula1>
      <formula2>NaN</formula2>
    </dataValidation>
    <dataValidation type="whole" allowBlank="1" showInputMessage="1" showErrorMessage="1" sqref="I16">
      <formula1>0</formula1>
      <formula2>NaN</formula2>
    </dataValidation>
    <dataValidation type="whole" allowBlank="1" showInputMessage="1" showErrorMessage="1" sqref="I17">
      <formula1>0</formula1>
      <formula2>NaN</formula2>
    </dataValidation>
    <dataValidation type="whole" allowBlank="1" showInputMessage="1" showErrorMessage="1" sqref="I18">
      <formula1>0</formula1>
      <formula2>NaN</formula2>
    </dataValidation>
    <dataValidation type="whole" allowBlank="1" showInputMessage="1" showErrorMessage="1" sqref="I19">
      <formula1>0</formula1>
      <formula2>NaN</formula2>
    </dataValidation>
    <dataValidation type="whole" allowBlank="1" showInputMessage="1" showErrorMessage="1" sqref="I20">
      <formula1>0</formula1>
      <formula2>NaN</formula2>
    </dataValidation>
    <dataValidation type="whole" allowBlank="1" showInputMessage="1" showErrorMessage="1" sqref="I21">
      <formula1>0</formula1>
      <formula2>NaN</formula2>
    </dataValidation>
    <dataValidation type="whole" allowBlank="1" showInputMessage="1" showErrorMessage="1" sqref="I22">
      <formula1>0</formula1>
      <formula2>NaN</formula2>
    </dataValidation>
    <dataValidation type="whole" allowBlank="1" showInputMessage="1" showErrorMessage="1" sqref="I23">
      <formula1>0</formula1>
      <formula2>NaN</formula2>
    </dataValidation>
    <dataValidation type="whole" allowBlank="1" showInputMessage="1" showErrorMessage="1" sqref="I24">
      <formula1>0</formula1>
      <formula2>NaN</formula2>
    </dataValidation>
    <dataValidation type="whole" allowBlank="1" showInputMessage="1" showErrorMessage="1" sqref="I25">
      <formula1>0</formula1>
      <formula2>NaN</formula2>
    </dataValidation>
    <dataValidation type="whole" allowBlank="1" showInputMessage="1" showErrorMessage="1" sqref="I26">
      <formula1>0</formula1>
      <formula2>NaN</formula2>
    </dataValidation>
    <dataValidation type="whole" allowBlank="1" showInputMessage="1" showErrorMessage="1" sqref="I27">
      <formula1>0</formula1>
      <formula2>NaN</formula2>
    </dataValidation>
    <dataValidation type="whole" allowBlank="1" showInputMessage="1" showErrorMessage="1" sqref="I28">
      <formula1>0</formula1>
      <formula2>NaN</formula2>
    </dataValidation>
    <dataValidation type="whole" allowBlank="1" showInputMessage="1" showErrorMessage="1" sqref="I29">
      <formula1>0</formula1>
      <formula2>NaN</formula2>
    </dataValidation>
    <dataValidation type="whole" allowBlank="1" showInputMessage="1" showErrorMessage="1" sqref="I30">
      <formula1>0</formula1>
      <formula2>NaN</formula2>
    </dataValidation>
    <dataValidation type="whole" allowBlank="1" showInputMessage="1" showErrorMessage="1" sqref="I31">
      <formula1>0</formula1>
      <formula2>NaN</formula2>
    </dataValidation>
    <dataValidation type="whole" allowBlank="1" showInputMessage="1" showErrorMessage="1" sqref="I32">
      <formula1>0</formula1>
      <formula2>NaN</formula2>
    </dataValidation>
    <dataValidation type="whole" allowBlank="1" showInputMessage="1" showErrorMessage="1" sqref="I33">
      <formula1>0</formula1>
      <formula2>NaN</formula2>
    </dataValidation>
    <dataValidation type="whole" allowBlank="1" showInputMessage="1" showErrorMessage="1" sqref="I34">
      <formula1>0</formula1>
      <formula2>NaN</formula2>
    </dataValidation>
    <dataValidation type="whole" allowBlank="1" showInputMessage="1" showErrorMessage="1" sqref="I35">
      <formula1>0</formula1>
      <formula2>NaN</formula2>
    </dataValidation>
    <dataValidation type="whole" allowBlank="1" showInputMessage="1" showErrorMessage="1" sqref="I36">
      <formula1>0</formula1>
      <formula2>NaN</formula2>
    </dataValidation>
    <dataValidation type="whole" allowBlank="1" showInputMessage="1" showErrorMessage="1" sqref="I37">
      <formula1>0</formula1>
      <formula2>NaN</formula2>
    </dataValidation>
    <dataValidation type="whole" allowBlank="1" showInputMessage="1" showErrorMessage="1" sqref="I38">
      <formula1>0</formula1>
      <formula2>NaN</formula2>
    </dataValidation>
    <dataValidation type="whole" allowBlank="1" showInputMessage="1" showErrorMessage="1" sqref="I39">
      <formula1>0</formula1>
      <formula2>NaN</formula2>
    </dataValidation>
    <dataValidation type="whole" allowBlank="1" showInputMessage="1" showErrorMessage="1" sqref="I40">
      <formula1>0</formula1>
      <formula2>NaN</formula2>
    </dataValidation>
    <dataValidation type="whole" allowBlank="1" showInputMessage="1" showErrorMessage="1" sqref="I41">
      <formula1>0</formula1>
      <formula2>NaN</formula2>
    </dataValidation>
    <dataValidation type="whole" allowBlank="1" showInputMessage="1" showErrorMessage="1" sqref="I42">
      <formula1>0</formula1>
      <formula2>NaN</formula2>
    </dataValidation>
    <dataValidation type="whole" allowBlank="1" showInputMessage="1" showErrorMessage="1" sqref="I43">
      <formula1>0</formula1>
      <formula2>NaN</formula2>
    </dataValidation>
    <dataValidation type="whole" allowBlank="1" showInputMessage="1" showErrorMessage="1" sqref="I44">
      <formula1>0</formula1>
      <formula2>NaN</formula2>
    </dataValidation>
    <dataValidation type="whole" allowBlank="1" showInputMessage="1" showErrorMessage="1" sqref="I45">
      <formula1>0</formula1>
      <formula2>NaN</formula2>
    </dataValidation>
    <dataValidation type="whole" allowBlank="1" showInputMessage="1" showErrorMessage="1" sqref="I46">
      <formula1>0</formula1>
      <formula2>NaN</formula2>
    </dataValidation>
    <dataValidation type="whole" allowBlank="1" showInputMessage="1" showErrorMessage="1" sqref="I47">
      <formula1>0</formula1>
      <formula2>NaN</formula2>
    </dataValidation>
    <dataValidation type="whole" allowBlank="1" showInputMessage="1" showErrorMessage="1" sqref="I48">
      <formula1>0</formula1>
      <formula2>NaN</formula2>
    </dataValidation>
    <dataValidation type="whole" allowBlank="1" showInputMessage="1" showErrorMessage="1" sqref="I49">
      <formula1>0</formula1>
      <formula2>NaN</formula2>
    </dataValidation>
    <dataValidation type="whole" allowBlank="1" showInputMessage="1" showErrorMessage="1" sqref="I5">
      <formula1>0</formula1>
      <formula2>NaN</formula2>
    </dataValidation>
    <dataValidation type="whole" allowBlank="1" showInputMessage="1" showErrorMessage="1" sqref="I50">
      <formula1>0</formula1>
      <formula2>NaN</formula2>
    </dataValidation>
    <dataValidation type="whole" allowBlank="1" showInputMessage="1" showErrorMessage="1" sqref="I51">
      <formula1>0</formula1>
      <formula2>NaN</formula2>
    </dataValidation>
    <dataValidation type="whole" allowBlank="1" showInputMessage="1" showErrorMessage="1" sqref="I52">
      <formula1>0</formula1>
      <formula2>NaN</formula2>
    </dataValidation>
    <dataValidation type="whole" allowBlank="1" showInputMessage="1" showErrorMessage="1" sqref="I53">
      <formula1>0</formula1>
      <formula2>NaN</formula2>
    </dataValidation>
    <dataValidation type="whole" allowBlank="1" showInputMessage="1" showErrorMessage="1" sqref="I54">
      <formula1>0</formula1>
      <formula2>NaN</formula2>
    </dataValidation>
    <dataValidation type="whole" allowBlank="1" showInputMessage="1" showErrorMessage="1" sqref="I55">
      <formula1>0</formula1>
      <formula2>NaN</formula2>
    </dataValidation>
    <dataValidation type="whole" allowBlank="1" showInputMessage="1" showErrorMessage="1" sqref="I56">
      <formula1>0</formula1>
      <formula2>NaN</formula2>
    </dataValidation>
    <dataValidation type="whole" allowBlank="1" showInputMessage="1" showErrorMessage="1" sqref="I57">
      <formula1>0</formula1>
      <formula2>NaN</formula2>
    </dataValidation>
    <dataValidation type="whole" allowBlank="1" showInputMessage="1" showErrorMessage="1" sqref="I58">
      <formula1>0</formula1>
      <formula2>NaN</formula2>
    </dataValidation>
    <dataValidation type="whole" allowBlank="1" showInputMessage="1" showErrorMessage="1" sqref="I59">
      <formula1>0</formula1>
      <formula2>NaN</formula2>
    </dataValidation>
    <dataValidation type="whole" allowBlank="1" showInputMessage="1" showErrorMessage="1" sqref="I6">
      <formula1>0</formula1>
      <formula2>NaN</formula2>
    </dataValidation>
    <dataValidation type="whole" allowBlank="1" showInputMessage="1" showErrorMessage="1" sqref="I60">
      <formula1>0</formula1>
      <formula2>NaN</formula2>
    </dataValidation>
    <dataValidation type="whole" allowBlank="1" showInputMessage="1" showErrorMessage="1" sqref="I61">
      <formula1>0</formula1>
      <formula2>NaN</formula2>
    </dataValidation>
    <dataValidation type="whole" allowBlank="1" showInputMessage="1" showErrorMessage="1" sqref="I62">
      <formula1>0</formula1>
      <formula2>NaN</formula2>
    </dataValidation>
    <dataValidation type="whole" allowBlank="1" showInputMessage="1" showErrorMessage="1" sqref="I63">
      <formula1>0</formula1>
      <formula2>NaN</formula2>
    </dataValidation>
    <dataValidation type="whole" allowBlank="1" showInputMessage="1" showErrorMessage="1" sqref="I64">
      <formula1>0</formula1>
      <formula2>NaN</formula2>
    </dataValidation>
    <dataValidation type="whole" allowBlank="1" showInputMessage="1" showErrorMessage="1" sqref="I7">
      <formula1>0</formula1>
      <formula2>NaN</formula2>
    </dataValidation>
    <dataValidation type="whole" allowBlank="1" showInputMessage="1" showErrorMessage="1" sqref="I8">
      <formula1>0</formula1>
      <formula2>NaN</formula2>
    </dataValidation>
    <dataValidation type="whole" allowBlank="1" showInputMessage="1" showErrorMessage="1" sqref="I9">
      <formula1>0</formula1>
      <formula2>NaN</formula2>
    </dataValidation>
    <dataValidation type="whole" allowBlank="1" showInputMessage="1" showErrorMessage="1" sqref="J10">
      <formula1>0</formula1>
      <formula2>NaN</formula2>
    </dataValidation>
    <dataValidation type="whole" allowBlank="1" showInputMessage="1" showErrorMessage="1" sqref="J11">
      <formula1>0</formula1>
      <formula2>NaN</formula2>
    </dataValidation>
    <dataValidation type="whole" allowBlank="1" showInputMessage="1" showErrorMessage="1" sqref="J12">
      <formula1>0</formula1>
      <formula2>NaN</formula2>
    </dataValidation>
    <dataValidation type="whole" allowBlank="1" showInputMessage="1" showErrorMessage="1" sqref="J13">
      <formula1>0</formula1>
      <formula2>NaN</formula2>
    </dataValidation>
    <dataValidation type="whole" allowBlank="1" showInputMessage="1" showErrorMessage="1" sqref="J14">
      <formula1>0</formula1>
      <formula2>NaN</formula2>
    </dataValidation>
    <dataValidation type="whole" allowBlank="1" showInputMessage="1" showErrorMessage="1" sqref="J15">
      <formula1>0</formula1>
      <formula2>NaN</formula2>
    </dataValidation>
    <dataValidation type="whole" allowBlank="1" showInputMessage="1" showErrorMessage="1" sqref="J16">
      <formula1>0</formula1>
      <formula2>NaN</formula2>
    </dataValidation>
    <dataValidation type="whole" allowBlank="1" showInputMessage="1" showErrorMessage="1" sqref="J17">
      <formula1>0</formula1>
      <formula2>NaN</formula2>
    </dataValidation>
    <dataValidation type="whole" allowBlank="1" showInputMessage="1" showErrorMessage="1" sqref="J18">
      <formula1>0</formula1>
      <formula2>NaN</formula2>
    </dataValidation>
    <dataValidation type="whole" allowBlank="1" showInputMessage="1" showErrorMessage="1" sqref="J19">
      <formula1>0</formula1>
      <formula2>NaN</formula2>
    </dataValidation>
    <dataValidation type="whole" allowBlank="1" showInputMessage="1" showErrorMessage="1" sqref="J20">
      <formula1>0</formula1>
      <formula2>NaN</formula2>
    </dataValidation>
    <dataValidation type="whole" allowBlank="1" showInputMessage="1" showErrorMessage="1" sqref="J21">
      <formula1>0</formula1>
      <formula2>NaN</formula2>
    </dataValidation>
    <dataValidation type="whole" allowBlank="1" showInputMessage="1" showErrorMessage="1" sqref="J22">
      <formula1>0</formula1>
      <formula2>NaN</formula2>
    </dataValidation>
    <dataValidation type="whole" allowBlank="1" showInputMessage="1" showErrorMessage="1" sqref="J23">
      <formula1>0</formula1>
      <formula2>NaN</formula2>
    </dataValidation>
    <dataValidation type="whole" allowBlank="1" showInputMessage="1" showErrorMessage="1" sqref="J24">
      <formula1>0</formula1>
      <formula2>NaN</formula2>
    </dataValidation>
    <dataValidation type="whole" allowBlank="1" showInputMessage="1" showErrorMessage="1" sqref="J25">
      <formula1>0</formula1>
      <formula2>NaN</formula2>
    </dataValidation>
    <dataValidation type="whole" allowBlank="1" showInputMessage="1" showErrorMessage="1" sqref="J26">
      <formula1>0</formula1>
      <formula2>NaN</formula2>
    </dataValidation>
    <dataValidation type="whole" allowBlank="1" showInputMessage="1" showErrorMessage="1" sqref="J27">
      <formula1>0</formula1>
      <formula2>NaN</formula2>
    </dataValidation>
    <dataValidation type="whole" allowBlank="1" showInputMessage="1" showErrorMessage="1" sqref="J28">
      <formula1>0</formula1>
      <formula2>NaN</formula2>
    </dataValidation>
    <dataValidation type="whole" allowBlank="1" showInputMessage="1" showErrorMessage="1" sqref="J29">
      <formula1>0</formula1>
      <formula2>NaN</formula2>
    </dataValidation>
    <dataValidation type="whole" allowBlank="1" showInputMessage="1" showErrorMessage="1" sqref="J30">
      <formula1>0</formula1>
      <formula2>NaN</formula2>
    </dataValidation>
    <dataValidation type="whole" allowBlank="1" showInputMessage="1" showErrorMessage="1" sqref="J31">
      <formula1>0</formula1>
      <formula2>NaN</formula2>
    </dataValidation>
    <dataValidation type="whole" allowBlank="1" showInputMessage="1" showErrorMessage="1" sqref="J32">
      <formula1>0</formula1>
      <formula2>NaN</formula2>
    </dataValidation>
    <dataValidation type="whole" allowBlank="1" showInputMessage="1" showErrorMessage="1" sqref="J33">
      <formula1>0</formula1>
      <formula2>NaN</formula2>
    </dataValidation>
    <dataValidation type="whole" allowBlank="1" showInputMessage="1" showErrorMessage="1" sqref="J34">
      <formula1>0</formula1>
      <formula2>NaN</formula2>
    </dataValidation>
    <dataValidation type="whole" allowBlank="1" showInputMessage="1" showErrorMessage="1" sqref="J35">
      <formula1>0</formula1>
      <formula2>NaN</formula2>
    </dataValidation>
    <dataValidation type="whole" allowBlank="1" showInputMessage="1" showErrorMessage="1" sqref="J36">
      <formula1>0</formula1>
      <formula2>NaN</formula2>
    </dataValidation>
    <dataValidation type="whole" allowBlank="1" showInputMessage="1" showErrorMessage="1" sqref="J37">
      <formula1>0</formula1>
      <formula2>NaN</formula2>
    </dataValidation>
    <dataValidation type="whole" allowBlank="1" showInputMessage="1" showErrorMessage="1" sqref="J38">
      <formula1>0</formula1>
      <formula2>NaN</formula2>
    </dataValidation>
    <dataValidation type="whole" allowBlank="1" showInputMessage="1" showErrorMessage="1" sqref="J39">
      <formula1>0</formula1>
      <formula2>NaN</formula2>
    </dataValidation>
    <dataValidation type="whole" allowBlank="1" showInputMessage="1" showErrorMessage="1" sqref="J40">
      <formula1>0</formula1>
      <formula2>NaN</formula2>
    </dataValidation>
    <dataValidation type="whole" allowBlank="1" showInputMessage="1" showErrorMessage="1" sqref="J41">
      <formula1>0</formula1>
      <formula2>NaN</formula2>
    </dataValidation>
    <dataValidation type="whole" allowBlank="1" showInputMessage="1" showErrorMessage="1" sqref="J42">
      <formula1>0</formula1>
      <formula2>NaN</formula2>
    </dataValidation>
    <dataValidation type="whole" allowBlank="1" showInputMessage="1" showErrorMessage="1" sqref="J43">
      <formula1>0</formula1>
      <formula2>NaN</formula2>
    </dataValidation>
    <dataValidation type="whole" allowBlank="1" showInputMessage="1" showErrorMessage="1" sqref="J44">
      <formula1>0</formula1>
      <formula2>NaN</formula2>
    </dataValidation>
    <dataValidation type="whole" allowBlank="1" showInputMessage="1" showErrorMessage="1" sqref="J45">
      <formula1>0</formula1>
      <formula2>NaN</formula2>
    </dataValidation>
    <dataValidation type="whole" allowBlank="1" showInputMessage="1" showErrorMessage="1" sqref="J46">
      <formula1>0</formula1>
      <formula2>NaN</formula2>
    </dataValidation>
    <dataValidation type="whole" allowBlank="1" showInputMessage="1" showErrorMessage="1" sqref="J47">
      <formula1>0</formula1>
      <formula2>NaN</formula2>
    </dataValidation>
    <dataValidation type="whole" allowBlank="1" showInputMessage="1" showErrorMessage="1" sqref="J48">
      <formula1>0</formula1>
      <formula2>NaN</formula2>
    </dataValidation>
    <dataValidation type="whole" allowBlank="1" showInputMessage="1" showErrorMessage="1" sqref="J49">
      <formula1>0</formula1>
      <formula2>NaN</formula2>
    </dataValidation>
    <dataValidation type="whole" allowBlank="1" showInputMessage="1" showErrorMessage="1" sqref="J5">
      <formula1>0</formula1>
      <formula2>NaN</formula2>
    </dataValidation>
    <dataValidation type="whole" allowBlank="1" showInputMessage="1" showErrorMessage="1" sqref="J50">
      <formula1>0</formula1>
      <formula2>NaN</formula2>
    </dataValidation>
    <dataValidation type="whole" allowBlank="1" showInputMessage="1" showErrorMessage="1" sqref="J51">
      <formula1>0</formula1>
      <formula2>NaN</formula2>
    </dataValidation>
    <dataValidation type="whole" allowBlank="1" showInputMessage="1" showErrorMessage="1" sqref="J52">
      <formula1>0</formula1>
      <formula2>NaN</formula2>
    </dataValidation>
    <dataValidation type="whole" allowBlank="1" showInputMessage="1" showErrorMessage="1" sqref="J53">
      <formula1>0</formula1>
      <formula2>NaN</formula2>
    </dataValidation>
    <dataValidation type="whole" allowBlank="1" showInputMessage="1" showErrorMessage="1" sqref="J54">
      <formula1>0</formula1>
      <formula2>NaN</formula2>
    </dataValidation>
    <dataValidation type="whole" allowBlank="1" showInputMessage="1" showErrorMessage="1" sqref="J55">
      <formula1>0</formula1>
      <formula2>NaN</formula2>
    </dataValidation>
    <dataValidation type="whole" allowBlank="1" showInputMessage="1" showErrorMessage="1" sqref="J56">
      <formula1>0</formula1>
      <formula2>NaN</formula2>
    </dataValidation>
    <dataValidation type="whole" allowBlank="1" showInputMessage="1" showErrorMessage="1" sqref="J57">
      <formula1>0</formula1>
      <formula2>NaN</formula2>
    </dataValidation>
    <dataValidation type="whole" allowBlank="1" showInputMessage="1" showErrorMessage="1" sqref="J58">
      <formula1>0</formula1>
      <formula2>NaN</formula2>
    </dataValidation>
    <dataValidation type="whole" allowBlank="1" showInputMessage="1" showErrorMessage="1" sqref="J59">
      <formula1>0</formula1>
      <formula2>NaN</formula2>
    </dataValidation>
    <dataValidation type="whole" allowBlank="1" showInputMessage="1" showErrorMessage="1" sqref="J6">
      <formula1>0</formula1>
      <formula2>NaN</formula2>
    </dataValidation>
    <dataValidation type="whole" allowBlank="1" showInputMessage="1" showErrorMessage="1" sqref="J60">
      <formula1>0</formula1>
      <formula2>NaN</formula2>
    </dataValidation>
    <dataValidation type="whole" allowBlank="1" showInputMessage="1" showErrorMessage="1" sqref="J61">
      <formula1>0</formula1>
      <formula2>NaN</formula2>
    </dataValidation>
    <dataValidation type="whole" allowBlank="1" showInputMessage="1" showErrorMessage="1" sqref="J62">
      <formula1>0</formula1>
      <formula2>NaN</formula2>
    </dataValidation>
    <dataValidation type="whole" allowBlank="1" showInputMessage="1" showErrorMessage="1" sqref="J63">
      <formula1>0</formula1>
      <formula2>NaN</formula2>
    </dataValidation>
    <dataValidation type="whole" allowBlank="1" showInputMessage="1" showErrorMessage="1" sqref="J64">
      <formula1>0</formula1>
      <formula2>NaN</formula2>
    </dataValidation>
    <dataValidation type="whole" allowBlank="1" showInputMessage="1" showErrorMessage="1" sqref="J7">
      <formula1>0</formula1>
      <formula2>NaN</formula2>
    </dataValidation>
    <dataValidation type="whole" allowBlank="1" showInputMessage="1" showErrorMessage="1" sqref="J8">
      <formula1>0</formula1>
      <formula2>NaN</formula2>
    </dataValidation>
    <dataValidation type="whole" allowBlank="1" showInputMessage="1" showErrorMessage="1" sqref="J9">
      <formula1>0</formula1>
      <formula2>NaN</formula2>
    </dataValidation>
    <dataValidation type="whole" allowBlank="1" showInputMessage="1" showErrorMessage="1" sqref="K10">
      <formula1>0</formula1>
      <formula2>NaN</formula2>
    </dataValidation>
    <dataValidation type="whole" allowBlank="1" showInputMessage="1" showErrorMessage="1" sqref="K11">
      <formula1>0</formula1>
      <formula2>NaN</formula2>
    </dataValidation>
    <dataValidation type="whole" allowBlank="1" showInputMessage="1" showErrorMessage="1" sqref="K12">
      <formula1>0</formula1>
      <formula2>NaN</formula2>
    </dataValidation>
    <dataValidation type="whole" allowBlank="1" showInputMessage="1" showErrorMessage="1" sqref="K13">
      <formula1>0</formula1>
      <formula2>NaN</formula2>
    </dataValidation>
    <dataValidation type="whole" allowBlank="1" showInputMessage="1" showErrorMessage="1" sqref="K14">
      <formula1>0</formula1>
      <formula2>NaN</formula2>
    </dataValidation>
    <dataValidation type="whole" allowBlank="1" showInputMessage="1" showErrorMessage="1" sqref="K15">
      <formula1>0</formula1>
      <formula2>NaN</formula2>
    </dataValidation>
    <dataValidation type="whole" allowBlank="1" showInputMessage="1" showErrorMessage="1" sqref="K16">
      <formula1>0</formula1>
      <formula2>NaN</formula2>
    </dataValidation>
    <dataValidation type="whole" allowBlank="1" showInputMessage="1" showErrorMessage="1" sqref="K17">
      <formula1>0</formula1>
      <formula2>NaN</formula2>
    </dataValidation>
    <dataValidation type="whole" allowBlank="1" showInputMessage="1" showErrorMessage="1" sqref="K18">
      <formula1>0</formula1>
      <formula2>NaN</formula2>
    </dataValidation>
    <dataValidation type="whole" allowBlank="1" showInputMessage="1" showErrorMessage="1" sqref="K19">
      <formula1>0</formula1>
      <formula2>NaN</formula2>
    </dataValidation>
    <dataValidation type="whole" allowBlank="1" showInputMessage="1" showErrorMessage="1" sqref="K20">
      <formula1>0</formula1>
      <formula2>NaN</formula2>
    </dataValidation>
    <dataValidation type="whole" allowBlank="1" showInputMessage="1" showErrorMessage="1" sqref="K21">
      <formula1>0</formula1>
      <formula2>NaN</formula2>
    </dataValidation>
    <dataValidation type="whole" allowBlank="1" showInputMessage="1" showErrorMessage="1" sqref="K22">
      <formula1>0</formula1>
      <formula2>NaN</formula2>
    </dataValidation>
    <dataValidation type="whole" allowBlank="1" showInputMessage="1" showErrorMessage="1" sqref="K23">
      <formula1>0</formula1>
      <formula2>NaN</formula2>
    </dataValidation>
    <dataValidation type="whole" allowBlank="1" showInputMessage="1" showErrorMessage="1" sqref="K24">
      <formula1>0</formula1>
      <formula2>NaN</formula2>
    </dataValidation>
    <dataValidation type="whole" allowBlank="1" showInputMessage="1" showErrorMessage="1" sqref="K25">
      <formula1>0</formula1>
      <formula2>NaN</formula2>
    </dataValidation>
    <dataValidation type="whole" allowBlank="1" showInputMessage="1" showErrorMessage="1" sqref="K26">
      <formula1>0</formula1>
      <formula2>NaN</formula2>
    </dataValidation>
    <dataValidation type="whole" allowBlank="1" showInputMessage="1" showErrorMessage="1" sqref="K27">
      <formula1>0</formula1>
      <formula2>NaN</formula2>
    </dataValidation>
    <dataValidation type="whole" allowBlank="1" showInputMessage="1" showErrorMessage="1" sqref="K28">
      <formula1>0</formula1>
      <formula2>NaN</formula2>
    </dataValidation>
    <dataValidation type="whole" allowBlank="1" showInputMessage="1" showErrorMessage="1" sqref="K29">
      <formula1>0</formula1>
      <formula2>NaN</formula2>
    </dataValidation>
    <dataValidation type="whole" allowBlank="1" showInputMessage="1" showErrorMessage="1" sqref="K30">
      <formula1>0</formula1>
      <formula2>NaN</formula2>
    </dataValidation>
    <dataValidation type="whole" allowBlank="1" showInputMessage="1" showErrorMessage="1" sqref="K31">
      <formula1>0</formula1>
      <formula2>NaN</formula2>
    </dataValidation>
    <dataValidation type="whole" allowBlank="1" showInputMessage="1" showErrorMessage="1" sqref="K32">
      <formula1>0</formula1>
      <formula2>NaN</formula2>
    </dataValidation>
    <dataValidation type="whole" allowBlank="1" showInputMessage="1" showErrorMessage="1" sqref="K33">
      <formula1>0</formula1>
      <formula2>NaN</formula2>
    </dataValidation>
    <dataValidation type="whole" allowBlank="1" showInputMessage="1" showErrorMessage="1" sqref="K34">
      <formula1>0</formula1>
      <formula2>NaN</formula2>
    </dataValidation>
    <dataValidation type="whole" allowBlank="1" showInputMessage="1" showErrorMessage="1" sqref="K35">
      <formula1>0</formula1>
      <formula2>NaN</formula2>
    </dataValidation>
    <dataValidation type="whole" allowBlank="1" showInputMessage="1" showErrorMessage="1" sqref="K36">
      <formula1>0</formula1>
      <formula2>NaN</formula2>
    </dataValidation>
    <dataValidation type="whole" allowBlank="1" showInputMessage="1" showErrorMessage="1" sqref="K37">
      <formula1>0</formula1>
      <formula2>NaN</formula2>
    </dataValidation>
    <dataValidation type="whole" allowBlank="1" showInputMessage="1" showErrorMessage="1" sqref="K38">
      <formula1>0</formula1>
      <formula2>NaN</formula2>
    </dataValidation>
    <dataValidation type="whole" allowBlank="1" showInputMessage="1" showErrorMessage="1" sqref="K39">
      <formula1>0</formula1>
      <formula2>NaN</formula2>
    </dataValidation>
    <dataValidation type="whole" allowBlank="1" showInputMessage="1" showErrorMessage="1" sqref="K40">
      <formula1>0</formula1>
      <formula2>NaN</formula2>
    </dataValidation>
    <dataValidation type="whole" allowBlank="1" showInputMessage="1" showErrorMessage="1" sqref="K41">
      <formula1>0</formula1>
      <formula2>NaN</formula2>
    </dataValidation>
    <dataValidation type="whole" allowBlank="1" showInputMessage="1" showErrorMessage="1" sqref="K42">
      <formula1>0</formula1>
      <formula2>NaN</formula2>
    </dataValidation>
    <dataValidation type="whole" allowBlank="1" showInputMessage="1" showErrorMessage="1" sqref="K43">
      <formula1>0</formula1>
      <formula2>NaN</formula2>
    </dataValidation>
    <dataValidation type="whole" allowBlank="1" showInputMessage="1" showErrorMessage="1" sqref="K44">
      <formula1>0</formula1>
      <formula2>NaN</formula2>
    </dataValidation>
    <dataValidation type="whole" allowBlank="1" showInputMessage="1" showErrorMessage="1" sqref="K45">
      <formula1>0</formula1>
      <formula2>NaN</formula2>
    </dataValidation>
    <dataValidation type="whole" allowBlank="1" showInputMessage="1" showErrorMessage="1" sqref="K46">
      <formula1>0</formula1>
      <formula2>NaN</formula2>
    </dataValidation>
    <dataValidation type="whole" allowBlank="1" showInputMessage="1" showErrorMessage="1" sqref="K47">
      <formula1>0</formula1>
      <formula2>NaN</formula2>
    </dataValidation>
    <dataValidation type="whole" allowBlank="1" showInputMessage="1" showErrorMessage="1" sqref="K48">
      <formula1>0</formula1>
      <formula2>NaN</formula2>
    </dataValidation>
    <dataValidation type="whole" allowBlank="1" showInputMessage="1" showErrorMessage="1" sqref="K49">
      <formula1>0</formula1>
      <formula2>NaN</formula2>
    </dataValidation>
    <dataValidation type="whole" allowBlank="1" showInputMessage="1" showErrorMessage="1" sqref="K5">
      <formula1>0</formula1>
      <formula2>NaN</formula2>
    </dataValidation>
    <dataValidation type="whole" allowBlank="1" showInputMessage="1" showErrorMessage="1" sqref="K50">
      <formula1>0</formula1>
      <formula2>NaN</formula2>
    </dataValidation>
    <dataValidation type="whole" allowBlank="1" showInputMessage="1" showErrorMessage="1" sqref="K51">
      <formula1>0</formula1>
      <formula2>NaN</formula2>
    </dataValidation>
    <dataValidation type="whole" allowBlank="1" showInputMessage="1" showErrorMessage="1" sqref="K52">
      <formula1>0</formula1>
      <formula2>NaN</formula2>
    </dataValidation>
    <dataValidation type="whole" allowBlank="1" showInputMessage="1" showErrorMessage="1" sqref="K53">
      <formula1>0</formula1>
      <formula2>NaN</formula2>
    </dataValidation>
    <dataValidation type="whole" allowBlank="1" showInputMessage="1" showErrorMessage="1" sqref="K54">
      <formula1>0</formula1>
      <formula2>NaN</formula2>
    </dataValidation>
    <dataValidation type="whole" allowBlank="1" showInputMessage="1" showErrorMessage="1" sqref="K55">
      <formula1>0</formula1>
      <formula2>NaN</formula2>
    </dataValidation>
    <dataValidation type="whole" allowBlank="1" showInputMessage="1" showErrorMessage="1" sqref="K56">
      <formula1>0</formula1>
      <formula2>NaN</formula2>
    </dataValidation>
    <dataValidation type="whole" allowBlank="1" showInputMessage="1" showErrorMessage="1" sqref="K57">
      <formula1>0</formula1>
      <formula2>NaN</formula2>
    </dataValidation>
    <dataValidation type="whole" allowBlank="1" showInputMessage="1" showErrorMessage="1" sqref="K58">
      <formula1>0</formula1>
      <formula2>NaN</formula2>
    </dataValidation>
    <dataValidation type="whole" allowBlank="1" showInputMessage="1" showErrorMessage="1" sqref="K59">
      <formula1>0</formula1>
      <formula2>NaN</formula2>
    </dataValidation>
    <dataValidation type="whole" allowBlank="1" showInputMessage="1" showErrorMessage="1" sqref="K6">
      <formula1>0</formula1>
      <formula2>NaN</formula2>
    </dataValidation>
    <dataValidation type="whole" allowBlank="1" showInputMessage="1" showErrorMessage="1" sqref="K60">
      <formula1>0</formula1>
      <formula2>NaN</formula2>
    </dataValidation>
    <dataValidation type="whole" allowBlank="1" showInputMessage="1" showErrorMessage="1" sqref="K61">
      <formula1>0</formula1>
      <formula2>NaN</formula2>
    </dataValidation>
    <dataValidation type="whole" allowBlank="1" showInputMessage="1" showErrorMessage="1" sqref="K62">
      <formula1>0</formula1>
      <formula2>NaN</formula2>
    </dataValidation>
    <dataValidation type="whole" allowBlank="1" showInputMessage="1" showErrorMessage="1" sqref="K63">
      <formula1>0</formula1>
      <formula2>NaN</formula2>
    </dataValidation>
    <dataValidation type="whole" allowBlank="1" showInputMessage="1" showErrorMessage="1" sqref="K64">
      <formula1>0</formula1>
      <formula2>NaN</formula2>
    </dataValidation>
    <dataValidation type="whole" allowBlank="1" showInputMessage="1" showErrorMessage="1" sqref="K7">
      <formula1>0</formula1>
      <formula2>NaN</formula2>
    </dataValidation>
    <dataValidation type="whole" allowBlank="1" showInputMessage="1" showErrorMessage="1" sqref="K8">
      <formula1>0</formula1>
      <formula2>NaN</formula2>
    </dataValidation>
    <dataValidation type="whole" allowBlank="1" showInputMessage="1" showErrorMessage="1" sqref="K9">
      <formula1>0</formula1>
      <formula2>NaN</formula2>
    </dataValidation>
    <dataValidation type="whole" allowBlank="1" showInputMessage="1" showErrorMessage="1" sqref="L10">
      <formula1>0</formula1>
      <formula2>NaN</formula2>
    </dataValidation>
    <dataValidation type="whole" allowBlank="1" showInputMessage="1" showErrorMessage="1" sqref="L11">
      <formula1>0</formula1>
      <formula2>NaN</formula2>
    </dataValidation>
    <dataValidation type="whole" allowBlank="1" showInputMessage="1" showErrorMessage="1" sqref="L12">
      <formula1>0</formula1>
      <formula2>NaN</formula2>
    </dataValidation>
    <dataValidation type="whole" allowBlank="1" showInputMessage="1" showErrorMessage="1" sqref="L13">
      <formula1>0</formula1>
      <formula2>NaN</formula2>
    </dataValidation>
    <dataValidation type="whole" allowBlank="1" showInputMessage="1" showErrorMessage="1" sqref="L14">
      <formula1>0</formula1>
      <formula2>NaN</formula2>
    </dataValidation>
    <dataValidation type="whole" allowBlank="1" showInputMessage="1" showErrorMessage="1" sqref="L15">
      <formula1>0</formula1>
      <formula2>NaN</formula2>
    </dataValidation>
    <dataValidation type="whole" allowBlank="1" showInputMessage="1" showErrorMessage="1" sqref="L16">
      <formula1>0</formula1>
      <formula2>NaN</formula2>
    </dataValidation>
    <dataValidation type="whole" allowBlank="1" showInputMessage="1" showErrorMessage="1" sqref="L17">
      <formula1>0</formula1>
      <formula2>NaN</formula2>
    </dataValidation>
    <dataValidation type="whole" allowBlank="1" showInputMessage="1" showErrorMessage="1" sqref="L18">
      <formula1>0</formula1>
      <formula2>NaN</formula2>
    </dataValidation>
    <dataValidation type="whole" allowBlank="1" showInputMessage="1" showErrorMessage="1" sqref="L19">
      <formula1>0</formula1>
      <formula2>NaN</formula2>
    </dataValidation>
    <dataValidation type="whole" allowBlank="1" showInputMessage="1" showErrorMessage="1" sqref="L20">
      <formula1>0</formula1>
      <formula2>NaN</formula2>
    </dataValidation>
    <dataValidation type="whole" allowBlank="1" showInputMessage="1" showErrorMessage="1" sqref="L21">
      <formula1>0</formula1>
      <formula2>NaN</formula2>
    </dataValidation>
    <dataValidation type="whole" allowBlank="1" showInputMessage="1" showErrorMessage="1" sqref="L22">
      <formula1>0</formula1>
      <formula2>NaN</formula2>
    </dataValidation>
    <dataValidation type="whole" allowBlank="1" showInputMessage="1" showErrorMessage="1" sqref="L23">
      <formula1>0</formula1>
      <formula2>NaN</formula2>
    </dataValidation>
    <dataValidation type="whole" allowBlank="1" showInputMessage="1" showErrorMessage="1" sqref="L24">
      <formula1>0</formula1>
      <formula2>NaN</formula2>
    </dataValidation>
    <dataValidation type="whole" allowBlank="1" showInputMessage="1" showErrorMessage="1" sqref="L25">
      <formula1>0</formula1>
      <formula2>NaN</formula2>
    </dataValidation>
    <dataValidation type="whole" allowBlank="1" showInputMessage="1" showErrorMessage="1" sqref="L26">
      <formula1>0</formula1>
      <formula2>NaN</formula2>
    </dataValidation>
    <dataValidation type="whole" allowBlank="1" showInputMessage="1" showErrorMessage="1" sqref="L27">
      <formula1>0</formula1>
      <formula2>NaN</formula2>
    </dataValidation>
    <dataValidation type="whole" allowBlank="1" showInputMessage="1" showErrorMessage="1" sqref="L28">
      <formula1>0</formula1>
      <formula2>NaN</formula2>
    </dataValidation>
    <dataValidation type="whole" allowBlank="1" showInputMessage="1" showErrorMessage="1" sqref="L29">
      <formula1>0</formula1>
      <formula2>NaN</formula2>
    </dataValidation>
    <dataValidation type="whole" allowBlank="1" showInputMessage="1" showErrorMessage="1" sqref="L30">
      <formula1>0</formula1>
      <formula2>NaN</formula2>
    </dataValidation>
    <dataValidation type="whole" allowBlank="1" showInputMessage="1" showErrorMessage="1" sqref="L31">
      <formula1>0</formula1>
      <formula2>NaN</formula2>
    </dataValidation>
    <dataValidation type="whole" allowBlank="1" showInputMessage="1" showErrorMessage="1" sqref="L32">
      <formula1>0</formula1>
      <formula2>NaN</formula2>
    </dataValidation>
    <dataValidation type="whole" allowBlank="1" showInputMessage="1" showErrorMessage="1" sqref="L33">
      <formula1>0</formula1>
      <formula2>NaN</formula2>
    </dataValidation>
    <dataValidation type="whole" allowBlank="1" showInputMessage="1" showErrorMessage="1" sqref="L34">
      <formula1>0</formula1>
      <formula2>NaN</formula2>
    </dataValidation>
    <dataValidation type="whole" allowBlank="1" showInputMessage="1" showErrorMessage="1" sqref="L35">
      <formula1>0</formula1>
      <formula2>NaN</formula2>
    </dataValidation>
    <dataValidation type="whole" allowBlank="1" showInputMessage="1" showErrorMessage="1" sqref="L36">
      <formula1>0</formula1>
      <formula2>NaN</formula2>
    </dataValidation>
    <dataValidation type="whole" allowBlank="1" showInputMessage="1" showErrorMessage="1" sqref="L37">
      <formula1>0</formula1>
      <formula2>NaN</formula2>
    </dataValidation>
    <dataValidation type="whole" allowBlank="1" showInputMessage="1" showErrorMessage="1" sqref="L38">
      <formula1>0</formula1>
      <formula2>NaN</formula2>
    </dataValidation>
    <dataValidation type="whole" allowBlank="1" showInputMessage="1" showErrorMessage="1" sqref="L39">
      <formula1>0</formula1>
      <formula2>NaN</formula2>
    </dataValidation>
    <dataValidation type="whole" allowBlank="1" showInputMessage="1" showErrorMessage="1" sqref="L40">
      <formula1>0</formula1>
      <formula2>NaN</formula2>
    </dataValidation>
    <dataValidation type="whole" allowBlank="1" showInputMessage="1" showErrorMessage="1" sqref="L41">
      <formula1>0</formula1>
      <formula2>NaN</formula2>
    </dataValidation>
    <dataValidation type="whole" allowBlank="1" showInputMessage="1" showErrorMessage="1" sqref="L42">
      <formula1>0</formula1>
      <formula2>NaN</formula2>
    </dataValidation>
    <dataValidation type="whole" allowBlank="1" showInputMessage="1" showErrorMessage="1" sqref="L43">
      <formula1>0</formula1>
      <formula2>NaN</formula2>
    </dataValidation>
    <dataValidation type="whole" allowBlank="1" showInputMessage="1" showErrorMessage="1" sqref="L44">
      <formula1>0</formula1>
      <formula2>NaN</formula2>
    </dataValidation>
    <dataValidation type="whole" allowBlank="1" showInputMessage="1" showErrorMessage="1" sqref="L45">
      <formula1>0</formula1>
      <formula2>NaN</formula2>
    </dataValidation>
    <dataValidation type="whole" allowBlank="1" showInputMessage="1" showErrorMessage="1" sqref="L46">
      <formula1>0</formula1>
      <formula2>NaN</formula2>
    </dataValidation>
    <dataValidation type="whole" allowBlank="1" showInputMessage="1" showErrorMessage="1" sqref="L47">
      <formula1>0</formula1>
      <formula2>NaN</formula2>
    </dataValidation>
    <dataValidation type="whole" allowBlank="1" showInputMessage="1" showErrorMessage="1" sqref="L48">
      <formula1>0</formula1>
      <formula2>NaN</formula2>
    </dataValidation>
    <dataValidation type="whole" allowBlank="1" showInputMessage="1" showErrorMessage="1" sqref="L49">
      <formula1>0</formula1>
      <formula2>NaN</formula2>
    </dataValidation>
    <dataValidation type="whole" allowBlank="1" showInputMessage="1" showErrorMessage="1" sqref="L5">
      <formula1>0</formula1>
      <formula2>NaN</formula2>
    </dataValidation>
    <dataValidation type="whole" allowBlank="1" showInputMessage="1" showErrorMessage="1" sqref="L50">
      <formula1>0</formula1>
      <formula2>NaN</formula2>
    </dataValidation>
    <dataValidation type="whole" allowBlank="1" showInputMessage="1" showErrorMessage="1" sqref="L51">
      <formula1>0</formula1>
      <formula2>NaN</formula2>
    </dataValidation>
    <dataValidation type="whole" allowBlank="1" showInputMessage="1" showErrorMessage="1" sqref="L52">
      <formula1>0</formula1>
      <formula2>NaN</formula2>
    </dataValidation>
    <dataValidation type="whole" allowBlank="1" showInputMessage="1" showErrorMessage="1" sqref="L53">
      <formula1>0</formula1>
      <formula2>NaN</formula2>
    </dataValidation>
    <dataValidation type="whole" allowBlank="1" showInputMessage="1" showErrorMessage="1" sqref="L54">
      <formula1>0</formula1>
      <formula2>NaN</formula2>
    </dataValidation>
    <dataValidation type="whole" allowBlank="1" showInputMessage="1" showErrorMessage="1" sqref="L55">
      <formula1>0</formula1>
      <formula2>NaN</formula2>
    </dataValidation>
    <dataValidation type="whole" allowBlank="1" showInputMessage="1" showErrorMessage="1" sqref="L56">
      <formula1>0</formula1>
      <formula2>NaN</formula2>
    </dataValidation>
    <dataValidation type="whole" allowBlank="1" showInputMessage="1" showErrorMessage="1" sqref="L57">
      <formula1>0</formula1>
      <formula2>NaN</formula2>
    </dataValidation>
    <dataValidation type="whole" allowBlank="1" showInputMessage="1" showErrorMessage="1" sqref="L58">
      <formula1>0</formula1>
      <formula2>NaN</formula2>
    </dataValidation>
    <dataValidation type="whole" allowBlank="1" showInputMessage="1" showErrorMessage="1" sqref="L59">
      <formula1>0</formula1>
      <formula2>NaN</formula2>
    </dataValidation>
    <dataValidation type="whole" allowBlank="1" showInputMessage="1" showErrorMessage="1" sqref="L6">
      <formula1>0</formula1>
      <formula2>NaN</formula2>
    </dataValidation>
    <dataValidation type="whole" allowBlank="1" showInputMessage="1" showErrorMessage="1" sqref="L60">
      <formula1>0</formula1>
      <formula2>NaN</formula2>
    </dataValidation>
    <dataValidation type="whole" allowBlank="1" showInputMessage="1" showErrorMessage="1" sqref="L61">
      <formula1>0</formula1>
      <formula2>NaN</formula2>
    </dataValidation>
    <dataValidation type="whole" allowBlank="1" showInputMessage="1" showErrorMessage="1" sqref="L62">
      <formula1>0</formula1>
      <formula2>NaN</formula2>
    </dataValidation>
    <dataValidation type="whole" allowBlank="1" showInputMessage="1" showErrorMessage="1" sqref="L63">
      <formula1>0</formula1>
      <formula2>NaN</formula2>
    </dataValidation>
    <dataValidation type="whole" allowBlank="1" showInputMessage="1" showErrorMessage="1" sqref="L64">
      <formula1>0</formula1>
      <formula2>NaN</formula2>
    </dataValidation>
    <dataValidation type="whole" allowBlank="1" showInputMessage="1" showErrorMessage="1" sqref="L7">
      <formula1>0</formula1>
      <formula2>NaN</formula2>
    </dataValidation>
    <dataValidation type="whole" allowBlank="1" showInputMessage="1" showErrorMessage="1" sqref="L8">
      <formula1>0</formula1>
      <formula2>NaN</formula2>
    </dataValidation>
    <dataValidation type="whole" allowBlank="1" showInputMessage="1" showErrorMessage="1" sqref="L9">
      <formula1>0</formula1>
      <formula2>NaN</formula2>
    </dataValidation>
    <dataValidation type="whole" allowBlank="1" showInputMessage="1" showErrorMessage="1" sqref="M10">
      <formula1>0</formula1>
      <formula2>NaN</formula2>
    </dataValidation>
    <dataValidation type="whole" allowBlank="1" showInputMessage="1" showErrorMessage="1" sqref="M11">
      <formula1>0</formula1>
      <formula2>NaN</formula2>
    </dataValidation>
    <dataValidation type="whole" allowBlank="1" showInputMessage="1" showErrorMessage="1" sqref="M12">
      <formula1>0</formula1>
      <formula2>NaN</formula2>
    </dataValidation>
    <dataValidation type="whole" allowBlank="1" showInputMessage="1" showErrorMessage="1" sqref="M13">
      <formula1>0</formula1>
      <formula2>NaN</formula2>
    </dataValidation>
    <dataValidation type="whole" allowBlank="1" showInputMessage="1" showErrorMessage="1" sqref="M14">
      <formula1>0</formula1>
      <formula2>NaN</formula2>
    </dataValidation>
    <dataValidation type="whole" allowBlank="1" showInputMessage="1" showErrorMessage="1" sqref="M15">
      <formula1>0</formula1>
      <formula2>NaN</formula2>
    </dataValidation>
    <dataValidation type="whole" allowBlank="1" showInputMessage="1" showErrorMessage="1" sqref="M16">
      <formula1>0</formula1>
      <formula2>NaN</formula2>
    </dataValidation>
    <dataValidation type="whole" allowBlank="1" showInputMessage="1" showErrorMessage="1" sqref="M17">
      <formula1>0</formula1>
      <formula2>NaN</formula2>
    </dataValidation>
    <dataValidation type="whole" allowBlank="1" showInputMessage="1" showErrorMessage="1" sqref="M18">
      <formula1>0</formula1>
      <formula2>NaN</formula2>
    </dataValidation>
    <dataValidation type="whole" allowBlank="1" showInputMessage="1" showErrorMessage="1" sqref="M19">
      <formula1>0</formula1>
      <formula2>NaN</formula2>
    </dataValidation>
    <dataValidation type="whole" allowBlank="1" showInputMessage="1" showErrorMessage="1" sqref="M20">
      <formula1>0</formula1>
      <formula2>NaN</formula2>
    </dataValidation>
    <dataValidation type="whole" allowBlank="1" showInputMessage="1" showErrorMessage="1" sqref="M21">
      <formula1>0</formula1>
      <formula2>NaN</formula2>
    </dataValidation>
    <dataValidation type="whole" allowBlank="1" showInputMessage="1" showErrorMessage="1" sqref="M22">
      <formula1>0</formula1>
      <formula2>NaN</formula2>
    </dataValidation>
    <dataValidation type="whole" allowBlank="1" showInputMessage="1" showErrorMessage="1" sqref="M23">
      <formula1>0</formula1>
      <formula2>NaN</formula2>
    </dataValidation>
    <dataValidation type="whole" allowBlank="1" showInputMessage="1" showErrorMessage="1" sqref="M24">
      <formula1>0</formula1>
      <formula2>NaN</formula2>
    </dataValidation>
    <dataValidation type="whole" allowBlank="1" showInputMessage="1" showErrorMessage="1" sqref="M25">
      <formula1>0</formula1>
      <formula2>NaN</formula2>
    </dataValidation>
    <dataValidation type="whole" allowBlank="1" showInputMessage="1" showErrorMessage="1" sqref="M26">
      <formula1>0</formula1>
      <formula2>NaN</formula2>
    </dataValidation>
    <dataValidation type="whole" allowBlank="1" showInputMessage="1" showErrorMessage="1" sqref="M27">
      <formula1>0</formula1>
      <formula2>NaN</formula2>
    </dataValidation>
    <dataValidation type="whole" allowBlank="1" showInputMessage="1" showErrorMessage="1" sqref="M28">
      <formula1>0</formula1>
      <formula2>NaN</formula2>
    </dataValidation>
    <dataValidation type="whole" allowBlank="1" showInputMessage="1" showErrorMessage="1" sqref="M29">
      <formula1>0</formula1>
      <formula2>NaN</formula2>
    </dataValidation>
    <dataValidation type="whole" allowBlank="1" showInputMessage="1" showErrorMessage="1" sqref="M30">
      <formula1>0</formula1>
      <formula2>NaN</formula2>
    </dataValidation>
    <dataValidation type="whole" allowBlank="1" showInputMessage="1" showErrorMessage="1" sqref="M31">
      <formula1>0</formula1>
      <formula2>NaN</formula2>
    </dataValidation>
    <dataValidation type="whole" allowBlank="1" showInputMessage="1" showErrorMessage="1" sqref="M32">
      <formula1>0</formula1>
      <formula2>NaN</formula2>
    </dataValidation>
    <dataValidation type="whole" allowBlank="1" showInputMessage="1" showErrorMessage="1" sqref="M33">
      <formula1>0</formula1>
      <formula2>NaN</formula2>
    </dataValidation>
    <dataValidation type="whole" allowBlank="1" showInputMessage="1" showErrorMessage="1" sqref="M34">
      <formula1>0</formula1>
      <formula2>NaN</formula2>
    </dataValidation>
    <dataValidation type="whole" allowBlank="1" showInputMessage="1" showErrorMessage="1" sqref="M35">
      <formula1>0</formula1>
      <formula2>NaN</formula2>
    </dataValidation>
    <dataValidation type="whole" allowBlank="1" showInputMessage="1" showErrorMessage="1" sqref="M36">
      <formula1>0</formula1>
      <formula2>NaN</formula2>
    </dataValidation>
    <dataValidation type="whole" allowBlank="1" showInputMessage="1" showErrorMessage="1" sqref="M37">
      <formula1>0</formula1>
      <formula2>NaN</formula2>
    </dataValidation>
    <dataValidation type="whole" allowBlank="1" showInputMessage="1" showErrorMessage="1" sqref="M38">
      <formula1>0</formula1>
      <formula2>NaN</formula2>
    </dataValidation>
    <dataValidation type="whole" allowBlank="1" showInputMessage="1" showErrorMessage="1" sqref="M39">
      <formula1>0</formula1>
      <formula2>NaN</formula2>
    </dataValidation>
    <dataValidation type="whole" allowBlank="1" showInputMessage="1" showErrorMessage="1" sqref="M40">
      <formula1>0</formula1>
      <formula2>NaN</formula2>
    </dataValidation>
    <dataValidation type="whole" allowBlank="1" showInputMessage="1" showErrorMessage="1" sqref="M41">
      <formula1>0</formula1>
      <formula2>NaN</formula2>
    </dataValidation>
    <dataValidation type="whole" allowBlank="1" showInputMessage="1" showErrorMessage="1" sqref="M42">
      <formula1>0</formula1>
      <formula2>NaN</formula2>
    </dataValidation>
    <dataValidation type="whole" allowBlank="1" showInputMessage="1" showErrorMessage="1" sqref="M43">
      <formula1>0</formula1>
      <formula2>NaN</formula2>
    </dataValidation>
    <dataValidation type="whole" allowBlank="1" showInputMessage="1" showErrorMessage="1" sqref="M44">
      <formula1>0</formula1>
      <formula2>NaN</formula2>
    </dataValidation>
    <dataValidation type="whole" allowBlank="1" showInputMessage="1" showErrorMessage="1" sqref="M45">
      <formula1>0</formula1>
      <formula2>NaN</formula2>
    </dataValidation>
    <dataValidation type="whole" allowBlank="1" showInputMessage="1" showErrorMessage="1" sqref="M46">
      <formula1>0</formula1>
      <formula2>NaN</formula2>
    </dataValidation>
    <dataValidation type="whole" allowBlank="1" showInputMessage="1" showErrorMessage="1" sqref="M47">
      <formula1>0</formula1>
      <formula2>NaN</formula2>
    </dataValidation>
    <dataValidation type="whole" allowBlank="1" showInputMessage="1" showErrorMessage="1" sqref="M48">
      <formula1>0</formula1>
      <formula2>NaN</formula2>
    </dataValidation>
    <dataValidation type="whole" allowBlank="1" showInputMessage="1" showErrorMessage="1" sqref="M49">
      <formula1>0</formula1>
      <formula2>NaN</formula2>
    </dataValidation>
    <dataValidation type="whole" allowBlank="1" showInputMessage="1" showErrorMessage="1" sqref="M5">
      <formula1>0</formula1>
      <formula2>NaN</formula2>
    </dataValidation>
    <dataValidation type="whole" allowBlank="1" showInputMessage="1" showErrorMessage="1" sqref="M50">
      <formula1>0</formula1>
      <formula2>NaN</formula2>
    </dataValidation>
    <dataValidation type="whole" allowBlank="1" showInputMessage="1" showErrorMessage="1" sqref="M51">
      <formula1>0</formula1>
      <formula2>NaN</formula2>
    </dataValidation>
    <dataValidation type="whole" allowBlank="1" showInputMessage="1" showErrorMessage="1" sqref="M52">
      <formula1>0</formula1>
      <formula2>NaN</formula2>
    </dataValidation>
    <dataValidation type="whole" allowBlank="1" showInputMessage="1" showErrorMessage="1" sqref="M53">
      <formula1>0</formula1>
      <formula2>NaN</formula2>
    </dataValidation>
    <dataValidation type="whole" allowBlank="1" showInputMessage="1" showErrorMessage="1" sqref="M54">
      <formula1>0</formula1>
      <formula2>NaN</formula2>
    </dataValidation>
    <dataValidation type="whole" allowBlank="1" showInputMessage="1" showErrorMessage="1" sqref="M55">
      <formula1>0</formula1>
      <formula2>NaN</formula2>
    </dataValidation>
    <dataValidation type="whole" allowBlank="1" showInputMessage="1" showErrorMessage="1" sqref="M56">
      <formula1>0</formula1>
      <formula2>NaN</formula2>
    </dataValidation>
    <dataValidation type="whole" allowBlank="1" showInputMessage="1" showErrorMessage="1" sqref="M57">
      <formula1>0</formula1>
      <formula2>NaN</formula2>
    </dataValidation>
    <dataValidation type="whole" allowBlank="1" showInputMessage="1" showErrorMessage="1" sqref="M58">
      <formula1>0</formula1>
      <formula2>NaN</formula2>
    </dataValidation>
    <dataValidation type="whole" allowBlank="1" showInputMessage="1" showErrorMessage="1" sqref="M59">
      <formula1>0</formula1>
      <formula2>NaN</formula2>
    </dataValidation>
    <dataValidation type="whole" allowBlank="1" showInputMessage="1" showErrorMessage="1" sqref="M6">
      <formula1>0</formula1>
      <formula2>NaN</formula2>
    </dataValidation>
    <dataValidation type="whole" allowBlank="1" showInputMessage="1" showErrorMessage="1" sqref="M60">
      <formula1>0</formula1>
      <formula2>NaN</formula2>
    </dataValidation>
    <dataValidation type="whole" allowBlank="1" showInputMessage="1" showErrorMessage="1" sqref="M61">
      <formula1>0</formula1>
      <formula2>NaN</formula2>
    </dataValidation>
    <dataValidation type="whole" allowBlank="1" showInputMessage="1" showErrorMessage="1" sqref="M62">
      <formula1>0</formula1>
      <formula2>NaN</formula2>
    </dataValidation>
    <dataValidation type="whole" allowBlank="1" showInputMessage="1" showErrorMessage="1" sqref="M63">
      <formula1>0</formula1>
      <formula2>NaN</formula2>
    </dataValidation>
    <dataValidation type="whole" allowBlank="1" showInputMessage="1" showErrorMessage="1" sqref="M64">
      <formula1>0</formula1>
      <formula2>NaN</formula2>
    </dataValidation>
    <dataValidation type="whole" allowBlank="1" showInputMessage="1" showErrorMessage="1" sqref="M7">
      <formula1>0</formula1>
      <formula2>NaN</formula2>
    </dataValidation>
    <dataValidation type="whole" allowBlank="1" showInputMessage="1" showErrorMessage="1" sqref="M8">
      <formula1>0</formula1>
      <formula2>NaN</formula2>
    </dataValidation>
    <dataValidation type="whole" allowBlank="1" showInputMessage="1" showErrorMessage="1" sqref="M9">
      <formula1>0</formula1>
      <formula2>NaN</formula2>
    </dataValidation>
    <dataValidation type="whole" allowBlank="1" showInputMessage="1" showErrorMessage="1" sqref="N10">
      <formula1>0</formula1>
      <formula2>NaN</formula2>
    </dataValidation>
    <dataValidation type="whole" allowBlank="1" showInputMessage="1" showErrorMessage="1" sqref="N11">
      <formula1>0</formula1>
      <formula2>NaN</formula2>
    </dataValidation>
    <dataValidation type="whole" allowBlank="1" showInputMessage="1" showErrorMessage="1" sqref="N12">
      <formula1>0</formula1>
      <formula2>NaN</formula2>
    </dataValidation>
    <dataValidation type="whole" allowBlank="1" showInputMessage="1" showErrorMessage="1" sqref="N13">
      <formula1>0</formula1>
      <formula2>NaN</formula2>
    </dataValidation>
    <dataValidation type="whole" allowBlank="1" showInputMessage="1" showErrorMessage="1" sqref="N14">
      <formula1>0</formula1>
      <formula2>NaN</formula2>
    </dataValidation>
    <dataValidation type="whole" allowBlank="1" showInputMessage="1" showErrorMessage="1" sqref="N15">
      <formula1>0</formula1>
      <formula2>NaN</formula2>
    </dataValidation>
    <dataValidation type="whole" allowBlank="1" showInputMessage="1" showErrorMessage="1" sqref="N16">
      <formula1>0</formula1>
      <formula2>NaN</formula2>
    </dataValidation>
    <dataValidation type="whole" allowBlank="1" showInputMessage="1" showErrorMessage="1" sqref="N17">
      <formula1>0</formula1>
      <formula2>NaN</formula2>
    </dataValidation>
    <dataValidation type="whole" allowBlank="1" showInputMessage="1" showErrorMessage="1" sqref="N18">
      <formula1>0</formula1>
      <formula2>NaN</formula2>
    </dataValidation>
    <dataValidation type="whole" allowBlank="1" showInputMessage="1" showErrorMessage="1" sqref="N19">
      <formula1>0</formula1>
      <formula2>NaN</formula2>
    </dataValidation>
    <dataValidation type="whole" allowBlank="1" showInputMessage="1" showErrorMessage="1" sqref="N20">
      <formula1>0</formula1>
      <formula2>NaN</formula2>
    </dataValidation>
    <dataValidation type="whole" allowBlank="1" showInputMessage="1" showErrorMessage="1" sqref="N21">
      <formula1>0</formula1>
      <formula2>NaN</formula2>
    </dataValidation>
    <dataValidation type="whole" allowBlank="1" showInputMessage="1" showErrorMessage="1" sqref="N22">
      <formula1>0</formula1>
      <formula2>NaN</formula2>
    </dataValidation>
    <dataValidation type="whole" allowBlank="1" showInputMessage="1" showErrorMessage="1" sqref="N23">
      <formula1>0</formula1>
      <formula2>NaN</formula2>
    </dataValidation>
    <dataValidation type="whole" allowBlank="1" showInputMessage="1" showErrorMessage="1" sqref="N24">
      <formula1>0</formula1>
      <formula2>NaN</formula2>
    </dataValidation>
    <dataValidation type="whole" allowBlank="1" showInputMessage="1" showErrorMessage="1" sqref="N25">
      <formula1>0</formula1>
      <formula2>NaN</formula2>
    </dataValidation>
    <dataValidation type="whole" allowBlank="1" showInputMessage="1" showErrorMessage="1" sqref="N26">
      <formula1>0</formula1>
      <formula2>NaN</formula2>
    </dataValidation>
    <dataValidation type="whole" allowBlank="1" showInputMessage="1" showErrorMessage="1" sqref="N27">
      <formula1>0</formula1>
      <formula2>NaN</formula2>
    </dataValidation>
    <dataValidation type="whole" allowBlank="1" showInputMessage="1" showErrorMessage="1" sqref="N28">
      <formula1>0</formula1>
      <formula2>NaN</formula2>
    </dataValidation>
    <dataValidation type="whole" allowBlank="1" showInputMessage="1" showErrorMessage="1" sqref="N29">
      <formula1>0</formula1>
      <formula2>NaN</formula2>
    </dataValidation>
    <dataValidation type="whole" allowBlank="1" showInputMessage="1" showErrorMessage="1" sqref="N30">
      <formula1>0</formula1>
      <formula2>NaN</formula2>
    </dataValidation>
    <dataValidation type="whole" allowBlank="1" showInputMessage="1" showErrorMessage="1" sqref="N31">
      <formula1>0</formula1>
      <formula2>NaN</formula2>
    </dataValidation>
    <dataValidation type="whole" allowBlank="1" showInputMessage="1" showErrorMessage="1" sqref="N32">
      <formula1>0</formula1>
      <formula2>NaN</formula2>
    </dataValidation>
    <dataValidation type="whole" allowBlank="1" showInputMessage="1" showErrorMessage="1" sqref="N33">
      <formula1>0</formula1>
      <formula2>NaN</formula2>
    </dataValidation>
    <dataValidation type="whole" allowBlank="1" showInputMessage="1" showErrorMessage="1" sqref="N34">
      <formula1>0</formula1>
      <formula2>NaN</formula2>
    </dataValidation>
    <dataValidation type="whole" allowBlank="1" showInputMessage="1" showErrorMessage="1" sqref="N35">
      <formula1>0</formula1>
      <formula2>NaN</formula2>
    </dataValidation>
    <dataValidation type="whole" allowBlank="1" showInputMessage="1" showErrorMessage="1" sqref="N36">
      <formula1>0</formula1>
      <formula2>NaN</formula2>
    </dataValidation>
    <dataValidation type="whole" allowBlank="1" showInputMessage="1" showErrorMessage="1" sqref="N37">
      <formula1>0</formula1>
      <formula2>NaN</formula2>
    </dataValidation>
    <dataValidation type="whole" allowBlank="1" showInputMessage="1" showErrorMessage="1" sqref="N38">
      <formula1>0</formula1>
      <formula2>NaN</formula2>
    </dataValidation>
    <dataValidation type="whole" allowBlank="1" showInputMessage="1" showErrorMessage="1" sqref="N39">
      <formula1>0</formula1>
      <formula2>NaN</formula2>
    </dataValidation>
    <dataValidation type="whole" allowBlank="1" showInputMessage="1" showErrorMessage="1" sqref="N40">
      <formula1>0</formula1>
      <formula2>NaN</formula2>
    </dataValidation>
    <dataValidation type="whole" allowBlank="1" showInputMessage="1" showErrorMessage="1" sqref="N41">
      <formula1>0</formula1>
      <formula2>NaN</formula2>
    </dataValidation>
    <dataValidation type="whole" allowBlank="1" showInputMessage="1" showErrorMessage="1" sqref="N42">
      <formula1>0</formula1>
      <formula2>NaN</formula2>
    </dataValidation>
    <dataValidation type="whole" allowBlank="1" showInputMessage="1" showErrorMessage="1" sqref="N43">
      <formula1>0</formula1>
      <formula2>NaN</formula2>
    </dataValidation>
    <dataValidation type="whole" allowBlank="1" showInputMessage="1" showErrorMessage="1" sqref="N44">
      <formula1>0</formula1>
      <formula2>NaN</formula2>
    </dataValidation>
    <dataValidation type="whole" allowBlank="1" showInputMessage="1" showErrorMessage="1" sqref="N45">
      <formula1>0</formula1>
      <formula2>NaN</formula2>
    </dataValidation>
    <dataValidation type="whole" allowBlank="1" showInputMessage="1" showErrorMessage="1" sqref="N46">
      <formula1>0</formula1>
      <formula2>NaN</formula2>
    </dataValidation>
    <dataValidation type="whole" allowBlank="1" showInputMessage="1" showErrorMessage="1" sqref="N47">
      <formula1>0</formula1>
      <formula2>NaN</formula2>
    </dataValidation>
    <dataValidation type="whole" allowBlank="1" showInputMessage="1" showErrorMessage="1" sqref="N48">
      <formula1>0</formula1>
      <formula2>NaN</formula2>
    </dataValidation>
    <dataValidation type="whole" allowBlank="1" showInputMessage="1" showErrorMessage="1" sqref="N49">
      <formula1>0</formula1>
      <formula2>NaN</formula2>
    </dataValidation>
    <dataValidation type="whole" allowBlank="1" showInputMessage="1" showErrorMessage="1" sqref="N5">
      <formula1>0</formula1>
      <formula2>NaN</formula2>
    </dataValidation>
    <dataValidation type="whole" allowBlank="1" showInputMessage="1" showErrorMessage="1" sqref="N50">
      <formula1>0</formula1>
      <formula2>NaN</formula2>
    </dataValidation>
    <dataValidation type="whole" allowBlank="1" showInputMessage="1" showErrorMessage="1" sqref="N51">
      <formula1>0</formula1>
      <formula2>NaN</formula2>
    </dataValidation>
    <dataValidation type="whole" allowBlank="1" showInputMessage="1" showErrorMessage="1" sqref="N52">
      <formula1>0</formula1>
      <formula2>NaN</formula2>
    </dataValidation>
    <dataValidation type="whole" allowBlank="1" showInputMessage="1" showErrorMessage="1" sqref="N53">
      <formula1>0</formula1>
      <formula2>NaN</formula2>
    </dataValidation>
    <dataValidation type="whole" allowBlank="1" showInputMessage="1" showErrorMessage="1" sqref="N54">
      <formula1>0</formula1>
      <formula2>NaN</formula2>
    </dataValidation>
    <dataValidation type="whole" allowBlank="1" showInputMessage="1" showErrorMessage="1" sqref="N55">
      <formula1>0</formula1>
      <formula2>NaN</formula2>
    </dataValidation>
    <dataValidation type="whole" allowBlank="1" showInputMessage="1" showErrorMessage="1" sqref="N56">
      <formula1>0</formula1>
      <formula2>NaN</formula2>
    </dataValidation>
    <dataValidation type="whole" allowBlank="1" showInputMessage="1" showErrorMessage="1" sqref="N57">
      <formula1>0</formula1>
      <formula2>NaN</formula2>
    </dataValidation>
    <dataValidation type="whole" allowBlank="1" showInputMessage="1" showErrorMessage="1" sqref="N58">
      <formula1>0</formula1>
      <formula2>NaN</formula2>
    </dataValidation>
    <dataValidation type="whole" allowBlank="1" showInputMessage="1" showErrorMessage="1" sqref="N59">
      <formula1>0</formula1>
      <formula2>NaN</formula2>
    </dataValidation>
    <dataValidation type="whole" allowBlank="1" showInputMessage="1" showErrorMessage="1" sqref="N6">
      <formula1>0</formula1>
      <formula2>NaN</formula2>
    </dataValidation>
    <dataValidation type="whole" allowBlank="1" showInputMessage="1" showErrorMessage="1" sqref="N60">
      <formula1>0</formula1>
      <formula2>NaN</formula2>
    </dataValidation>
    <dataValidation type="whole" allowBlank="1" showInputMessage="1" showErrorMessage="1" sqref="N61">
      <formula1>0</formula1>
      <formula2>NaN</formula2>
    </dataValidation>
    <dataValidation type="whole" allowBlank="1" showInputMessage="1" showErrorMessage="1" sqref="N62">
      <formula1>0</formula1>
      <formula2>NaN</formula2>
    </dataValidation>
    <dataValidation type="whole" allowBlank="1" showInputMessage="1" showErrorMessage="1" sqref="N63">
      <formula1>0</formula1>
      <formula2>NaN</formula2>
    </dataValidation>
    <dataValidation type="whole" allowBlank="1" showInputMessage="1" showErrorMessage="1" sqref="N64">
      <formula1>0</formula1>
      <formula2>NaN</formula2>
    </dataValidation>
    <dataValidation type="whole" allowBlank="1" showInputMessage="1" showErrorMessage="1" sqref="N7">
      <formula1>0</formula1>
      <formula2>NaN</formula2>
    </dataValidation>
    <dataValidation type="whole" allowBlank="1" showInputMessage="1" showErrorMessage="1" sqref="N8">
      <formula1>0</formula1>
      <formula2>NaN</formula2>
    </dataValidation>
    <dataValidation type="whole" allowBlank="1" showInputMessage="1" showErrorMessage="1" sqref="N9">
      <formula1>0</formula1>
      <formula2>NaN</formula2>
    </dataValidation>
    <dataValidation type="whole" allowBlank="1" showInputMessage="1" showErrorMessage="1" sqref="Q10">
      <formula1>0</formula1>
      <formula2>NaN</formula2>
    </dataValidation>
    <dataValidation type="whole" allowBlank="1" showInputMessage="1" showErrorMessage="1" sqref="Q11">
      <formula1>0</formula1>
      <formula2>NaN</formula2>
    </dataValidation>
    <dataValidation type="whole" allowBlank="1" showInputMessage="1" showErrorMessage="1" sqref="Q12">
      <formula1>0</formula1>
      <formula2>NaN</formula2>
    </dataValidation>
    <dataValidation type="whole" allowBlank="1" showInputMessage="1" showErrorMessage="1" sqref="Q13">
      <formula1>0</formula1>
      <formula2>NaN</formula2>
    </dataValidation>
    <dataValidation type="whole" allowBlank="1" showInputMessage="1" showErrorMessage="1" sqref="Q14">
      <formula1>0</formula1>
      <formula2>NaN</formula2>
    </dataValidation>
    <dataValidation type="whole" allowBlank="1" showInputMessage="1" showErrorMessage="1" sqref="Q15">
      <formula1>0</formula1>
      <formula2>NaN</formula2>
    </dataValidation>
    <dataValidation type="whole" allowBlank="1" showInputMessage="1" showErrorMessage="1" sqref="Q16">
      <formula1>0</formula1>
      <formula2>NaN</formula2>
    </dataValidation>
    <dataValidation type="whole" allowBlank="1" showInputMessage="1" showErrorMessage="1" sqref="Q17">
      <formula1>0</formula1>
      <formula2>NaN</formula2>
    </dataValidation>
    <dataValidation type="whole" allowBlank="1" showInputMessage="1" showErrorMessage="1" sqref="Q18">
      <formula1>0</formula1>
      <formula2>NaN</formula2>
    </dataValidation>
    <dataValidation type="whole" allowBlank="1" showInputMessage="1" showErrorMessage="1" sqref="Q19">
      <formula1>0</formula1>
      <formula2>NaN</formula2>
    </dataValidation>
    <dataValidation type="whole" allowBlank="1" showInputMessage="1" showErrorMessage="1" sqref="Q20">
      <formula1>0</formula1>
      <formula2>NaN</formula2>
    </dataValidation>
    <dataValidation type="whole" allowBlank="1" showInputMessage="1" showErrorMessage="1" sqref="Q21">
      <formula1>0</formula1>
      <formula2>NaN</formula2>
    </dataValidation>
    <dataValidation type="whole" allowBlank="1" showInputMessage="1" showErrorMessage="1" sqref="Q22">
      <formula1>0</formula1>
      <formula2>NaN</formula2>
    </dataValidation>
    <dataValidation type="whole" allowBlank="1" showInputMessage="1" showErrorMessage="1" sqref="Q23">
      <formula1>0</formula1>
      <formula2>NaN</formula2>
    </dataValidation>
    <dataValidation type="whole" allowBlank="1" showInputMessage="1" showErrorMessage="1" sqref="Q24">
      <formula1>0</formula1>
      <formula2>NaN</formula2>
    </dataValidation>
    <dataValidation type="whole" allowBlank="1" showInputMessage="1" showErrorMessage="1" sqref="Q25">
      <formula1>0</formula1>
      <formula2>NaN</formula2>
    </dataValidation>
    <dataValidation type="whole" allowBlank="1" showInputMessage="1" showErrorMessage="1" sqref="Q26">
      <formula1>0</formula1>
      <formula2>NaN</formula2>
    </dataValidation>
    <dataValidation type="whole" allowBlank="1" showInputMessage="1" showErrorMessage="1" sqref="Q27">
      <formula1>0</formula1>
      <formula2>NaN</formula2>
    </dataValidation>
    <dataValidation type="whole" allowBlank="1" showInputMessage="1" showErrorMessage="1" sqref="Q28">
      <formula1>0</formula1>
      <formula2>NaN</formula2>
    </dataValidation>
    <dataValidation type="whole" allowBlank="1" showInputMessage="1" showErrorMessage="1" sqref="Q29">
      <formula1>0</formula1>
      <formula2>NaN</formula2>
    </dataValidation>
    <dataValidation type="whole" allowBlank="1" showInputMessage="1" showErrorMessage="1" sqref="Q30">
      <formula1>0</formula1>
      <formula2>NaN</formula2>
    </dataValidation>
    <dataValidation type="whole" allowBlank="1" showInputMessage="1" showErrorMessage="1" sqref="Q31">
      <formula1>0</formula1>
      <formula2>NaN</formula2>
    </dataValidation>
    <dataValidation type="whole" allowBlank="1" showInputMessage="1" showErrorMessage="1" sqref="Q32">
      <formula1>0</formula1>
      <formula2>NaN</formula2>
    </dataValidation>
    <dataValidation type="whole" allowBlank="1" showInputMessage="1" showErrorMessage="1" sqref="Q33">
      <formula1>0</formula1>
      <formula2>NaN</formula2>
    </dataValidation>
    <dataValidation type="whole" allowBlank="1" showInputMessage="1" showErrorMessage="1" sqref="Q34">
      <formula1>0</formula1>
      <formula2>NaN</formula2>
    </dataValidation>
    <dataValidation type="whole" allowBlank="1" showInputMessage="1" showErrorMessage="1" sqref="Q35">
      <formula1>0</formula1>
      <formula2>NaN</formula2>
    </dataValidation>
    <dataValidation type="whole" allowBlank="1" showInputMessage="1" showErrorMessage="1" sqref="Q36">
      <formula1>0</formula1>
      <formula2>NaN</formula2>
    </dataValidation>
    <dataValidation type="whole" allowBlank="1" showInputMessage="1" showErrorMessage="1" sqref="Q37">
      <formula1>0</formula1>
      <formula2>NaN</formula2>
    </dataValidation>
    <dataValidation type="whole" allowBlank="1" showInputMessage="1" showErrorMessage="1" sqref="Q38">
      <formula1>0</formula1>
      <formula2>NaN</formula2>
    </dataValidation>
    <dataValidation type="whole" allowBlank="1" showInputMessage="1" showErrorMessage="1" sqref="Q39">
      <formula1>0</formula1>
      <formula2>NaN</formula2>
    </dataValidation>
    <dataValidation showInputMessage="1" prompt="Input possible highest score here" showErrorMessage="1" sqref="Q4:Z4"/>
    <dataValidation type="whole" allowBlank="1" showInputMessage="1" showErrorMessage="1" sqref="Q40">
      <formula1>0</formula1>
      <formula2>NaN</formula2>
    </dataValidation>
    <dataValidation type="whole" allowBlank="1" showInputMessage="1" showErrorMessage="1" sqref="Q41">
      <formula1>0</formula1>
      <formula2>NaN</formula2>
    </dataValidation>
    <dataValidation type="whole" allowBlank="1" showInputMessage="1" showErrorMessage="1" sqref="Q42">
      <formula1>0</formula1>
      <formula2>NaN</formula2>
    </dataValidation>
    <dataValidation type="whole" allowBlank="1" showInputMessage="1" showErrorMessage="1" sqref="Q43">
      <formula1>0</formula1>
      <formula2>NaN</formula2>
    </dataValidation>
    <dataValidation type="whole" allowBlank="1" showInputMessage="1" showErrorMessage="1" sqref="Q44">
      <formula1>0</formula1>
      <formula2>NaN</formula2>
    </dataValidation>
    <dataValidation type="whole" allowBlank="1" showInputMessage="1" showErrorMessage="1" sqref="Q45">
      <formula1>0</formula1>
      <formula2>NaN</formula2>
    </dataValidation>
    <dataValidation type="whole" allowBlank="1" showInputMessage="1" showErrorMessage="1" sqref="Q46">
      <formula1>0</formula1>
      <formula2>NaN</formula2>
    </dataValidation>
    <dataValidation type="whole" allowBlank="1" showInputMessage="1" showErrorMessage="1" sqref="Q47">
      <formula1>0</formula1>
      <formula2>NaN</formula2>
    </dataValidation>
    <dataValidation type="whole" allowBlank="1" showInputMessage="1" showErrorMessage="1" sqref="Q48">
      <formula1>0</formula1>
      <formula2>NaN</formula2>
    </dataValidation>
    <dataValidation type="whole" allowBlank="1" showInputMessage="1" showErrorMessage="1" sqref="Q49">
      <formula1>0</formula1>
      <formula2>NaN</formula2>
    </dataValidation>
    <dataValidation type="whole" allowBlank="1" showInputMessage="1" showErrorMessage="1" sqref="Q5">
      <formula1>0</formula1>
      <formula2>NaN</formula2>
    </dataValidation>
    <dataValidation type="whole" allowBlank="1" showInputMessage="1" showErrorMessage="1" sqref="Q50">
      <formula1>0</formula1>
      <formula2>NaN</formula2>
    </dataValidation>
    <dataValidation type="whole" allowBlank="1" showInputMessage="1" showErrorMessage="1" sqref="Q51">
      <formula1>0</formula1>
      <formula2>NaN</formula2>
    </dataValidation>
    <dataValidation type="whole" allowBlank="1" showInputMessage="1" showErrorMessage="1" sqref="Q52">
      <formula1>0</formula1>
      <formula2>NaN</formula2>
    </dataValidation>
    <dataValidation type="whole" allowBlank="1" showInputMessage="1" showErrorMessage="1" sqref="Q53">
      <formula1>0</formula1>
      <formula2>NaN</formula2>
    </dataValidation>
    <dataValidation type="whole" allowBlank="1" showInputMessage="1" showErrorMessage="1" sqref="Q54">
      <formula1>0</formula1>
      <formula2>NaN</formula2>
    </dataValidation>
    <dataValidation type="whole" allowBlank="1" showInputMessage="1" showErrorMessage="1" sqref="Q55">
      <formula1>0</formula1>
      <formula2>NaN</formula2>
    </dataValidation>
    <dataValidation type="whole" allowBlank="1" showInputMessage="1" showErrorMessage="1" sqref="Q56">
      <formula1>0</formula1>
      <formula2>NaN</formula2>
    </dataValidation>
    <dataValidation type="whole" allowBlank="1" showInputMessage="1" showErrorMessage="1" sqref="Q57">
      <formula1>0</formula1>
      <formula2>NaN</formula2>
    </dataValidation>
    <dataValidation type="whole" allowBlank="1" showInputMessage="1" showErrorMessage="1" sqref="Q58">
      <formula1>0</formula1>
      <formula2>NaN</formula2>
    </dataValidation>
    <dataValidation type="whole" allowBlank="1" showInputMessage="1" showErrorMessage="1" sqref="Q59">
      <formula1>0</formula1>
      <formula2>NaN</formula2>
    </dataValidation>
    <dataValidation type="whole" allowBlank="1" showInputMessage="1" showErrorMessage="1" sqref="Q6">
      <formula1>0</formula1>
      <formula2>NaN</formula2>
    </dataValidation>
    <dataValidation type="whole" allowBlank="1" showInputMessage="1" showErrorMessage="1" sqref="Q60">
      <formula1>0</formula1>
      <formula2>NaN</formula2>
    </dataValidation>
    <dataValidation type="whole" allowBlank="1" showInputMessage="1" showErrorMessage="1" sqref="Q61">
      <formula1>0</formula1>
      <formula2>NaN</formula2>
    </dataValidation>
    <dataValidation type="whole" allowBlank="1" showInputMessage="1" showErrorMessage="1" sqref="Q62">
      <formula1>0</formula1>
      <formula2>NaN</formula2>
    </dataValidation>
    <dataValidation type="whole" allowBlank="1" showInputMessage="1" showErrorMessage="1" sqref="Q63">
      <formula1>0</formula1>
      <formula2>NaN</formula2>
    </dataValidation>
    <dataValidation type="whole" allowBlank="1" showInputMessage="1" showErrorMessage="1" sqref="Q64">
      <formula1>0</formula1>
      <formula2>NaN</formula2>
    </dataValidation>
    <dataValidation type="whole" allowBlank="1" showInputMessage="1" showErrorMessage="1" sqref="Q7">
      <formula1>0</formula1>
      <formula2>NaN</formula2>
    </dataValidation>
    <dataValidation type="whole" allowBlank="1" showInputMessage="1" showErrorMessage="1" sqref="Q8">
      <formula1>0</formula1>
      <formula2>NaN</formula2>
    </dataValidation>
    <dataValidation type="whole" allowBlank="1" showInputMessage="1" showErrorMessage="1" sqref="Q9">
      <formula1>0</formula1>
      <formula2>NaN</formula2>
    </dataValidation>
    <dataValidation type="whole" allowBlank="1" showInputMessage="1" showErrorMessage="1" sqref="R10">
      <formula1>0</formula1>
      <formula2>NaN</formula2>
    </dataValidation>
    <dataValidation type="whole" allowBlank="1" showInputMessage="1" showErrorMessage="1" sqref="R11">
      <formula1>0</formula1>
      <formula2>NaN</formula2>
    </dataValidation>
    <dataValidation type="whole" allowBlank="1" showInputMessage="1" showErrorMessage="1" sqref="R12">
      <formula1>0</formula1>
      <formula2>NaN</formula2>
    </dataValidation>
    <dataValidation type="whole" allowBlank="1" showInputMessage="1" showErrorMessage="1" sqref="R13">
      <formula1>0</formula1>
      <formula2>NaN</formula2>
    </dataValidation>
    <dataValidation type="whole" allowBlank="1" showInputMessage="1" showErrorMessage="1" sqref="R14">
      <formula1>0</formula1>
      <formula2>NaN</formula2>
    </dataValidation>
    <dataValidation type="whole" allowBlank="1" showInputMessage="1" showErrorMessage="1" sqref="R15">
      <formula1>0</formula1>
      <formula2>NaN</formula2>
    </dataValidation>
    <dataValidation type="whole" allowBlank="1" showInputMessage="1" showErrorMessage="1" sqref="R16">
      <formula1>0</formula1>
      <formula2>NaN</formula2>
    </dataValidation>
    <dataValidation type="whole" allowBlank="1" showInputMessage="1" showErrorMessage="1" sqref="R17">
      <formula1>0</formula1>
      <formula2>NaN</formula2>
    </dataValidation>
    <dataValidation type="whole" allowBlank="1" showInputMessage="1" showErrorMessage="1" sqref="R18">
      <formula1>0</formula1>
      <formula2>NaN</formula2>
    </dataValidation>
    <dataValidation type="whole" allowBlank="1" showInputMessage="1" showErrorMessage="1" sqref="R19">
      <formula1>0</formula1>
      <formula2>NaN</formula2>
    </dataValidation>
    <dataValidation type="whole" allowBlank="1" showInputMessage="1" showErrorMessage="1" sqref="R20">
      <formula1>0</formula1>
      <formula2>NaN</formula2>
    </dataValidation>
    <dataValidation type="whole" allowBlank="1" showInputMessage="1" showErrorMessage="1" sqref="R21">
      <formula1>0</formula1>
      <formula2>NaN</formula2>
    </dataValidation>
    <dataValidation type="whole" allowBlank="1" showInputMessage="1" showErrorMessage="1" sqref="R22">
      <formula1>0</formula1>
      <formula2>NaN</formula2>
    </dataValidation>
    <dataValidation type="whole" allowBlank="1" showInputMessage="1" showErrorMessage="1" sqref="R23">
      <formula1>0</formula1>
      <formula2>NaN</formula2>
    </dataValidation>
    <dataValidation type="whole" allowBlank="1" showInputMessage="1" showErrorMessage="1" sqref="R24">
      <formula1>0</formula1>
      <formula2>NaN</formula2>
    </dataValidation>
    <dataValidation type="whole" allowBlank="1" showInputMessage="1" showErrorMessage="1" sqref="R25">
      <formula1>0</formula1>
      <formula2>NaN</formula2>
    </dataValidation>
    <dataValidation type="whole" allowBlank="1" showInputMessage="1" showErrorMessage="1" sqref="R26">
      <formula1>0</formula1>
      <formula2>NaN</formula2>
    </dataValidation>
    <dataValidation type="whole" allowBlank="1" showInputMessage="1" showErrorMessage="1" sqref="R27">
      <formula1>0</formula1>
      <formula2>NaN</formula2>
    </dataValidation>
    <dataValidation type="whole" allowBlank="1" showInputMessage="1" showErrorMessage="1" sqref="R28">
      <formula1>0</formula1>
      <formula2>NaN</formula2>
    </dataValidation>
    <dataValidation type="whole" allowBlank="1" showInputMessage="1" showErrorMessage="1" sqref="R29">
      <formula1>0</formula1>
      <formula2>NaN</formula2>
    </dataValidation>
    <dataValidation type="whole" allowBlank="1" showInputMessage="1" showErrorMessage="1" sqref="R30">
      <formula1>0</formula1>
      <formula2>NaN</formula2>
    </dataValidation>
    <dataValidation type="whole" allowBlank="1" showInputMessage="1" showErrorMessage="1" sqref="R31">
      <formula1>0</formula1>
      <formula2>NaN</formula2>
    </dataValidation>
    <dataValidation type="whole" allowBlank="1" showInputMessage="1" showErrorMessage="1" sqref="R32">
      <formula1>0</formula1>
      <formula2>NaN</formula2>
    </dataValidation>
    <dataValidation type="whole" allowBlank="1" showInputMessage="1" showErrorMessage="1" sqref="R33">
      <formula1>0</formula1>
      <formula2>NaN</formula2>
    </dataValidation>
    <dataValidation type="whole" allowBlank="1" showInputMessage="1" showErrorMessage="1" sqref="R34">
      <formula1>0</formula1>
      <formula2>NaN</formula2>
    </dataValidation>
    <dataValidation type="whole" allowBlank="1" showInputMessage="1" showErrorMessage="1" sqref="R35">
      <formula1>0</formula1>
      <formula2>NaN</formula2>
    </dataValidation>
    <dataValidation type="whole" allowBlank="1" showInputMessage="1" showErrorMessage="1" sqref="R36">
      <formula1>0</formula1>
      <formula2>NaN</formula2>
    </dataValidation>
    <dataValidation type="whole" allowBlank="1" showInputMessage="1" showErrorMessage="1" sqref="R37">
      <formula1>0</formula1>
      <formula2>NaN</formula2>
    </dataValidation>
    <dataValidation type="whole" allowBlank="1" showInputMessage="1" showErrorMessage="1" sqref="R38">
      <formula1>0</formula1>
      <formula2>NaN</formula2>
    </dataValidation>
    <dataValidation type="whole" allowBlank="1" showInputMessage="1" showErrorMessage="1" sqref="R39">
      <formula1>0</formula1>
      <formula2>NaN</formula2>
    </dataValidation>
    <dataValidation type="whole" allowBlank="1" showInputMessage="1" showErrorMessage="1" sqref="R40">
      <formula1>0</formula1>
      <formula2>NaN</formula2>
    </dataValidation>
    <dataValidation type="whole" allowBlank="1" showInputMessage="1" showErrorMessage="1" sqref="R41">
      <formula1>0</formula1>
      <formula2>NaN</formula2>
    </dataValidation>
    <dataValidation type="whole" allowBlank="1" showInputMessage="1" showErrorMessage="1" sqref="R42">
      <formula1>0</formula1>
      <formula2>NaN</formula2>
    </dataValidation>
    <dataValidation type="whole" allowBlank="1" showInputMessage="1" showErrorMessage="1" sqref="R43">
      <formula1>0</formula1>
      <formula2>NaN</formula2>
    </dataValidation>
    <dataValidation type="whole" allowBlank="1" showInputMessage="1" showErrorMessage="1" sqref="R44">
      <formula1>0</formula1>
      <formula2>NaN</formula2>
    </dataValidation>
    <dataValidation type="whole" allowBlank="1" showInputMessage="1" showErrorMessage="1" sqref="R45">
      <formula1>0</formula1>
      <formula2>NaN</formula2>
    </dataValidation>
    <dataValidation type="whole" allowBlank="1" showInputMessage="1" showErrorMessage="1" sqref="R46">
      <formula1>0</formula1>
      <formula2>NaN</formula2>
    </dataValidation>
    <dataValidation type="whole" allowBlank="1" showInputMessage="1" showErrorMessage="1" sqref="R47">
      <formula1>0</formula1>
      <formula2>NaN</formula2>
    </dataValidation>
    <dataValidation type="whole" allowBlank="1" showInputMessage="1" showErrorMessage="1" sqref="R48">
      <formula1>0</formula1>
      <formula2>NaN</formula2>
    </dataValidation>
    <dataValidation type="whole" allowBlank="1" showInputMessage="1" showErrorMessage="1" sqref="R49">
      <formula1>0</formula1>
      <formula2>NaN</formula2>
    </dataValidation>
    <dataValidation type="whole" allowBlank="1" showInputMessage="1" showErrorMessage="1" sqref="R5">
      <formula1>0</formula1>
      <formula2>NaN</formula2>
    </dataValidation>
    <dataValidation type="whole" allowBlank="1" showInputMessage="1" showErrorMessage="1" sqref="R50">
      <formula1>0</formula1>
      <formula2>NaN</formula2>
    </dataValidation>
    <dataValidation type="whole" allowBlank="1" showInputMessage="1" showErrorMessage="1" sqref="R51">
      <formula1>0</formula1>
      <formula2>NaN</formula2>
    </dataValidation>
    <dataValidation type="whole" allowBlank="1" showInputMessage="1" showErrorMessage="1" sqref="R52">
      <formula1>0</formula1>
      <formula2>NaN</formula2>
    </dataValidation>
    <dataValidation type="whole" allowBlank="1" showInputMessage="1" showErrorMessage="1" sqref="R53">
      <formula1>0</formula1>
      <formula2>NaN</formula2>
    </dataValidation>
    <dataValidation type="whole" allowBlank="1" showInputMessage="1" showErrorMessage="1" sqref="R54">
      <formula1>0</formula1>
      <formula2>NaN</formula2>
    </dataValidation>
    <dataValidation type="whole" allowBlank="1" showInputMessage="1" showErrorMessage="1" sqref="R55">
      <formula1>0</formula1>
      <formula2>NaN</formula2>
    </dataValidation>
    <dataValidation type="whole" allowBlank="1" showInputMessage="1" showErrorMessage="1" sqref="R56">
      <formula1>0</formula1>
      <formula2>NaN</formula2>
    </dataValidation>
    <dataValidation type="whole" allowBlank="1" showInputMessage="1" showErrorMessage="1" sqref="R57">
      <formula1>0</formula1>
      <formula2>NaN</formula2>
    </dataValidation>
    <dataValidation type="whole" allowBlank="1" showInputMessage="1" showErrorMessage="1" sqref="R58">
      <formula1>0</formula1>
      <formula2>NaN</formula2>
    </dataValidation>
    <dataValidation type="whole" allowBlank="1" showInputMessage="1" showErrorMessage="1" sqref="R59">
      <formula1>0</formula1>
      <formula2>NaN</formula2>
    </dataValidation>
    <dataValidation type="whole" allowBlank="1" showInputMessage="1" showErrorMessage="1" sqref="R6">
      <formula1>0</formula1>
      <formula2>NaN</formula2>
    </dataValidation>
    <dataValidation type="whole" allowBlank="1" showInputMessage="1" showErrorMessage="1" sqref="R60">
      <formula1>0</formula1>
      <formula2>NaN</formula2>
    </dataValidation>
    <dataValidation type="whole" allowBlank="1" showInputMessage="1" showErrorMessage="1" sqref="R61">
      <formula1>0</formula1>
      <formula2>NaN</formula2>
    </dataValidation>
    <dataValidation type="whole" allowBlank="1" showInputMessage="1" showErrorMessage="1" sqref="R62">
      <formula1>0</formula1>
      <formula2>NaN</formula2>
    </dataValidation>
    <dataValidation type="whole" allowBlank="1" showInputMessage="1" showErrorMessage="1" sqref="R63">
      <formula1>0</formula1>
      <formula2>NaN</formula2>
    </dataValidation>
    <dataValidation type="whole" allowBlank="1" showInputMessage="1" showErrorMessage="1" sqref="R64">
      <formula1>0</formula1>
      <formula2>NaN</formula2>
    </dataValidation>
    <dataValidation type="whole" allowBlank="1" showInputMessage="1" showErrorMessage="1" sqref="R7">
      <formula1>0</formula1>
      <formula2>NaN</formula2>
    </dataValidation>
    <dataValidation type="whole" allowBlank="1" showInputMessage="1" showErrorMessage="1" sqref="R8">
      <formula1>0</formula1>
      <formula2>NaN</formula2>
    </dataValidation>
    <dataValidation type="whole" allowBlank="1" showInputMessage="1" showErrorMessage="1" sqref="R9">
      <formula1>0</formula1>
      <formula2>NaN</formula2>
    </dataValidation>
    <dataValidation type="whole" allowBlank="1" showInputMessage="1" showErrorMessage="1" sqref="S10">
      <formula1>0</formula1>
      <formula2>NaN</formula2>
    </dataValidation>
    <dataValidation type="whole" allowBlank="1" showInputMessage="1" showErrorMessage="1" sqref="S11">
      <formula1>0</formula1>
      <formula2>NaN</formula2>
    </dataValidation>
    <dataValidation type="whole" allowBlank="1" showInputMessage="1" showErrorMessage="1" sqref="S12">
      <formula1>0</formula1>
      <formula2>NaN</formula2>
    </dataValidation>
    <dataValidation type="whole" allowBlank="1" showInputMessage="1" showErrorMessage="1" sqref="S13">
      <formula1>0</formula1>
      <formula2>NaN</formula2>
    </dataValidation>
    <dataValidation type="whole" allowBlank="1" showInputMessage="1" showErrorMessage="1" sqref="S14">
      <formula1>0</formula1>
      <formula2>NaN</formula2>
    </dataValidation>
    <dataValidation type="whole" allowBlank="1" showInputMessage="1" showErrorMessage="1" sqref="S15">
      <formula1>0</formula1>
      <formula2>NaN</formula2>
    </dataValidation>
    <dataValidation type="whole" allowBlank="1" showInputMessage="1" showErrorMessage="1" sqref="S16">
      <formula1>0</formula1>
      <formula2>NaN</formula2>
    </dataValidation>
    <dataValidation type="whole" allowBlank="1" showInputMessage="1" showErrorMessage="1" sqref="S17">
      <formula1>0</formula1>
      <formula2>NaN</formula2>
    </dataValidation>
    <dataValidation type="whole" allowBlank="1" showInputMessage="1" showErrorMessage="1" sqref="S18">
      <formula1>0</formula1>
      <formula2>NaN</formula2>
    </dataValidation>
    <dataValidation type="whole" allowBlank="1" showInputMessage="1" showErrorMessage="1" sqref="S19">
      <formula1>0</formula1>
      <formula2>NaN</formula2>
    </dataValidation>
    <dataValidation type="whole" allowBlank="1" showInputMessage="1" showErrorMessage="1" sqref="S20">
      <formula1>0</formula1>
      <formula2>NaN</formula2>
    </dataValidation>
    <dataValidation type="whole" allowBlank="1" showInputMessage="1" showErrorMessage="1" sqref="S21">
      <formula1>0</formula1>
      <formula2>NaN</formula2>
    </dataValidation>
    <dataValidation type="whole" allowBlank="1" showInputMessage="1" showErrorMessage="1" sqref="S22">
      <formula1>0</formula1>
      <formula2>NaN</formula2>
    </dataValidation>
    <dataValidation type="whole" allowBlank="1" showInputMessage="1" showErrorMessage="1" sqref="S23">
      <formula1>0</formula1>
      <formula2>NaN</formula2>
    </dataValidation>
    <dataValidation type="whole" allowBlank="1" showInputMessage="1" showErrorMessage="1" sqref="S24">
      <formula1>0</formula1>
      <formula2>NaN</formula2>
    </dataValidation>
    <dataValidation type="whole" allowBlank="1" showInputMessage="1" showErrorMessage="1" sqref="S25">
      <formula1>0</formula1>
      <formula2>NaN</formula2>
    </dataValidation>
    <dataValidation type="whole" allowBlank="1" showInputMessage="1" showErrorMessage="1" sqref="S26">
      <formula1>0</formula1>
      <formula2>NaN</formula2>
    </dataValidation>
    <dataValidation type="whole" allowBlank="1" showInputMessage="1" showErrorMessage="1" sqref="S27">
      <formula1>0</formula1>
      <formula2>NaN</formula2>
    </dataValidation>
    <dataValidation type="whole" allowBlank="1" showInputMessage="1" showErrorMessage="1" sqref="S28">
      <formula1>0</formula1>
      <formula2>NaN</formula2>
    </dataValidation>
    <dataValidation type="whole" allowBlank="1" showInputMessage="1" showErrorMessage="1" sqref="S29">
      <formula1>0</formula1>
      <formula2>NaN</formula2>
    </dataValidation>
    <dataValidation type="whole" allowBlank="1" showInputMessage="1" showErrorMessage="1" sqref="S30">
      <formula1>0</formula1>
      <formula2>NaN</formula2>
    </dataValidation>
    <dataValidation type="whole" allowBlank="1" showInputMessage="1" showErrorMessage="1" sqref="S31">
      <formula1>0</formula1>
      <formula2>NaN</formula2>
    </dataValidation>
    <dataValidation type="whole" allowBlank="1" showInputMessage="1" showErrorMessage="1" sqref="S32">
      <formula1>0</formula1>
      <formula2>NaN</formula2>
    </dataValidation>
    <dataValidation type="whole" allowBlank="1" showInputMessage="1" showErrorMessage="1" sqref="S33">
      <formula1>0</formula1>
      <formula2>NaN</formula2>
    </dataValidation>
    <dataValidation type="whole" allowBlank="1" showInputMessage="1" showErrorMessage="1" sqref="S34">
      <formula1>0</formula1>
      <formula2>NaN</formula2>
    </dataValidation>
    <dataValidation type="whole" allowBlank="1" showInputMessage="1" showErrorMessage="1" sqref="S35">
      <formula1>0</formula1>
      <formula2>NaN</formula2>
    </dataValidation>
    <dataValidation type="whole" allowBlank="1" showInputMessage="1" showErrorMessage="1" sqref="S36">
      <formula1>0</formula1>
      <formula2>NaN</formula2>
    </dataValidation>
    <dataValidation type="whole" allowBlank="1" showInputMessage="1" showErrorMessage="1" sqref="S37">
      <formula1>0</formula1>
      <formula2>NaN</formula2>
    </dataValidation>
    <dataValidation type="whole" allowBlank="1" showInputMessage="1" showErrorMessage="1" sqref="S38">
      <formula1>0</formula1>
      <formula2>NaN</formula2>
    </dataValidation>
    <dataValidation type="whole" allowBlank="1" showInputMessage="1" showErrorMessage="1" sqref="S39">
      <formula1>0</formula1>
      <formula2>NaN</formula2>
    </dataValidation>
    <dataValidation type="whole" allowBlank="1" showInputMessage="1" showErrorMessage="1" sqref="S40">
      <formula1>0</formula1>
      <formula2>NaN</formula2>
    </dataValidation>
    <dataValidation type="whole" allowBlank="1" showInputMessage="1" showErrorMessage="1" sqref="S41">
      <formula1>0</formula1>
      <formula2>NaN</formula2>
    </dataValidation>
    <dataValidation type="whole" allowBlank="1" showInputMessage="1" showErrorMessage="1" sqref="S42">
      <formula1>0</formula1>
      <formula2>NaN</formula2>
    </dataValidation>
    <dataValidation type="whole" allowBlank="1" showInputMessage="1" showErrorMessage="1" sqref="S43">
      <formula1>0</formula1>
      <formula2>NaN</formula2>
    </dataValidation>
    <dataValidation type="whole" allowBlank="1" showInputMessage="1" showErrorMessage="1" sqref="S44">
      <formula1>0</formula1>
      <formula2>NaN</formula2>
    </dataValidation>
    <dataValidation type="whole" allowBlank="1" showInputMessage="1" showErrorMessage="1" sqref="S45">
      <formula1>0</formula1>
      <formula2>NaN</formula2>
    </dataValidation>
    <dataValidation type="whole" allowBlank="1" showInputMessage="1" showErrorMessage="1" sqref="S46">
      <formula1>0</formula1>
      <formula2>NaN</formula2>
    </dataValidation>
    <dataValidation type="whole" allowBlank="1" showInputMessage="1" showErrorMessage="1" sqref="S47">
      <formula1>0</formula1>
      <formula2>NaN</formula2>
    </dataValidation>
    <dataValidation type="whole" allowBlank="1" showInputMessage="1" showErrorMessage="1" sqref="S48">
      <formula1>0</formula1>
      <formula2>NaN</formula2>
    </dataValidation>
    <dataValidation type="whole" allowBlank="1" showInputMessage="1" showErrorMessage="1" sqref="S49">
      <formula1>0</formula1>
      <formula2>NaN</formula2>
    </dataValidation>
    <dataValidation type="whole" allowBlank="1" showInputMessage="1" showErrorMessage="1" sqref="S5">
      <formula1>0</formula1>
      <formula2>NaN</formula2>
    </dataValidation>
    <dataValidation type="whole" allowBlank="1" showInputMessage="1" showErrorMessage="1" sqref="S50">
      <formula1>0</formula1>
      <formula2>NaN</formula2>
    </dataValidation>
    <dataValidation type="whole" allowBlank="1" showInputMessage="1" showErrorMessage="1" sqref="S51">
      <formula1>0</formula1>
      <formula2>NaN</formula2>
    </dataValidation>
    <dataValidation type="whole" allowBlank="1" showInputMessage="1" showErrorMessage="1" sqref="S52">
      <formula1>0</formula1>
      <formula2>NaN</formula2>
    </dataValidation>
    <dataValidation type="whole" allowBlank="1" showInputMessage="1" showErrorMessage="1" sqref="S53">
      <formula1>0</formula1>
      <formula2>NaN</formula2>
    </dataValidation>
    <dataValidation type="whole" allowBlank="1" showInputMessage="1" showErrorMessage="1" sqref="S54">
      <formula1>0</formula1>
      <formula2>NaN</formula2>
    </dataValidation>
    <dataValidation type="whole" allowBlank="1" showInputMessage="1" showErrorMessage="1" sqref="S55">
      <formula1>0</formula1>
      <formula2>NaN</formula2>
    </dataValidation>
    <dataValidation type="whole" allowBlank="1" showInputMessage="1" showErrorMessage="1" sqref="S56">
      <formula1>0</formula1>
      <formula2>NaN</formula2>
    </dataValidation>
    <dataValidation type="whole" allowBlank="1" showInputMessage="1" showErrorMessage="1" sqref="S57">
      <formula1>0</formula1>
      <formula2>NaN</formula2>
    </dataValidation>
    <dataValidation type="whole" allowBlank="1" showInputMessage="1" showErrorMessage="1" sqref="S58">
      <formula1>0</formula1>
      <formula2>NaN</formula2>
    </dataValidation>
    <dataValidation type="whole" allowBlank="1" showInputMessage="1" showErrorMessage="1" sqref="S59">
      <formula1>0</formula1>
      <formula2>NaN</formula2>
    </dataValidation>
    <dataValidation type="whole" allowBlank="1" showInputMessage="1" showErrorMessage="1" sqref="S6">
      <formula1>0</formula1>
      <formula2>NaN</formula2>
    </dataValidation>
    <dataValidation type="whole" allowBlank="1" showInputMessage="1" showErrorMessage="1" sqref="S60">
      <formula1>0</formula1>
      <formula2>NaN</formula2>
    </dataValidation>
    <dataValidation type="whole" allowBlank="1" showInputMessage="1" showErrorMessage="1" sqref="S61">
      <formula1>0</formula1>
      <formula2>NaN</formula2>
    </dataValidation>
    <dataValidation type="whole" allowBlank="1" showInputMessage="1" showErrorMessage="1" sqref="S62">
      <formula1>0</formula1>
      <formula2>NaN</formula2>
    </dataValidation>
    <dataValidation type="whole" allowBlank="1" showInputMessage="1" showErrorMessage="1" sqref="S63">
      <formula1>0</formula1>
      <formula2>NaN</formula2>
    </dataValidation>
    <dataValidation type="whole" allowBlank="1" showInputMessage="1" showErrorMessage="1" sqref="S64">
      <formula1>0</formula1>
      <formula2>NaN</formula2>
    </dataValidation>
    <dataValidation type="whole" allowBlank="1" showInputMessage="1" showErrorMessage="1" sqref="S7">
      <formula1>0</formula1>
      <formula2>NaN</formula2>
    </dataValidation>
    <dataValidation type="whole" allowBlank="1" showInputMessage="1" showErrorMessage="1" sqref="S8">
      <formula1>0</formula1>
      <formula2>NaN</formula2>
    </dataValidation>
    <dataValidation type="whole" allowBlank="1" showInputMessage="1" showErrorMessage="1" sqref="S9">
      <formula1>0</formula1>
      <formula2>NaN</formula2>
    </dataValidation>
    <dataValidation type="whole" allowBlank="1" showInputMessage="1" showErrorMessage="1" sqref="T10">
      <formula1>0</formula1>
      <formula2>NaN</formula2>
    </dataValidation>
    <dataValidation type="whole" allowBlank="1" showInputMessage="1" showErrorMessage="1" sqref="T11">
      <formula1>0</formula1>
      <formula2>NaN</formula2>
    </dataValidation>
    <dataValidation type="whole" allowBlank="1" showInputMessage="1" showErrorMessage="1" sqref="T12">
      <formula1>0</formula1>
      <formula2>NaN</formula2>
    </dataValidation>
    <dataValidation type="whole" allowBlank="1" showInputMessage="1" showErrorMessage="1" sqref="T13">
      <formula1>0</formula1>
      <formula2>NaN</formula2>
    </dataValidation>
    <dataValidation type="whole" allowBlank="1" showInputMessage="1" showErrorMessage="1" sqref="T14">
      <formula1>0</formula1>
      <formula2>NaN</formula2>
    </dataValidation>
    <dataValidation type="whole" allowBlank="1" showInputMessage="1" showErrorMessage="1" sqref="T15">
      <formula1>0</formula1>
      <formula2>NaN</formula2>
    </dataValidation>
    <dataValidation type="whole" allowBlank="1" showInputMessage="1" showErrorMessage="1" sqref="T16">
      <formula1>0</formula1>
      <formula2>NaN</formula2>
    </dataValidation>
    <dataValidation type="whole" allowBlank="1" showInputMessage="1" showErrorMessage="1" sqref="T17">
      <formula1>0</formula1>
      <formula2>NaN</formula2>
    </dataValidation>
    <dataValidation type="whole" allowBlank="1" showInputMessage="1" showErrorMessage="1" sqref="T18">
      <formula1>0</formula1>
      <formula2>NaN</formula2>
    </dataValidation>
    <dataValidation type="whole" allowBlank="1" showInputMessage="1" showErrorMessage="1" sqref="T19">
      <formula1>0</formula1>
      <formula2>NaN</formula2>
    </dataValidation>
    <dataValidation type="whole" allowBlank="1" showInputMessage="1" showErrorMessage="1" sqref="T20">
      <formula1>0</formula1>
      <formula2>NaN</formula2>
    </dataValidation>
    <dataValidation type="whole" allowBlank="1" showInputMessage="1" showErrorMessage="1" sqref="T21">
      <formula1>0</formula1>
      <formula2>NaN</formula2>
    </dataValidation>
    <dataValidation type="whole" allowBlank="1" showInputMessage="1" showErrorMessage="1" sqref="T22">
      <formula1>0</formula1>
      <formula2>NaN</formula2>
    </dataValidation>
    <dataValidation type="whole" allowBlank="1" showInputMessage="1" showErrorMessage="1" sqref="T23">
      <formula1>0</formula1>
      <formula2>NaN</formula2>
    </dataValidation>
    <dataValidation type="whole" allowBlank="1" showInputMessage="1" showErrorMessage="1" sqref="T24">
      <formula1>0</formula1>
      <formula2>NaN</formula2>
    </dataValidation>
    <dataValidation type="whole" allowBlank="1" showInputMessage="1" showErrorMessage="1" sqref="T25">
      <formula1>0</formula1>
      <formula2>NaN</formula2>
    </dataValidation>
    <dataValidation type="whole" allowBlank="1" showInputMessage="1" showErrorMessage="1" sqref="T26">
      <formula1>0</formula1>
      <formula2>NaN</formula2>
    </dataValidation>
    <dataValidation type="whole" allowBlank="1" showInputMessage="1" showErrorMessage="1" sqref="T27">
      <formula1>0</formula1>
      <formula2>NaN</formula2>
    </dataValidation>
    <dataValidation type="whole" allowBlank="1" showInputMessage="1" showErrorMessage="1" sqref="T28">
      <formula1>0</formula1>
      <formula2>NaN</formula2>
    </dataValidation>
    <dataValidation type="whole" allowBlank="1" showInputMessage="1" showErrorMessage="1" sqref="T29">
      <formula1>0</formula1>
      <formula2>NaN</formula2>
    </dataValidation>
    <dataValidation type="whole" allowBlank="1" showInputMessage="1" showErrorMessage="1" sqref="T30">
      <formula1>0</formula1>
      <formula2>NaN</formula2>
    </dataValidation>
    <dataValidation type="whole" allowBlank="1" showInputMessage="1" showErrorMessage="1" sqref="T31">
      <formula1>0</formula1>
      <formula2>NaN</formula2>
    </dataValidation>
    <dataValidation type="whole" allowBlank="1" showInputMessage="1" showErrorMessage="1" sqref="T32">
      <formula1>0</formula1>
      <formula2>NaN</formula2>
    </dataValidation>
    <dataValidation type="whole" allowBlank="1" showInputMessage="1" showErrorMessage="1" sqref="T33">
      <formula1>0</formula1>
      <formula2>NaN</formula2>
    </dataValidation>
    <dataValidation type="whole" allowBlank="1" showInputMessage="1" showErrorMessage="1" sqref="T34">
      <formula1>0</formula1>
      <formula2>NaN</formula2>
    </dataValidation>
    <dataValidation type="whole" allowBlank="1" showInputMessage="1" showErrorMessage="1" sqref="T35">
      <formula1>0</formula1>
      <formula2>NaN</formula2>
    </dataValidation>
    <dataValidation type="whole" allowBlank="1" showInputMessage="1" showErrorMessage="1" sqref="T36">
      <formula1>0</formula1>
      <formula2>NaN</formula2>
    </dataValidation>
    <dataValidation type="whole" allowBlank="1" showInputMessage="1" showErrorMessage="1" sqref="T37">
      <formula1>0</formula1>
      <formula2>NaN</formula2>
    </dataValidation>
    <dataValidation type="whole" allowBlank="1" showInputMessage="1" showErrorMessage="1" sqref="T38">
      <formula1>0</formula1>
      <formula2>NaN</formula2>
    </dataValidation>
    <dataValidation type="whole" allowBlank="1" showInputMessage="1" showErrorMessage="1" sqref="T39">
      <formula1>0</formula1>
      <formula2>NaN</formula2>
    </dataValidation>
    <dataValidation type="whole" allowBlank="1" showInputMessage="1" showErrorMessage="1" sqref="T40">
      <formula1>0</formula1>
      <formula2>NaN</formula2>
    </dataValidation>
    <dataValidation type="whole" allowBlank="1" showInputMessage="1" showErrorMessage="1" sqref="T41">
      <formula1>0</formula1>
      <formula2>NaN</formula2>
    </dataValidation>
    <dataValidation type="whole" allowBlank="1" showInputMessage="1" showErrorMessage="1" sqref="T42">
      <formula1>0</formula1>
      <formula2>NaN</formula2>
    </dataValidation>
    <dataValidation type="whole" allowBlank="1" showInputMessage="1" showErrorMessage="1" sqref="T43">
      <formula1>0</formula1>
      <formula2>NaN</formula2>
    </dataValidation>
    <dataValidation type="whole" allowBlank="1" showInputMessage="1" showErrorMessage="1" sqref="T44">
      <formula1>0</formula1>
      <formula2>NaN</formula2>
    </dataValidation>
    <dataValidation type="whole" allowBlank="1" showInputMessage="1" showErrorMessage="1" sqref="T45">
      <formula1>0</formula1>
      <formula2>NaN</formula2>
    </dataValidation>
    <dataValidation type="whole" allowBlank="1" showInputMessage="1" showErrorMessage="1" sqref="T46">
      <formula1>0</formula1>
      <formula2>NaN</formula2>
    </dataValidation>
    <dataValidation type="whole" allowBlank="1" showInputMessage="1" showErrorMessage="1" sqref="T47">
      <formula1>0</formula1>
      <formula2>NaN</formula2>
    </dataValidation>
    <dataValidation type="whole" allowBlank="1" showInputMessage="1" showErrorMessage="1" sqref="T48">
      <formula1>0</formula1>
      <formula2>NaN</formula2>
    </dataValidation>
    <dataValidation type="whole" allowBlank="1" showInputMessage="1" showErrorMessage="1" sqref="T49">
      <formula1>0</formula1>
      <formula2>NaN</formula2>
    </dataValidation>
    <dataValidation type="whole" allowBlank="1" showInputMessage="1" showErrorMessage="1" sqref="T5">
      <formula1>0</formula1>
      <formula2>NaN</formula2>
    </dataValidation>
    <dataValidation type="whole" allowBlank="1" showInputMessage="1" showErrorMessage="1" sqref="T50">
      <formula1>0</formula1>
      <formula2>NaN</formula2>
    </dataValidation>
    <dataValidation type="whole" allowBlank="1" showInputMessage="1" showErrorMessage="1" sqref="T51">
      <formula1>0</formula1>
      <formula2>NaN</formula2>
    </dataValidation>
    <dataValidation type="whole" allowBlank="1" showInputMessage="1" showErrorMessage="1" sqref="T52">
      <formula1>0</formula1>
      <formula2>NaN</formula2>
    </dataValidation>
    <dataValidation type="whole" allowBlank="1" showInputMessage="1" showErrorMessage="1" sqref="T53">
      <formula1>0</formula1>
      <formula2>NaN</formula2>
    </dataValidation>
    <dataValidation type="whole" allowBlank="1" showInputMessage="1" showErrorMessage="1" sqref="T54">
      <formula1>0</formula1>
      <formula2>NaN</formula2>
    </dataValidation>
    <dataValidation type="whole" allowBlank="1" showInputMessage="1" showErrorMessage="1" sqref="T55">
      <formula1>0</formula1>
      <formula2>NaN</formula2>
    </dataValidation>
    <dataValidation type="whole" allowBlank="1" showInputMessage="1" showErrorMessage="1" sqref="T56">
      <formula1>0</formula1>
      <formula2>NaN</formula2>
    </dataValidation>
    <dataValidation type="whole" allowBlank="1" showInputMessage="1" showErrorMessage="1" sqref="T57">
      <formula1>0</formula1>
      <formula2>NaN</formula2>
    </dataValidation>
    <dataValidation type="whole" allowBlank="1" showInputMessage="1" showErrorMessage="1" sqref="T58">
      <formula1>0</formula1>
      <formula2>NaN</formula2>
    </dataValidation>
    <dataValidation type="whole" allowBlank="1" showInputMessage="1" showErrorMessage="1" sqref="T59">
      <formula1>0</formula1>
      <formula2>NaN</formula2>
    </dataValidation>
    <dataValidation type="whole" allowBlank="1" showInputMessage="1" showErrorMessage="1" sqref="T6">
      <formula1>0</formula1>
      <formula2>NaN</formula2>
    </dataValidation>
    <dataValidation type="whole" allowBlank="1" showInputMessage="1" showErrorMessage="1" sqref="T60">
      <formula1>0</formula1>
      <formula2>NaN</formula2>
    </dataValidation>
    <dataValidation type="whole" allowBlank="1" showInputMessage="1" showErrorMessage="1" sqref="T61">
      <formula1>0</formula1>
      <formula2>NaN</formula2>
    </dataValidation>
    <dataValidation type="whole" allowBlank="1" showInputMessage="1" showErrorMessage="1" sqref="T62">
      <formula1>0</formula1>
      <formula2>NaN</formula2>
    </dataValidation>
    <dataValidation type="whole" allowBlank="1" showInputMessage="1" showErrorMessage="1" sqref="T63">
      <formula1>0</formula1>
      <formula2>NaN</formula2>
    </dataValidation>
    <dataValidation type="whole" allowBlank="1" showInputMessage="1" showErrorMessage="1" sqref="T64">
      <formula1>0</formula1>
      <formula2>NaN</formula2>
    </dataValidation>
    <dataValidation type="whole" allowBlank="1" showInputMessage="1" showErrorMessage="1" sqref="T7">
      <formula1>0</formula1>
      <formula2>NaN</formula2>
    </dataValidation>
    <dataValidation type="whole" allowBlank="1" showInputMessage="1" showErrorMessage="1" sqref="T8">
      <formula1>0</formula1>
      <formula2>NaN</formula2>
    </dataValidation>
    <dataValidation type="whole" allowBlank="1" showInputMessage="1" showErrorMessage="1" sqref="T9">
      <formula1>0</formula1>
      <formula2>NaN</formula2>
    </dataValidation>
    <dataValidation type="whole" allowBlank="1" showInputMessage="1" showErrorMessage="1" sqref="U10">
      <formula1>0</formula1>
      <formula2>NaN</formula2>
    </dataValidation>
    <dataValidation type="whole" allowBlank="1" showInputMessage="1" showErrorMessage="1" sqref="U11">
      <formula1>0</formula1>
      <formula2>NaN</formula2>
    </dataValidation>
    <dataValidation type="whole" allowBlank="1" showInputMessage="1" showErrorMessage="1" sqref="U12">
      <formula1>0</formula1>
      <formula2>NaN</formula2>
    </dataValidation>
    <dataValidation type="whole" allowBlank="1" showInputMessage="1" showErrorMessage="1" sqref="U13">
      <formula1>0</formula1>
      <formula2>NaN</formula2>
    </dataValidation>
    <dataValidation type="whole" allowBlank="1" showInputMessage="1" showErrorMessage="1" sqref="U14">
      <formula1>0</formula1>
      <formula2>NaN</formula2>
    </dataValidation>
    <dataValidation type="whole" allowBlank="1" showInputMessage="1" showErrorMessage="1" sqref="U15">
      <formula1>0</formula1>
      <formula2>NaN</formula2>
    </dataValidation>
    <dataValidation type="whole" allowBlank="1" showInputMessage="1" showErrorMessage="1" sqref="U16">
      <formula1>0</formula1>
      <formula2>NaN</formula2>
    </dataValidation>
    <dataValidation type="whole" allowBlank="1" showInputMessage="1" showErrorMessage="1" sqref="U17">
      <formula1>0</formula1>
      <formula2>NaN</formula2>
    </dataValidation>
    <dataValidation type="whole" allowBlank="1" showInputMessage="1" showErrorMessage="1" sqref="U18">
      <formula1>0</formula1>
      <formula2>NaN</formula2>
    </dataValidation>
    <dataValidation type="whole" allowBlank="1" showInputMessage="1" showErrorMessage="1" sqref="U19">
      <formula1>0</formula1>
      <formula2>NaN</formula2>
    </dataValidation>
    <dataValidation type="whole" allowBlank="1" showInputMessage="1" showErrorMessage="1" sqref="U20">
      <formula1>0</formula1>
      <formula2>NaN</formula2>
    </dataValidation>
    <dataValidation type="whole" allowBlank="1" showInputMessage="1" showErrorMessage="1" sqref="U21">
      <formula1>0</formula1>
      <formula2>NaN</formula2>
    </dataValidation>
    <dataValidation type="whole" allowBlank="1" showInputMessage="1" showErrorMessage="1" sqref="U22">
      <formula1>0</formula1>
      <formula2>NaN</formula2>
    </dataValidation>
    <dataValidation type="whole" allowBlank="1" showInputMessage="1" showErrorMessage="1" sqref="U23">
      <formula1>0</formula1>
      <formula2>NaN</formula2>
    </dataValidation>
    <dataValidation type="whole" allowBlank="1" showInputMessage="1" showErrorMessage="1" sqref="U24">
      <formula1>0</formula1>
      <formula2>NaN</formula2>
    </dataValidation>
    <dataValidation type="whole" allowBlank="1" showInputMessage="1" showErrorMessage="1" sqref="U25">
      <formula1>0</formula1>
      <formula2>NaN</formula2>
    </dataValidation>
    <dataValidation type="whole" allowBlank="1" showInputMessage="1" showErrorMessage="1" sqref="U26">
      <formula1>0</formula1>
      <formula2>NaN</formula2>
    </dataValidation>
    <dataValidation type="whole" allowBlank="1" showInputMessage="1" showErrorMessage="1" sqref="U27">
      <formula1>0</formula1>
      <formula2>NaN</formula2>
    </dataValidation>
    <dataValidation type="whole" allowBlank="1" showInputMessage="1" showErrorMessage="1" sqref="U28">
      <formula1>0</formula1>
      <formula2>NaN</formula2>
    </dataValidation>
    <dataValidation type="whole" allowBlank="1" showInputMessage="1" showErrorMessage="1" sqref="U29">
      <formula1>0</formula1>
      <formula2>NaN</formula2>
    </dataValidation>
    <dataValidation type="whole" allowBlank="1" showInputMessage="1" showErrorMessage="1" sqref="U30">
      <formula1>0</formula1>
      <formula2>NaN</formula2>
    </dataValidation>
    <dataValidation type="whole" allowBlank="1" showInputMessage="1" showErrorMessage="1" sqref="U31">
      <formula1>0</formula1>
      <formula2>NaN</formula2>
    </dataValidation>
    <dataValidation type="whole" allowBlank="1" showInputMessage="1" showErrorMessage="1" sqref="U32">
      <formula1>0</formula1>
      <formula2>NaN</formula2>
    </dataValidation>
    <dataValidation type="whole" allowBlank="1" showInputMessage="1" showErrorMessage="1" sqref="U33">
      <formula1>0</formula1>
      <formula2>NaN</formula2>
    </dataValidation>
    <dataValidation type="whole" allowBlank="1" showInputMessage="1" showErrorMessage="1" sqref="U34">
      <formula1>0</formula1>
      <formula2>NaN</formula2>
    </dataValidation>
    <dataValidation type="whole" allowBlank="1" showInputMessage="1" showErrorMessage="1" sqref="U35">
      <formula1>0</formula1>
      <formula2>NaN</formula2>
    </dataValidation>
    <dataValidation type="whole" allowBlank="1" showInputMessage="1" showErrorMessage="1" sqref="U36">
      <formula1>0</formula1>
      <formula2>NaN</formula2>
    </dataValidation>
    <dataValidation type="whole" allowBlank="1" showInputMessage="1" showErrorMessage="1" sqref="U37">
      <formula1>0</formula1>
      <formula2>NaN</formula2>
    </dataValidation>
    <dataValidation type="whole" allowBlank="1" showInputMessage="1" showErrorMessage="1" sqref="U38">
      <formula1>0</formula1>
      <formula2>NaN</formula2>
    </dataValidation>
    <dataValidation type="whole" allowBlank="1" showInputMessage="1" showErrorMessage="1" sqref="U39">
      <formula1>0</formula1>
      <formula2>NaN</formula2>
    </dataValidation>
    <dataValidation type="whole" allowBlank="1" showInputMessage="1" showErrorMessage="1" sqref="U40">
      <formula1>0</formula1>
      <formula2>NaN</formula2>
    </dataValidation>
    <dataValidation type="whole" allowBlank="1" showInputMessage="1" showErrorMessage="1" sqref="U41">
      <formula1>0</formula1>
      <formula2>NaN</formula2>
    </dataValidation>
    <dataValidation type="whole" allowBlank="1" showInputMessage="1" showErrorMessage="1" sqref="U42">
      <formula1>0</formula1>
      <formula2>NaN</formula2>
    </dataValidation>
    <dataValidation type="whole" allowBlank="1" showInputMessage="1" showErrorMessage="1" sqref="U43">
      <formula1>0</formula1>
      <formula2>NaN</formula2>
    </dataValidation>
    <dataValidation type="whole" allowBlank="1" showInputMessage="1" showErrorMessage="1" sqref="U44">
      <formula1>0</formula1>
      <formula2>NaN</formula2>
    </dataValidation>
    <dataValidation type="whole" allowBlank="1" showInputMessage="1" showErrorMessage="1" sqref="U45">
      <formula1>0</formula1>
      <formula2>NaN</formula2>
    </dataValidation>
    <dataValidation type="whole" allowBlank="1" showInputMessage="1" showErrorMessage="1" sqref="U46">
      <formula1>0</formula1>
      <formula2>NaN</formula2>
    </dataValidation>
    <dataValidation type="whole" allowBlank="1" showInputMessage="1" showErrorMessage="1" sqref="U47">
      <formula1>0</formula1>
      <formula2>NaN</formula2>
    </dataValidation>
    <dataValidation type="whole" allowBlank="1" showInputMessage="1" showErrorMessage="1" sqref="U48">
      <formula1>0</formula1>
      <formula2>NaN</formula2>
    </dataValidation>
    <dataValidation type="whole" allowBlank="1" showInputMessage="1" showErrorMessage="1" sqref="U49">
      <formula1>0</formula1>
      <formula2>NaN</formula2>
    </dataValidation>
    <dataValidation type="whole" allowBlank="1" showInputMessage="1" showErrorMessage="1" sqref="U5">
      <formula1>0</formula1>
      <formula2>NaN</formula2>
    </dataValidation>
    <dataValidation type="whole" allowBlank="1" showInputMessage="1" showErrorMessage="1" sqref="U50">
      <formula1>0</formula1>
      <formula2>NaN</formula2>
    </dataValidation>
    <dataValidation type="whole" allowBlank="1" showInputMessage="1" showErrorMessage="1" sqref="U51">
      <formula1>0</formula1>
      <formula2>NaN</formula2>
    </dataValidation>
    <dataValidation type="whole" allowBlank="1" showInputMessage="1" showErrorMessage="1" sqref="U52">
      <formula1>0</formula1>
      <formula2>NaN</formula2>
    </dataValidation>
    <dataValidation type="whole" allowBlank="1" showInputMessage="1" showErrorMessage="1" sqref="U53">
      <formula1>0</formula1>
      <formula2>NaN</formula2>
    </dataValidation>
    <dataValidation type="whole" allowBlank="1" showInputMessage="1" showErrorMessage="1" sqref="U54">
      <formula1>0</formula1>
      <formula2>NaN</formula2>
    </dataValidation>
    <dataValidation type="whole" allowBlank="1" showInputMessage="1" showErrorMessage="1" sqref="U55">
      <formula1>0</formula1>
      <formula2>NaN</formula2>
    </dataValidation>
    <dataValidation type="whole" allowBlank="1" showInputMessage="1" showErrorMessage="1" sqref="U56">
      <formula1>0</formula1>
      <formula2>NaN</formula2>
    </dataValidation>
    <dataValidation type="whole" allowBlank="1" showInputMessage="1" showErrorMessage="1" sqref="U57">
      <formula1>0</formula1>
      <formula2>NaN</formula2>
    </dataValidation>
    <dataValidation type="whole" allowBlank="1" showInputMessage="1" showErrorMessage="1" sqref="U58">
      <formula1>0</formula1>
      <formula2>NaN</formula2>
    </dataValidation>
    <dataValidation type="whole" allowBlank="1" showInputMessage="1" showErrorMessage="1" sqref="U59">
      <formula1>0</formula1>
      <formula2>NaN</formula2>
    </dataValidation>
    <dataValidation type="whole" allowBlank="1" showInputMessage="1" showErrorMessage="1" sqref="U6">
      <formula1>0</formula1>
      <formula2>NaN</formula2>
    </dataValidation>
    <dataValidation type="whole" allowBlank="1" showInputMessage="1" showErrorMessage="1" sqref="U60">
      <formula1>0</formula1>
      <formula2>NaN</formula2>
    </dataValidation>
    <dataValidation type="whole" allowBlank="1" showInputMessage="1" showErrorMessage="1" sqref="U61">
      <formula1>0</formula1>
      <formula2>NaN</formula2>
    </dataValidation>
    <dataValidation type="whole" allowBlank="1" showInputMessage="1" showErrorMessage="1" sqref="U62">
      <formula1>0</formula1>
      <formula2>NaN</formula2>
    </dataValidation>
    <dataValidation type="whole" allowBlank="1" showInputMessage="1" showErrorMessage="1" sqref="U63">
      <formula1>0</formula1>
      <formula2>NaN</formula2>
    </dataValidation>
    <dataValidation type="whole" allowBlank="1" showInputMessage="1" showErrorMessage="1" sqref="U64">
      <formula1>0</formula1>
      <formula2>NaN</formula2>
    </dataValidation>
    <dataValidation type="whole" allowBlank="1" showInputMessage="1" showErrorMessage="1" sqref="U7">
      <formula1>0</formula1>
      <formula2>NaN</formula2>
    </dataValidation>
    <dataValidation type="whole" allowBlank="1" showInputMessage="1" showErrorMessage="1" sqref="U8">
      <formula1>0</formula1>
      <formula2>NaN</formula2>
    </dataValidation>
    <dataValidation type="whole" allowBlank="1" showInputMessage="1" showErrorMessage="1" sqref="U9">
      <formula1>0</formula1>
      <formula2>NaN</formula2>
    </dataValidation>
    <dataValidation type="whole" allowBlank="1" showInputMessage="1" showErrorMessage="1" sqref="V10">
      <formula1>0</formula1>
      <formula2>NaN</formula2>
    </dataValidation>
    <dataValidation type="whole" allowBlank="1" showInputMessage="1" showErrorMessage="1" sqref="V11">
      <formula1>0</formula1>
      <formula2>NaN</formula2>
    </dataValidation>
    <dataValidation type="whole" allowBlank="1" showInputMessage="1" showErrorMessage="1" sqref="V12">
      <formula1>0</formula1>
      <formula2>NaN</formula2>
    </dataValidation>
    <dataValidation type="whole" allowBlank="1" showInputMessage="1" showErrorMessage="1" sqref="V13">
      <formula1>0</formula1>
      <formula2>NaN</formula2>
    </dataValidation>
    <dataValidation type="whole" allowBlank="1" showInputMessage="1" showErrorMessage="1" sqref="V14">
      <formula1>0</formula1>
      <formula2>NaN</formula2>
    </dataValidation>
    <dataValidation type="whole" allowBlank="1" showInputMessage="1" showErrorMessage="1" sqref="V15">
      <formula1>0</formula1>
      <formula2>NaN</formula2>
    </dataValidation>
    <dataValidation type="whole" allowBlank="1" showInputMessage="1" showErrorMessage="1" sqref="V16">
      <formula1>0</formula1>
      <formula2>NaN</formula2>
    </dataValidation>
    <dataValidation type="whole" allowBlank="1" showInputMessage="1" showErrorMessage="1" sqref="V17">
      <formula1>0</formula1>
      <formula2>NaN</formula2>
    </dataValidation>
    <dataValidation type="whole" allowBlank="1" showInputMessage="1" showErrorMessage="1" sqref="V18">
      <formula1>0</formula1>
      <formula2>NaN</formula2>
    </dataValidation>
    <dataValidation type="whole" allowBlank="1" showInputMessage="1" showErrorMessage="1" sqref="V19">
      <formula1>0</formula1>
      <formula2>NaN</formula2>
    </dataValidation>
    <dataValidation type="whole" allowBlank="1" showInputMessage="1" showErrorMessage="1" sqref="V20">
      <formula1>0</formula1>
      <formula2>NaN</formula2>
    </dataValidation>
    <dataValidation type="whole" allowBlank="1" showInputMessage="1" showErrorMessage="1" sqref="V21">
      <formula1>0</formula1>
      <formula2>NaN</formula2>
    </dataValidation>
    <dataValidation type="whole" allowBlank="1" showInputMessage="1" showErrorMessage="1" sqref="V22">
      <formula1>0</formula1>
      <formula2>NaN</formula2>
    </dataValidation>
    <dataValidation type="whole" allowBlank="1" showInputMessage="1" showErrorMessage="1" sqref="V23">
      <formula1>0</formula1>
      <formula2>NaN</formula2>
    </dataValidation>
    <dataValidation type="whole" allowBlank="1" showInputMessage="1" showErrorMessage="1" sqref="V24">
      <formula1>0</formula1>
      <formula2>NaN</formula2>
    </dataValidation>
    <dataValidation type="whole" allowBlank="1" showInputMessage="1" showErrorMessage="1" sqref="V25">
      <formula1>0</formula1>
      <formula2>NaN</formula2>
    </dataValidation>
    <dataValidation type="whole" allowBlank="1" showInputMessage="1" showErrorMessage="1" sqref="V26">
      <formula1>0</formula1>
      <formula2>NaN</formula2>
    </dataValidation>
    <dataValidation type="whole" allowBlank="1" showInputMessage="1" showErrorMessage="1" sqref="V27">
      <formula1>0</formula1>
      <formula2>NaN</formula2>
    </dataValidation>
    <dataValidation type="whole" allowBlank="1" showInputMessage="1" showErrorMessage="1" sqref="V28">
      <formula1>0</formula1>
      <formula2>NaN</formula2>
    </dataValidation>
    <dataValidation type="whole" allowBlank="1" showInputMessage="1" showErrorMessage="1" sqref="V29">
      <formula1>0</formula1>
      <formula2>NaN</formula2>
    </dataValidation>
    <dataValidation type="whole" allowBlank="1" showInputMessage="1" showErrorMessage="1" sqref="V30">
      <formula1>0</formula1>
      <formula2>NaN</formula2>
    </dataValidation>
    <dataValidation type="whole" allowBlank="1" showInputMessage="1" showErrorMessage="1" sqref="V31">
      <formula1>0</formula1>
      <formula2>NaN</formula2>
    </dataValidation>
    <dataValidation type="whole" allowBlank="1" showInputMessage="1" showErrorMessage="1" sqref="V32">
      <formula1>0</formula1>
      <formula2>NaN</formula2>
    </dataValidation>
    <dataValidation type="whole" allowBlank="1" showInputMessage="1" showErrorMessage="1" sqref="V33">
      <formula1>0</formula1>
      <formula2>NaN</formula2>
    </dataValidation>
    <dataValidation type="whole" allowBlank="1" showInputMessage="1" showErrorMessage="1" sqref="V34">
      <formula1>0</formula1>
      <formula2>NaN</formula2>
    </dataValidation>
    <dataValidation type="whole" allowBlank="1" showInputMessage="1" showErrorMessage="1" sqref="V35">
      <formula1>0</formula1>
      <formula2>NaN</formula2>
    </dataValidation>
    <dataValidation type="whole" allowBlank="1" showInputMessage="1" showErrorMessage="1" sqref="V36">
      <formula1>0</formula1>
      <formula2>NaN</formula2>
    </dataValidation>
    <dataValidation type="whole" allowBlank="1" showInputMessage="1" showErrorMessage="1" sqref="V37">
      <formula1>0</formula1>
      <formula2>NaN</formula2>
    </dataValidation>
    <dataValidation type="whole" allowBlank="1" showInputMessage="1" showErrorMessage="1" sqref="V38">
      <formula1>0</formula1>
      <formula2>NaN</formula2>
    </dataValidation>
    <dataValidation type="whole" allowBlank="1" showInputMessage="1" showErrorMessage="1" sqref="V39">
      <formula1>0</formula1>
      <formula2>NaN</formula2>
    </dataValidation>
    <dataValidation type="whole" allowBlank="1" showInputMessage="1" showErrorMessage="1" sqref="V40">
      <formula1>0</formula1>
      <formula2>NaN</formula2>
    </dataValidation>
    <dataValidation type="whole" allowBlank="1" showInputMessage="1" showErrorMessage="1" sqref="V41">
      <formula1>0</formula1>
      <formula2>NaN</formula2>
    </dataValidation>
    <dataValidation type="whole" allowBlank="1" showInputMessage="1" showErrorMessage="1" sqref="V42">
      <formula1>0</formula1>
      <formula2>NaN</formula2>
    </dataValidation>
    <dataValidation type="whole" allowBlank="1" showInputMessage="1" showErrorMessage="1" sqref="V43">
      <formula1>0</formula1>
      <formula2>NaN</formula2>
    </dataValidation>
    <dataValidation type="whole" allowBlank="1" showInputMessage="1" showErrorMessage="1" sqref="V44">
      <formula1>0</formula1>
      <formula2>NaN</formula2>
    </dataValidation>
    <dataValidation type="whole" allowBlank="1" showInputMessage="1" showErrorMessage="1" sqref="V45">
      <formula1>0</formula1>
      <formula2>NaN</formula2>
    </dataValidation>
    <dataValidation type="whole" allowBlank="1" showInputMessage="1" showErrorMessage="1" sqref="V46">
      <formula1>0</formula1>
      <formula2>NaN</formula2>
    </dataValidation>
    <dataValidation type="whole" allowBlank="1" showInputMessage="1" showErrorMessage="1" sqref="V47">
      <formula1>0</formula1>
      <formula2>NaN</formula2>
    </dataValidation>
    <dataValidation type="whole" allowBlank="1" showInputMessage="1" showErrorMessage="1" sqref="V48">
      <formula1>0</formula1>
      <formula2>NaN</formula2>
    </dataValidation>
    <dataValidation type="whole" allowBlank="1" showInputMessage="1" showErrorMessage="1" sqref="V49">
      <formula1>0</formula1>
      <formula2>NaN</formula2>
    </dataValidation>
    <dataValidation type="whole" allowBlank="1" showInputMessage="1" showErrorMessage="1" sqref="V5">
      <formula1>0</formula1>
      <formula2>NaN</formula2>
    </dataValidation>
    <dataValidation type="whole" allowBlank="1" showInputMessage="1" showErrorMessage="1" sqref="V50">
      <formula1>0</formula1>
      <formula2>NaN</formula2>
    </dataValidation>
    <dataValidation type="whole" allowBlank="1" showInputMessage="1" showErrorMessage="1" sqref="V51">
      <formula1>0</formula1>
      <formula2>NaN</formula2>
    </dataValidation>
    <dataValidation type="whole" allowBlank="1" showInputMessage="1" showErrorMessage="1" sqref="V52">
      <formula1>0</formula1>
      <formula2>NaN</formula2>
    </dataValidation>
    <dataValidation type="whole" allowBlank="1" showInputMessage="1" showErrorMessage="1" sqref="V53">
      <formula1>0</formula1>
      <formula2>NaN</formula2>
    </dataValidation>
    <dataValidation type="whole" allowBlank="1" showInputMessage="1" showErrorMessage="1" sqref="V54">
      <formula1>0</formula1>
      <formula2>NaN</formula2>
    </dataValidation>
    <dataValidation type="whole" allowBlank="1" showInputMessage="1" showErrorMessage="1" sqref="V55">
      <formula1>0</formula1>
      <formula2>NaN</formula2>
    </dataValidation>
    <dataValidation type="whole" allowBlank="1" showInputMessage="1" showErrorMessage="1" sqref="V56">
      <formula1>0</formula1>
      <formula2>NaN</formula2>
    </dataValidation>
    <dataValidation type="whole" allowBlank="1" showInputMessage="1" showErrorMessage="1" sqref="V57">
      <formula1>0</formula1>
      <formula2>NaN</formula2>
    </dataValidation>
    <dataValidation type="whole" allowBlank="1" showInputMessage="1" showErrorMessage="1" sqref="V58">
      <formula1>0</formula1>
      <formula2>NaN</formula2>
    </dataValidation>
    <dataValidation type="whole" allowBlank="1" showInputMessage="1" showErrorMessage="1" sqref="V59">
      <formula1>0</formula1>
      <formula2>NaN</formula2>
    </dataValidation>
    <dataValidation type="whole" allowBlank="1" showInputMessage="1" showErrorMessage="1" sqref="V6">
      <formula1>0</formula1>
      <formula2>NaN</formula2>
    </dataValidation>
    <dataValidation type="whole" allowBlank="1" showInputMessage="1" showErrorMessage="1" sqref="V60">
      <formula1>0</formula1>
      <formula2>NaN</formula2>
    </dataValidation>
    <dataValidation type="whole" allowBlank="1" showInputMessage="1" showErrorMessage="1" sqref="V61">
      <formula1>0</formula1>
      <formula2>NaN</formula2>
    </dataValidation>
    <dataValidation type="whole" allowBlank="1" showInputMessage="1" showErrorMessage="1" sqref="V62">
      <formula1>0</formula1>
      <formula2>NaN</formula2>
    </dataValidation>
    <dataValidation type="whole" allowBlank="1" showInputMessage="1" showErrorMessage="1" sqref="V63">
      <formula1>0</formula1>
      <formula2>NaN</formula2>
    </dataValidation>
    <dataValidation type="whole" allowBlank="1" showInputMessage="1" showErrorMessage="1" sqref="V64">
      <formula1>0</formula1>
      <formula2>NaN</formula2>
    </dataValidation>
    <dataValidation type="whole" allowBlank="1" showInputMessage="1" showErrorMessage="1" sqref="V7">
      <formula1>0</formula1>
      <formula2>NaN</formula2>
    </dataValidation>
    <dataValidation type="whole" allowBlank="1" showInputMessage="1" showErrorMessage="1" sqref="V8">
      <formula1>0</formula1>
      <formula2>NaN</formula2>
    </dataValidation>
    <dataValidation type="whole" allowBlank="1" showInputMessage="1" showErrorMessage="1" sqref="V9">
      <formula1>0</formula1>
      <formula2>NaN</formula2>
    </dataValidation>
    <dataValidation type="whole" allowBlank="1" showInputMessage="1" showErrorMessage="1" sqref="W10">
      <formula1>0</formula1>
      <formula2>NaN</formula2>
    </dataValidation>
    <dataValidation type="whole" allowBlank="1" showInputMessage="1" showErrorMessage="1" sqref="W11">
      <formula1>0</formula1>
      <formula2>NaN</formula2>
    </dataValidation>
    <dataValidation type="whole" allowBlank="1" showInputMessage="1" showErrorMessage="1" sqref="W12">
      <formula1>0</formula1>
      <formula2>NaN</formula2>
    </dataValidation>
    <dataValidation type="whole" allowBlank="1" showInputMessage="1" showErrorMessage="1" sqref="W13">
      <formula1>0</formula1>
      <formula2>NaN</formula2>
    </dataValidation>
    <dataValidation type="whole" allowBlank="1" showInputMessage="1" showErrorMessage="1" sqref="W14">
      <formula1>0</formula1>
      <formula2>NaN</formula2>
    </dataValidation>
    <dataValidation type="whole" allowBlank="1" showInputMessage="1" showErrorMessage="1" sqref="W15">
      <formula1>0</formula1>
      <formula2>NaN</formula2>
    </dataValidation>
    <dataValidation type="whole" allowBlank="1" showInputMessage="1" showErrorMessage="1" sqref="W16">
      <formula1>0</formula1>
      <formula2>NaN</formula2>
    </dataValidation>
    <dataValidation type="whole" allowBlank="1" showInputMessage="1" showErrorMessage="1" sqref="W17">
      <formula1>0</formula1>
      <formula2>NaN</formula2>
    </dataValidation>
    <dataValidation type="whole" allowBlank="1" showInputMessage="1" showErrorMessage="1" sqref="W18">
      <formula1>0</formula1>
      <formula2>NaN</formula2>
    </dataValidation>
    <dataValidation type="whole" allowBlank="1" showInputMessage="1" showErrorMessage="1" sqref="W19">
      <formula1>0</formula1>
      <formula2>NaN</formula2>
    </dataValidation>
    <dataValidation type="whole" allowBlank="1" showInputMessage="1" showErrorMessage="1" sqref="W20">
      <formula1>0</formula1>
      <formula2>NaN</formula2>
    </dataValidation>
    <dataValidation type="whole" allowBlank="1" showInputMessage="1" showErrorMessage="1" sqref="W21">
      <formula1>0</formula1>
      <formula2>NaN</formula2>
    </dataValidation>
    <dataValidation type="whole" allowBlank="1" showInputMessage="1" showErrorMessage="1" sqref="W22">
      <formula1>0</formula1>
      <formula2>NaN</formula2>
    </dataValidation>
    <dataValidation type="whole" allowBlank="1" showInputMessage="1" showErrorMessage="1" sqref="W23">
      <formula1>0</formula1>
      <formula2>NaN</formula2>
    </dataValidation>
    <dataValidation type="whole" allowBlank="1" showInputMessage="1" showErrorMessage="1" sqref="W24">
      <formula1>0</formula1>
      <formula2>NaN</formula2>
    </dataValidation>
    <dataValidation type="whole" allowBlank="1" showInputMessage="1" showErrorMessage="1" sqref="W25">
      <formula1>0</formula1>
      <formula2>NaN</formula2>
    </dataValidation>
    <dataValidation type="whole" allowBlank="1" showInputMessage="1" showErrorMessage="1" sqref="W26">
      <formula1>0</formula1>
      <formula2>NaN</formula2>
    </dataValidation>
    <dataValidation type="whole" allowBlank="1" showInputMessage="1" showErrorMessage="1" sqref="W27">
      <formula1>0</formula1>
      <formula2>NaN</formula2>
    </dataValidation>
    <dataValidation type="whole" allowBlank="1" showInputMessage="1" showErrorMessage="1" sqref="W28">
      <formula1>0</formula1>
      <formula2>NaN</formula2>
    </dataValidation>
    <dataValidation type="whole" allowBlank="1" showInputMessage="1" showErrorMessage="1" sqref="W29">
      <formula1>0</formula1>
      <formula2>NaN</formula2>
    </dataValidation>
    <dataValidation type="whole" allowBlank="1" showInputMessage="1" showErrorMessage="1" sqref="W30">
      <formula1>0</formula1>
      <formula2>NaN</formula2>
    </dataValidation>
    <dataValidation type="whole" allowBlank="1" showInputMessage="1" showErrorMessage="1" sqref="W31">
      <formula1>0</formula1>
      <formula2>NaN</formula2>
    </dataValidation>
    <dataValidation type="whole" allowBlank="1" showInputMessage="1" showErrorMessage="1" sqref="W32">
      <formula1>0</formula1>
      <formula2>NaN</formula2>
    </dataValidation>
    <dataValidation type="whole" allowBlank="1" showInputMessage="1" showErrorMessage="1" sqref="W33">
      <formula1>0</formula1>
      <formula2>NaN</formula2>
    </dataValidation>
    <dataValidation type="whole" allowBlank="1" showInputMessage="1" showErrorMessage="1" sqref="W34">
      <formula1>0</formula1>
      <formula2>NaN</formula2>
    </dataValidation>
    <dataValidation type="whole" allowBlank="1" showInputMessage="1" showErrorMessage="1" sqref="W35">
      <formula1>0</formula1>
      <formula2>NaN</formula2>
    </dataValidation>
    <dataValidation type="whole" allowBlank="1" showInputMessage="1" showErrorMessage="1" sqref="W36">
      <formula1>0</formula1>
      <formula2>NaN</formula2>
    </dataValidation>
    <dataValidation type="whole" allowBlank="1" showInputMessage="1" showErrorMessage="1" sqref="W37">
      <formula1>0</formula1>
      <formula2>NaN</formula2>
    </dataValidation>
    <dataValidation type="whole" allowBlank="1" showInputMessage="1" showErrorMessage="1" sqref="W38">
      <formula1>0</formula1>
      <formula2>NaN</formula2>
    </dataValidation>
    <dataValidation type="whole" allowBlank="1" showInputMessage="1" showErrorMessage="1" sqref="W39">
      <formula1>0</formula1>
      <formula2>NaN</formula2>
    </dataValidation>
    <dataValidation type="whole" allowBlank="1" showInputMessage="1" showErrorMessage="1" sqref="W40">
      <formula1>0</formula1>
      <formula2>NaN</formula2>
    </dataValidation>
    <dataValidation type="whole" allowBlank="1" showInputMessage="1" showErrorMessage="1" sqref="W41">
      <formula1>0</formula1>
      <formula2>NaN</formula2>
    </dataValidation>
    <dataValidation type="whole" allowBlank="1" showInputMessage="1" showErrorMessage="1" sqref="W42">
      <formula1>0</formula1>
      <formula2>NaN</formula2>
    </dataValidation>
    <dataValidation type="whole" allowBlank="1" showInputMessage="1" showErrorMessage="1" sqref="W43">
      <formula1>0</formula1>
      <formula2>NaN</formula2>
    </dataValidation>
    <dataValidation type="whole" allowBlank="1" showInputMessage="1" showErrorMessage="1" sqref="W44">
      <formula1>0</formula1>
      <formula2>NaN</formula2>
    </dataValidation>
    <dataValidation type="whole" allowBlank="1" showInputMessage="1" showErrorMessage="1" sqref="W45">
      <formula1>0</formula1>
      <formula2>NaN</formula2>
    </dataValidation>
    <dataValidation type="whole" allowBlank="1" showInputMessage="1" showErrorMessage="1" sqref="W46">
      <formula1>0</formula1>
      <formula2>NaN</formula2>
    </dataValidation>
    <dataValidation type="whole" allowBlank="1" showInputMessage="1" showErrorMessage="1" sqref="W47">
      <formula1>0</formula1>
      <formula2>NaN</formula2>
    </dataValidation>
    <dataValidation type="whole" allowBlank="1" showInputMessage="1" showErrorMessage="1" sqref="W48">
      <formula1>0</formula1>
      <formula2>NaN</formula2>
    </dataValidation>
    <dataValidation type="whole" allowBlank="1" showInputMessage="1" showErrorMessage="1" sqref="W49">
      <formula1>0</formula1>
      <formula2>NaN</formula2>
    </dataValidation>
    <dataValidation type="whole" allowBlank="1" showInputMessage="1" showErrorMessage="1" sqref="W5">
      <formula1>0</formula1>
      <formula2>NaN</formula2>
    </dataValidation>
    <dataValidation type="whole" allowBlank="1" showInputMessage="1" showErrorMessage="1" sqref="W50">
      <formula1>0</formula1>
      <formula2>NaN</formula2>
    </dataValidation>
    <dataValidation type="whole" allowBlank="1" showInputMessage="1" showErrorMessage="1" sqref="W51">
      <formula1>0</formula1>
      <formula2>NaN</formula2>
    </dataValidation>
    <dataValidation type="whole" allowBlank="1" showInputMessage="1" showErrorMessage="1" sqref="W52">
      <formula1>0</formula1>
      <formula2>NaN</formula2>
    </dataValidation>
    <dataValidation type="whole" allowBlank="1" showInputMessage="1" showErrorMessage="1" sqref="W53">
      <formula1>0</formula1>
      <formula2>NaN</formula2>
    </dataValidation>
    <dataValidation type="whole" allowBlank="1" showInputMessage="1" showErrorMessage="1" sqref="W54">
      <formula1>0</formula1>
      <formula2>NaN</formula2>
    </dataValidation>
    <dataValidation type="whole" allowBlank="1" showInputMessage="1" showErrorMessage="1" sqref="W55">
      <formula1>0</formula1>
      <formula2>NaN</formula2>
    </dataValidation>
    <dataValidation type="whole" allowBlank="1" showInputMessage="1" showErrorMessage="1" sqref="W56">
      <formula1>0</formula1>
      <formula2>NaN</formula2>
    </dataValidation>
    <dataValidation type="whole" allowBlank="1" showInputMessage="1" showErrorMessage="1" sqref="W57">
      <formula1>0</formula1>
      <formula2>NaN</formula2>
    </dataValidation>
    <dataValidation type="whole" allowBlank="1" showInputMessage="1" showErrorMessage="1" sqref="W58">
      <formula1>0</formula1>
      <formula2>NaN</formula2>
    </dataValidation>
    <dataValidation type="whole" allowBlank="1" showInputMessage="1" showErrorMessage="1" sqref="W59">
      <formula1>0</formula1>
      <formula2>NaN</formula2>
    </dataValidation>
    <dataValidation type="whole" allowBlank="1" showInputMessage="1" showErrorMessage="1" sqref="W6">
      <formula1>0</formula1>
      <formula2>NaN</formula2>
    </dataValidation>
    <dataValidation type="whole" allowBlank="1" showInputMessage="1" showErrorMessage="1" sqref="W60">
      <formula1>0</formula1>
      <formula2>NaN</formula2>
    </dataValidation>
    <dataValidation type="whole" allowBlank="1" showInputMessage="1" showErrorMessage="1" sqref="W61">
      <formula1>0</formula1>
      <formula2>NaN</formula2>
    </dataValidation>
    <dataValidation type="whole" allowBlank="1" showInputMessage="1" showErrorMessage="1" sqref="W62">
      <formula1>0</formula1>
      <formula2>NaN</formula2>
    </dataValidation>
    <dataValidation type="whole" allowBlank="1" showInputMessage="1" showErrorMessage="1" sqref="W63">
      <formula1>0</formula1>
      <formula2>NaN</formula2>
    </dataValidation>
    <dataValidation type="whole" allowBlank="1" showInputMessage="1" showErrorMessage="1" sqref="W64">
      <formula1>0</formula1>
      <formula2>NaN</formula2>
    </dataValidation>
    <dataValidation type="whole" allowBlank="1" showInputMessage="1" showErrorMessage="1" sqref="W7">
      <formula1>0</formula1>
      <formula2>NaN</formula2>
    </dataValidation>
    <dataValidation type="whole" allowBlank="1" showInputMessage="1" showErrorMessage="1" sqref="W8">
      <formula1>0</formula1>
      <formula2>NaN</formula2>
    </dataValidation>
    <dataValidation type="whole" allowBlank="1" showInputMessage="1" showErrorMessage="1" sqref="W9">
      <formula1>0</formula1>
      <formula2>NaN</formula2>
    </dataValidation>
    <dataValidation type="whole" allowBlank="1" showInputMessage="1" showErrorMessage="1" sqref="X10">
      <formula1>0</formula1>
      <formula2>NaN</formula2>
    </dataValidation>
    <dataValidation type="whole" allowBlank="1" showInputMessage="1" showErrorMessage="1" sqref="X11">
      <formula1>0</formula1>
      <formula2>NaN</formula2>
    </dataValidation>
    <dataValidation type="whole" allowBlank="1" showInputMessage="1" showErrorMessage="1" sqref="X12">
      <formula1>0</formula1>
      <formula2>NaN</formula2>
    </dataValidation>
    <dataValidation type="whole" allowBlank="1" showInputMessage="1" showErrorMessage="1" sqref="X13">
      <formula1>0</formula1>
      <formula2>NaN</formula2>
    </dataValidation>
    <dataValidation type="whole" allowBlank="1" showInputMessage="1" showErrorMessage="1" sqref="X14">
      <formula1>0</formula1>
      <formula2>NaN</formula2>
    </dataValidation>
    <dataValidation type="whole" allowBlank="1" showInputMessage="1" showErrorMessage="1" sqref="X15">
      <formula1>0</formula1>
      <formula2>NaN</formula2>
    </dataValidation>
    <dataValidation type="whole" allowBlank="1" showInputMessage="1" showErrorMessage="1" sqref="X16">
      <formula1>0</formula1>
      <formula2>NaN</formula2>
    </dataValidation>
    <dataValidation type="whole" allowBlank="1" showInputMessage="1" showErrorMessage="1" sqref="X17">
      <formula1>0</formula1>
      <formula2>NaN</formula2>
    </dataValidation>
    <dataValidation type="whole" allowBlank="1" showInputMessage="1" showErrorMessage="1" sqref="X18">
      <formula1>0</formula1>
      <formula2>NaN</formula2>
    </dataValidation>
    <dataValidation type="whole" allowBlank="1" showInputMessage="1" showErrorMessage="1" sqref="X19">
      <formula1>0</formula1>
      <formula2>NaN</formula2>
    </dataValidation>
    <dataValidation type="whole" allowBlank="1" showInputMessage="1" showErrorMessage="1" sqref="X20">
      <formula1>0</formula1>
      <formula2>NaN</formula2>
    </dataValidation>
    <dataValidation type="whole" allowBlank="1" showInputMessage="1" showErrorMessage="1" sqref="X21">
      <formula1>0</formula1>
      <formula2>NaN</formula2>
    </dataValidation>
    <dataValidation type="whole" allowBlank="1" showInputMessage="1" showErrorMessage="1" sqref="X22">
      <formula1>0</formula1>
      <formula2>NaN</formula2>
    </dataValidation>
    <dataValidation type="whole" allowBlank="1" showInputMessage="1" showErrorMessage="1" sqref="X23">
      <formula1>0</formula1>
      <formula2>NaN</formula2>
    </dataValidation>
    <dataValidation type="whole" allowBlank="1" showInputMessage="1" showErrorMessage="1" sqref="X24">
      <formula1>0</formula1>
      <formula2>NaN</formula2>
    </dataValidation>
    <dataValidation type="whole" allowBlank="1" showInputMessage="1" showErrorMessage="1" sqref="X25">
      <formula1>0</formula1>
      <formula2>NaN</formula2>
    </dataValidation>
    <dataValidation type="whole" allowBlank="1" showInputMessage="1" showErrorMessage="1" sqref="X26">
      <formula1>0</formula1>
      <formula2>NaN</formula2>
    </dataValidation>
    <dataValidation type="whole" allowBlank="1" showInputMessage="1" showErrorMessage="1" sqref="X27">
      <formula1>0</formula1>
      <formula2>NaN</formula2>
    </dataValidation>
    <dataValidation type="whole" allowBlank="1" showInputMessage="1" showErrorMessage="1" sqref="X28">
      <formula1>0</formula1>
      <formula2>NaN</formula2>
    </dataValidation>
    <dataValidation type="whole" allowBlank="1" showInputMessage="1" showErrorMessage="1" sqref="X29">
      <formula1>0</formula1>
      <formula2>NaN</formula2>
    </dataValidation>
    <dataValidation type="whole" allowBlank="1" showInputMessage="1" showErrorMessage="1" sqref="X30">
      <formula1>0</formula1>
      <formula2>NaN</formula2>
    </dataValidation>
    <dataValidation type="whole" allowBlank="1" showInputMessage="1" showErrorMessage="1" sqref="X31">
      <formula1>0</formula1>
      <formula2>NaN</formula2>
    </dataValidation>
    <dataValidation type="whole" allowBlank="1" showInputMessage="1" showErrorMessage="1" sqref="X32">
      <formula1>0</formula1>
      <formula2>NaN</formula2>
    </dataValidation>
    <dataValidation type="whole" allowBlank="1" showInputMessage="1" showErrorMessage="1" sqref="X33">
      <formula1>0</formula1>
      <formula2>NaN</formula2>
    </dataValidation>
    <dataValidation type="whole" allowBlank="1" showInputMessage="1" showErrorMessage="1" sqref="X34">
      <formula1>0</formula1>
      <formula2>NaN</formula2>
    </dataValidation>
    <dataValidation type="whole" allowBlank="1" showInputMessage="1" showErrorMessage="1" sqref="X35">
      <formula1>0</formula1>
      <formula2>NaN</formula2>
    </dataValidation>
    <dataValidation type="whole" allowBlank="1" showInputMessage="1" showErrorMessage="1" sqref="X36">
      <formula1>0</formula1>
      <formula2>NaN</formula2>
    </dataValidation>
    <dataValidation type="whole" allowBlank="1" showInputMessage="1" showErrorMessage="1" sqref="X37">
      <formula1>0</formula1>
      <formula2>NaN</formula2>
    </dataValidation>
    <dataValidation type="whole" allowBlank="1" showInputMessage="1" showErrorMessage="1" sqref="X38">
      <formula1>0</formula1>
      <formula2>NaN</formula2>
    </dataValidation>
    <dataValidation type="whole" allowBlank="1" showInputMessage="1" showErrorMessage="1" sqref="X39">
      <formula1>0</formula1>
      <formula2>NaN</formula2>
    </dataValidation>
    <dataValidation type="whole" allowBlank="1" showInputMessage="1" showErrorMessage="1" sqref="X40">
      <formula1>0</formula1>
      <formula2>NaN</formula2>
    </dataValidation>
    <dataValidation type="whole" allowBlank="1" showInputMessage="1" showErrorMessage="1" sqref="X41">
      <formula1>0</formula1>
      <formula2>NaN</formula2>
    </dataValidation>
    <dataValidation type="whole" allowBlank="1" showInputMessage="1" showErrorMessage="1" sqref="X42">
      <formula1>0</formula1>
      <formula2>NaN</formula2>
    </dataValidation>
    <dataValidation type="whole" allowBlank="1" showInputMessage="1" showErrorMessage="1" sqref="X43">
      <formula1>0</formula1>
      <formula2>NaN</formula2>
    </dataValidation>
    <dataValidation type="whole" allowBlank="1" showInputMessage="1" showErrorMessage="1" sqref="X44">
      <formula1>0</formula1>
      <formula2>NaN</formula2>
    </dataValidation>
    <dataValidation type="whole" allowBlank="1" showInputMessage="1" showErrorMessage="1" sqref="X45">
      <formula1>0</formula1>
      <formula2>NaN</formula2>
    </dataValidation>
    <dataValidation type="whole" allowBlank="1" showInputMessage="1" showErrorMessage="1" sqref="X46">
      <formula1>0</formula1>
      <formula2>NaN</formula2>
    </dataValidation>
    <dataValidation type="whole" allowBlank="1" showInputMessage="1" showErrorMessage="1" sqref="X47">
      <formula1>0</formula1>
      <formula2>NaN</formula2>
    </dataValidation>
    <dataValidation type="whole" allowBlank="1" showInputMessage="1" showErrorMessage="1" sqref="X48">
      <formula1>0</formula1>
      <formula2>NaN</formula2>
    </dataValidation>
    <dataValidation type="whole" allowBlank="1" showInputMessage="1" showErrorMessage="1" sqref="X49">
      <formula1>0</formula1>
      <formula2>NaN</formula2>
    </dataValidation>
    <dataValidation type="whole" allowBlank="1" showInputMessage="1" showErrorMessage="1" sqref="X5">
      <formula1>0</formula1>
      <formula2>NaN</formula2>
    </dataValidation>
    <dataValidation type="whole" allowBlank="1" showInputMessage="1" showErrorMessage="1" sqref="X50">
      <formula1>0</formula1>
      <formula2>NaN</formula2>
    </dataValidation>
    <dataValidation type="whole" allowBlank="1" showInputMessage="1" showErrorMessage="1" sqref="X51">
      <formula1>0</formula1>
      <formula2>NaN</formula2>
    </dataValidation>
    <dataValidation type="whole" allowBlank="1" showInputMessage="1" showErrorMessage="1" sqref="X52">
      <formula1>0</formula1>
      <formula2>NaN</formula2>
    </dataValidation>
    <dataValidation type="whole" allowBlank="1" showInputMessage="1" showErrorMessage="1" sqref="X53">
      <formula1>0</formula1>
      <formula2>NaN</formula2>
    </dataValidation>
    <dataValidation type="whole" allowBlank="1" showInputMessage="1" showErrorMessage="1" sqref="X54">
      <formula1>0</formula1>
      <formula2>NaN</formula2>
    </dataValidation>
    <dataValidation type="whole" allowBlank="1" showInputMessage="1" showErrorMessage="1" sqref="X55">
      <formula1>0</formula1>
      <formula2>NaN</formula2>
    </dataValidation>
    <dataValidation type="whole" allowBlank="1" showInputMessage="1" showErrorMessage="1" sqref="X56">
      <formula1>0</formula1>
      <formula2>NaN</formula2>
    </dataValidation>
    <dataValidation type="whole" allowBlank="1" showInputMessage="1" showErrorMessage="1" sqref="X57">
      <formula1>0</formula1>
      <formula2>NaN</formula2>
    </dataValidation>
    <dataValidation type="whole" allowBlank="1" showInputMessage="1" showErrorMessage="1" sqref="X58">
      <formula1>0</formula1>
      <formula2>NaN</formula2>
    </dataValidation>
    <dataValidation type="whole" allowBlank="1" showInputMessage="1" showErrorMessage="1" sqref="X59">
      <formula1>0</formula1>
      <formula2>NaN</formula2>
    </dataValidation>
    <dataValidation type="whole" allowBlank="1" showInputMessage="1" showErrorMessage="1" sqref="X6">
      <formula1>0</formula1>
      <formula2>NaN</formula2>
    </dataValidation>
    <dataValidation type="whole" allowBlank="1" showInputMessage="1" showErrorMessage="1" sqref="X60">
      <formula1>0</formula1>
      <formula2>NaN</formula2>
    </dataValidation>
    <dataValidation type="whole" allowBlank="1" showInputMessage="1" showErrorMessage="1" sqref="X61">
      <formula1>0</formula1>
      <formula2>NaN</formula2>
    </dataValidation>
    <dataValidation type="whole" allowBlank="1" showInputMessage="1" showErrorMessage="1" sqref="X62">
      <formula1>0</formula1>
      <formula2>NaN</formula2>
    </dataValidation>
    <dataValidation type="whole" allowBlank="1" showInputMessage="1" showErrorMessage="1" sqref="X63">
      <formula1>0</formula1>
      <formula2>NaN</formula2>
    </dataValidation>
    <dataValidation type="whole" allowBlank="1" showInputMessage="1" showErrorMessage="1" sqref="X64">
      <formula1>0</formula1>
      <formula2>NaN</formula2>
    </dataValidation>
    <dataValidation type="whole" allowBlank="1" showInputMessage="1" showErrorMessage="1" sqref="X7">
      <formula1>0</formula1>
      <formula2>NaN</formula2>
    </dataValidation>
    <dataValidation type="whole" allowBlank="1" showInputMessage="1" showErrorMessage="1" sqref="X8">
      <formula1>0</formula1>
      <formula2>NaN</formula2>
    </dataValidation>
    <dataValidation type="whole" allowBlank="1" showInputMessage="1" showErrorMessage="1" sqref="X9">
      <formula1>0</formula1>
      <formula2>NaN</formula2>
    </dataValidation>
    <dataValidation type="whole" allowBlank="1" showInputMessage="1" showErrorMessage="1" sqref="Y10">
      <formula1>0</formula1>
      <formula2>NaN</formula2>
    </dataValidation>
    <dataValidation type="whole" allowBlank="1" showInputMessage="1" showErrorMessage="1" sqref="Y11">
      <formula1>0</formula1>
      <formula2>NaN</formula2>
    </dataValidation>
    <dataValidation type="whole" allowBlank="1" showInputMessage="1" showErrorMessage="1" sqref="Y12">
      <formula1>0</formula1>
      <formula2>NaN</formula2>
    </dataValidation>
    <dataValidation type="whole" allowBlank="1" showInputMessage="1" showErrorMessage="1" sqref="Y13">
      <formula1>0</formula1>
      <formula2>NaN</formula2>
    </dataValidation>
    <dataValidation type="whole" allowBlank="1" showInputMessage="1" showErrorMessage="1" sqref="Y14">
      <formula1>0</formula1>
      <formula2>NaN</formula2>
    </dataValidation>
    <dataValidation type="whole" allowBlank="1" showInputMessage="1" showErrorMessage="1" sqref="Y15">
      <formula1>0</formula1>
      <formula2>NaN</formula2>
    </dataValidation>
    <dataValidation type="whole" allowBlank="1" showInputMessage="1" showErrorMessage="1" sqref="Y16">
      <formula1>0</formula1>
      <formula2>NaN</formula2>
    </dataValidation>
    <dataValidation type="whole" allowBlank="1" showInputMessage="1" showErrorMessage="1" sqref="Y17">
      <formula1>0</formula1>
      <formula2>NaN</formula2>
    </dataValidation>
    <dataValidation type="whole" allowBlank="1" showInputMessage="1" showErrorMessage="1" sqref="Y18">
      <formula1>0</formula1>
      <formula2>NaN</formula2>
    </dataValidation>
    <dataValidation type="whole" allowBlank="1" showInputMessage="1" showErrorMessage="1" sqref="Y19">
      <formula1>0</formula1>
      <formula2>NaN</formula2>
    </dataValidation>
    <dataValidation type="whole" allowBlank="1" showInputMessage="1" showErrorMessage="1" sqref="Y20">
      <formula1>0</formula1>
      <formula2>NaN</formula2>
    </dataValidation>
    <dataValidation type="whole" allowBlank="1" showInputMessage="1" showErrorMessage="1" sqref="Y21">
      <formula1>0</formula1>
      <formula2>NaN</formula2>
    </dataValidation>
    <dataValidation type="whole" allowBlank="1" showInputMessage="1" showErrorMessage="1" sqref="Y22">
      <formula1>0</formula1>
      <formula2>NaN</formula2>
    </dataValidation>
    <dataValidation type="whole" allowBlank="1" showInputMessage="1" showErrorMessage="1" sqref="Y23">
      <formula1>0</formula1>
      <formula2>NaN</formula2>
    </dataValidation>
    <dataValidation type="whole" allowBlank="1" showInputMessage="1" showErrorMessage="1" sqref="Y24">
      <formula1>0</formula1>
      <formula2>NaN</formula2>
    </dataValidation>
    <dataValidation type="whole" allowBlank="1" showInputMessage="1" showErrorMessage="1" sqref="Y25">
      <formula1>0</formula1>
      <formula2>NaN</formula2>
    </dataValidation>
    <dataValidation type="whole" allowBlank="1" showInputMessage="1" showErrorMessage="1" sqref="Y26">
      <formula1>0</formula1>
      <formula2>NaN</formula2>
    </dataValidation>
    <dataValidation type="whole" allowBlank="1" showInputMessage="1" showErrorMessage="1" sqref="Y27">
      <formula1>0</formula1>
      <formula2>NaN</formula2>
    </dataValidation>
    <dataValidation type="whole" allowBlank="1" showInputMessage="1" showErrorMessage="1" sqref="Y28">
      <formula1>0</formula1>
      <formula2>NaN</formula2>
    </dataValidation>
    <dataValidation type="whole" allowBlank="1" showInputMessage="1" showErrorMessage="1" sqref="Y29">
      <formula1>0</formula1>
      <formula2>NaN</formula2>
    </dataValidation>
    <dataValidation type="whole" allowBlank="1" showInputMessage="1" showErrorMessage="1" sqref="Y30">
      <formula1>0</formula1>
      <formula2>NaN</formula2>
    </dataValidation>
    <dataValidation type="whole" allowBlank="1" showInputMessage="1" showErrorMessage="1" sqref="Y31">
      <formula1>0</formula1>
      <formula2>NaN</formula2>
    </dataValidation>
    <dataValidation type="whole" allowBlank="1" showInputMessage="1" showErrorMessage="1" sqref="Y32">
      <formula1>0</formula1>
      <formula2>NaN</formula2>
    </dataValidation>
    <dataValidation type="whole" allowBlank="1" showInputMessage="1" showErrorMessage="1" sqref="Y33">
      <formula1>0</formula1>
      <formula2>NaN</formula2>
    </dataValidation>
    <dataValidation type="whole" allowBlank="1" showInputMessage="1" showErrorMessage="1" sqref="Y34">
      <formula1>0</formula1>
      <formula2>NaN</formula2>
    </dataValidation>
    <dataValidation type="whole" allowBlank="1" showInputMessage="1" showErrorMessage="1" sqref="Y35">
      <formula1>0</formula1>
      <formula2>NaN</formula2>
    </dataValidation>
    <dataValidation type="whole" allowBlank="1" showInputMessage="1" showErrorMessage="1" sqref="Y36">
      <formula1>0</formula1>
      <formula2>NaN</formula2>
    </dataValidation>
    <dataValidation type="whole" allowBlank="1" showInputMessage="1" showErrorMessage="1" sqref="Y37">
      <formula1>0</formula1>
      <formula2>NaN</formula2>
    </dataValidation>
    <dataValidation type="whole" allowBlank="1" showInputMessage="1" showErrorMessage="1" sqref="Y38">
      <formula1>0</formula1>
      <formula2>NaN</formula2>
    </dataValidation>
    <dataValidation type="whole" allowBlank="1" showInputMessage="1" showErrorMessage="1" sqref="Y39">
      <formula1>0</formula1>
      <formula2>NaN</formula2>
    </dataValidation>
    <dataValidation type="whole" allowBlank="1" showInputMessage="1" showErrorMessage="1" sqref="Y40">
      <formula1>0</formula1>
      <formula2>NaN</formula2>
    </dataValidation>
    <dataValidation type="whole" allowBlank="1" showInputMessage="1" showErrorMessage="1" sqref="Y41">
      <formula1>0</formula1>
      <formula2>NaN</formula2>
    </dataValidation>
    <dataValidation type="whole" allowBlank="1" showInputMessage="1" showErrorMessage="1" sqref="Y42">
      <formula1>0</formula1>
      <formula2>NaN</formula2>
    </dataValidation>
    <dataValidation type="whole" allowBlank="1" showInputMessage="1" showErrorMessage="1" sqref="Y43">
      <formula1>0</formula1>
      <formula2>NaN</formula2>
    </dataValidation>
    <dataValidation type="whole" allowBlank="1" showInputMessage="1" showErrorMessage="1" sqref="Y44">
      <formula1>0</formula1>
      <formula2>NaN</formula2>
    </dataValidation>
    <dataValidation type="whole" allowBlank="1" showInputMessage="1" showErrorMessage="1" sqref="Y45">
      <formula1>0</formula1>
      <formula2>NaN</formula2>
    </dataValidation>
    <dataValidation type="whole" allowBlank="1" showInputMessage="1" showErrorMessage="1" sqref="Y46">
      <formula1>0</formula1>
      <formula2>NaN</formula2>
    </dataValidation>
    <dataValidation type="whole" allowBlank="1" showInputMessage="1" showErrorMessage="1" sqref="Y47">
      <formula1>0</formula1>
      <formula2>NaN</formula2>
    </dataValidation>
    <dataValidation type="whole" allowBlank="1" showInputMessage="1" showErrorMessage="1" sqref="Y48">
      <formula1>0</formula1>
      <formula2>NaN</formula2>
    </dataValidation>
    <dataValidation type="whole" allowBlank="1" showInputMessage="1" showErrorMessage="1" sqref="Y49">
      <formula1>0</formula1>
      <formula2>NaN</formula2>
    </dataValidation>
    <dataValidation type="whole" allowBlank="1" showInputMessage="1" showErrorMessage="1" sqref="Y5">
      <formula1>0</formula1>
      <formula2>NaN</formula2>
    </dataValidation>
    <dataValidation type="whole" allowBlank="1" showInputMessage="1" showErrorMessage="1" sqref="Y50">
      <formula1>0</formula1>
      <formula2>NaN</formula2>
    </dataValidation>
    <dataValidation type="whole" allowBlank="1" showInputMessage="1" showErrorMessage="1" sqref="Y51">
      <formula1>0</formula1>
      <formula2>NaN</formula2>
    </dataValidation>
    <dataValidation type="whole" allowBlank="1" showInputMessage="1" showErrorMessage="1" sqref="Y52">
      <formula1>0</formula1>
      <formula2>NaN</formula2>
    </dataValidation>
    <dataValidation type="whole" allowBlank="1" showInputMessage="1" showErrorMessage="1" sqref="Y53">
      <formula1>0</formula1>
      <formula2>NaN</formula2>
    </dataValidation>
    <dataValidation type="whole" allowBlank="1" showInputMessage="1" showErrorMessage="1" sqref="Y54">
      <formula1>0</formula1>
      <formula2>NaN</formula2>
    </dataValidation>
    <dataValidation type="whole" allowBlank="1" showInputMessage="1" showErrorMessage="1" sqref="Y55">
      <formula1>0</formula1>
      <formula2>NaN</formula2>
    </dataValidation>
    <dataValidation type="whole" allowBlank="1" showInputMessage="1" showErrorMessage="1" sqref="Y56">
      <formula1>0</formula1>
      <formula2>NaN</formula2>
    </dataValidation>
    <dataValidation type="whole" allowBlank="1" showInputMessage="1" showErrorMessage="1" sqref="Y57">
      <formula1>0</formula1>
      <formula2>NaN</formula2>
    </dataValidation>
    <dataValidation type="whole" allowBlank="1" showInputMessage="1" showErrorMessage="1" sqref="Y58">
      <formula1>0</formula1>
      <formula2>NaN</formula2>
    </dataValidation>
    <dataValidation type="whole" allowBlank="1" showInputMessage="1" showErrorMessage="1" sqref="Y59">
      <formula1>0</formula1>
      <formula2>NaN</formula2>
    </dataValidation>
    <dataValidation type="whole" allowBlank="1" showInputMessage="1" showErrorMessage="1" sqref="Y6">
      <formula1>0</formula1>
      <formula2>NaN</formula2>
    </dataValidation>
    <dataValidation type="whole" allowBlank="1" showInputMessage="1" showErrorMessage="1" sqref="Y60">
      <formula1>0</formula1>
      <formula2>NaN</formula2>
    </dataValidation>
    <dataValidation type="whole" allowBlank="1" showInputMessage="1" showErrorMessage="1" sqref="Y61">
      <formula1>0</formula1>
      <formula2>NaN</formula2>
    </dataValidation>
    <dataValidation type="whole" allowBlank="1" showInputMessage="1" showErrorMessage="1" sqref="Y62">
      <formula1>0</formula1>
      <formula2>NaN</formula2>
    </dataValidation>
    <dataValidation type="whole" allowBlank="1" showInputMessage="1" showErrorMessage="1" sqref="Y63">
      <formula1>0</formula1>
      <formula2>NaN</formula2>
    </dataValidation>
    <dataValidation type="whole" allowBlank="1" showInputMessage="1" showErrorMessage="1" sqref="Y64">
      <formula1>0</formula1>
      <formula2>NaN</formula2>
    </dataValidation>
    <dataValidation type="whole" allowBlank="1" showInputMessage="1" showErrorMessage="1" sqref="Y7">
      <formula1>0</formula1>
      <formula2>NaN</formula2>
    </dataValidation>
    <dataValidation type="whole" allowBlank="1" showInputMessage="1" showErrorMessage="1" sqref="Y8">
      <formula1>0</formula1>
      <formula2>NaN</formula2>
    </dataValidation>
    <dataValidation type="whole" allowBlank="1" showInputMessage="1" showErrorMessage="1" sqref="Y9">
      <formula1>0</formula1>
      <formula2>NaN</formula2>
    </dataValidation>
    <dataValidation type="whole" allowBlank="1" showInputMessage="1" showErrorMessage="1" sqref="Z10">
      <formula1>0</formula1>
      <formula2>NaN</formula2>
    </dataValidation>
    <dataValidation type="whole" allowBlank="1" showInputMessage="1" showErrorMessage="1" sqref="Z11">
      <formula1>0</formula1>
      <formula2>NaN</formula2>
    </dataValidation>
    <dataValidation type="whole" allowBlank="1" showInputMessage="1" showErrorMessage="1" sqref="Z12">
      <formula1>0</formula1>
      <formula2>NaN</formula2>
    </dataValidation>
    <dataValidation type="whole" allowBlank="1" showInputMessage="1" showErrorMessage="1" sqref="Z13">
      <formula1>0</formula1>
      <formula2>NaN</formula2>
    </dataValidation>
    <dataValidation type="whole" allowBlank="1" showInputMessage="1" showErrorMessage="1" sqref="Z14">
      <formula1>0</formula1>
      <formula2>NaN</formula2>
    </dataValidation>
    <dataValidation type="whole" allowBlank="1" showInputMessage="1" showErrorMessage="1" sqref="Z15">
      <formula1>0</formula1>
      <formula2>NaN</formula2>
    </dataValidation>
    <dataValidation type="whole" allowBlank="1" showInputMessage="1" showErrorMessage="1" sqref="Z16">
      <formula1>0</formula1>
      <formula2>NaN</formula2>
    </dataValidation>
    <dataValidation type="whole" allowBlank="1" showInputMessage="1" showErrorMessage="1" sqref="Z17">
      <formula1>0</formula1>
      <formula2>NaN</formula2>
    </dataValidation>
    <dataValidation type="whole" allowBlank="1" showInputMessage="1" showErrorMessage="1" sqref="Z18">
      <formula1>0</formula1>
      <formula2>NaN</formula2>
    </dataValidation>
    <dataValidation type="whole" allowBlank="1" showInputMessage="1" showErrorMessage="1" sqref="Z19">
      <formula1>0</formula1>
      <formula2>NaN</formula2>
    </dataValidation>
    <dataValidation type="whole" allowBlank="1" showInputMessage="1" showErrorMessage="1" sqref="Z20">
      <formula1>0</formula1>
      <formula2>NaN</formula2>
    </dataValidation>
    <dataValidation type="whole" allowBlank="1" showInputMessage="1" showErrorMessage="1" sqref="Z21">
      <formula1>0</formula1>
      <formula2>NaN</formula2>
    </dataValidation>
    <dataValidation type="whole" allowBlank="1" showInputMessage="1" showErrorMessage="1" sqref="Z22">
      <formula1>0</formula1>
      <formula2>NaN</formula2>
    </dataValidation>
    <dataValidation type="whole" allowBlank="1" showInputMessage="1" showErrorMessage="1" sqref="Z23">
      <formula1>0</formula1>
      <formula2>NaN</formula2>
    </dataValidation>
    <dataValidation type="whole" allowBlank="1" showInputMessage="1" showErrorMessage="1" sqref="Z24">
      <formula1>0</formula1>
      <formula2>NaN</formula2>
    </dataValidation>
    <dataValidation type="whole" allowBlank="1" showInputMessage="1" showErrorMessage="1" sqref="Z25">
      <formula1>0</formula1>
      <formula2>NaN</formula2>
    </dataValidation>
    <dataValidation type="whole" allowBlank="1" showInputMessage="1" showErrorMessage="1" sqref="Z26">
      <formula1>0</formula1>
      <formula2>NaN</formula2>
    </dataValidation>
    <dataValidation type="whole" allowBlank="1" showInputMessage="1" showErrorMessage="1" sqref="Z27">
      <formula1>0</formula1>
      <formula2>NaN</formula2>
    </dataValidation>
    <dataValidation type="whole" allowBlank="1" showInputMessage="1" showErrorMessage="1" sqref="Z28">
      <formula1>0</formula1>
      <formula2>NaN</formula2>
    </dataValidation>
    <dataValidation type="whole" allowBlank="1" showInputMessage="1" showErrorMessage="1" sqref="Z29">
      <formula1>0</formula1>
      <formula2>NaN</formula2>
    </dataValidation>
    <dataValidation type="whole" allowBlank="1" showInputMessage="1" showErrorMessage="1" sqref="Z30">
      <formula1>0</formula1>
      <formula2>NaN</formula2>
    </dataValidation>
    <dataValidation type="whole" allowBlank="1" showInputMessage="1" showErrorMessage="1" sqref="Z31">
      <formula1>0</formula1>
      <formula2>NaN</formula2>
    </dataValidation>
    <dataValidation type="whole" allowBlank="1" showInputMessage="1" showErrorMessage="1" sqref="Z32">
      <formula1>0</formula1>
      <formula2>NaN</formula2>
    </dataValidation>
    <dataValidation type="whole" allowBlank="1" showInputMessage="1" showErrorMessage="1" sqref="Z33">
      <formula1>0</formula1>
      <formula2>NaN</formula2>
    </dataValidation>
    <dataValidation type="whole" allowBlank="1" showInputMessage="1" showErrorMessage="1" sqref="Z34">
      <formula1>0</formula1>
      <formula2>NaN</formula2>
    </dataValidation>
    <dataValidation type="whole" allowBlank="1" showInputMessage="1" showErrorMessage="1" sqref="Z35">
      <formula1>0</formula1>
      <formula2>NaN</formula2>
    </dataValidation>
    <dataValidation type="whole" allowBlank="1" showInputMessage="1" showErrorMessage="1" sqref="Z36">
      <formula1>0</formula1>
      <formula2>NaN</formula2>
    </dataValidation>
    <dataValidation type="whole" allowBlank="1" showInputMessage="1" showErrorMessage="1" sqref="Z37">
      <formula1>0</formula1>
      <formula2>NaN</formula2>
    </dataValidation>
    <dataValidation type="whole" allowBlank="1" showInputMessage="1" showErrorMessage="1" sqref="Z38">
      <formula1>0</formula1>
      <formula2>NaN</formula2>
    </dataValidation>
    <dataValidation type="whole" allowBlank="1" showInputMessage="1" showErrorMessage="1" sqref="Z39">
      <formula1>0</formula1>
      <formula2>NaN</formula2>
    </dataValidation>
    <dataValidation type="whole" allowBlank="1" showInputMessage="1" showErrorMessage="1" sqref="Z40">
      <formula1>0</formula1>
      <formula2>NaN</formula2>
    </dataValidation>
    <dataValidation type="whole" allowBlank="1" showInputMessage="1" showErrorMessage="1" sqref="Z41">
      <formula1>0</formula1>
      <formula2>NaN</formula2>
    </dataValidation>
    <dataValidation type="whole" allowBlank="1" showInputMessage="1" showErrorMessage="1" sqref="Z42">
      <formula1>0</formula1>
      <formula2>NaN</formula2>
    </dataValidation>
    <dataValidation type="whole" allowBlank="1" showInputMessage="1" showErrorMessage="1" sqref="Z43">
      <formula1>0</formula1>
      <formula2>NaN</formula2>
    </dataValidation>
    <dataValidation type="whole" allowBlank="1" showInputMessage="1" showErrorMessage="1" sqref="Z44">
      <formula1>0</formula1>
      <formula2>NaN</formula2>
    </dataValidation>
    <dataValidation type="whole" allowBlank="1" showInputMessage="1" showErrorMessage="1" sqref="Z45">
      <formula1>0</formula1>
      <formula2>NaN</formula2>
    </dataValidation>
    <dataValidation type="whole" allowBlank="1" showInputMessage="1" showErrorMessage="1" sqref="Z46">
      <formula1>0</formula1>
      <formula2>NaN</formula2>
    </dataValidation>
    <dataValidation type="whole" allowBlank="1" showInputMessage="1" showErrorMessage="1" sqref="Z47">
      <formula1>0</formula1>
      <formula2>NaN</formula2>
    </dataValidation>
    <dataValidation type="whole" allowBlank="1" showInputMessage="1" showErrorMessage="1" sqref="Z48">
      <formula1>0</formula1>
      <formula2>NaN</formula2>
    </dataValidation>
    <dataValidation type="whole" allowBlank="1" showInputMessage="1" showErrorMessage="1" sqref="Z49">
      <formula1>0</formula1>
      <formula2>NaN</formula2>
    </dataValidation>
    <dataValidation type="whole" allowBlank="1" showInputMessage="1" showErrorMessage="1" sqref="Z5">
      <formula1>0</formula1>
      <formula2>NaN</formula2>
    </dataValidation>
    <dataValidation type="whole" allowBlank="1" showInputMessage="1" showErrorMessage="1" sqref="Z50">
      <formula1>0</formula1>
      <formula2>NaN</formula2>
    </dataValidation>
    <dataValidation type="whole" allowBlank="1" showInputMessage="1" showErrorMessage="1" sqref="Z51">
      <formula1>0</formula1>
      <formula2>NaN</formula2>
    </dataValidation>
    <dataValidation type="whole" allowBlank="1" showInputMessage="1" showErrorMessage="1" sqref="Z52">
      <formula1>0</formula1>
      <formula2>NaN</formula2>
    </dataValidation>
    <dataValidation type="whole" allowBlank="1" showInputMessage="1" showErrorMessage="1" sqref="Z53">
      <formula1>0</formula1>
      <formula2>NaN</formula2>
    </dataValidation>
    <dataValidation type="whole" allowBlank="1" showInputMessage="1" showErrorMessage="1" sqref="Z54">
      <formula1>0</formula1>
      <formula2>NaN</formula2>
    </dataValidation>
    <dataValidation type="whole" allowBlank="1" showInputMessage="1" showErrorMessage="1" sqref="Z55">
      <formula1>0</formula1>
      <formula2>NaN</formula2>
    </dataValidation>
    <dataValidation type="whole" allowBlank="1" showInputMessage="1" showErrorMessage="1" sqref="Z56">
      <formula1>0</formula1>
      <formula2>NaN</formula2>
    </dataValidation>
    <dataValidation type="whole" allowBlank="1" showInputMessage="1" showErrorMessage="1" sqref="Z57">
      <formula1>0</formula1>
      <formula2>NaN</formula2>
    </dataValidation>
    <dataValidation type="whole" allowBlank="1" showInputMessage="1" showErrorMessage="1" sqref="Z58">
      <formula1>0</formula1>
      <formula2>NaN</formula2>
    </dataValidation>
    <dataValidation type="whole" allowBlank="1" showInputMessage="1" showErrorMessage="1" sqref="Z59">
      <formula1>0</formula1>
      <formula2>NaN</formula2>
    </dataValidation>
    <dataValidation type="whole" allowBlank="1" showInputMessage="1" showErrorMessage="1" sqref="Z6">
      <formula1>0</formula1>
      <formula2>NaN</formula2>
    </dataValidation>
    <dataValidation type="whole" allowBlank="1" showInputMessage="1" showErrorMessage="1" sqref="Z60">
      <formula1>0</formula1>
      <formula2>NaN</formula2>
    </dataValidation>
    <dataValidation type="whole" allowBlank="1" showInputMessage="1" showErrorMessage="1" sqref="Z61">
      <formula1>0</formula1>
      <formula2>NaN</formula2>
    </dataValidation>
    <dataValidation type="whole" allowBlank="1" showInputMessage="1" showErrorMessage="1" sqref="Z62">
      <formula1>0</formula1>
      <formula2>NaN</formula2>
    </dataValidation>
    <dataValidation type="whole" allowBlank="1" showInputMessage="1" showErrorMessage="1" sqref="Z63">
      <formula1>0</formula1>
      <formula2>NaN</formula2>
    </dataValidation>
    <dataValidation type="whole" allowBlank="1" showInputMessage="1" showErrorMessage="1" sqref="Z64">
      <formula1>0</formula1>
      <formula2>NaN</formula2>
    </dataValidation>
    <dataValidation type="whole" allowBlank="1" showInputMessage="1" showErrorMessage="1" sqref="Z7">
      <formula1>0</formula1>
      <formula2>NaN</formula2>
    </dataValidation>
    <dataValidation type="whole" allowBlank="1" showInputMessage="1" showErrorMessage="1" sqref="Z8">
      <formula1>0</formula1>
      <formula2>NaN</formula2>
    </dataValidation>
    <dataValidation type="whole" allowBlank="1" showInputMessage="1" showErrorMessage="1" sqref="Z9">
      <formula1>0</formula1>
      <formula2>NaN</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Descriptors Guide</vt:lpstr>
      <vt:lpstr>Data Input</vt:lpstr>
      <vt:lpstr>Term 1</vt:lpstr>
      <vt:lpstr>Term 2</vt:lpstr>
      <vt:lpstr>Term 3</vt:lpstr>
      <vt:lpstr>Grading Summary</vt:lpstr>
      <vt:lpstr>List of School</vt:lpstr>
      <vt:lpstr>Attendance</vt:lpstr>
      <vt:lpstr>IAR</vt:lpstr>
      <vt:lpstr>LFS</vt:lpstr>
      <vt:lpstr>Intervention</vt:lpstr>
      <vt:lpstr>Helper 2</vt:lpstr>
      <vt:lpstr>Helper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Añonuevo, Eleagershom I.</dc:creator>
  <dc:title/>
  <dc:subject/>
  <dc:description/>
  <cp:keywords/>
  <cp:category/>
  <cp:lastModifiedBy>JOHN MARQ RAMOS</cp:lastModifiedBy>
  <cp:contentStatus/>
  <dcterms:created xsi:type="dcterms:W3CDTF">2026-06-23T03:38:42Z</dcterms:created>
  <dcterms:modified xsi:type="dcterms:W3CDTF">2026-10-04T15:13:40Z</dcterms:modified>
</cp:coreProperties>
</file>