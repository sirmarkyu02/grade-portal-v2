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C:\Users\PC\Desktop\Tertiary\"/>
    </mc:Choice>
  </mc:AlternateContent>
  <xr:revisionPtr revIDLastSave="0" documentId="13_ncr:1_{0B50A5D3-01F8-485F-B7BE-A7C8F14B1CCC}" xr6:coauthVersionLast="47" xr6:coauthVersionMax="47" xr10:uidLastSave="{00000000-0000-0000-0000-000000000000}"/>
  <bookViews>
    <workbookView xWindow="-120" yWindow="-120" windowWidth="20730" windowHeight="11040" tabRatio="717" activeTab="2" xr2:uid="{F90F9B58-98AD-433F-B6B8-4E5F9AE0324C}"/>
  </bookViews>
  <sheets>
    <sheet name="Instructions" sheetId="19" r:id="rId1"/>
    <sheet name="Settings" sheetId="17" r:id="rId2"/>
    <sheet name="Input" sheetId="18" r:id="rId3"/>
    <sheet name="PRELIMS" sheetId="16" r:id="rId4"/>
    <sheet name="MIDTERM" sheetId="10" r:id="rId5"/>
    <sheet name="PRE-FINALS" sheetId="13" r:id="rId6"/>
    <sheet name="FINALS" sheetId="14" r:id="rId7"/>
    <sheet name="Summary" sheetId="5" r:id="rId8"/>
    <sheet name="TRANSMUTATION" sheetId="15" state="hidden" r:id="rId9"/>
  </sheets>
  <definedNames>
    <definedName name="_xlnm.Print_Area" localSheetId="6">FINALS!$C$1:$AO$56</definedName>
    <definedName name="_xlnm.Print_Area" localSheetId="2">Input!$G$3:$BF$57</definedName>
    <definedName name="_xlnm.Print_Area" localSheetId="4">MIDTERM!$C$1:$AO$57</definedName>
    <definedName name="_xlnm.Print_Area" localSheetId="5">'PRE-FINALS'!$C$1:$AO$57</definedName>
    <definedName name="_xlnm.Print_Area" localSheetId="3">PRELIMS!$C$1:$AN$57</definedName>
    <definedName name="_xlnm.Print_Area" localSheetId="7">Summary!$B$2:$U$57</definedName>
    <definedName name="_xlnm.Print_Titles" localSheetId="2">Input!$C:$F,Input!$1:$2</definedName>
    <definedName name="StudentNames">Input!$F$8:$F$57</definedName>
    <definedName name="TRANSMUTATION">TRANSMUTATION!$A$2:$B$13</definedName>
  </definedNames>
  <calcPr calcId="191029"/>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 i="5" l="1"/>
  <c r="D4" i="14"/>
  <c r="D4" i="13"/>
  <c r="D4" i="10"/>
  <c r="D4" i="16"/>
  <c r="D4" i="18"/>
  <c r="BE33" i="18"/>
  <c r="BE34" i="18"/>
  <c r="BE35" i="18"/>
  <c r="BE36" i="18"/>
  <c r="BE37" i="18"/>
  <c r="BE38" i="18"/>
  <c r="BE39" i="18"/>
  <c r="BE40" i="18"/>
  <c r="BE41" i="18"/>
  <c r="BE42" i="18"/>
  <c r="BE43" i="18"/>
  <c r="BE44" i="18"/>
  <c r="BE45" i="18"/>
  <c r="BE46" i="18"/>
  <c r="BE47" i="18"/>
  <c r="BE48" i="18"/>
  <c r="BE49" i="18"/>
  <c r="BE50" i="18"/>
  <c r="BE51" i="18"/>
  <c r="BE52" i="18"/>
  <c r="BE53" i="18"/>
  <c r="BE54" i="18"/>
  <c r="BE55" i="18"/>
  <c r="BE56" i="18"/>
  <c r="BE57" i="18"/>
  <c r="E8" i="5"/>
  <c r="AP10" i="18"/>
  <c r="AP11" i="18"/>
  <c r="AP12" i="18"/>
  <c r="AP13" i="18"/>
  <c r="AP14" i="18"/>
  <c r="AP15" i="18"/>
  <c r="AP16" i="18"/>
  <c r="AP17" i="18"/>
  <c r="AP18" i="18"/>
  <c r="AP19" i="18"/>
  <c r="AP20" i="18"/>
  <c r="AP21" i="18"/>
  <c r="AP22" i="18"/>
  <c r="AP23" i="18"/>
  <c r="AP24" i="18"/>
  <c r="AP25" i="18"/>
  <c r="AP26" i="18"/>
  <c r="AP27" i="18"/>
  <c r="AP28" i="18"/>
  <c r="AP29" i="18"/>
  <c r="AP30" i="18"/>
  <c r="AP31" i="18"/>
  <c r="AP32" i="18"/>
  <c r="AP33" i="18"/>
  <c r="AP34" i="18"/>
  <c r="AP35" i="18"/>
  <c r="AP36" i="18"/>
  <c r="AP37" i="18"/>
  <c r="AP38" i="18"/>
  <c r="AP39" i="18"/>
  <c r="AP40" i="18"/>
  <c r="AP41" i="18"/>
  <c r="AP42" i="18"/>
  <c r="AP43" i="18"/>
  <c r="AP44" i="18"/>
  <c r="AP45" i="18"/>
  <c r="AP46" i="18"/>
  <c r="AP47" i="18"/>
  <c r="AP48" i="18"/>
  <c r="AP49" i="18"/>
  <c r="AP50" i="18"/>
  <c r="AP51" i="18"/>
  <c r="AP52" i="18"/>
  <c r="AP53" i="18"/>
  <c r="AP54" i="18"/>
  <c r="AP55" i="18"/>
  <c r="AP56" i="18"/>
  <c r="J6" i="18"/>
  <c r="F43" i="14"/>
  <c r="AM43" i="14" s="1"/>
  <c r="G6" i="18"/>
  <c r="Q6" i="18" l="1"/>
  <c r="O6" i="18"/>
  <c r="AG5" i="16" s="1"/>
  <c r="N6" i="18"/>
  <c r="AE5" i="16" s="1"/>
  <c r="M6" i="18"/>
  <c r="AC5" i="16" s="1"/>
  <c r="L6" i="18"/>
  <c r="H6" i="18"/>
  <c r="I6" i="18"/>
  <c r="R13" i="18" l="1"/>
  <c r="R21" i="18"/>
  <c r="R29" i="18"/>
  <c r="R37" i="18"/>
  <c r="R45" i="18"/>
  <c r="R53" i="18"/>
  <c r="R36" i="18"/>
  <c r="R14" i="18"/>
  <c r="R22" i="18"/>
  <c r="R30" i="18"/>
  <c r="R38" i="18"/>
  <c r="R46" i="18"/>
  <c r="R54" i="18"/>
  <c r="R15" i="18"/>
  <c r="R23" i="18"/>
  <c r="R31" i="18"/>
  <c r="R39" i="18"/>
  <c r="R47" i="18"/>
  <c r="R55" i="18"/>
  <c r="R52" i="18"/>
  <c r="R16" i="18"/>
  <c r="R24" i="18"/>
  <c r="R32" i="18"/>
  <c r="R40" i="18"/>
  <c r="R48" i="18"/>
  <c r="R56" i="18"/>
  <c r="R9" i="18"/>
  <c r="R17" i="18"/>
  <c r="R25" i="18"/>
  <c r="R33" i="18"/>
  <c r="R41" i="18"/>
  <c r="R49" i="18"/>
  <c r="R57" i="18"/>
  <c r="R10" i="18"/>
  <c r="R18" i="18"/>
  <c r="R26" i="18"/>
  <c r="R34" i="18"/>
  <c r="R42" i="18"/>
  <c r="R50" i="18"/>
  <c r="R28" i="18"/>
  <c r="R11" i="18"/>
  <c r="R19" i="18"/>
  <c r="R27" i="18"/>
  <c r="R35" i="18"/>
  <c r="R43" i="18"/>
  <c r="R51" i="18"/>
  <c r="R8" i="18"/>
  <c r="R12" i="18"/>
  <c r="R20" i="18"/>
  <c r="R44" i="18"/>
  <c r="AA5" i="16"/>
  <c r="AM57" i="14" l="1"/>
  <c r="AL57" i="14"/>
  <c r="AM57" i="16"/>
  <c r="Y57" i="10"/>
  <c r="AK6" i="14" l="1"/>
  <c r="AK6" i="13"/>
  <c r="AK6" i="10"/>
  <c r="AK6" i="16"/>
  <c r="AE57" i="10" l="1"/>
  <c r="AE57" i="14"/>
  <c r="AE57" i="13"/>
  <c r="AE57" i="16"/>
  <c r="BA7" i="18"/>
  <c r="AE6" i="14" s="1"/>
  <c r="BA6" i="18"/>
  <c r="AE5" i="14" s="1"/>
  <c r="AN7" i="18"/>
  <c r="AE6" i="13" s="1"/>
  <c r="AN6" i="18"/>
  <c r="AE5" i="13" s="1"/>
  <c r="AA7" i="18"/>
  <c r="AE6" i="10" s="1"/>
  <c r="AA6" i="18"/>
  <c r="AE5" i="10" s="1"/>
  <c r="N7" i="18"/>
  <c r="AE6" i="16" s="1"/>
  <c r="M7" i="18"/>
  <c r="AF43" i="14" l="1"/>
  <c r="AF57" i="14"/>
  <c r="AF57" i="13"/>
  <c r="AF57" i="10"/>
  <c r="AF57" i="16"/>
  <c r="O14" i="17" l="1"/>
  <c r="S14" i="17"/>
  <c r="S41" i="17" s="1"/>
  <c r="K14" i="17"/>
  <c r="K41" i="17" s="1"/>
  <c r="G14" i="17"/>
  <c r="U57" i="14"/>
  <c r="T57" i="14"/>
  <c r="S57" i="14"/>
  <c r="R57" i="14"/>
  <c r="Q57" i="14"/>
  <c r="P57" i="14"/>
  <c r="O57" i="14"/>
  <c r="N57" i="14"/>
  <c r="M57" i="14"/>
  <c r="L57" i="14"/>
  <c r="K57" i="14"/>
  <c r="J57" i="14"/>
  <c r="I57" i="14"/>
  <c r="H57" i="14"/>
  <c r="G57" i="14"/>
  <c r="G57" i="16" l="1"/>
  <c r="H57" i="16"/>
  <c r="I57" i="16"/>
  <c r="J57" i="16"/>
  <c r="K57" i="16"/>
  <c r="L57" i="16"/>
  <c r="M57" i="16"/>
  <c r="N57" i="16"/>
  <c r="O57" i="16"/>
  <c r="P57" i="16"/>
  <c r="Q57" i="16"/>
  <c r="R57" i="16"/>
  <c r="S57" i="16"/>
  <c r="T57" i="16"/>
  <c r="U57" i="16"/>
  <c r="G57" i="10"/>
  <c r="H57" i="10"/>
  <c r="I57" i="10"/>
  <c r="J57" i="10"/>
  <c r="K57" i="10"/>
  <c r="L57" i="10"/>
  <c r="M57" i="10"/>
  <c r="N57" i="10"/>
  <c r="O57" i="10"/>
  <c r="P57" i="10"/>
  <c r="Q57" i="10"/>
  <c r="R57" i="10"/>
  <c r="S57" i="10"/>
  <c r="T57" i="10"/>
  <c r="U57" i="10"/>
  <c r="G57" i="13"/>
  <c r="H57" i="13"/>
  <c r="I57" i="13"/>
  <c r="J57" i="13"/>
  <c r="K57" i="13"/>
  <c r="L57" i="13"/>
  <c r="M57" i="13"/>
  <c r="N57" i="13"/>
  <c r="O57" i="13"/>
  <c r="P57" i="13"/>
  <c r="Q57" i="13"/>
  <c r="R57" i="13"/>
  <c r="S57" i="13"/>
  <c r="T57" i="13"/>
  <c r="U57" i="13"/>
  <c r="O41" i="17"/>
  <c r="E37" i="5" l="1"/>
  <c r="G37" i="5"/>
  <c r="R37" i="5" s="1"/>
  <c r="E38" i="5"/>
  <c r="G38" i="5"/>
  <c r="R38" i="5" s="1"/>
  <c r="E39" i="5"/>
  <c r="G39" i="5"/>
  <c r="R39" i="5" s="1"/>
  <c r="E40" i="5"/>
  <c r="G40" i="5"/>
  <c r="R40" i="5" s="1"/>
  <c r="E41" i="5"/>
  <c r="G41" i="5"/>
  <c r="R41" i="5" s="1"/>
  <c r="E42" i="5"/>
  <c r="G42" i="5"/>
  <c r="R42" i="5" s="1"/>
  <c r="E43" i="5"/>
  <c r="G43" i="5"/>
  <c r="R43" i="5" s="1"/>
  <c r="E44" i="5"/>
  <c r="G44" i="5"/>
  <c r="R44" i="5" s="1"/>
  <c r="E45" i="5"/>
  <c r="G45" i="5"/>
  <c r="R45" i="5" s="1"/>
  <c r="E46" i="5"/>
  <c r="G46" i="5"/>
  <c r="R46" i="5" s="1"/>
  <c r="E47" i="5"/>
  <c r="G47" i="5"/>
  <c r="R47" i="5" s="1"/>
  <c r="E48" i="5"/>
  <c r="G48" i="5"/>
  <c r="R48" i="5" s="1"/>
  <c r="E49" i="5"/>
  <c r="G49" i="5"/>
  <c r="R49" i="5" s="1"/>
  <c r="E50" i="5"/>
  <c r="G50" i="5"/>
  <c r="R50" i="5" s="1"/>
  <c r="E51" i="5"/>
  <c r="G51" i="5"/>
  <c r="R51" i="5" s="1"/>
  <c r="E52" i="5"/>
  <c r="G52" i="5"/>
  <c r="R52" i="5" s="1"/>
  <c r="E53" i="5"/>
  <c r="G53" i="5"/>
  <c r="R53" i="5" s="1"/>
  <c r="E54" i="5"/>
  <c r="G54" i="5"/>
  <c r="R54" i="5" s="1"/>
  <c r="E55" i="5"/>
  <c r="G55" i="5"/>
  <c r="R55" i="5" s="1"/>
  <c r="E56" i="5"/>
  <c r="G56" i="5"/>
  <c r="R56" i="5" s="1"/>
  <c r="F36" i="14"/>
  <c r="AM36" i="14" s="1"/>
  <c r="F37" i="14"/>
  <c r="AM37" i="14" s="1"/>
  <c r="F38" i="14"/>
  <c r="AM38" i="14" s="1"/>
  <c r="F39" i="14"/>
  <c r="AM39" i="14" s="1"/>
  <c r="F40" i="14"/>
  <c r="AM40" i="14" s="1"/>
  <c r="F41" i="14"/>
  <c r="AM41" i="14" s="1"/>
  <c r="F42" i="14"/>
  <c r="AM42" i="14" s="1"/>
  <c r="D43" i="14"/>
  <c r="D44" i="14"/>
  <c r="F44" i="14"/>
  <c r="AM44" i="14" s="1"/>
  <c r="D45" i="14"/>
  <c r="F45" i="14"/>
  <c r="AM45" i="14" s="1"/>
  <c r="D46" i="14"/>
  <c r="F46" i="14"/>
  <c r="AM46" i="14" s="1"/>
  <c r="D47" i="14"/>
  <c r="F47" i="14"/>
  <c r="AM47" i="14" s="1"/>
  <c r="D48" i="14"/>
  <c r="F48" i="14"/>
  <c r="AM48" i="14" s="1"/>
  <c r="D49" i="14"/>
  <c r="F49" i="14"/>
  <c r="AM49" i="14" s="1"/>
  <c r="D50" i="14"/>
  <c r="F50" i="14"/>
  <c r="AM50" i="14" s="1"/>
  <c r="D51" i="14"/>
  <c r="F51" i="14"/>
  <c r="AM51" i="14" s="1"/>
  <c r="D52" i="14"/>
  <c r="F52" i="14"/>
  <c r="AM52" i="14" s="1"/>
  <c r="D53" i="14"/>
  <c r="F53" i="14"/>
  <c r="AM53" i="14" s="1"/>
  <c r="D54" i="14"/>
  <c r="F54" i="14"/>
  <c r="AM54" i="14" s="1"/>
  <c r="D55" i="14"/>
  <c r="F55" i="14"/>
  <c r="AM55" i="14" s="1"/>
  <c r="D56" i="14"/>
  <c r="F56" i="14"/>
  <c r="AM56" i="14" s="1"/>
  <c r="D36" i="13"/>
  <c r="F36" i="13"/>
  <c r="D37" i="13"/>
  <c r="F37" i="13"/>
  <c r="D38" i="13"/>
  <c r="F38" i="13"/>
  <c r="D39" i="13"/>
  <c r="F39" i="13"/>
  <c r="D40" i="13"/>
  <c r="F40" i="13"/>
  <c r="D41" i="13"/>
  <c r="F41" i="13"/>
  <c r="D42" i="13"/>
  <c r="F42" i="13"/>
  <c r="F43" i="13"/>
  <c r="D44" i="13"/>
  <c r="F44" i="13"/>
  <c r="D45" i="13"/>
  <c r="F45" i="13"/>
  <c r="D46" i="13"/>
  <c r="F46" i="13"/>
  <c r="D47" i="13"/>
  <c r="F47" i="13"/>
  <c r="D48" i="13"/>
  <c r="F48" i="13"/>
  <c r="D49" i="13"/>
  <c r="F49" i="13"/>
  <c r="D50" i="13"/>
  <c r="F50" i="13"/>
  <c r="D51" i="13"/>
  <c r="F51" i="13"/>
  <c r="D52" i="13"/>
  <c r="F52" i="13"/>
  <c r="D53" i="13"/>
  <c r="F53" i="13"/>
  <c r="D54" i="13"/>
  <c r="F54" i="13"/>
  <c r="D55" i="13"/>
  <c r="F55" i="13"/>
  <c r="D56" i="13"/>
  <c r="F56" i="13"/>
  <c r="AM56" i="13" s="1"/>
  <c r="D41" i="10"/>
  <c r="F41" i="10"/>
  <c r="AM41" i="10" s="1"/>
  <c r="D42" i="10"/>
  <c r="F42" i="10"/>
  <c r="AM42" i="10" s="1"/>
  <c r="F43" i="10"/>
  <c r="AM43" i="10" s="1"/>
  <c r="D44" i="10"/>
  <c r="F44" i="10"/>
  <c r="AM44" i="10" s="1"/>
  <c r="D45" i="10"/>
  <c r="F45" i="10"/>
  <c r="AM45" i="10" s="1"/>
  <c r="D46" i="10"/>
  <c r="F46" i="10"/>
  <c r="AM46" i="10" s="1"/>
  <c r="D47" i="10"/>
  <c r="F47" i="10"/>
  <c r="AM47" i="10" s="1"/>
  <c r="D48" i="10"/>
  <c r="F48" i="10"/>
  <c r="AM48" i="10" s="1"/>
  <c r="D49" i="10"/>
  <c r="F49" i="10"/>
  <c r="AM49" i="10" s="1"/>
  <c r="D50" i="10"/>
  <c r="F50" i="10"/>
  <c r="AM50" i="10" s="1"/>
  <c r="D51" i="10"/>
  <c r="F51" i="10"/>
  <c r="AM51" i="10" s="1"/>
  <c r="D52" i="10"/>
  <c r="F52" i="10"/>
  <c r="AM52" i="10" s="1"/>
  <c r="D53" i="10"/>
  <c r="F53" i="10"/>
  <c r="AM53" i="10" s="1"/>
  <c r="D54" i="10"/>
  <c r="F54" i="10"/>
  <c r="AM54" i="10" s="1"/>
  <c r="D55" i="10"/>
  <c r="F55" i="10"/>
  <c r="AM55" i="10" s="1"/>
  <c r="D56" i="10"/>
  <c r="F56" i="10"/>
  <c r="AM56" i="10" s="1"/>
  <c r="D47" i="16"/>
  <c r="F47" i="16"/>
  <c r="AM47" i="16" s="1"/>
  <c r="D48" i="16"/>
  <c r="F48" i="16"/>
  <c r="AM48" i="16" s="1"/>
  <c r="D49" i="16"/>
  <c r="F49" i="16"/>
  <c r="AM49" i="16" s="1"/>
  <c r="D50" i="16"/>
  <c r="F50" i="16"/>
  <c r="AM50" i="16" s="1"/>
  <c r="D51" i="16"/>
  <c r="F51" i="16"/>
  <c r="AM51" i="16" s="1"/>
  <c r="D52" i="16"/>
  <c r="F52" i="16"/>
  <c r="AM52" i="16" s="1"/>
  <c r="D53" i="16"/>
  <c r="F53" i="16"/>
  <c r="AM53" i="16" s="1"/>
  <c r="D54" i="16"/>
  <c r="F54" i="16"/>
  <c r="AM54" i="16" s="1"/>
  <c r="D55" i="16"/>
  <c r="F55" i="16"/>
  <c r="AM55" i="16" s="1"/>
  <c r="D56" i="16"/>
  <c r="F56" i="16"/>
  <c r="AM56" i="16" s="1"/>
  <c r="D46" i="16"/>
  <c r="F46" i="16"/>
  <c r="AM46" i="16" s="1"/>
  <c r="AM36" i="13" l="1"/>
  <c r="AI36" i="13"/>
  <c r="AM37" i="13"/>
  <c r="AI37" i="13"/>
  <c r="AM38" i="13"/>
  <c r="AI38" i="13"/>
  <c r="AM39" i="13"/>
  <c r="AI39" i="13"/>
  <c r="AM40" i="13"/>
  <c r="AI40" i="13"/>
  <c r="AM41" i="13"/>
  <c r="AI41" i="13"/>
  <c r="AM42" i="13"/>
  <c r="AI42" i="13"/>
  <c r="AM43" i="13"/>
  <c r="AI43" i="13"/>
  <c r="AM44" i="13"/>
  <c r="AI44" i="13"/>
  <c r="AM45" i="13"/>
  <c r="AI45" i="13"/>
  <c r="AM46" i="13"/>
  <c r="AI46" i="13"/>
  <c r="AI47" i="13"/>
  <c r="AM47" i="13"/>
  <c r="AI48" i="13"/>
  <c r="AM48" i="13"/>
  <c r="AI49" i="13"/>
  <c r="AM49" i="13"/>
  <c r="AI50" i="13"/>
  <c r="AM50" i="13"/>
  <c r="AM51" i="13"/>
  <c r="AI51" i="13"/>
  <c r="AM52" i="13"/>
  <c r="AI52" i="13"/>
  <c r="AI53" i="13"/>
  <c r="AM53" i="13"/>
  <c r="AM54" i="13"/>
  <c r="AI54" i="13"/>
  <c r="AM55" i="13"/>
  <c r="AI55" i="13"/>
  <c r="AF56" i="10"/>
  <c r="AF56" i="16"/>
  <c r="AF56" i="13"/>
  <c r="AF56" i="14"/>
  <c r="AF55" i="14"/>
  <c r="AF55" i="13"/>
  <c r="AF55" i="10"/>
  <c r="AF55" i="16"/>
  <c r="AF54" i="13"/>
  <c r="AF54" i="14"/>
  <c r="AF54" i="16"/>
  <c r="AF54" i="10"/>
  <c r="AF53" i="16"/>
  <c r="AF53" i="13"/>
  <c r="AF53" i="14"/>
  <c r="AF53" i="10"/>
  <c r="AF52" i="14"/>
  <c r="AF52" i="10"/>
  <c r="AF52" i="16"/>
  <c r="AF52" i="13"/>
  <c r="AF51" i="13"/>
  <c r="AF51" i="14"/>
  <c r="AF51" i="10"/>
  <c r="AF51" i="16"/>
  <c r="AF50" i="16"/>
  <c r="AF50" i="13"/>
  <c r="AF50" i="10"/>
  <c r="AF50" i="14"/>
  <c r="AF49" i="16"/>
  <c r="AF49" i="13"/>
  <c r="AF49" i="14"/>
  <c r="AF49" i="10"/>
  <c r="AF48" i="10"/>
  <c r="AF48" i="14"/>
  <c r="AF48" i="16"/>
  <c r="AF48" i="13"/>
  <c r="AF47" i="13"/>
  <c r="AF47" i="14"/>
  <c r="AF47" i="10"/>
  <c r="AF47" i="16"/>
  <c r="AF46" i="16"/>
  <c r="AF46" i="13"/>
  <c r="AF46" i="14"/>
  <c r="AF46" i="10"/>
  <c r="AF45" i="14"/>
  <c r="AF45" i="10"/>
  <c r="AF45" i="13"/>
  <c r="AF44" i="14"/>
  <c r="AF44" i="10"/>
  <c r="AF44" i="13"/>
  <c r="AF43" i="13"/>
  <c r="AF43" i="10"/>
  <c r="AF42" i="13"/>
  <c r="AF42" i="10"/>
  <c r="AF41" i="10"/>
  <c r="AF41" i="13"/>
  <c r="AF40" i="13"/>
  <c r="AF39" i="13"/>
  <c r="AF38" i="13"/>
  <c r="AF37" i="13"/>
  <c r="AF36" i="13"/>
  <c r="AL47" i="16"/>
  <c r="AB47" i="16"/>
  <c r="AL48" i="16"/>
  <c r="AB48" i="16"/>
  <c r="AL49" i="16"/>
  <c r="AB49" i="16"/>
  <c r="AL50" i="16"/>
  <c r="AB50" i="16"/>
  <c r="AL51" i="16"/>
  <c r="AB51" i="16"/>
  <c r="AL52" i="16"/>
  <c r="AB52" i="16"/>
  <c r="AL53" i="16"/>
  <c r="AB53" i="16"/>
  <c r="AL54" i="16"/>
  <c r="AB54" i="16"/>
  <c r="AL55" i="16"/>
  <c r="AB55" i="16"/>
  <c r="AL56" i="16"/>
  <c r="AB56" i="16"/>
  <c r="D43" i="10"/>
  <c r="D43" i="13"/>
  <c r="AL46" i="16"/>
  <c r="AB46" i="16"/>
  <c r="AC46" i="16"/>
  <c r="D37" i="14"/>
  <c r="AF37" i="14"/>
  <c r="D42" i="14"/>
  <c r="AF42" i="14"/>
  <c r="D41" i="14"/>
  <c r="AF41" i="14"/>
  <c r="D40" i="14"/>
  <c r="AF40" i="14"/>
  <c r="D36" i="14"/>
  <c r="AF36" i="14"/>
  <c r="D39" i="14"/>
  <c r="AF39" i="14"/>
  <c r="D38" i="14"/>
  <c r="AF38" i="14"/>
  <c r="AE55" i="14"/>
  <c r="AE51" i="14"/>
  <c r="AE47" i="14"/>
  <c r="AE43" i="14"/>
  <c r="AE39" i="14"/>
  <c r="AE54" i="14"/>
  <c r="AE50" i="14"/>
  <c r="AE46" i="14"/>
  <c r="AE42" i="14"/>
  <c r="AE38" i="14"/>
  <c r="AE53" i="14"/>
  <c r="AE49" i="14"/>
  <c r="AE45" i="14"/>
  <c r="AE41" i="14"/>
  <c r="AE37" i="14"/>
  <c r="AE56" i="14"/>
  <c r="AE52" i="14"/>
  <c r="AE48" i="14"/>
  <c r="AE44" i="14"/>
  <c r="AE40" i="14"/>
  <c r="AE36" i="14"/>
  <c r="AE54" i="13"/>
  <c r="AE50" i="13"/>
  <c r="AE46" i="13"/>
  <c r="AE42" i="13"/>
  <c r="AE38" i="13"/>
  <c r="AE53" i="13"/>
  <c r="AE49" i="13"/>
  <c r="AE45" i="13"/>
  <c r="AE41" i="13"/>
  <c r="AE37" i="13"/>
  <c r="AE56" i="13"/>
  <c r="AE52" i="13"/>
  <c r="AE48" i="13"/>
  <c r="AE44" i="13"/>
  <c r="AE40" i="13"/>
  <c r="AE36" i="13"/>
  <c r="AE55" i="13"/>
  <c r="AE51" i="13"/>
  <c r="AE47" i="13"/>
  <c r="AE43" i="13"/>
  <c r="AE39" i="13"/>
  <c r="AE54" i="10"/>
  <c r="AE50" i="10"/>
  <c r="AE46" i="10"/>
  <c r="AE42" i="10"/>
  <c r="AE53" i="10"/>
  <c r="AE49" i="10"/>
  <c r="AE45" i="10"/>
  <c r="AE41" i="10"/>
  <c r="AE56" i="10"/>
  <c r="AE52" i="10"/>
  <c r="AE48" i="10"/>
  <c r="AE44" i="10"/>
  <c r="AE55" i="10"/>
  <c r="AE51" i="10"/>
  <c r="AE47" i="10"/>
  <c r="AE43" i="10"/>
  <c r="AE56" i="16"/>
  <c r="AE52" i="16"/>
  <c r="AE48" i="16"/>
  <c r="AE55" i="16"/>
  <c r="AE51" i="16"/>
  <c r="AE47" i="16"/>
  <c r="AE54" i="16"/>
  <c r="AE50" i="16"/>
  <c r="AE53" i="16"/>
  <c r="AE49" i="16"/>
  <c r="AE46" i="16"/>
  <c r="AK56" i="10"/>
  <c r="AK50" i="10"/>
  <c r="AK46" i="10"/>
  <c r="AK54" i="13"/>
  <c r="AA52" i="13"/>
  <c r="AK48" i="13"/>
  <c r="AK40" i="13"/>
  <c r="AK55" i="10"/>
  <c r="AK53" i="10"/>
  <c r="AK51" i="10"/>
  <c r="AK49" i="10"/>
  <c r="AK47" i="10"/>
  <c r="AK45" i="10"/>
  <c r="AK55" i="13"/>
  <c r="AK53" i="13"/>
  <c r="AK51" i="13"/>
  <c r="AK47" i="13"/>
  <c r="AK45" i="13"/>
  <c r="AK43" i="13"/>
  <c r="AC41" i="13"/>
  <c r="AK39" i="13"/>
  <c r="AK37" i="13"/>
  <c r="AK54" i="10"/>
  <c r="AK56" i="13"/>
  <c r="AK42" i="13"/>
  <c r="AK38" i="13"/>
  <c r="AK52" i="16"/>
  <c r="AK56" i="16"/>
  <c r="AK54" i="16"/>
  <c r="AC48" i="16"/>
  <c r="AK55" i="16"/>
  <c r="AC53" i="16"/>
  <c r="AK51" i="16"/>
  <c r="AC50" i="16"/>
  <c r="AK53" i="14"/>
  <c r="AK54" i="14"/>
  <c r="AC50" i="14"/>
  <c r="AK38" i="14"/>
  <c r="AC49" i="14"/>
  <c r="AK41" i="14"/>
  <c r="AK37" i="14"/>
  <c r="AK51" i="14"/>
  <c r="AK56" i="14"/>
  <c r="AK52" i="14"/>
  <c r="AK40" i="14"/>
  <c r="AK47" i="14"/>
  <c r="AK52" i="10"/>
  <c r="AK52" i="13"/>
  <c r="AK53" i="16"/>
  <c r="AK50" i="16"/>
  <c r="AK44" i="14"/>
  <c r="AK48" i="16"/>
  <c r="AK49" i="16"/>
  <c r="AK48" i="10"/>
  <c r="AK46" i="16"/>
  <c r="AK47" i="16"/>
  <c r="AK46" i="14"/>
  <c r="AK43" i="10"/>
  <c r="AK55" i="14"/>
  <c r="AK50" i="13"/>
  <c r="AK46" i="13"/>
  <c r="AK36" i="13"/>
  <c r="AK44" i="13"/>
  <c r="AK42" i="14"/>
  <c r="AK42" i="10"/>
  <c r="AK50" i="14"/>
  <c r="AC47" i="16"/>
  <c r="AC41" i="10"/>
  <c r="AK49" i="14"/>
  <c r="AA47" i="16"/>
  <c r="AA48" i="10"/>
  <c r="AK44" i="10"/>
  <c r="AA43" i="10"/>
  <c r="AK48" i="14"/>
  <c r="AK43" i="14"/>
  <c r="AK39" i="14"/>
  <c r="AK36" i="14"/>
  <c r="AG47" i="16"/>
  <c r="AK41" i="10"/>
  <c r="AK49" i="13"/>
  <c r="AK41" i="13"/>
  <c r="AK45" i="14"/>
  <c r="AA36" i="14"/>
  <c r="AC50" i="13"/>
  <c r="AC52" i="13"/>
  <c r="AC36" i="14"/>
  <c r="AA46" i="16"/>
  <c r="AA50" i="13"/>
  <c r="AC47" i="13"/>
  <c r="AC44" i="13"/>
  <c r="AC36" i="13"/>
  <c r="AC37" i="13"/>
  <c r="AG46" i="16"/>
  <c r="AG50" i="13"/>
  <c r="AC51" i="16"/>
  <c r="AC49" i="16"/>
  <c r="AC49" i="13"/>
  <c r="AC52" i="16"/>
  <c r="AG50" i="10"/>
  <c r="AG49" i="13"/>
  <c r="AC46" i="13"/>
  <c r="AC48" i="14"/>
  <c r="AG43" i="10"/>
  <c r="AA41" i="10"/>
  <c r="AC39" i="13"/>
  <c r="AG42" i="10"/>
  <c r="AA42" i="10"/>
  <c r="AG41" i="10"/>
  <c r="AG36" i="14"/>
  <c r="AA52" i="10"/>
  <c r="AC55" i="16"/>
  <c r="AC53" i="13"/>
  <c r="AC51" i="13"/>
  <c r="AA51" i="13"/>
  <c r="AC48" i="13"/>
  <c r="AA49" i="13"/>
  <c r="AC56" i="16"/>
  <c r="AG51" i="10"/>
  <c r="AG54" i="13"/>
  <c r="AC54" i="13"/>
  <c r="AA54" i="13"/>
  <c r="AG53" i="13"/>
  <c r="AA53" i="13"/>
  <c r="AG52" i="13"/>
  <c r="AC55" i="13"/>
  <c r="AG51" i="13"/>
  <c r="AC56" i="13"/>
  <c r="AC40" i="13"/>
  <c r="AC42" i="13"/>
  <c r="AC38" i="13"/>
  <c r="AG36" i="13"/>
  <c r="AA36" i="13"/>
  <c r="AA56" i="14"/>
  <c r="AG56" i="14"/>
  <c r="AA54" i="14"/>
  <c r="AG54" i="14"/>
  <c r="AC54" i="14"/>
  <c r="AA55" i="14"/>
  <c r="AG55" i="14"/>
  <c r="AC55" i="14"/>
  <c r="AA53" i="14"/>
  <c r="AG53" i="14"/>
  <c r="AC53" i="14"/>
  <c r="AC56" i="14"/>
  <c r="AC52" i="14"/>
  <c r="AC51" i="14"/>
  <c r="AA48" i="14"/>
  <c r="AA46" i="14"/>
  <c r="AG46" i="14"/>
  <c r="AC46" i="14"/>
  <c r="AA44" i="14"/>
  <c r="AG44" i="14"/>
  <c r="AC44" i="14"/>
  <c r="AA42" i="14"/>
  <c r="AG42" i="14"/>
  <c r="AC42" i="14"/>
  <c r="AG52" i="14"/>
  <c r="AA52" i="14"/>
  <c r="AG51" i="14"/>
  <c r="AA51" i="14"/>
  <c r="AG50" i="14"/>
  <c r="AA50" i="14"/>
  <c r="AG49" i="14"/>
  <c r="AA49" i="14"/>
  <c r="AG48" i="14"/>
  <c r="AA47" i="14"/>
  <c r="AG47" i="14"/>
  <c r="AC47" i="14"/>
  <c r="AA45" i="14"/>
  <c r="AG45" i="14"/>
  <c r="AC45" i="14"/>
  <c r="AA43" i="14"/>
  <c r="AG43" i="14"/>
  <c r="AC43" i="14"/>
  <c r="AC41" i="14"/>
  <c r="AC40" i="14"/>
  <c r="AC39" i="14"/>
  <c r="AC38" i="14"/>
  <c r="AC37" i="14"/>
  <c r="AG41" i="14"/>
  <c r="AA41" i="14"/>
  <c r="AG40" i="14"/>
  <c r="AA40" i="14"/>
  <c r="AG39" i="14"/>
  <c r="AA39" i="14"/>
  <c r="AG38" i="14"/>
  <c r="AA38" i="14"/>
  <c r="AG37" i="14"/>
  <c r="AA37" i="14"/>
  <c r="AA45" i="13"/>
  <c r="AG45" i="13"/>
  <c r="AA43" i="13"/>
  <c r="AG43" i="13"/>
  <c r="AA47" i="13"/>
  <c r="AG47" i="13"/>
  <c r="AA46" i="13"/>
  <c r="AG46" i="13"/>
  <c r="AC45" i="13"/>
  <c r="AG56" i="13"/>
  <c r="AA56" i="13"/>
  <c r="AG55" i="13"/>
  <c r="AA55" i="13"/>
  <c r="AA48" i="13"/>
  <c r="AG48" i="13"/>
  <c r="AA44" i="13"/>
  <c r="AG44" i="13"/>
  <c r="AC43" i="13"/>
  <c r="AG42" i="13"/>
  <c r="AA42" i="13"/>
  <c r="AG41" i="13"/>
  <c r="AA41" i="13"/>
  <c r="AG40" i="13"/>
  <c r="AA40" i="13"/>
  <c r="AG39" i="13"/>
  <c r="AA39" i="13"/>
  <c r="AG38" i="13"/>
  <c r="AA38" i="13"/>
  <c r="AG37" i="13"/>
  <c r="AA37" i="13"/>
  <c r="AA50" i="10"/>
  <c r="AG45" i="10"/>
  <c r="AG44" i="10"/>
  <c r="AA45" i="10"/>
  <c r="AA44" i="10"/>
  <c r="AC55" i="10"/>
  <c r="AA55" i="10"/>
  <c r="AG55" i="10"/>
  <c r="AC56" i="10"/>
  <c r="AA56" i="10"/>
  <c r="AG56" i="10"/>
  <c r="AC54" i="10"/>
  <c r="AA54" i="10"/>
  <c r="AG54" i="10"/>
  <c r="AC49" i="10"/>
  <c r="AA47" i="10"/>
  <c r="AG47" i="10"/>
  <c r="AC47" i="10"/>
  <c r="AG53" i="10"/>
  <c r="AA53" i="10"/>
  <c r="AC52" i="10"/>
  <c r="AA49" i="10"/>
  <c r="AC51" i="10"/>
  <c r="AG49" i="10"/>
  <c r="AC48" i="10"/>
  <c r="AC53" i="10"/>
  <c r="AG52" i="10"/>
  <c r="AA51" i="10"/>
  <c r="AC50" i="10"/>
  <c r="AG48" i="10"/>
  <c r="AC46" i="10"/>
  <c r="AC45" i="10"/>
  <c r="AC44" i="10"/>
  <c r="AC43" i="10"/>
  <c r="AC42" i="10"/>
  <c r="AG46" i="10"/>
  <c r="AA46" i="10"/>
  <c r="AA54" i="16"/>
  <c r="AG54" i="16"/>
  <c r="AA56" i="16"/>
  <c r="AG56" i="16"/>
  <c r="AA55" i="16"/>
  <c r="AG55" i="16"/>
  <c r="AC54" i="16"/>
  <c r="AA53" i="16"/>
  <c r="AG53" i="16"/>
  <c r="AG52" i="16"/>
  <c r="AA52" i="16"/>
  <c r="AG51" i="16"/>
  <c r="AA51" i="16"/>
  <c r="AG50" i="16"/>
  <c r="AA50" i="16"/>
  <c r="AG49" i="16"/>
  <c r="AA49" i="16"/>
  <c r="AG48" i="16"/>
  <c r="AA48" i="16"/>
  <c r="AW5" i="18"/>
  <c r="AV5" i="18"/>
  <c r="AU5" i="18"/>
  <c r="AT5" i="18"/>
  <c r="AJ5" i="18"/>
  <c r="AI5" i="18"/>
  <c r="AH5" i="18"/>
  <c r="AG5" i="18"/>
  <c r="W5" i="18"/>
  <c r="V5" i="18"/>
  <c r="U5" i="18"/>
  <c r="T5" i="18"/>
  <c r="J5" i="18"/>
  <c r="I5" i="18"/>
  <c r="H5" i="18"/>
  <c r="G5" i="18"/>
  <c r="AX4" i="18" l="1"/>
  <c r="Y5" i="14" s="1"/>
  <c r="AK4" i="18"/>
  <c r="Y5" i="13" s="1"/>
  <c r="X4" i="18"/>
  <c r="Y5" i="10" s="1"/>
  <c r="K4" i="18"/>
  <c r="Y5" i="16" s="1"/>
  <c r="G41" i="17"/>
  <c r="AW7" i="18" l="1"/>
  <c r="AV7" i="18"/>
  <c r="AU7" i="18"/>
  <c r="AT7" i="18"/>
  <c r="AW6" i="18"/>
  <c r="AV6" i="18"/>
  <c r="AU6" i="18"/>
  <c r="AT6" i="18"/>
  <c r="AJ6" i="18"/>
  <c r="AI6" i="18"/>
  <c r="AH6" i="18"/>
  <c r="AG6" i="18"/>
  <c r="AJ7" i="18"/>
  <c r="AI7" i="18"/>
  <c r="AH7" i="18"/>
  <c r="AG7" i="18"/>
  <c r="W6" i="18"/>
  <c r="V6" i="18"/>
  <c r="U6" i="18"/>
  <c r="T6" i="18"/>
  <c r="W7" i="18"/>
  <c r="V7" i="18"/>
  <c r="U7" i="18"/>
  <c r="T7" i="18"/>
  <c r="I7" i="18"/>
  <c r="J7" i="18"/>
  <c r="H7" i="18"/>
  <c r="G7" i="18"/>
  <c r="BE4" i="18"/>
  <c r="AL4" i="14" s="1"/>
  <c r="BC4" i="18"/>
  <c r="AI4" i="14" s="1"/>
  <c r="AR4" i="18"/>
  <c r="AL4" i="13" s="1"/>
  <c r="AP4" i="18"/>
  <c r="AI4" i="13" s="1"/>
  <c r="AE4" i="18"/>
  <c r="AL4" i="10" s="1"/>
  <c r="AC4" i="18"/>
  <c r="AI4" i="10" s="1"/>
  <c r="E9" i="5"/>
  <c r="E10" i="5"/>
  <c r="E11" i="5"/>
  <c r="E12" i="5"/>
  <c r="E13" i="5"/>
  <c r="E14" i="5"/>
  <c r="E15" i="5"/>
  <c r="E16" i="5"/>
  <c r="E17" i="5"/>
  <c r="E18" i="5"/>
  <c r="E19" i="5"/>
  <c r="E20" i="5"/>
  <c r="E21" i="5"/>
  <c r="E22" i="5"/>
  <c r="E23" i="5"/>
  <c r="E24" i="5"/>
  <c r="E25" i="5"/>
  <c r="E26" i="5"/>
  <c r="E27" i="5"/>
  <c r="E28" i="5"/>
  <c r="E29" i="5"/>
  <c r="E30" i="5"/>
  <c r="E31" i="5"/>
  <c r="E32" i="5"/>
  <c r="E33" i="5"/>
  <c r="E34" i="5"/>
  <c r="E35" i="5"/>
  <c r="E36" i="5"/>
  <c r="G9" i="5"/>
  <c r="G10" i="5"/>
  <c r="G11" i="5"/>
  <c r="G12" i="5"/>
  <c r="G13" i="5"/>
  <c r="G14" i="5"/>
  <c r="G15" i="5"/>
  <c r="G16" i="5"/>
  <c r="G17" i="5"/>
  <c r="G18" i="5"/>
  <c r="G19" i="5"/>
  <c r="G20" i="5"/>
  <c r="G21" i="5"/>
  <c r="G22" i="5"/>
  <c r="G23" i="5"/>
  <c r="G24" i="5"/>
  <c r="G25" i="5"/>
  <c r="G26" i="5"/>
  <c r="G27" i="5"/>
  <c r="G28" i="5"/>
  <c r="G29" i="5"/>
  <c r="G30" i="5"/>
  <c r="G31" i="5"/>
  <c r="G32" i="5"/>
  <c r="R32" i="5" s="1"/>
  <c r="G33" i="5"/>
  <c r="R33" i="5" s="1"/>
  <c r="G34" i="5"/>
  <c r="R34" i="5" s="1"/>
  <c r="G35" i="5"/>
  <c r="R35" i="5" s="1"/>
  <c r="G36" i="5"/>
  <c r="R36" i="5" s="1"/>
  <c r="AK4" i="14"/>
  <c r="F35" i="14"/>
  <c r="AM35" i="14" s="1"/>
  <c r="F34" i="14"/>
  <c r="AM34" i="14" s="1"/>
  <c r="F33" i="14"/>
  <c r="AM33" i="14" s="1"/>
  <c r="D33" i="14"/>
  <c r="F32" i="14"/>
  <c r="AM32" i="14" s="1"/>
  <c r="D32" i="14"/>
  <c r="F31" i="14"/>
  <c r="F30" i="14"/>
  <c r="F29" i="14"/>
  <c r="D29" i="14" s="1"/>
  <c r="F28" i="14"/>
  <c r="D28" i="14" s="1"/>
  <c r="F27" i="14"/>
  <c r="F26" i="14"/>
  <c r="F25" i="14"/>
  <c r="F24" i="14"/>
  <c r="D24" i="14" s="1"/>
  <c r="F23" i="14"/>
  <c r="F22" i="14"/>
  <c r="F21" i="14"/>
  <c r="F20" i="14"/>
  <c r="F19" i="14"/>
  <c r="F18" i="14"/>
  <c r="F17" i="14"/>
  <c r="F16" i="14"/>
  <c r="D16" i="14"/>
  <c r="F15" i="14"/>
  <c r="F14" i="14"/>
  <c r="F13" i="14"/>
  <c r="F12" i="14"/>
  <c r="F11" i="14"/>
  <c r="F10" i="14"/>
  <c r="F9" i="14"/>
  <c r="F8" i="14"/>
  <c r="F7" i="14"/>
  <c r="D3" i="14"/>
  <c r="BD7" i="18"/>
  <c r="BB7" i="18"/>
  <c r="AG6" i="14" s="1"/>
  <c r="AZ7" i="18"/>
  <c r="AC6" i="14" s="1"/>
  <c r="AY7" i="18"/>
  <c r="AA6" i="14" s="1"/>
  <c r="BD6" i="18"/>
  <c r="BB6" i="18"/>
  <c r="AG5" i="14" s="1"/>
  <c r="AZ6" i="18"/>
  <c r="AY6" i="18"/>
  <c r="AK4" i="13"/>
  <c r="F35" i="13"/>
  <c r="D35" i="13"/>
  <c r="F34" i="13"/>
  <c r="D34" i="13"/>
  <c r="F33" i="13"/>
  <c r="D33" i="13"/>
  <c r="F32" i="13"/>
  <c r="D32" i="13"/>
  <c r="F31" i="13"/>
  <c r="D31" i="13"/>
  <c r="F30" i="13"/>
  <c r="D30" i="13"/>
  <c r="F29" i="13"/>
  <c r="D29" i="13"/>
  <c r="F28" i="13"/>
  <c r="F27" i="13"/>
  <c r="D27" i="13"/>
  <c r="F26" i="13"/>
  <c r="D26" i="13" s="1"/>
  <c r="F25" i="13"/>
  <c r="D25" i="13" s="1"/>
  <c r="F24" i="13"/>
  <c r="D24" i="13" s="1"/>
  <c r="F23" i="13"/>
  <c r="D23" i="13" s="1"/>
  <c r="F22" i="13"/>
  <c r="D22" i="13" s="1"/>
  <c r="F21" i="13"/>
  <c r="D21" i="13"/>
  <c r="F20" i="13"/>
  <c r="D20" i="13"/>
  <c r="F19" i="13"/>
  <c r="D19" i="13"/>
  <c r="F18" i="13"/>
  <c r="D18" i="13" s="1"/>
  <c r="F17" i="13"/>
  <c r="D17" i="13" s="1"/>
  <c r="F16" i="13"/>
  <c r="D16" i="13" s="1"/>
  <c r="F15" i="13"/>
  <c r="D15" i="13" s="1"/>
  <c r="F14" i="13"/>
  <c r="D14" i="13" s="1"/>
  <c r="F13" i="13"/>
  <c r="D13" i="13" s="1"/>
  <c r="F12" i="13"/>
  <c r="D12" i="13" s="1"/>
  <c r="F11" i="13"/>
  <c r="F10" i="13"/>
  <c r="D10" i="13"/>
  <c r="F9" i="13"/>
  <c r="F8" i="13"/>
  <c r="F7" i="13"/>
  <c r="D3" i="13"/>
  <c r="AQ7" i="18"/>
  <c r="AO7" i="18"/>
  <c r="AG6" i="13" s="1"/>
  <c r="AM7" i="18"/>
  <c r="AC6" i="13" s="1"/>
  <c r="AL7" i="18"/>
  <c r="AA6" i="13" s="1"/>
  <c r="AQ6" i="18"/>
  <c r="AO6" i="18"/>
  <c r="AM6" i="18"/>
  <c r="AC5" i="13" s="1"/>
  <c r="AL6" i="18"/>
  <c r="AK4" i="10"/>
  <c r="F40" i="10"/>
  <c r="AM40" i="10" s="1"/>
  <c r="D40" i="10"/>
  <c r="F39" i="10"/>
  <c r="AM39" i="10" s="1"/>
  <c r="D39" i="10"/>
  <c r="F38" i="10"/>
  <c r="AM38" i="10" s="1"/>
  <c r="D38" i="10"/>
  <c r="F37" i="10"/>
  <c r="AM37" i="10" s="1"/>
  <c r="D37" i="10"/>
  <c r="F36" i="10"/>
  <c r="AM36" i="10" s="1"/>
  <c r="D36" i="10"/>
  <c r="F35" i="10"/>
  <c r="AM35" i="10" s="1"/>
  <c r="D35" i="10"/>
  <c r="F34" i="10"/>
  <c r="AM34" i="10" s="1"/>
  <c r="D34" i="10"/>
  <c r="F33" i="10"/>
  <c r="AM33" i="10" s="1"/>
  <c r="D33" i="10"/>
  <c r="F32" i="10"/>
  <c r="AM32" i="10" s="1"/>
  <c r="D32" i="10"/>
  <c r="F31" i="10"/>
  <c r="D31" i="10" s="1"/>
  <c r="F30" i="10"/>
  <c r="D30" i="10"/>
  <c r="F29" i="10"/>
  <c r="D29" i="10"/>
  <c r="F28" i="10"/>
  <c r="D28" i="10"/>
  <c r="F27" i="10"/>
  <c r="D27" i="10" s="1"/>
  <c r="F26" i="10"/>
  <c r="D26" i="10"/>
  <c r="F25" i="10"/>
  <c r="D25" i="10"/>
  <c r="F24" i="10"/>
  <c r="D24" i="10"/>
  <c r="F23" i="10"/>
  <c r="D23" i="10" s="1"/>
  <c r="F22" i="10"/>
  <c r="D22" i="10"/>
  <c r="F21" i="10"/>
  <c r="D21" i="10"/>
  <c r="F20" i="10"/>
  <c r="D20" i="10"/>
  <c r="F19" i="10"/>
  <c r="D19" i="10" s="1"/>
  <c r="F18" i="10"/>
  <c r="D18" i="10"/>
  <c r="F17" i="10"/>
  <c r="D17" i="10"/>
  <c r="F16" i="10"/>
  <c r="D16" i="10"/>
  <c r="F15" i="10"/>
  <c r="D15" i="10" s="1"/>
  <c r="F14" i="10"/>
  <c r="D14" i="10"/>
  <c r="F13" i="10"/>
  <c r="D13" i="10"/>
  <c r="F12" i="10"/>
  <c r="D12" i="10"/>
  <c r="F11" i="10"/>
  <c r="F10" i="10"/>
  <c r="D10" i="10"/>
  <c r="F9" i="10"/>
  <c r="F8" i="10"/>
  <c r="F7" i="10"/>
  <c r="D3" i="10"/>
  <c r="R4" i="18"/>
  <c r="P4" i="18"/>
  <c r="AD7" i="18"/>
  <c r="AB7" i="18"/>
  <c r="AG6" i="10" s="1"/>
  <c r="Z7" i="18"/>
  <c r="AC6" i="10" s="1"/>
  <c r="Y7" i="18"/>
  <c r="AA6" i="10" s="1"/>
  <c r="AD6" i="18"/>
  <c r="AB6" i="18"/>
  <c r="AG5" i="10" s="1"/>
  <c r="Z6" i="18"/>
  <c r="AC5" i="10" s="1"/>
  <c r="Y6" i="18"/>
  <c r="D45" i="16"/>
  <c r="D44" i="16"/>
  <c r="D42" i="16"/>
  <c r="D41" i="16"/>
  <c r="D40" i="16"/>
  <c r="D39" i="16"/>
  <c r="D38" i="16"/>
  <c r="D37" i="16"/>
  <c r="D36" i="16"/>
  <c r="D35" i="16"/>
  <c r="D34" i="16"/>
  <c r="D33" i="16"/>
  <c r="D32" i="16"/>
  <c r="C8" i="18"/>
  <c r="C9" i="18" s="1"/>
  <c r="C10" i="18" s="1"/>
  <c r="C11" i="18" s="1"/>
  <c r="C12" i="18" s="1"/>
  <c r="C13" i="18" s="1"/>
  <c r="C14" i="18" s="1"/>
  <c r="C15" i="18" s="1"/>
  <c r="C16" i="18" s="1"/>
  <c r="C17" i="18" s="1"/>
  <c r="C18" i="18" s="1"/>
  <c r="C19" i="18" s="1"/>
  <c r="C20" i="18" s="1"/>
  <c r="C21" i="18" s="1"/>
  <c r="C22" i="18" s="1"/>
  <c r="C23" i="18" s="1"/>
  <c r="C24" i="18" s="1"/>
  <c r="C25" i="18" s="1"/>
  <c r="C26" i="18" s="1"/>
  <c r="C27" i="18" s="1"/>
  <c r="C28" i="18" s="1"/>
  <c r="C29" i="18" s="1"/>
  <c r="C30" i="18" s="1"/>
  <c r="C31" i="18" s="1"/>
  <c r="C32" i="18" s="1"/>
  <c r="C33" i="18" s="1"/>
  <c r="C34" i="18" s="1"/>
  <c r="C35" i="18" s="1"/>
  <c r="C36" i="18" s="1"/>
  <c r="C37" i="18" s="1"/>
  <c r="C38" i="18" s="1"/>
  <c r="C39" i="18" s="1"/>
  <c r="C40" i="18" s="1"/>
  <c r="C41" i="18" s="1"/>
  <c r="C42" i="18" s="1"/>
  <c r="C43" i="18" s="1"/>
  <c r="C44" i="18" s="1"/>
  <c r="C45" i="18" s="1"/>
  <c r="C46" i="18" s="1"/>
  <c r="C47" i="18" s="1"/>
  <c r="C48" i="18" s="1"/>
  <c r="C49" i="18" s="1"/>
  <c r="C50" i="18" s="1"/>
  <c r="C51" i="18" s="1"/>
  <c r="C52" i="18" s="1"/>
  <c r="C53" i="18" s="1"/>
  <c r="C54" i="18" s="1"/>
  <c r="C55" i="18" s="1"/>
  <c r="C56" i="18" s="1"/>
  <c r="C57" i="18" s="1"/>
  <c r="F45" i="16"/>
  <c r="AM45" i="16" s="1"/>
  <c r="F44" i="16"/>
  <c r="AM44" i="16" s="1"/>
  <c r="F43" i="16"/>
  <c r="AM43" i="16" s="1"/>
  <c r="F42" i="16"/>
  <c r="AM42" i="16" s="1"/>
  <c r="F41" i="16"/>
  <c r="AM41" i="16" s="1"/>
  <c r="F40" i="16"/>
  <c r="AM40" i="16" s="1"/>
  <c r="F39" i="16"/>
  <c r="AM39" i="16" s="1"/>
  <c r="F38" i="16"/>
  <c r="AM38" i="16" s="1"/>
  <c r="F37" i="16"/>
  <c r="AM37" i="16" s="1"/>
  <c r="F36" i="16"/>
  <c r="AM36" i="16" s="1"/>
  <c r="F35" i="16"/>
  <c r="AM35" i="16" s="1"/>
  <c r="AK4" i="16"/>
  <c r="Q7" i="18"/>
  <c r="O7" i="18"/>
  <c r="AG6" i="16" s="1"/>
  <c r="AC6" i="16"/>
  <c r="L7" i="18"/>
  <c r="AA6" i="16" s="1"/>
  <c r="F34" i="16"/>
  <c r="AM34" i="16" s="1"/>
  <c r="F33" i="16"/>
  <c r="AM33" i="16" s="1"/>
  <c r="F32" i="16"/>
  <c r="AM32" i="16" s="1"/>
  <c r="F31" i="16"/>
  <c r="F30" i="16"/>
  <c r="D30" i="16" s="1"/>
  <c r="F29" i="16"/>
  <c r="D29" i="16" s="1"/>
  <c r="F28" i="16"/>
  <c r="D28" i="16" s="1"/>
  <c r="F27" i="16"/>
  <c r="D27" i="16" s="1"/>
  <c r="F26" i="16"/>
  <c r="D26" i="16" s="1"/>
  <c r="F25" i="16"/>
  <c r="D25" i="16" s="1"/>
  <c r="F24" i="16"/>
  <c r="D24" i="16" s="1"/>
  <c r="F23" i="16"/>
  <c r="F22" i="16"/>
  <c r="F21" i="16"/>
  <c r="D21" i="16" s="1"/>
  <c r="F20" i="16"/>
  <c r="D20" i="16" s="1"/>
  <c r="F19" i="16"/>
  <c r="D19" i="16" s="1"/>
  <c r="F18" i="16"/>
  <c r="D18" i="16" s="1"/>
  <c r="F17" i="16"/>
  <c r="D17" i="16" s="1"/>
  <c r="F16" i="16"/>
  <c r="D16" i="16" s="1"/>
  <c r="F15" i="16"/>
  <c r="F14" i="16"/>
  <c r="F13" i="16"/>
  <c r="F12" i="16"/>
  <c r="F11" i="16"/>
  <c r="D11" i="16" s="1"/>
  <c r="F10" i="16"/>
  <c r="D10" i="16" s="1"/>
  <c r="F9" i="16"/>
  <c r="F8" i="16"/>
  <c r="F7" i="16"/>
  <c r="G8" i="5"/>
  <c r="G7" i="5"/>
  <c r="D3" i="18"/>
  <c r="E3" i="5"/>
  <c r="D3" i="16"/>
  <c r="AL4" i="16"/>
  <c r="AI4" i="16"/>
  <c r="R6" i="5"/>
  <c r="T6" i="5" s="1"/>
  <c r="S6" i="5"/>
  <c r="D6" i="5" s="1"/>
  <c r="C7" i="5"/>
  <c r="C8" i="5" s="1"/>
  <c r="C9" i="5" s="1"/>
  <c r="C10" i="5" s="1"/>
  <c r="C11" i="5" s="1"/>
  <c r="C12" i="5" s="1"/>
  <c r="C13" i="5" s="1"/>
  <c r="C14" i="5" s="1"/>
  <c r="C15" i="5" s="1"/>
  <c r="C16" i="5" s="1"/>
  <c r="C17" i="5" s="1"/>
  <c r="C18" i="5" s="1"/>
  <c r="C19" i="5" s="1"/>
  <c r="C20" i="5" s="1"/>
  <c r="C21" i="5" s="1"/>
  <c r="C22" i="5" s="1"/>
  <c r="C23" i="5" s="1"/>
  <c r="C24" i="5" s="1"/>
  <c r="C25" i="5" s="1"/>
  <c r="C26" i="5" s="1"/>
  <c r="C27" i="5" s="1"/>
  <c r="C28" i="5" s="1"/>
  <c r="C29" i="5" s="1"/>
  <c r="E7" i="5"/>
  <c r="D12" i="16"/>
  <c r="D13" i="16"/>
  <c r="D11" i="10"/>
  <c r="D11" i="14"/>
  <c r="D13" i="14"/>
  <c r="BE8" i="18" l="1"/>
  <c r="BE29" i="18"/>
  <c r="AL28" i="14" s="1"/>
  <c r="BE22" i="18"/>
  <c r="BE27" i="18"/>
  <c r="BE25" i="18"/>
  <c r="AL24" i="14" s="1"/>
  <c r="BE24" i="18"/>
  <c r="AL23" i="14" s="1"/>
  <c r="BE26" i="18"/>
  <c r="AL25" i="14" s="1"/>
  <c r="BE23" i="18"/>
  <c r="AL22" i="14" s="1"/>
  <c r="BE21" i="18"/>
  <c r="AL20" i="14" s="1"/>
  <c r="BE20" i="18"/>
  <c r="AL19" i="14" s="1"/>
  <c r="BE19" i="18"/>
  <c r="AL18" i="14" s="1"/>
  <c r="BE18" i="18"/>
  <c r="BE17" i="18"/>
  <c r="AL16" i="14" s="1"/>
  <c r="BE16" i="18"/>
  <c r="AL15" i="14" s="1"/>
  <c r="BE15" i="18"/>
  <c r="AL14" i="14" s="1"/>
  <c r="BE14" i="18"/>
  <c r="AL13" i="14" s="1"/>
  <c r="BE13" i="18"/>
  <c r="AL12" i="14" s="1"/>
  <c r="BE12" i="18"/>
  <c r="AL11" i="14" s="1"/>
  <c r="BE11" i="18"/>
  <c r="AL10" i="14" s="1"/>
  <c r="BE10" i="18"/>
  <c r="AL9" i="14" s="1"/>
  <c r="BE9" i="18"/>
  <c r="AL8" i="14" s="1"/>
  <c r="BE28" i="18"/>
  <c r="BE30" i="18"/>
  <c r="AL29" i="14" s="1"/>
  <c r="BE31" i="18"/>
  <c r="AL30" i="14" s="1"/>
  <c r="BE32" i="18"/>
  <c r="AM35" i="13"/>
  <c r="AI35" i="13"/>
  <c r="AM34" i="13"/>
  <c r="AI34" i="13"/>
  <c r="AM33" i="13"/>
  <c r="AI33" i="13"/>
  <c r="AM32" i="13"/>
  <c r="AI32" i="13"/>
  <c r="D14" i="16"/>
  <c r="D22" i="16"/>
  <c r="D15" i="16"/>
  <c r="D23" i="16"/>
  <c r="D31" i="16"/>
  <c r="D11" i="13"/>
  <c r="D20" i="14"/>
  <c r="AL17" i="14"/>
  <c r="AL26" i="14"/>
  <c r="AL27" i="14"/>
  <c r="AL31" i="14"/>
  <c r="AL53" i="14"/>
  <c r="AL54" i="14"/>
  <c r="BC15" i="18"/>
  <c r="BC23" i="18"/>
  <c r="BC31" i="18"/>
  <c r="BC39" i="18"/>
  <c r="AI38" i="14" s="1"/>
  <c r="BC47" i="18"/>
  <c r="AI46" i="14" s="1"/>
  <c r="BC55" i="18"/>
  <c r="AI54" i="14" s="1"/>
  <c r="BC14" i="18"/>
  <c r="BC16" i="18"/>
  <c r="BC24" i="18"/>
  <c r="BC32" i="18"/>
  <c r="BC40" i="18"/>
  <c r="AI39" i="14" s="1"/>
  <c r="BC48" i="18"/>
  <c r="AI47" i="14" s="1"/>
  <c r="BC56" i="18"/>
  <c r="AI55" i="14" s="1"/>
  <c r="BC22" i="18"/>
  <c r="BC17" i="18"/>
  <c r="BC25" i="18"/>
  <c r="BC33" i="18"/>
  <c r="AI32" i="14" s="1"/>
  <c r="BC41" i="18"/>
  <c r="AI40" i="14" s="1"/>
  <c r="BC49" i="18"/>
  <c r="AI48" i="14" s="1"/>
  <c r="BC30" i="18"/>
  <c r="BC10" i="18"/>
  <c r="BC18" i="18"/>
  <c r="BC26" i="18"/>
  <c r="AI25" i="14" s="1"/>
  <c r="BC34" i="18"/>
  <c r="AI33" i="14" s="1"/>
  <c r="BC42" i="18"/>
  <c r="AI41" i="14" s="1"/>
  <c r="BC50" i="18"/>
  <c r="AI49" i="14" s="1"/>
  <c r="BC54" i="18"/>
  <c r="AI53" i="14" s="1"/>
  <c r="BC11" i="18"/>
  <c r="AI10" i="14" s="1"/>
  <c r="BC19" i="18"/>
  <c r="AI18" i="14" s="1"/>
  <c r="BC27" i="18"/>
  <c r="AI26" i="14" s="1"/>
  <c r="BC35" i="18"/>
  <c r="AI34" i="14" s="1"/>
  <c r="BC43" i="18"/>
  <c r="AI42" i="14" s="1"/>
  <c r="BC51" i="18"/>
  <c r="AI50" i="14" s="1"/>
  <c r="BC38" i="18"/>
  <c r="AI37" i="14" s="1"/>
  <c r="BC12" i="18"/>
  <c r="AI11" i="14" s="1"/>
  <c r="BC20" i="18"/>
  <c r="AI19" i="14" s="1"/>
  <c r="BC28" i="18"/>
  <c r="AI27" i="14" s="1"/>
  <c r="BC36" i="18"/>
  <c r="AI35" i="14" s="1"/>
  <c r="BC44" i="18"/>
  <c r="AI43" i="14" s="1"/>
  <c r="BC52" i="18"/>
  <c r="AI51" i="14" s="1"/>
  <c r="BC46" i="18"/>
  <c r="AI45" i="14" s="1"/>
  <c r="BC13" i="18"/>
  <c r="AI12" i="14" s="1"/>
  <c r="BC21" i="18"/>
  <c r="AI20" i="14" s="1"/>
  <c r="BC29" i="18"/>
  <c r="AI28" i="14" s="1"/>
  <c r="BC37" i="18"/>
  <c r="AI36" i="14" s="1"/>
  <c r="BC45" i="18"/>
  <c r="AI44" i="14" s="1"/>
  <c r="BC53" i="18"/>
  <c r="AI52" i="14" s="1"/>
  <c r="AX16" i="18"/>
  <c r="AX24" i="18"/>
  <c r="AX32" i="18"/>
  <c r="AX40" i="18"/>
  <c r="AX48" i="18"/>
  <c r="X47" i="14" s="1"/>
  <c r="AX56" i="18"/>
  <c r="X55" i="14" s="1"/>
  <c r="AX15" i="18"/>
  <c r="AX17" i="18"/>
  <c r="AX25" i="18"/>
  <c r="AX33" i="18"/>
  <c r="AX41" i="18"/>
  <c r="AX49" i="18"/>
  <c r="X48" i="14" s="1"/>
  <c r="AX31" i="18"/>
  <c r="AX10" i="18"/>
  <c r="AX18" i="18"/>
  <c r="AX26" i="18"/>
  <c r="AX34" i="18"/>
  <c r="AX42" i="18"/>
  <c r="AX50" i="18"/>
  <c r="X49" i="14" s="1"/>
  <c r="AX47" i="18"/>
  <c r="X46" i="14" s="1"/>
  <c r="AX11" i="18"/>
  <c r="AX19" i="18"/>
  <c r="AX27" i="18"/>
  <c r="AX35" i="18"/>
  <c r="AX43" i="18"/>
  <c r="AX51" i="18"/>
  <c r="X50" i="14" s="1"/>
  <c r="AX23" i="18"/>
  <c r="AX12" i="18"/>
  <c r="AX20" i="18"/>
  <c r="AX28" i="18"/>
  <c r="AX36" i="18"/>
  <c r="AX44" i="18"/>
  <c r="X43" i="14" s="1"/>
  <c r="AX52" i="18"/>
  <c r="X51" i="14" s="1"/>
  <c r="AX13" i="18"/>
  <c r="AX21" i="18"/>
  <c r="AX29" i="18"/>
  <c r="AX37" i="18"/>
  <c r="AX45" i="18"/>
  <c r="X44" i="14" s="1"/>
  <c r="AX53" i="18"/>
  <c r="X52" i="14" s="1"/>
  <c r="AX39" i="18"/>
  <c r="AX14" i="18"/>
  <c r="AX22" i="18"/>
  <c r="AX30" i="18"/>
  <c r="AX38" i="18"/>
  <c r="AX46" i="18"/>
  <c r="X45" i="14" s="1"/>
  <c r="AX54" i="18"/>
  <c r="X53" i="14" s="1"/>
  <c r="AX55" i="18"/>
  <c r="X54" i="14" s="1"/>
  <c r="AK10" i="18"/>
  <c r="AK18" i="18"/>
  <c r="AK26" i="18"/>
  <c r="AK34" i="18"/>
  <c r="AK42" i="18"/>
  <c r="AK50" i="18"/>
  <c r="X49" i="13" s="1"/>
  <c r="AK56" i="18"/>
  <c r="X55" i="13" s="1"/>
  <c r="AK11" i="18"/>
  <c r="AK19" i="18"/>
  <c r="AK27" i="18"/>
  <c r="AK35" i="18"/>
  <c r="AK43" i="18"/>
  <c r="AK51" i="18"/>
  <c r="X50" i="13" s="1"/>
  <c r="AK16" i="18"/>
  <c r="AK12" i="18"/>
  <c r="AK20" i="18"/>
  <c r="AK28" i="18"/>
  <c r="AK36" i="18"/>
  <c r="AK44" i="18"/>
  <c r="X43" i="13" s="1"/>
  <c r="AK52" i="18"/>
  <c r="X51" i="13" s="1"/>
  <c r="AK13" i="18"/>
  <c r="AK21" i="18"/>
  <c r="AK29" i="18"/>
  <c r="AK37" i="18"/>
  <c r="AK45" i="18"/>
  <c r="X44" i="13" s="1"/>
  <c r="AK53" i="18"/>
  <c r="X52" i="13" s="1"/>
  <c r="AK24" i="18"/>
  <c r="AK14" i="18"/>
  <c r="AK22" i="18"/>
  <c r="AK30" i="18"/>
  <c r="AK38" i="18"/>
  <c r="AK46" i="18"/>
  <c r="X45" i="13" s="1"/>
  <c r="AK54" i="18"/>
  <c r="X53" i="13" s="1"/>
  <c r="AK48" i="18"/>
  <c r="X47" i="13" s="1"/>
  <c r="AK15" i="18"/>
  <c r="AK23" i="18"/>
  <c r="AK31" i="18"/>
  <c r="AK39" i="18"/>
  <c r="AK47" i="18"/>
  <c r="X46" i="13" s="1"/>
  <c r="AK55" i="18"/>
  <c r="X54" i="13" s="1"/>
  <c r="AK32" i="18"/>
  <c r="AK17" i="18"/>
  <c r="AK25" i="18"/>
  <c r="AK33" i="18"/>
  <c r="AK41" i="18"/>
  <c r="AK49" i="18"/>
  <c r="X48" i="13" s="1"/>
  <c r="AK40" i="18"/>
  <c r="AR9" i="18"/>
  <c r="AL8" i="13" s="1"/>
  <c r="AR17" i="18"/>
  <c r="AL16" i="13" s="1"/>
  <c r="AR25" i="18"/>
  <c r="AL24" i="13" s="1"/>
  <c r="AR33" i="18"/>
  <c r="AR41" i="18"/>
  <c r="AR49" i="18"/>
  <c r="AL48" i="13" s="1"/>
  <c r="AR57" i="18"/>
  <c r="AL56" i="13" s="1"/>
  <c r="AR10" i="18"/>
  <c r="AL9" i="13" s="1"/>
  <c r="AR18" i="18"/>
  <c r="AL17" i="13" s="1"/>
  <c r="AR26" i="18"/>
  <c r="AL25" i="13" s="1"/>
  <c r="AR34" i="18"/>
  <c r="AL33" i="13" s="1"/>
  <c r="AR42" i="18"/>
  <c r="AR50" i="18"/>
  <c r="AL49" i="13" s="1"/>
  <c r="AR8" i="18"/>
  <c r="AL7" i="13" s="1"/>
  <c r="AR11" i="18"/>
  <c r="AL10" i="13" s="1"/>
  <c r="AR19" i="18"/>
  <c r="AL18" i="13" s="1"/>
  <c r="AR27" i="18"/>
  <c r="AL26" i="13" s="1"/>
  <c r="AR35" i="18"/>
  <c r="AR43" i="18"/>
  <c r="AL42" i="13" s="1"/>
  <c r="AR51" i="18"/>
  <c r="AL50" i="13" s="1"/>
  <c r="AR12" i="18"/>
  <c r="AL11" i="13" s="1"/>
  <c r="AR20" i="18"/>
  <c r="AL19" i="13" s="1"/>
  <c r="AR28" i="18"/>
  <c r="AL27" i="13" s="1"/>
  <c r="AR36" i="18"/>
  <c r="AL35" i="13" s="1"/>
  <c r="AR44" i="18"/>
  <c r="AL43" i="13" s="1"/>
  <c r="AR52" i="18"/>
  <c r="AL51" i="13" s="1"/>
  <c r="AR13" i="18"/>
  <c r="AL12" i="13" s="1"/>
  <c r="AR21" i="18"/>
  <c r="AL20" i="13" s="1"/>
  <c r="AR29" i="18"/>
  <c r="AL28" i="13" s="1"/>
  <c r="AR37" i="18"/>
  <c r="AR45" i="18"/>
  <c r="AL44" i="13" s="1"/>
  <c r="AR53" i="18"/>
  <c r="AL52" i="13" s="1"/>
  <c r="AR14" i="18"/>
  <c r="AL13" i="13" s="1"/>
  <c r="AR22" i="18"/>
  <c r="AL21" i="13" s="1"/>
  <c r="AR30" i="18"/>
  <c r="AL29" i="13" s="1"/>
  <c r="AR38" i="18"/>
  <c r="AR46" i="18"/>
  <c r="AL45" i="13" s="1"/>
  <c r="AR54" i="18"/>
  <c r="AL53" i="13" s="1"/>
  <c r="AR48" i="18"/>
  <c r="AL47" i="13" s="1"/>
  <c r="AR15" i="18"/>
  <c r="AL14" i="13" s="1"/>
  <c r="AR23" i="18"/>
  <c r="AL22" i="13" s="1"/>
  <c r="AR31" i="18"/>
  <c r="AL30" i="13" s="1"/>
  <c r="AR39" i="18"/>
  <c r="AR47" i="18"/>
  <c r="AL46" i="13" s="1"/>
  <c r="AR55" i="18"/>
  <c r="AL54" i="13" s="1"/>
  <c r="AR16" i="18"/>
  <c r="AL15" i="13" s="1"/>
  <c r="AR24" i="18"/>
  <c r="AL23" i="13" s="1"/>
  <c r="AR32" i="18"/>
  <c r="AL31" i="13" s="1"/>
  <c r="AR40" i="18"/>
  <c r="AR56" i="18"/>
  <c r="AL55" i="13" s="1"/>
  <c r="AL48" i="14"/>
  <c r="AL56" i="14"/>
  <c r="AL49" i="14"/>
  <c r="AL50" i="14"/>
  <c r="AL43" i="14"/>
  <c r="AL51" i="14"/>
  <c r="AL44" i="14"/>
  <c r="AL52" i="14"/>
  <c r="AL45" i="14"/>
  <c r="AL55" i="14"/>
  <c r="AL46" i="14"/>
  <c r="AL47" i="14"/>
  <c r="AE15" i="18"/>
  <c r="AL14" i="10" s="1"/>
  <c r="AE23" i="18"/>
  <c r="AL22" i="10" s="1"/>
  <c r="AE31" i="18"/>
  <c r="AL30" i="10" s="1"/>
  <c r="AE39" i="18"/>
  <c r="AE47" i="18"/>
  <c r="AE55" i="18"/>
  <c r="AE16" i="18"/>
  <c r="AL15" i="10" s="1"/>
  <c r="AE24" i="18"/>
  <c r="AL23" i="10" s="1"/>
  <c r="AE32" i="18"/>
  <c r="AL31" i="10" s="1"/>
  <c r="AE40" i="18"/>
  <c r="AE48" i="18"/>
  <c r="AL47" i="10" s="1"/>
  <c r="AE56" i="18"/>
  <c r="AE9" i="18"/>
  <c r="AL8" i="10" s="1"/>
  <c r="AE17" i="18"/>
  <c r="AL16" i="10" s="1"/>
  <c r="AE25" i="18"/>
  <c r="AL24" i="10" s="1"/>
  <c r="AE33" i="18"/>
  <c r="AE41" i="18"/>
  <c r="AE49" i="18"/>
  <c r="AE57" i="18"/>
  <c r="AL56" i="10" s="1"/>
  <c r="AE10" i="18"/>
  <c r="AL9" i="10" s="1"/>
  <c r="AE18" i="18"/>
  <c r="AL17" i="10" s="1"/>
  <c r="AE26" i="18"/>
  <c r="AL25" i="10" s="1"/>
  <c r="AE34" i="18"/>
  <c r="AE42" i="18"/>
  <c r="AE50" i="18"/>
  <c r="AL49" i="10" s="1"/>
  <c r="AE8" i="18"/>
  <c r="AL7" i="10" s="1"/>
  <c r="AE11" i="18"/>
  <c r="AL10" i="10" s="1"/>
  <c r="AE19" i="18"/>
  <c r="AL18" i="10" s="1"/>
  <c r="AE27" i="18"/>
  <c r="AL26" i="10" s="1"/>
  <c r="AE35" i="18"/>
  <c r="AE43" i="18"/>
  <c r="AE51" i="18"/>
  <c r="AE12" i="18"/>
  <c r="AL11" i="10" s="1"/>
  <c r="AE20" i="18"/>
  <c r="AL19" i="10" s="1"/>
  <c r="AE28" i="18"/>
  <c r="AL27" i="10" s="1"/>
  <c r="AE36" i="18"/>
  <c r="AE44" i="18"/>
  <c r="AL43" i="10" s="1"/>
  <c r="AE52" i="18"/>
  <c r="AE54" i="18"/>
  <c r="AL53" i="10" s="1"/>
  <c r="AE13" i="18"/>
  <c r="AL12" i="10" s="1"/>
  <c r="AE21" i="18"/>
  <c r="AL20" i="10" s="1"/>
  <c r="AE29" i="18"/>
  <c r="AL28" i="10" s="1"/>
  <c r="AE37" i="18"/>
  <c r="AL36" i="10" s="1"/>
  <c r="AE45" i="18"/>
  <c r="AE53" i="18"/>
  <c r="AE14" i="18"/>
  <c r="AL13" i="10" s="1"/>
  <c r="AE22" i="18"/>
  <c r="AL21" i="10" s="1"/>
  <c r="AE30" i="18"/>
  <c r="AL29" i="10" s="1"/>
  <c r="AE38" i="18"/>
  <c r="AE46" i="18"/>
  <c r="AL45" i="10" s="1"/>
  <c r="AL48" i="10"/>
  <c r="AL51" i="10"/>
  <c r="AL54" i="10"/>
  <c r="AL46" i="10"/>
  <c r="AL50" i="10"/>
  <c r="AL44" i="10"/>
  <c r="AL52" i="10"/>
  <c r="AL55" i="10"/>
  <c r="AF45" i="16"/>
  <c r="AF44" i="16"/>
  <c r="AF43" i="16"/>
  <c r="AF42" i="16"/>
  <c r="AF41" i="16"/>
  <c r="AF40" i="16"/>
  <c r="AF40" i="10"/>
  <c r="AF39" i="16"/>
  <c r="AF39" i="10"/>
  <c r="AF38" i="16"/>
  <c r="AF38" i="10"/>
  <c r="AF37" i="16"/>
  <c r="AF37" i="10"/>
  <c r="AF36" i="16"/>
  <c r="AF36" i="10"/>
  <c r="AF35" i="16"/>
  <c r="AF35" i="13"/>
  <c r="AF35" i="10"/>
  <c r="AF34" i="16"/>
  <c r="AF34" i="13"/>
  <c r="AF34" i="10"/>
  <c r="AF33" i="14"/>
  <c r="AF33" i="13"/>
  <c r="AF33" i="16"/>
  <c r="AF33" i="10"/>
  <c r="AF32" i="14"/>
  <c r="AF32" i="10"/>
  <c r="AF32" i="16"/>
  <c r="AF32" i="13"/>
  <c r="AF31" i="10"/>
  <c r="AF31" i="13"/>
  <c r="AF31" i="16"/>
  <c r="AF30" i="13"/>
  <c r="AF30" i="16"/>
  <c r="AF30" i="10"/>
  <c r="AF29" i="13"/>
  <c r="AF29" i="16"/>
  <c r="AF29" i="14"/>
  <c r="AF29" i="10"/>
  <c r="AF28" i="14"/>
  <c r="AF28" i="16"/>
  <c r="AF28" i="10"/>
  <c r="AF27" i="16"/>
  <c r="AF27" i="10"/>
  <c r="AF27" i="13"/>
  <c r="AF26" i="10"/>
  <c r="AF26" i="13"/>
  <c r="AF26" i="16"/>
  <c r="AF25" i="13"/>
  <c r="AF25" i="16"/>
  <c r="AF25" i="10"/>
  <c r="AF24" i="13"/>
  <c r="AF24" i="10"/>
  <c r="AF24" i="14"/>
  <c r="AF24" i="16"/>
  <c r="AF23" i="10"/>
  <c r="AF23" i="13"/>
  <c r="AF23" i="16"/>
  <c r="AF22" i="13"/>
  <c r="AF22" i="16"/>
  <c r="AF22" i="10"/>
  <c r="AF21" i="13"/>
  <c r="AF21" i="16"/>
  <c r="AF21" i="10"/>
  <c r="AF20" i="16"/>
  <c r="AF20" i="13"/>
  <c r="AF20" i="10"/>
  <c r="AF20" i="14"/>
  <c r="AF19" i="16"/>
  <c r="AF19" i="10"/>
  <c r="AF19" i="13"/>
  <c r="AF18" i="10"/>
  <c r="AF18" i="16"/>
  <c r="AF18" i="13"/>
  <c r="AF17" i="16"/>
  <c r="AF17" i="13"/>
  <c r="AF17" i="10"/>
  <c r="AF16" i="13"/>
  <c r="AF16" i="14"/>
  <c r="AF16" i="10"/>
  <c r="AF16" i="16"/>
  <c r="AF15" i="10"/>
  <c r="AF15" i="13"/>
  <c r="AF15" i="16"/>
  <c r="AF14" i="13"/>
  <c r="AF14" i="16"/>
  <c r="AF14" i="10"/>
  <c r="AF13" i="13"/>
  <c r="AF13" i="16"/>
  <c r="AF13" i="10"/>
  <c r="AF13" i="14"/>
  <c r="AF12" i="13"/>
  <c r="AF12" i="10"/>
  <c r="AF12" i="16"/>
  <c r="AF11" i="10"/>
  <c r="AF11" i="16"/>
  <c r="AF11" i="14"/>
  <c r="AF11" i="13"/>
  <c r="AF10" i="13"/>
  <c r="AF10" i="16"/>
  <c r="AF10" i="10"/>
  <c r="AF9" i="14"/>
  <c r="D9" i="16"/>
  <c r="AF9" i="16"/>
  <c r="AF9" i="13"/>
  <c r="AF9" i="10"/>
  <c r="D7" i="14"/>
  <c r="D43" i="16"/>
  <c r="AL43" i="16"/>
  <c r="AB43" i="16"/>
  <c r="AL45" i="16"/>
  <c r="AB45" i="16"/>
  <c r="AL44" i="16"/>
  <c r="AB44" i="16"/>
  <c r="D9" i="14"/>
  <c r="D9" i="13"/>
  <c r="D9" i="10"/>
  <c r="AA7" i="16"/>
  <c r="AB7" i="16"/>
  <c r="AL7" i="16"/>
  <c r="AB10" i="16"/>
  <c r="AL10" i="16"/>
  <c r="AB18" i="16"/>
  <c r="AL18" i="16"/>
  <c r="AB26" i="16"/>
  <c r="AL26" i="16"/>
  <c r="D15" i="14"/>
  <c r="AF15" i="14"/>
  <c r="AB11" i="16"/>
  <c r="AL11" i="16"/>
  <c r="AB27" i="16"/>
  <c r="AL27" i="16"/>
  <c r="AB12" i="16"/>
  <c r="AL12" i="16"/>
  <c r="AB39" i="16"/>
  <c r="AL39" i="16"/>
  <c r="AL13" i="16"/>
  <c r="AB13" i="16"/>
  <c r="AB21" i="16"/>
  <c r="AL21" i="16"/>
  <c r="AB29" i="16"/>
  <c r="AL29" i="16"/>
  <c r="AB40" i="16"/>
  <c r="AL40" i="16"/>
  <c r="D10" i="14"/>
  <c r="AF10" i="14"/>
  <c r="D17" i="14"/>
  <c r="AF17" i="14"/>
  <c r="D35" i="14"/>
  <c r="AF35" i="14"/>
  <c r="AB20" i="16"/>
  <c r="AL20" i="16"/>
  <c r="D23" i="14"/>
  <c r="AF23" i="14"/>
  <c r="AB14" i="16"/>
  <c r="AL14" i="16"/>
  <c r="AB22" i="16"/>
  <c r="AL22" i="16"/>
  <c r="AB30" i="16"/>
  <c r="AL30" i="16"/>
  <c r="AE30" i="16"/>
  <c r="AB41" i="16"/>
  <c r="AL41" i="16"/>
  <c r="D18" i="14"/>
  <c r="AF18" i="14"/>
  <c r="D30" i="14"/>
  <c r="AF30" i="14"/>
  <c r="AB37" i="16"/>
  <c r="AL37" i="16"/>
  <c r="D34" i="14"/>
  <c r="AF34" i="14"/>
  <c r="AB15" i="16"/>
  <c r="AL15" i="16"/>
  <c r="AB23" i="16"/>
  <c r="AL23" i="16"/>
  <c r="AB31" i="16"/>
  <c r="AL31" i="16"/>
  <c r="AB42" i="16"/>
  <c r="AL42" i="16"/>
  <c r="D12" i="14"/>
  <c r="AF12" i="14"/>
  <c r="D19" i="14"/>
  <c r="AF19" i="14"/>
  <c r="D25" i="14"/>
  <c r="AF25" i="14"/>
  <c r="D31" i="14"/>
  <c r="AF31" i="14"/>
  <c r="AB34" i="16"/>
  <c r="AL34" i="16"/>
  <c r="AB38" i="16"/>
  <c r="AL38" i="16"/>
  <c r="D22" i="14"/>
  <c r="AF22" i="14"/>
  <c r="AB28" i="16"/>
  <c r="AL28" i="16"/>
  <c r="AB8" i="16"/>
  <c r="AL8" i="16"/>
  <c r="AB16" i="16"/>
  <c r="AL16" i="16"/>
  <c r="AB24" i="16"/>
  <c r="AL24" i="16"/>
  <c r="AB32" i="16"/>
  <c r="AL32" i="16"/>
  <c r="AB35" i="16"/>
  <c r="AL35" i="16"/>
  <c r="D28" i="13"/>
  <c r="AF28" i="13"/>
  <c r="D26" i="14"/>
  <c r="AF26" i="14"/>
  <c r="D21" i="14"/>
  <c r="AF21" i="14"/>
  <c r="AB19" i="16"/>
  <c r="AL19" i="16"/>
  <c r="AB9" i="16"/>
  <c r="AL9" i="16"/>
  <c r="AB17" i="16"/>
  <c r="AL17" i="16"/>
  <c r="AB25" i="16"/>
  <c r="AL25" i="16"/>
  <c r="AB33" i="16"/>
  <c r="AL33" i="16"/>
  <c r="AB36" i="16"/>
  <c r="AL36" i="16"/>
  <c r="D14" i="14"/>
  <c r="AF14" i="14"/>
  <c r="D27" i="14"/>
  <c r="AF27" i="14"/>
  <c r="AL32" i="14"/>
  <c r="AL40" i="14"/>
  <c r="AL33" i="14"/>
  <c r="AL41" i="14"/>
  <c r="AL7" i="14"/>
  <c r="AL34" i="14"/>
  <c r="AL42" i="14"/>
  <c r="AL35" i="14"/>
  <c r="AL38" i="14"/>
  <c r="AL36" i="14"/>
  <c r="AL39" i="14"/>
  <c r="AL21" i="14"/>
  <c r="AL37" i="14"/>
  <c r="AL32" i="13"/>
  <c r="AL40" i="13"/>
  <c r="AL41" i="13"/>
  <c r="AL34" i="13"/>
  <c r="AL38" i="13"/>
  <c r="AL36" i="13"/>
  <c r="AL37" i="13"/>
  <c r="AL39" i="13"/>
  <c r="AL32" i="10"/>
  <c r="AL40" i="10"/>
  <c r="AL33" i="10"/>
  <c r="AL41" i="10"/>
  <c r="AL34" i="10"/>
  <c r="AL42" i="10"/>
  <c r="AL35" i="10"/>
  <c r="AL39" i="10"/>
  <c r="AL37" i="10"/>
  <c r="AL38" i="10"/>
  <c r="AH13" i="14"/>
  <c r="AH21" i="14"/>
  <c r="AH29" i="14"/>
  <c r="AH37" i="14"/>
  <c r="AH45" i="14"/>
  <c r="AH53" i="14"/>
  <c r="AH14" i="14"/>
  <c r="AH22" i="14"/>
  <c r="AH30" i="14"/>
  <c r="AH38" i="14"/>
  <c r="AH46" i="14"/>
  <c r="AH54" i="14"/>
  <c r="AH15" i="14"/>
  <c r="AH23" i="14"/>
  <c r="AH31" i="14"/>
  <c r="AH39" i="14"/>
  <c r="AH47" i="14"/>
  <c r="AH55" i="14"/>
  <c r="AH16" i="14"/>
  <c r="AH24" i="14"/>
  <c r="AH32" i="14"/>
  <c r="AH40" i="14"/>
  <c r="AH48" i="14"/>
  <c r="AH56" i="14"/>
  <c r="AH9" i="14"/>
  <c r="AH17" i="14"/>
  <c r="AH25" i="14"/>
  <c r="AH33" i="14"/>
  <c r="AH41" i="14"/>
  <c r="AH49" i="14"/>
  <c r="AH10" i="14"/>
  <c r="AH18" i="14"/>
  <c r="AH26" i="14"/>
  <c r="AH34" i="14"/>
  <c r="AH42" i="14"/>
  <c r="AH50" i="14"/>
  <c r="AH11" i="14"/>
  <c r="AH19" i="14"/>
  <c r="AH27" i="14"/>
  <c r="AH35" i="14"/>
  <c r="AH43" i="14"/>
  <c r="AH51" i="14"/>
  <c r="AH12" i="14"/>
  <c r="AH20" i="14"/>
  <c r="AH28" i="14"/>
  <c r="AH36" i="14"/>
  <c r="AH44" i="14"/>
  <c r="AH52" i="14"/>
  <c r="AD13" i="10"/>
  <c r="AD21" i="10"/>
  <c r="AD45" i="10"/>
  <c r="AD14" i="10"/>
  <c r="AD22" i="10"/>
  <c r="AD30" i="10"/>
  <c r="AD38" i="10"/>
  <c r="AD46" i="10"/>
  <c r="AD54" i="10"/>
  <c r="AD55" i="10"/>
  <c r="AD56" i="10"/>
  <c r="AD17" i="10"/>
  <c r="AD25" i="10"/>
  <c r="AD41" i="10"/>
  <c r="AD49" i="10"/>
  <c r="AD26" i="10"/>
  <c r="AD43" i="10"/>
  <c r="AD15" i="10"/>
  <c r="AD23" i="10"/>
  <c r="AD31" i="10"/>
  <c r="AD39" i="10"/>
  <c r="AD47" i="10"/>
  <c r="AD16" i="10"/>
  <c r="AD24" i="10"/>
  <c r="AD32" i="10"/>
  <c r="AD40" i="10"/>
  <c r="AD48" i="10"/>
  <c r="AD9" i="10"/>
  <c r="AD33" i="10"/>
  <c r="AD10" i="10"/>
  <c r="AD34" i="10"/>
  <c r="AD42" i="10"/>
  <c r="AD50" i="10"/>
  <c r="AD11" i="10"/>
  <c r="AD27" i="10"/>
  <c r="AD35" i="10"/>
  <c r="AD51" i="10"/>
  <c r="AD52" i="10"/>
  <c r="AD37" i="10"/>
  <c r="AD53" i="10"/>
  <c r="AD18" i="10"/>
  <c r="AD29" i="10"/>
  <c r="AD19" i="10"/>
  <c r="AD12" i="10"/>
  <c r="AD20" i="10"/>
  <c r="AD28" i="10"/>
  <c r="AD36" i="10"/>
  <c r="AD44" i="10"/>
  <c r="AD13" i="13"/>
  <c r="AD21" i="13"/>
  <c r="AD29" i="13"/>
  <c r="AD37" i="13"/>
  <c r="AD45" i="13"/>
  <c r="AD53" i="13"/>
  <c r="AD14" i="13"/>
  <c r="AD22" i="13"/>
  <c r="AD30" i="13"/>
  <c r="AD38" i="13"/>
  <c r="AD46" i="13"/>
  <c r="AD54" i="13"/>
  <c r="AD42" i="13"/>
  <c r="AD15" i="13"/>
  <c r="AD23" i="13"/>
  <c r="AD31" i="13"/>
  <c r="AD39" i="13"/>
  <c r="AD47" i="13"/>
  <c r="AD55" i="13"/>
  <c r="AD16" i="13"/>
  <c r="AD24" i="13"/>
  <c r="AD32" i="13"/>
  <c r="AD40" i="13"/>
  <c r="AD48" i="13"/>
  <c r="AD56" i="13"/>
  <c r="AD9" i="13"/>
  <c r="AD17" i="13"/>
  <c r="AD25" i="13"/>
  <c r="AD33" i="13"/>
  <c r="AD41" i="13"/>
  <c r="AD49" i="13"/>
  <c r="AD50" i="13"/>
  <c r="AD10" i="13"/>
  <c r="AD18" i="13"/>
  <c r="AD26" i="13"/>
  <c r="AD34" i="13"/>
  <c r="AD11" i="13"/>
  <c r="AD19" i="13"/>
  <c r="AD27" i="13"/>
  <c r="AD35" i="13"/>
  <c r="AD43" i="13"/>
  <c r="AD51" i="13"/>
  <c r="AD12" i="13"/>
  <c r="AD20" i="13"/>
  <c r="AD28" i="13"/>
  <c r="AD36" i="13"/>
  <c r="AD44" i="13"/>
  <c r="AD52" i="13"/>
  <c r="AF8" i="13"/>
  <c r="AD8" i="13"/>
  <c r="AH8" i="14"/>
  <c r="AF8" i="14"/>
  <c r="AF8" i="16"/>
  <c r="AD8" i="10"/>
  <c r="AF8" i="10"/>
  <c r="AH7" i="14"/>
  <c r="AF7" i="14"/>
  <c r="AC7" i="16"/>
  <c r="AF7" i="16"/>
  <c r="AD7" i="10"/>
  <c r="AF7" i="10"/>
  <c r="AD7" i="13"/>
  <c r="AF7" i="13"/>
  <c r="AH8" i="10"/>
  <c r="AH16" i="10"/>
  <c r="AH24" i="10"/>
  <c r="AH40" i="10"/>
  <c r="AH56" i="10"/>
  <c r="AH38" i="10"/>
  <c r="AH9" i="10"/>
  <c r="AH17" i="10"/>
  <c r="AH25" i="10"/>
  <c r="AH33" i="10"/>
  <c r="AH41" i="10"/>
  <c r="AH49" i="10"/>
  <c r="AH46" i="10"/>
  <c r="AH10" i="10"/>
  <c r="AH18" i="10"/>
  <c r="AH26" i="10"/>
  <c r="AH34" i="10"/>
  <c r="AH42" i="10"/>
  <c r="AH50" i="10"/>
  <c r="AH29" i="10"/>
  <c r="AH45" i="10"/>
  <c r="AH30" i="10"/>
  <c r="AH11" i="10"/>
  <c r="AH19" i="10"/>
  <c r="AH27" i="10"/>
  <c r="AH35" i="10"/>
  <c r="AH43" i="10"/>
  <c r="AH51" i="10"/>
  <c r="AH21" i="10"/>
  <c r="AH37" i="10"/>
  <c r="AH14" i="10"/>
  <c r="AH54" i="10"/>
  <c r="AH12" i="10"/>
  <c r="AH20" i="10"/>
  <c r="AH28" i="10"/>
  <c r="AH36" i="10"/>
  <c r="AH44" i="10"/>
  <c r="AH52" i="10"/>
  <c r="AH13" i="10"/>
  <c r="AH53" i="10"/>
  <c r="AH22" i="10"/>
  <c r="AH15" i="10"/>
  <c r="AH23" i="10"/>
  <c r="AH31" i="10"/>
  <c r="AH39" i="10"/>
  <c r="AH47" i="10"/>
  <c r="AH55" i="10"/>
  <c r="AH32" i="10"/>
  <c r="AH48" i="10"/>
  <c r="AH7" i="10"/>
  <c r="AH56" i="16"/>
  <c r="AH50" i="16"/>
  <c r="AH44" i="16"/>
  <c r="AH38" i="16"/>
  <c r="AH32" i="16"/>
  <c r="AH26" i="16"/>
  <c r="AH20" i="16"/>
  <c r="AH14" i="16"/>
  <c r="AH8" i="16"/>
  <c r="AH55" i="16"/>
  <c r="AH49" i="16"/>
  <c r="AH43" i="16"/>
  <c r="AH37" i="16"/>
  <c r="AH31" i="16"/>
  <c r="AH25" i="16"/>
  <c r="AH19" i="16"/>
  <c r="AH13" i="16"/>
  <c r="AH54" i="16"/>
  <c r="AH48" i="16"/>
  <c r="AH42" i="16"/>
  <c r="AH36" i="16"/>
  <c r="AH30" i="16"/>
  <c r="AH24" i="16"/>
  <c r="AH18" i="16"/>
  <c r="AH12" i="16"/>
  <c r="AH53" i="16"/>
  <c r="AH47" i="16"/>
  <c r="AH41" i="16"/>
  <c r="AH35" i="16"/>
  <c r="AH29" i="16"/>
  <c r="AH23" i="16"/>
  <c r="AH17" i="16"/>
  <c r="AH11" i="16"/>
  <c r="AH52" i="16"/>
  <c r="AH46" i="16"/>
  <c r="AH40" i="16"/>
  <c r="AH34" i="16"/>
  <c r="AH28" i="16"/>
  <c r="AH22" i="16"/>
  <c r="AH16" i="16"/>
  <c r="AH10" i="16"/>
  <c r="AH51" i="16"/>
  <c r="AH45" i="16"/>
  <c r="AH39" i="16"/>
  <c r="AH33" i="16"/>
  <c r="AH27" i="16"/>
  <c r="AH21" i="16"/>
  <c r="AH15" i="16"/>
  <c r="AH9" i="16"/>
  <c r="AD8" i="16"/>
  <c r="AD14" i="16"/>
  <c r="AD20" i="16"/>
  <c r="AD26" i="16"/>
  <c r="AD32" i="16"/>
  <c r="AD38" i="16"/>
  <c r="AD44" i="16"/>
  <c r="AD50" i="16"/>
  <c r="AD56" i="16"/>
  <c r="AD25" i="16"/>
  <c r="AD9" i="16"/>
  <c r="AD15" i="16"/>
  <c r="AD21" i="16"/>
  <c r="AD27" i="16"/>
  <c r="AD33" i="16"/>
  <c r="AD39" i="16"/>
  <c r="AD45" i="16"/>
  <c r="AD51" i="16"/>
  <c r="AD19" i="16"/>
  <c r="AD43" i="16"/>
  <c r="AD7" i="16"/>
  <c r="AD10" i="16"/>
  <c r="AD16" i="16"/>
  <c r="AD22" i="16"/>
  <c r="AD28" i="16"/>
  <c r="AD34" i="16"/>
  <c r="AD40" i="16"/>
  <c r="AD46" i="16"/>
  <c r="AD52" i="16"/>
  <c r="AD37" i="16"/>
  <c r="AD11" i="16"/>
  <c r="AD17" i="16"/>
  <c r="AD23" i="16"/>
  <c r="AD29" i="16"/>
  <c r="AD35" i="16"/>
  <c r="AD41" i="16"/>
  <c r="AD47" i="16"/>
  <c r="AD53" i="16"/>
  <c r="AD13" i="16"/>
  <c r="AD55" i="16"/>
  <c r="AD12" i="16"/>
  <c r="AD18" i="16"/>
  <c r="AD24" i="16"/>
  <c r="AD30" i="16"/>
  <c r="AD36" i="16"/>
  <c r="AD42" i="16"/>
  <c r="AD48" i="16"/>
  <c r="AD54" i="16"/>
  <c r="AD31" i="16"/>
  <c r="AD49" i="16"/>
  <c r="AH7" i="16"/>
  <c r="AA5" i="14"/>
  <c r="AA5" i="13"/>
  <c r="AA5" i="10"/>
  <c r="AE8" i="14"/>
  <c r="AE14" i="14"/>
  <c r="AE18" i="14"/>
  <c r="AE22" i="14"/>
  <c r="AE26" i="14"/>
  <c r="AE30" i="14"/>
  <c r="AE34" i="14"/>
  <c r="AE9" i="14"/>
  <c r="AE10" i="14"/>
  <c r="AE15" i="14"/>
  <c r="AE19" i="14"/>
  <c r="AE23" i="14"/>
  <c r="AE27" i="14"/>
  <c r="AE31" i="14"/>
  <c r="AE35" i="14"/>
  <c r="AE11" i="14"/>
  <c r="AE16" i="14"/>
  <c r="AE20" i="14"/>
  <c r="AE24" i="14"/>
  <c r="AE28" i="14"/>
  <c r="AE32" i="14"/>
  <c r="AE12" i="14"/>
  <c r="AE7" i="14"/>
  <c r="AE13" i="14"/>
  <c r="AE17" i="14"/>
  <c r="AE21" i="14"/>
  <c r="AE25" i="14"/>
  <c r="AE29" i="14"/>
  <c r="AE33" i="14"/>
  <c r="AE10" i="13"/>
  <c r="AE11" i="13"/>
  <c r="AE16" i="13"/>
  <c r="AE20" i="13"/>
  <c r="AE24" i="13"/>
  <c r="AE28" i="13"/>
  <c r="AE32" i="13"/>
  <c r="AE12" i="13"/>
  <c r="AE8" i="13"/>
  <c r="AE13" i="13"/>
  <c r="AE17" i="13"/>
  <c r="AE21" i="13"/>
  <c r="AE25" i="13"/>
  <c r="AE29" i="13"/>
  <c r="AE33" i="13"/>
  <c r="AE7" i="13"/>
  <c r="AE9" i="13"/>
  <c r="AE14" i="13"/>
  <c r="AE18" i="13"/>
  <c r="AE22" i="13"/>
  <c r="AE26" i="13"/>
  <c r="AE30" i="13"/>
  <c r="AE34" i="13"/>
  <c r="AE15" i="13"/>
  <c r="AE19" i="13"/>
  <c r="AE23" i="13"/>
  <c r="AE27" i="13"/>
  <c r="AE31" i="13"/>
  <c r="AE35" i="13"/>
  <c r="AE8" i="10"/>
  <c r="AE17" i="10"/>
  <c r="AE25" i="10"/>
  <c r="AE33" i="10"/>
  <c r="AE9" i="10"/>
  <c r="AE14" i="10"/>
  <c r="AE18" i="10"/>
  <c r="AE22" i="10"/>
  <c r="AE26" i="10"/>
  <c r="AE30" i="10"/>
  <c r="AE34" i="10"/>
  <c r="AE38" i="10"/>
  <c r="AE10" i="10"/>
  <c r="AE15" i="10"/>
  <c r="AE23" i="10"/>
  <c r="AE27" i="10"/>
  <c r="AE35" i="10"/>
  <c r="AE39" i="10"/>
  <c r="AE11" i="10"/>
  <c r="AE19" i="10"/>
  <c r="AE31" i="10"/>
  <c r="AE12" i="10"/>
  <c r="AE16" i="10"/>
  <c r="AE20" i="10"/>
  <c r="AE24" i="10"/>
  <c r="AE28" i="10"/>
  <c r="AE32" i="10"/>
  <c r="AE36" i="10"/>
  <c r="AE40" i="10"/>
  <c r="AE7" i="10"/>
  <c r="AE13" i="10"/>
  <c r="AE29" i="10"/>
  <c r="AE37" i="10"/>
  <c r="AE21" i="10"/>
  <c r="AE29" i="16"/>
  <c r="AE22" i="16"/>
  <c r="AE7" i="16"/>
  <c r="AE15" i="16"/>
  <c r="AE23" i="16"/>
  <c r="AE31" i="16"/>
  <c r="AE38" i="16"/>
  <c r="AE44" i="16"/>
  <c r="AE14" i="16"/>
  <c r="AE37" i="16"/>
  <c r="AE8" i="16"/>
  <c r="AE16" i="16"/>
  <c r="AE24" i="16"/>
  <c r="AE32" i="16"/>
  <c r="AE39" i="16"/>
  <c r="AE17" i="16"/>
  <c r="AE21" i="16"/>
  <c r="AE33" i="16"/>
  <c r="AE34" i="16"/>
  <c r="AE25" i="16"/>
  <c r="AE10" i="16"/>
  <c r="AE26" i="16"/>
  <c r="AE41" i="16"/>
  <c r="AE11" i="16"/>
  <c r="AE19" i="16"/>
  <c r="AE27" i="16"/>
  <c r="AE42" i="16"/>
  <c r="AE9" i="16"/>
  <c r="AE40" i="16"/>
  <c r="AE18" i="16"/>
  <c r="AE12" i="16"/>
  <c r="AE20" i="16"/>
  <c r="AE28" i="16"/>
  <c r="AE35" i="16"/>
  <c r="AE43" i="16"/>
  <c r="AE13" i="16"/>
  <c r="AE36" i="16"/>
  <c r="AE45" i="16"/>
  <c r="D8" i="14"/>
  <c r="D8" i="16"/>
  <c r="D8" i="10"/>
  <c r="D8" i="13"/>
  <c r="AK26" i="10"/>
  <c r="AK10" i="10"/>
  <c r="AK10" i="13"/>
  <c r="AG7" i="16"/>
  <c r="AK11" i="10"/>
  <c r="AK9" i="10"/>
  <c r="AA18" i="13"/>
  <c r="AC30" i="13"/>
  <c r="AA34" i="13"/>
  <c r="D7" i="13"/>
  <c r="D7" i="10"/>
  <c r="AK9" i="16"/>
  <c r="AA43" i="16"/>
  <c r="AG26" i="16"/>
  <c r="AG40" i="16"/>
  <c r="AK8" i="14"/>
  <c r="AG20" i="14"/>
  <c r="AK9" i="14"/>
  <c r="AA14" i="14"/>
  <c r="AC34" i="14"/>
  <c r="AK10" i="14"/>
  <c r="AK15" i="14"/>
  <c r="AK27" i="14"/>
  <c r="D7" i="16"/>
  <c r="AK43" i="16"/>
  <c r="AK7" i="14"/>
  <c r="AK30" i="13"/>
  <c r="AK22" i="13"/>
  <c r="AK11" i="16"/>
  <c r="AK15" i="16"/>
  <c r="AG8" i="13"/>
  <c r="AK13" i="13"/>
  <c r="AG15" i="13"/>
  <c r="AC27" i="13"/>
  <c r="AC35" i="13"/>
  <c r="AK12" i="16"/>
  <c r="AK16" i="16"/>
  <c r="AK24" i="16"/>
  <c r="AK28" i="16"/>
  <c r="AK37" i="16"/>
  <c r="AK45" i="16"/>
  <c r="AK18" i="10"/>
  <c r="AK20" i="10"/>
  <c r="AK24" i="10"/>
  <c r="AK28" i="10"/>
  <c r="AK32" i="10"/>
  <c r="AC36" i="10"/>
  <c r="AK40" i="10"/>
  <c r="AG9" i="13"/>
  <c r="AK16" i="14"/>
  <c r="AG22" i="14"/>
  <c r="AK26" i="14"/>
  <c r="AC30" i="14"/>
  <c r="AK34" i="14"/>
  <c r="AG9" i="16"/>
  <c r="AK17" i="16"/>
  <c r="AK25" i="16"/>
  <c r="AK29" i="16"/>
  <c r="AK33" i="16"/>
  <c r="AK42" i="16"/>
  <c r="AG18" i="13"/>
  <c r="AG22" i="13"/>
  <c r="AC26" i="13"/>
  <c r="AC28" i="13"/>
  <c r="AK12" i="14"/>
  <c r="AK40" i="16"/>
  <c r="AC17" i="13"/>
  <c r="AK25" i="13"/>
  <c r="AK29" i="13"/>
  <c r="AG33" i="13"/>
  <c r="AA9" i="14"/>
  <c r="AA8" i="16"/>
  <c r="AG20" i="16"/>
  <c r="AC32" i="16"/>
  <c r="AK12" i="10"/>
  <c r="AK16" i="10"/>
  <c r="AC22" i="10"/>
  <c r="AK30" i="10"/>
  <c r="AK34" i="10"/>
  <c r="AG38" i="10"/>
  <c r="AK24" i="14"/>
  <c r="AK32" i="14"/>
  <c r="AA41" i="16"/>
  <c r="AG22" i="16"/>
  <c r="AG30" i="16"/>
  <c r="AC34" i="16"/>
  <c r="AK35" i="16"/>
  <c r="AA39" i="16"/>
  <c r="AG13" i="10"/>
  <c r="AK15" i="10"/>
  <c r="AK17" i="10"/>
  <c r="AK19" i="10"/>
  <c r="AC21" i="10"/>
  <c r="AK23" i="10"/>
  <c r="AC25" i="10"/>
  <c r="AK27" i="10"/>
  <c r="AK31" i="10"/>
  <c r="AK37" i="10"/>
  <c r="AK39" i="10"/>
  <c r="AG8" i="14"/>
  <c r="AG13" i="14"/>
  <c r="AC15" i="14"/>
  <c r="AK17" i="14"/>
  <c r="AK21" i="14"/>
  <c r="AA23" i="14"/>
  <c r="AK25" i="14"/>
  <c r="AK29" i="14"/>
  <c r="AK33" i="14"/>
  <c r="AK35" i="14"/>
  <c r="AC7" i="14"/>
  <c r="AA16" i="14"/>
  <c r="AK7" i="13"/>
  <c r="AC40" i="10"/>
  <c r="AK7" i="16"/>
  <c r="AC42" i="16"/>
  <c r="AG25" i="16"/>
  <c r="AG38" i="16"/>
  <c r="AG33" i="16"/>
  <c r="AG23" i="14"/>
  <c r="AA34" i="16"/>
  <c r="AG15" i="14"/>
  <c r="AC8" i="14"/>
  <c r="AC43" i="16"/>
  <c r="AC10" i="16"/>
  <c r="AC12" i="13"/>
  <c r="AG7" i="13"/>
  <c r="AA7" i="14"/>
  <c r="AX7" i="18"/>
  <c r="AX9" i="18" s="1"/>
  <c r="AG39" i="10"/>
  <c r="AK8" i="16"/>
  <c r="AK8" i="13"/>
  <c r="AK38" i="10"/>
  <c r="AK22" i="10"/>
  <c r="AK23" i="13"/>
  <c r="AK31" i="13"/>
  <c r="AK19" i="14"/>
  <c r="AK31" i="14"/>
  <c r="AA20" i="16"/>
  <c r="AA39" i="10"/>
  <c r="AK14" i="13"/>
  <c r="AK26" i="13"/>
  <c r="AK34" i="13"/>
  <c r="AK23" i="14"/>
  <c r="AG43" i="16"/>
  <c r="AA8" i="10"/>
  <c r="AC12" i="16"/>
  <c r="AK8" i="10"/>
  <c r="AK14" i="10"/>
  <c r="AK18" i="13"/>
  <c r="AK27" i="13"/>
  <c r="AK35" i="13"/>
  <c r="AK11" i="14"/>
  <c r="AC29" i="14"/>
  <c r="AA17" i="16"/>
  <c r="AA36" i="16"/>
  <c r="AG32" i="10"/>
  <c r="AC13" i="16"/>
  <c r="AG20" i="13"/>
  <c r="AA22" i="10"/>
  <c r="AA30" i="13"/>
  <c r="AA24" i="10"/>
  <c r="AG29" i="16"/>
  <c r="AA26" i="13"/>
  <c r="AA8" i="14"/>
  <c r="AC19" i="14"/>
  <c r="AG30" i="13"/>
  <c r="AC33" i="16"/>
  <c r="AC18" i="13"/>
  <c r="AG20" i="10"/>
  <c r="AC28" i="10"/>
  <c r="AC7" i="13"/>
  <c r="AG12" i="10"/>
  <c r="AA26" i="10"/>
  <c r="AA7" i="13"/>
  <c r="AA12" i="13"/>
  <c r="AA25" i="16"/>
  <c r="AC18" i="16"/>
  <c r="AG12" i="13"/>
  <c r="AA19" i="16"/>
  <c r="AA27" i="16"/>
  <c r="AC23" i="16"/>
  <c r="AA17" i="13"/>
  <c r="AG21" i="10"/>
  <c r="AC35" i="10"/>
  <c r="AA19" i="10"/>
  <c r="AG8" i="10"/>
  <c r="AG17" i="10"/>
  <c r="AA25" i="10"/>
  <c r="AG19" i="13"/>
  <c r="AA24" i="16"/>
  <c r="AC20" i="16"/>
  <c r="AC16" i="16"/>
  <c r="AA12" i="16"/>
  <c r="AG35" i="10"/>
  <c r="AC8" i="10"/>
  <c r="AG31" i="13"/>
  <c r="AA17" i="10"/>
  <c r="AA28" i="16"/>
  <c r="AC28" i="16"/>
  <c r="AA16" i="16"/>
  <c r="AG12" i="14"/>
  <c r="AG19" i="10"/>
  <c r="AG32" i="16"/>
  <c r="AG28" i="16"/>
  <c r="AG16" i="16"/>
  <c r="AG12" i="16"/>
  <c r="AC12" i="14"/>
  <c r="AK11" i="13"/>
  <c r="AA11" i="13"/>
  <c r="AC45" i="16"/>
  <c r="AK9" i="13"/>
  <c r="AG16" i="13"/>
  <c r="AK16" i="13"/>
  <c r="AA16" i="13"/>
  <c r="AC20" i="13"/>
  <c r="AK20" i="13"/>
  <c r="AA20" i="13"/>
  <c r="AA22" i="13"/>
  <c r="AC22" i="13"/>
  <c r="AC24" i="13"/>
  <c r="AK24" i="13"/>
  <c r="AG28" i="13"/>
  <c r="AK28" i="13"/>
  <c r="AC32" i="13"/>
  <c r="AK32" i="13"/>
  <c r="AC34" i="13"/>
  <c r="AA45" i="16"/>
  <c r="AG45" i="16"/>
  <c r="AC41" i="16"/>
  <c r="AC14" i="16"/>
  <c r="AC22" i="16"/>
  <c r="AC26" i="16"/>
  <c r="AC30" i="16"/>
  <c r="AA30" i="16"/>
  <c r="AG34" i="16"/>
  <c r="AK27" i="16"/>
  <c r="AK7" i="10"/>
  <c r="AC7" i="10"/>
  <c r="AG41" i="16"/>
  <c r="AA37" i="16"/>
  <c r="AK13" i="10"/>
  <c r="AC13" i="10"/>
  <c r="AA13" i="10"/>
  <c r="AC15" i="10"/>
  <c r="AA15" i="10"/>
  <c r="AK21" i="10"/>
  <c r="AK25" i="10"/>
  <c r="AK29" i="10"/>
  <c r="AG29" i="10"/>
  <c r="AK33" i="10"/>
  <c r="AA35" i="10"/>
  <c r="AK35" i="10"/>
  <c r="AG14" i="14"/>
  <c r="AK14" i="14"/>
  <c r="AK18" i="14"/>
  <c r="AC18" i="14"/>
  <c r="AK20" i="14"/>
  <c r="AC20" i="14"/>
  <c r="AK22" i="14"/>
  <c r="AA22" i="14"/>
  <c r="AC28" i="14"/>
  <c r="AK28" i="14"/>
  <c r="AA30" i="14"/>
  <c r="AK30" i="14"/>
  <c r="AK36" i="10"/>
  <c r="AK12" i="13"/>
  <c r="AK13" i="14"/>
  <c r="AK17" i="13"/>
  <c r="AK21" i="13"/>
  <c r="AK33" i="13"/>
  <c r="AK15" i="13"/>
  <c r="AK19" i="13"/>
  <c r="AK7" i="18"/>
  <c r="AK57" i="18" s="1"/>
  <c r="X56" i="13" s="1"/>
  <c r="AG23" i="16"/>
  <c r="AA23" i="16"/>
  <c r="AA12" i="10"/>
  <c r="AC12" i="10"/>
  <c r="AG18" i="10"/>
  <c r="AG24" i="10"/>
  <c r="AG30" i="10"/>
  <c r="AC30" i="10"/>
  <c r="AA34" i="10"/>
  <c r="AC34" i="10"/>
  <c r="AG34" i="10"/>
  <c r="AA40" i="10"/>
  <c r="AC23" i="13"/>
  <c r="AG23" i="13"/>
  <c r="AA29" i="13"/>
  <c r="AA15" i="16"/>
  <c r="AA28" i="10"/>
  <c r="AC14" i="10"/>
  <c r="AC24" i="10"/>
  <c r="AC19" i="13"/>
  <c r="AG29" i="13"/>
  <c r="AK19" i="16"/>
  <c r="AC19" i="16"/>
  <c r="AA20" i="10"/>
  <c r="AC26" i="10"/>
  <c r="AG25" i="13"/>
  <c r="AA25" i="13"/>
  <c r="AA31" i="13"/>
  <c r="AC31" i="13"/>
  <c r="AC5" i="14"/>
  <c r="BC7" i="18"/>
  <c r="BC8" i="18" s="1"/>
  <c r="AI7" i="14" s="1"/>
  <c r="AG15" i="16"/>
  <c r="AG28" i="10"/>
  <c r="AG17" i="13"/>
  <c r="AG19" i="16"/>
  <c r="AC11" i="16"/>
  <c r="AA30" i="10"/>
  <c r="AA15" i="13"/>
  <c r="AG31" i="16"/>
  <c r="AC31" i="16"/>
  <c r="AA31" i="16"/>
  <c r="AC16" i="10"/>
  <c r="AA16" i="10"/>
  <c r="AC32" i="10"/>
  <c r="AA19" i="13"/>
  <c r="AA27" i="13"/>
  <c r="AG27" i="13"/>
  <c r="AC33" i="13"/>
  <c r="AA35" i="13"/>
  <c r="AG35" i="13"/>
  <c r="AC27" i="16"/>
  <c r="AG26" i="10"/>
  <c r="AA32" i="10"/>
  <c r="AC18" i="10"/>
  <c r="AG40" i="10"/>
  <c r="AA33" i="13"/>
  <c r="AG22" i="10"/>
  <c r="AG7" i="14"/>
  <c r="AC14" i="14"/>
  <c r="AG16" i="14"/>
  <c r="AC16" i="14"/>
  <c r="AA18" i="14"/>
  <c r="AG18" i="14"/>
  <c r="AA20" i="14"/>
  <c r="AC22" i="14"/>
  <c r="AG30" i="14"/>
  <c r="AA34" i="14"/>
  <c r="AG34" i="14"/>
  <c r="AC39" i="16"/>
  <c r="AG39" i="16"/>
  <c r="AA12" i="14"/>
  <c r="X7" i="18"/>
  <c r="X25" i="18" s="1"/>
  <c r="AC8" i="16"/>
  <c r="AC7" i="18"/>
  <c r="AC42" i="18" s="1"/>
  <c r="AI41" i="10" s="1"/>
  <c r="AA10" i="16"/>
  <c r="AK10" i="16"/>
  <c r="AG10" i="16"/>
  <c r="AK14" i="16"/>
  <c r="AA14" i="16"/>
  <c r="AA18" i="16"/>
  <c r="AG18" i="16"/>
  <c r="AA22" i="16"/>
  <c r="AK22" i="16"/>
  <c r="AA26" i="16"/>
  <c r="AK26" i="16"/>
  <c r="AK30" i="16"/>
  <c r="AK34" i="16"/>
  <c r="AC38" i="16"/>
  <c r="AK38" i="16"/>
  <c r="AK18" i="16"/>
  <c r="AG11" i="10"/>
  <c r="AC11" i="10"/>
  <c r="AG25" i="10"/>
  <c r="AA27" i="10"/>
  <c r="AC31" i="10"/>
  <c r="AA31" i="10"/>
  <c r="AG31" i="10"/>
  <c r="AG33" i="10"/>
  <c r="AA37" i="10"/>
  <c r="AG9" i="14"/>
  <c r="AC9" i="14"/>
  <c r="AC11" i="13"/>
  <c r="AG11" i="13"/>
  <c r="AA9" i="10"/>
  <c r="AG9" i="10"/>
  <c r="AG36" i="16"/>
  <c r="AC36" i="16"/>
  <c r="AK36" i="16"/>
  <c r="AG44" i="16"/>
  <c r="AC44" i="16"/>
  <c r="AK44" i="16"/>
  <c r="AA44" i="16"/>
  <c r="AK13" i="16"/>
  <c r="AK21" i="16"/>
  <c r="AC21" i="16"/>
  <c r="AG10" i="14"/>
  <c r="AA10" i="14"/>
  <c r="AC10" i="14"/>
  <c r="AA15" i="14"/>
  <c r="AG17" i="14"/>
  <c r="AG19" i="14"/>
  <c r="AA19" i="14"/>
  <c r="AG21" i="14"/>
  <c r="AA21" i="14"/>
  <c r="AC21" i="14"/>
  <c r="AC23" i="14"/>
  <c r="AC25" i="14"/>
  <c r="AG25" i="14"/>
  <c r="AA25" i="14"/>
  <c r="AG29" i="14"/>
  <c r="AA29" i="14"/>
  <c r="AG31" i="14"/>
  <c r="AA31" i="14"/>
  <c r="AC31" i="14"/>
  <c r="AC33" i="14"/>
  <c r="AK20" i="16"/>
  <c r="AK32" i="16"/>
  <c r="AK41" i="16"/>
  <c r="AK23" i="16"/>
  <c r="AK31" i="16"/>
  <c r="AK39" i="16"/>
  <c r="P7" i="18"/>
  <c r="AG14" i="16"/>
  <c r="AC9" i="10"/>
  <c r="AC13" i="14"/>
  <c r="AA13" i="14"/>
  <c r="AA11" i="16"/>
  <c r="AG11" i="16"/>
  <c r="AG11" i="14"/>
  <c r="AG33" i="14"/>
  <c r="AA33" i="14"/>
  <c r="AC9" i="16"/>
  <c r="AA9" i="16"/>
  <c r="AA26" i="14"/>
  <c r="AG26" i="14"/>
  <c r="AC26" i="14"/>
  <c r="AA28" i="14"/>
  <c r="AG28" i="14"/>
  <c r="AC35" i="16"/>
  <c r="AG35" i="16"/>
  <c r="AA35" i="16"/>
  <c r="AA38" i="16"/>
  <c r="AG42" i="16"/>
  <c r="AA42" i="16"/>
  <c r="AA8" i="13"/>
  <c r="AC8" i="13"/>
  <c r="AC15" i="13"/>
  <c r="AC17" i="16"/>
  <c r="AG21" i="16"/>
  <c r="AC25" i="16"/>
  <c r="AC29" i="16"/>
  <c r="AA29" i="16"/>
  <c r="AA10" i="10"/>
  <c r="AG10" i="10"/>
  <c r="AA14" i="10"/>
  <c r="AG14" i="10"/>
  <c r="AC11" i="14"/>
  <c r="AA32" i="16"/>
  <c r="AA24" i="13"/>
  <c r="AG16" i="10"/>
  <c r="AA28" i="13"/>
  <c r="AC16" i="13"/>
  <c r="AC39" i="10"/>
  <c r="AC20" i="10"/>
  <c r="AA11" i="14"/>
  <c r="AC10" i="10"/>
  <c r="AG15" i="10"/>
  <c r="AC29" i="13"/>
  <c r="AA18" i="10"/>
  <c r="AC24" i="14"/>
  <c r="AA24" i="14"/>
  <c r="AC35" i="14"/>
  <c r="AA35" i="14"/>
  <c r="AG35" i="14"/>
  <c r="AG24" i="14"/>
  <c r="AA13" i="16"/>
  <c r="AG13" i="16"/>
  <c r="AC37" i="16"/>
  <c r="AG37" i="16"/>
  <c r="AC40" i="16"/>
  <c r="AC14" i="13"/>
  <c r="AA14" i="13"/>
  <c r="AG14" i="13"/>
  <c r="AA7" i="10"/>
  <c r="AG7" i="10"/>
  <c r="AG17" i="16"/>
  <c r="AA21" i="16"/>
  <c r="AA33" i="16"/>
  <c r="AC17" i="10"/>
  <c r="AC23" i="10"/>
  <c r="AA23" i="10"/>
  <c r="AA36" i="10"/>
  <c r="AG36" i="10"/>
  <c r="AC21" i="13"/>
  <c r="AG21" i="13"/>
  <c r="AA21" i="13"/>
  <c r="AA23" i="13"/>
  <c r="AC25" i="13"/>
  <c r="AA21" i="10"/>
  <c r="AC15" i="16"/>
  <c r="AG27" i="16"/>
  <c r="AG37" i="10"/>
  <c r="AC37" i="10"/>
  <c r="AC10" i="13"/>
  <c r="AG10" i="13"/>
  <c r="AA10" i="13"/>
  <c r="AG26" i="13"/>
  <c r="AG32" i="13"/>
  <c r="AA32" i="13"/>
  <c r="AG8" i="16"/>
  <c r="AG24" i="16"/>
  <c r="AC24" i="16"/>
  <c r="AG27" i="10"/>
  <c r="AC27" i="10"/>
  <c r="AC17" i="14"/>
  <c r="AA17" i="14"/>
  <c r="AG13" i="13"/>
  <c r="AA13" i="13"/>
  <c r="AC13" i="13"/>
  <c r="AA40" i="16"/>
  <c r="AA27" i="14"/>
  <c r="AC27" i="14"/>
  <c r="AG27" i="14"/>
  <c r="AG32" i="14"/>
  <c r="AA32" i="14"/>
  <c r="AC32" i="14"/>
  <c r="C30" i="5"/>
  <c r="C31" i="5" s="1"/>
  <c r="C32" i="5" s="1"/>
  <c r="C33" i="5" s="1"/>
  <c r="C34" i="5" s="1"/>
  <c r="C35" i="5" s="1"/>
  <c r="C36" i="5" s="1"/>
  <c r="C37" i="5" s="1"/>
  <c r="C38" i="5" s="1"/>
  <c r="C39" i="5" s="1"/>
  <c r="C40" i="5" s="1"/>
  <c r="C41" i="5" s="1"/>
  <c r="C42" i="5" s="1"/>
  <c r="C43" i="5" s="1"/>
  <c r="C44" i="5" s="1"/>
  <c r="C45" i="5" s="1"/>
  <c r="C46" i="5" s="1"/>
  <c r="C47" i="5" s="1"/>
  <c r="C48" i="5" s="1"/>
  <c r="C49" i="5" s="1"/>
  <c r="C50" i="5" s="1"/>
  <c r="C51" i="5" s="1"/>
  <c r="C52" i="5" s="1"/>
  <c r="C53" i="5" s="1"/>
  <c r="C54" i="5" s="1"/>
  <c r="C55" i="5" s="1"/>
  <c r="C56" i="5" s="1"/>
  <c r="AC29" i="10"/>
  <c r="AA29" i="10"/>
  <c r="AG5" i="13"/>
  <c r="AH7" i="13" s="1"/>
  <c r="AP7" i="18"/>
  <c r="AP9" i="18" s="1"/>
  <c r="AI8" i="13" s="1"/>
  <c r="AA9" i="13"/>
  <c r="AC9" i="13"/>
  <c r="AA38" i="10"/>
  <c r="AC38" i="10"/>
  <c r="AA11" i="10"/>
  <c r="AG24" i="13"/>
  <c r="AC19" i="10"/>
  <c r="AG23" i="10"/>
  <c r="AC33" i="10"/>
  <c r="AA33" i="10"/>
  <c r="AG34" i="13"/>
  <c r="K7" i="18"/>
  <c r="AI14" i="14" l="1"/>
  <c r="AI22" i="14"/>
  <c r="AI30" i="14"/>
  <c r="AI13" i="14"/>
  <c r="AI15" i="14"/>
  <c r="AI23" i="14"/>
  <c r="AI31" i="14"/>
  <c r="AI21" i="14"/>
  <c r="AI16" i="14"/>
  <c r="AI24" i="14"/>
  <c r="AI29" i="14"/>
  <c r="AI9" i="14"/>
  <c r="AI17" i="14"/>
  <c r="AI31" i="13"/>
  <c r="AI25" i="13"/>
  <c r="AI24" i="13"/>
  <c r="AI28" i="13"/>
  <c r="AI26" i="13"/>
  <c r="AI22" i="13"/>
  <c r="AI18" i="13"/>
  <c r="AI14" i="13"/>
  <c r="AI21" i="13"/>
  <c r="AI13" i="13"/>
  <c r="AI30" i="13"/>
  <c r="AI16" i="13"/>
  <c r="AI17" i="13"/>
  <c r="AI12" i="13"/>
  <c r="AI23" i="13"/>
  <c r="AI20" i="13"/>
  <c r="AI27" i="13"/>
  <c r="AI19" i="13"/>
  <c r="AI15" i="13"/>
  <c r="AI29" i="13"/>
  <c r="AI9" i="13"/>
  <c r="AI11" i="13"/>
  <c r="AI10" i="13"/>
  <c r="BC57" i="18"/>
  <c r="AI56" i="14" s="1"/>
  <c r="AK9" i="18"/>
  <c r="X8" i="13" s="1"/>
  <c r="X40" i="18"/>
  <c r="X39" i="10" s="1"/>
  <c r="X45" i="18"/>
  <c r="X44" i="10" s="1"/>
  <c r="X24" i="18"/>
  <c r="X23" i="10" s="1"/>
  <c r="X32" i="18"/>
  <c r="X31" i="10" s="1"/>
  <c r="X10" i="18"/>
  <c r="X9" i="10" s="1"/>
  <c r="X17" i="18"/>
  <c r="X16" i="10" s="1"/>
  <c r="AC24" i="18"/>
  <c r="AI23" i="10" s="1"/>
  <c r="AC15" i="18"/>
  <c r="AI14" i="10" s="1"/>
  <c r="AC29" i="18"/>
  <c r="AI28" i="10" s="1"/>
  <c r="AC28" i="18"/>
  <c r="AI27" i="10" s="1"/>
  <c r="AC27" i="18"/>
  <c r="AI26" i="10" s="1"/>
  <c r="AC34" i="18"/>
  <c r="AI33" i="10" s="1"/>
  <c r="AP8" i="18"/>
  <c r="AI7" i="13" s="1"/>
  <c r="X16" i="18"/>
  <c r="X15" i="10" s="1"/>
  <c r="X54" i="18"/>
  <c r="X53" i="10" s="1"/>
  <c r="X13" i="18"/>
  <c r="X12" i="10" s="1"/>
  <c r="X29" i="18"/>
  <c r="X28" i="10" s="1"/>
  <c r="X53" i="18"/>
  <c r="X52" i="10" s="1"/>
  <c r="X48" i="18"/>
  <c r="X47" i="10" s="1"/>
  <c r="X9" i="18"/>
  <c r="X8" i="10" s="1"/>
  <c r="AC16" i="18"/>
  <c r="AI15" i="10" s="1"/>
  <c r="AC17" i="18"/>
  <c r="AI16" i="10" s="1"/>
  <c r="AC21" i="18"/>
  <c r="AI20" i="10" s="1"/>
  <c r="AC20" i="18"/>
  <c r="AI19" i="10" s="1"/>
  <c r="AC19" i="18"/>
  <c r="AI18" i="10" s="1"/>
  <c r="AC26" i="18"/>
  <c r="AI25" i="10" s="1"/>
  <c r="AP57" i="18"/>
  <c r="AI56" i="13" s="1"/>
  <c r="X55" i="18"/>
  <c r="X54" i="10" s="1"/>
  <c r="X46" i="18"/>
  <c r="X45" i="10" s="1"/>
  <c r="X52" i="18"/>
  <c r="X51" i="10" s="1"/>
  <c r="X51" i="18"/>
  <c r="X50" i="10" s="1"/>
  <c r="X21" i="18"/>
  <c r="X20" i="10" s="1"/>
  <c r="X37" i="18"/>
  <c r="X36" i="10" s="1"/>
  <c r="X8" i="18"/>
  <c r="X7" i="10" s="1"/>
  <c r="AC41" i="18"/>
  <c r="AI40" i="10" s="1"/>
  <c r="AC57" i="18"/>
  <c r="AI56" i="10" s="1"/>
  <c r="AC13" i="18"/>
  <c r="AI12" i="10" s="1"/>
  <c r="AC12" i="18"/>
  <c r="AC11" i="18"/>
  <c r="AC18" i="18"/>
  <c r="AI17" i="10" s="1"/>
  <c r="P8" i="18"/>
  <c r="AI7" i="16" s="1"/>
  <c r="P56" i="18"/>
  <c r="AI55" i="16" s="1"/>
  <c r="P41" i="18"/>
  <c r="AI40" i="16" s="1"/>
  <c r="P34" i="18"/>
  <c r="AI33" i="16" s="1"/>
  <c r="P35" i="18"/>
  <c r="AI34" i="16" s="1"/>
  <c r="P29" i="18"/>
  <c r="AI28" i="16" s="1"/>
  <c r="P38" i="18"/>
  <c r="AI37" i="16" s="1"/>
  <c r="P12" i="18"/>
  <c r="AI11" i="16" s="1"/>
  <c r="P49" i="18"/>
  <c r="AI48" i="16" s="1"/>
  <c r="P42" i="18"/>
  <c r="AI41" i="16" s="1"/>
  <c r="P43" i="18"/>
  <c r="AI42" i="16" s="1"/>
  <c r="P37" i="18"/>
  <c r="AI36" i="16" s="1"/>
  <c r="P46" i="18"/>
  <c r="AI45" i="16" s="1"/>
  <c r="P36" i="18"/>
  <c r="AI35" i="16" s="1"/>
  <c r="P57" i="18"/>
  <c r="AI56" i="16" s="1"/>
  <c r="P50" i="18"/>
  <c r="AI49" i="16" s="1"/>
  <c r="P51" i="18"/>
  <c r="AI50" i="16" s="1"/>
  <c r="P45" i="18"/>
  <c r="AI44" i="16" s="1"/>
  <c r="P54" i="18"/>
  <c r="AI53" i="16" s="1"/>
  <c r="P16" i="18"/>
  <c r="AI15" i="16" s="1"/>
  <c r="P31" i="18"/>
  <c r="AI30" i="16" s="1"/>
  <c r="P44" i="18"/>
  <c r="AI43" i="16" s="1"/>
  <c r="P20" i="18"/>
  <c r="AI19" i="16" s="1"/>
  <c r="P28" i="18"/>
  <c r="AI27" i="16" s="1"/>
  <c r="P53" i="18"/>
  <c r="AI52" i="16" s="1"/>
  <c r="P15" i="18"/>
  <c r="AI14" i="16" s="1"/>
  <c r="P24" i="18"/>
  <c r="AI23" i="16" s="1"/>
  <c r="P9" i="18"/>
  <c r="AI8" i="16" s="1"/>
  <c r="P55" i="18"/>
  <c r="AI54" i="16" s="1"/>
  <c r="P23" i="18"/>
  <c r="AI22" i="16" s="1"/>
  <c r="P52" i="18"/>
  <c r="AI51" i="16" s="1"/>
  <c r="P47" i="18"/>
  <c r="AI46" i="16" s="1"/>
  <c r="P32" i="18"/>
  <c r="AI31" i="16" s="1"/>
  <c r="P17" i="18"/>
  <c r="AI16" i="16" s="1"/>
  <c r="P10" i="18"/>
  <c r="AI9" i="16" s="1"/>
  <c r="P11" i="18"/>
  <c r="AI10" i="16" s="1"/>
  <c r="P39" i="18"/>
  <c r="AI38" i="16" s="1"/>
  <c r="P14" i="18"/>
  <c r="AI13" i="16" s="1"/>
  <c r="P40" i="18"/>
  <c r="AI39" i="16" s="1"/>
  <c r="P25" i="18"/>
  <c r="AI24" i="16" s="1"/>
  <c r="P18" i="18"/>
  <c r="AI17" i="16" s="1"/>
  <c r="P19" i="18"/>
  <c r="AI18" i="16" s="1"/>
  <c r="P13" i="18"/>
  <c r="AI12" i="16" s="1"/>
  <c r="P22" i="18"/>
  <c r="AI21" i="16" s="1"/>
  <c r="P48" i="18"/>
  <c r="AI47" i="16" s="1"/>
  <c r="P33" i="18"/>
  <c r="AI32" i="16" s="1"/>
  <c r="P26" i="18"/>
  <c r="AI25" i="16" s="1"/>
  <c r="P27" i="18"/>
  <c r="AI26" i="16" s="1"/>
  <c r="P21" i="18"/>
  <c r="AI20" i="16" s="1"/>
  <c r="P30" i="18"/>
  <c r="AI29" i="16" s="1"/>
  <c r="X47" i="18"/>
  <c r="X46" i="10" s="1"/>
  <c r="X38" i="18"/>
  <c r="X37" i="10" s="1"/>
  <c r="X44" i="18"/>
  <c r="X43" i="10" s="1"/>
  <c r="X43" i="18"/>
  <c r="X42" i="10" s="1"/>
  <c r="X50" i="18"/>
  <c r="X49" i="10" s="1"/>
  <c r="X57" i="18"/>
  <c r="X56" i="10" s="1"/>
  <c r="AC9" i="18"/>
  <c r="AC55" i="18"/>
  <c r="AI54" i="10" s="1"/>
  <c r="AC46" i="18"/>
  <c r="AI45" i="10" s="1"/>
  <c r="AC33" i="18"/>
  <c r="AI32" i="10" s="1"/>
  <c r="AC25" i="18"/>
  <c r="AI24" i="10" s="1"/>
  <c r="AC49" i="18"/>
  <c r="AI48" i="10" s="1"/>
  <c r="AC10" i="18"/>
  <c r="AC8" i="18"/>
  <c r="X39" i="18"/>
  <c r="X38" i="10" s="1"/>
  <c r="X30" i="18"/>
  <c r="X29" i="10" s="1"/>
  <c r="X36" i="18"/>
  <c r="X35" i="10" s="1"/>
  <c r="X35" i="18"/>
  <c r="X34" i="10" s="1"/>
  <c r="X42" i="18"/>
  <c r="X41" i="10" s="1"/>
  <c r="X49" i="18"/>
  <c r="X48" i="10" s="1"/>
  <c r="AC56" i="18"/>
  <c r="AI55" i="10" s="1"/>
  <c r="AC47" i="18"/>
  <c r="AI46" i="10" s="1"/>
  <c r="AC14" i="18"/>
  <c r="AI13" i="10" s="1"/>
  <c r="AC30" i="18"/>
  <c r="AI29" i="10" s="1"/>
  <c r="AC22" i="18"/>
  <c r="AI21" i="10" s="1"/>
  <c r="AC54" i="18"/>
  <c r="AI53" i="10" s="1"/>
  <c r="X31" i="18"/>
  <c r="X30" i="10" s="1"/>
  <c r="X22" i="18"/>
  <c r="X21" i="10" s="1"/>
  <c r="X28" i="18"/>
  <c r="X27" i="10" s="1"/>
  <c r="X27" i="18"/>
  <c r="X26" i="10" s="1"/>
  <c r="X34" i="18"/>
  <c r="X33" i="10" s="1"/>
  <c r="X41" i="18"/>
  <c r="X40" i="10" s="1"/>
  <c r="AC48" i="18"/>
  <c r="AI47" i="10" s="1"/>
  <c r="AC39" i="18"/>
  <c r="AI38" i="10" s="1"/>
  <c r="AC53" i="18"/>
  <c r="AI52" i="10" s="1"/>
  <c r="AC52" i="18"/>
  <c r="AI51" i="10" s="1"/>
  <c r="AC51" i="18"/>
  <c r="AI50" i="10" s="1"/>
  <c r="AC38" i="18"/>
  <c r="AI37" i="10" s="1"/>
  <c r="AX8" i="18"/>
  <c r="X7" i="14" s="1"/>
  <c r="K27" i="18"/>
  <c r="X26" i="16" s="1"/>
  <c r="K17" i="18"/>
  <c r="X16" i="16" s="1"/>
  <c r="K20" i="18"/>
  <c r="X19" i="16" s="1"/>
  <c r="K35" i="18"/>
  <c r="X34" i="16" s="1"/>
  <c r="K49" i="18"/>
  <c r="X48" i="16" s="1"/>
  <c r="K21" i="18"/>
  <c r="X20" i="16" s="1"/>
  <c r="K11" i="18"/>
  <c r="X10" i="16" s="1"/>
  <c r="K45" i="18"/>
  <c r="X44" i="16" s="1"/>
  <c r="K52" i="18"/>
  <c r="X51" i="16" s="1"/>
  <c r="K53" i="18"/>
  <c r="X52" i="16" s="1"/>
  <c r="K34" i="18"/>
  <c r="X33" i="16" s="1"/>
  <c r="K38" i="18"/>
  <c r="X37" i="16" s="1"/>
  <c r="K28" i="18"/>
  <c r="X27" i="16" s="1"/>
  <c r="K15" i="18"/>
  <c r="X14" i="16" s="1"/>
  <c r="K16" i="18"/>
  <c r="X15" i="16" s="1"/>
  <c r="K51" i="18"/>
  <c r="X50" i="16" s="1"/>
  <c r="K42" i="18"/>
  <c r="X41" i="16" s="1"/>
  <c r="K46" i="18"/>
  <c r="X45" i="16" s="1"/>
  <c r="K29" i="18"/>
  <c r="X28" i="16" s="1"/>
  <c r="K39" i="18"/>
  <c r="X38" i="16" s="1"/>
  <c r="K47" i="18"/>
  <c r="X46" i="16" s="1"/>
  <c r="K22" i="18"/>
  <c r="X21" i="16" s="1"/>
  <c r="K30" i="18"/>
  <c r="X29" i="16" s="1"/>
  <c r="K10" i="18"/>
  <c r="X9" i="16" s="1"/>
  <c r="K40" i="18"/>
  <c r="X39" i="16" s="1"/>
  <c r="K36" i="18"/>
  <c r="X35" i="16" s="1"/>
  <c r="K23" i="18"/>
  <c r="X22" i="16" s="1"/>
  <c r="K33" i="18"/>
  <c r="X32" i="16" s="1"/>
  <c r="K48" i="18"/>
  <c r="X47" i="16" s="1"/>
  <c r="K13" i="18"/>
  <c r="X12" i="16" s="1"/>
  <c r="K12" i="18"/>
  <c r="X11" i="16" s="1"/>
  <c r="K55" i="18"/>
  <c r="X54" i="16" s="1"/>
  <c r="K26" i="18"/>
  <c r="X25" i="16" s="1"/>
  <c r="K24" i="18"/>
  <c r="X23" i="16" s="1"/>
  <c r="K37" i="18"/>
  <c r="X36" i="16" s="1"/>
  <c r="K44" i="18"/>
  <c r="X43" i="16" s="1"/>
  <c r="K56" i="18"/>
  <c r="X55" i="16" s="1"/>
  <c r="K43" i="18"/>
  <c r="X42" i="16" s="1"/>
  <c r="K25" i="18"/>
  <c r="X24" i="16" s="1"/>
  <c r="K32" i="18"/>
  <c r="X31" i="16" s="1"/>
  <c r="K57" i="18"/>
  <c r="X56" i="16" s="1"/>
  <c r="K31" i="18"/>
  <c r="X30" i="16" s="1"/>
  <c r="K18" i="18"/>
  <c r="X17" i="16" s="1"/>
  <c r="K14" i="18"/>
  <c r="X13" i="16" s="1"/>
  <c r="K50" i="18"/>
  <c r="X49" i="16" s="1"/>
  <c r="K41" i="18"/>
  <c r="X40" i="16" s="1"/>
  <c r="K19" i="18"/>
  <c r="X18" i="16" s="1"/>
  <c r="K54" i="18"/>
  <c r="X53" i="16" s="1"/>
  <c r="BC9" i="18"/>
  <c r="AI8" i="14" s="1"/>
  <c r="AK8" i="18"/>
  <c r="X7" i="13" s="1"/>
  <c r="X23" i="18"/>
  <c r="X22" i="10" s="1"/>
  <c r="X14" i="18"/>
  <c r="X13" i="10" s="1"/>
  <c r="X20" i="18"/>
  <c r="X19" i="10" s="1"/>
  <c r="X19" i="18"/>
  <c r="X18" i="10" s="1"/>
  <c r="X26" i="18"/>
  <c r="X25" i="10" s="1"/>
  <c r="X33" i="18"/>
  <c r="X32" i="10" s="1"/>
  <c r="AC40" i="18"/>
  <c r="AI39" i="10" s="1"/>
  <c r="AC31" i="18"/>
  <c r="AC45" i="18"/>
  <c r="AI44" i="10" s="1"/>
  <c r="AC44" i="18"/>
  <c r="AI43" i="10" s="1"/>
  <c r="AC43" i="18"/>
  <c r="AI42" i="10" s="1"/>
  <c r="AC50" i="18"/>
  <c r="AI49" i="10" s="1"/>
  <c r="AX57" i="18"/>
  <c r="X56" i="14" s="1"/>
  <c r="X15" i="18"/>
  <c r="X14" i="10" s="1"/>
  <c r="X56" i="18"/>
  <c r="X55" i="10" s="1"/>
  <c r="X12" i="18"/>
  <c r="X11" i="10" s="1"/>
  <c r="X11" i="18"/>
  <c r="X10" i="10" s="1"/>
  <c r="X18" i="18"/>
  <c r="X17" i="10" s="1"/>
  <c r="AC32" i="18"/>
  <c r="AI31" i="10" s="1"/>
  <c r="AC23" i="18"/>
  <c r="AI22" i="10" s="1"/>
  <c r="AC37" i="18"/>
  <c r="AI36" i="10" s="1"/>
  <c r="AC36" i="18"/>
  <c r="AI35" i="10" s="1"/>
  <c r="AC35" i="18"/>
  <c r="AI34" i="10" s="1"/>
  <c r="K8" i="18"/>
  <c r="X7" i="16" s="1"/>
  <c r="K9" i="18"/>
  <c r="X8" i="16" s="1"/>
  <c r="AB7" i="14"/>
  <c r="AB8" i="13"/>
  <c r="X20" i="14"/>
  <c r="X12" i="14"/>
  <c r="X35" i="14"/>
  <c r="X26" i="14"/>
  <c r="X13" i="14"/>
  <c r="X31" i="14"/>
  <c r="X38" i="14"/>
  <c r="X30" i="14"/>
  <c r="X27" i="14"/>
  <c r="X18" i="14"/>
  <c r="X40" i="14"/>
  <c r="X23" i="14"/>
  <c r="X34" i="14"/>
  <c r="X22" i="14"/>
  <c r="X19" i="14"/>
  <c r="X10" i="14"/>
  <c r="X15" i="14"/>
  <c r="X29" i="14"/>
  <c r="X14" i="14"/>
  <c r="X11" i="14"/>
  <c r="X41" i="14"/>
  <c r="X24" i="14"/>
  <c r="X39" i="14"/>
  <c r="X36" i="14"/>
  <c r="X37" i="14"/>
  <c r="X33" i="14"/>
  <c r="X16" i="14"/>
  <c r="X9" i="14"/>
  <c r="X28" i="14"/>
  <c r="X25" i="14"/>
  <c r="X8" i="14"/>
  <c r="X17" i="14"/>
  <c r="X14" i="13"/>
  <c r="X27" i="13"/>
  <c r="X10" i="13"/>
  <c r="X17" i="13"/>
  <c r="X37" i="13"/>
  <c r="X19" i="13"/>
  <c r="X31" i="13"/>
  <c r="X9" i="13"/>
  <c r="X29" i="13"/>
  <c r="X11" i="13"/>
  <c r="X36" i="13"/>
  <c r="X28" i="13"/>
  <c r="X21" i="13"/>
  <c r="X15" i="13"/>
  <c r="X20" i="13"/>
  <c r="X40" i="13"/>
  <c r="X38" i="13"/>
  <c r="X13" i="13"/>
  <c r="X42" i="13"/>
  <c r="X32" i="13"/>
  <c r="X23" i="13"/>
  <c r="X39" i="13"/>
  <c r="X34" i="13"/>
  <c r="X41" i="13"/>
  <c r="X24" i="13"/>
  <c r="X30" i="13"/>
  <c r="X12" i="13"/>
  <c r="X26" i="13"/>
  <c r="X33" i="13"/>
  <c r="X16" i="13"/>
  <c r="X22" i="13"/>
  <c r="X35" i="13"/>
  <c r="X18" i="13"/>
  <c r="X25" i="13"/>
  <c r="X24" i="10"/>
  <c r="AB8" i="14"/>
  <c r="AD13" i="14"/>
  <c r="AD21" i="14"/>
  <c r="AD29" i="14"/>
  <c r="AD37" i="14"/>
  <c r="AD45" i="14"/>
  <c r="AD53" i="14"/>
  <c r="AD14" i="14"/>
  <c r="AD22" i="14"/>
  <c r="AD30" i="14"/>
  <c r="AD38" i="14"/>
  <c r="AD46" i="14"/>
  <c r="AD54" i="14"/>
  <c r="AD15" i="14"/>
  <c r="AD23" i="14"/>
  <c r="AD31" i="14"/>
  <c r="AD39" i="14"/>
  <c r="AD47" i="14"/>
  <c r="AD55" i="14"/>
  <c r="AD16" i="14"/>
  <c r="AD24" i="14"/>
  <c r="AD32" i="14"/>
  <c r="AD40" i="14"/>
  <c r="AD48" i="14"/>
  <c r="AD56" i="14"/>
  <c r="AD9" i="14"/>
  <c r="AD17" i="14"/>
  <c r="AD25" i="14"/>
  <c r="AD33" i="14"/>
  <c r="AD41" i="14"/>
  <c r="AD49" i="14"/>
  <c r="AD10" i="14"/>
  <c r="AD18" i="14"/>
  <c r="AD26" i="14"/>
  <c r="AD34" i="14"/>
  <c r="AD42" i="14"/>
  <c r="AD50" i="14"/>
  <c r="AD11" i="14"/>
  <c r="AD19" i="14"/>
  <c r="AD27" i="14"/>
  <c r="AD35" i="14"/>
  <c r="AD43" i="14"/>
  <c r="AD51" i="14"/>
  <c r="AD12" i="14"/>
  <c r="AD20" i="14"/>
  <c r="AD28" i="14"/>
  <c r="AD36" i="14"/>
  <c r="AD44" i="14"/>
  <c r="AD52" i="14"/>
  <c r="AD8" i="14"/>
  <c r="AD7" i="14"/>
  <c r="AB13" i="14"/>
  <c r="AB21" i="14"/>
  <c r="AB29" i="14"/>
  <c r="AB37" i="14"/>
  <c r="AB45" i="14"/>
  <c r="AB53" i="14"/>
  <c r="AB14" i="14"/>
  <c r="AB22" i="14"/>
  <c r="AB30" i="14"/>
  <c r="AB38" i="14"/>
  <c r="AB46" i="14"/>
  <c r="AB54" i="14"/>
  <c r="AB15" i="14"/>
  <c r="AB23" i="14"/>
  <c r="AB31" i="14"/>
  <c r="AB39" i="14"/>
  <c r="AB47" i="14"/>
  <c r="AB55" i="14"/>
  <c r="AB16" i="14"/>
  <c r="AB24" i="14"/>
  <c r="AB32" i="14"/>
  <c r="AB40" i="14"/>
  <c r="AB48" i="14"/>
  <c r="AB56" i="14"/>
  <c r="AB9" i="14"/>
  <c r="AB17" i="14"/>
  <c r="AB25" i="14"/>
  <c r="AB33" i="14"/>
  <c r="AB41" i="14"/>
  <c r="AB49" i="14"/>
  <c r="AB10" i="14"/>
  <c r="AB18" i="14"/>
  <c r="AB26" i="14"/>
  <c r="AB34" i="14"/>
  <c r="AB42" i="14"/>
  <c r="AB50" i="14"/>
  <c r="AB11" i="14"/>
  <c r="AB19" i="14"/>
  <c r="AB27" i="14"/>
  <c r="AB35" i="14"/>
  <c r="AB43" i="14"/>
  <c r="AB51" i="14"/>
  <c r="AB12" i="14"/>
  <c r="AB20" i="14"/>
  <c r="AB28" i="14"/>
  <c r="AB36" i="14"/>
  <c r="AB44" i="14"/>
  <c r="AB52" i="14"/>
  <c r="AH13" i="13"/>
  <c r="AH21" i="13"/>
  <c r="AH29" i="13"/>
  <c r="AH37" i="13"/>
  <c r="AH45" i="13"/>
  <c r="AH53" i="13"/>
  <c r="AH14" i="13"/>
  <c r="AH22" i="13"/>
  <c r="AH30" i="13"/>
  <c r="AH38" i="13"/>
  <c r="AH46" i="13"/>
  <c r="AH54" i="13"/>
  <c r="AH15" i="13"/>
  <c r="AH23" i="13"/>
  <c r="AH31" i="13"/>
  <c r="AH39" i="13"/>
  <c r="AH47" i="13"/>
  <c r="AH55" i="13"/>
  <c r="AH16" i="13"/>
  <c r="AH24" i="13"/>
  <c r="AH32" i="13"/>
  <c r="AH40" i="13"/>
  <c r="AH48" i="13"/>
  <c r="AH56" i="13"/>
  <c r="AH9" i="13"/>
  <c r="AH17" i="13"/>
  <c r="AH25" i="13"/>
  <c r="AH33" i="13"/>
  <c r="AH41" i="13"/>
  <c r="AH49" i="13"/>
  <c r="AH10" i="13"/>
  <c r="AH18" i="13"/>
  <c r="AH26" i="13"/>
  <c r="AH34" i="13"/>
  <c r="AH42" i="13"/>
  <c r="AH50" i="13"/>
  <c r="AH11" i="13"/>
  <c r="AH19" i="13"/>
  <c r="AH27" i="13"/>
  <c r="AH35" i="13"/>
  <c r="AH43" i="13"/>
  <c r="AH51" i="13"/>
  <c r="AH12" i="13"/>
  <c r="AH20" i="13"/>
  <c r="AH28" i="13"/>
  <c r="AH36" i="13"/>
  <c r="AH44" i="13"/>
  <c r="AH52" i="13"/>
  <c r="AB7" i="13"/>
  <c r="AB13" i="13"/>
  <c r="AB21" i="13"/>
  <c r="AB29" i="13"/>
  <c r="AB37" i="13"/>
  <c r="AB45" i="13"/>
  <c r="AB53" i="13"/>
  <c r="AB14" i="13"/>
  <c r="AB22" i="13"/>
  <c r="AB30" i="13"/>
  <c r="AB38" i="13"/>
  <c r="AB46" i="13"/>
  <c r="AB54" i="13"/>
  <c r="AB15" i="13"/>
  <c r="AB23" i="13"/>
  <c r="AB31" i="13"/>
  <c r="AB39" i="13"/>
  <c r="AB47" i="13"/>
  <c r="AB55" i="13"/>
  <c r="AB16" i="13"/>
  <c r="AB24" i="13"/>
  <c r="AB32" i="13"/>
  <c r="AB40" i="13"/>
  <c r="AB48" i="13"/>
  <c r="AB56" i="13"/>
  <c r="AB9" i="13"/>
  <c r="AB17" i="13"/>
  <c r="AB25" i="13"/>
  <c r="AB33" i="13"/>
  <c r="AB41" i="13"/>
  <c r="AB49" i="13"/>
  <c r="AB42" i="13"/>
  <c r="AB10" i="13"/>
  <c r="AB18" i="13"/>
  <c r="AB26" i="13"/>
  <c r="AB34" i="13"/>
  <c r="AB50" i="13"/>
  <c r="AB11" i="13"/>
  <c r="AB19" i="13"/>
  <c r="AB27" i="13"/>
  <c r="AB35" i="13"/>
  <c r="AB43" i="13"/>
  <c r="AB51" i="13"/>
  <c r="AB12" i="13"/>
  <c r="AB20" i="13"/>
  <c r="AB28" i="13"/>
  <c r="AB36" i="13"/>
  <c r="AB44" i="13"/>
  <c r="AB52" i="13"/>
  <c r="AH8" i="13"/>
  <c r="X21" i="14"/>
  <c r="X42" i="14"/>
  <c r="X32" i="14"/>
  <c r="AB10" i="10"/>
  <c r="AB18" i="10"/>
  <c r="AB26" i="10"/>
  <c r="AB34" i="10"/>
  <c r="AB42" i="10"/>
  <c r="AB50" i="10"/>
  <c r="AB46" i="10"/>
  <c r="AB55" i="10"/>
  <c r="AB16" i="10"/>
  <c r="AB17" i="10"/>
  <c r="AB49" i="10"/>
  <c r="AB11" i="10"/>
  <c r="AB19" i="10"/>
  <c r="AB27" i="10"/>
  <c r="AB35" i="10"/>
  <c r="AB43" i="10"/>
  <c r="AB51" i="10"/>
  <c r="AB22" i="10"/>
  <c r="AB54" i="10"/>
  <c r="AB8" i="10"/>
  <c r="AB48" i="10"/>
  <c r="AB9" i="10"/>
  <c r="AB12" i="10"/>
  <c r="AB20" i="10"/>
  <c r="AB28" i="10"/>
  <c r="AB36" i="10"/>
  <c r="AB44" i="10"/>
  <c r="AB52" i="10"/>
  <c r="AB38" i="10"/>
  <c r="AB32" i="10"/>
  <c r="AB25" i="10"/>
  <c r="AB7" i="10"/>
  <c r="AB13" i="10"/>
  <c r="AB21" i="10"/>
  <c r="AB29" i="10"/>
  <c r="AB37" i="10"/>
  <c r="AB45" i="10"/>
  <c r="AB53" i="10"/>
  <c r="AB30" i="10"/>
  <c r="AB40" i="10"/>
  <c r="AB33" i="10"/>
  <c r="AB14" i="10"/>
  <c r="AB15" i="10"/>
  <c r="AB23" i="10"/>
  <c r="AB31" i="10"/>
  <c r="AB39" i="10"/>
  <c r="AB47" i="10"/>
  <c r="AB24" i="10"/>
  <c r="AB56" i="10"/>
  <c r="AB41" i="10"/>
  <c r="AI57" i="10"/>
  <c r="X5" i="16"/>
  <c r="X5" i="10"/>
  <c r="X5" i="13"/>
  <c r="X5" i="14"/>
  <c r="AI30" i="10" l="1"/>
  <c r="AI11" i="10"/>
  <c r="AI8" i="10"/>
  <c r="AI7" i="10"/>
  <c r="AI9" i="10"/>
  <c r="AI10" i="10"/>
  <c r="Y10" i="10"/>
  <c r="Y51" i="16"/>
  <c r="AN51" i="16" s="1"/>
  <c r="Y54" i="16"/>
  <c r="AN54" i="16" s="1"/>
  <c r="Y52" i="16"/>
  <c r="AN52" i="16" s="1"/>
  <c r="Y55" i="16"/>
  <c r="Y50" i="16"/>
  <c r="Y48" i="16"/>
  <c r="AN48" i="16" s="1"/>
  <c r="Y46" i="16"/>
  <c r="Y53" i="16"/>
  <c r="AN53" i="16" s="1"/>
  <c r="Y49" i="16"/>
  <c r="Y56" i="16"/>
  <c r="AN56" i="16" s="1"/>
  <c r="Y47" i="16"/>
  <c r="AN47" i="16" s="1"/>
  <c r="Y17" i="16"/>
  <c r="AM17" i="16" s="1"/>
  <c r="Y38" i="10"/>
  <c r="Y32" i="10"/>
  <c r="Y39" i="10"/>
  <c r="Y22" i="13"/>
  <c r="AM22" i="13" s="1"/>
  <c r="Y34" i="13"/>
  <c r="Y40" i="13"/>
  <c r="Y9" i="13"/>
  <c r="Y17" i="14"/>
  <c r="AM17" i="14" s="1"/>
  <c r="Y37" i="14"/>
  <c r="Y15" i="14"/>
  <c r="AM15" i="14" s="1"/>
  <c r="Y27" i="14"/>
  <c r="AM27" i="14" s="1"/>
  <c r="Y20" i="14"/>
  <c r="AM20" i="14" s="1"/>
  <c r="AN20" i="14" s="1"/>
  <c r="Y40" i="16"/>
  <c r="Y33" i="16"/>
  <c r="Y12" i="16"/>
  <c r="AM12" i="16" s="1"/>
  <c r="Y15" i="16"/>
  <c r="AM15" i="16" s="1"/>
  <c r="Y26" i="16"/>
  <c r="AM26" i="16" s="1"/>
  <c r="Y19" i="16"/>
  <c r="AM19" i="16" s="1"/>
  <c r="Y24" i="16"/>
  <c r="AM24" i="16" s="1"/>
  <c r="Y39" i="16"/>
  <c r="Y25" i="10"/>
  <c r="AM25" i="10" s="1"/>
  <c r="Y29" i="10"/>
  <c r="AM29" i="10" s="1"/>
  <c r="Y42" i="10"/>
  <c r="Y11" i="10"/>
  <c r="Y16" i="13"/>
  <c r="AM16" i="13" s="1"/>
  <c r="Y39" i="13"/>
  <c r="Y20" i="13"/>
  <c r="AM20" i="13" s="1"/>
  <c r="Y31" i="13"/>
  <c r="AM31" i="13" s="1"/>
  <c r="Y36" i="14"/>
  <c r="Y10" i="14"/>
  <c r="Y30" i="14"/>
  <c r="AM30" i="14" s="1"/>
  <c r="Y19" i="10"/>
  <c r="AM19" i="10" s="1"/>
  <c r="Y43" i="16"/>
  <c r="AN43" i="16" s="1"/>
  <c r="AN49" i="16"/>
  <c r="Y20" i="16"/>
  <c r="AM20" i="16" s="1"/>
  <c r="AN20" i="16" s="1"/>
  <c r="Y21" i="16"/>
  <c r="AM21" i="16" s="1"/>
  <c r="Y10" i="16"/>
  <c r="AM10" i="16" s="1"/>
  <c r="Y14" i="16"/>
  <c r="AM14" i="16" s="1"/>
  <c r="Y18" i="10"/>
  <c r="AM18" i="10" s="1"/>
  <c r="Y15" i="10"/>
  <c r="AM15" i="10" s="1"/>
  <c r="Y20" i="10"/>
  <c r="AM20" i="10" s="1"/>
  <c r="Y36" i="10"/>
  <c r="Y33" i="13"/>
  <c r="Y23" i="13"/>
  <c r="AM23" i="13" s="1"/>
  <c r="Y15" i="13"/>
  <c r="AM15" i="13" s="1"/>
  <c r="Y19" i="13"/>
  <c r="AM19" i="13" s="1"/>
  <c r="Y25" i="14"/>
  <c r="AM25" i="14" s="1"/>
  <c r="Y39" i="14"/>
  <c r="Y19" i="14"/>
  <c r="AM19" i="14" s="1"/>
  <c r="Y38" i="14"/>
  <c r="Y40" i="10"/>
  <c r="Y44" i="16"/>
  <c r="AN44" i="16" s="1"/>
  <c r="AN50" i="16"/>
  <c r="Y32" i="14"/>
  <c r="Y36" i="16"/>
  <c r="Y34" i="16"/>
  <c r="Y35" i="16"/>
  <c r="Y38" i="16"/>
  <c r="AN38" i="16" s="1"/>
  <c r="Y35" i="10"/>
  <c r="Y41" i="10"/>
  <c r="Y16" i="10"/>
  <c r="Y22" i="10"/>
  <c r="AM22" i="10" s="1"/>
  <c r="Y26" i="13"/>
  <c r="AM26" i="13" s="1"/>
  <c r="Y32" i="13"/>
  <c r="Y21" i="13"/>
  <c r="AM21" i="13" s="1"/>
  <c r="Y37" i="13"/>
  <c r="Y24" i="14"/>
  <c r="AM24" i="14" s="1"/>
  <c r="Y22" i="14"/>
  <c r="AM22" i="14" s="1"/>
  <c r="Y31" i="14"/>
  <c r="AM31" i="14" s="1"/>
  <c r="Y30" i="10"/>
  <c r="Y43" i="14"/>
  <c r="AN43" i="14" s="1"/>
  <c r="Y47" i="14"/>
  <c r="AN47" i="14" s="1"/>
  <c r="Y53" i="14"/>
  <c r="Y50" i="14"/>
  <c r="Y56" i="14"/>
  <c r="AN56" i="14" s="1"/>
  <c r="Y55" i="14"/>
  <c r="Y49" i="14"/>
  <c r="Y46" i="14"/>
  <c r="AN46" i="14" s="1"/>
  <c r="Y52" i="14"/>
  <c r="AN52" i="14" s="1"/>
  <c r="Y48" i="14"/>
  <c r="AN48" i="14" s="1"/>
  <c r="Y54" i="14"/>
  <c r="Y45" i="14"/>
  <c r="Y51" i="14"/>
  <c r="AN51" i="14" s="1"/>
  <c r="Y44" i="14"/>
  <c r="Y49" i="13"/>
  <c r="AN49" i="13" s="1"/>
  <c r="Y48" i="13"/>
  <c r="AN48" i="13" s="1"/>
  <c r="Y56" i="13"/>
  <c r="Y52" i="13"/>
  <c r="AN52" i="13" s="1"/>
  <c r="Y51" i="13"/>
  <c r="AN51" i="13" s="1"/>
  <c r="Y44" i="13"/>
  <c r="Y54" i="13"/>
  <c r="AN54" i="13" s="1"/>
  <c r="Y50" i="13"/>
  <c r="AN50" i="13" s="1"/>
  <c r="Y45" i="13"/>
  <c r="Y43" i="13"/>
  <c r="AN43" i="13" s="1"/>
  <c r="Y55" i="13"/>
  <c r="AN55" i="13" s="1"/>
  <c r="Y47" i="13"/>
  <c r="Y53" i="13"/>
  <c r="Y46" i="13"/>
  <c r="AN46" i="13" s="1"/>
  <c r="Y42" i="14"/>
  <c r="Y25" i="16"/>
  <c r="AM25" i="16" s="1"/>
  <c r="Y16" i="16"/>
  <c r="AM16" i="16" s="1"/>
  <c r="Y37" i="16"/>
  <c r="Y30" i="16"/>
  <c r="AM30" i="16" s="1"/>
  <c r="AN53" i="13"/>
  <c r="Y21" i="10"/>
  <c r="AM21" i="10" s="1"/>
  <c r="Y34" i="10"/>
  <c r="Y31" i="10"/>
  <c r="AM31" i="10" s="1"/>
  <c r="Y9" i="10"/>
  <c r="Y12" i="13"/>
  <c r="AM12" i="13" s="1"/>
  <c r="Y28" i="13"/>
  <c r="AM28" i="13" s="1"/>
  <c r="Y17" i="13"/>
  <c r="AM17" i="13" s="1"/>
  <c r="Y28" i="14"/>
  <c r="AM28" i="14" s="1"/>
  <c r="Y41" i="14"/>
  <c r="Y34" i="14"/>
  <c r="Y13" i="14"/>
  <c r="AM13" i="14" s="1"/>
  <c r="Y17" i="10"/>
  <c r="AM17" i="10" s="1"/>
  <c r="Y45" i="16"/>
  <c r="AN45" i="16" s="1"/>
  <c r="Y55" i="10"/>
  <c r="AN55" i="10" s="1"/>
  <c r="Y54" i="10"/>
  <c r="AN54" i="10" s="1"/>
  <c r="Y56" i="10"/>
  <c r="AN56" i="10" s="1"/>
  <c r="Y53" i="10"/>
  <c r="AN53" i="10" s="1"/>
  <c r="Y45" i="10"/>
  <c r="Y43" i="10"/>
  <c r="AN43" i="10" s="1"/>
  <c r="Y47" i="10"/>
  <c r="AN47" i="10" s="1"/>
  <c r="Y52" i="10"/>
  <c r="AN52" i="10" s="1"/>
  <c r="Y50" i="10"/>
  <c r="AN50" i="10" s="1"/>
  <c r="Y44" i="10"/>
  <c r="AN44" i="10" s="1"/>
  <c r="Y48" i="10"/>
  <c r="AN48" i="10" s="1"/>
  <c r="Y51" i="10"/>
  <c r="AN51" i="10" s="1"/>
  <c r="Y46" i="10"/>
  <c r="AN46" i="10" s="1"/>
  <c r="Y49" i="10"/>
  <c r="AN49" i="10" s="1"/>
  <c r="Y21" i="14"/>
  <c r="Y11" i="16"/>
  <c r="AM11" i="16" s="1"/>
  <c r="Y41" i="16"/>
  <c r="Y28" i="16"/>
  <c r="AM28" i="16" s="1"/>
  <c r="Y31" i="16"/>
  <c r="AM31" i="16" s="1"/>
  <c r="AN45" i="13"/>
  <c r="AN53" i="14"/>
  <c r="Y12" i="10"/>
  <c r="AM12" i="10" s="1"/>
  <c r="Y24" i="10"/>
  <c r="AM24" i="10" s="1"/>
  <c r="Y25" i="13"/>
  <c r="AM25" i="13" s="1"/>
  <c r="Y30" i="13"/>
  <c r="AM30" i="13" s="1"/>
  <c r="Y42" i="13"/>
  <c r="Y36" i="13"/>
  <c r="Y10" i="13"/>
  <c r="Y9" i="14"/>
  <c r="AM9" i="14" s="1"/>
  <c r="Y11" i="14"/>
  <c r="Y23" i="14"/>
  <c r="AM23" i="14" s="1"/>
  <c r="Y26" i="14"/>
  <c r="AM26" i="14" s="1"/>
  <c r="AN45" i="10"/>
  <c r="Y8" i="13"/>
  <c r="Y13" i="16"/>
  <c r="AM13" i="16" s="1"/>
  <c r="Y27" i="16"/>
  <c r="AM27" i="16" s="1"/>
  <c r="Y32" i="16"/>
  <c r="Y22" i="16"/>
  <c r="AM22" i="16" s="1"/>
  <c r="Y27" i="10"/>
  <c r="AM27" i="10" s="1"/>
  <c r="Y33" i="10"/>
  <c r="Y37" i="10"/>
  <c r="Y28" i="10"/>
  <c r="AM28" i="10" s="1"/>
  <c r="Y18" i="13"/>
  <c r="AM18" i="13" s="1"/>
  <c r="Y24" i="13"/>
  <c r="AM24" i="13" s="1"/>
  <c r="Y13" i="13"/>
  <c r="AM13" i="13" s="1"/>
  <c r="Y11" i="13"/>
  <c r="Y27" i="13"/>
  <c r="AM27" i="13" s="1"/>
  <c r="Y16" i="14"/>
  <c r="AM16" i="14" s="1"/>
  <c r="Y14" i="14"/>
  <c r="AM14" i="14" s="1"/>
  <c r="Y40" i="14"/>
  <c r="Y35" i="14"/>
  <c r="AN46" i="16"/>
  <c r="Y9" i="16"/>
  <c r="AM9" i="16" s="1"/>
  <c r="Y42" i="16"/>
  <c r="Y29" i="16"/>
  <c r="AM29" i="16" s="1"/>
  <c r="Y18" i="16"/>
  <c r="AM18" i="16" s="1"/>
  <c r="Y23" i="16"/>
  <c r="AM23" i="16" s="1"/>
  <c r="AN23" i="16" s="1"/>
  <c r="AN50" i="14"/>
  <c r="Y13" i="10"/>
  <c r="AM13" i="10" s="1"/>
  <c r="Y26" i="10"/>
  <c r="AM26" i="10" s="1"/>
  <c r="Y23" i="10"/>
  <c r="AM23" i="10" s="1"/>
  <c r="Y14" i="10"/>
  <c r="AM14" i="10" s="1"/>
  <c r="Y35" i="13"/>
  <c r="AN35" i="13" s="1"/>
  <c r="Y41" i="13"/>
  <c r="Y38" i="13"/>
  <c r="Y29" i="13"/>
  <c r="AM29" i="13" s="1"/>
  <c r="Y14" i="13"/>
  <c r="AM14" i="13" s="1"/>
  <c r="Y33" i="14"/>
  <c r="AN33" i="14" s="1"/>
  <c r="Y29" i="14"/>
  <c r="AM29" i="14" s="1"/>
  <c r="Y18" i="14"/>
  <c r="AM18" i="14" s="1"/>
  <c r="Y12" i="14"/>
  <c r="AM12" i="14" s="1"/>
  <c r="AN55" i="16"/>
  <c r="AN56" i="13"/>
  <c r="Y8" i="14"/>
  <c r="Y7" i="14"/>
  <c r="Y7" i="13"/>
  <c r="AM7" i="13" s="1"/>
  <c r="Y8" i="10"/>
  <c r="Y8" i="16"/>
  <c r="AM8" i="16" s="1"/>
  <c r="Y7" i="10"/>
  <c r="Y7" i="16"/>
  <c r="AM7" i="16" s="1"/>
  <c r="AN39" i="14"/>
  <c r="AN37" i="14"/>
  <c r="AN19" i="14"/>
  <c r="AA57" i="14"/>
  <c r="AA57" i="13"/>
  <c r="AA57" i="10"/>
  <c r="AA57" i="16"/>
  <c r="AM30" i="10" l="1"/>
  <c r="AN30" i="10" s="1"/>
  <c r="AM16" i="10"/>
  <c r="AN16" i="10" s="1"/>
  <c r="AM21" i="14"/>
  <c r="AN21" i="14" s="1"/>
  <c r="AM11" i="10"/>
  <c r="AN11" i="10" s="1"/>
  <c r="AM11" i="14"/>
  <c r="AN11" i="14" s="1"/>
  <c r="AM7" i="14"/>
  <c r="AN7" i="14" s="1"/>
  <c r="AM10" i="14"/>
  <c r="AN10" i="14" s="1"/>
  <c r="AM10" i="10"/>
  <c r="AN10" i="10" s="1"/>
  <c r="AM9" i="13"/>
  <c r="AN9" i="13" s="1"/>
  <c r="AM11" i="13"/>
  <c r="AN11" i="13" s="1"/>
  <c r="AM10" i="13"/>
  <c r="AN10" i="13" s="1"/>
  <c r="AM9" i="10"/>
  <c r="J9" i="5" s="1"/>
  <c r="AM8" i="10"/>
  <c r="AN8" i="10" s="1"/>
  <c r="AM7" i="10"/>
  <c r="AN7" i="10" s="1"/>
  <c r="AM8" i="14"/>
  <c r="AN8" i="14" s="1"/>
  <c r="AM8" i="13"/>
  <c r="AN8" i="13" s="1"/>
  <c r="AN44" i="14"/>
  <c r="AN55" i="14"/>
  <c r="AN45" i="14"/>
  <c r="AN49" i="14"/>
  <c r="L44" i="5"/>
  <c r="AN44" i="13"/>
  <c r="AN28" i="14"/>
  <c r="AN15" i="14"/>
  <c r="AN54" i="14"/>
  <c r="AN22" i="13"/>
  <c r="AN27" i="14"/>
  <c r="AN25" i="14"/>
  <c r="AN15" i="13"/>
  <c r="AN12" i="13"/>
  <c r="AN30" i="13"/>
  <c r="AN26" i="13"/>
  <c r="AN13" i="13"/>
  <c r="AN38" i="10"/>
  <c r="AN31" i="13"/>
  <c r="AN16" i="13"/>
  <c r="AN32" i="13"/>
  <c r="AN12" i="14"/>
  <c r="AN31" i="14"/>
  <c r="AN13" i="14"/>
  <c r="AN35" i="14"/>
  <c r="AN40" i="13"/>
  <c r="AN37" i="13"/>
  <c r="AN29" i="13"/>
  <c r="AN31" i="10"/>
  <c r="AN17" i="10"/>
  <c r="AN15" i="10"/>
  <c r="AN35" i="10"/>
  <c r="AN41" i="14"/>
  <c r="AN22" i="14"/>
  <c r="AN14" i="14"/>
  <c r="AN30" i="14"/>
  <c r="AN20" i="13"/>
  <c r="AN23" i="13"/>
  <c r="AN17" i="14"/>
  <c r="AN36" i="10"/>
  <c r="AN28" i="10"/>
  <c r="AN25" i="10"/>
  <c r="AN29" i="10"/>
  <c r="AN21" i="10"/>
  <c r="AN24" i="14"/>
  <c r="AN32" i="14"/>
  <c r="AN7" i="13"/>
  <c r="AN38" i="13"/>
  <c r="AN42" i="14"/>
  <c r="AN33" i="13"/>
  <c r="AN42" i="13"/>
  <c r="AN36" i="13"/>
  <c r="AN19" i="13"/>
  <c r="AN39" i="13"/>
  <c r="AN34" i="13"/>
  <c r="AN28" i="13"/>
  <c r="AN41" i="13"/>
  <c r="AN21" i="13"/>
  <c r="AN24" i="13"/>
  <c r="AN20" i="10"/>
  <c r="AN12" i="10"/>
  <c r="AN27" i="10"/>
  <c r="AN23" i="10"/>
  <c r="AN37" i="10"/>
  <c r="AN42" i="10"/>
  <c r="AN32" i="10"/>
  <c r="AN33" i="10"/>
  <c r="AN13" i="10"/>
  <c r="AN24" i="10"/>
  <c r="AN23" i="14"/>
  <c r="AN9" i="14"/>
  <c r="AN29" i="14"/>
  <c r="AN26" i="14"/>
  <c r="AN41" i="10"/>
  <c r="AN34" i="10"/>
  <c r="AN22" i="10"/>
  <c r="AN26" i="10"/>
  <c r="AN18" i="10"/>
  <c r="AN38" i="14"/>
  <c r="AN18" i="14"/>
  <c r="AN16" i="14"/>
  <c r="AN40" i="14"/>
  <c r="AN34" i="14"/>
  <c r="AN36" i="14"/>
  <c r="L14" i="5"/>
  <c r="M14" i="5" s="1"/>
  <c r="AN25" i="13"/>
  <c r="AN27" i="13"/>
  <c r="AN17" i="13"/>
  <c r="AN14" i="10"/>
  <c r="AN40" i="10"/>
  <c r="AN39" i="10"/>
  <c r="AN19" i="10"/>
  <c r="AN18" i="13"/>
  <c r="AN21" i="16"/>
  <c r="AN42" i="16"/>
  <c r="AN28" i="16"/>
  <c r="AN11" i="16"/>
  <c r="AN16" i="16"/>
  <c r="AN18" i="16"/>
  <c r="AN9" i="16"/>
  <c r="AN34" i="16"/>
  <c r="AN41" i="16"/>
  <c r="AN13" i="16"/>
  <c r="AN32" i="16"/>
  <c r="AN8" i="16"/>
  <c r="AN26" i="16"/>
  <c r="AN7" i="16"/>
  <c r="AN10" i="16"/>
  <c r="AN15" i="16"/>
  <c r="AN17" i="16"/>
  <c r="AN37" i="16"/>
  <c r="AN40" i="16"/>
  <c r="AN12" i="16"/>
  <c r="AN24" i="16"/>
  <c r="AN29" i="16"/>
  <c r="AN25" i="16"/>
  <c r="AN35" i="16"/>
  <c r="AN33" i="16"/>
  <c r="AN19" i="16"/>
  <c r="AN22" i="16"/>
  <c r="AN27" i="16"/>
  <c r="AN36" i="16"/>
  <c r="AN30" i="16"/>
  <c r="AN39" i="16"/>
  <c r="AN31" i="16"/>
  <c r="AN14" i="16"/>
  <c r="H23" i="5"/>
  <c r="I23" i="5" s="1"/>
  <c r="H20" i="5"/>
  <c r="I20" i="5" s="1"/>
  <c r="H38" i="5"/>
  <c r="I38" i="5" s="1"/>
  <c r="AO56" i="16"/>
  <c r="AO49" i="16"/>
  <c r="H44" i="5"/>
  <c r="I44" i="5" s="1"/>
  <c r="H48" i="5"/>
  <c r="I48" i="5" s="1"/>
  <c r="H47" i="5"/>
  <c r="I47" i="5" s="1"/>
  <c r="AO53" i="16"/>
  <c r="H50" i="5"/>
  <c r="I50" i="5" s="1"/>
  <c r="N20" i="5"/>
  <c r="O20" i="5" s="1"/>
  <c r="N33" i="5"/>
  <c r="O33" i="5" s="1"/>
  <c r="L35" i="5"/>
  <c r="M35" i="5" s="1"/>
  <c r="H43" i="5"/>
  <c r="I43" i="5" s="1"/>
  <c r="AO54" i="16"/>
  <c r="AO52" i="16"/>
  <c r="H55" i="5"/>
  <c r="I55" i="5" s="1"/>
  <c r="AO51" i="16"/>
  <c r="H46" i="5"/>
  <c r="I46" i="5" s="1"/>
  <c r="H45" i="5"/>
  <c r="I45" i="5" s="1"/>
  <c r="N35" i="5" l="1"/>
  <c r="O35" i="5" s="1"/>
  <c r="AN47" i="13"/>
  <c r="L47" i="5"/>
  <c r="L8" i="5"/>
  <c r="M8" i="5" s="1"/>
  <c r="J35" i="5"/>
  <c r="K35" i="5" s="1"/>
  <c r="J38" i="5"/>
  <c r="K38" i="5" s="1"/>
  <c r="L11" i="5"/>
  <c r="M11" i="5" s="1"/>
  <c r="L9" i="5"/>
  <c r="M9" i="5" s="1"/>
  <c r="N30" i="5"/>
  <c r="O30" i="5" s="1"/>
  <c r="N22" i="5"/>
  <c r="O22" i="5" s="1"/>
  <c r="N14" i="5"/>
  <c r="O14" i="5" s="1"/>
  <c r="L20" i="5"/>
  <c r="M20" i="5" s="1"/>
  <c r="L10" i="5"/>
  <c r="M10" i="5" s="1"/>
  <c r="J15" i="5"/>
  <c r="K15" i="5" s="1"/>
  <c r="L23" i="5"/>
  <c r="M23" i="5" s="1"/>
  <c r="N17" i="5"/>
  <c r="O17" i="5" s="1"/>
  <c r="J29" i="5"/>
  <c r="K29" i="5" s="1"/>
  <c r="L7" i="5"/>
  <c r="M7" i="5" s="1"/>
  <c r="L19" i="5"/>
  <c r="M19" i="5" s="1"/>
  <c r="N16" i="5"/>
  <c r="O16" i="5" s="1"/>
  <c r="L21" i="5"/>
  <c r="M21" i="5" s="1"/>
  <c r="L28" i="5"/>
  <c r="M28" i="5" s="1"/>
  <c r="L24" i="5"/>
  <c r="M24" i="5" s="1"/>
  <c r="AN9" i="10"/>
  <c r="AO9" i="10" s="1"/>
  <c r="J8" i="5"/>
  <c r="K8" i="5" s="1"/>
  <c r="J13" i="5"/>
  <c r="K13" i="5" s="1"/>
  <c r="J23" i="5"/>
  <c r="K23" i="5" s="1"/>
  <c r="J32" i="5"/>
  <c r="K32" i="5" s="1"/>
  <c r="J18" i="5"/>
  <c r="K18" i="5" s="1"/>
  <c r="J11" i="5"/>
  <c r="K11" i="5" s="1"/>
  <c r="N29" i="5"/>
  <c r="O29" i="5" s="1"/>
  <c r="N36" i="5"/>
  <c r="O36" i="5" s="1"/>
  <c r="J34" i="5"/>
  <c r="K34" i="5" s="1"/>
  <c r="J14" i="5"/>
  <c r="K14" i="5" s="1"/>
  <c r="N28" i="5"/>
  <c r="O28" i="5" s="1"/>
  <c r="L32" i="5"/>
  <c r="M32" i="5" s="1"/>
  <c r="L31" i="5"/>
  <c r="M31" i="5" s="1"/>
  <c r="L34" i="5"/>
  <c r="M34" i="5" s="1"/>
  <c r="L13" i="5"/>
  <c r="M13" i="5" s="1"/>
  <c r="N9" i="5"/>
  <c r="O9" i="5" s="1"/>
  <c r="N15" i="5"/>
  <c r="O15" i="5" s="1"/>
  <c r="N32" i="5"/>
  <c r="O32" i="5" s="1"/>
  <c r="L17" i="5"/>
  <c r="M17" i="5" s="1"/>
  <c r="AN14" i="13"/>
  <c r="AO14" i="13" s="1"/>
  <c r="H11" i="5"/>
  <c r="I11" i="5" s="1"/>
  <c r="N10" i="5"/>
  <c r="O10" i="5" s="1"/>
  <c r="H28" i="5"/>
  <c r="I28" i="5" s="1"/>
  <c r="H21" i="5"/>
  <c r="I21" i="5" s="1"/>
  <c r="H42" i="5"/>
  <c r="I42" i="5" s="1"/>
  <c r="N8" i="5"/>
  <c r="O8" i="5" s="1"/>
  <c r="N13" i="5"/>
  <c r="O13" i="5" s="1"/>
  <c r="H16" i="5"/>
  <c r="I16" i="5" s="1"/>
  <c r="H18" i="5"/>
  <c r="I18" i="5" s="1"/>
  <c r="H34" i="5"/>
  <c r="I34" i="5" s="1"/>
  <c r="H10" i="5"/>
  <c r="I10" i="5" s="1"/>
  <c r="H41" i="5"/>
  <c r="I41" i="5" s="1"/>
  <c r="H13" i="5"/>
  <c r="I13" i="5" s="1"/>
  <c r="H32" i="5"/>
  <c r="I32" i="5" s="1"/>
  <c r="H12" i="5"/>
  <c r="I12" i="5" s="1"/>
  <c r="H17" i="5"/>
  <c r="I17" i="5" s="1"/>
  <c r="H19" i="5"/>
  <c r="I19" i="5" s="1"/>
  <c r="H24" i="5"/>
  <c r="I24" i="5" s="1"/>
  <c r="H33" i="5"/>
  <c r="I33" i="5" s="1"/>
  <c r="H26" i="5"/>
  <c r="I26" i="5" s="1"/>
  <c r="H37" i="5"/>
  <c r="I37" i="5" s="1"/>
  <c r="H22" i="5"/>
  <c r="I22" i="5" s="1"/>
  <c r="H40" i="5"/>
  <c r="I40" i="5" s="1"/>
  <c r="H25" i="5"/>
  <c r="I25" i="5" s="1"/>
  <c r="H36" i="5"/>
  <c r="I36" i="5" s="1"/>
  <c r="H29" i="5"/>
  <c r="I29" i="5" s="1"/>
  <c r="H27" i="5"/>
  <c r="I27" i="5" s="1"/>
  <c r="H35" i="5"/>
  <c r="I35" i="5" s="1"/>
  <c r="H30" i="5"/>
  <c r="I30" i="5" s="1"/>
  <c r="H14" i="5"/>
  <c r="I14" i="5" s="1"/>
  <c r="AO12" i="16"/>
  <c r="H39" i="5"/>
  <c r="I39" i="5" s="1"/>
  <c r="H31" i="5"/>
  <c r="I31" i="5" s="1"/>
  <c r="H49" i="5"/>
  <c r="I49" i="5" s="1"/>
  <c r="AO37" i="16"/>
  <c r="H52" i="5"/>
  <c r="I52" i="5" s="1"/>
  <c r="H56" i="5"/>
  <c r="I56" i="5" s="1"/>
  <c r="AO36" i="16"/>
  <c r="AO39" i="16"/>
  <c r="AO13" i="16"/>
  <c r="AO40" i="16"/>
  <c r="L12" i="5"/>
  <c r="M12" i="5" s="1"/>
  <c r="AO27" i="16"/>
  <c r="AO41" i="16"/>
  <c r="AO33" i="16"/>
  <c r="AO44" i="16"/>
  <c r="AO19" i="16"/>
  <c r="AO34" i="10"/>
  <c r="AO36" i="14"/>
  <c r="AO13" i="13"/>
  <c r="AO32" i="13"/>
  <c r="AO23" i="10"/>
  <c r="AO32" i="10"/>
  <c r="AO10" i="14"/>
  <c r="AO12" i="13"/>
  <c r="AO14" i="10"/>
  <c r="AO35" i="16"/>
  <c r="N45" i="5"/>
  <c r="O45" i="5" s="1"/>
  <c r="AO29" i="14"/>
  <c r="AO22" i="14"/>
  <c r="AO32" i="14"/>
  <c r="AO13" i="14"/>
  <c r="AO35" i="13"/>
  <c r="AO20" i="13"/>
  <c r="AO8" i="10"/>
  <c r="AO13" i="10"/>
  <c r="AO43" i="16"/>
  <c r="AO29" i="10"/>
  <c r="AO35" i="10"/>
  <c r="AO17" i="13"/>
  <c r="AO33" i="14"/>
  <c r="AO16" i="14"/>
  <c r="AO9" i="13"/>
  <c r="AO20" i="14"/>
  <c r="AO11" i="10"/>
  <c r="H53" i="5"/>
  <c r="I53" i="5" s="1"/>
  <c r="AO48" i="16"/>
  <c r="AO26" i="16"/>
  <c r="H54" i="5"/>
  <c r="I54" i="5" s="1"/>
  <c r="AO32" i="16"/>
  <c r="AO11" i="13"/>
  <c r="AO49" i="14"/>
  <c r="N49" i="5"/>
  <c r="O49" i="5" s="1"/>
  <c r="AO14" i="14"/>
  <c r="AO31" i="13"/>
  <c r="AO21" i="13"/>
  <c r="AO15" i="14"/>
  <c r="AO28" i="14"/>
  <c r="AO51" i="14"/>
  <c r="N51" i="5"/>
  <c r="O51" i="5" s="1"/>
  <c r="N27" i="5"/>
  <c r="O27" i="5" s="1"/>
  <c r="AO27" i="14"/>
  <c r="N43" i="5"/>
  <c r="O43" i="5" s="1"/>
  <c r="AO43" i="14"/>
  <c r="AO35" i="14"/>
  <c r="AO8" i="14"/>
  <c r="AO56" i="14"/>
  <c r="N56" i="5"/>
  <c r="O56" i="5" s="1"/>
  <c r="AO48" i="14"/>
  <c r="N48" i="5"/>
  <c r="O48" i="5" s="1"/>
  <c r="N34" i="5"/>
  <c r="O34" i="5" s="1"/>
  <c r="AO34" i="14"/>
  <c r="N37" i="5"/>
  <c r="O37" i="5" s="1"/>
  <c r="AO37" i="14"/>
  <c r="N44" i="5"/>
  <c r="O44" i="5" s="1"/>
  <c r="AO44" i="14"/>
  <c r="AO17" i="14"/>
  <c r="AO55" i="14"/>
  <c r="N55" i="5"/>
  <c r="O55" i="5" s="1"/>
  <c r="N52" i="5"/>
  <c r="O52" i="5" s="1"/>
  <c r="AO52" i="14"/>
  <c r="N47" i="5"/>
  <c r="O47" i="5" s="1"/>
  <c r="AO47" i="14"/>
  <c r="L54" i="5"/>
  <c r="M54" i="5" s="1"/>
  <c r="AO54" i="13"/>
  <c r="L30" i="5"/>
  <c r="M30" i="5" s="1"/>
  <c r="AO30" i="13"/>
  <c r="AO19" i="13"/>
  <c r="AO39" i="13"/>
  <c r="L39" i="5"/>
  <c r="M39" i="5" s="1"/>
  <c r="L38" i="5"/>
  <c r="M38" i="5" s="1"/>
  <c r="AO38" i="13"/>
  <c r="L52" i="5"/>
  <c r="M52" i="5" s="1"/>
  <c r="AO52" i="13"/>
  <c r="L18" i="5"/>
  <c r="M18" i="5" s="1"/>
  <c r="AO18" i="13"/>
  <c r="AO24" i="13"/>
  <c r="AO10" i="13"/>
  <c r="AO38" i="10"/>
  <c r="J25" i="5"/>
  <c r="K25" i="5" s="1"/>
  <c r="AO25" i="10"/>
  <c r="J16" i="5"/>
  <c r="K16" i="5" s="1"/>
  <c r="AO16" i="10"/>
  <c r="AO18" i="10"/>
  <c r="AO15" i="10"/>
  <c r="J21" i="5"/>
  <c r="K21" i="5" s="1"/>
  <c r="AO21" i="10"/>
  <c r="AO21" i="16"/>
  <c r="AO25" i="16"/>
  <c r="AO42" i="16"/>
  <c r="AO34" i="16"/>
  <c r="AO50" i="16"/>
  <c r="AO47" i="16"/>
  <c r="N53" i="5"/>
  <c r="O53" i="5" s="1"/>
  <c r="AO53" i="14"/>
  <c r="N41" i="5"/>
  <c r="O41" i="5" s="1"/>
  <c r="AO41" i="14"/>
  <c r="N25" i="5"/>
  <c r="O25" i="5" s="1"/>
  <c r="AO25" i="14"/>
  <c r="N26" i="5"/>
  <c r="O26" i="5" s="1"/>
  <c r="AO26" i="14"/>
  <c r="N54" i="5"/>
  <c r="O54" i="5" s="1"/>
  <c r="AO54" i="14"/>
  <c r="AO50" i="14"/>
  <c r="N50" i="5"/>
  <c r="O50" i="5" s="1"/>
  <c r="N18" i="5"/>
  <c r="O18" i="5" s="1"/>
  <c r="AO18" i="14"/>
  <c r="N39" i="5"/>
  <c r="O39" i="5" s="1"/>
  <c r="AO39" i="14"/>
  <c r="N11" i="5"/>
  <c r="O11" i="5" s="1"/>
  <c r="AO11" i="14"/>
  <c r="N24" i="5"/>
  <c r="O24" i="5" s="1"/>
  <c r="AO24" i="14"/>
  <c r="N12" i="5"/>
  <c r="O12" i="5" s="1"/>
  <c r="AO12" i="14"/>
  <c r="N40" i="5"/>
  <c r="O40" i="5" s="1"/>
  <c r="AO40" i="14"/>
  <c r="N19" i="5"/>
  <c r="O19" i="5" s="1"/>
  <c r="AO19" i="14"/>
  <c r="N31" i="5"/>
  <c r="O31" i="5" s="1"/>
  <c r="AO31" i="14"/>
  <c r="N38" i="5"/>
  <c r="O38" i="5" s="1"/>
  <c r="AO38" i="14"/>
  <c r="N21" i="5"/>
  <c r="O21" i="5" s="1"/>
  <c r="AO21" i="14"/>
  <c r="AO45" i="14"/>
  <c r="AO42" i="14"/>
  <c r="N42" i="5"/>
  <c r="O42" i="5" s="1"/>
  <c r="AO46" i="14"/>
  <c r="N46" i="5"/>
  <c r="O46" i="5" s="1"/>
  <c r="N23" i="5"/>
  <c r="O23" i="5" s="1"/>
  <c r="AO23" i="14"/>
  <c r="AO9" i="14"/>
  <c r="AO30" i="14"/>
  <c r="AO7" i="13"/>
  <c r="L43" i="5"/>
  <c r="M43" i="5" s="1"/>
  <c r="AO43" i="13"/>
  <c r="L16" i="5"/>
  <c r="M16" i="5" s="1"/>
  <c r="AO16" i="13"/>
  <c r="AO47" i="13"/>
  <c r="M47" i="5"/>
  <c r="L27" i="5"/>
  <c r="M27" i="5" s="1"/>
  <c r="AO27" i="13"/>
  <c r="L51" i="5"/>
  <c r="M51" i="5" s="1"/>
  <c r="AO51" i="13"/>
  <c r="AO40" i="13"/>
  <c r="L40" i="5"/>
  <c r="M40" i="5" s="1"/>
  <c r="AO50" i="13"/>
  <c r="L50" i="5"/>
  <c r="M50" i="5" s="1"/>
  <c r="L55" i="5"/>
  <c r="M55" i="5" s="1"/>
  <c r="AO55" i="13"/>
  <c r="M44" i="5"/>
  <c r="AO44" i="13"/>
  <c r="L56" i="5"/>
  <c r="M56" i="5" s="1"/>
  <c r="AO56" i="13"/>
  <c r="AO34" i="13"/>
  <c r="AO23" i="13"/>
  <c r="AO28" i="13"/>
  <c r="L37" i="5"/>
  <c r="M37" i="5" s="1"/>
  <c r="AO37" i="13"/>
  <c r="AO53" i="13"/>
  <c r="L53" i="5"/>
  <c r="M53" i="5" s="1"/>
  <c r="L48" i="5"/>
  <c r="M48" i="5" s="1"/>
  <c r="AO48" i="13"/>
  <c r="AO41" i="13"/>
  <c r="L41" i="5"/>
  <c r="M41" i="5" s="1"/>
  <c r="L45" i="5"/>
  <c r="M45" i="5" s="1"/>
  <c r="AO45" i="13"/>
  <c r="L33" i="5"/>
  <c r="M33" i="5" s="1"/>
  <c r="AO33" i="13"/>
  <c r="AO8" i="13"/>
  <c r="L25" i="5"/>
  <c r="M25" i="5" s="1"/>
  <c r="AO25" i="13"/>
  <c r="L26" i="5"/>
  <c r="M26" i="5" s="1"/>
  <c r="AO26" i="13"/>
  <c r="AO46" i="13"/>
  <c r="L46" i="5"/>
  <c r="M46" i="5" s="1"/>
  <c r="L22" i="5"/>
  <c r="M22" i="5" s="1"/>
  <c r="AO22" i="13"/>
  <c r="L36" i="5"/>
  <c r="M36" i="5" s="1"/>
  <c r="AO36" i="13"/>
  <c r="L29" i="5"/>
  <c r="M29" i="5" s="1"/>
  <c r="AO29" i="13"/>
  <c r="L15" i="5"/>
  <c r="M15" i="5" s="1"/>
  <c r="AO15" i="13"/>
  <c r="AO49" i="13"/>
  <c r="L49" i="5"/>
  <c r="M49" i="5" s="1"/>
  <c r="L42" i="5"/>
  <c r="M42" i="5" s="1"/>
  <c r="AO42" i="13"/>
  <c r="J53" i="5"/>
  <c r="K53" i="5" s="1"/>
  <c r="AO53" i="10"/>
  <c r="J31" i="5"/>
  <c r="K31" i="5" s="1"/>
  <c r="AO31" i="10"/>
  <c r="J44" i="5"/>
  <c r="K44" i="5" s="1"/>
  <c r="AO44" i="10"/>
  <c r="J22" i="5"/>
  <c r="K22" i="5" s="1"/>
  <c r="AO22" i="10"/>
  <c r="J30" i="5"/>
  <c r="K30" i="5" s="1"/>
  <c r="AO30" i="10"/>
  <c r="J27" i="5"/>
  <c r="K27" i="5" s="1"/>
  <c r="AO27" i="10"/>
  <c r="J46" i="5"/>
  <c r="K46" i="5" s="1"/>
  <c r="AO46" i="10"/>
  <c r="J28" i="5"/>
  <c r="K28" i="5" s="1"/>
  <c r="AO28" i="10"/>
  <c r="J54" i="5"/>
  <c r="K54" i="5" s="1"/>
  <c r="AO54" i="10"/>
  <c r="J55" i="5"/>
  <c r="K55" i="5" s="1"/>
  <c r="AO55" i="10"/>
  <c r="J56" i="5"/>
  <c r="K56" i="5" s="1"/>
  <c r="AO56" i="10"/>
  <c r="J10" i="5"/>
  <c r="K10" i="5" s="1"/>
  <c r="AO10" i="10"/>
  <c r="J42" i="5"/>
  <c r="K42" i="5" s="1"/>
  <c r="AO42" i="10"/>
  <c r="J17" i="5"/>
  <c r="K17" i="5" s="1"/>
  <c r="AO17" i="10"/>
  <c r="J26" i="5"/>
  <c r="K26" i="5" s="1"/>
  <c r="AO26" i="10"/>
  <c r="J19" i="5"/>
  <c r="K19" i="5" s="1"/>
  <c r="AO19" i="10"/>
  <c r="J40" i="5"/>
  <c r="K40" i="5" s="1"/>
  <c r="AO40" i="10"/>
  <c r="J24" i="5"/>
  <c r="K24" i="5" s="1"/>
  <c r="AO24" i="10"/>
  <c r="AO50" i="10"/>
  <c r="J50" i="5"/>
  <c r="K50" i="5" s="1"/>
  <c r="J39" i="5"/>
  <c r="K39" i="5" s="1"/>
  <c r="AO39" i="10"/>
  <c r="J12" i="5"/>
  <c r="K12" i="5" s="1"/>
  <c r="AO12" i="10"/>
  <c r="J20" i="5"/>
  <c r="K20" i="5" s="1"/>
  <c r="AO20" i="10"/>
  <c r="J48" i="5"/>
  <c r="K48" i="5" s="1"/>
  <c r="AO48" i="10"/>
  <c r="J41" i="5"/>
  <c r="K41" i="5" s="1"/>
  <c r="AO41" i="10"/>
  <c r="AO43" i="10"/>
  <c r="J43" i="5"/>
  <c r="K43" i="5" s="1"/>
  <c r="AO52" i="10"/>
  <c r="J52" i="5"/>
  <c r="K52" i="5" s="1"/>
  <c r="J45" i="5"/>
  <c r="K45" i="5" s="1"/>
  <c r="AO45" i="10"/>
  <c r="J37" i="5"/>
  <c r="K37" i="5" s="1"/>
  <c r="AO37" i="10"/>
  <c r="J36" i="5"/>
  <c r="K36" i="5" s="1"/>
  <c r="AO36" i="10"/>
  <c r="J51" i="5"/>
  <c r="K51" i="5" s="1"/>
  <c r="AO51" i="10"/>
  <c r="J33" i="5"/>
  <c r="K33" i="5" s="1"/>
  <c r="AO33" i="10"/>
  <c r="K9" i="5"/>
  <c r="J47" i="5"/>
  <c r="K47" i="5" s="1"/>
  <c r="AO47" i="10"/>
  <c r="J49" i="5"/>
  <c r="K49" i="5" s="1"/>
  <c r="AO49" i="10"/>
  <c r="AO55" i="16"/>
  <c r="AO22" i="16"/>
  <c r="AO46" i="16"/>
  <c r="H51" i="5"/>
  <c r="I51" i="5" s="1"/>
  <c r="AO23" i="16"/>
  <c r="AO29" i="16"/>
  <c r="AO24" i="16"/>
  <c r="AO30" i="16"/>
  <c r="AO20" i="16"/>
  <c r="AO45" i="16"/>
  <c r="AO38" i="16"/>
  <c r="AO28" i="16"/>
  <c r="AO31" i="16"/>
  <c r="AO16" i="16"/>
  <c r="AO14" i="16"/>
  <c r="AO11" i="16"/>
  <c r="AO18" i="16"/>
  <c r="AO9" i="16"/>
  <c r="H9" i="5"/>
  <c r="I9" i="5" s="1"/>
  <c r="AO8" i="16"/>
  <c r="H8" i="5"/>
  <c r="I8" i="5" s="1"/>
  <c r="AO10" i="16"/>
  <c r="AO15" i="16"/>
  <c r="H15" i="5"/>
  <c r="I15" i="5" s="1"/>
  <c r="AO17" i="16"/>
  <c r="J7" i="5"/>
  <c r="K7" i="5" s="1"/>
  <c r="N7" i="5"/>
  <c r="O7" i="5" s="1"/>
  <c r="Q13" i="5" l="1"/>
  <c r="Q14" i="5"/>
  <c r="R14" i="5" s="1"/>
  <c r="Q32" i="5"/>
  <c r="T32" i="5" s="1"/>
  <c r="Q35" i="5"/>
  <c r="T35" i="5" s="1"/>
  <c r="AR16" i="14"/>
  <c r="AR12" i="14"/>
  <c r="AR8" i="14"/>
  <c r="AR15" i="14"/>
  <c r="AR11" i="14"/>
  <c r="AR7" i="14"/>
  <c r="AR14" i="14"/>
  <c r="AR10" i="14"/>
  <c r="AR6" i="14"/>
  <c r="AR13" i="14"/>
  <c r="AR9" i="14"/>
  <c r="AR5" i="14"/>
  <c r="AR5" i="13"/>
  <c r="AR10" i="13"/>
  <c r="AR15" i="13"/>
  <c r="AR9" i="13"/>
  <c r="AR14" i="13"/>
  <c r="AR8" i="13"/>
  <c r="AR13" i="13"/>
  <c r="AR7" i="13"/>
  <c r="AR12" i="13"/>
  <c r="AR6" i="13"/>
  <c r="AR11" i="13"/>
  <c r="AR16" i="13"/>
  <c r="AR16" i="10"/>
  <c r="AR12" i="10"/>
  <c r="AR8" i="10"/>
  <c r="AR14" i="10"/>
  <c r="AR10" i="10"/>
  <c r="AR6" i="10"/>
  <c r="AR13" i="10"/>
  <c r="AR9" i="10"/>
  <c r="AR15" i="10"/>
  <c r="AR11" i="10"/>
  <c r="AR7" i="10"/>
  <c r="AR5" i="10"/>
  <c r="AO7" i="10"/>
  <c r="AO7" i="14"/>
  <c r="Q11" i="5"/>
  <c r="Q29" i="5"/>
  <c r="Q23" i="5"/>
  <c r="Q34" i="5"/>
  <c r="T34" i="5" s="1"/>
  <c r="Q20" i="5"/>
  <c r="Q17" i="5"/>
  <c r="Q16" i="5"/>
  <c r="R16" i="5" s="1"/>
  <c r="Q56" i="5"/>
  <c r="Q26" i="5"/>
  <c r="Q31" i="5"/>
  <c r="Q36" i="5"/>
  <c r="T36" i="5" s="1"/>
  <c r="Q12" i="5"/>
  <c r="Q24" i="5"/>
  <c r="Q19" i="5"/>
  <c r="Q51" i="5"/>
  <c r="Q55" i="5"/>
  <c r="Q52" i="5"/>
  <c r="Q54" i="5"/>
  <c r="Q53" i="5"/>
  <c r="Q21" i="5"/>
  <c r="Q22" i="5"/>
  <c r="Q27" i="5"/>
  <c r="Q45" i="5"/>
  <c r="Q50" i="5"/>
  <c r="Q48" i="5"/>
  <c r="Q18" i="5"/>
  <c r="Q28" i="5"/>
  <c r="Q30" i="5"/>
  <c r="Q43" i="5"/>
  <c r="Q37" i="5"/>
  <c r="T37" i="5" s="1"/>
  <c r="Q41" i="5"/>
  <c r="T41" i="5" s="1"/>
  <c r="Q39" i="5"/>
  <c r="T39" i="5" s="1"/>
  <c r="Q40" i="5"/>
  <c r="T40" i="5" s="1"/>
  <c r="Q44" i="5"/>
  <c r="Q33" i="5"/>
  <c r="T33" i="5" s="1"/>
  <c r="Q46" i="5"/>
  <c r="Q25" i="5"/>
  <c r="Q10" i="5"/>
  <c r="Q49" i="5"/>
  <c r="Q38" i="5"/>
  <c r="T38" i="5" s="1"/>
  <c r="Q42" i="5"/>
  <c r="T42" i="5" s="1"/>
  <c r="Q47" i="5"/>
  <c r="Q8" i="5"/>
  <c r="Q9" i="5"/>
  <c r="Q15" i="5"/>
  <c r="R27" i="5" l="1"/>
  <c r="T27" i="5" s="1"/>
  <c r="R19" i="5"/>
  <c r="T19" i="5" s="1"/>
  <c r="R17" i="5"/>
  <c r="S17" i="5" s="1"/>
  <c r="R25" i="5"/>
  <c r="S25" i="5" s="1"/>
  <c r="R22" i="5"/>
  <c r="T22" i="5" s="1"/>
  <c r="R24" i="5"/>
  <c r="T24" i="5" s="1"/>
  <c r="R20" i="5"/>
  <c r="T20" i="5" s="1"/>
  <c r="R28" i="5"/>
  <c r="S28" i="5" s="1"/>
  <c r="R23" i="5"/>
  <c r="T23" i="5" s="1"/>
  <c r="R15" i="5"/>
  <c r="T15" i="5" s="1"/>
  <c r="R21" i="5"/>
  <c r="T21" i="5" s="1"/>
  <c r="R31" i="5"/>
  <c r="S31" i="5" s="1"/>
  <c r="R30" i="5"/>
  <c r="T30" i="5" s="1"/>
  <c r="R12" i="5"/>
  <c r="T12" i="5" s="1"/>
  <c r="R18" i="5"/>
  <c r="T18" i="5" s="1"/>
  <c r="R29" i="5"/>
  <c r="S29" i="5" s="1"/>
  <c r="R26" i="5"/>
  <c r="T26" i="5" s="1"/>
  <c r="R13" i="5"/>
  <c r="T13" i="5" s="1"/>
  <c r="R11" i="5"/>
  <c r="T11" i="5" s="1"/>
  <c r="R10" i="5"/>
  <c r="T10" i="5" s="1"/>
  <c r="R9" i="5"/>
  <c r="T9" i="5" s="1"/>
  <c r="R8" i="5"/>
  <c r="T8" i="5" s="1"/>
  <c r="T47" i="5"/>
  <c r="T48" i="5"/>
  <c r="T49" i="5"/>
  <c r="T50" i="5"/>
  <c r="T51" i="5"/>
  <c r="T52" i="5"/>
  <c r="T53" i="5"/>
  <c r="T54" i="5"/>
  <c r="T55" i="5"/>
  <c r="T56" i="5"/>
  <c r="T43" i="5"/>
  <c r="T45" i="5"/>
  <c r="T44" i="5"/>
  <c r="T46" i="5"/>
  <c r="S14" i="5"/>
  <c r="T14" i="5"/>
  <c r="S32" i="5"/>
  <c r="T16" i="5"/>
  <c r="S47" i="5"/>
  <c r="S43" i="5"/>
  <c r="S42" i="5"/>
  <c r="S48" i="5"/>
  <c r="S52" i="5"/>
  <c r="S38" i="5"/>
  <c r="S56" i="5"/>
  <c r="S35" i="5"/>
  <c r="S46" i="5"/>
  <c r="S50" i="5"/>
  <c r="S55" i="5"/>
  <c r="S34" i="5"/>
  <c r="S49" i="5"/>
  <c r="S33" i="5"/>
  <c r="S45" i="5"/>
  <c r="S36" i="5"/>
  <c r="AR17" i="13"/>
  <c r="AR17" i="10"/>
  <c r="AR17" i="14"/>
  <c r="S15" i="5" l="1"/>
  <c r="S22" i="5"/>
  <c r="S26" i="5"/>
  <c r="S27" i="5"/>
  <c r="S21" i="5"/>
  <c r="S24" i="5"/>
  <c r="S23" i="5"/>
  <c r="S19" i="5"/>
  <c r="S18" i="5"/>
  <c r="S20" i="5"/>
  <c r="S13" i="5"/>
  <c r="S12" i="5"/>
  <c r="T31" i="5"/>
  <c r="T29" i="5"/>
  <c r="T17" i="5"/>
  <c r="T25" i="5"/>
  <c r="T28" i="5"/>
  <c r="S30" i="5"/>
  <c r="S11" i="5"/>
  <c r="S10" i="5"/>
  <c r="S9" i="5"/>
  <c r="S8" i="5"/>
  <c r="S16" i="5"/>
  <c r="S37" i="5"/>
  <c r="S54" i="5"/>
  <c r="S41" i="5"/>
  <c r="S44" i="5"/>
  <c r="S53" i="5"/>
  <c r="S39" i="5"/>
  <c r="S40" i="5"/>
  <c r="S51" i="5"/>
  <c r="H7" i="5" l="1"/>
  <c r="Q7" i="5" l="1"/>
  <c r="I7" i="5"/>
  <c r="AR12" i="16"/>
  <c r="AR16" i="16"/>
  <c r="AR6" i="16"/>
  <c r="AR10" i="16"/>
  <c r="AR14" i="16"/>
  <c r="AR7" i="16"/>
  <c r="AR5" i="16"/>
  <c r="AR11" i="16"/>
  <c r="AO7" i="16"/>
  <c r="AR8" i="16"/>
  <c r="AR13" i="16"/>
  <c r="AR9" i="16"/>
  <c r="AR15" i="16"/>
  <c r="R7" i="5" l="1"/>
  <c r="AR17" i="16"/>
  <c r="D47" i="5" l="1"/>
  <c r="D52" i="5"/>
  <c r="D44" i="5"/>
  <c r="D48" i="5"/>
  <c r="D55" i="5"/>
  <c r="D51" i="5"/>
  <c r="D54" i="5"/>
  <c r="D50" i="5"/>
  <c r="D45" i="5"/>
  <c r="D53" i="5"/>
  <c r="D49" i="5"/>
  <c r="D43" i="5"/>
  <c r="D46" i="5"/>
  <c r="D56" i="5"/>
  <c r="D12" i="5"/>
  <c r="T7" i="5"/>
  <c r="D32" i="5"/>
  <c r="D21" i="5"/>
  <c r="D31" i="5"/>
  <c r="D42" i="5"/>
  <c r="D19" i="5"/>
  <c r="D23" i="5"/>
  <c r="D25" i="5"/>
  <c r="D20" i="5"/>
  <c r="D9" i="5"/>
  <c r="D26" i="5"/>
  <c r="D27" i="5"/>
  <c r="D17" i="5"/>
  <c r="D8" i="5"/>
  <c r="D37" i="5"/>
  <c r="D10" i="5"/>
  <c r="D35" i="5"/>
  <c r="D33" i="5"/>
  <c r="D36" i="5"/>
  <c r="D22" i="5"/>
  <c r="D30" i="5"/>
  <c r="D7" i="5"/>
  <c r="D13" i="5"/>
  <c r="D14" i="5"/>
  <c r="D38" i="5"/>
  <c r="D15" i="5"/>
  <c r="D29" i="5"/>
  <c r="D41" i="5"/>
  <c r="D34" i="5"/>
  <c r="D40" i="5"/>
  <c r="D18" i="5"/>
  <c r="D28" i="5"/>
  <c r="D39" i="5"/>
  <c r="D11" i="5"/>
  <c r="D24" i="5"/>
  <c r="D16" i="5"/>
  <c r="S7"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Peña, Beronika</author>
    <author>Salem, Ron Allan N.</author>
    <author>Courseware Manager</author>
  </authors>
  <commentList>
    <comment ref="D3" authorId="0" shapeId="0" xr:uid="{8E6B0B13-A5E9-43D0-8A83-5004A2FAF121}">
      <text>
        <r>
          <rPr>
            <sz val="9"/>
            <color indexed="81"/>
            <rFont val="Tahoma"/>
            <family val="2"/>
          </rPr>
          <t>Use this sheet for attendance.</t>
        </r>
      </text>
    </comment>
    <comment ref="G3" authorId="1" shapeId="0" xr:uid="{00000000-0006-0000-0200-000002000000}">
      <text>
        <r>
          <rPr>
            <sz val="9"/>
            <color indexed="81"/>
            <rFont val="Tahoma"/>
            <family val="2"/>
          </rPr>
          <t>month</t>
        </r>
      </text>
    </comment>
    <comment ref="G4" authorId="0" shapeId="0" xr:uid="{D33EB29F-5756-4935-8333-3BDEF495D131}">
      <text>
        <r>
          <rPr>
            <b/>
            <sz val="9"/>
            <color indexed="81"/>
            <rFont val="Tahoma"/>
            <family val="2"/>
          </rPr>
          <t>date</t>
        </r>
      </text>
    </comment>
    <comment ref="V4" authorId="2" shapeId="0" xr:uid="{00000000-0006-0000-0200-000004000000}">
      <text>
        <r>
          <rPr>
            <sz val="9"/>
            <color indexed="81"/>
            <rFont val="Tahoma"/>
            <family val="2"/>
          </rPr>
          <t>D - Dropped
OK - Ongoing</t>
        </r>
      </text>
    </comment>
    <comment ref="G5" authorId="1" shapeId="0" xr:uid="{00000000-0006-0000-0200-000005000000}">
      <text>
        <r>
          <rPr>
            <sz val="9"/>
            <color indexed="81"/>
            <rFont val="Tahoma"/>
            <family val="2"/>
          </rPr>
          <t xml:space="preserve">day
</t>
        </r>
      </text>
    </comment>
    <comment ref="G7" authorId="1" shapeId="0" xr:uid="{00000000-0006-0000-0200-000006000000}">
      <text>
        <r>
          <rPr>
            <sz val="9"/>
            <color indexed="81"/>
            <rFont val="Tahoma"/>
            <family val="2"/>
          </rPr>
          <t>Possible values:
Present - 1.5
Absent - Blank</t>
        </r>
      </text>
    </comment>
  </commentList>
</comments>
</file>

<file path=xl/sharedStrings.xml><?xml version="1.0" encoding="utf-8"?>
<sst xmlns="http://schemas.openxmlformats.org/spreadsheetml/2006/main" count="343" uniqueCount="172">
  <si>
    <t>P60 Class Record Instructions</t>
  </si>
  <si>
    <t>Settings Tab</t>
  </si>
  <si>
    <r>
      <t xml:space="preserve">1. </t>
    </r>
    <r>
      <rPr>
        <sz val="11"/>
        <rFont val="Calibri"/>
        <family val="2"/>
        <scheme val="minor"/>
      </rPr>
      <t>Kindly input your class details as indicated in the row fields. A sample is shown below.</t>
    </r>
  </si>
  <si>
    <r>
      <t xml:space="preserve">2. </t>
    </r>
    <r>
      <rPr>
        <sz val="11"/>
        <rFont val="Calibri"/>
        <family val="2"/>
        <scheme val="minor"/>
      </rPr>
      <t>Grading components, such as major examinations and quizzes, are listed in each row along with their corresponding codes. Please enter the appropriate percentage for each component based on your course syllabus. Also, include the date in its designated column and indicate the highest possible score in the # of POINTS column. These details will reflect in the Input tab. A sample is shown below.</t>
    </r>
  </si>
  <si>
    <t>Input Tab</t>
  </si>
  <si>
    <r>
      <t xml:space="preserve">1. </t>
    </r>
    <r>
      <rPr>
        <sz val="11"/>
        <rFont val="Calibri"/>
        <family val="2"/>
        <scheme val="minor"/>
      </rPr>
      <t>Once the percentages and highest possible scores have been entered in the Settings tab, you may proceed to encode the grades in the Input tab. The information previously entered should now appear in the Input tab, as shown below.</t>
    </r>
  </si>
  <si>
    <r>
      <t xml:space="preserve">2. </t>
    </r>
    <r>
      <rPr>
        <sz val="11"/>
        <rFont val="Calibri"/>
        <family val="2"/>
        <scheme val="minor"/>
      </rPr>
      <t>Enter the student number and name in their respective columns. Once completed, begin entering the students’ actual scores in the appropriate columns. The table should appear as shown.</t>
    </r>
  </si>
  <si>
    <r>
      <t xml:space="preserve">3. </t>
    </r>
    <r>
      <rPr>
        <sz val="11"/>
        <rFont val="Calibri"/>
        <family val="2"/>
        <scheme val="minor"/>
      </rPr>
      <t>If the encoded score exceeds the highest possible score, the entry will be highlighted in red, as shown in the image below. Please correct the score to avoid errors in the computation at the end of each component. Once corrected, the grades will be computed as intended.</t>
    </r>
  </si>
  <si>
    <t>Summary Tab</t>
  </si>
  <si>
    <r>
      <t xml:space="preserve">1. </t>
    </r>
    <r>
      <rPr>
        <sz val="11"/>
        <rFont val="Calibri"/>
        <family val="2"/>
        <scheme val="minor"/>
      </rPr>
      <t>The Summary tab displays the computed grade for each grading period: Prelims, Midterms, Pre-Finals, and Finals.</t>
    </r>
  </si>
  <si>
    <r>
      <t>2.</t>
    </r>
    <r>
      <rPr>
        <sz val="11"/>
        <rFont val="Calibri"/>
        <family val="2"/>
        <scheme val="minor"/>
      </rPr>
      <t xml:space="preserve"> At the end of each period, you are required to enter the percentage equivalent obtained by each student. Refer to the image below.</t>
    </r>
  </si>
  <si>
    <r>
      <t xml:space="preserve">STI </t>
    </r>
    <r>
      <rPr>
        <b/>
        <sz val="8"/>
        <color theme="0"/>
        <rFont val="Calibri"/>
        <family val="2"/>
        <scheme val="minor"/>
      </rPr>
      <t xml:space="preserve">Class Record </t>
    </r>
    <r>
      <rPr>
        <b/>
        <sz val="14"/>
        <color theme="0"/>
        <rFont val="Calibri"/>
        <family val="2"/>
        <scheme val="minor"/>
      </rPr>
      <t>P60</t>
    </r>
  </si>
  <si>
    <t>Branch</t>
  </si>
  <si>
    <t>Class No.</t>
  </si>
  <si>
    <t>Dept</t>
  </si>
  <si>
    <t>Code</t>
  </si>
  <si>
    <t>SY</t>
  </si>
  <si>
    <t>Section</t>
  </si>
  <si>
    <t>Sem</t>
  </si>
  <si>
    <t xml:space="preserve">Room </t>
  </si>
  <si>
    <t>Instructor</t>
  </si>
  <si>
    <t>Day</t>
  </si>
  <si>
    <t>Subject</t>
  </si>
  <si>
    <t>Time</t>
  </si>
  <si>
    <t>PRELIMS</t>
  </si>
  <si>
    <t>PRE-FINALS</t>
  </si>
  <si>
    <t>FINALS</t>
  </si>
  <si>
    <t>%</t>
  </si>
  <si>
    <t>DATE</t>
  </si>
  <si>
    <t># of POINTS</t>
  </si>
  <si>
    <t>CLASS PARTICIPATION</t>
  </si>
  <si>
    <t>Seatwork 1</t>
  </si>
  <si>
    <t>SW1</t>
  </si>
  <si>
    <t>Seatwork 2</t>
  </si>
  <si>
    <t>SW2</t>
  </si>
  <si>
    <t>Seatwork 3</t>
  </si>
  <si>
    <t>SW3</t>
  </si>
  <si>
    <t>Seatwork 4</t>
  </si>
  <si>
    <t>SW4</t>
  </si>
  <si>
    <t>Seatwork 5</t>
  </si>
  <si>
    <t>SW5</t>
  </si>
  <si>
    <t>Homework 1</t>
  </si>
  <si>
    <t>HW1</t>
  </si>
  <si>
    <t>Homework 2</t>
  </si>
  <si>
    <t>HW2</t>
  </si>
  <si>
    <t>Homework 3</t>
  </si>
  <si>
    <t>HW3</t>
  </si>
  <si>
    <t>Homework 4</t>
  </si>
  <si>
    <t>HW4</t>
  </si>
  <si>
    <t>Homework 5</t>
  </si>
  <si>
    <t>HW5</t>
  </si>
  <si>
    <t>Recitation 1</t>
  </si>
  <si>
    <t>RC1</t>
  </si>
  <si>
    <t>Recitation 2</t>
  </si>
  <si>
    <t>RC2</t>
  </si>
  <si>
    <t>Recitation 3</t>
  </si>
  <si>
    <t>RC3</t>
  </si>
  <si>
    <t>PERFORMANCE TASKS</t>
  </si>
  <si>
    <t>Performance Task/Lab 1</t>
  </si>
  <si>
    <t>PRC1</t>
  </si>
  <si>
    <t>Performance Task/Lab 2</t>
  </si>
  <si>
    <t>PRC2</t>
  </si>
  <si>
    <t>Performance Task/Lab 3</t>
  </si>
  <si>
    <t>PRC3</t>
  </si>
  <si>
    <t>Performance Task/Lab 4</t>
  </si>
  <si>
    <t>PRC4</t>
  </si>
  <si>
    <t>QUIZZES</t>
  </si>
  <si>
    <t>Quiz 1</t>
  </si>
  <si>
    <t>Q1</t>
  </si>
  <si>
    <t>Quiz 2</t>
  </si>
  <si>
    <t>Q2</t>
  </si>
  <si>
    <t>Quiz 3</t>
  </si>
  <si>
    <t>Q3</t>
  </si>
  <si>
    <t>Quiz 4</t>
  </si>
  <si>
    <t>Q4</t>
  </si>
  <si>
    <t>MAJOR EXAMINATION</t>
  </si>
  <si>
    <t>Exam</t>
  </si>
  <si>
    <t>EX</t>
  </si>
  <si>
    <t>MIDTERM</t>
  </si>
  <si>
    <t>PT/LAB EXERCISES</t>
  </si>
  <si>
    <t>EXAM</t>
  </si>
  <si>
    <t>A highlighted cell, as shown in the figure on the left, indicates that the score has exceeded the limit.</t>
  </si>
  <si>
    <t>TTL</t>
  </si>
  <si>
    <t>EQV</t>
  </si>
  <si>
    <t>Student No.</t>
  </si>
  <si>
    <t>Student Name</t>
  </si>
  <si>
    <t>January</t>
  </si>
  <si>
    <t>February</t>
  </si>
  <si>
    <t>March</t>
  </si>
  <si>
    <t>PT/LAB</t>
  </si>
  <si>
    <t>GRADE</t>
  </si>
  <si>
    <t>EQUIVALENT</t>
  </si>
  <si>
    <t>RANK</t>
  </si>
  <si>
    <t>SUMMARY</t>
  </si>
  <si>
    <t>STATUS</t>
  </si>
  <si>
    <t>COUNT</t>
  </si>
  <si>
    <t>W</t>
  </si>
  <si>
    <t>Th</t>
  </si>
  <si>
    <t>Drp</t>
  </si>
  <si>
    <t>Inc</t>
  </si>
  <si>
    <t>TOTAL</t>
  </si>
  <si>
    <t>FINAL GRADE</t>
  </si>
  <si>
    <t>REMARKS</t>
  </si>
  <si>
    <t>Grade</t>
  </si>
  <si>
    <t>Convert</t>
  </si>
  <si>
    <t>-</t>
  </si>
  <si>
    <t>Error</t>
  </si>
  <si>
    <t>INC</t>
  </si>
  <si>
    <t>DRP</t>
  </si>
  <si>
    <t>Naga</t>
  </si>
  <si>
    <t>Hospitality Management</t>
  </si>
  <si>
    <t>2026-2027</t>
  </si>
  <si>
    <t>1st</t>
  </si>
  <si>
    <t>Mathematics in the Modern World</t>
  </si>
  <si>
    <t>John Marq E. Ramos</t>
  </si>
  <si>
    <t>GEDC1005</t>
  </si>
  <si>
    <t>BSHM1A</t>
  </si>
  <si>
    <t>RM302</t>
  </si>
  <si>
    <t>MTh</t>
  </si>
  <si>
    <t>1:00pm - 2:30pm</t>
  </si>
  <si>
    <t>02000500651</t>
  </si>
  <si>
    <t>02000508012</t>
  </si>
  <si>
    <t>02000510545</t>
  </si>
  <si>
    <t>02000500688</t>
  </si>
  <si>
    <t>02000491309</t>
  </si>
  <si>
    <t>02000496750</t>
  </si>
  <si>
    <t>02000486779</t>
  </si>
  <si>
    <t>02000483633</t>
  </si>
  <si>
    <t>02000500732</t>
  </si>
  <si>
    <t>02000491156</t>
  </si>
  <si>
    <t>02000487748</t>
  </si>
  <si>
    <t>02000504031</t>
  </si>
  <si>
    <t>02000504595</t>
  </si>
  <si>
    <t>02000493811</t>
  </si>
  <si>
    <t>02000501320</t>
  </si>
  <si>
    <t>02000510843</t>
  </si>
  <si>
    <t>02000484250</t>
  </si>
  <si>
    <t>02000388196</t>
  </si>
  <si>
    <t>02000491101</t>
  </si>
  <si>
    <t>02000510558</t>
  </si>
  <si>
    <t>02000503091</t>
  </si>
  <si>
    <t>02000510390</t>
  </si>
  <si>
    <t>02000493122</t>
  </si>
  <si>
    <t>02000508992</t>
  </si>
  <si>
    <t>02000510378</t>
  </si>
  <si>
    <t>ADAO,ANGELICA MAE BAAL</t>
  </si>
  <si>
    <t>AMELANO,EUNICE MAE LUMBRE</t>
  </si>
  <si>
    <t>ANDAYA,RICO BRON</t>
  </si>
  <si>
    <t>AREJOLA,JESSICA SELPO</t>
  </si>
  <si>
    <t>BAGAMASBAD,KYLA ANGELICA</t>
  </si>
  <si>
    <t>BALTE,LYZA MAE LOMA</t>
  </si>
  <si>
    <t>BUENAAGUA,AIRA ALANA AMPARADO</t>
  </si>
  <si>
    <t>BULAO,JANNA MAE CUSTODIO</t>
  </si>
  <si>
    <t>CLAUDIO,JAMES YUAN BURCE</t>
  </si>
  <si>
    <t>DACUBA,ANNEZA MAYE DANCIL</t>
  </si>
  <si>
    <t>DESALISA,IVY ABANIL</t>
  </si>
  <si>
    <t>DOMINGUEZ,ADJA</t>
  </si>
  <si>
    <t>ELEGADO,RAQUEL JILLIAN BURCER</t>
  </si>
  <si>
    <t>FRANCE,KRISTEL CASSANDRA BASALLOTE</t>
  </si>
  <si>
    <t>LAMESERIA,DIVINA RUFFA ABRAHAM</t>
  </si>
  <si>
    <t>LAURENTE,WILFRED RUSSELL SAMBAJON</t>
  </si>
  <si>
    <t>LOYOLA,RAMIL JR. BARBARA</t>
  </si>
  <si>
    <t>MACALINDONG,IAN DANA</t>
  </si>
  <si>
    <t>MAHAYHAY,KAREN CAPILI</t>
  </si>
  <si>
    <t>MASMELA,MARK IVAN GERBOLINGON</t>
  </si>
  <si>
    <t>NOLLORA,ABEGAIL ALARCON</t>
  </si>
  <si>
    <t>QUIOM,JELSIE DIMASAYAO</t>
  </si>
  <si>
    <t>ROSENTO,MAE NATHALIE ORCENE</t>
  </si>
  <si>
    <t>UREÑA,KIMBERLY MANLAPAS</t>
  </si>
  <si>
    <t>YABUT,ALIYAH CLAIRE BIEN</t>
  </si>
  <si>
    <t>SEPTEMBER</t>
  </si>
  <si>
    <t>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</si>
</sst>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0.0"/>
    <numFmt numFmtId="165" formatCode="mm/dd/yy;@"/>
    <numFmt numFmtId="166" formatCode="mm/dd;@"/>
    <numFmt numFmtId="167" formatCode="mm/dd"/>
    <numFmt numFmtId="168" formatCode="[$-3409]dd\-mmm\-yy;@"/>
    <numFmt numFmtId="169" formatCode="[$-409]d\-mmm\-yy;@"/>
  </numFmts>
  <fonts count="44" x14ac:knownFonts="1">
    <font>
      <sz val="10"/>
      <name val="Arial"/>
    </font>
    <font>
      <sz val="11"/>
      <color theme="1"/>
      <name val="Calibri"/>
      <family val="2"/>
      <scheme val="minor"/>
    </font>
    <font>
      <sz val="10"/>
      <name val="Arial"/>
      <family val="2"/>
    </font>
    <font>
      <sz val="8"/>
      <name val="Arial"/>
      <family val="2"/>
    </font>
    <font>
      <sz val="8"/>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9"/>
      <color indexed="81"/>
      <name val="Tahoma"/>
      <family val="2"/>
    </font>
    <font>
      <b/>
      <sz val="9"/>
      <color indexed="81"/>
      <name val="Tahoma"/>
      <family val="2"/>
    </font>
    <font>
      <sz val="11"/>
      <color theme="1"/>
      <name val="Calibri"/>
      <family val="2"/>
      <scheme val="minor"/>
    </font>
    <font>
      <sz val="10"/>
      <name val="Arial"/>
      <family val="2"/>
    </font>
    <font>
      <sz val="10"/>
      <name val="Arial"/>
      <family val="2"/>
      <charset val="1"/>
    </font>
    <font>
      <sz val="10"/>
      <name val="Calibri"/>
      <family val="2"/>
      <scheme val="minor"/>
    </font>
    <font>
      <sz val="9"/>
      <name val="Calibri"/>
      <family val="2"/>
      <scheme val="minor"/>
    </font>
    <font>
      <b/>
      <sz val="14"/>
      <name val="Calibri"/>
      <family val="2"/>
      <scheme val="minor"/>
    </font>
    <font>
      <b/>
      <sz val="11"/>
      <name val="Calibri"/>
      <family val="2"/>
      <scheme val="minor"/>
    </font>
    <font>
      <sz val="12"/>
      <name val="Calibri"/>
      <family val="2"/>
      <scheme val="minor"/>
    </font>
    <font>
      <b/>
      <sz val="10"/>
      <name val="Calibri"/>
      <family val="2"/>
      <scheme val="minor"/>
    </font>
    <font>
      <b/>
      <sz val="12"/>
      <name val="Calibri"/>
      <family val="2"/>
      <scheme val="minor"/>
    </font>
    <font>
      <b/>
      <sz val="9"/>
      <name val="Calibri"/>
      <family val="2"/>
      <scheme val="minor"/>
    </font>
    <font>
      <b/>
      <sz val="16"/>
      <name val="Calibri"/>
      <family val="2"/>
      <scheme val="minor"/>
    </font>
    <font>
      <b/>
      <sz val="14"/>
      <color theme="0"/>
      <name val="Calibri"/>
      <family val="2"/>
      <scheme val="minor"/>
    </font>
    <font>
      <b/>
      <i/>
      <sz val="10"/>
      <name val="Calibri"/>
      <family val="2"/>
      <scheme val="minor"/>
    </font>
    <font>
      <b/>
      <sz val="8"/>
      <name val="Calibri"/>
      <family val="2"/>
      <scheme val="minor"/>
    </font>
    <font>
      <sz val="14"/>
      <name val="Calibri"/>
      <family val="2"/>
      <scheme val="minor"/>
    </font>
    <font>
      <b/>
      <sz val="12"/>
      <color theme="0"/>
      <name val="Calibri"/>
      <family val="2"/>
      <scheme val="minor"/>
    </font>
    <font>
      <b/>
      <sz val="16"/>
      <color theme="0"/>
      <name val="Calibri"/>
      <family val="2"/>
      <scheme val="minor"/>
    </font>
    <font>
      <sz val="11"/>
      <name val="Calibri"/>
      <family val="2"/>
      <scheme val="minor"/>
    </font>
    <font>
      <sz val="8"/>
      <name val="Calibri"/>
      <family val="2"/>
      <scheme val="minor"/>
    </font>
    <font>
      <sz val="10"/>
      <color indexed="8"/>
      <name val="Calibri"/>
      <family val="2"/>
      <scheme val="minor"/>
    </font>
    <font>
      <sz val="8"/>
      <color indexed="8"/>
      <name val="Calibri"/>
      <family val="2"/>
      <scheme val="minor"/>
    </font>
    <font>
      <b/>
      <sz val="11"/>
      <color theme="1"/>
      <name val="Calibri"/>
      <family val="2"/>
      <scheme val="minor"/>
    </font>
    <font>
      <b/>
      <sz val="28"/>
      <color theme="0"/>
      <name val="Calibri"/>
      <family val="2"/>
      <scheme val="minor"/>
    </font>
    <font>
      <b/>
      <sz val="8"/>
      <color theme="0"/>
      <name val="Calibri"/>
      <family val="2"/>
      <scheme val="minor"/>
    </font>
    <font>
      <i/>
      <sz val="9"/>
      <name val="Calibri"/>
      <family val="2"/>
      <scheme val="minor"/>
    </font>
    <font>
      <sz val="11"/>
      <color indexed="8"/>
      <name val="Calibri"/>
      <family val="2"/>
      <scheme val="minor"/>
    </font>
    <font>
      <b/>
      <sz val="20"/>
      <name val="Calibri"/>
      <family val="2"/>
      <scheme val="minor"/>
    </font>
    <font>
      <b/>
      <sz val="11"/>
      <color theme="0"/>
      <name val="Calibri"/>
      <family val="2"/>
      <scheme val="minor"/>
    </font>
  </fonts>
  <fills count="18">
    <fill>
      <patternFill patternType="none"/>
    </fill>
    <fill>
      <patternFill patternType="gray125"/>
    </fill>
    <fill>
      <patternFill patternType="solid">
        <fgColor indexed="46"/>
        <bgColor indexed="64"/>
      </patternFill>
    </fill>
    <fill>
      <patternFill patternType="solid">
        <fgColor indexed="47"/>
        <bgColor indexed="64"/>
      </patternFill>
    </fill>
    <fill>
      <patternFill patternType="solid">
        <fgColor indexed="43"/>
        <bgColor indexed="64"/>
      </patternFill>
    </fill>
    <fill>
      <patternFill patternType="solid">
        <fgColor indexed="42"/>
        <bgColor indexed="64"/>
      </patternFill>
    </fill>
    <fill>
      <patternFill patternType="solid">
        <fgColor indexed="41"/>
        <bgColor indexed="64"/>
      </patternFill>
    </fill>
    <fill>
      <patternFill patternType="solid">
        <fgColor indexed="15"/>
        <bgColor indexed="64"/>
      </patternFill>
    </fill>
    <fill>
      <patternFill patternType="solid">
        <fgColor theme="0" tint="-0.14999847407452621"/>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theme="0" tint="-0.249977111117893"/>
        <bgColor indexed="64"/>
      </patternFill>
    </fill>
    <fill>
      <patternFill patternType="solid">
        <fgColor theme="1"/>
        <bgColor indexed="64"/>
      </patternFill>
    </fill>
    <fill>
      <patternFill patternType="solid">
        <fgColor theme="3" tint="0.79998168889431442"/>
        <bgColor indexed="64"/>
      </patternFill>
    </fill>
    <fill>
      <patternFill patternType="solid">
        <fgColor rgb="FFFFC000"/>
        <bgColor indexed="64"/>
      </patternFill>
    </fill>
    <fill>
      <patternFill patternType="solid">
        <fgColor theme="0"/>
        <bgColor indexed="64"/>
      </patternFill>
    </fill>
    <fill>
      <patternFill patternType="solid">
        <fgColor rgb="FF0E2841"/>
        <bgColor indexed="64"/>
      </patternFill>
    </fill>
    <fill>
      <patternFill patternType="solid">
        <fgColor rgb="FFFFFF99"/>
        <bgColor indexed="64"/>
      </patternFill>
    </fill>
  </fills>
  <borders count="13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top/>
      <bottom style="thin">
        <color indexed="64"/>
      </bottom>
      <diagonal/>
    </border>
    <border>
      <left/>
      <right/>
      <top style="thin">
        <color indexed="64"/>
      </top>
      <bottom style="thin">
        <color indexed="64"/>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bottom/>
      <diagonal/>
    </border>
    <border>
      <left/>
      <right style="thin">
        <color indexed="64"/>
      </right>
      <top/>
      <bottom style="medium">
        <color indexed="64"/>
      </bottom>
      <diagonal/>
    </border>
    <border>
      <left style="thin">
        <color indexed="64"/>
      </left>
      <right/>
      <top/>
      <bottom style="medium">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medium">
        <color indexed="64"/>
      </right>
      <top/>
      <bottom/>
      <diagonal/>
    </border>
    <border>
      <left/>
      <right/>
      <top style="thin">
        <color indexed="64"/>
      </top>
      <bottom/>
      <diagonal/>
    </border>
    <border>
      <left style="medium">
        <color rgb="FF0E2841"/>
      </left>
      <right/>
      <top style="medium">
        <color rgb="FF0E2841"/>
      </top>
      <bottom style="thin">
        <color indexed="64"/>
      </bottom>
      <diagonal/>
    </border>
    <border>
      <left/>
      <right/>
      <top style="medium">
        <color rgb="FF0E2841"/>
      </top>
      <bottom style="thin">
        <color indexed="64"/>
      </bottom>
      <diagonal/>
    </border>
    <border>
      <left/>
      <right style="medium">
        <color rgb="FF0E2841"/>
      </right>
      <top style="medium">
        <color rgb="FF0E2841"/>
      </top>
      <bottom style="thin">
        <color indexed="64"/>
      </bottom>
      <diagonal/>
    </border>
    <border>
      <left style="medium">
        <color rgb="FF0E2841"/>
      </left>
      <right/>
      <top style="thin">
        <color indexed="64"/>
      </top>
      <bottom style="thin">
        <color indexed="64"/>
      </bottom>
      <diagonal/>
    </border>
    <border>
      <left/>
      <right style="medium">
        <color rgb="FF0E2841"/>
      </right>
      <top style="thin">
        <color indexed="64"/>
      </top>
      <bottom style="thin">
        <color indexed="64"/>
      </bottom>
      <diagonal/>
    </border>
    <border>
      <left style="medium">
        <color rgb="FF0E2841"/>
      </left>
      <right/>
      <top style="thin">
        <color indexed="64"/>
      </top>
      <bottom/>
      <diagonal/>
    </border>
    <border>
      <left/>
      <right style="medium">
        <color rgb="FF0E2841"/>
      </right>
      <top style="thin">
        <color indexed="64"/>
      </top>
      <bottom/>
      <diagonal/>
    </border>
    <border>
      <left style="medium">
        <color rgb="FF0E2841"/>
      </left>
      <right style="thin">
        <color rgb="FF0E2841"/>
      </right>
      <top style="thin">
        <color indexed="64"/>
      </top>
      <bottom style="hair">
        <color rgb="FF0E2841"/>
      </bottom>
      <diagonal/>
    </border>
    <border>
      <left style="thin">
        <color rgb="FF0E2841"/>
      </left>
      <right style="thin">
        <color rgb="FF0E2841"/>
      </right>
      <top style="thin">
        <color indexed="64"/>
      </top>
      <bottom style="hair">
        <color rgb="FF0E2841"/>
      </bottom>
      <diagonal/>
    </border>
    <border>
      <left style="thin">
        <color rgb="FF0E2841"/>
      </left>
      <right style="medium">
        <color rgb="FF0E2841"/>
      </right>
      <top style="thin">
        <color indexed="64"/>
      </top>
      <bottom style="hair">
        <color rgb="FF0E2841"/>
      </bottom>
      <diagonal/>
    </border>
    <border>
      <left style="medium">
        <color rgb="FF0E2841"/>
      </left>
      <right style="thin">
        <color rgb="FF0E2841"/>
      </right>
      <top style="hair">
        <color rgb="FF0E2841"/>
      </top>
      <bottom style="hair">
        <color rgb="FF0E2841"/>
      </bottom>
      <diagonal/>
    </border>
    <border>
      <left style="thin">
        <color rgb="FF0E2841"/>
      </left>
      <right style="thin">
        <color rgb="FF0E2841"/>
      </right>
      <top style="hair">
        <color rgb="FF0E2841"/>
      </top>
      <bottom style="hair">
        <color rgb="FF0E2841"/>
      </bottom>
      <diagonal/>
    </border>
    <border>
      <left style="thin">
        <color rgb="FF0E2841"/>
      </left>
      <right style="medium">
        <color rgb="FF0E2841"/>
      </right>
      <top style="hair">
        <color rgb="FF0E2841"/>
      </top>
      <bottom style="hair">
        <color rgb="FF0E2841"/>
      </bottom>
      <diagonal/>
    </border>
    <border>
      <left style="medium">
        <color rgb="FF0E2841"/>
      </left>
      <right style="thin">
        <color rgb="FF0E2841"/>
      </right>
      <top style="hair">
        <color rgb="FF0E2841"/>
      </top>
      <bottom style="thin">
        <color indexed="64"/>
      </bottom>
      <diagonal/>
    </border>
    <border>
      <left style="thin">
        <color rgb="FF0E2841"/>
      </left>
      <right style="thin">
        <color rgb="FF0E2841"/>
      </right>
      <top style="hair">
        <color rgb="FF0E2841"/>
      </top>
      <bottom style="thin">
        <color indexed="64"/>
      </bottom>
      <diagonal/>
    </border>
    <border>
      <left style="thin">
        <color rgb="FF0E2841"/>
      </left>
      <right style="medium">
        <color rgb="FF0E2841"/>
      </right>
      <top style="hair">
        <color rgb="FF0E2841"/>
      </top>
      <bottom style="thin">
        <color indexed="64"/>
      </bottom>
      <diagonal/>
    </border>
    <border>
      <left style="medium">
        <color rgb="FF0E2841"/>
      </left>
      <right style="thin">
        <color rgb="FF0E2841"/>
      </right>
      <top style="thin">
        <color rgb="FF0E2841"/>
      </top>
      <bottom style="thin">
        <color rgb="FF0E2841"/>
      </bottom>
      <diagonal/>
    </border>
    <border>
      <left style="thin">
        <color rgb="FF0E2841"/>
      </left>
      <right style="thin">
        <color rgb="FF0E2841"/>
      </right>
      <top style="thin">
        <color rgb="FF0E2841"/>
      </top>
      <bottom style="thin">
        <color rgb="FF0E2841"/>
      </bottom>
      <diagonal/>
    </border>
    <border>
      <left style="thin">
        <color rgb="FF0E2841"/>
      </left>
      <right style="medium">
        <color rgb="FF0E2841"/>
      </right>
      <top style="thin">
        <color rgb="FF0E2841"/>
      </top>
      <bottom style="thin">
        <color rgb="FF0E2841"/>
      </bottom>
      <diagonal/>
    </border>
    <border>
      <left style="medium">
        <color rgb="FF0E2841"/>
      </left>
      <right style="thin">
        <color rgb="FF0E2841"/>
      </right>
      <top style="thin">
        <color rgb="FF0E2841"/>
      </top>
      <bottom style="medium">
        <color rgb="FF0E2841"/>
      </bottom>
      <diagonal/>
    </border>
    <border>
      <left style="thin">
        <color rgb="FF0E2841"/>
      </left>
      <right style="thin">
        <color rgb="FF0E2841"/>
      </right>
      <top style="thin">
        <color rgb="FF0E2841"/>
      </top>
      <bottom style="medium">
        <color rgb="FF0E2841"/>
      </bottom>
      <diagonal/>
    </border>
    <border>
      <left style="thin">
        <color rgb="FF0E2841"/>
      </left>
      <right style="medium">
        <color rgb="FF0E2841"/>
      </right>
      <top style="thin">
        <color rgb="FF0E2841"/>
      </top>
      <bottom style="medium">
        <color rgb="FF0E2841"/>
      </bottom>
      <diagonal/>
    </border>
    <border>
      <left style="medium">
        <color rgb="FF0E2841"/>
      </left>
      <right/>
      <top style="thin">
        <color rgb="FF0E2841"/>
      </top>
      <bottom style="thin">
        <color rgb="FF0E2841"/>
      </bottom>
      <diagonal/>
    </border>
    <border>
      <left/>
      <right/>
      <top style="thin">
        <color rgb="FF0E2841"/>
      </top>
      <bottom style="thin">
        <color rgb="FF0E2841"/>
      </bottom>
      <diagonal/>
    </border>
    <border>
      <left/>
      <right style="medium">
        <color rgb="FF0E2841"/>
      </right>
      <top style="thin">
        <color rgb="FF0E2841"/>
      </top>
      <bottom style="thin">
        <color rgb="FF0E2841"/>
      </bottom>
      <diagonal/>
    </border>
    <border>
      <left style="thin">
        <color rgb="FF0E2841"/>
      </left>
      <right/>
      <top style="thin">
        <color rgb="FF0E2841"/>
      </top>
      <bottom style="thin">
        <color rgb="FF0E2841"/>
      </bottom>
      <diagonal/>
    </border>
    <border>
      <left style="medium">
        <color rgb="FF0E2841"/>
      </left>
      <right style="thin">
        <color rgb="FF0E2841"/>
      </right>
      <top style="thin">
        <color rgb="FF0E2841"/>
      </top>
      <bottom/>
      <diagonal/>
    </border>
    <border>
      <left style="medium">
        <color rgb="FF0E2841"/>
      </left>
      <right style="thin">
        <color rgb="FF0E2841"/>
      </right>
      <top/>
      <bottom/>
      <diagonal/>
    </border>
    <border>
      <left style="medium">
        <color rgb="FF0E2841"/>
      </left>
      <right style="thin">
        <color rgb="FF0E2841"/>
      </right>
      <top/>
      <bottom style="thin">
        <color rgb="FF0E2841"/>
      </bottom>
      <diagonal/>
    </border>
    <border>
      <left style="medium">
        <color rgb="FF0E2841"/>
      </left>
      <right style="thin">
        <color rgb="FF0E2841"/>
      </right>
      <top style="medium">
        <color rgb="FF0E2841"/>
      </top>
      <bottom style="thin">
        <color rgb="FF0E2841"/>
      </bottom>
      <diagonal/>
    </border>
    <border>
      <left style="thin">
        <color rgb="FF0E2841"/>
      </left>
      <right style="thin">
        <color rgb="FF0E2841"/>
      </right>
      <top style="medium">
        <color rgb="FF0E2841"/>
      </top>
      <bottom style="thin">
        <color rgb="FF0E2841"/>
      </bottom>
      <diagonal/>
    </border>
    <border>
      <left style="thin">
        <color rgb="FF0E2841"/>
      </left>
      <right style="medium">
        <color rgb="FF0E2841"/>
      </right>
      <top style="medium">
        <color rgb="FF0E2841"/>
      </top>
      <bottom style="thin">
        <color rgb="FF0E2841"/>
      </bottom>
      <diagonal/>
    </border>
    <border>
      <left style="medium">
        <color rgb="FF0E2841"/>
      </left>
      <right/>
      <top style="thin">
        <color rgb="FF0E2841"/>
      </top>
      <bottom/>
      <diagonal/>
    </border>
    <border>
      <left/>
      <right/>
      <top style="thin">
        <color rgb="FF0E2841"/>
      </top>
      <bottom/>
      <diagonal/>
    </border>
    <border>
      <left/>
      <right style="medium">
        <color rgb="FF0E2841"/>
      </right>
      <top style="thin">
        <color rgb="FF0E2841"/>
      </top>
      <bottom/>
      <diagonal/>
    </border>
    <border>
      <left/>
      <right style="medium">
        <color rgb="FF0E2841"/>
      </right>
      <top style="double">
        <color rgb="FF0E2841"/>
      </top>
      <bottom style="medium">
        <color rgb="FF0E2841"/>
      </bottom>
      <diagonal/>
    </border>
    <border>
      <left style="medium">
        <color rgb="FF0E2841"/>
      </left>
      <right/>
      <top style="double">
        <color rgb="FF0E2841"/>
      </top>
      <bottom style="medium">
        <color rgb="FF0E2841"/>
      </bottom>
      <diagonal/>
    </border>
    <border>
      <left/>
      <right/>
      <top style="double">
        <color rgb="FF0E2841"/>
      </top>
      <bottom style="medium">
        <color rgb="FF0E2841"/>
      </bottom>
      <diagonal/>
    </border>
    <border>
      <left style="thin">
        <color rgb="FF0E2841"/>
      </left>
      <right style="thin">
        <color rgb="FF0E2841"/>
      </right>
      <top style="thin">
        <color rgb="FF0E2841"/>
      </top>
      <bottom style="hair">
        <color rgb="FF0E2841"/>
      </bottom>
      <diagonal/>
    </border>
    <border>
      <left style="thin">
        <color rgb="FF0E2841"/>
      </left>
      <right style="medium">
        <color rgb="FF0E2841"/>
      </right>
      <top style="thin">
        <color rgb="FF0E2841"/>
      </top>
      <bottom style="hair">
        <color rgb="FF0E2841"/>
      </bottom>
      <diagonal/>
    </border>
    <border>
      <left style="thin">
        <color rgb="FF0E2841"/>
      </left>
      <right style="thin">
        <color rgb="FF0E2841"/>
      </right>
      <top style="hair">
        <color rgb="FF0E2841"/>
      </top>
      <bottom style="thin">
        <color rgb="FF0E2841"/>
      </bottom>
      <diagonal/>
    </border>
    <border>
      <left style="thin">
        <color rgb="FF0E2841"/>
      </left>
      <right style="medium">
        <color rgb="FF0E2841"/>
      </right>
      <top style="hair">
        <color rgb="FF0E2841"/>
      </top>
      <bottom style="thin">
        <color rgb="FF0E2841"/>
      </bottom>
      <diagonal/>
    </border>
    <border>
      <left style="thin">
        <color rgb="FF0E2841"/>
      </left>
      <right style="medium">
        <color rgb="FF0E2841"/>
      </right>
      <top style="thin">
        <color rgb="FF0E2841"/>
      </top>
      <bottom style="double">
        <color rgb="FF0E2841"/>
      </bottom>
      <diagonal/>
    </border>
    <border>
      <left style="thin">
        <color rgb="FF0E2841"/>
      </left>
      <right style="thin">
        <color rgb="FF0E2841"/>
      </right>
      <top/>
      <bottom style="thin">
        <color rgb="FF0E2841"/>
      </bottom>
      <diagonal/>
    </border>
    <border>
      <left style="thin">
        <color rgb="FF0E2841"/>
      </left>
      <right style="medium">
        <color rgb="FF0E2841"/>
      </right>
      <top/>
      <bottom style="thin">
        <color rgb="FF0E2841"/>
      </bottom>
      <diagonal/>
    </border>
    <border>
      <left style="thin">
        <color rgb="FF0E2841"/>
      </left>
      <right style="thin">
        <color rgb="FF0E2841"/>
      </right>
      <top style="thin">
        <color rgb="FF0E2841"/>
      </top>
      <bottom style="double">
        <color rgb="FF0E2841"/>
      </bottom>
      <diagonal/>
    </border>
    <border>
      <left style="medium">
        <color rgb="FF0E2841"/>
      </left>
      <right style="thin">
        <color rgb="FF0E2841"/>
      </right>
      <top style="thin">
        <color rgb="FF0E2841"/>
      </top>
      <bottom style="double">
        <color rgb="FF0E2841"/>
      </bottom>
      <diagonal/>
    </border>
    <border>
      <left style="thin">
        <color rgb="FF0E2841"/>
      </left>
      <right style="thin">
        <color rgb="FF0E2841"/>
      </right>
      <top style="medium">
        <color rgb="FF0E2841"/>
      </top>
      <bottom/>
      <diagonal/>
    </border>
    <border>
      <left style="thin">
        <color rgb="FF0E2841"/>
      </left>
      <right style="thin">
        <color rgb="FF0E2841"/>
      </right>
      <top/>
      <bottom/>
      <diagonal/>
    </border>
    <border>
      <left style="thin">
        <color rgb="FF0E2841"/>
      </left>
      <right style="thin">
        <color rgb="FF0E2841"/>
      </right>
      <top/>
      <bottom style="medium">
        <color rgb="FF0E2841"/>
      </bottom>
      <diagonal/>
    </border>
    <border>
      <left style="thin">
        <color indexed="64"/>
      </left>
      <right/>
      <top/>
      <bottom/>
      <diagonal/>
    </border>
    <border>
      <left style="medium">
        <color rgb="FF0E2841"/>
      </left>
      <right style="medium">
        <color rgb="FF0E2841"/>
      </right>
      <top/>
      <bottom/>
      <diagonal/>
    </border>
    <border>
      <left style="thin">
        <color rgb="FF0E2841"/>
      </left>
      <right/>
      <top style="medium">
        <color rgb="FF0E2841"/>
      </top>
      <bottom style="thin">
        <color rgb="FF0E2841"/>
      </bottom>
      <diagonal/>
    </border>
    <border>
      <left style="thin">
        <color rgb="FF0E2841"/>
      </left>
      <right/>
      <top style="thin">
        <color rgb="FF0E2841"/>
      </top>
      <bottom style="medium">
        <color rgb="FF0E2841"/>
      </bottom>
      <diagonal/>
    </border>
    <border>
      <left/>
      <right style="thin">
        <color rgb="FF0E2841"/>
      </right>
      <top style="medium">
        <color rgb="FF0E2841"/>
      </top>
      <bottom style="thin">
        <color rgb="FF0E2841"/>
      </bottom>
      <diagonal/>
    </border>
    <border>
      <left/>
      <right style="thin">
        <color rgb="FF0E2841"/>
      </right>
      <top style="thin">
        <color rgb="FF0E2841"/>
      </top>
      <bottom style="thin">
        <color rgb="FF0E2841"/>
      </bottom>
      <diagonal/>
    </border>
    <border>
      <left/>
      <right style="thin">
        <color rgb="FF0E2841"/>
      </right>
      <top style="thin">
        <color rgb="FF0E2841"/>
      </top>
      <bottom style="medium">
        <color rgb="FF0E2841"/>
      </bottom>
      <diagonal/>
    </border>
    <border>
      <left style="medium">
        <color rgb="FF0E2841"/>
      </left>
      <right/>
      <top/>
      <bottom/>
      <diagonal/>
    </border>
    <border>
      <left style="thin">
        <color rgb="FF0E2841"/>
      </left>
      <right style="medium">
        <color rgb="FF0E2841"/>
      </right>
      <top style="thin">
        <color rgb="FF0E2841"/>
      </top>
      <bottom/>
      <diagonal/>
    </border>
    <border>
      <left/>
      <right/>
      <top style="medium">
        <color rgb="FF0E2841"/>
      </top>
      <bottom/>
      <diagonal/>
    </border>
    <border>
      <left style="medium">
        <color rgb="FF0E2841"/>
      </left>
      <right style="thin">
        <color rgb="FF0E2841"/>
      </right>
      <top style="dashed">
        <color rgb="FF0E2841"/>
      </top>
      <bottom style="medium">
        <color rgb="FF0E2841"/>
      </bottom>
      <diagonal/>
    </border>
    <border>
      <left style="thin">
        <color rgb="FF0E2841"/>
      </left>
      <right style="medium">
        <color rgb="FF0E2841"/>
      </right>
      <top style="dashed">
        <color rgb="FF0E2841"/>
      </top>
      <bottom style="medium">
        <color rgb="FF0E2841"/>
      </bottom>
      <diagonal/>
    </border>
    <border>
      <left style="thin">
        <color rgb="FF0E2841"/>
      </left>
      <right style="medium">
        <color rgb="FF0E2841"/>
      </right>
      <top style="medium">
        <color rgb="FF0E2841"/>
      </top>
      <bottom/>
      <diagonal/>
    </border>
    <border>
      <left style="thin">
        <color rgb="FF0E2841"/>
      </left>
      <right style="medium">
        <color rgb="FF0E2841"/>
      </right>
      <top/>
      <bottom/>
      <diagonal/>
    </border>
    <border>
      <left/>
      <right style="medium">
        <color rgb="FF0E2841"/>
      </right>
      <top/>
      <bottom/>
      <diagonal/>
    </border>
    <border>
      <left style="medium">
        <color rgb="FF0E2841"/>
      </left>
      <right/>
      <top style="medium">
        <color rgb="FF0E2841"/>
      </top>
      <bottom style="medium">
        <color rgb="FF0E2841"/>
      </bottom>
      <diagonal/>
    </border>
    <border>
      <left/>
      <right style="medium">
        <color rgb="FF0E2841"/>
      </right>
      <top style="medium">
        <color rgb="FF0E2841"/>
      </top>
      <bottom style="medium">
        <color rgb="FF0E2841"/>
      </bottom>
      <diagonal/>
    </border>
    <border>
      <left style="double">
        <color rgb="FF0E2841"/>
      </left>
      <right style="thin">
        <color rgb="FF0E2841"/>
      </right>
      <top style="medium">
        <color rgb="FF0E2841"/>
      </top>
      <bottom style="thin">
        <color rgb="FF0E2841"/>
      </bottom>
      <diagonal/>
    </border>
    <border>
      <left style="double">
        <color rgb="FF0E2841"/>
      </left>
      <right style="thin">
        <color rgb="FF0E2841"/>
      </right>
      <top style="thin">
        <color rgb="FF0E2841"/>
      </top>
      <bottom style="thin">
        <color rgb="FF0E2841"/>
      </bottom>
      <diagonal/>
    </border>
    <border>
      <left style="double">
        <color rgb="FF0E2841"/>
      </left>
      <right style="thin">
        <color rgb="FF0E2841"/>
      </right>
      <top style="thin">
        <color rgb="FF0E2841"/>
      </top>
      <bottom style="medium">
        <color rgb="FF0E2841"/>
      </bottom>
      <diagonal/>
    </border>
    <border>
      <left/>
      <right/>
      <top style="double">
        <color auto="1"/>
      </top>
      <bottom/>
      <diagonal/>
    </border>
    <border>
      <left style="double">
        <color auto="1"/>
      </left>
      <right/>
      <top style="double">
        <color auto="1"/>
      </top>
      <bottom/>
      <diagonal/>
    </border>
    <border>
      <left style="double">
        <color auto="1"/>
      </left>
      <right/>
      <top/>
      <bottom/>
      <diagonal/>
    </border>
    <border>
      <left style="double">
        <color auto="1"/>
      </left>
      <right/>
      <top/>
      <bottom style="double">
        <color auto="1"/>
      </bottom>
      <diagonal/>
    </border>
    <border>
      <left/>
      <right/>
      <top/>
      <bottom style="double">
        <color auto="1"/>
      </bottom>
      <diagonal/>
    </border>
    <border>
      <left/>
      <right style="double">
        <color auto="1"/>
      </right>
      <top style="double">
        <color auto="1"/>
      </top>
      <bottom/>
      <diagonal/>
    </border>
    <border>
      <left/>
      <right style="double">
        <color auto="1"/>
      </right>
      <top/>
      <bottom/>
      <diagonal/>
    </border>
    <border>
      <left/>
      <right style="double">
        <color auto="1"/>
      </right>
      <top/>
      <bottom style="double">
        <color auto="1"/>
      </bottom>
      <diagonal/>
    </border>
    <border>
      <left/>
      <right/>
      <top style="thin">
        <color rgb="FF0E2841"/>
      </top>
      <bottom style="hair">
        <color rgb="FF0E2841"/>
      </bottom>
      <diagonal/>
    </border>
    <border>
      <left/>
      <right style="thin">
        <color rgb="FF0E2841"/>
      </right>
      <top style="thin">
        <color rgb="FF0E2841"/>
      </top>
      <bottom style="hair">
        <color rgb="FF0E2841"/>
      </bottom>
      <diagonal/>
    </border>
    <border>
      <left/>
      <right/>
      <top style="hair">
        <color rgb="FF0E2841"/>
      </top>
      <bottom style="hair">
        <color rgb="FF0E2841"/>
      </bottom>
      <diagonal/>
    </border>
    <border>
      <left/>
      <right style="thin">
        <color rgb="FF0E2841"/>
      </right>
      <top style="hair">
        <color rgb="FF0E2841"/>
      </top>
      <bottom style="hair">
        <color rgb="FF0E2841"/>
      </bottom>
      <diagonal/>
    </border>
    <border>
      <left/>
      <right/>
      <top style="hair">
        <color rgb="FF0E2841"/>
      </top>
      <bottom style="thin">
        <color rgb="FF0E2841"/>
      </bottom>
      <diagonal/>
    </border>
    <border>
      <left/>
      <right style="thin">
        <color rgb="FF0E2841"/>
      </right>
      <top style="hair">
        <color rgb="FF0E2841"/>
      </top>
      <bottom style="thin">
        <color rgb="FF0E2841"/>
      </bottom>
      <diagonal/>
    </border>
    <border>
      <left/>
      <right/>
      <top style="thin">
        <color rgb="FF0E2841"/>
      </top>
      <bottom style="hair">
        <color indexed="64"/>
      </bottom>
      <diagonal/>
    </border>
    <border>
      <left/>
      <right style="thin">
        <color rgb="FF0E2841"/>
      </right>
      <top style="thin">
        <color rgb="FF0E2841"/>
      </top>
      <bottom style="hair">
        <color indexed="64"/>
      </bottom>
      <diagonal/>
    </border>
    <border>
      <left/>
      <right/>
      <top style="hair">
        <color indexed="64"/>
      </top>
      <bottom style="hair">
        <color indexed="64"/>
      </bottom>
      <diagonal/>
    </border>
    <border>
      <left/>
      <right style="thin">
        <color rgb="FF0E2841"/>
      </right>
      <top style="hair">
        <color indexed="64"/>
      </top>
      <bottom style="hair">
        <color indexed="64"/>
      </bottom>
      <diagonal/>
    </border>
    <border>
      <left/>
      <right/>
      <top style="hair">
        <color indexed="64"/>
      </top>
      <bottom style="thin">
        <color rgb="FF0E2841"/>
      </bottom>
      <diagonal/>
    </border>
    <border>
      <left/>
      <right style="thin">
        <color rgb="FF0E2841"/>
      </right>
      <top style="hair">
        <color indexed="64"/>
      </top>
      <bottom style="thin">
        <color rgb="FF0E2841"/>
      </bottom>
      <diagonal/>
    </border>
    <border>
      <left style="thin">
        <color rgb="FF0E2841"/>
      </left>
      <right/>
      <top style="thin">
        <color rgb="FF0E2841"/>
      </top>
      <bottom/>
      <diagonal/>
    </border>
    <border>
      <left style="thin">
        <color rgb="FF0E2841"/>
      </left>
      <right/>
      <top/>
      <bottom/>
      <diagonal/>
    </border>
    <border>
      <left style="thin">
        <color rgb="FF0E2841"/>
      </left>
      <right/>
      <top/>
      <bottom style="thin">
        <color rgb="FF0E2841"/>
      </bottom>
      <diagonal/>
    </border>
    <border>
      <left style="double">
        <color rgb="FF0E2841"/>
      </left>
      <right/>
      <top style="thin">
        <color rgb="FF0E2841"/>
      </top>
      <bottom style="thin">
        <color rgb="FF0E2841"/>
      </bottom>
      <diagonal/>
    </border>
    <border>
      <left style="thin">
        <color rgb="FF0E2841"/>
      </left>
      <right/>
      <top style="thin">
        <color rgb="FF0E2841"/>
      </top>
      <bottom style="hair">
        <color indexed="64"/>
      </bottom>
      <diagonal/>
    </border>
    <border>
      <left style="thin">
        <color rgb="FF0E2841"/>
      </left>
      <right/>
      <top style="hair">
        <color indexed="64"/>
      </top>
      <bottom style="hair">
        <color indexed="64"/>
      </bottom>
      <diagonal/>
    </border>
    <border>
      <left style="thin">
        <color rgb="FF0E2841"/>
      </left>
      <right/>
      <top style="hair">
        <color indexed="64"/>
      </top>
      <bottom style="thin">
        <color rgb="FF0E2841"/>
      </bottom>
      <diagonal/>
    </border>
    <border>
      <left style="thin">
        <color rgb="FF0E2841"/>
      </left>
      <right/>
      <top style="thin">
        <color rgb="FF0E2841"/>
      </top>
      <bottom style="hair">
        <color rgb="FF0E2841"/>
      </bottom>
      <diagonal/>
    </border>
    <border>
      <left style="thin">
        <color rgb="FF0E2841"/>
      </left>
      <right/>
      <top style="hair">
        <color rgb="FF0E2841"/>
      </top>
      <bottom style="hair">
        <color rgb="FF0E2841"/>
      </bottom>
      <diagonal/>
    </border>
    <border>
      <left style="thin">
        <color rgb="FF0E2841"/>
      </left>
      <right/>
      <top style="hair">
        <color rgb="FF0E2841"/>
      </top>
      <bottom style="thin">
        <color rgb="FF0E2841"/>
      </bottom>
      <diagonal/>
    </border>
    <border>
      <left style="thin">
        <color rgb="FF0E2841"/>
      </left>
      <right style="double">
        <color rgb="FF0E2841"/>
      </right>
      <top style="thin">
        <color rgb="FF0E2841"/>
      </top>
      <bottom style="medium">
        <color rgb="FF0E2841"/>
      </bottom>
      <diagonal/>
    </border>
    <border>
      <left/>
      <right/>
      <top style="medium">
        <color rgb="FF0E2841"/>
      </top>
      <bottom style="thin">
        <color rgb="FF0E2841"/>
      </bottom>
      <diagonal/>
    </border>
    <border>
      <left/>
      <right style="medium">
        <color rgb="FF0E2841"/>
      </right>
      <top style="medium">
        <color rgb="FF0E2841"/>
      </top>
      <bottom style="thin">
        <color rgb="FF0E2841"/>
      </bottom>
      <diagonal/>
    </border>
    <border>
      <left style="medium">
        <color rgb="FF0E2841"/>
      </left>
      <right/>
      <top style="medium">
        <color rgb="FF0E2841"/>
      </top>
      <bottom style="thin">
        <color rgb="FF0E2841"/>
      </bottom>
      <diagonal/>
    </border>
    <border>
      <left/>
      <right style="thin">
        <color rgb="FF0E2841"/>
      </right>
      <top style="thin">
        <color rgb="FF0E2841"/>
      </top>
      <bottom/>
      <diagonal/>
    </border>
    <border>
      <left/>
      <right/>
      <top/>
      <bottom style="thin">
        <color rgb="FF0E2841"/>
      </bottom>
      <diagonal/>
    </border>
    <border>
      <left/>
      <right style="thin">
        <color rgb="FF0E2841"/>
      </right>
      <top/>
      <bottom style="thin">
        <color rgb="FF0E2841"/>
      </bottom>
      <diagonal/>
    </border>
    <border>
      <left style="medium">
        <color rgb="FF0E2841"/>
      </left>
      <right/>
      <top/>
      <bottom style="thin">
        <color indexed="64"/>
      </bottom>
      <diagonal/>
    </border>
    <border>
      <left/>
      <right/>
      <top/>
      <bottom style="thin">
        <color indexed="64"/>
      </bottom>
      <diagonal/>
    </border>
    <border>
      <left/>
      <right style="medium">
        <color rgb="FF0E2841"/>
      </right>
      <top/>
      <bottom style="thin">
        <color indexed="64"/>
      </bottom>
      <diagonal/>
    </border>
    <border>
      <left/>
      <right style="thin">
        <color indexed="64"/>
      </right>
      <top style="thin">
        <color indexed="64"/>
      </top>
      <bottom/>
      <diagonal/>
    </border>
    <border>
      <left style="medium">
        <color rgb="FF0E2841"/>
      </left>
      <right style="thin">
        <color rgb="FF0E2841"/>
      </right>
      <top style="thin">
        <color indexed="64"/>
      </top>
      <bottom style="medium">
        <color rgb="FF0E2841"/>
      </bottom>
      <diagonal/>
    </border>
    <border>
      <left style="thin">
        <color rgb="FF0E2841"/>
      </left>
      <right style="thin">
        <color rgb="FF0E2841"/>
      </right>
      <top style="thin">
        <color indexed="64"/>
      </top>
      <bottom style="medium">
        <color rgb="FF0E2841"/>
      </bottom>
      <diagonal/>
    </border>
    <border>
      <left style="thin">
        <color rgb="FF0E2841"/>
      </left>
      <right style="medium">
        <color rgb="FF0E2841"/>
      </right>
      <top style="thin">
        <color indexed="64"/>
      </top>
      <bottom style="medium">
        <color rgb="FF0E2841"/>
      </bottom>
      <diagonal/>
    </border>
    <border>
      <left/>
      <right/>
      <top style="medium">
        <color rgb="FF0E2841"/>
      </top>
      <bottom style="medium">
        <color rgb="FF0E2841"/>
      </bottom>
      <diagonal/>
    </border>
    <border>
      <left style="thin">
        <color rgb="FF0E2841"/>
      </left>
      <right style="double">
        <color rgb="FF0E2841"/>
      </right>
      <top style="thin">
        <color rgb="FF0E2841"/>
      </top>
      <bottom style="thin">
        <color rgb="FF0E2841"/>
      </bottom>
      <diagonal/>
    </border>
  </borders>
  <cellStyleXfs count="292">
    <xf numFmtId="0" fontId="0" fillId="0" borderId="0"/>
    <xf numFmtId="43" fontId="2" fillId="0" borderId="0" applyFont="0" applyFill="0" applyBorder="0" applyAlignment="0" applyProtection="0"/>
    <xf numFmtId="43" fontId="10" fillId="0" borderId="0" applyFont="0" applyFill="0" applyBorder="0" applyAlignment="0" applyProtection="0"/>
    <xf numFmtId="43" fontId="5" fillId="0" borderId="0" applyFont="0" applyFill="0" applyBorder="0" applyAlignment="0" applyProtection="0"/>
    <xf numFmtId="43" fontId="11" fillId="0" borderId="0" applyFont="0" applyFill="0" applyBorder="0" applyAlignment="0" applyProtection="0"/>
    <xf numFmtId="43" fontId="5" fillId="0" borderId="0" applyFont="0" applyFill="0" applyBorder="0" applyAlignment="0" applyProtection="0"/>
    <xf numFmtId="43" fontId="11" fillId="0" borderId="0" applyFont="0" applyFill="0" applyBorder="0" applyAlignment="0" applyProtection="0"/>
    <xf numFmtId="43" fontId="5" fillId="0" borderId="0" applyFont="0" applyFill="0" applyBorder="0" applyAlignment="0" applyProtection="0"/>
    <xf numFmtId="43" fontId="11" fillId="0" borderId="0" applyFont="0" applyFill="0" applyBorder="0" applyAlignment="0" applyProtection="0"/>
    <xf numFmtId="43" fontId="5" fillId="0" borderId="0" applyFont="0" applyFill="0" applyBorder="0" applyAlignment="0" applyProtection="0"/>
    <xf numFmtId="43" fontId="12" fillId="0" borderId="0" applyFont="0" applyFill="0" applyBorder="0" applyAlignment="0" applyProtection="0"/>
    <xf numFmtId="43" fontId="5" fillId="0" borderId="0" applyFont="0" applyFill="0" applyBorder="0" applyAlignment="0" applyProtection="0"/>
    <xf numFmtId="43" fontId="12" fillId="0" borderId="0" applyFont="0" applyFill="0" applyBorder="0" applyAlignment="0" applyProtection="0"/>
    <xf numFmtId="43" fontId="5" fillId="0" borderId="0" applyFont="0" applyFill="0" applyBorder="0" applyAlignment="0" applyProtection="0"/>
    <xf numFmtId="43" fontId="12" fillId="0" borderId="0" applyFont="0" applyFill="0" applyBorder="0" applyAlignment="0" applyProtection="0"/>
    <xf numFmtId="43" fontId="5" fillId="0" borderId="0" applyFont="0" applyFill="0" applyBorder="0" applyAlignment="0" applyProtection="0"/>
    <xf numFmtId="43" fontId="12"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 fillId="0" borderId="0" applyFont="0" applyFill="0" applyBorder="0" applyAlignment="0" applyProtection="0"/>
    <xf numFmtId="43" fontId="5" fillId="0" borderId="0" applyFont="0" applyFill="0" applyBorder="0" applyAlignment="0" applyProtection="0"/>
    <xf numFmtId="43" fontId="7" fillId="0" borderId="0" applyFont="0" applyFill="0" applyBorder="0" applyAlignment="0" applyProtection="0"/>
    <xf numFmtId="43" fontId="5" fillId="0" borderId="0" applyFont="0" applyFill="0" applyBorder="0" applyAlignment="0" applyProtection="0"/>
    <xf numFmtId="43" fontId="7" fillId="0" borderId="0" applyFont="0" applyFill="0" applyBorder="0" applyAlignment="0" applyProtection="0"/>
    <xf numFmtId="43" fontId="5" fillId="0" borderId="0" applyFont="0" applyFill="0" applyBorder="0" applyAlignment="0" applyProtection="0"/>
    <xf numFmtId="43" fontId="8" fillId="0" borderId="0" applyFont="0" applyFill="0" applyBorder="0" applyAlignment="0" applyProtection="0"/>
    <xf numFmtId="43" fontId="5" fillId="0" borderId="0" applyFont="0" applyFill="0" applyBorder="0" applyAlignment="0" applyProtection="0"/>
    <xf numFmtId="43" fontId="8" fillId="0" borderId="0" applyFont="0" applyFill="0" applyBorder="0" applyAlignment="0" applyProtection="0"/>
    <xf numFmtId="43" fontId="5" fillId="0" borderId="0" applyFont="0" applyFill="0" applyBorder="0" applyAlignment="0" applyProtection="0"/>
    <xf numFmtId="43" fontId="8"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10" fillId="0" borderId="0" applyFont="0" applyFill="0" applyBorder="0" applyAlignment="0" applyProtection="0"/>
    <xf numFmtId="43" fontId="5" fillId="0" borderId="0" applyFont="0" applyFill="0" applyBorder="0" applyAlignment="0" applyProtection="0"/>
    <xf numFmtId="0" fontId="6" fillId="0" borderId="0"/>
    <xf numFmtId="0" fontId="15" fillId="0" borderId="0"/>
    <xf numFmtId="0" fontId="6" fillId="0" borderId="0"/>
    <xf numFmtId="0" fontId="15" fillId="0" borderId="0"/>
    <xf numFmtId="0" fontId="6" fillId="0" borderId="0"/>
    <xf numFmtId="0" fontId="5" fillId="0" borderId="0"/>
    <xf numFmtId="0" fontId="6" fillId="0" borderId="0"/>
    <xf numFmtId="0" fontId="5" fillId="0" borderId="0"/>
    <xf numFmtId="0" fontId="5" fillId="0" borderId="0"/>
    <xf numFmtId="0" fontId="6" fillId="0" borderId="0"/>
    <xf numFmtId="0" fontId="15" fillId="0" borderId="0"/>
    <xf numFmtId="0" fontId="5" fillId="0" borderId="0"/>
    <xf numFmtId="0" fontId="6" fillId="0" borderId="0"/>
    <xf numFmtId="0" fontId="5" fillId="0" borderId="0"/>
    <xf numFmtId="0" fontId="15" fillId="0" borderId="0"/>
    <xf numFmtId="0" fontId="6" fillId="0" borderId="0"/>
    <xf numFmtId="0" fontId="5" fillId="0" borderId="0"/>
    <xf numFmtId="0" fontId="6" fillId="0" borderId="0"/>
    <xf numFmtId="0" fontId="5" fillId="0" borderId="0"/>
    <xf numFmtId="0" fontId="5" fillId="0" borderId="0"/>
    <xf numFmtId="0" fontId="6" fillId="0" borderId="0"/>
    <xf numFmtId="0" fontId="5" fillId="0" borderId="0"/>
    <xf numFmtId="0" fontId="6" fillId="0" borderId="0"/>
    <xf numFmtId="0" fontId="15" fillId="0" borderId="0"/>
    <xf numFmtId="0" fontId="6" fillId="0" borderId="0"/>
    <xf numFmtId="0" fontId="15" fillId="0" borderId="0"/>
    <xf numFmtId="0" fontId="5" fillId="0" borderId="0"/>
    <xf numFmtId="0" fontId="15" fillId="0" borderId="0"/>
    <xf numFmtId="0" fontId="15" fillId="0" borderId="0"/>
    <xf numFmtId="0" fontId="6" fillId="0" borderId="0"/>
    <xf numFmtId="0" fontId="5" fillId="0" borderId="0"/>
    <xf numFmtId="0" fontId="5" fillId="0" borderId="0"/>
    <xf numFmtId="0" fontId="6" fillId="0" borderId="0"/>
    <xf numFmtId="0" fontId="15" fillId="0" borderId="0"/>
    <xf numFmtId="0" fontId="5" fillId="0" borderId="0"/>
    <xf numFmtId="0" fontId="15" fillId="0" borderId="0"/>
    <xf numFmtId="0" fontId="11" fillId="0" borderId="0"/>
    <xf numFmtId="0" fontId="5" fillId="0" borderId="0"/>
    <xf numFmtId="0" fontId="12" fillId="0" borderId="0"/>
    <xf numFmtId="0" fontId="5" fillId="0" borderId="0"/>
    <xf numFmtId="0" fontId="6" fillId="0" borderId="0"/>
    <xf numFmtId="0" fontId="15" fillId="0" borderId="0"/>
    <xf numFmtId="0" fontId="6" fillId="0" borderId="0"/>
    <xf numFmtId="0" fontId="15" fillId="0" borderId="0"/>
    <xf numFmtId="0" fontId="5" fillId="0" borderId="0"/>
    <xf numFmtId="0" fontId="15" fillId="0" borderId="0"/>
    <xf numFmtId="0" fontId="15" fillId="0" borderId="0"/>
    <xf numFmtId="0" fontId="6" fillId="0" borderId="0"/>
    <xf numFmtId="0" fontId="5" fillId="0" borderId="0"/>
    <xf numFmtId="0" fontId="5" fillId="0" borderId="0"/>
    <xf numFmtId="0" fontId="15" fillId="0" borderId="0"/>
    <xf numFmtId="0" fontId="6" fillId="0" borderId="0"/>
    <xf numFmtId="0" fontId="15" fillId="0" borderId="0"/>
    <xf numFmtId="0" fontId="5" fillId="0" borderId="0"/>
    <xf numFmtId="0" fontId="15" fillId="0" borderId="0"/>
    <xf numFmtId="0" fontId="11" fillId="0" borderId="0"/>
    <xf numFmtId="0" fontId="5" fillId="0" borderId="0"/>
    <xf numFmtId="0" fontId="6" fillId="0" borderId="0"/>
    <xf numFmtId="0" fontId="5" fillId="0" borderId="0"/>
    <xf numFmtId="0" fontId="6" fillId="0" borderId="0"/>
    <xf numFmtId="0" fontId="5" fillId="0" borderId="0"/>
    <xf numFmtId="0" fontId="7" fillId="0" borderId="0"/>
    <xf numFmtId="0" fontId="5" fillId="0" borderId="0"/>
    <xf numFmtId="0" fontId="8" fillId="0" borderId="0"/>
    <xf numFmtId="0" fontId="5" fillId="0" borderId="0"/>
    <xf numFmtId="0" fontId="9" fillId="0" borderId="0"/>
    <xf numFmtId="0" fontId="5" fillId="0" borderId="0"/>
    <xf numFmtId="0" fontId="10" fillId="0" borderId="0"/>
    <xf numFmtId="0" fontId="5" fillId="0" borderId="0"/>
    <xf numFmtId="0" fontId="6" fillId="0" borderId="0"/>
    <xf numFmtId="0" fontId="5" fillId="0" borderId="0"/>
    <xf numFmtId="0" fontId="6" fillId="0" borderId="0"/>
    <xf numFmtId="0" fontId="5" fillId="0" borderId="0"/>
    <xf numFmtId="9" fontId="2" fillId="0" borderId="0" applyFont="0" applyFill="0" applyBorder="0" applyAlignment="0" applyProtection="0"/>
    <xf numFmtId="9" fontId="10" fillId="0" borderId="0" applyFont="0" applyFill="0" applyBorder="0" applyAlignment="0" applyProtection="0"/>
    <xf numFmtId="9" fontId="5" fillId="0" borderId="0" applyFont="0" applyFill="0" applyBorder="0" applyAlignment="0" applyProtection="0"/>
    <xf numFmtId="9" fontId="11" fillId="0" borderId="0" applyFont="0" applyFill="0" applyBorder="0" applyAlignment="0" applyProtection="0"/>
    <xf numFmtId="9" fontId="5" fillId="0" borderId="0" applyFont="0" applyFill="0" applyBorder="0" applyAlignment="0" applyProtection="0"/>
    <xf numFmtId="9" fontId="11" fillId="0" borderId="0" applyFont="0" applyFill="0" applyBorder="0" applyAlignment="0" applyProtection="0"/>
    <xf numFmtId="9" fontId="5" fillId="0" borderId="0" applyFont="0" applyFill="0" applyBorder="0" applyAlignment="0" applyProtection="0"/>
    <xf numFmtId="9" fontId="11" fillId="0" borderId="0" applyFont="0" applyFill="0" applyBorder="0" applyAlignment="0" applyProtection="0"/>
    <xf numFmtId="9" fontId="5" fillId="0" borderId="0" applyFont="0" applyFill="0" applyBorder="0" applyAlignment="0" applyProtection="0"/>
    <xf numFmtId="9" fontId="12" fillId="0" borderId="0" applyFont="0" applyFill="0" applyBorder="0" applyAlignment="0" applyProtection="0"/>
    <xf numFmtId="9" fontId="5" fillId="0" borderId="0" applyFont="0" applyFill="0" applyBorder="0" applyAlignment="0" applyProtection="0"/>
    <xf numFmtId="9" fontId="12" fillId="0" borderId="0" applyFont="0" applyFill="0" applyBorder="0" applyAlignment="0" applyProtection="0"/>
    <xf numFmtId="9" fontId="5" fillId="0" borderId="0" applyFont="0" applyFill="0" applyBorder="0" applyAlignment="0" applyProtection="0"/>
    <xf numFmtId="9" fontId="12" fillId="0" borderId="0" applyFont="0" applyFill="0" applyBorder="0" applyAlignment="0" applyProtection="0"/>
    <xf numFmtId="9" fontId="5" fillId="0" borderId="0" applyFont="0" applyFill="0" applyBorder="0" applyAlignment="0" applyProtection="0"/>
    <xf numFmtId="9" fontId="12"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7" fillId="0" borderId="0" applyFont="0" applyFill="0" applyBorder="0" applyAlignment="0" applyProtection="0"/>
    <xf numFmtId="9" fontId="5" fillId="0" borderId="0" applyFont="0" applyFill="0" applyBorder="0" applyAlignment="0" applyProtection="0"/>
    <xf numFmtId="9" fontId="7" fillId="0" borderId="0" applyFont="0" applyFill="0" applyBorder="0" applyAlignment="0" applyProtection="0"/>
    <xf numFmtId="9" fontId="5" fillId="0" borderId="0" applyFont="0" applyFill="0" applyBorder="0" applyAlignment="0" applyProtection="0"/>
    <xf numFmtId="9" fontId="7" fillId="0" borderId="0" applyFont="0" applyFill="0" applyBorder="0" applyAlignment="0" applyProtection="0"/>
    <xf numFmtId="9" fontId="5" fillId="0" borderId="0" applyFont="0" applyFill="0" applyBorder="0" applyAlignment="0" applyProtection="0"/>
    <xf numFmtId="9" fontId="8" fillId="0" borderId="0" applyFont="0" applyFill="0" applyBorder="0" applyAlignment="0" applyProtection="0"/>
    <xf numFmtId="9" fontId="5" fillId="0" borderId="0" applyFont="0" applyFill="0" applyBorder="0" applyAlignment="0" applyProtection="0"/>
    <xf numFmtId="9" fontId="8" fillId="0" borderId="0" applyFont="0" applyFill="0" applyBorder="0" applyAlignment="0" applyProtection="0"/>
    <xf numFmtId="9" fontId="5" fillId="0" borderId="0" applyFont="0" applyFill="0" applyBorder="0" applyAlignment="0" applyProtection="0"/>
    <xf numFmtId="9" fontId="8" fillId="0" borderId="0" applyFont="0" applyFill="0" applyBorder="0" applyAlignment="0" applyProtection="0"/>
    <xf numFmtId="9" fontId="5" fillId="0" borderId="0" applyFont="0" applyFill="0" applyBorder="0" applyAlignment="0" applyProtection="0"/>
    <xf numFmtId="9" fontId="9" fillId="0" borderId="0" applyFont="0" applyFill="0" applyBorder="0" applyAlignment="0" applyProtection="0"/>
    <xf numFmtId="9" fontId="5" fillId="0" borderId="0" applyFont="0" applyFill="0" applyBorder="0" applyAlignment="0" applyProtection="0"/>
    <xf numFmtId="9" fontId="10" fillId="0" borderId="0" applyFont="0" applyFill="0" applyBorder="0" applyAlignment="0" applyProtection="0"/>
    <xf numFmtId="9" fontId="5" fillId="0" borderId="0" applyFont="0" applyFill="0" applyBorder="0" applyAlignment="0" applyProtection="0"/>
    <xf numFmtId="0" fontId="1" fillId="0" borderId="0"/>
    <xf numFmtId="0" fontId="16" fillId="0" borderId="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2" fillId="0" borderId="0"/>
    <xf numFmtId="0" fontId="1" fillId="0" borderId="0"/>
    <xf numFmtId="0" fontId="2"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2" fillId="0" borderId="0"/>
    <xf numFmtId="0" fontId="2" fillId="0" borderId="0"/>
    <xf numFmtId="0" fontId="2"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2" fillId="0" borderId="0"/>
    <xf numFmtId="0" fontId="1" fillId="0" borderId="0"/>
    <xf numFmtId="0" fontId="2" fillId="0" borderId="0"/>
    <xf numFmtId="0" fontId="1" fillId="0" borderId="0"/>
    <xf numFmtId="0" fontId="1" fillId="0" borderId="0"/>
    <xf numFmtId="0" fontId="2" fillId="0" borderId="0"/>
    <xf numFmtId="0" fontId="2" fillId="0" borderId="0"/>
    <xf numFmtId="0" fontId="2" fillId="0" borderId="0"/>
    <xf numFmtId="0" fontId="2" fillId="0" borderId="0"/>
    <xf numFmtId="0" fontId="1" fillId="0" borderId="0"/>
    <xf numFmtId="0" fontId="2" fillId="0" borderId="0"/>
    <xf numFmtId="0" fontId="1" fillId="0" borderId="0"/>
    <xf numFmtId="0" fontId="2" fillId="0" borderId="0"/>
    <xf numFmtId="0" fontId="2" fillId="0" borderId="0"/>
    <xf numFmtId="0" fontId="2" fillId="0" borderId="0"/>
    <xf numFmtId="0" fontId="2" fillId="0" borderId="0"/>
    <xf numFmtId="0" fontId="2" fillId="0" borderId="0"/>
    <xf numFmtId="0" fontId="1" fillId="0" borderId="0"/>
    <xf numFmtId="0" fontId="2" fillId="0" borderId="0"/>
    <xf numFmtId="0" fontId="1" fillId="0" borderId="0"/>
    <xf numFmtId="0" fontId="2" fillId="0" borderId="0"/>
    <xf numFmtId="0" fontId="1" fillId="0" borderId="0"/>
    <xf numFmtId="0" fontId="1" fillId="0" borderId="0"/>
    <xf numFmtId="0" fontId="2" fillId="0" borderId="0"/>
    <xf numFmtId="0" fontId="2" fillId="0" borderId="0"/>
    <xf numFmtId="0" fontId="2" fillId="0" borderId="0"/>
    <xf numFmtId="0" fontId="1" fillId="0" borderId="0"/>
    <xf numFmtId="0" fontId="2" fillId="0" borderId="0"/>
    <xf numFmtId="0" fontId="1" fillId="0" borderId="0"/>
    <xf numFmtId="0" fontId="2"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0" borderId="0"/>
    <xf numFmtId="0" fontId="2" fillId="0" borderId="0"/>
    <xf numFmtId="0" fontId="17" fillId="0" borderId="0" applyBorder="0">
      <protection locked="0"/>
    </xf>
  </cellStyleXfs>
  <cellXfs count="497">
    <xf numFmtId="0" fontId="0" fillId="0" borderId="0" xfId="0"/>
    <xf numFmtId="0" fontId="33" fillId="13" borderId="62" xfId="0" applyFont="1" applyFill="1" applyBorder="1" applyAlignment="1" applyProtection="1">
      <alignment horizontal="center" vertical="center"/>
      <protection locked="0"/>
    </xf>
    <xf numFmtId="0" fontId="33" fillId="13" borderId="35" xfId="0" applyFont="1" applyFill="1" applyBorder="1" applyAlignment="1" applyProtection="1">
      <alignment horizontal="center" vertical="center"/>
      <protection locked="0"/>
    </xf>
    <xf numFmtId="0" fontId="33" fillId="13" borderId="64" xfId="0" applyFont="1" applyFill="1" applyBorder="1" applyAlignment="1" applyProtection="1">
      <alignment horizontal="center" vertical="center"/>
      <protection locked="0"/>
    </xf>
    <xf numFmtId="0" fontId="33" fillId="5" borderId="62" xfId="103" applyFont="1" applyFill="1" applyBorder="1" applyAlignment="1" applyProtection="1">
      <alignment horizontal="center" vertical="center"/>
      <protection locked="0"/>
    </xf>
    <xf numFmtId="0" fontId="33" fillId="5" borderId="35" xfId="103" applyFont="1" applyFill="1" applyBorder="1" applyAlignment="1" applyProtection="1">
      <alignment horizontal="center" vertical="center"/>
      <protection locked="0"/>
    </xf>
    <xf numFmtId="0" fontId="33" fillId="5" borderId="64" xfId="103" applyFont="1" applyFill="1" applyBorder="1" applyAlignment="1" applyProtection="1">
      <alignment horizontal="center" vertical="center"/>
      <protection locked="0"/>
    </xf>
    <xf numFmtId="1" fontId="33" fillId="0" borderId="41" xfId="0" applyNumberFormat="1" applyFont="1" applyBorder="1" applyAlignment="1" applyProtection="1">
      <alignment horizontal="center" vertical="center"/>
      <protection locked="0"/>
    </xf>
    <xf numFmtId="0" fontId="23" fillId="0" borderId="40" xfId="0" applyFont="1" applyBorder="1" applyAlignment="1" applyProtection="1">
      <alignment horizontal="center" vertical="center"/>
      <protection locked="0"/>
    </xf>
    <xf numFmtId="0" fontId="23" fillId="0" borderId="43" xfId="0" applyFont="1" applyBorder="1" applyAlignment="1" applyProtection="1">
      <alignment horizontal="center" vertical="center"/>
      <protection locked="0"/>
    </xf>
    <xf numFmtId="0" fontId="19" fillId="13" borderId="40" xfId="103" applyFont="1" applyFill="1" applyBorder="1" applyAlignment="1" applyProtection="1">
      <alignment horizontal="center" vertical="center"/>
      <protection locked="0"/>
    </xf>
    <xf numFmtId="0" fontId="19" fillId="5" borderId="40" xfId="103" applyFont="1" applyFill="1" applyBorder="1" applyAlignment="1" applyProtection="1">
      <alignment horizontal="center" vertical="center"/>
      <protection locked="0"/>
    </xf>
    <xf numFmtId="0" fontId="19" fillId="13" borderId="39" xfId="103" applyFont="1" applyFill="1" applyBorder="1" applyAlignment="1" applyProtection="1">
      <alignment horizontal="center" vertical="center"/>
      <protection locked="0"/>
    </xf>
    <xf numFmtId="0" fontId="19" fillId="13" borderId="43" xfId="103" applyFont="1" applyFill="1" applyBorder="1" applyAlignment="1" applyProtection="1">
      <alignment horizontal="center" vertical="center"/>
      <protection locked="0"/>
    </xf>
    <xf numFmtId="0" fontId="19" fillId="5" borderId="43" xfId="103" applyFont="1" applyFill="1" applyBorder="1" applyAlignment="1" applyProtection="1">
      <alignment horizontal="center" vertical="center"/>
      <protection locked="0"/>
    </xf>
    <xf numFmtId="0" fontId="19" fillId="13" borderId="42" xfId="103" applyFont="1" applyFill="1" applyBorder="1" applyAlignment="1" applyProtection="1">
      <alignment horizontal="center" vertical="center"/>
      <protection locked="0"/>
    </xf>
    <xf numFmtId="0" fontId="19" fillId="17" borderId="40" xfId="103" applyFont="1" applyFill="1" applyBorder="1" applyAlignment="1" applyProtection="1">
      <alignment horizontal="center" vertical="center"/>
      <protection locked="0"/>
    </xf>
    <xf numFmtId="0" fontId="19" fillId="17" borderId="43" xfId="103" applyFont="1" applyFill="1" applyBorder="1" applyAlignment="1" applyProtection="1">
      <alignment horizontal="center" vertical="center"/>
      <protection locked="0"/>
    </xf>
    <xf numFmtId="164" fontId="34" fillId="15" borderId="40" xfId="0" applyNumberFormat="1" applyFont="1" applyFill="1" applyBorder="1" applyAlignment="1" applyProtection="1">
      <alignment horizontal="center" vertical="center"/>
      <protection locked="0"/>
    </xf>
    <xf numFmtId="164" fontId="34" fillId="15" borderId="43" xfId="0" applyNumberFormat="1" applyFont="1" applyFill="1" applyBorder="1" applyAlignment="1" applyProtection="1">
      <alignment horizontal="center" vertical="center"/>
      <protection locked="0"/>
    </xf>
    <xf numFmtId="164" fontId="29" fillId="0" borderId="75" xfId="0" applyNumberFormat="1" applyFont="1" applyBorder="1" applyAlignment="1" applyProtection="1">
      <alignment vertical="center"/>
      <protection locked="0"/>
    </xf>
    <xf numFmtId="164" fontId="34" fillId="14" borderId="48" xfId="0" applyNumberFormat="1" applyFont="1" applyFill="1" applyBorder="1" applyAlignment="1" applyProtection="1">
      <alignment horizontal="center" vertical="center"/>
      <protection locked="0"/>
    </xf>
    <xf numFmtId="164" fontId="34" fillId="14" borderId="76" xfId="0" applyNumberFormat="1" applyFont="1" applyFill="1" applyBorder="1" applyAlignment="1" applyProtection="1">
      <alignment horizontal="center" vertical="center"/>
      <protection locked="0"/>
    </xf>
    <xf numFmtId="164" fontId="29" fillId="0" borderId="75" xfId="0" applyNumberFormat="1" applyFont="1" applyBorder="1" applyAlignment="1" applyProtection="1">
      <alignment horizontal="center" vertical="center"/>
      <protection locked="0"/>
    </xf>
    <xf numFmtId="0" fontId="23" fillId="0" borderId="40" xfId="0" applyFont="1" applyBorder="1" applyAlignment="1" applyProtection="1">
      <alignment vertical="center"/>
      <protection locked="0"/>
    </xf>
    <xf numFmtId="0" fontId="23" fillId="0" borderId="43" xfId="0" applyFont="1" applyBorder="1" applyAlignment="1" applyProtection="1">
      <alignment vertical="center"/>
      <protection locked="0"/>
    </xf>
    <xf numFmtId="0" fontId="19" fillId="15" borderId="40" xfId="0" applyFont="1" applyFill="1" applyBorder="1" applyAlignment="1" applyProtection="1">
      <alignment horizontal="center" vertical="center"/>
      <protection locked="0"/>
    </xf>
    <xf numFmtId="169" fontId="33" fillId="13" borderId="61" xfId="0" applyNumberFormat="1" applyFont="1" applyFill="1" applyBorder="1" applyAlignment="1" applyProtection="1">
      <alignment horizontal="center" vertical="center"/>
      <protection locked="0"/>
    </xf>
    <xf numFmtId="169" fontId="33" fillId="13" borderId="34" xfId="0" applyNumberFormat="1" applyFont="1" applyFill="1" applyBorder="1" applyAlignment="1" applyProtection="1">
      <alignment horizontal="center" vertical="center"/>
      <protection locked="0"/>
    </xf>
    <xf numFmtId="169" fontId="33" fillId="13" borderId="63" xfId="0" applyNumberFormat="1" applyFont="1" applyFill="1" applyBorder="1" applyAlignment="1" applyProtection="1">
      <alignment horizontal="center" vertical="center"/>
      <protection locked="0"/>
    </xf>
    <xf numFmtId="169" fontId="33" fillId="5" borderId="61" xfId="103" applyNumberFormat="1" applyFont="1" applyFill="1" applyBorder="1" applyAlignment="1" applyProtection="1">
      <alignment horizontal="center" vertical="center"/>
      <protection locked="0"/>
    </xf>
    <xf numFmtId="169" fontId="33" fillId="5" borderId="34" xfId="103" applyNumberFormat="1" applyFont="1" applyFill="1" applyBorder="1" applyAlignment="1" applyProtection="1">
      <alignment horizontal="center" vertical="center"/>
      <protection locked="0"/>
    </xf>
    <xf numFmtId="169" fontId="33" fillId="5" borderId="63" xfId="103" applyNumberFormat="1" applyFont="1" applyFill="1" applyBorder="1" applyAlignment="1" applyProtection="1">
      <alignment horizontal="center" vertical="center"/>
      <protection locked="0"/>
    </xf>
    <xf numFmtId="169" fontId="33" fillId="0" borderId="40" xfId="0" applyNumberFormat="1" applyFont="1" applyBorder="1" applyAlignment="1" applyProtection="1">
      <alignment horizontal="center" vertical="center"/>
      <protection locked="0"/>
    </xf>
    <xf numFmtId="2" fontId="33" fillId="0" borderId="0" xfId="0" applyNumberFormat="1" applyFont="1" applyAlignment="1">
      <alignment horizontal="center" vertical="center"/>
    </xf>
    <xf numFmtId="0" fontId="33" fillId="0" borderId="0" xfId="0" applyFont="1" applyAlignment="1">
      <alignment horizontal="center" vertical="center"/>
    </xf>
    <xf numFmtId="0" fontId="21" fillId="0" borderId="0" xfId="0" applyFont="1" applyAlignment="1">
      <alignment horizontal="center" vertical="center"/>
    </xf>
    <xf numFmtId="0" fontId="18" fillId="16" borderId="0" xfId="0" applyFont="1" applyFill="1" applyAlignment="1">
      <alignment vertical="center"/>
    </xf>
    <xf numFmtId="0" fontId="18" fillId="16" borderId="0" xfId="0" applyFont="1" applyFill="1" applyAlignment="1">
      <alignment horizontal="center" vertical="center"/>
    </xf>
    <xf numFmtId="0" fontId="19" fillId="16" borderId="0" xfId="0" applyFont="1" applyFill="1" applyAlignment="1">
      <alignment horizontal="center" vertical="center"/>
    </xf>
    <xf numFmtId="0" fontId="18" fillId="0" borderId="0" xfId="0" applyFont="1" applyAlignment="1">
      <alignment vertical="center"/>
    </xf>
    <xf numFmtId="0" fontId="18" fillId="0" borderId="0" xfId="0" applyFont="1" applyAlignment="1">
      <alignment horizontal="center" vertical="center"/>
    </xf>
    <xf numFmtId="0" fontId="19" fillId="0" borderId="0" xfId="0" applyFont="1" applyAlignment="1">
      <alignment horizontal="center" vertical="center"/>
    </xf>
    <xf numFmtId="0" fontId="20" fillId="0" borderId="0" xfId="0" applyFont="1" applyAlignment="1">
      <alignment vertical="center"/>
    </xf>
    <xf numFmtId="0" fontId="21" fillId="8" borderId="116" xfId="0" applyFont="1" applyFill="1" applyBorder="1" applyAlignment="1">
      <alignment vertical="center"/>
    </xf>
    <xf numFmtId="0" fontId="21" fillId="8" borderId="48" xfId="0" applyFont="1" applyFill="1" applyBorder="1" applyAlignment="1">
      <alignment vertical="center"/>
    </xf>
    <xf numFmtId="0" fontId="20" fillId="16" borderId="0" xfId="0" applyFont="1" applyFill="1" applyAlignment="1">
      <alignment vertical="center"/>
    </xf>
    <xf numFmtId="0" fontId="21" fillId="0" borderId="0" xfId="0" applyFont="1" applyAlignment="1">
      <alignment vertical="center"/>
    </xf>
    <xf numFmtId="0" fontId="21" fillId="16" borderId="0" xfId="0" applyFont="1" applyFill="1" applyAlignment="1">
      <alignment vertical="center"/>
    </xf>
    <xf numFmtId="0" fontId="22" fillId="16" borderId="0" xfId="0" applyFont="1" applyFill="1" applyAlignment="1">
      <alignment vertical="center"/>
    </xf>
    <xf numFmtId="0" fontId="22" fillId="0" borderId="0" xfId="0" applyFont="1" applyAlignment="1">
      <alignment horizontal="center" vertical="center"/>
    </xf>
    <xf numFmtId="0" fontId="22" fillId="0" borderId="0" xfId="0" applyFont="1" applyAlignment="1">
      <alignment vertical="center"/>
    </xf>
    <xf numFmtId="0" fontId="22" fillId="0" borderId="97" xfId="0" applyFont="1" applyBorder="1" applyAlignment="1">
      <alignment vertical="center"/>
    </xf>
    <xf numFmtId="0" fontId="21" fillId="0" borderId="97" xfId="0" applyFont="1" applyBorder="1" applyAlignment="1">
      <alignment vertical="center"/>
    </xf>
    <xf numFmtId="0" fontId="21" fillId="0" borderId="97" xfId="0" applyFont="1" applyBorder="1" applyAlignment="1">
      <alignment horizontal="left" vertical="center"/>
    </xf>
    <xf numFmtId="0" fontId="24" fillId="0" borderId="0" xfId="0" applyFont="1" applyAlignment="1">
      <alignment vertical="center"/>
    </xf>
    <xf numFmtId="0" fontId="25" fillId="0" borderId="0" xfId="0" applyFont="1" applyAlignment="1">
      <alignment horizontal="center" vertical="center"/>
    </xf>
    <xf numFmtId="0" fontId="26" fillId="16" borderId="0" xfId="0" applyFont="1" applyFill="1" applyAlignment="1">
      <alignment horizontal="center" vertical="center"/>
    </xf>
    <xf numFmtId="0" fontId="26" fillId="0" borderId="0" xfId="0" applyFont="1" applyAlignment="1">
      <alignment horizontal="center" vertical="center"/>
    </xf>
    <xf numFmtId="0" fontId="23" fillId="16" borderId="0" xfId="0" applyFont="1" applyFill="1" applyAlignment="1">
      <alignment horizontal="center" vertical="center" wrapText="1"/>
    </xf>
    <xf numFmtId="0" fontId="21" fillId="0" borderId="51" xfId="0" applyFont="1" applyBorder="1" applyAlignment="1">
      <alignment horizontal="center" vertical="center" wrapText="1"/>
    </xf>
    <xf numFmtId="165" fontId="21" fillId="0" borderId="66" xfId="0" applyNumberFormat="1" applyFont="1" applyBorder="1" applyAlignment="1">
      <alignment horizontal="center" vertical="center" wrapText="1"/>
    </xf>
    <xf numFmtId="0" fontId="23" fillId="0" borderId="67" xfId="0" applyFont="1" applyBorder="1" applyAlignment="1">
      <alignment horizontal="center" vertical="center" wrapText="1"/>
    </xf>
    <xf numFmtId="0" fontId="21" fillId="0" borderId="39" xfId="0" applyFont="1" applyBorder="1" applyAlignment="1">
      <alignment horizontal="center" vertical="center" wrapText="1"/>
    </xf>
    <xf numFmtId="165" fontId="21" fillId="0" borderId="40" xfId="0" applyNumberFormat="1" applyFont="1" applyBorder="1" applyAlignment="1">
      <alignment horizontal="center" vertical="center" wrapText="1"/>
    </xf>
    <xf numFmtId="0" fontId="23" fillId="0" borderId="41" xfId="0" applyFont="1" applyBorder="1" applyAlignment="1">
      <alignment horizontal="center" vertical="center" wrapText="1"/>
    </xf>
    <xf numFmtId="0" fontId="23" fillId="0" borderId="0" xfId="0" applyFont="1" applyAlignment="1">
      <alignment horizontal="center" vertical="center" wrapText="1"/>
    </xf>
    <xf numFmtId="9" fontId="24" fillId="0" borderId="45" xfId="0" applyNumberFormat="1" applyFont="1" applyBorder="1" applyAlignment="1">
      <alignment horizontal="center" vertical="center" wrapText="1"/>
    </xf>
    <xf numFmtId="0" fontId="23" fillId="0" borderId="46" xfId="0" applyFont="1" applyBorder="1" applyAlignment="1">
      <alignment vertical="center" wrapText="1"/>
    </xf>
    <xf numFmtId="0" fontId="23" fillId="0" borderId="47" xfId="0" applyFont="1" applyBorder="1" applyAlignment="1">
      <alignment vertical="center" wrapText="1"/>
    </xf>
    <xf numFmtId="9" fontId="24" fillId="11" borderId="39" xfId="0" applyNumberFormat="1" applyFont="1" applyFill="1" applyBorder="1" applyAlignment="1">
      <alignment horizontal="center" vertical="center" wrapText="1"/>
    </xf>
    <xf numFmtId="0" fontId="23" fillId="12" borderId="40" xfId="0" applyFont="1" applyFill="1" applyBorder="1" applyAlignment="1">
      <alignment vertical="center" wrapText="1"/>
    </xf>
    <xf numFmtId="0" fontId="23" fillId="12" borderId="41" xfId="0" applyFont="1" applyFill="1" applyBorder="1" applyAlignment="1">
      <alignment vertical="center" wrapText="1"/>
    </xf>
    <xf numFmtId="0" fontId="19" fillId="8" borderId="27" xfId="0" applyFont="1" applyFill="1" applyBorder="1" applyAlignment="1">
      <alignment horizontal="center" vertical="center"/>
    </xf>
    <xf numFmtId="168" fontId="18" fillId="3" borderId="40" xfId="0" applyNumberFormat="1" applyFont="1" applyFill="1" applyBorder="1" applyAlignment="1">
      <alignment horizontal="center" vertical="center"/>
    </xf>
    <xf numFmtId="0" fontId="18" fillId="3" borderId="41" xfId="0" applyFont="1" applyFill="1" applyBorder="1" applyAlignment="1">
      <alignment horizontal="center" vertical="center"/>
    </xf>
    <xf numFmtId="168" fontId="18" fillId="4" borderId="40" xfId="0" applyNumberFormat="1" applyFont="1" applyFill="1" applyBorder="1" applyAlignment="1">
      <alignment horizontal="center" vertical="center"/>
    </xf>
    <xf numFmtId="0" fontId="18" fillId="4" borderId="41" xfId="0" applyFont="1" applyFill="1" applyBorder="1" applyAlignment="1">
      <alignment horizontal="center" vertical="center"/>
    </xf>
    <xf numFmtId="168" fontId="18" fillId="10" borderId="40" xfId="0" applyNumberFormat="1" applyFont="1" applyFill="1" applyBorder="1" applyAlignment="1">
      <alignment horizontal="center" vertical="center"/>
    </xf>
    <xf numFmtId="0" fontId="18" fillId="10" borderId="41" xfId="0" applyFont="1" applyFill="1" applyBorder="1" applyAlignment="1">
      <alignment horizontal="center" vertical="center"/>
    </xf>
    <xf numFmtId="0" fontId="19" fillId="8" borderId="29" xfId="0" applyFont="1" applyFill="1" applyBorder="1" applyAlignment="1">
      <alignment horizontal="center" vertical="center"/>
    </xf>
    <xf numFmtId="0" fontId="18" fillId="16" borderId="39" xfId="0" applyFont="1" applyFill="1" applyBorder="1" applyAlignment="1">
      <alignment vertical="center"/>
    </xf>
    <xf numFmtId="0" fontId="33" fillId="0" borderId="32" xfId="0" applyFont="1" applyBorder="1" applyAlignment="1">
      <alignment horizontal="center" vertical="center"/>
    </xf>
    <xf numFmtId="0" fontId="33" fillId="0" borderId="35" xfId="0" applyFont="1" applyBorder="1" applyAlignment="1">
      <alignment horizontal="center" vertical="center"/>
    </xf>
    <xf numFmtId="0" fontId="33" fillId="0" borderId="38" xfId="0" applyFont="1" applyBorder="1" applyAlignment="1">
      <alignment horizontal="center" vertical="center"/>
    </xf>
    <xf numFmtId="169" fontId="23" fillId="16" borderId="48" xfId="0" applyNumberFormat="1" applyFont="1" applyFill="1" applyBorder="1" applyAlignment="1">
      <alignment vertical="center" wrapText="1"/>
    </xf>
    <xf numFmtId="0" fontId="23" fillId="16" borderId="47" xfId="0" applyFont="1" applyFill="1" applyBorder="1" applyAlignment="1">
      <alignment vertical="center" wrapText="1"/>
    </xf>
    <xf numFmtId="0" fontId="23" fillId="16" borderId="51" xfId="0" applyFont="1" applyFill="1" applyBorder="1" applyAlignment="1">
      <alignment vertical="center" wrapText="1"/>
    </xf>
    <xf numFmtId="0" fontId="30" fillId="0" borderId="0" xfId="0" applyFont="1" applyAlignment="1">
      <alignment horizontal="center" vertical="center"/>
    </xf>
    <xf numFmtId="0" fontId="33" fillId="0" borderId="136" xfId="0" applyFont="1" applyBorder="1" applyAlignment="1">
      <alignment horizontal="center" vertical="center"/>
    </xf>
    <xf numFmtId="9" fontId="20" fillId="0" borderId="39" xfId="0" applyNumberFormat="1" applyFont="1" applyBorder="1" applyAlignment="1">
      <alignment horizontal="center" vertical="center" wrapText="1"/>
    </xf>
    <xf numFmtId="0" fontId="18" fillId="0" borderId="130" xfId="0" applyFont="1" applyBorder="1" applyAlignment="1">
      <alignment vertical="center"/>
    </xf>
    <xf numFmtId="0" fontId="18" fillId="0" borderId="131" xfId="0" applyFont="1" applyBorder="1" applyAlignment="1">
      <alignment vertical="center"/>
    </xf>
    <xf numFmtId="0" fontId="19" fillId="0" borderId="132" xfId="0" applyFont="1" applyBorder="1" applyAlignment="1">
      <alignment horizontal="center" vertical="center"/>
    </xf>
    <xf numFmtId="0" fontId="23" fillId="0" borderId="55" xfId="0" applyFont="1" applyBorder="1" applyAlignment="1">
      <alignment vertical="center" wrapText="1"/>
    </xf>
    <xf numFmtId="0" fontId="23" fillId="0" borderId="56" xfId="0" applyFont="1" applyBorder="1" applyAlignment="1">
      <alignment vertical="center" wrapText="1"/>
    </xf>
    <xf numFmtId="0" fontId="23" fillId="0" borderId="57" xfId="0" applyFont="1" applyBorder="1" applyAlignment="1">
      <alignment vertical="center" wrapText="1"/>
    </xf>
    <xf numFmtId="0" fontId="27" fillId="15" borderId="22" xfId="0" applyFont="1" applyFill="1" applyBorder="1" applyAlignment="1">
      <alignment horizontal="center" vertical="center"/>
    </xf>
    <xf numFmtId="0" fontId="25" fillId="16" borderId="0" xfId="0" applyFont="1" applyFill="1" applyAlignment="1">
      <alignment horizontal="center" vertical="center"/>
    </xf>
    <xf numFmtId="0" fontId="35" fillId="0" borderId="40" xfId="0" applyFont="1" applyBorder="1" applyAlignment="1" applyProtection="1">
      <alignment horizontal="center" vertical="center"/>
      <protection locked="0"/>
    </xf>
    <xf numFmtId="0" fontId="35" fillId="0" borderId="43" xfId="0" applyFont="1" applyBorder="1" applyAlignment="1" applyProtection="1">
      <alignment horizontal="center" vertical="center"/>
      <protection locked="0"/>
    </xf>
    <xf numFmtId="0" fontId="34" fillId="16" borderId="0" xfId="0" applyFont="1" applyFill="1" applyAlignment="1" applyProtection="1">
      <alignment vertical="center"/>
      <protection hidden="1"/>
    </xf>
    <xf numFmtId="0" fontId="34" fillId="0" borderId="0" xfId="0" applyFont="1" applyAlignment="1" applyProtection="1">
      <alignment vertical="center"/>
      <protection hidden="1"/>
    </xf>
    <xf numFmtId="0" fontId="34" fillId="0" borderId="0" xfId="0" applyFont="1" applyAlignment="1" applyProtection="1">
      <alignment horizontal="center" vertical="center"/>
      <protection hidden="1"/>
    </xf>
    <xf numFmtId="49" fontId="34" fillId="0" borderId="0" xfId="0" applyNumberFormat="1" applyFont="1" applyAlignment="1" applyProtection="1">
      <alignment horizontal="center" vertical="center"/>
      <protection hidden="1"/>
    </xf>
    <xf numFmtId="2" fontId="19" fillId="0" borderId="0" xfId="0" applyNumberFormat="1" applyFont="1" applyAlignment="1" applyProtection="1">
      <alignment horizontal="center" vertical="center"/>
      <protection hidden="1"/>
    </xf>
    <xf numFmtId="0" fontId="34" fillId="16" borderId="0" xfId="0" applyFont="1" applyFill="1" applyAlignment="1" applyProtection="1">
      <alignment horizontal="center" vertical="center"/>
      <protection hidden="1"/>
    </xf>
    <xf numFmtId="49" fontId="34" fillId="16" borderId="0" xfId="0" applyNumberFormat="1" applyFont="1" applyFill="1" applyAlignment="1" applyProtection="1">
      <alignment horizontal="center" vertical="center"/>
      <protection hidden="1"/>
    </xf>
    <xf numFmtId="2" fontId="19" fillId="16" borderId="0" xfId="0" applyNumberFormat="1" applyFont="1" applyFill="1" applyAlignment="1" applyProtection="1">
      <alignment horizontal="center" vertical="center"/>
      <protection hidden="1"/>
    </xf>
    <xf numFmtId="0" fontId="34" fillId="0" borderId="4" xfId="0" applyFont="1" applyBorder="1" applyAlignment="1" applyProtection="1">
      <alignment vertical="center"/>
      <protection hidden="1"/>
    </xf>
    <xf numFmtId="0" fontId="25" fillId="0" borderId="0" xfId="145" applyFont="1" applyAlignment="1" applyProtection="1">
      <alignment vertical="center"/>
      <protection hidden="1"/>
    </xf>
    <xf numFmtId="0" fontId="34" fillId="0" borderId="1" xfId="0" applyFont="1" applyBorder="1" applyAlignment="1" applyProtection="1">
      <alignment vertical="center"/>
      <protection hidden="1"/>
    </xf>
    <xf numFmtId="2" fontId="25" fillId="8" borderId="41" xfId="0" applyNumberFormat="1" applyFont="1" applyFill="1" applyBorder="1" applyAlignment="1" applyProtection="1">
      <alignment horizontal="center" vertical="center"/>
      <protection hidden="1"/>
    </xf>
    <xf numFmtId="1" fontId="25" fillId="8" borderId="40" xfId="0" applyNumberFormat="1" applyFont="1" applyFill="1" applyBorder="1" applyAlignment="1" applyProtection="1">
      <alignment horizontal="center" vertical="center"/>
      <protection hidden="1"/>
    </xf>
    <xf numFmtId="0" fontId="19" fillId="0" borderId="0" xfId="0" applyFont="1" applyAlignment="1" applyProtection="1">
      <alignment vertical="center"/>
      <protection hidden="1"/>
    </xf>
    <xf numFmtId="0" fontId="25" fillId="8" borderId="39" xfId="0" applyFont="1" applyFill="1" applyBorder="1" applyAlignment="1" applyProtection="1">
      <alignment horizontal="center" vertical="center"/>
      <protection hidden="1"/>
    </xf>
    <xf numFmtId="0" fontId="25" fillId="8" borderId="42" xfId="0" applyFont="1" applyFill="1" applyBorder="1" applyAlignment="1" applyProtection="1">
      <alignment horizontal="center" vertical="center"/>
      <protection hidden="1"/>
    </xf>
    <xf numFmtId="0" fontId="21" fillId="16" borderId="0" xfId="0" applyFont="1" applyFill="1" applyAlignment="1" applyProtection="1">
      <alignment horizontal="left" vertical="center"/>
      <protection hidden="1"/>
    </xf>
    <xf numFmtId="0" fontId="21" fillId="0" borderId="0" xfId="0" applyFont="1" applyAlignment="1" applyProtection="1">
      <alignment horizontal="left" vertical="center"/>
      <protection hidden="1"/>
    </xf>
    <xf numFmtId="9" fontId="24" fillId="8" borderId="68" xfId="0" applyNumberFormat="1" applyFont="1" applyFill="1" applyBorder="1" applyAlignment="1" applyProtection="1">
      <alignment horizontal="center" vertical="center"/>
      <protection hidden="1"/>
    </xf>
    <xf numFmtId="9" fontId="23" fillId="17" borderId="68" xfId="0" applyNumberFormat="1" applyFont="1" applyFill="1" applyBorder="1" applyAlignment="1" applyProtection="1">
      <alignment horizontal="center" vertical="center"/>
      <protection hidden="1"/>
    </xf>
    <xf numFmtId="9" fontId="24" fillId="8" borderId="65" xfId="0" applyNumberFormat="1" applyFont="1" applyFill="1" applyBorder="1" applyAlignment="1" applyProtection="1">
      <alignment horizontal="center" vertical="center"/>
      <protection hidden="1"/>
    </xf>
    <xf numFmtId="0" fontId="19" fillId="13" borderId="66" xfId="103" applyFont="1" applyFill="1" applyBorder="1" applyAlignment="1" applyProtection="1">
      <alignment horizontal="center" vertical="center"/>
      <protection hidden="1"/>
    </xf>
    <xf numFmtId="0" fontId="19" fillId="5" borderId="66" xfId="103" applyFont="1" applyFill="1" applyBorder="1" applyAlignment="1" applyProtection="1">
      <alignment horizontal="center" vertical="center"/>
      <protection hidden="1"/>
    </xf>
    <xf numFmtId="0" fontId="19" fillId="17" borderId="66" xfId="103" applyFont="1" applyFill="1" applyBorder="1" applyAlignment="1" applyProtection="1">
      <alignment horizontal="center" vertical="center"/>
      <protection hidden="1"/>
    </xf>
    <xf numFmtId="0" fontId="19" fillId="13" borderId="51" xfId="103" applyFont="1" applyFill="1" applyBorder="1" applyAlignment="1" applyProtection="1">
      <alignment horizontal="center" vertical="center"/>
      <protection hidden="1"/>
    </xf>
    <xf numFmtId="1" fontId="23" fillId="0" borderId="40" xfId="0" applyNumberFormat="1" applyFont="1" applyBorder="1" applyAlignment="1" applyProtection="1">
      <alignment horizontal="center" vertical="center"/>
      <protection hidden="1"/>
    </xf>
    <xf numFmtId="49" fontId="23" fillId="0" borderId="40" xfId="0" applyNumberFormat="1" applyFont="1" applyBorder="1" applyAlignment="1" applyProtection="1">
      <alignment horizontal="center" vertical="center"/>
      <protection hidden="1"/>
    </xf>
    <xf numFmtId="49" fontId="21" fillId="0" borderId="40" xfId="0" applyNumberFormat="1" applyFont="1" applyBorder="1" applyAlignment="1" applyProtection="1">
      <alignment vertical="center"/>
      <protection hidden="1"/>
    </xf>
    <xf numFmtId="0" fontId="23" fillId="0" borderId="40" xfId="0" applyFont="1" applyBorder="1" applyAlignment="1" applyProtection="1">
      <alignment horizontal="center" vertical="center"/>
      <protection hidden="1"/>
    </xf>
    <xf numFmtId="166" fontId="19" fillId="0" borderId="40" xfId="0" applyNumberFormat="1" applyFont="1" applyBorder="1" applyAlignment="1" applyProtection="1">
      <alignment horizontal="center" vertical="center"/>
      <protection hidden="1"/>
    </xf>
    <xf numFmtId="1" fontId="23" fillId="8" borderId="40" xfId="1" applyNumberFormat="1" applyFont="1" applyFill="1" applyBorder="1" applyAlignment="1" applyProtection="1">
      <alignment horizontal="center" vertical="center"/>
      <protection hidden="1"/>
    </xf>
    <xf numFmtId="1" fontId="25" fillId="8" borderId="41" xfId="1" applyNumberFormat="1" applyFont="1" applyFill="1" applyBorder="1" applyAlignment="1" applyProtection="1">
      <alignment horizontal="center" vertical="center"/>
      <protection hidden="1"/>
    </xf>
    <xf numFmtId="0" fontId="19" fillId="0" borderId="0" xfId="0" applyFont="1" applyAlignment="1" applyProtection="1">
      <alignment horizontal="center" vertical="center"/>
      <protection hidden="1"/>
    </xf>
    <xf numFmtId="166" fontId="19" fillId="0" borderId="39" xfId="0" applyNumberFormat="1" applyFont="1" applyBorder="1" applyAlignment="1" applyProtection="1">
      <alignment horizontal="center" vertical="center"/>
      <protection hidden="1"/>
    </xf>
    <xf numFmtId="0" fontId="34" fillId="0" borderId="15" xfId="0" applyFont="1" applyBorder="1" applyAlignment="1" applyProtection="1">
      <alignment horizontal="center" vertical="center"/>
      <protection hidden="1"/>
    </xf>
    <xf numFmtId="0" fontId="34" fillId="0" borderId="5" xfId="0" applyFont="1" applyBorder="1" applyAlignment="1" applyProtection="1">
      <alignment horizontal="center" vertical="center"/>
      <protection hidden="1"/>
    </xf>
    <xf numFmtId="49" fontId="34" fillId="0" borderId="13" xfId="0" applyNumberFormat="1" applyFont="1" applyBorder="1" applyAlignment="1" applyProtection="1">
      <alignment horizontal="center" vertical="center"/>
      <protection hidden="1"/>
    </xf>
    <xf numFmtId="0" fontId="34" fillId="0" borderId="13" xfId="0" applyFont="1" applyBorder="1" applyAlignment="1" applyProtection="1">
      <alignment horizontal="center" vertical="center"/>
      <protection hidden="1"/>
    </xf>
    <xf numFmtId="1" fontId="29" fillId="6" borderId="13" xfId="0" applyNumberFormat="1" applyFont="1" applyFill="1" applyBorder="1" applyAlignment="1" applyProtection="1">
      <alignment horizontal="center" vertical="center"/>
      <protection hidden="1"/>
    </xf>
    <xf numFmtId="1" fontId="29" fillId="6" borderId="17" xfId="0" applyNumberFormat="1" applyFont="1" applyFill="1" applyBorder="1" applyAlignment="1" applyProtection="1">
      <alignment horizontal="center" vertical="center"/>
      <protection hidden="1"/>
    </xf>
    <xf numFmtId="1" fontId="29" fillId="14" borderId="12" xfId="0" applyNumberFormat="1" applyFont="1" applyFill="1" applyBorder="1" applyAlignment="1" applyProtection="1">
      <alignment horizontal="center" vertical="center"/>
      <protection hidden="1"/>
    </xf>
    <xf numFmtId="1" fontId="29" fillId="6" borderId="0" xfId="0" applyNumberFormat="1" applyFont="1" applyFill="1" applyAlignment="1" applyProtection="1">
      <alignment horizontal="center" vertical="center"/>
      <protection hidden="1"/>
    </xf>
    <xf numFmtId="0" fontId="34" fillId="0" borderId="14" xfId="0" applyFont="1" applyBorder="1" applyAlignment="1" applyProtection="1">
      <alignment horizontal="center" vertical="center"/>
      <protection hidden="1"/>
    </xf>
    <xf numFmtId="1" fontId="34" fillId="5" borderId="4" xfId="0" applyNumberFormat="1" applyFont="1" applyFill="1" applyBorder="1" applyAlignment="1" applyProtection="1">
      <alignment horizontal="center" vertical="center"/>
      <protection hidden="1"/>
    </xf>
    <xf numFmtId="0" fontId="34" fillId="5" borderId="4" xfId="0" applyFont="1" applyFill="1" applyBorder="1" applyAlignment="1" applyProtection="1">
      <alignment horizontal="center" vertical="center"/>
      <protection hidden="1"/>
    </xf>
    <xf numFmtId="0" fontId="19" fillId="0" borderId="14" xfId="1" applyNumberFormat="1" applyFont="1" applyBorder="1" applyAlignment="1" applyProtection="1">
      <alignment horizontal="center" vertical="center"/>
      <protection hidden="1"/>
    </xf>
    <xf numFmtId="1" fontId="34" fillId="0" borderId="13" xfId="0" applyNumberFormat="1" applyFont="1" applyBorder="1" applyAlignment="1" applyProtection="1">
      <alignment horizontal="center" vertical="center"/>
      <protection hidden="1"/>
    </xf>
    <xf numFmtId="2" fontId="25" fillId="0" borderId="13" xfId="0" applyNumberFormat="1" applyFont="1" applyBorder="1" applyAlignment="1" applyProtection="1">
      <alignment horizontal="center" vertical="center"/>
      <protection hidden="1"/>
    </xf>
    <xf numFmtId="2" fontId="25" fillId="7" borderId="115" xfId="1" applyNumberFormat="1" applyFont="1" applyFill="1" applyBorder="1" applyAlignment="1" applyProtection="1">
      <alignment horizontal="center" vertical="center"/>
      <protection hidden="1"/>
    </xf>
    <xf numFmtId="1" fontId="24" fillId="0" borderId="14" xfId="0" applyNumberFormat="1" applyFont="1" applyBorder="1" applyAlignment="1" applyProtection="1">
      <alignment horizontal="center" vertical="center"/>
      <protection hidden="1"/>
    </xf>
    <xf numFmtId="1" fontId="24" fillId="0" borderId="73" xfId="0" applyNumberFormat="1" applyFont="1" applyBorder="1" applyAlignment="1" applyProtection="1">
      <alignment horizontal="center" vertical="center"/>
      <protection hidden="1"/>
    </xf>
    <xf numFmtId="0" fontId="34" fillId="0" borderId="19" xfId="0" applyFont="1" applyBorder="1" applyAlignment="1" applyProtection="1">
      <alignment horizontal="center" vertical="center"/>
      <protection hidden="1"/>
    </xf>
    <xf numFmtId="0" fontId="34" fillId="0" borderId="73" xfId="0" applyFont="1" applyBorder="1" applyAlignment="1" applyProtection="1">
      <alignment horizontal="center" vertical="center"/>
      <protection hidden="1"/>
    </xf>
    <xf numFmtId="0" fontId="34" fillId="0" borderId="22" xfId="0" applyFont="1" applyBorder="1" applyAlignment="1" applyProtection="1">
      <alignment horizontal="center" vertical="center"/>
      <protection hidden="1"/>
    </xf>
    <xf numFmtId="49" fontId="34" fillId="0" borderId="22" xfId="0" applyNumberFormat="1" applyFont="1" applyBorder="1" applyAlignment="1" applyProtection="1">
      <alignment horizontal="center" vertical="center"/>
      <protection hidden="1"/>
    </xf>
    <xf numFmtId="0" fontId="34" fillId="0" borderId="22" xfId="0" applyFont="1" applyBorder="1" applyAlignment="1" applyProtection="1">
      <alignment vertical="center"/>
      <protection hidden="1"/>
    </xf>
    <xf numFmtId="164" fontId="34" fillId="0" borderId="22" xfId="0" applyNumberFormat="1" applyFont="1" applyBorder="1" applyAlignment="1" applyProtection="1">
      <alignment vertical="center"/>
      <protection hidden="1"/>
    </xf>
    <xf numFmtId="164" fontId="34" fillId="0" borderId="22" xfId="0" applyNumberFormat="1" applyFont="1" applyBorder="1" applyAlignment="1" applyProtection="1">
      <alignment horizontal="center" vertical="center"/>
      <protection hidden="1"/>
    </xf>
    <xf numFmtId="164" fontId="34" fillId="0" borderId="0" xfId="0" applyNumberFormat="1" applyFont="1" applyAlignment="1" applyProtection="1">
      <alignment horizontal="center" vertical="center"/>
      <protection hidden="1"/>
    </xf>
    <xf numFmtId="0" fontId="19" fillId="0" borderId="22" xfId="1" applyNumberFormat="1" applyFont="1" applyBorder="1" applyAlignment="1" applyProtection="1">
      <alignment horizontal="center" vertical="center"/>
      <protection hidden="1"/>
    </xf>
    <xf numFmtId="1" fontId="34" fillId="0" borderId="22" xfId="0" applyNumberFormat="1" applyFont="1" applyBorder="1" applyAlignment="1" applyProtection="1">
      <alignment horizontal="center" vertical="center"/>
      <protection hidden="1"/>
    </xf>
    <xf numFmtId="2" fontId="25" fillId="0" borderId="22" xfId="0" applyNumberFormat="1" applyFont="1" applyBorder="1" applyAlignment="1" applyProtection="1">
      <alignment horizontal="center" vertical="center"/>
      <protection hidden="1"/>
    </xf>
    <xf numFmtId="2" fontId="25" fillId="0" borderId="22" xfId="1" applyNumberFormat="1" applyFont="1" applyBorder="1" applyAlignment="1" applyProtection="1">
      <alignment horizontal="center" vertical="center"/>
      <protection hidden="1"/>
    </xf>
    <xf numFmtId="0" fontId="23" fillId="0" borderId="0" xfId="0" applyFont="1" applyAlignment="1" applyProtection="1">
      <alignment vertical="center"/>
      <protection hidden="1"/>
    </xf>
    <xf numFmtId="164" fontId="34" fillId="16" borderId="0" xfId="0" applyNumberFormat="1" applyFont="1" applyFill="1" applyAlignment="1" applyProtection="1">
      <alignment vertical="center"/>
      <protection hidden="1"/>
    </xf>
    <xf numFmtId="164" fontId="34" fillId="16" borderId="0" xfId="0" applyNumberFormat="1" applyFont="1" applyFill="1" applyAlignment="1" applyProtection="1">
      <alignment horizontal="center" vertical="center"/>
      <protection hidden="1"/>
    </xf>
    <xf numFmtId="0" fontId="19" fillId="16" borderId="0" xfId="1" applyNumberFormat="1" applyFont="1" applyFill="1" applyBorder="1" applyAlignment="1" applyProtection="1">
      <alignment horizontal="center" vertical="center"/>
      <protection hidden="1"/>
    </xf>
    <xf numFmtId="1" fontId="34" fillId="16" borderId="0" xfId="0" applyNumberFormat="1" applyFont="1" applyFill="1" applyAlignment="1" applyProtection="1">
      <alignment horizontal="center" vertical="center"/>
      <protection hidden="1"/>
    </xf>
    <xf numFmtId="2" fontId="25" fillId="16" borderId="0" xfId="0" applyNumberFormat="1" applyFont="1" applyFill="1" applyAlignment="1" applyProtection="1">
      <alignment horizontal="center" vertical="center"/>
      <protection hidden="1"/>
    </xf>
    <xf numFmtId="2" fontId="25" fillId="16" borderId="0" xfId="1" applyNumberFormat="1" applyFont="1" applyFill="1" applyBorder="1" applyAlignment="1" applyProtection="1">
      <alignment horizontal="center" vertical="center"/>
      <protection hidden="1"/>
    </xf>
    <xf numFmtId="0" fontId="23" fillId="16" borderId="0" xfId="0" applyFont="1" applyFill="1" applyAlignment="1" applyProtection="1">
      <alignment vertical="center"/>
      <protection hidden="1"/>
    </xf>
    <xf numFmtId="164" fontId="34" fillId="0" borderId="0" xfId="0" applyNumberFormat="1" applyFont="1" applyAlignment="1" applyProtection="1">
      <alignment vertical="center"/>
      <protection hidden="1"/>
    </xf>
    <xf numFmtId="0" fontId="19" fillId="0" borderId="0" xfId="1" applyNumberFormat="1" applyFont="1" applyBorder="1" applyAlignment="1" applyProtection="1">
      <alignment horizontal="center" vertical="center"/>
      <protection hidden="1"/>
    </xf>
    <xf numFmtId="1" fontId="34" fillId="0" borderId="0" xfId="0" applyNumberFormat="1" applyFont="1" applyAlignment="1" applyProtection="1">
      <alignment horizontal="center" vertical="center"/>
      <protection hidden="1"/>
    </xf>
    <xf numFmtId="2" fontId="25" fillId="0" borderId="0" xfId="0" applyNumberFormat="1" applyFont="1" applyAlignment="1" applyProtection="1">
      <alignment horizontal="center" vertical="center"/>
      <protection hidden="1"/>
    </xf>
    <xf numFmtId="2" fontId="25" fillId="0" borderId="0" xfId="1" applyNumberFormat="1" applyFont="1" applyBorder="1" applyAlignment="1" applyProtection="1">
      <alignment horizontal="center" vertical="center"/>
      <protection hidden="1"/>
    </xf>
    <xf numFmtId="1" fontId="34" fillId="0" borderId="74" xfId="0" applyNumberFormat="1" applyFont="1" applyBorder="1" applyAlignment="1" applyProtection="1">
      <alignment horizontal="center" vertical="center"/>
      <protection hidden="1"/>
    </xf>
    <xf numFmtId="1" fontId="19" fillId="13" borderId="78" xfId="0" applyNumberFormat="1" applyFont="1" applyFill="1" applyBorder="1" applyAlignment="1" applyProtection="1">
      <alignment horizontal="center" vertical="center"/>
      <protection hidden="1"/>
    </xf>
    <xf numFmtId="0" fontId="34" fillId="0" borderId="74" xfId="0" applyFont="1" applyBorder="1" applyAlignment="1" applyProtection="1">
      <alignment horizontal="center" vertical="center"/>
      <protection hidden="1"/>
    </xf>
    <xf numFmtId="0" fontId="19" fillId="5" borderId="78" xfId="103" applyFont="1" applyFill="1" applyBorder="1" applyAlignment="1" applyProtection="1">
      <alignment horizontal="center" vertical="center"/>
      <protection hidden="1"/>
    </xf>
    <xf numFmtId="0" fontId="19" fillId="5" borderId="40" xfId="0" applyFont="1" applyFill="1" applyBorder="1" applyAlignment="1" applyProtection="1">
      <alignment horizontal="center" vertical="center"/>
      <protection hidden="1"/>
    </xf>
    <xf numFmtId="0" fontId="19" fillId="5" borderId="40" xfId="103" applyFont="1" applyFill="1" applyBorder="1" applyAlignment="1" applyProtection="1">
      <alignment horizontal="center" vertical="center"/>
      <protection hidden="1"/>
    </xf>
    <xf numFmtId="1" fontId="19" fillId="5" borderId="40" xfId="0" applyNumberFormat="1" applyFont="1" applyFill="1" applyBorder="1" applyAlignment="1" applyProtection="1">
      <alignment horizontal="center" vertical="center"/>
      <protection hidden="1"/>
    </xf>
    <xf numFmtId="1" fontId="19" fillId="17" borderId="78" xfId="0" applyNumberFormat="1" applyFont="1" applyFill="1" applyBorder="1" applyAlignment="1" applyProtection="1">
      <alignment horizontal="center" vertical="center"/>
      <protection hidden="1"/>
    </xf>
    <xf numFmtId="2" fontId="25" fillId="8" borderId="40" xfId="0" applyNumberFormat="1" applyFont="1" applyFill="1" applyBorder="1" applyAlignment="1" applyProtection="1">
      <alignment horizontal="center" vertical="center"/>
      <protection hidden="1"/>
    </xf>
    <xf numFmtId="2" fontId="25" fillId="7" borderId="48" xfId="1" applyNumberFormat="1" applyFont="1" applyFill="1" applyBorder="1" applyAlignment="1" applyProtection="1">
      <alignment horizontal="center" vertical="center"/>
      <protection hidden="1"/>
    </xf>
    <xf numFmtId="2" fontId="21" fillId="0" borderId="91" xfId="0" applyNumberFormat="1" applyFont="1" applyBorder="1" applyAlignment="1" applyProtection="1">
      <alignment horizontal="center" vertical="center"/>
      <protection hidden="1"/>
    </xf>
    <xf numFmtId="1" fontId="37" fillId="0" borderId="41" xfId="0" applyNumberFormat="1" applyFont="1" applyBorder="1" applyAlignment="1" applyProtection="1">
      <alignment horizontal="center" vertical="center"/>
      <protection hidden="1"/>
    </xf>
    <xf numFmtId="0" fontId="34" fillId="0" borderId="80" xfId="0" applyFont="1" applyBorder="1" applyAlignment="1" applyProtection="1">
      <alignment vertical="center"/>
      <protection hidden="1"/>
    </xf>
    <xf numFmtId="2" fontId="23" fillId="0" borderId="39" xfId="0" applyNumberFormat="1" applyFont="1" applyBorder="1" applyAlignment="1" applyProtection="1">
      <alignment horizontal="center" vertical="center"/>
      <protection hidden="1"/>
    </xf>
    <xf numFmtId="0" fontId="18" fillId="0" borderId="41" xfId="0" applyFont="1" applyBorder="1" applyAlignment="1" applyProtection="1">
      <alignment horizontal="center" vertical="center"/>
      <protection hidden="1"/>
    </xf>
    <xf numFmtId="2" fontId="23" fillId="0" borderId="49" xfId="0" applyNumberFormat="1" applyFont="1" applyBorder="1" applyAlignment="1" applyProtection="1">
      <alignment horizontal="center" vertical="center"/>
      <protection hidden="1"/>
    </xf>
    <xf numFmtId="0" fontId="18" fillId="0" borderId="81" xfId="0" applyFont="1" applyBorder="1" applyAlignment="1" applyProtection="1">
      <alignment horizontal="center" vertical="center"/>
      <protection hidden="1"/>
    </xf>
    <xf numFmtId="0" fontId="24" fillId="0" borderId="83" xfId="0" applyFont="1" applyBorder="1" applyAlignment="1" applyProtection="1">
      <alignment horizontal="center" vertical="center"/>
      <protection hidden="1"/>
    </xf>
    <xf numFmtId="0" fontId="24" fillId="0" borderId="84" xfId="0" applyFont="1" applyBorder="1" applyAlignment="1" applyProtection="1">
      <alignment horizontal="center" vertical="center"/>
      <protection hidden="1"/>
    </xf>
    <xf numFmtId="0" fontId="34" fillId="0" borderId="82" xfId="0" applyFont="1" applyBorder="1" applyAlignment="1" applyProtection="1">
      <alignment vertical="center"/>
      <protection hidden="1"/>
    </xf>
    <xf numFmtId="1" fontId="19" fillId="13" borderId="79" xfId="0" applyNumberFormat="1" applyFont="1" applyFill="1" applyBorder="1" applyAlignment="1" applyProtection="1">
      <alignment horizontal="center" vertical="center"/>
      <protection hidden="1"/>
    </xf>
    <xf numFmtId="0" fontId="19" fillId="5" borderId="79" xfId="103" applyFont="1" applyFill="1" applyBorder="1" applyAlignment="1" applyProtection="1">
      <alignment horizontal="center" vertical="center"/>
      <protection hidden="1"/>
    </xf>
    <xf numFmtId="0" fontId="19" fillId="5" borderId="43" xfId="0" applyFont="1" applyFill="1" applyBorder="1" applyAlignment="1" applyProtection="1">
      <alignment horizontal="center" vertical="center"/>
      <protection hidden="1"/>
    </xf>
    <xf numFmtId="0" fontId="19" fillId="5" borderId="43" xfId="103" applyFont="1" applyFill="1" applyBorder="1" applyAlignment="1" applyProtection="1">
      <alignment horizontal="center" vertical="center"/>
      <protection hidden="1"/>
    </xf>
    <xf numFmtId="1" fontId="19" fillId="5" borderId="43" xfId="0" applyNumberFormat="1" applyFont="1" applyFill="1" applyBorder="1" applyAlignment="1" applyProtection="1">
      <alignment horizontal="center" vertical="center"/>
      <protection hidden="1"/>
    </xf>
    <xf numFmtId="1" fontId="19" fillId="17" borderId="79" xfId="0" applyNumberFormat="1" applyFont="1" applyFill="1" applyBorder="1" applyAlignment="1" applyProtection="1">
      <alignment horizontal="center" vertical="center"/>
      <protection hidden="1"/>
    </xf>
    <xf numFmtId="2" fontId="25" fillId="8" borderId="43" xfId="0" applyNumberFormat="1" applyFont="1" applyFill="1" applyBorder="1" applyAlignment="1" applyProtection="1">
      <alignment horizontal="center" vertical="center"/>
      <protection hidden="1"/>
    </xf>
    <xf numFmtId="2" fontId="21" fillId="0" borderId="92" xfId="0" applyNumberFormat="1" applyFont="1" applyBorder="1" applyAlignment="1" applyProtection="1">
      <alignment horizontal="center" vertical="center"/>
      <protection hidden="1"/>
    </xf>
    <xf numFmtId="1" fontId="37" fillId="0" borderId="44" xfId="0" applyNumberFormat="1" applyFont="1" applyBorder="1" applyAlignment="1" applyProtection="1">
      <alignment horizontal="center" vertical="center"/>
      <protection hidden="1"/>
    </xf>
    <xf numFmtId="0" fontId="19" fillId="8" borderId="39" xfId="0" applyFont="1" applyFill="1" applyBorder="1" applyAlignment="1" applyProtection="1">
      <alignment horizontal="center" vertical="center"/>
      <protection hidden="1"/>
    </xf>
    <xf numFmtId="0" fontId="19" fillId="8" borderId="42" xfId="0" applyFont="1" applyFill="1" applyBorder="1" applyAlignment="1" applyProtection="1">
      <alignment horizontal="center" vertical="center"/>
      <protection hidden="1"/>
    </xf>
    <xf numFmtId="1" fontId="21" fillId="16" borderId="0" xfId="0" applyNumberFormat="1" applyFont="1" applyFill="1" applyAlignment="1" applyProtection="1">
      <alignment horizontal="center" vertical="center"/>
      <protection hidden="1"/>
    </xf>
    <xf numFmtId="1" fontId="21" fillId="0" borderId="0" xfId="0" applyNumberFormat="1" applyFont="1" applyAlignment="1" applyProtection="1">
      <alignment horizontal="center" vertical="center"/>
      <protection hidden="1"/>
    </xf>
    <xf numFmtId="164" fontId="29" fillId="0" borderId="74" xfId="0" applyNumberFormat="1" applyFont="1" applyBorder="1" applyAlignment="1" applyProtection="1">
      <alignment horizontal="center" vertical="center"/>
      <protection hidden="1"/>
    </xf>
    <xf numFmtId="0" fontId="23" fillId="8" borderId="39" xfId="0" applyFont="1" applyFill="1" applyBorder="1" applyAlignment="1" applyProtection="1">
      <alignment horizontal="center" vertical="center"/>
      <protection hidden="1"/>
    </xf>
    <xf numFmtId="0" fontId="23" fillId="8" borderId="41" xfId="0" applyFont="1" applyFill="1" applyBorder="1" applyAlignment="1" applyProtection="1">
      <alignment horizontal="center" vertical="center"/>
      <protection hidden="1"/>
    </xf>
    <xf numFmtId="49" fontId="23" fillId="8" borderId="40" xfId="0" applyNumberFormat="1" applyFont="1" applyFill="1" applyBorder="1" applyAlignment="1" applyProtection="1">
      <alignment horizontal="center" vertical="center"/>
      <protection hidden="1"/>
    </xf>
    <xf numFmtId="49" fontId="29" fillId="8" borderId="40" xfId="0" applyNumberFormat="1" applyFont="1" applyFill="1" applyBorder="1" applyAlignment="1" applyProtection="1">
      <alignment vertical="center"/>
      <protection hidden="1"/>
    </xf>
    <xf numFmtId="0" fontId="23" fillId="8" borderId="40" xfId="0" applyFont="1" applyFill="1" applyBorder="1" applyAlignment="1" applyProtection="1">
      <alignment horizontal="center" vertical="center"/>
      <protection hidden="1"/>
    </xf>
    <xf numFmtId="2" fontId="23" fillId="8" borderId="48" xfId="1" applyNumberFormat="1" applyFont="1" applyFill="1" applyBorder="1" applyAlignment="1" applyProtection="1">
      <alignment horizontal="center" vertical="center"/>
      <protection hidden="1"/>
    </xf>
    <xf numFmtId="166" fontId="34" fillId="0" borderId="78" xfId="0" applyNumberFormat="1" applyFont="1" applyBorder="1" applyAlignment="1" applyProtection="1">
      <alignment horizontal="center" vertical="center"/>
      <protection hidden="1"/>
    </xf>
    <xf numFmtId="2" fontId="23" fillId="8" borderId="40" xfId="1" applyNumberFormat="1" applyFont="1" applyFill="1" applyBorder="1" applyAlignment="1" applyProtection="1">
      <alignment horizontal="center" vertical="center"/>
      <protection hidden="1"/>
    </xf>
    <xf numFmtId="0" fontId="34" fillId="0" borderId="80" xfId="0" applyFont="1" applyBorder="1" applyAlignment="1" applyProtection="1">
      <alignment horizontal="center" vertical="center"/>
      <protection hidden="1"/>
    </xf>
    <xf numFmtId="0" fontId="34" fillId="0" borderId="18" xfId="0" applyFont="1" applyBorder="1" applyAlignment="1" applyProtection="1">
      <alignment horizontal="center" vertical="center"/>
      <protection hidden="1"/>
    </xf>
    <xf numFmtId="49" fontId="34" fillId="0" borderId="19" xfId="0" applyNumberFormat="1" applyFont="1" applyBorder="1" applyAlignment="1" applyProtection="1">
      <alignment horizontal="center" vertical="center"/>
      <protection hidden="1"/>
    </xf>
    <xf numFmtId="1" fontId="29" fillId="6" borderId="19" xfId="0" applyNumberFormat="1" applyFont="1" applyFill="1" applyBorder="1" applyAlignment="1" applyProtection="1">
      <alignment horizontal="center" vertical="center"/>
      <protection hidden="1"/>
    </xf>
    <xf numFmtId="1" fontId="29" fillId="14" borderId="21" xfId="0" applyNumberFormat="1" applyFont="1" applyFill="1" applyBorder="1" applyAlignment="1" applyProtection="1">
      <alignment horizontal="center" vertical="center"/>
      <protection hidden="1"/>
    </xf>
    <xf numFmtId="1" fontId="29" fillId="6" borderId="73" xfId="0" applyNumberFormat="1" applyFont="1" applyFill="1" applyBorder="1" applyAlignment="1" applyProtection="1">
      <alignment horizontal="center" vertical="center"/>
      <protection hidden="1"/>
    </xf>
    <xf numFmtId="164" fontId="19" fillId="8" borderId="115" xfId="0" applyNumberFormat="1" applyFont="1" applyFill="1" applyBorder="1" applyAlignment="1" applyProtection="1">
      <alignment horizontal="center" vertical="center"/>
      <protection hidden="1"/>
    </xf>
    <xf numFmtId="0" fontId="34" fillId="5" borderId="4" xfId="103" applyFont="1" applyFill="1" applyBorder="1" applyAlignment="1" applyProtection="1">
      <alignment horizontal="center" vertical="center"/>
      <protection hidden="1"/>
    </xf>
    <xf numFmtId="2" fontId="25" fillId="8" borderId="115" xfId="1" applyNumberFormat="1" applyFont="1" applyFill="1" applyBorder="1" applyAlignment="1" applyProtection="1">
      <alignment horizontal="center" vertical="center"/>
      <protection hidden="1"/>
    </xf>
    <xf numFmtId="1" fontId="34" fillId="0" borderId="19" xfId="0" applyNumberFormat="1" applyFont="1" applyBorder="1" applyAlignment="1" applyProtection="1">
      <alignment horizontal="center" vertical="center"/>
      <protection hidden="1"/>
    </xf>
    <xf numFmtId="2" fontId="25" fillId="0" borderId="19" xfId="0" applyNumberFormat="1" applyFont="1" applyBorder="1" applyAlignment="1" applyProtection="1">
      <alignment horizontal="center" vertical="center"/>
      <protection hidden="1"/>
    </xf>
    <xf numFmtId="2" fontId="21" fillId="2" borderId="19" xfId="1" applyNumberFormat="1" applyFont="1" applyFill="1" applyBorder="1" applyAlignment="1" applyProtection="1">
      <alignment horizontal="center" vertical="center"/>
      <protection hidden="1"/>
    </xf>
    <xf numFmtId="1" fontId="24" fillId="0" borderId="20" xfId="0" applyNumberFormat="1" applyFont="1" applyBorder="1" applyAlignment="1" applyProtection="1">
      <alignment horizontal="center" vertical="center"/>
      <protection hidden="1"/>
    </xf>
    <xf numFmtId="0" fontId="24" fillId="0" borderId="0" xfId="0" applyFont="1" applyAlignment="1" applyProtection="1">
      <alignment vertical="center"/>
      <protection hidden="1"/>
    </xf>
    <xf numFmtId="0" fontId="24" fillId="16" borderId="0" xfId="0" applyFont="1" applyFill="1" applyAlignment="1" applyProtection="1">
      <alignment vertical="center"/>
      <protection hidden="1"/>
    </xf>
    <xf numFmtId="0" fontId="34" fillId="0" borderId="1" xfId="0" applyFont="1" applyBorder="1" applyAlignment="1" applyProtection="1">
      <alignment horizontal="center" vertical="center"/>
      <protection hidden="1"/>
    </xf>
    <xf numFmtId="49" fontId="34" fillId="0" borderId="1" xfId="0" applyNumberFormat="1" applyFont="1" applyBorder="1" applyAlignment="1" applyProtection="1">
      <alignment horizontal="center" vertical="center"/>
      <protection hidden="1"/>
    </xf>
    <xf numFmtId="164" fontId="34" fillId="0" borderId="1" xfId="0" applyNumberFormat="1" applyFont="1" applyBorder="1" applyAlignment="1" applyProtection="1">
      <alignment vertical="center"/>
      <protection hidden="1"/>
    </xf>
    <xf numFmtId="164" fontId="34" fillId="0" borderId="1" xfId="0" applyNumberFormat="1" applyFont="1" applyBorder="1" applyAlignment="1" applyProtection="1">
      <alignment horizontal="center" vertical="center"/>
      <protection hidden="1"/>
    </xf>
    <xf numFmtId="0" fontId="19" fillId="0" borderId="1" xfId="1" applyNumberFormat="1" applyFont="1" applyBorder="1" applyAlignment="1" applyProtection="1">
      <alignment horizontal="center" vertical="center"/>
      <protection hidden="1"/>
    </xf>
    <xf numFmtId="1" fontId="34" fillId="0" borderId="1" xfId="0" applyNumberFormat="1" applyFont="1" applyBorder="1" applyAlignment="1" applyProtection="1">
      <alignment horizontal="center" vertical="center"/>
      <protection hidden="1"/>
    </xf>
    <xf numFmtId="2" fontId="25" fillId="0" borderId="1" xfId="0" applyNumberFormat="1" applyFont="1" applyBorder="1" applyAlignment="1" applyProtection="1">
      <alignment horizontal="center" vertical="center"/>
      <protection hidden="1"/>
    </xf>
    <xf numFmtId="2" fontId="25" fillId="0" borderId="1" xfId="1" applyNumberFormat="1" applyFont="1" applyBorder="1" applyAlignment="1" applyProtection="1">
      <alignment horizontal="center" vertical="center"/>
      <protection hidden="1"/>
    </xf>
    <xf numFmtId="0" fontId="34" fillId="0" borderId="2" xfId="0" applyFont="1" applyBorder="1" applyAlignment="1" applyProtection="1">
      <alignment vertical="center"/>
      <protection hidden="1"/>
    </xf>
    <xf numFmtId="1" fontId="19" fillId="17" borderId="39" xfId="0" applyNumberFormat="1" applyFont="1" applyFill="1" applyBorder="1" applyAlignment="1" applyProtection="1">
      <alignment horizontal="center" vertical="center"/>
      <protection hidden="1"/>
    </xf>
    <xf numFmtId="1" fontId="21" fillId="0" borderId="41" xfId="0" applyNumberFormat="1" applyFont="1" applyBorder="1" applyAlignment="1" applyProtection="1">
      <alignment horizontal="center" vertical="center"/>
      <protection hidden="1"/>
    </xf>
    <xf numFmtId="1" fontId="19" fillId="17" borderId="42" xfId="0" applyNumberFormat="1" applyFont="1" applyFill="1" applyBorder="1" applyAlignment="1" applyProtection="1">
      <alignment horizontal="center" vertical="center"/>
      <protection hidden="1"/>
    </xf>
    <xf numFmtId="1" fontId="21" fillId="0" borderId="44" xfId="0" applyNumberFormat="1" applyFont="1" applyBorder="1" applyAlignment="1" applyProtection="1">
      <alignment horizontal="center" vertical="center"/>
      <protection hidden="1"/>
    </xf>
    <xf numFmtId="166" fontId="34" fillId="0" borderId="39" xfId="0" applyNumberFormat="1" applyFont="1" applyBorder="1" applyAlignment="1" applyProtection="1">
      <alignment horizontal="center" vertical="center"/>
      <protection hidden="1"/>
    </xf>
    <xf numFmtId="1" fontId="20" fillId="16" borderId="0" xfId="0" applyNumberFormat="1" applyFont="1" applyFill="1" applyAlignment="1" applyProtection="1">
      <alignment horizontal="center" vertical="center"/>
      <protection hidden="1"/>
    </xf>
    <xf numFmtId="0" fontId="34" fillId="0" borderId="20" xfId="0" applyFont="1" applyBorder="1" applyAlignment="1" applyProtection="1">
      <alignment horizontal="center" vertical="center"/>
      <protection hidden="1"/>
    </xf>
    <xf numFmtId="0" fontId="19" fillId="0" borderId="20" xfId="1" applyNumberFormat="1" applyFont="1" applyBorder="1" applyAlignment="1" applyProtection="1">
      <alignment horizontal="center" vertical="center"/>
      <protection hidden="1"/>
    </xf>
    <xf numFmtId="0" fontId="24" fillId="0" borderId="42" xfId="0" applyFont="1" applyBorder="1" applyAlignment="1" applyProtection="1">
      <alignment horizontal="center" vertical="center"/>
      <protection hidden="1"/>
    </xf>
    <xf numFmtId="0" fontId="24" fillId="0" borderId="44" xfId="0" applyFont="1" applyBorder="1" applyAlignment="1" applyProtection="1">
      <alignment horizontal="center" vertical="center"/>
      <protection hidden="1"/>
    </xf>
    <xf numFmtId="0" fontId="34" fillId="0" borderId="87" xfId="0" applyFont="1" applyBorder="1" applyAlignment="1" applyProtection="1">
      <alignment vertical="center"/>
      <protection hidden="1"/>
    </xf>
    <xf numFmtId="0" fontId="23" fillId="8" borderId="52" xfId="0" applyFont="1" applyFill="1" applyBorder="1" applyAlignment="1" applyProtection="1">
      <alignment horizontal="center" vertical="center"/>
      <protection hidden="1"/>
    </xf>
    <xf numFmtId="0" fontId="23" fillId="8" borderId="54" xfId="0" applyFont="1" applyFill="1" applyBorder="1" applyAlignment="1" applyProtection="1">
      <alignment horizontal="center" vertical="center"/>
      <protection hidden="1"/>
    </xf>
    <xf numFmtId="0" fontId="34" fillId="0" borderId="87" xfId="0" applyFont="1" applyBorder="1" applyAlignment="1" applyProtection="1">
      <alignment horizontal="center" vertical="center"/>
      <protection hidden="1"/>
    </xf>
    <xf numFmtId="0" fontId="34" fillId="16" borderId="15" xfId="0" applyFont="1" applyFill="1" applyBorder="1" applyAlignment="1" applyProtection="1">
      <alignment horizontal="center" vertical="center"/>
      <protection hidden="1"/>
    </xf>
    <xf numFmtId="1" fontId="29" fillId="6" borderId="11" xfId="0" applyNumberFormat="1" applyFont="1" applyFill="1" applyBorder="1" applyAlignment="1" applyProtection="1">
      <alignment horizontal="center" vertical="center"/>
      <protection hidden="1"/>
    </xf>
    <xf numFmtId="0" fontId="34" fillId="0" borderId="11" xfId="0" applyFont="1" applyBorder="1" applyAlignment="1" applyProtection="1">
      <alignment horizontal="center" vertical="center"/>
      <protection hidden="1"/>
    </xf>
    <xf numFmtId="0" fontId="34" fillId="0" borderId="16" xfId="0" applyFont="1" applyBorder="1" applyAlignment="1" applyProtection="1">
      <alignment horizontal="center" vertical="center"/>
      <protection hidden="1"/>
    </xf>
    <xf numFmtId="2" fontId="25" fillId="8" borderId="66" xfId="0" applyNumberFormat="1" applyFont="1" applyFill="1" applyBorder="1" applyAlignment="1" applyProtection="1">
      <alignment horizontal="center" vertical="center"/>
      <protection hidden="1"/>
    </xf>
    <xf numFmtId="0" fontId="34" fillId="0" borderId="6" xfId="0" applyFont="1" applyBorder="1" applyAlignment="1" applyProtection="1">
      <alignment horizontal="center" vertical="center"/>
      <protection hidden="1"/>
    </xf>
    <xf numFmtId="1" fontId="21" fillId="0" borderId="48" xfId="0" applyNumberFormat="1" applyFont="1" applyBorder="1" applyAlignment="1" applyProtection="1">
      <alignment horizontal="center" vertical="center"/>
      <protection hidden="1"/>
    </xf>
    <xf numFmtId="164" fontId="25" fillId="8" borderId="44" xfId="0" applyNumberFormat="1" applyFont="1" applyFill="1" applyBorder="1" applyAlignment="1" applyProtection="1">
      <alignment horizontal="center" vertical="center"/>
      <protection hidden="1"/>
    </xf>
    <xf numFmtId="2" fontId="25" fillId="8" borderId="44" xfId="1" applyNumberFormat="1" applyFont="1" applyFill="1" applyBorder="1" applyAlignment="1" applyProtection="1">
      <alignment horizontal="center" vertical="center"/>
      <protection hidden="1"/>
    </xf>
    <xf numFmtId="2" fontId="25" fillId="7" borderId="123" xfId="1" applyNumberFormat="1" applyFont="1" applyFill="1" applyBorder="1" applyAlignment="1" applyProtection="1">
      <alignment horizontal="center" vertical="center"/>
      <protection hidden="1"/>
    </xf>
    <xf numFmtId="1" fontId="21" fillId="0" borderId="76" xfId="0" applyNumberFormat="1" applyFont="1" applyBorder="1" applyAlignment="1" applyProtection="1">
      <alignment horizontal="center" vertical="center"/>
      <protection hidden="1"/>
    </xf>
    <xf numFmtId="0" fontId="34" fillId="8" borderId="39" xfId="0" applyFont="1" applyFill="1" applyBorder="1" applyAlignment="1" applyProtection="1">
      <alignment horizontal="center" vertical="center"/>
      <protection hidden="1"/>
    </xf>
    <xf numFmtId="0" fontId="34" fillId="8" borderId="42" xfId="0" applyFont="1" applyFill="1" applyBorder="1" applyAlignment="1" applyProtection="1">
      <alignment horizontal="center" vertical="center"/>
      <protection hidden="1"/>
    </xf>
    <xf numFmtId="0" fontId="24" fillId="0" borderId="8" xfId="0" applyFont="1" applyBorder="1" applyAlignment="1" applyProtection="1">
      <alignment horizontal="left" vertical="center"/>
      <protection hidden="1"/>
    </xf>
    <xf numFmtId="49" fontId="34" fillId="0" borderId="8" xfId="0" applyNumberFormat="1" applyFont="1" applyBorder="1" applyAlignment="1" applyProtection="1">
      <alignment horizontal="center" vertical="center"/>
      <protection hidden="1"/>
    </xf>
    <xf numFmtId="0" fontId="20" fillId="0" borderId="8" xfId="0" applyFont="1" applyBorder="1" applyAlignment="1" applyProtection="1">
      <alignment horizontal="left" vertical="center"/>
      <protection hidden="1"/>
    </xf>
    <xf numFmtId="0" fontId="34" fillId="0" borderId="94" xfId="0" applyFont="1" applyBorder="1" applyAlignment="1" applyProtection="1">
      <alignment vertical="center"/>
      <protection hidden="1"/>
    </xf>
    <xf numFmtId="0" fontId="34" fillId="0" borderId="93" xfId="0" applyFont="1" applyBorder="1" applyAlignment="1" applyProtection="1">
      <alignment horizontal="center" vertical="center"/>
      <protection hidden="1"/>
    </xf>
    <xf numFmtId="0" fontId="24" fillId="0" borderId="93" xfId="0" applyFont="1" applyBorder="1" applyAlignment="1" applyProtection="1">
      <alignment horizontal="left" vertical="center"/>
      <protection hidden="1"/>
    </xf>
    <xf numFmtId="49" fontId="34" fillId="0" borderId="93" xfId="0" applyNumberFormat="1" applyFont="1" applyBorder="1" applyAlignment="1" applyProtection="1">
      <alignment horizontal="center" vertical="center"/>
      <protection hidden="1"/>
    </xf>
    <xf numFmtId="0" fontId="21" fillId="0" borderId="93" xfId="0" applyFont="1" applyBorder="1" applyAlignment="1" applyProtection="1">
      <alignment horizontal="left" vertical="center"/>
      <protection hidden="1"/>
    </xf>
    <xf numFmtId="0" fontId="21" fillId="0" borderId="98" xfId="0" applyFont="1" applyBorder="1" applyAlignment="1" applyProtection="1">
      <alignment horizontal="left" vertical="center"/>
      <protection hidden="1"/>
    </xf>
    <xf numFmtId="0" fontId="34" fillId="0" borderId="95" xfId="0" applyFont="1" applyBorder="1" applyAlignment="1" applyProtection="1">
      <alignment vertical="center"/>
      <protection hidden="1"/>
    </xf>
    <xf numFmtId="2" fontId="25" fillId="0" borderId="53" xfId="0" applyNumberFormat="1" applyFont="1" applyBorder="1" applyAlignment="1" applyProtection="1">
      <alignment horizontal="center" vertical="center" textRotation="90" wrapText="1"/>
      <protection hidden="1"/>
    </xf>
    <xf numFmtId="0" fontId="34" fillId="0" borderId="99" xfId="0" applyFont="1" applyBorder="1" applyAlignment="1" applyProtection="1">
      <alignment vertical="center"/>
      <protection hidden="1"/>
    </xf>
    <xf numFmtId="2" fontId="25" fillId="0" borderId="40" xfId="0" applyNumberFormat="1" applyFont="1" applyBorder="1" applyAlignment="1" applyProtection="1">
      <alignment horizontal="center" vertical="center" textRotation="90" wrapText="1"/>
      <protection hidden="1"/>
    </xf>
    <xf numFmtId="0" fontId="34" fillId="0" borderId="95" xfId="0" applyFont="1" applyBorder="1" applyAlignment="1" applyProtection="1">
      <alignment horizontal="center" vertical="center"/>
      <protection hidden="1"/>
    </xf>
    <xf numFmtId="0" fontId="34" fillId="0" borderId="99" xfId="0" applyFont="1" applyBorder="1" applyAlignment="1" applyProtection="1">
      <alignment horizontal="center" vertical="center"/>
      <protection hidden="1"/>
    </xf>
    <xf numFmtId="49" fontId="21" fillId="0" borderId="40" xfId="0" applyNumberFormat="1" applyFont="1" applyBorder="1" applyAlignment="1" applyProtection="1">
      <alignment horizontal="center" vertical="center"/>
      <protection hidden="1"/>
    </xf>
    <xf numFmtId="0" fontId="21" fillId="0" borderId="40" xfId="0" applyFont="1" applyBorder="1" applyAlignment="1" applyProtection="1">
      <alignment horizontal="center" vertical="center"/>
      <protection hidden="1"/>
    </xf>
    <xf numFmtId="0" fontId="33" fillId="0" borderId="39" xfId="0" applyFont="1" applyBorder="1" applyAlignment="1" applyProtection="1">
      <alignment horizontal="center" vertical="center"/>
      <protection hidden="1"/>
    </xf>
    <xf numFmtId="1" fontId="21" fillId="13" borderId="40" xfId="1" applyNumberFormat="1" applyFont="1" applyFill="1" applyBorder="1" applyAlignment="1" applyProtection="1">
      <alignment horizontal="center" vertical="center"/>
      <protection hidden="1"/>
    </xf>
    <xf numFmtId="0" fontId="41" fillId="0" borderId="40" xfId="0" applyFont="1" applyBorder="1" applyAlignment="1" applyProtection="1">
      <alignment horizontal="center" vertical="center"/>
      <protection hidden="1"/>
    </xf>
    <xf numFmtId="0" fontId="21" fillId="0" borderId="40" xfId="0" applyFont="1" applyBorder="1" applyAlignment="1" applyProtection="1">
      <alignment vertical="center"/>
      <protection hidden="1"/>
    </xf>
    <xf numFmtId="2" fontId="21" fillId="0" borderId="40" xfId="1" applyNumberFormat="1" applyFont="1" applyFill="1" applyBorder="1" applyAlignment="1" applyProtection="1">
      <alignment horizontal="center" vertical="center"/>
      <protection hidden="1"/>
    </xf>
    <xf numFmtId="2" fontId="21" fillId="0" borderId="40" xfId="20" applyNumberFormat="1" applyFont="1" applyFill="1" applyBorder="1" applyAlignment="1" applyProtection="1">
      <alignment horizontal="center" vertical="center"/>
      <protection hidden="1"/>
    </xf>
    <xf numFmtId="2" fontId="21" fillId="0" borderId="71" xfId="1" applyNumberFormat="1" applyFont="1" applyFill="1" applyBorder="1" applyAlignment="1" applyProtection="1">
      <alignment horizontal="center" vertical="center"/>
      <protection hidden="1"/>
    </xf>
    <xf numFmtId="1" fontId="21" fillId="0" borderId="41" xfId="1" applyNumberFormat="1" applyFont="1" applyFill="1" applyBorder="1" applyAlignment="1" applyProtection="1">
      <alignment horizontal="center" vertical="center"/>
      <protection hidden="1"/>
    </xf>
    <xf numFmtId="0" fontId="33" fillId="0" borderId="42" xfId="0" applyFont="1" applyBorder="1" applyAlignment="1" applyProtection="1">
      <alignment horizontal="center" vertical="center"/>
      <protection hidden="1"/>
    </xf>
    <xf numFmtId="1" fontId="21" fillId="13" borderId="43" xfId="1" applyNumberFormat="1" applyFont="1" applyFill="1" applyBorder="1" applyAlignment="1" applyProtection="1">
      <alignment horizontal="center" vertical="center"/>
      <protection hidden="1"/>
    </xf>
    <xf numFmtId="0" fontId="21" fillId="0" borderId="43" xfId="0" applyFont="1" applyBorder="1" applyAlignment="1" applyProtection="1">
      <alignment horizontal="center" vertical="center"/>
      <protection hidden="1"/>
    </xf>
    <xf numFmtId="0" fontId="41" fillId="0" borderId="43" xfId="0" applyFont="1" applyBorder="1" applyAlignment="1" applyProtection="1">
      <alignment horizontal="center" vertical="center"/>
      <protection hidden="1"/>
    </xf>
    <xf numFmtId="0" fontId="21" fillId="0" borderId="43" xfId="0" applyFont="1" applyBorder="1" applyAlignment="1" applyProtection="1">
      <alignment vertical="center"/>
      <protection hidden="1"/>
    </xf>
    <xf numFmtId="2" fontId="21" fillId="0" borderId="43" xfId="1" applyNumberFormat="1" applyFont="1" applyFill="1" applyBorder="1" applyAlignment="1" applyProtection="1">
      <alignment horizontal="center" vertical="center"/>
      <protection hidden="1"/>
    </xf>
    <xf numFmtId="2" fontId="21" fillId="0" borderId="43" xfId="20" applyNumberFormat="1" applyFont="1" applyFill="1" applyBorder="1" applyAlignment="1" applyProtection="1">
      <alignment horizontal="center" vertical="center"/>
      <protection hidden="1"/>
    </xf>
    <xf numFmtId="2" fontId="21" fillId="0" borderId="72" xfId="1" applyNumberFormat="1" applyFont="1" applyFill="1" applyBorder="1" applyAlignment="1" applyProtection="1">
      <alignment horizontal="center" vertical="center"/>
      <protection hidden="1"/>
    </xf>
    <xf numFmtId="1" fontId="21" fillId="0" borderId="44" xfId="1" applyNumberFormat="1" applyFont="1" applyFill="1" applyBorder="1" applyAlignment="1" applyProtection="1">
      <alignment horizontal="center" vertical="center"/>
      <protection hidden="1"/>
    </xf>
    <xf numFmtId="0" fontId="34" fillId="0" borderId="96" xfId="0" applyFont="1" applyBorder="1" applyAlignment="1" applyProtection="1">
      <alignment vertical="center"/>
      <protection hidden="1"/>
    </xf>
    <xf numFmtId="0" fontId="34" fillId="0" borderId="97" xfId="0" applyFont="1" applyBorder="1" applyAlignment="1" applyProtection="1">
      <alignment horizontal="center" vertical="center"/>
      <protection hidden="1"/>
    </xf>
    <xf numFmtId="2" fontId="24" fillId="0" borderId="97" xfId="1" applyNumberFormat="1" applyFont="1" applyBorder="1" applyAlignment="1" applyProtection="1">
      <alignment horizontal="center" vertical="center"/>
      <protection hidden="1"/>
    </xf>
    <xf numFmtId="49" fontId="34" fillId="0" borderId="97" xfId="0" applyNumberFormat="1" applyFont="1" applyBorder="1" applyAlignment="1" applyProtection="1">
      <alignment horizontal="center" vertical="center"/>
      <protection hidden="1"/>
    </xf>
    <xf numFmtId="0" fontId="34" fillId="0" borderId="97" xfId="0" applyFont="1" applyBorder="1" applyAlignment="1" applyProtection="1">
      <alignment vertical="center"/>
      <protection hidden="1"/>
    </xf>
    <xf numFmtId="1" fontId="25" fillId="0" borderId="97" xfId="1" applyNumberFormat="1" applyFont="1" applyBorder="1" applyAlignment="1" applyProtection="1">
      <alignment horizontal="center" vertical="center"/>
      <protection hidden="1"/>
    </xf>
    <xf numFmtId="2" fontId="25" fillId="0" borderId="97" xfId="1" applyNumberFormat="1" applyFont="1" applyBorder="1" applyAlignment="1" applyProtection="1">
      <alignment horizontal="center" vertical="center"/>
      <protection hidden="1"/>
    </xf>
    <xf numFmtId="2" fontId="25" fillId="0" borderId="97" xfId="1" applyNumberFormat="1" applyFont="1" applyFill="1" applyBorder="1" applyAlignment="1" applyProtection="1">
      <alignment horizontal="center" vertical="center"/>
      <protection hidden="1"/>
    </xf>
    <xf numFmtId="1" fontId="24" fillId="0" borderId="97" xfId="1" applyNumberFormat="1" applyFont="1" applyBorder="1" applyAlignment="1" applyProtection="1">
      <alignment horizontal="center" vertical="center"/>
      <protection hidden="1"/>
    </xf>
    <xf numFmtId="0" fontId="34" fillId="0" borderId="100" xfId="0" applyFont="1" applyBorder="1" applyAlignment="1" applyProtection="1">
      <alignment vertical="center"/>
      <protection hidden="1"/>
    </xf>
    <xf numFmtId="2" fontId="24" fillId="0" borderId="0" xfId="1" applyNumberFormat="1" applyFont="1" applyFill="1" applyBorder="1" applyAlignment="1" applyProtection="1">
      <alignment horizontal="center" vertical="center"/>
      <protection hidden="1"/>
    </xf>
    <xf numFmtId="1" fontId="25" fillId="0" borderId="0" xfId="1" applyNumberFormat="1" applyFont="1" applyFill="1" applyBorder="1" applyAlignment="1" applyProtection="1">
      <alignment horizontal="center" vertical="center"/>
      <protection hidden="1"/>
    </xf>
    <xf numFmtId="2" fontId="25" fillId="0" borderId="0" xfId="1" applyNumberFormat="1" applyFont="1" applyFill="1" applyBorder="1" applyAlignment="1" applyProtection="1">
      <alignment horizontal="center" vertical="center"/>
      <protection hidden="1"/>
    </xf>
    <xf numFmtId="1" fontId="24" fillId="0" borderId="0" xfId="1" applyNumberFormat="1" applyFont="1" applyFill="1" applyBorder="1" applyAlignment="1" applyProtection="1">
      <alignment horizontal="center" vertical="center"/>
      <protection hidden="1"/>
    </xf>
    <xf numFmtId="2" fontId="24" fillId="0" borderId="0" xfId="1" applyNumberFormat="1" applyFont="1" applyBorder="1" applyAlignment="1" applyProtection="1">
      <alignment horizontal="center" vertical="center"/>
      <protection hidden="1"/>
    </xf>
    <xf numFmtId="1" fontId="25" fillId="0" borderId="0" xfId="1" applyNumberFormat="1" applyFont="1" applyBorder="1" applyAlignment="1" applyProtection="1">
      <alignment horizontal="center" vertical="center"/>
      <protection hidden="1"/>
    </xf>
    <xf numFmtId="1" fontId="24" fillId="0" borderId="0" xfId="1" applyNumberFormat="1" applyFont="1" applyBorder="1" applyAlignment="1" applyProtection="1">
      <alignment horizontal="center" vertical="center"/>
      <protection hidden="1"/>
    </xf>
    <xf numFmtId="0" fontId="36" fillId="8" borderId="40" xfId="0" applyFont="1" applyFill="1" applyBorder="1" applyAlignment="1" applyProtection="1">
      <alignment horizontal="center" vertical="center"/>
      <protection hidden="1"/>
    </xf>
    <xf numFmtId="0" fontId="23" fillId="8" borderId="40" xfId="0" applyFont="1" applyFill="1" applyBorder="1" applyAlignment="1" applyProtection="1">
      <alignment vertical="center"/>
      <protection hidden="1"/>
    </xf>
    <xf numFmtId="0" fontId="23" fillId="8" borderId="43" xfId="0" applyFont="1" applyFill="1" applyBorder="1" applyAlignment="1" applyProtection="1">
      <alignment horizontal="center" vertical="center"/>
      <protection hidden="1"/>
    </xf>
    <xf numFmtId="0" fontId="36" fillId="8" borderId="43" xfId="0" applyFont="1" applyFill="1" applyBorder="1" applyAlignment="1" applyProtection="1">
      <alignment horizontal="center" vertical="center"/>
      <protection hidden="1"/>
    </xf>
    <xf numFmtId="0" fontId="23" fillId="8" borderId="43" xfId="0" applyFont="1" applyFill="1" applyBorder="1" applyAlignment="1" applyProtection="1">
      <alignment vertical="center"/>
      <protection hidden="1"/>
    </xf>
    <xf numFmtId="0" fontId="19" fillId="5" borderId="42" xfId="103" applyFont="1" applyFill="1" applyBorder="1" applyAlignment="1" applyProtection="1">
      <alignment horizontal="center" vertical="center"/>
      <protection hidden="1"/>
    </xf>
    <xf numFmtId="2" fontId="25" fillId="8" borderId="41" xfId="1" applyNumberFormat="1" applyFont="1" applyFill="1" applyBorder="1" applyAlignment="1" applyProtection="1">
      <alignment horizontal="center" vertical="center"/>
      <protection hidden="1"/>
    </xf>
    <xf numFmtId="1" fontId="18" fillId="0" borderId="40" xfId="0" applyNumberFormat="1" applyFont="1" applyBorder="1" applyAlignment="1" applyProtection="1">
      <alignment horizontal="center" vertical="center"/>
      <protection hidden="1"/>
    </xf>
    <xf numFmtId="164" fontId="25" fillId="8" borderId="41" xfId="0" applyNumberFormat="1" applyFont="1" applyFill="1" applyBorder="1" applyAlignment="1" applyProtection="1">
      <alignment horizontal="center" vertical="center"/>
      <protection hidden="1"/>
    </xf>
    <xf numFmtId="1" fontId="25" fillId="0" borderId="40" xfId="0" applyNumberFormat="1" applyFont="1" applyBorder="1" applyAlignment="1" applyProtection="1">
      <alignment horizontal="center" vertical="center"/>
      <protection hidden="1"/>
    </xf>
    <xf numFmtId="1" fontId="25" fillId="0" borderId="39" xfId="0" applyNumberFormat="1" applyFont="1" applyBorder="1" applyAlignment="1" applyProtection="1">
      <alignment horizontal="center" vertical="center"/>
      <protection hidden="1"/>
    </xf>
    <xf numFmtId="2" fontId="25" fillId="7" borderId="138" xfId="1" applyNumberFormat="1" applyFont="1" applyFill="1" applyBorder="1" applyAlignment="1" applyProtection="1">
      <alignment horizontal="center" vertical="center"/>
      <protection hidden="1"/>
    </xf>
    <xf numFmtId="1" fontId="25" fillId="8" borderId="43" xfId="0" applyNumberFormat="1" applyFont="1" applyFill="1" applyBorder="1" applyAlignment="1" applyProtection="1">
      <alignment horizontal="center" vertical="center"/>
      <protection hidden="1"/>
    </xf>
    <xf numFmtId="2" fontId="25" fillId="8" borderId="44" xfId="0" applyNumberFormat="1" applyFont="1" applyFill="1" applyBorder="1" applyAlignment="1" applyProtection="1">
      <alignment horizontal="center" vertical="center"/>
      <protection hidden="1"/>
    </xf>
    <xf numFmtId="0" fontId="33" fillId="16" borderId="0" xfId="0" applyFont="1" applyFill="1" applyAlignment="1">
      <alignment vertical="center"/>
    </xf>
    <xf numFmtId="0" fontId="33" fillId="0" borderId="0" xfId="0" applyFont="1" applyAlignment="1">
      <alignment vertical="center"/>
    </xf>
    <xf numFmtId="0" fontId="33" fillId="0" borderId="0" xfId="0" applyFont="1" applyAlignment="1">
      <alignment horizontal="left" vertical="center"/>
    </xf>
    <xf numFmtId="0" fontId="42" fillId="0" borderId="0" xfId="0" applyFont="1" applyAlignment="1">
      <alignment vertical="center"/>
    </xf>
    <xf numFmtId="0" fontId="43" fillId="0" borderId="0" xfId="0" applyFont="1" applyAlignment="1">
      <alignment vertical="center" wrapText="1"/>
    </xf>
    <xf numFmtId="0" fontId="43" fillId="0" borderId="0" xfId="0" applyFont="1" applyAlignment="1">
      <alignment vertical="center"/>
    </xf>
    <xf numFmtId="0" fontId="21" fillId="0" borderId="0" xfId="0" applyFont="1" applyAlignment="1">
      <alignment vertical="center" wrapText="1"/>
    </xf>
    <xf numFmtId="2" fontId="24" fillId="0" borderId="54" xfId="0" applyNumberFormat="1" applyFont="1" applyBorder="1" applyAlignment="1" applyProtection="1">
      <alignment horizontal="center" vertical="center" wrapText="1"/>
      <protection hidden="1"/>
    </xf>
    <xf numFmtId="2" fontId="24" fillId="0" borderId="41" xfId="0" applyNumberFormat="1" applyFont="1" applyBorder="1" applyAlignment="1" applyProtection="1">
      <alignment horizontal="center" vertical="center" wrapText="1"/>
      <protection hidden="1"/>
    </xf>
    <xf numFmtId="1" fontId="23" fillId="15" borderId="52" xfId="0" applyNumberFormat="1" applyFont="1" applyFill="1" applyBorder="1" applyAlignment="1" applyProtection="1">
      <alignment horizontal="center" vertical="center" textRotation="90"/>
      <protection hidden="1"/>
    </xf>
    <xf numFmtId="1" fontId="23" fillId="15" borderId="39" xfId="0" applyNumberFormat="1" applyFont="1" applyFill="1" applyBorder="1" applyAlignment="1" applyProtection="1">
      <alignment horizontal="center" vertical="center" textRotation="90"/>
      <protection hidden="1"/>
    </xf>
    <xf numFmtId="2" fontId="24" fillId="0" borderId="53" xfId="0" applyNumberFormat="1" applyFont="1" applyBorder="1" applyAlignment="1" applyProtection="1">
      <alignment horizontal="center" vertical="center" wrapText="1"/>
      <protection hidden="1"/>
    </xf>
    <xf numFmtId="2" fontId="24" fillId="0" borderId="40" xfId="0" applyNumberFormat="1" applyFont="1" applyBorder="1" applyAlignment="1" applyProtection="1">
      <alignment horizontal="center" vertical="center" wrapText="1"/>
      <protection hidden="1"/>
    </xf>
    <xf numFmtId="1" fontId="24" fillId="0" borderId="53" xfId="0" applyNumberFormat="1" applyFont="1" applyBorder="1" applyAlignment="1" applyProtection="1">
      <alignment horizontal="center" vertical="center" wrapText="1"/>
      <protection hidden="1"/>
    </xf>
    <xf numFmtId="1" fontId="24" fillId="0" borderId="40" xfId="0" applyNumberFormat="1" applyFont="1" applyBorder="1" applyAlignment="1" applyProtection="1">
      <alignment horizontal="center" vertical="center" wrapText="1"/>
      <protection hidden="1"/>
    </xf>
    <xf numFmtId="2" fontId="24" fillId="0" borderId="53" xfId="0" applyNumberFormat="1" applyFont="1" applyBorder="1" applyAlignment="1" applyProtection="1">
      <alignment horizontal="center" vertical="center" textRotation="90" wrapText="1"/>
      <protection hidden="1"/>
    </xf>
    <xf numFmtId="2" fontId="24" fillId="0" borderId="40" xfId="0" applyNumberFormat="1" applyFont="1" applyBorder="1" applyAlignment="1" applyProtection="1">
      <alignment horizontal="center" vertical="center" textRotation="90" wrapText="1"/>
      <protection hidden="1"/>
    </xf>
    <xf numFmtId="2" fontId="25" fillId="0" borderId="70" xfId="0" applyNumberFormat="1" applyFont="1" applyBorder="1" applyAlignment="1" applyProtection="1">
      <alignment horizontal="center" vertical="center" textRotation="90" wrapText="1"/>
      <protection hidden="1"/>
    </xf>
    <xf numFmtId="2" fontId="25" fillId="0" borderId="71" xfId="0" applyNumberFormat="1" applyFont="1" applyBorder="1" applyAlignment="1" applyProtection="1">
      <alignment horizontal="center" vertical="center" textRotation="90" wrapText="1"/>
      <protection hidden="1"/>
    </xf>
    <xf numFmtId="2" fontId="26" fillId="0" borderId="53" xfId="0" applyNumberFormat="1" applyFont="1" applyBorder="1" applyAlignment="1" applyProtection="1">
      <alignment horizontal="center" vertical="center"/>
      <protection hidden="1"/>
    </xf>
    <xf numFmtId="0" fontId="24" fillId="0" borderId="40" xfId="0" applyFont="1" applyBorder="1" applyAlignment="1" applyProtection="1">
      <alignment horizontal="center" vertical="center" wrapText="1"/>
      <protection hidden="1"/>
    </xf>
    <xf numFmtId="9" fontId="21" fillId="0" borderId="40" xfId="109" applyFont="1" applyBorder="1" applyAlignment="1" applyProtection="1">
      <alignment horizontal="center" vertical="center" wrapText="1"/>
      <protection hidden="1"/>
    </xf>
    <xf numFmtId="0" fontId="21" fillId="0" borderId="0" xfId="0" applyFont="1" applyAlignment="1">
      <alignment horizontal="left" vertical="center"/>
    </xf>
    <xf numFmtId="0" fontId="20" fillId="0" borderId="0" xfId="0" applyFont="1" applyAlignment="1">
      <alignment horizontal="left" vertical="center"/>
    </xf>
    <xf numFmtId="0" fontId="26" fillId="0" borderId="97" xfId="0" applyFont="1" applyBorder="1" applyAlignment="1">
      <alignment horizontal="center" vertical="center"/>
    </xf>
    <xf numFmtId="0" fontId="21" fillId="0" borderId="0" xfId="0" applyFont="1" applyAlignment="1">
      <alignment horizontal="left" vertical="center" wrapText="1"/>
    </xf>
    <xf numFmtId="0" fontId="32" fillId="15" borderId="131" xfId="0" applyFont="1" applyFill="1" applyBorder="1" applyAlignment="1">
      <alignment horizontal="center" vertical="center" wrapText="1"/>
    </xf>
    <xf numFmtId="0" fontId="21" fillId="0" borderId="119" xfId="0" applyFont="1" applyBorder="1" applyAlignment="1" applyProtection="1">
      <alignment horizontal="left" vertical="center"/>
      <protection locked="0"/>
    </xf>
    <xf numFmtId="0" fontId="21" fillId="0" borderId="111" xfId="0" applyFont="1" applyBorder="1" applyAlignment="1" applyProtection="1">
      <alignment horizontal="left" vertical="center"/>
      <protection locked="0"/>
    </xf>
    <xf numFmtId="0" fontId="21" fillId="0" borderId="112" xfId="0" applyFont="1" applyBorder="1" applyAlignment="1" applyProtection="1">
      <alignment horizontal="left" vertical="center"/>
      <protection locked="0"/>
    </xf>
    <xf numFmtId="0" fontId="21" fillId="0" borderId="118" xfId="0" applyFont="1" applyBorder="1" applyAlignment="1" applyProtection="1">
      <alignment horizontal="left" vertical="center"/>
      <protection locked="0"/>
    </xf>
    <xf numFmtId="0" fontId="21" fillId="0" borderId="109" xfId="0" applyFont="1" applyBorder="1" applyAlignment="1" applyProtection="1">
      <alignment horizontal="left" vertical="center"/>
      <protection locked="0"/>
    </xf>
    <xf numFmtId="0" fontId="21" fillId="0" borderId="110" xfId="0" applyFont="1" applyBorder="1" applyAlignment="1" applyProtection="1">
      <alignment horizontal="left" vertical="center"/>
      <protection locked="0"/>
    </xf>
    <xf numFmtId="0" fontId="18" fillId="8" borderId="26" xfId="0" applyFont="1" applyFill="1" applyBorder="1" applyAlignment="1">
      <alignment horizontal="center" vertical="center"/>
    </xf>
    <xf numFmtId="0" fontId="18" fillId="8" borderId="3" xfId="0" applyFont="1" applyFill="1" applyBorder="1" applyAlignment="1">
      <alignment horizontal="center" vertical="center"/>
    </xf>
    <xf numFmtId="0" fontId="32" fillId="16" borderId="52" xfId="0" applyFont="1" applyFill="1" applyBorder="1" applyAlignment="1">
      <alignment horizontal="center" vertical="center"/>
    </xf>
    <xf numFmtId="0" fontId="32" fillId="16" borderId="53" xfId="0" applyFont="1" applyFill="1" applyBorder="1" applyAlignment="1">
      <alignment horizontal="center" vertical="center"/>
    </xf>
    <xf numFmtId="0" fontId="32" fillId="16" borderId="54" xfId="0" applyFont="1" applyFill="1" applyBorder="1" applyAlignment="1">
      <alignment horizontal="center" vertical="center"/>
    </xf>
    <xf numFmtId="9" fontId="29" fillId="9" borderId="39" xfId="0" applyNumberFormat="1" applyFont="1" applyFill="1" applyBorder="1" applyAlignment="1">
      <alignment horizontal="center" vertical="center" wrapText="1"/>
    </xf>
    <xf numFmtId="0" fontId="21" fillId="0" borderId="122" xfId="0" applyFont="1" applyBorder="1" applyAlignment="1" applyProtection="1">
      <alignment horizontal="left" vertical="center"/>
      <protection locked="0"/>
    </xf>
    <xf numFmtId="0" fontId="21" fillId="0" borderId="105" xfId="0" applyFont="1" applyBorder="1" applyAlignment="1" applyProtection="1">
      <alignment horizontal="left" vertical="center"/>
      <protection locked="0"/>
    </xf>
    <xf numFmtId="0" fontId="21" fillId="0" borderId="106" xfId="0" applyFont="1" applyBorder="1" applyAlignment="1" applyProtection="1">
      <alignment horizontal="left" vertical="center"/>
      <protection locked="0"/>
    </xf>
    <xf numFmtId="0" fontId="21" fillId="0" borderId="121" xfId="0" applyFont="1" applyBorder="1" applyAlignment="1" applyProtection="1">
      <alignment horizontal="left" vertical="center"/>
      <protection locked="0"/>
    </xf>
    <xf numFmtId="0" fontId="21" fillId="0" borderId="103" xfId="0" applyFont="1" applyBorder="1" applyAlignment="1" applyProtection="1">
      <alignment horizontal="left" vertical="center"/>
      <protection locked="0"/>
    </xf>
    <xf numFmtId="0" fontId="21" fillId="0" borderId="104" xfId="0" applyFont="1" applyBorder="1" applyAlignment="1" applyProtection="1">
      <alignment horizontal="left" vertical="center"/>
      <protection locked="0"/>
    </xf>
    <xf numFmtId="0" fontId="31" fillId="16" borderId="26" xfId="0" applyFont="1" applyFill="1" applyBorder="1" applyAlignment="1">
      <alignment horizontal="center" vertical="center"/>
    </xf>
    <xf numFmtId="0" fontId="31" fillId="16" borderId="7" xfId="0" applyFont="1" applyFill="1" applyBorder="1" applyAlignment="1">
      <alignment horizontal="center" vertical="center"/>
    </xf>
    <xf numFmtId="0" fontId="31" fillId="16" borderId="27" xfId="0" applyFont="1" applyFill="1" applyBorder="1" applyAlignment="1">
      <alignment horizontal="center" vertical="center"/>
    </xf>
    <xf numFmtId="0" fontId="33" fillId="0" borderId="134" xfId="0" applyFont="1" applyBorder="1" applyAlignment="1">
      <alignment horizontal="center" vertical="center"/>
    </xf>
    <xf numFmtId="0" fontId="33" fillId="0" borderId="135" xfId="0" applyFont="1" applyBorder="1" applyAlignment="1">
      <alignment horizontal="center" vertical="center"/>
    </xf>
    <xf numFmtId="0" fontId="33" fillId="0" borderId="30" xfId="0" applyFont="1" applyBorder="1" applyAlignment="1">
      <alignment horizontal="center" vertical="center"/>
    </xf>
    <xf numFmtId="0" fontId="33" fillId="0" borderId="31" xfId="0" applyFont="1" applyBorder="1" applyAlignment="1">
      <alignment horizontal="center" vertical="center"/>
    </xf>
    <xf numFmtId="0" fontId="33" fillId="0" borderId="33" xfId="0" applyFont="1" applyBorder="1" applyAlignment="1">
      <alignment horizontal="center" vertical="center"/>
    </xf>
    <xf numFmtId="0" fontId="33" fillId="0" borderId="34" xfId="0" applyFont="1" applyBorder="1" applyAlignment="1">
      <alignment horizontal="center" vertical="center"/>
    </xf>
    <xf numFmtId="0" fontId="33" fillId="0" borderId="36" xfId="0" applyFont="1" applyBorder="1" applyAlignment="1">
      <alignment horizontal="center" vertical="center"/>
    </xf>
    <xf numFmtId="0" fontId="33" fillId="0" borderId="37" xfId="0" applyFont="1" applyBorder="1" applyAlignment="1">
      <alignment horizontal="center" vertical="center"/>
    </xf>
    <xf numFmtId="9" fontId="20" fillId="8" borderId="59" xfId="0" applyNumberFormat="1" applyFont="1" applyFill="1" applyBorder="1" applyAlignment="1">
      <alignment horizontal="center" vertical="center"/>
    </xf>
    <xf numFmtId="9" fontId="20" fillId="8" borderId="60" xfId="0" applyNumberFormat="1" applyFont="1" applyFill="1" applyBorder="1" applyAlignment="1">
      <alignment horizontal="center" vertical="center"/>
    </xf>
    <xf numFmtId="9" fontId="20" fillId="8" borderId="58" xfId="0" applyNumberFormat="1" applyFont="1" applyFill="1" applyBorder="1" applyAlignment="1">
      <alignment horizontal="center" vertical="center"/>
    </xf>
    <xf numFmtId="9" fontId="20" fillId="0" borderId="49" xfId="0" applyNumberFormat="1" applyFont="1" applyBorder="1" applyAlignment="1" applyProtection="1">
      <alignment horizontal="center" vertical="center" wrapText="1"/>
      <protection locked="0"/>
    </xf>
    <xf numFmtId="9" fontId="20" fillId="0" borderId="50" xfId="0" applyNumberFormat="1" applyFont="1" applyBorder="1" applyAlignment="1" applyProtection="1">
      <alignment horizontal="center" vertical="center" wrapText="1"/>
      <protection locked="0"/>
    </xf>
    <xf numFmtId="9" fontId="29" fillId="10" borderId="39" xfId="109" applyFont="1" applyFill="1" applyBorder="1" applyAlignment="1" applyProtection="1">
      <alignment horizontal="center" vertical="center" wrapText="1"/>
    </xf>
    <xf numFmtId="0" fontId="27" fillId="15" borderId="22" xfId="0" applyFont="1" applyFill="1" applyBorder="1" applyAlignment="1">
      <alignment horizontal="right" vertical="center"/>
    </xf>
    <xf numFmtId="0" fontId="32" fillId="16" borderId="88" xfId="0" applyFont="1" applyFill="1" applyBorder="1" applyAlignment="1">
      <alignment horizontal="center" vertical="center"/>
    </xf>
    <xf numFmtId="0" fontId="32" fillId="16" borderId="137" xfId="0" applyFont="1" applyFill="1" applyBorder="1" applyAlignment="1">
      <alignment horizontal="center" vertical="center"/>
    </xf>
    <xf numFmtId="0" fontId="32" fillId="16" borderId="89" xfId="0" applyFont="1" applyFill="1" applyBorder="1" applyAlignment="1">
      <alignment horizontal="center" vertical="center"/>
    </xf>
    <xf numFmtId="0" fontId="32" fillId="15" borderId="0" xfId="0" applyFont="1" applyFill="1" applyAlignment="1">
      <alignment horizontal="center" vertical="center" wrapText="1"/>
    </xf>
    <xf numFmtId="9" fontId="20" fillId="0" borderId="51" xfId="0" applyNumberFormat="1" applyFont="1" applyBorder="1" applyAlignment="1" applyProtection="1">
      <alignment horizontal="center" vertical="center" wrapText="1"/>
      <protection locked="0"/>
    </xf>
    <xf numFmtId="165" fontId="18" fillId="16" borderId="40" xfId="0" applyNumberFormat="1" applyFont="1" applyFill="1" applyBorder="1" applyAlignment="1">
      <alignment horizontal="center" vertical="center"/>
    </xf>
    <xf numFmtId="165" fontId="18" fillId="16" borderId="41" xfId="0" applyNumberFormat="1" applyFont="1" applyFill="1" applyBorder="1" applyAlignment="1">
      <alignment horizontal="center" vertical="center"/>
    </xf>
    <xf numFmtId="0" fontId="31" fillId="16" borderId="23" xfId="0" applyFont="1" applyFill="1" applyBorder="1" applyAlignment="1">
      <alignment horizontal="center" vertical="center"/>
    </xf>
    <xf numFmtId="0" fontId="31" fillId="16" borderId="24" xfId="0" applyFont="1" applyFill="1" applyBorder="1" applyAlignment="1">
      <alignment horizontal="center" vertical="center"/>
    </xf>
    <xf numFmtId="0" fontId="31" fillId="16" borderId="25" xfId="0" applyFont="1" applyFill="1" applyBorder="1" applyAlignment="1">
      <alignment horizontal="center" vertical="center"/>
    </xf>
    <xf numFmtId="0" fontId="21" fillId="0" borderId="117" xfId="0" applyFont="1" applyBorder="1" applyAlignment="1" applyProtection="1">
      <alignment horizontal="left" vertical="center"/>
      <protection locked="0"/>
    </xf>
    <xf numFmtId="0" fontId="21" fillId="0" borderId="107" xfId="0" applyFont="1" applyBorder="1" applyAlignment="1" applyProtection="1">
      <alignment horizontal="left" vertical="center"/>
      <protection locked="0"/>
    </xf>
    <xf numFmtId="0" fontId="21" fillId="0" borderId="108" xfId="0" applyFont="1" applyBorder="1" applyAlignment="1" applyProtection="1">
      <alignment horizontal="left" vertical="center"/>
      <protection locked="0"/>
    </xf>
    <xf numFmtId="0" fontId="38" fillId="16" borderId="113" xfId="0" applyFont="1" applyFill="1" applyBorder="1" applyAlignment="1">
      <alignment horizontal="center" vertical="center" wrapText="1"/>
    </xf>
    <xf numFmtId="0" fontId="38" fillId="16" borderId="114" xfId="0" applyFont="1" applyFill="1" applyBorder="1" applyAlignment="1">
      <alignment horizontal="center" vertical="center"/>
    </xf>
    <xf numFmtId="0" fontId="38" fillId="16" borderId="115" xfId="0" applyFont="1" applyFill="1" applyBorder="1" applyAlignment="1">
      <alignment horizontal="center" vertical="center"/>
    </xf>
    <xf numFmtId="0" fontId="21" fillId="0" borderId="120" xfId="0" applyFont="1" applyBorder="1" applyAlignment="1" applyProtection="1">
      <alignment horizontal="left" vertical="center"/>
      <protection locked="0"/>
    </xf>
    <xf numFmtId="0" fontId="21" fillId="0" borderId="101" xfId="0" applyFont="1" applyBorder="1" applyAlignment="1" applyProtection="1">
      <alignment horizontal="left" vertical="center"/>
      <protection locked="0"/>
    </xf>
    <xf numFmtId="0" fontId="21" fillId="0" borderId="102" xfId="0" applyFont="1" applyBorder="1" applyAlignment="1" applyProtection="1">
      <alignment horizontal="left" vertical="center"/>
      <protection locked="0"/>
    </xf>
    <xf numFmtId="0" fontId="18" fillId="8" borderId="28" xfId="0" applyFont="1" applyFill="1" applyBorder="1" applyAlignment="1">
      <alignment horizontal="center" vertical="center"/>
    </xf>
    <xf numFmtId="0" fontId="18" fillId="8" borderId="133" xfId="0" applyFont="1" applyFill="1" applyBorder="1" applyAlignment="1">
      <alignment horizontal="center" vertical="center"/>
    </xf>
    <xf numFmtId="0" fontId="28" fillId="0" borderId="26" xfId="0" applyFont="1" applyBorder="1" applyAlignment="1">
      <alignment horizontal="left" vertical="center"/>
    </xf>
    <xf numFmtId="0" fontId="28" fillId="0" borderId="7" xfId="0" applyFont="1" applyBorder="1" applyAlignment="1">
      <alignment horizontal="left" vertical="center"/>
    </xf>
    <xf numFmtId="0" fontId="28" fillId="0" borderId="27" xfId="0" applyFont="1" applyBorder="1" applyAlignment="1">
      <alignment horizontal="left" vertical="center"/>
    </xf>
    <xf numFmtId="164" fontId="40" fillId="0" borderId="113" xfId="0" applyNumberFormat="1" applyFont="1" applyBorder="1" applyAlignment="1" applyProtection="1">
      <alignment horizontal="left" vertical="center" wrapText="1" indent="4"/>
      <protection hidden="1"/>
    </xf>
    <xf numFmtId="164" fontId="19" fillId="0" borderId="56" xfId="0" applyNumberFormat="1" applyFont="1" applyBorder="1" applyAlignment="1" applyProtection="1">
      <alignment horizontal="left" vertical="center" wrapText="1" indent="4"/>
      <protection hidden="1"/>
    </xf>
    <xf numFmtId="164" fontId="19" fillId="0" borderId="127" xfId="0" applyNumberFormat="1" applyFont="1" applyBorder="1" applyAlignment="1" applyProtection="1">
      <alignment horizontal="left" vertical="center" wrapText="1" indent="4"/>
      <protection hidden="1"/>
    </xf>
    <xf numFmtId="164" fontId="19" fillId="0" borderId="115" xfId="0" applyNumberFormat="1" applyFont="1" applyBorder="1" applyAlignment="1" applyProtection="1">
      <alignment horizontal="left" vertical="center" wrapText="1" indent="4"/>
      <protection hidden="1"/>
    </xf>
    <xf numFmtId="164" fontId="19" fillId="0" borderId="128" xfId="0" applyNumberFormat="1" applyFont="1" applyBorder="1" applyAlignment="1" applyProtection="1">
      <alignment horizontal="left" vertical="center" wrapText="1" indent="4"/>
      <protection hidden="1"/>
    </xf>
    <xf numFmtId="164" fontId="19" fillId="0" borderId="129" xfId="0" applyNumberFormat="1" applyFont="1" applyBorder="1" applyAlignment="1" applyProtection="1">
      <alignment horizontal="left" vertical="center" wrapText="1" indent="4"/>
      <protection hidden="1"/>
    </xf>
    <xf numFmtId="1" fontId="23" fillId="0" borderId="52" xfId="0" applyNumberFormat="1" applyFont="1" applyBorder="1" applyAlignment="1" applyProtection="1">
      <alignment horizontal="center" vertical="center" textRotation="90"/>
      <protection hidden="1"/>
    </xf>
    <xf numFmtId="1" fontId="23" fillId="0" borderId="39" xfId="0" applyNumberFormat="1" applyFont="1" applyBorder="1" applyAlignment="1" applyProtection="1">
      <alignment horizontal="center" vertical="center" textRotation="90"/>
      <protection hidden="1"/>
    </xf>
    <xf numFmtId="0" fontId="32" fillId="16" borderId="126" xfId="0" applyFont="1" applyFill="1" applyBorder="1" applyAlignment="1" applyProtection="1">
      <alignment horizontal="center" vertical="center"/>
      <protection hidden="1"/>
    </xf>
    <xf numFmtId="0" fontId="32" fillId="16" borderId="124" xfId="0" applyFont="1" applyFill="1" applyBorder="1" applyAlignment="1" applyProtection="1">
      <alignment horizontal="center" vertical="center"/>
      <protection hidden="1"/>
    </xf>
    <xf numFmtId="0" fontId="32" fillId="16" borderId="125" xfId="0" applyFont="1" applyFill="1" applyBorder="1" applyAlignment="1" applyProtection="1">
      <alignment horizontal="center" vertical="center"/>
      <protection hidden="1"/>
    </xf>
    <xf numFmtId="2" fontId="25" fillId="8" borderId="66" xfId="1" applyNumberFormat="1" applyFont="1" applyFill="1" applyBorder="1" applyAlignment="1" applyProtection="1">
      <alignment horizontal="center" vertical="center"/>
      <protection hidden="1"/>
    </xf>
    <xf numFmtId="2" fontId="25" fillId="8" borderId="40" xfId="1" applyNumberFormat="1" applyFont="1" applyFill="1" applyBorder="1" applyAlignment="1" applyProtection="1">
      <alignment horizontal="center" vertical="center"/>
      <protection hidden="1"/>
    </xf>
    <xf numFmtId="2" fontId="25" fillId="8" borderId="67" xfId="1" applyNumberFormat="1" applyFont="1" applyFill="1" applyBorder="1" applyAlignment="1" applyProtection="1">
      <alignment horizontal="center" vertical="center"/>
      <protection hidden="1"/>
    </xf>
    <xf numFmtId="2" fontId="25" fillId="8" borderId="41" xfId="1" applyNumberFormat="1" applyFont="1" applyFill="1" applyBorder="1" applyAlignment="1" applyProtection="1">
      <alignment horizontal="center" vertical="center"/>
      <protection hidden="1"/>
    </xf>
    <xf numFmtId="0" fontId="23" fillId="5" borderId="68" xfId="103" applyFont="1" applyFill="1" applyBorder="1" applyAlignment="1" applyProtection="1">
      <alignment horizontal="center" vertical="center"/>
      <protection hidden="1"/>
    </xf>
    <xf numFmtId="0" fontId="23" fillId="13" borderId="69" xfId="103" applyFont="1" applyFill="1" applyBorder="1" applyAlignment="1" applyProtection="1">
      <alignment horizontal="center" vertical="center"/>
      <protection hidden="1"/>
    </xf>
    <xf numFmtId="0" fontId="23" fillId="13" borderId="68" xfId="103" applyFont="1" applyFill="1" applyBorder="1" applyAlignment="1" applyProtection="1">
      <alignment horizontal="center" vertical="center"/>
      <protection hidden="1"/>
    </xf>
    <xf numFmtId="0" fontId="21" fillId="16" borderId="0" xfId="0" applyFont="1" applyFill="1" applyAlignment="1" applyProtection="1">
      <alignment horizontal="left" vertical="center"/>
      <protection hidden="1"/>
    </xf>
    <xf numFmtId="0" fontId="21" fillId="0" borderId="0" xfId="0" applyFont="1" applyAlignment="1" applyProtection="1">
      <alignment horizontal="left" vertical="center"/>
      <protection hidden="1"/>
    </xf>
    <xf numFmtId="0" fontId="32" fillId="16" borderId="75" xfId="0" applyFont="1" applyFill="1" applyBorder="1" applyAlignment="1" applyProtection="1">
      <alignment horizontal="center" vertical="center"/>
      <protection hidden="1"/>
    </xf>
    <xf numFmtId="0" fontId="24" fillId="0" borderId="48" xfId="0" applyFont="1" applyBorder="1" applyAlignment="1" applyProtection="1">
      <alignment horizontal="center" vertical="center" wrapText="1"/>
      <protection hidden="1"/>
    </xf>
    <xf numFmtId="0" fontId="24" fillId="0" borderId="46" xfId="0" applyFont="1" applyBorder="1" applyAlignment="1" applyProtection="1">
      <alignment horizontal="center" vertical="center" wrapText="1"/>
      <protection hidden="1"/>
    </xf>
    <xf numFmtId="0" fontId="24" fillId="0" borderId="78" xfId="0" applyFont="1" applyBorder="1" applyAlignment="1" applyProtection="1">
      <alignment horizontal="center" vertical="center" wrapText="1"/>
      <protection hidden="1"/>
    </xf>
    <xf numFmtId="1" fontId="23" fillId="8" borderId="52" xfId="0" applyNumberFormat="1" applyFont="1" applyFill="1" applyBorder="1" applyAlignment="1" applyProtection="1">
      <alignment horizontal="center" vertical="center" textRotation="90"/>
      <protection hidden="1"/>
    </xf>
    <xf numFmtId="1" fontId="23" fillId="8" borderId="39" xfId="0" applyNumberFormat="1" applyFont="1" applyFill="1" applyBorder="1" applyAlignment="1" applyProtection="1">
      <alignment horizontal="center" vertical="center" textRotation="90"/>
      <protection hidden="1"/>
    </xf>
    <xf numFmtId="2" fontId="26" fillId="8" borderId="53" xfId="0" applyNumberFormat="1" applyFont="1" applyFill="1" applyBorder="1" applyAlignment="1" applyProtection="1">
      <alignment horizontal="center" vertical="center"/>
      <protection hidden="1"/>
    </xf>
    <xf numFmtId="0" fontId="19" fillId="15" borderId="40" xfId="0" applyFont="1" applyFill="1" applyBorder="1" applyAlignment="1" applyProtection="1">
      <alignment horizontal="center" vertical="center"/>
      <protection locked="0"/>
    </xf>
    <xf numFmtId="0" fontId="24" fillId="8" borderId="40" xfId="0" applyFont="1" applyFill="1" applyBorder="1" applyAlignment="1" applyProtection="1">
      <alignment horizontal="center" vertical="center" wrapText="1"/>
      <protection hidden="1"/>
    </xf>
    <xf numFmtId="0" fontId="31" fillId="16" borderId="77" xfId="0" applyFont="1" applyFill="1" applyBorder="1" applyAlignment="1" applyProtection="1">
      <alignment horizontal="center" vertical="center"/>
      <protection hidden="1"/>
    </xf>
    <xf numFmtId="0" fontId="31" fillId="16" borderId="75" xfId="0" applyFont="1" applyFill="1" applyBorder="1" applyAlignment="1" applyProtection="1">
      <alignment horizontal="center" vertical="center"/>
      <protection hidden="1"/>
    </xf>
    <xf numFmtId="164" fontId="23" fillId="0" borderId="53" xfId="0" applyNumberFormat="1" applyFont="1" applyBorder="1" applyAlignment="1" applyProtection="1">
      <alignment horizontal="center" vertical="center"/>
      <protection locked="0"/>
    </xf>
    <xf numFmtId="0" fontId="23" fillId="14" borderId="48" xfId="0" applyFont="1" applyFill="1" applyBorder="1" applyAlignment="1" applyProtection="1">
      <alignment horizontal="center" vertical="center" textRotation="90"/>
      <protection locked="0"/>
    </xf>
    <xf numFmtId="16" fontId="23" fillId="5" borderId="78" xfId="0" applyNumberFormat="1" applyFont="1" applyFill="1" applyBorder="1" applyAlignment="1" applyProtection="1">
      <alignment horizontal="center" vertical="center"/>
      <protection hidden="1"/>
    </xf>
    <xf numFmtId="16" fontId="23" fillId="5" borderId="40" xfId="0" applyNumberFormat="1" applyFont="1" applyFill="1" applyBorder="1" applyAlignment="1" applyProtection="1">
      <alignment horizontal="center" vertical="center"/>
      <protection hidden="1"/>
    </xf>
    <xf numFmtId="167" fontId="34" fillId="0" borderId="78" xfId="0" applyNumberFormat="1" applyFont="1" applyBorder="1" applyAlignment="1" applyProtection="1">
      <alignment horizontal="center" vertical="center"/>
      <protection hidden="1"/>
    </xf>
    <xf numFmtId="167" fontId="34" fillId="0" borderId="40" xfId="0" applyNumberFormat="1" applyFont="1" applyBorder="1" applyAlignment="1" applyProtection="1">
      <alignment horizontal="center" vertical="center"/>
      <protection hidden="1"/>
    </xf>
    <xf numFmtId="9" fontId="24" fillId="8" borderId="48" xfId="1" applyNumberFormat="1" applyFont="1" applyFill="1" applyBorder="1" applyAlignment="1" applyProtection="1">
      <alignment horizontal="center" vertical="center"/>
      <protection hidden="1"/>
    </xf>
    <xf numFmtId="2" fontId="23" fillId="0" borderId="17" xfId="0" applyNumberFormat="1" applyFont="1" applyBorder="1" applyAlignment="1" applyProtection="1">
      <alignment horizontal="center" vertical="center"/>
      <protection hidden="1"/>
    </xf>
    <xf numFmtId="2" fontId="23" fillId="0" borderId="16" xfId="0" applyNumberFormat="1" applyFont="1" applyBorder="1" applyAlignment="1" applyProtection="1">
      <alignment horizontal="center" vertical="center"/>
      <protection hidden="1"/>
    </xf>
    <xf numFmtId="2" fontId="23" fillId="0" borderId="10" xfId="0" applyNumberFormat="1" applyFont="1" applyBorder="1" applyAlignment="1" applyProtection="1">
      <alignment horizontal="center" vertical="center"/>
      <protection hidden="1"/>
    </xf>
    <xf numFmtId="1" fontId="18" fillId="0" borderId="40" xfId="0" applyNumberFormat="1" applyFont="1" applyBorder="1" applyAlignment="1" applyProtection="1">
      <alignment horizontal="center" vertical="center"/>
      <protection hidden="1"/>
    </xf>
    <xf numFmtId="1" fontId="18" fillId="0" borderId="78" xfId="0" applyNumberFormat="1" applyFont="1" applyBorder="1" applyAlignment="1" applyProtection="1">
      <alignment horizontal="center" vertical="center"/>
      <protection hidden="1"/>
    </xf>
    <xf numFmtId="0" fontId="31" fillId="16" borderId="52" xfId="0" applyFont="1" applyFill="1" applyBorder="1" applyAlignment="1" applyProtection="1">
      <alignment horizontal="center" vertical="center"/>
      <protection hidden="1"/>
    </xf>
    <xf numFmtId="0" fontId="31" fillId="16" borderId="54" xfId="0" applyFont="1" applyFill="1" applyBorder="1" applyAlignment="1" applyProtection="1">
      <alignment horizontal="center" vertical="center"/>
      <protection hidden="1"/>
    </xf>
    <xf numFmtId="2" fontId="24" fillId="8" borderId="85" xfId="0" applyNumberFormat="1" applyFont="1" applyFill="1" applyBorder="1" applyAlignment="1" applyProtection="1">
      <alignment horizontal="center" vertical="center" textRotation="90"/>
      <protection hidden="1"/>
    </xf>
    <xf numFmtId="2" fontId="24" fillId="8" borderId="86" xfId="0" applyNumberFormat="1" applyFont="1" applyFill="1" applyBorder="1" applyAlignment="1" applyProtection="1">
      <alignment horizontal="center" vertical="center" textRotation="90"/>
      <protection hidden="1"/>
    </xf>
    <xf numFmtId="2" fontId="24" fillId="8" borderId="67" xfId="0" applyNumberFormat="1" applyFont="1" applyFill="1" applyBorder="1" applyAlignment="1" applyProtection="1">
      <alignment horizontal="center" vertical="center" textRotation="90"/>
      <protection hidden="1"/>
    </xf>
    <xf numFmtId="0" fontId="18" fillId="13" borderId="78" xfId="0" applyFont="1" applyFill="1" applyBorder="1" applyAlignment="1" applyProtection="1">
      <alignment horizontal="center" vertical="center"/>
      <protection hidden="1"/>
    </xf>
    <xf numFmtId="0" fontId="18" fillId="13" borderId="48" xfId="0" applyFont="1" applyFill="1" applyBorder="1" applyAlignment="1" applyProtection="1">
      <alignment horizontal="center" vertical="center"/>
      <protection hidden="1"/>
    </xf>
    <xf numFmtId="1" fontId="18" fillId="0" borderId="49" xfId="0" applyNumberFormat="1" applyFont="1" applyBorder="1" applyAlignment="1" applyProtection="1">
      <alignment horizontal="center" vertical="center"/>
      <protection hidden="1"/>
    </xf>
    <xf numFmtId="1" fontId="18" fillId="0" borderId="51" xfId="0" applyNumberFormat="1" applyFont="1" applyBorder="1" applyAlignment="1" applyProtection="1">
      <alignment horizontal="center" vertical="center"/>
      <protection hidden="1"/>
    </xf>
    <xf numFmtId="9" fontId="24" fillId="8" borderId="48" xfId="109" applyFont="1" applyFill="1" applyBorder="1" applyAlignment="1" applyProtection="1">
      <alignment horizontal="center" vertical="center"/>
      <protection hidden="1"/>
    </xf>
    <xf numFmtId="2" fontId="23" fillId="8" borderId="90" xfId="0" applyNumberFormat="1" applyFont="1" applyFill="1" applyBorder="1" applyAlignment="1" applyProtection="1">
      <alignment horizontal="center" vertical="center" textRotation="90"/>
      <protection hidden="1"/>
    </xf>
    <xf numFmtId="2" fontId="23" fillId="8" borderId="91" xfId="0" applyNumberFormat="1" applyFont="1" applyFill="1" applyBorder="1" applyAlignment="1" applyProtection="1">
      <alignment horizontal="center" vertical="center" textRotation="90"/>
      <protection hidden="1"/>
    </xf>
    <xf numFmtId="9" fontId="24" fillId="8" borderId="40" xfId="1" applyNumberFormat="1" applyFont="1" applyFill="1" applyBorder="1" applyAlignment="1" applyProtection="1">
      <alignment horizontal="center" vertical="center"/>
      <protection hidden="1"/>
    </xf>
    <xf numFmtId="9" fontId="23" fillId="8" borderId="75" xfId="1" applyNumberFormat="1" applyFont="1" applyFill="1" applyBorder="1" applyAlignment="1" applyProtection="1">
      <alignment horizontal="center" vertical="center"/>
      <protection hidden="1"/>
    </xf>
    <xf numFmtId="9" fontId="23" fillId="8" borderId="48" xfId="1" applyNumberFormat="1" applyFont="1" applyFill="1" applyBorder="1" applyAlignment="1" applyProtection="1">
      <alignment horizontal="center" vertical="center"/>
      <protection hidden="1"/>
    </xf>
    <xf numFmtId="0" fontId="31" fillId="16" borderId="53" xfId="0" applyFont="1" applyFill="1" applyBorder="1" applyAlignment="1" applyProtection="1">
      <alignment horizontal="center" vertical="center"/>
      <protection hidden="1"/>
    </xf>
    <xf numFmtId="2" fontId="31" fillId="16" borderId="77" xfId="0" applyNumberFormat="1" applyFont="1" applyFill="1" applyBorder="1" applyAlignment="1" applyProtection="1">
      <alignment horizontal="center" vertical="center"/>
      <protection hidden="1"/>
    </xf>
    <xf numFmtId="2" fontId="31" fillId="16" borderId="53" xfId="0" applyNumberFormat="1" applyFont="1" applyFill="1" applyBorder="1" applyAlignment="1" applyProtection="1">
      <alignment horizontal="center" vertical="center"/>
      <protection hidden="1"/>
    </xf>
    <xf numFmtId="2" fontId="23" fillId="0" borderId="73" xfId="0" applyNumberFormat="1" applyFont="1" applyBorder="1" applyAlignment="1" applyProtection="1">
      <alignment horizontal="center" vertical="center"/>
      <protection hidden="1"/>
    </xf>
    <xf numFmtId="2" fontId="23" fillId="0" borderId="15" xfId="0" applyNumberFormat="1" applyFont="1" applyBorder="1" applyAlignment="1" applyProtection="1">
      <alignment horizontal="center" vertical="center"/>
      <protection hidden="1"/>
    </xf>
    <xf numFmtId="2" fontId="23" fillId="0" borderId="9" xfId="0" applyNumberFormat="1" applyFont="1" applyBorder="1" applyAlignment="1" applyProtection="1">
      <alignment horizontal="center" vertical="center"/>
      <protection hidden="1"/>
    </xf>
    <xf numFmtId="2" fontId="24" fillId="8" borderId="54" xfId="0" applyNumberFormat="1" applyFont="1" applyFill="1" applyBorder="1" applyAlignment="1" applyProtection="1">
      <alignment horizontal="center" vertical="center" textRotation="90"/>
      <protection hidden="1"/>
    </xf>
    <xf numFmtId="2" fontId="24" fillId="8" borderId="41" xfId="0" applyNumberFormat="1" applyFont="1" applyFill="1" applyBorder="1" applyAlignment="1" applyProtection="1">
      <alignment horizontal="center" vertical="center" textRotation="90"/>
      <protection hidden="1"/>
    </xf>
    <xf numFmtId="2" fontId="31" fillId="16" borderId="52" xfId="0" applyNumberFormat="1" applyFont="1" applyFill="1" applyBorder="1" applyAlignment="1" applyProtection="1">
      <alignment horizontal="center" vertical="center"/>
      <protection hidden="1"/>
    </xf>
    <xf numFmtId="0" fontId="20" fillId="16" borderId="0" xfId="0" applyFont="1" applyFill="1" applyAlignment="1" applyProtection="1">
      <alignment horizontal="left" vertical="center"/>
      <protection hidden="1"/>
    </xf>
    <xf numFmtId="1" fontId="23" fillId="0" borderId="39" xfId="0" applyNumberFormat="1" applyFont="1" applyBorder="1" applyAlignment="1" applyProtection="1">
      <alignment horizontal="center" vertical="center"/>
      <protection hidden="1"/>
    </xf>
    <xf numFmtId="1" fontId="23" fillId="0" borderId="78" xfId="0" applyNumberFormat="1" applyFont="1" applyBorder="1" applyAlignment="1" applyProtection="1">
      <alignment horizontal="center" vertical="center"/>
      <protection hidden="1"/>
    </xf>
    <xf numFmtId="1" fontId="18" fillId="13" borderId="78" xfId="0" applyNumberFormat="1" applyFont="1" applyFill="1" applyBorder="1" applyAlignment="1" applyProtection="1">
      <alignment horizontal="center" vertical="center"/>
      <protection hidden="1"/>
    </xf>
    <xf numFmtId="0" fontId="31" fillId="16" borderId="88" xfId="0" applyFont="1" applyFill="1" applyBorder="1" applyAlignment="1" applyProtection="1">
      <alignment horizontal="center" vertical="center"/>
      <protection hidden="1"/>
    </xf>
    <xf numFmtId="0" fontId="31" fillId="16" borderId="89" xfId="0" applyFont="1" applyFill="1" applyBorder="1" applyAlignment="1" applyProtection="1">
      <alignment horizontal="center" vertical="center"/>
      <protection hidden="1"/>
    </xf>
    <xf numFmtId="2" fontId="24" fillId="8" borderId="75" xfId="0" applyNumberFormat="1" applyFont="1" applyFill="1" applyBorder="1" applyAlignment="1" applyProtection="1">
      <alignment horizontal="center" vertical="center" textRotation="90"/>
      <protection hidden="1"/>
    </xf>
    <xf numFmtId="2" fontId="24" fillId="8" borderId="48" xfId="0" applyNumberFormat="1" applyFont="1" applyFill="1" applyBorder="1" applyAlignment="1" applyProtection="1">
      <alignment horizontal="center" vertical="center" textRotation="90"/>
      <protection hidden="1"/>
    </xf>
  </cellXfs>
  <cellStyles count="292">
    <cellStyle name="Comma" xfId="1" builtinId="3"/>
    <cellStyle name="Comma 10" xfId="2" xr:uid="{00000000-0005-0000-0000-000001000000}"/>
    <cellStyle name="Comma 10 2" xfId="3" xr:uid="{00000000-0005-0000-0000-000002000000}"/>
    <cellStyle name="Comma 10 2 2" xfId="148" xr:uid="{00000000-0005-0000-0000-000003000000}"/>
    <cellStyle name="Comma 10 3" xfId="147" xr:uid="{00000000-0005-0000-0000-000004000000}"/>
    <cellStyle name="Comma 11" xfId="4" xr:uid="{00000000-0005-0000-0000-000005000000}"/>
    <cellStyle name="Comma 11 2" xfId="5" xr:uid="{00000000-0005-0000-0000-000006000000}"/>
    <cellStyle name="Comma 11 2 2" xfId="150" xr:uid="{00000000-0005-0000-0000-000007000000}"/>
    <cellStyle name="Comma 11 3" xfId="149" xr:uid="{00000000-0005-0000-0000-000008000000}"/>
    <cellStyle name="Comma 12" xfId="6" xr:uid="{00000000-0005-0000-0000-000009000000}"/>
    <cellStyle name="Comma 12 2" xfId="7" xr:uid="{00000000-0005-0000-0000-00000A000000}"/>
    <cellStyle name="Comma 12 2 2" xfId="152" xr:uid="{00000000-0005-0000-0000-00000B000000}"/>
    <cellStyle name="Comma 12 3" xfId="151" xr:uid="{00000000-0005-0000-0000-00000C000000}"/>
    <cellStyle name="Comma 13" xfId="8" xr:uid="{00000000-0005-0000-0000-00000D000000}"/>
    <cellStyle name="Comma 13 2" xfId="9" xr:uid="{00000000-0005-0000-0000-00000E000000}"/>
    <cellStyle name="Comma 13 2 2" xfId="154" xr:uid="{00000000-0005-0000-0000-00000F000000}"/>
    <cellStyle name="Comma 13 3" xfId="153" xr:uid="{00000000-0005-0000-0000-000010000000}"/>
    <cellStyle name="Comma 14" xfId="10" xr:uid="{00000000-0005-0000-0000-000011000000}"/>
    <cellStyle name="Comma 14 2" xfId="11" xr:uid="{00000000-0005-0000-0000-000012000000}"/>
    <cellStyle name="Comma 14 2 2" xfId="156" xr:uid="{00000000-0005-0000-0000-000013000000}"/>
    <cellStyle name="Comma 14 3" xfId="155" xr:uid="{00000000-0005-0000-0000-000014000000}"/>
    <cellStyle name="Comma 15" xfId="12" xr:uid="{00000000-0005-0000-0000-000015000000}"/>
    <cellStyle name="Comma 15 2" xfId="13" xr:uid="{00000000-0005-0000-0000-000016000000}"/>
    <cellStyle name="Comma 15 2 2" xfId="158" xr:uid="{00000000-0005-0000-0000-000017000000}"/>
    <cellStyle name="Comma 15 3" xfId="157" xr:uid="{00000000-0005-0000-0000-000018000000}"/>
    <cellStyle name="Comma 16" xfId="14" xr:uid="{00000000-0005-0000-0000-000019000000}"/>
    <cellStyle name="Comma 16 2" xfId="15" xr:uid="{00000000-0005-0000-0000-00001A000000}"/>
    <cellStyle name="Comma 16 2 2" xfId="160" xr:uid="{00000000-0005-0000-0000-00001B000000}"/>
    <cellStyle name="Comma 16 3" xfId="159" xr:uid="{00000000-0005-0000-0000-00001C000000}"/>
    <cellStyle name="Comma 17" xfId="16" xr:uid="{00000000-0005-0000-0000-00001D000000}"/>
    <cellStyle name="Comma 17 2" xfId="17" xr:uid="{00000000-0005-0000-0000-00001E000000}"/>
    <cellStyle name="Comma 17 2 2" xfId="162" xr:uid="{00000000-0005-0000-0000-00001F000000}"/>
    <cellStyle name="Comma 17 3" xfId="161" xr:uid="{00000000-0005-0000-0000-000020000000}"/>
    <cellStyle name="Comma 18" xfId="18" xr:uid="{00000000-0005-0000-0000-000021000000}"/>
    <cellStyle name="Comma 18 2" xfId="19" xr:uid="{00000000-0005-0000-0000-000022000000}"/>
    <cellStyle name="Comma 18 2 2" xfId="164" xr:uid="{00000000-0005-0000-0000-000023000000}"/>
    <cellStyle name="Comma 18 3" xfId="163" xr:uid="{00000000-0005-0000-0000-000024000000}"/>
    <cellStyle name="Comma 19" xfId="146" xr:uid="{00000000-0005-0000-0000-000025000000}"/>
    <cellStyle name="Comma 2" xfId="20" xr:uid="{00000000-0005-0000-0000-000026000000}"/>
    <cellStyle name="Comma 2 2" xfId="21" xr:uid="{00000000-0005-0000-0000-000027000000}"/>
    <cellStyle name="Comma 2 2 2" xfId="166" xr:uid="{00000000-0005-0000-0000-000028000000}"/>
    <cellStyle name="Comma 2 3" xfId="165" xr:uid="{00000000-0005-0000-0000-000029000000}"/>
    <cellStyle name="Comma 3" xfId="22" xr:uid="{00000000-0005-0000-0000-00002A000000}"/>
    <cellStyle name="Comma 3 2" xfId="23" xr:uid="{00000000-0005-0000-0000-00002B000000}"/>
    <cellStyle name="Comma 3 2 2" xfId="168" xr:uid="{00000000-0005-0000-0000-00002C000000}"/>
    <cellStyle name="Comma 3 3" xfId="167" xr:uid="{00000000-0005-0000-0000-00002D000000}"/>
    <cellStyle name="Comma 4" xfId="24" xr:uid="{00000000-0005-0000-0000-00002E000000}"/>
    <cellStyle name="Comma 4 2" xfId="25" xr:uid="{00000000-0005-0000-0000-00002F000000}"/>
    <cellStyle name="Comma 4 2 2" xfId="170" xr:uid="{00000000-0005-0000-0000-000030000000}"/>
    <cellStyle name="Comma 4 3" xfId="169" xr:uid="{00000000-0005-0000-0000-000031000000}"/>
    <cellStyle name="Comma 5" xfId="26" xr:uid="{00000000-0005-0000-0000-000032000000}"/>
    <cellStyle name="Comma 5 2" xfId="27" xr:uid="{00000000-0005-0000-0000-000033000000}"/>
    <cellStyle name="Comma 5 2 2" xfId="172" xr:uid="{00000000-0005-0000-0000-000034000000}"/>
    <cellStyle name="Comma 5 3" xfId="171" xr:uid="{00000000-0005-0000-0000-000035000000}"/>
    <cellStyle name="Comma 6" xfId="28" xr:uid="{00000000-0005-0000-0000-000036000000}"/>
    <cellStyle name="Comma 6 2" xfId="29" xr:uid="{00000000-0005-0000-0000-000037000000}"/>
    <cellStyle name="Comma 6 2 2" xfId="174" xr:uid="{00000000-0005-0000-0000-000038000000}"/>
    <cellStyle name="Comma 6 3" xfId="173" xr:uid="{00000000-0005-0000-0000-000039000000}"/>
    <cellStyle name="Comma 7" xfId="30" xr:uid="{00000000-0005-0000-0000-00003A000000}"/>
    <cellStyle name="Comma 7 2" xfId="31" xr:uid="{00000000-0005-0000-0000-00003B000000}"/>
    <cellStyle name="Comma 7 2 2" xfId="176" xr:uid="{00000000-0005-0000-0000-00003C000000}"/>
    <cellStyle name="Comma 7 3" xfId="175" xr:uid="{00000000-0005-0000-0000-00003D000000}"/>
    <cellStyle name="Comma 8" xfId="32" xr:uid="{00000000-0005-0000-0000-00003E000000}"/>
    <cellStyle name="Comma 8 2" xfId="33" xr:uid="{00000000-0005-0000-0000-00003F000000}"/>
    <cellStyle name="Comma 8 2 2" xfId="178" xr:uid="{00000000-0005-0000-0000-000040000000}"/>
    <cellStyle name="Comma 8 3" xfId="177" xr:uid="{00000000-0005-0000-0000-000041000000}"/>
    <cellStyle name="Comma 9" xfId="34" xr:uid="{00000000-0005-0000-0000-000042000000}"/>
    <cellStyle name="Comma 9 2" xfId="35" xr:uid="{00000000-0005-0000-0000-000043000000}"/>
    <cellStyle name="Comma 9 2 2" xfId="180" xr:uid="{00000000-0005-0000-0000-000044000000}"/>
    <cellStyle name="Comma 9 3" xfId="179" xr:uid="{00000000-0005-0000-0000-000045000000}"/>
    <cellStyle name="Normal" xfId="0" builtinId="0"/>
    <cellStyle name="Normal 2" xfId="145" xr:uid="{00000000-0005-0000-0000-000047000000}"/>
    <cellStyle name="Normal 2 2" xfId="36" xr:uid="{00000000-0005-0000-0000-000048000000}"/>
    <cellStyle name="Normal 2 2 2" xfId="37" xr:uid="{00000000-0005-0000-0000-000049000000}"/>
    <cellStyle name="Normal 2 2 2 2" xfId="38" xr:uid="{00000000-0005-0000-0000-00004A000000}"/>
    <cellStyle name="Normal 2 2 2 2 2" xfId="39" xr:uid="{00000000-0005-0000-0000-00004B000000}"/>
    <cellStyle name="Normal 2 2 2 2 2 2" xfId="40" xr:uid="{00000000-0005-0000-0000-00004C000000}"/>
    <cellStyle name="Normal 2 2 2 2 2 2 2" xfId="41" xr:uid="{00000000-0005-0000-0000-00004D000000}"/>
    <cellStyle name="Normal 2 2 2 2 2 2 2 2" xfId="186" xr:uid="{00000000-0005-0000-0000-00004E000000}"/>
    <cellStyle name="Normal 2 2 2 2 2 2 3" xfId="185" xr:uid="{00000000-0005-0000-0000-00004F000000}"/>
    <cellStyle name="Normal 2 2 2 2 2 3" xfId="184" xr:uid="{00000000-0005-0000-0000-000050000000}"/>
    <cellStyle name="Normal 2 2 2 2 3" xfId="42" xr:uid="{00000000-0005-0000-0000-000051000000}"/>
    <cellStyle name="Normal 2 2 2 2 3 2" xfId="43" xr:uid="{00000000-0005-0000-0000-000052000000}"/>
    <cellStyle name="Normal 2 2 2 2 3 2 2" xfId="188" xr:uid="{00000000-0005-0000-0000-000053000000}"/>
    <cellStyle name="Normal 2 2 2 2 3 3" xfId="187" xr:uid="{00000000-0005-0000-0000-000054000000}"/>
    <cellStyle name="Normal 2 2 2 2 4" xfId="44" xr:uid="{00000000-0005-0000-0000-000055000000}"/>
    <cellStyle name="Normal 2 2 2 2 4 2" xfId="189" xr:uid="{00000000-0005-0000-0000-000056000000}"/>
    <cellStyle name="Normal 2 2 2 2 5" xfId="183" xr:uid="{00000000-0005-0000-0000-000057000000}"/>
    <cellStyle name="Normal 2 2 2 3" xfId="45" xr:uid="{00000000-0005-0000-0000-000058000000}"/>
    <cellStyle name="Normal 2 2 2 3 2" xfId="46" xr:uid="{00000000-0005-0000-0000-000059000000}"/>
    <cellStyle name="Normal 2 2 2 3 2 2" xfId="191" xr:uid="{00000000-0005-0000-0000-00005A000000}"/>
    <cellStyle name="Normal 2 2 2 3 3" xfId="47" xr:uid="{00000000-0005-0000-0000-00005B000000}"/>
    <cellStyle name="Normal 2 2 2 3 3 2" xfId="192" xr:uid="{00000000-0005-0000-0000-00005C000000}"/>
    <cellStyle name="Normal 2 2 2 3 4" xfId="190" xr:uid="{00000000-0005-0000-0000-00005D000000}"/>
    <cellStyle name="Normal 2 2 2 4" xfId="182" xr:uid="{00000000-0005-0000-0000-00005E000000}"/>
    <cellStyle name="Normal 2 2 3" xfId="48" xr:uid="{00000000-0005-0000-0000-00005F000000}"/>
    <cellStyle name="Normal 2 2 3 2" xfId="49" xr:uid="{00000000-0005-0000-0000-000060000000}"/>
    <cellStyle name="Normal 2 2 3 2 2" xfId="194" xr:uid="{00000000-0005-0000-0000-000061000000}"/>
    <cellStyle name="Normal 2 2 3 3" xfId="193" xr:uid="{00000000-0005-0000-0000-000062000000}"/>
    <cellStyle name="Normal 2 2 4" xfId="50" xr:uid="{00000000-0005-0000-0000-000063000000}"/>
    <cellStyle name="Normal 2 2 4 2" xfId="51" xr:uid="{00000000-0005-0000-0000-000064000000}"/>
    <cellStyle name="Normal 2 2 4 2 2" xfId="52" xr:uid="{00000000-0005-0000-0000-000065000000}"/>
    <cellStyle name="Normal 2 2 4 2 2 2" xfId="197" xr:uid="{00000000-0005-0000-0000-000066000000}"/>
    <cellStyle name="Normal 2 2 4 2 3" xfId="196" xr:uid="{00000000-0005-0000-0000-000067000000}"/>
    <cellStyle name="Normal 2 2 4 3" xfId="195" xr:uid="{00000000-0005-0000-0000-000068000000}"/>
    <cellStyle name="Normal 2 2 5" xfId="53" xr:uid="{00000000-0005-0000-0000-000069000000}"/>
    <cellStyle name="Normal 2 2 5 2" xfId="54" xr:uid="{00000000-0005-0000-0000-00006A000000}"/>
    <cellStyle name="Normal 2 2 5 2 2" xfId="199" xr:uid="{00000000-0005-0000-0000-00006B000000}"/>
    <cellStyle name="Normal 2 2 5 3" xfId="198" xr:uid="{00000000-0005-0000-0000-00006C000000}"/>
    <cellStyle name="Normal 2 2 6" xfId="55" xr:uid="{00000000-0005-0000-0000-00006D000000}"/>
    <cellStyle name="Normal 2 2 6 2" xfId="200" xr:uid="{00000000-0005-0000-0000-00006E000000}"/>
    <cellStyle name="Normal 2 2 7" xfId="181" xr:uid="{00000000-0005-0000-0000-00006F000000}"/>
    <cellStyle name="Normal 2 3" xfId="56" xr:uid="{00000000-0005-0000-0000-000070000000}"/>
    <cellStyle name="Normal 2 3 2" xfId="57" xr:uid="{00000000-0005-0000-0000-000071000000}"/>
    <cellStyle name="Normal 2 3 2 2" xfId="202" xr:uid="{00000000-0005-0000-0000-000072000000}"/>
    <cellStyle name="Normal 2 3 3" xfId="201" xr:uid="{00000000-0005-0000-0000-000073000000}"/>
    <cellStyle name="Normal 2 4" xfId="58" xr:uid="{00000000-0005-0000-0000-000074000000}"/>
    <cellStyle name="Normal 2 4 2" xfId="59" xr:uid="{00000000-0005-0000-0000-000075000000}"/>
    <cellStyle name="Normal 2 4 2 2" xfId="60" xr:uid="{00000000-0005-0000-0000-000076000000}"/>
    <cellStyle name="Normal 2 4 2 2 2" xfId="61" xr:uid="{00000000-0005-0000-0000-000077000000}"/>
    <cellStyle name="Normal 2 4 2 2 2 2" xfId="206" xr:uid="{00000000-0005-0000-0000-000078000000}"/>
    <cellStyle name="Normal 2 4 2 2 3" xfId="62" xr:uid="{00000000-0005-0000-0000-000079000000}"/>
    <cellStyle name="Normal 2 4 2 2 3 2" xfId="207" xr:uid="{00000000-0005-0000-0000-00007A000000}"/>
    <cellStyle name="Normal 2 4 2 2 4" xfId="205" xr:uid="{00000000-0005-0000-0000-00007B000000}"/>
    <cellStyle name="Normal 2 4 2 3" xfId="63" xr:uid="{00000000-0005-0000-0000-00007C000000}"/>
    <cellStyle name="Normal 2 4 2 3 2" xfId="208" xr:uid="{00000000-0005-0000-0000-00007D000000}"/>
    <cellStyle name="Normal 2 4 2 4" xfId="204" xr:uid="{00000000-0005-0000-0000-00007E000000}"/>
    <cellStyle name="Normal 2 4 3" xfId="64" xr:uid="{00000000-0005-0000-0000-00007F000000}"/>
    <cellStyle name="Normal 2 4 3 2" xfId="65" xr:uid="{00000000-0005-0000-0000-000080000000}"/>
    <cellStyle name="Normal 2 4 3 2 2" xfId="66" xr:uid="{00000000-0005-0000-0000-000081000000}"/>
    <cellStyle name="Normal 2 4 3 2 2 2" xfId="211" xr:uid="{00000000-0005-0000-0000-000082000000}"/>
    <cellStyle name="Normal 2 4 3 2 3" xfId="210" xr:uid="{00000000-0005-0000-0000-000083000000}"/>
    <cellStyle name="Normal 2 4 3 3" xfId="209" xr:uid="{00000000-0005-0000-0000-000084000000}"/>
    <cellStyle name="Normal 2 4 4" xfId="67" xr:uid="{00000000-0005-0000-0000-000085000000}"/>
    <cellStyle name="Normal 2 4 4 2" xfId="212" xr:uid="{00000000-0005-0000-0000-000086000000}"/>
    <cellStyle name="Normal 2 4 5" xfId="203" xr:uid="{00000000-0005-0000-0000-000087000000}"/>
    <cellStyle name="Normal 2 5" xfId="68" xr:uid="{00000000-0005-0000-0000-000088000000}"/>
    <cellStyle name="Normal 2 5 2" xfId="69" xr:uid="{00000000-0005-0000-0000-000089000000}"/>
    <cellStyle name="Normal 2 5 2 2" xfId="214" xr:uid="{00000000-0005-0000-0000-00008A000000}"/>
    <cellStyle name="Normal 2 5 3" xfId="70" xr:uid="{00000000-0005-0000-0000-00008B000000}"/>
    <cellStyle name="Normal 2 5 3 2" xfId="215" xr:uid="{00000000-0005-0000-0000-00008C000000}"/>
    <cellStyle name="Normal 2 5 4" xfId="213" xr:uid="{00000000-0005-0000-0000-00008D000000}"/>
    <cellStyle name="Normal 2 6" xfId="71" xr:uid="{00000000-0005-0000-0000-00008E000000}"/>
    <cellStyle name="Normal 2 6 2" xfId="216" xr:uid="{00000000-0005-0000-0000-00008F000000}"/>
    <cellStyle name="Normal 2 7" xfId="72" xr:uid="{00000000-0005-0000-0000-000090000000}"/>
    <cellStyle name="Normal 2 7 2" xfId="73" xr:uid="{00000000-0005-0000-0000-000091000000}"/>
    <cellStyle name="Normal 2 7 2 2" xfId="218" xr:uid="{00000000-0005-0000-0000-000092000000}"/>
    <cellStyle name="Normal 2 7 3" xfId="217" xr:uid="{00000000-0005-0000-0000-000093000000}"/>
    <cellStyle name="Normal 2 8" xfId="74" xr:uid="{00000000-0005-0000-0000-000094000000}"/>
    <cellStyle name="Normal 2 8 2" xfId="75" xr:uid="{00000000-0005-0000-0000-000095000000}"/>
    <cellStyle name="Normal 2 8 2 2" xfId="220" xr:uid="{00000000-0005-0000-0000-000096000000}"/>
    <cellStyle name="Normal 2 8 3" xfId="219" xr:uid="{00000000-0005-0000-0000-000097000000}"/>
    <cellStyle name="Normal 3" xfId="144" xr:uid="{00000000-0005-0000-0000-000098000000}"/>
    <cellStyle name="Normal 3 2" xfId="76" xr:uid="{00000000-0005-0000-0000-000099000000}"/>
    <cellStyle name="Normal 3 2 2" xfId="77" xr:uid="{00000000-0005-0000-0000-00009A000000}"/>
    <cellStyle name="Normal 3 2 2 2" xfId="78" xr:uid="{00000000-0005-0000-0000-00009B000000}"/>
    <cellStyle name="Normal 3 2 2 2 2" xfId="79" xr:uid="{00000000-0005-0000-0000-00009C000000}"/>
    <cellStyle name="Normal 3 2 2 2 2 2" xfId="224" xr:uid="{00000000-0005-0000-0000-00009D000000}"/>
    <cellStyle name="Normal 3 2 2 2 3" xfId="80" xr:uid="{00000000-0005-0000-0000-00009E000000}"/>
    <cellStyle name="Normal 3 2 2 2 3 2" xfId="225" xr:uid="{00000000-0005-0000-0000-00009F000000}"/>
    <cellStyle name="Normal 3 2 2 2 4" xfId="223" xr:uid="{00000000-0005-0000-0000-0000A0000000}"/>
    <cellStyle name="Normal 3 2 2 3" xfId="81" xr:uid="{00000000-0005-0000-0000-0000A1000000}"/>
    <cellStyle name="Normal 3 2 2 3 2" xfId="226" xr:uid="{00000000-0005-0000-0000-0000A2000000}"/>
    <cellStyle name="Normal 3 2 2 4" xfId="222" xr:uid="{00000000-0005-0000-0000-0000A3000000}"/>
    <cellStyle name="Normal 3 2 3" xfId="82" xr:uid="{00000000-0005-0000-0000-0000A4000000}"/>
    <cellStyle name="Normal 3 2 3 2" xfId="83" xr:uid="{00000000-0005-0000-0000-0000A5000000}"/>
    <cellStyle name="Normal 3 2 3 2 2" xfId="84" xr:uid="{00000000-0005-0000-0000-0000A6000000}"/>
    <cellStyle name="Normal 3 2 3 2 2 2" xfId="229" xr:uid="{00000000-0005-0000-0000-0000A7000000}"/>
    <cellStyle name="Normal 3 2 3 2 3" xfId="228" xr:uid="{00000000-0005-0000-0000-0000A8000000}"/>
    <cellStyle name="Normal 3 2 3 3" xfId="227" xr:uid="{00000000-0005-0000-0000-0000A9000000}"/>
    <cellStyle name="Normal 3 2 4" xfId="85" xr:uid="{00000000-0005-0000-0000-0000AA000000}"/>
    <cellStyle name="Normal 3 2 4 2" xfId="230" xr:uid="{00000000-0005-0000-0000-0000AB000000}"/>
    <cellStyle name="Normal 3 2 5" xfId="221" xr:uid="{00000000-0005-0000-0000-0000AC000000}"/>
    <cellStyle name="Normal 3 3" xfId="86" xr:uid="{00000000-0005-0000-0000-0000AD000000}"/>
    <cellStyle name="Normal 3 3 2" xfId="231" xr:uid="{00000000-0005-0000-0000-0000AE000000}"/>
    <cellStyle name="Normal 3 4" xfId="87" xr:uid="{00000000-0005-0000-0000-0000AF000000}"/>
    <cellStyle name="Normal 3 4 2" xfId="88" xr:uid="{00000000-0005-0000-0000-0000B0000000}"/>
    <cellStyle name="Normal 3 4 2 2" xfId="233" xr:uid="{00000000-0005-0000-0000-0000B1000000}"/>
    <cellStyle name="Normal 3 4 3" xfId="89" xr:uid="{00000000-0005-0000-0000-0000B2000000}"/>
    <cellStyle name="Normal 3 4 3 2" xfId="234" xr:uid="{00000000-0005-0000-0000-0000B3000000}"/>
    <cellStyle name="Normal 3 4 4" xfId="232" xr:uid="{00000000-0005-0000-0000-0000B4000000}"/>
    <cellStyle name="Normal 3 5" xfId="90" xr:uid="{00000000-0005-0000-0000-0000B5000000}"/>
    <cellStyle name="Normal 3 5 2" xfId="235" xr:uid="{00000000-0005-0000-0000-0000B6000000}"/>
    <cellStyle name="Normal 3 6" xfId="91" xr:uid="{00000000-0005-0000-0000-0000B7000000}"/>
    <cellStyle name="Normal 3 6 2" xfId="92" xr:uid="{00000000-0005-0000-0000-0000B8000000}"/>
    <cellStyle name="Normal 3 6 2 2" xfId="237" xr:uid="{00000000-0005-0000-0000-0000B9000000}"/>
    <cellStyle name="Normal 3 6 3" xfId="236" xr:uid="{00000000-0005-0000-0000-0000BA000000}"/>
    <cellStyle name="Normal 4" xfId="291" xr:uid="{B36A1245-C081-44CF-A01F-15B5C9E329C1}"/>
    <cellStyle name="Normal 4 2" xfId="93" xr:uid="{00000000-0005-0000-0000-0000BB000000}"/>
    <cellStyle name="Normal 4 2 2" xfId="94" xr:uid="{00000000-0005-0000-0000-0000BC000000}"/>
    <cellStyle name="Normal 4 2 2 2" xfId="239" xr:uid="{00000000-0005-0000-0000-0000BD000000}"/>
    <cellStyle name="Normal 4 2 3" xfId="238" xr:uid="{00000000-0005-0000-0000-0000BE000000}"/>
    <cellStyle name="Normal 4 3" xfId="95" xr:uid="{00000000-0005-0000-0000-0000BF000000}"/>
    <cellStyle name="Normal 4 3 2" xfId="96" xr:uid="{00000000-0005-0000-0000-0000C0000000}"/>
    <cellStyle name="Normal 4 3 2 2" xfId="241" xr:uid="{00000000-0005-0000-0000-0000C1000000}"/>
    <cellStyle name="Normal 4 3 3" xfId="240" xr:uid="{00000000-0005-0000-0000-0000C2000000}"/>
    <cellStyle name="Normal 4 4" xfId="97" xr:uid="{00000000-0005-0000-0000-0000C3000000}"/>
    <cellStyle name="Normal 4 4 2" xfId="98" xr:uid="{00000000-0005-0000-0000-0000C4000000}"/>
    <cellStyle name="Normal 4 4 2 2" xfId="243" xr:uid="{00000000-0005-0000-0000-0000C5000000}"/>
    <cellStyle name="Normal 4 4 3" xfId="242" xr:uid="{00000000-0005-0000-0000-0000C6000000}"/>
    <cellStyle name="Normal 4 5" xfId="99" xr:uid="{00000000-0005-0000-0000-0000C7000000}"/>
    <cellStyle name="Normal 4 5 2" xfId="100" xr:uid="{00000000-0005-0000-0000-0000C8000000}"/>
    <cellStyle name="Normal 4 5 2 2" xfId="245" xr:uid="{00000000-0005-0000-0000-0000C9000000}"/>
    <cellStyle name="Normal 4 5 3" xfId="244" xr:uid="{00000000-0005-0000-0000-0000CA000000}"/>
    <cellStyle name="Normal 4 6" xfId="101" xr:uid="{00000000-0005-0000-0000-0000CB000000}"/>
    <cellStyle name="Normal 4 6 2" xfId="102" xr:uid="{00000000-0005-0000-0000-0000CC000000}"/>
    <cellStyle name="Normal 4 6 2 2" xfId="247" xr:uid="{00000000-0005-0000-0000-0000CD000000}"/>
    <cellStyle name="Normal 4 6 3" xfId="246" xr:uid="{00000000-0005-0000-0000-0000CE000000}"/>
    <cellStyle name="Normal 4 7" xfId="103" xr:uid="{00000000-0005-0000-0000-0000CF000000}"/>
    <cellStyle name="Normal 4 7 2" xfId="104" xr:uid="{00000000-0005-0000-0000-0000D0000000}"/>
    <cellStyle name="Normal 4 7 2 2" xfId="290" xr:uid="{00000000-0005-0000-0000-0000D1000000}"/>
    <cellStyle name="Normal 4 7 2 3" xfId="249" xr:uid="{00000000-0005-0000-0000-0000D2000000}"/>
    <cellStyle name="Normal 4 7 3" xfId="289" xr:uid="{00000000-0005-0000-0000-0000D3000000}"/>
    <cellStyle name="Normal 4 7 4" xfId="248" xr:uid="{00000000-0005-0000-0000-0000D4000000}"/>
    <cellStyle name="Normal 5 2" xfId="105" xr:uid="{00000000-0005-0000-0000-0000D5000000}"/>
    <cellStyle name="Normal 5 2 2" xfId="106" xr:uid="{00000000-0005-0000-0000-0000D6000000}"/>
    <cellStyle name="Normal 5 2 2 2" xfId="251" xr:uid="{00000000-0005-0000-0000-0000D7000000}"/>
    <cellStyle name="Normal 5 2 3" xfId="250" xr:uid="{00000000-0005-0000-0000-0000D8000000}"/>
    <cellStyle name="Normal 6" xfId="107" xr:uid="{00000000-0005-0000-0000-0000D9000000}"/>
    <cellStyle name="Normal 6 2" xfId="108" xr:uid="{00000000-0005-0000-0000-0000DA000000}"/>
    <cellStyle name="Normal 6 2 2" xfId="253" xr:uid="{00000000-0005-0000-0000-0000DB000000}"/>
    <cellStyle name="Normal 6 3" xfId="252" xr:uid="{00000000-0005-0000-0000-0000DC000000}"/>
    <cellStyle name="Percent" xfId="109" builtinId="5"/>
    <cellStyle name="Percent 10" xfId="110" xr:uid="{00000000-0005-0000-0000-0000DE000000}"/>
    <cellStyle name="Percent 10 2" xfId="111" xr:uid="{00000000-0005-0000-0000-0000DF000000}"/>
    <cellStyle name="Percent 10 2 2" xfId="256" xr:uid="{00000000-0005-0000-0000-0000E0000000}"/>
    <cellStyle name="Percent 10 3" xfId="255" xr:uid="{00000000-0005-0000-0000-0000E1000000}"/>
    <cellStyle name="Percent 11" xfId="112" xr:uid="{00000000-0005-0000-0000-0000E2000000}"/>
    <cellStyle name="Percent 11 2" xfId="113" xr:uid="{00000000-0005-0000-0000-0000E3000000}"/>
    <cellStyle name="Percent 11 2 2" xfId="258" xr:uid="{00000000-0005-0000-0000-0000E4000000}"/>
    <cellStyle name="Percent 11 3" xfId="257" xr:uid="{00000000-0005-0000-0000-0000E5000000}"/>
    <cellStyle name="Percent 12" xfId="114" xr:uid="{00000000-0005-0000-0000-0000E6000000}"/>
    <cellStyle name="Percent 12 2" xfId="115" xr:uid="{00000000-0005-0000-0000-0000E7000000}"/>
    <cellStyle name="Percent 12 2 2" xfId="260" xr:uid="{00000000-0005-0000-0000-0000E8000000}"/>
    <cellStyle name="Percent 12 3" xfId="259" xr:uid="{00000000-0005-0000-0000-0000E9000000}"/>
    <cellStyle name="Percent 13" xfId="116" xr:uid="{00000000-0005-0000-0000-0000EA000000}"/>
    <cellStyle name="Percent 13 2" xfId="117" xr:uid="{00000000-0005-0000-0000-0000EB000000}"/>
    <cellStyle name="Percent 13 2 2" xfId="262" xr:uid="{00000000-0005-0000-0000-0000EC000000}"/>
    <cellStyle name="Percent 13 3" xfId="261" xr:uid="{00000000-0005-0000-0000-0000ED000000}"/>
    <cellStyle name="Percent 14" xfId="118" xr:uid="{00000000-0005-0000-0000-0000EE000000}"/>
    <cellStyle name="Percent 14 2" xfId="119" xr:uid="{00000000-0005-0000-0000-0000EF000000}"/>
    <cellStyle name="Percent 14 2 2" xfId="264" xr:uid="{00000000-0005-0000-0000-0000F0000000}"/>
    <cellStyle name="Percent 14 3" xfId="263" xr:uid="{00000000-0005-0000-0000-0000F1000000}"/>
    <cellStyle name="Percent 15" xfId="120" xr:uid="{00000000-0005-0000-0000-0000F2000000}"/>
    <cellStyle name="Percent 15 2" xfId="121" xr:uid="{00000000-0005-0000-0000-0000F3000000}"/>
    <cellStyle name="Percent 15 2 2" xfId="266" xr:uid="{00000000-0005-0000-0000-0000F4000000}"/>
    <cellStyle name="Percent 15 3" xfId="265" xr:uid="{00000000-0005-0000-0000-0000F5000000}"/>
    <cellStyle name="Percent 16" xfId="122" xr:uid="{00000000-0005-0000-0000-0000F6000000}"/>
    <cellStyle name="Percent 16 2" xfId="123" xr:uid="{00000000-0005-0000-0000-0000F7000000}"/>
    <cellStyle name="Percent 16 2 2" xfId="268" xr:uid="{00000000-0005-0000-0000-0000F8000000}"/>
    <cellStyle name="Percent 16 3" xfId="267" xr:uid="{00000000-0005-0000-0000-0000F9000000}"/>
    <cellStyle name="Percent 17" xfId="124" xr:uid="{00000000-0005-0000-0000-0000FA000000}"/>
    <cellStyle name="Percent 17 2" xfId="125" xr:uid="{00000000-0005-0000-0000-0000FB000000}"/>
    <cellStyle name="Percent 17 2 2" xfId="270" xr:uid="{00000000-0005-0000-0000-0000FC000000}"/>
    <cellStyle name="Percent 17 3" xfId="269" xr:uid="{00000000-0005-0000-0000-0000FD000000}"/>
    <cellStyle name="Percent 18" xfId="126" xr:uid="{00000000-0005-0000-0000-0000FE000000}"/>
    <cellStyle name="Percent 18 2" xfId="127" xr:uid="{00000000-0005-0000-0000-0000FF000000}"/>
    <cellStyle name="Percent 18 2 2" xfId="272" xr:uid="{00000000-0005-0000-0000-000000010000}"/>
    <cellStyle name="Percent 18 3" xfId="271" xr:uid="{00000000-0005-0000-0000-000001010000}"/>
    <cellStyle name="Percent 19" xfId="254" xr:uid="{00000000-0005-0000-0000-000002010000}"/>
    <cellStyle name="Percent 2" xfId="128" xr:uid="{00000000-0005-0000-0000-000003010000}"/>
    <cellStyle name="Percent 2 2" xfId="129" xr:uid="{00000000-0005-0000-0000-000004010000}"/>
    <cellStyle name="Percent 2 2 2" xfId="274" xr:uid="{00000000-0005-0000-0000-000005010000}"/>
    <cellStyle name="Percent 2 3" xfId="273" xr:uid="{00000000-0005-0000-0000-000006010000}"/>
    <cellStyle name="Percent 3" xfId="130" xr:uid="{00000000-0005-0000-0000-000007010000}"/>
    <cellStyle name="Percent 3 2" xfId="131" xr:uid="{00000000-0005-0000-0000-000008010000}"/>
    <cellStyle name="Percent 3 2 2" xfId="276" xr:uid="{00000000-0005-0000-0000-000009010000}"/>
    <cellStyle name="Percent 3 3" xfId="275" xr:uid="{00000000-0005-0000-0000-00000A010000}"/>
    <cellStyle name="Percent 4" xfId="132" xr:uid="{00000000-0005-0000-0000-00000B010000}"/>
    <cellStyle name="Percent 4 2" xfId="133" xr:uid="{00000000-0005-0000-0000-00000C010000}"/>
    <cellStyle name="Percent 4 2 2" xfId="278" xr:uid="{00000000-0005-0000-0000-00000D010000}"/>
    <cellStyle name="Percent 4 3" xfId="277" xr:uid="{00000000-0005-0000-0000-00000E010000}"/>
    <cellStyle name="Percent 5" xfId="134" xr:uid="{00000000-0005-0000-0000-00000F010000}"/>
    <cellStyle name="Percent 5 2" xfId="135" xr:uid="{00000000-0005-0000-0000-000010010000}"/>
    <cellStyle name="Percent 5 2 2" xfId="280" xr:uid="{00000000-0005-0000-0000-000011010000}"/>
    <cellStyle name="Percent 5 3" xfId="279" xr:uid="{00000000-0005-0000-0000-000012010000}"/>
    <cellStyle name="Percent 6" xfId="136" xr:uid="{00000000-0005-0000-0000-000013010000}"/>
    <cellStyle name="Percent 6 2" xfId="137" xr:uid="{00000000-0005-0000-0000-000014010000}"/>
    <cellStyle name="Percent 6 2 2" xfId="282" xr:uid="{00000000-0005-0000-0000-000015010000}"/>
    <cellStyle name="Percent 6 3" xfId="281" xr:uid="{00000000-0005-0000-0000-000016010000}"/>
    <cellStyle name="Percent 7" xfId="138" xr:uid="{00000000-0005-0000-0000-000017010000}"/>
    <cellStyle name="Percent 7 2" xfId="139" xr:uid="{00000000-0005-0000-0000-000018010000}"/>
    <cellStyle name="Percent 7 2 2" xfId="284" xr:uid="{00000000-0005-0000-0000-000019010000}"/>
    <cellStyle name="Percent 7 3" xfId="283" xr:uid="{00000000-0005-0000-0000-00001A010000}"/>
    <cellStyle name="Percent 8" xfId="140" xr:uid="{00000000-0005-0000-0000-00001B010000}"/>
    <cellStyle name="Percent 8 2" xfId="141" xr:uid="{00000000-0005-0000-0000-00001C010000}"/>
    <cellStyle name="Percent 8 2 2" xfId="286" xr:uid="{00000000-0005-0000-0000-00001D010000}"/>
    <cellStyle name="Percent 8 3" xfId="285" xr:uid="{00000000-0005-0000-0000-00001E010000}"/>
    <cellStyle name="Percent 9" xfId="142" xr:uid="{00000000-0005-0000-0000-00001F010000}"/>
    <cellStyle name="Percent 9 2" xfId="143" xr:uid="{00000000-0005-0000-0000-000020010000}"/>
    <cellStyle name="Percent 9 2 2" xfId="288" xr:uid="{00000000-0005-0000-0000-000021010000}"/>
    <cellStyle name="Percent 9 3" xfId="287" xr:uid="{00000000-0005-0000-0000-000022010000}"/>
  </cellStyles>
  <dxfs count="116">
    <dxf>
      <font>
        <condense val="0"/>
        <extend val="0"/>
        <color indexed="10"/>
      </font>
    </dxf>
    <dxf>
      <font>
        <color rgb="FFFF0000"/>
      </font>
    </dxf>
    <dxf>
      <font>
        <b/>
        <i val="0"/>
        <condense val="0"/>
        <extend val="0"/>
        <color indexed="48"/>
      </font>
    </dxf>
    <dxf>
      <font>
        <condense val="0"/>
        <extend val="0"/>
        <color indexed="10"/>
      </font>
    </dxf>
    <dxf>
      <font>
        <condense val="0"/>
        <extend val="0"/>
        <color indexed="10"/>
      </font>
    </dxf>
    <dxf>
      <font>
        <b/>
        <i val="0"/>
        <color theme="0"/>
      </font>
      <fill>
        <patternFill>
          <bgColor rgb="FFFF0000"/>
        </patternFill>
      </fill>
    </dxf>
    <dxf>
      <font>
        <condense val="0"/>
        <extend val="0"/>
        <color indexed="10"/>
      </font>
    </dxf>
    <dxf>
      <font>
        <b/>
        <i/>
        <condense val="0"/>
        <extend val="0"/>
        <color indexed="12"/>
      </font>
    </dxf>
    <dxf>
      <font>
        <b/>
        <i val="0"/>
        <condense val="0"/>
        <extend val="0"/>
        <color indexed="10"/>
      </font>
    </dxf>
    <dxf>
      <font>
        <condense val="0"/>
        <extend val="0"/>
        <color indexed="14"/>
      </font>
    </dxf>
    <dxf>
      <font>
        <b/>
        <i val="0"/>
        <condense val="0"/>
        <extend val="0"/>
        <color indexed="48"/>
      </font>
    </dxf>
    <dxf>
      <font>
        <condense val="0"/>
        <extend val="0"/>
        <color indexed="10"/>
      </font>
    </dxf>
    <dxf>
      <font>
        <color rgb="FFFF0000"/>
      </font>
    </dxf>
    <dxf>
      <font>
        <color rgb="FF0070C0"/>
      </font>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color rgb="FFFF0000"/>
      </font>
    </dxf>
    <dxf>
      <font>
        <b/>
        <i val="0"/>
        <color theme="0"/>
      </font>
      <fill>
        <patternFill>
          <bgColor rgb="FFFF0000"/>
        </patternFill>
      </fill>
    </dxf>
    <dxf>
      <font>
        <color rgb="FFFF0000"/>
      </font>
    </dxf>
    <dxf>
      <font>
        <color rgb="FFFF0000"/>
      </font>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condense val="0"/>
        <extend val="0"/>
        <color indexed="10"/>
      </font>
    </dxf>
    <dxf>
      <font>
        <condense val="0"/>
        <extend val="0"/>
        <color indexed="10"/>
      </font>
    </dxf>
    <dxf>
      <font>
        <condense val="0"/>
        <extend val="0"/>
        <color indexed="10"/>
      </font>
    </dxf>
    <dxf>
      <font>
        <color rgb="FFFF0000"/>
      </font>
    </dxf>
    <dxf>
      <font>
        <color rgb="FF0070C0"/>
      </font>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val="0"/>
        <i val="0"/>
        <color rgb="FFFF0000"/>
      </font>
    </dxf>
    <dxf>
      <font>
        <color rgb="FFFF0000"/>
      </font>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condense val="0"/>
        <extend val="0"/>
        <color indexed="10"/>
      </font>
    </dxf>
    <dxf>
      <font>
        <color rgb="FFFF0000"/>
      </font>
    </dxf>
    <dxf>
      <font>
        <color rgb="FF0070C0"/>
      </font>
    </dxf>
    <dxf>
      <font>
        <color rgb="FFFF0000"/>
      </font>
    </dxf>
    <dxf>
      <font>
        <color rgb="FF0070C0"/>
      </font>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color rgb="FFFF0000"/>
      </font>
    </dxf>
    <dxf>
      <font>
        <color rgb="FFFF0000"/>
      </font>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condense val="0"/>
        <extend val="0"/>
        <color indexed="10"/>
      </font>
    </dxf>
    <dxf>
      <font>
        <color rgb="FFFF0000"/>
      </font>
    </dxf>
    <dxf>
      <font>
        <color rgb="FF0070C0"/>
      </font>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val="0"/>
        <i val="0"/>
        <color rgb="FFFF0000"/>
      </font>
    </dxf>
    <dxf>
      <font>
        <color rgb="FFFF0000"/>
      </font>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condense val="0"/>
        <extend val="0"/>
        <color indexed="10"/>
      </font>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color rgb="FFFF0000"/>
      </font>
    </dxf>
    <dxf>
      <font>
        <color rgb="FFFF0000"/>
      </font>
    </dxf>
    <dxf>
      <font>
        <color rgb="FFFF0000"/>
      </font>
    </dxf>
  </dxfs>
  <tableStyles count="0" defaultTableStyle="TableStyleMedium9" defaultPivotStyle="PivotStyleLight16"/>
  <colors>
    <mruColors>
      <color rgb="FF0E2841"/>
      <color rgb="FF000000"/>
      <color rgb="FFCCFFCC"/>
      <color rgb="FFFFFF99"/>
      <color rgb="FF66FFFF"/>
      <color rgb="FFBFBFBF"/>
      <color rgb="FF33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emf"/><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absolute">
    <xdr:from>
      <xdr:col>5</xdr:col>
      <xdr:colOff>57151</xdr:colOff>
      <xdr:row>37</xdr:row>
      <xdr:rowOff>85725</xdr:rowOff>
    </xdr:from>
    <xdr:to>
      <xdr:col>16</xdr:col>
      <xdr:colOff>180975</xdr:colOff>
      <xdr:row>45</xdr:row>
      <xdr:rowOff>99059</xdr:rowOff>
    </xdr:to>
    <xdr:grpSp>
      <xdr:nvGrpSpPr>
        <xdr:cNvPr id="34" name="Group 33">
          <a:extLst>
            <a:ext uri="{FF2B5EF4-FFF2-40B4-BE49-F238E27FC236}">
              <a16:creationId xmlns:a16="http://schemas.microsoft.com/office/drawing/2014/main" id="{3EEE31B7-449F-D598-E207-1B88DAC96ECC}"/>
            </a:ext>
          </a:extLst>
        </xdr:cNvPr>
        <xdr:cNvGrpSpPr/>
      </xdr:nvGrpSpPr>
      <xdr:grpSpPr>
        <a:xfrm>
          <a:off x="2447926" y="8258175"/>
          <a:ext cx="5210174" cy="1537334"/>
          <a:chOff x="3695701" y="9963150"/>
          <a:chExt cx="5210174" cy="1537334"/>
        </a:xfrm>
      </xdr:grpSpPr>
      <xdr:pic>
        <xdr:nvPicPr>
          <xdr:cNvPr id="5" name="Picture 4">
            <a:extLst>
              <a:ext uri="{FF2B5EF4-FFF2-40B4-BE49-F238E27FC236}">
                <a16:creationId xmlns:a16="http://schemas.microsoft.com/office/drawing/2014/main" id="{9458D59C-035D-7BE0-BC7E-B1E21D9AF0BA}"/>
              </a:ext>
            </a:extLst>
          </xdr:cNvPr>
          <xdr:cNvPicPr>
            <a:picLocks noChangeAspect="1"/>
          </xdr:cNvPicPr>
        </xdr:nvPicPr>
        <xdr:blipFill>
          <a:blip xmlns:r="http://schemas.openxmlformats.org/officeDocument/2006/relationships" r:embed="rId1"/>
          <a:stretch>
            <a:fillRect/>
          </a:stretch>
        </xdr:blipFill>
        <xdr:spPr>
          <a:xfrm>
            <a:off x="3728189" y="9963150"/>
            <a:ext cx="5177686" cy="1537334"/>
          </a:xfrm>
          <a:prstGeom prst="rect">
            <a:avLst/>
          </a:prstGeom>
        </xdr:spPr>
      </xdr:pic>
      <xdr:sp macro="" textlink="">
        <xdr:nvSpPr>
          <xdr:cNvPr id="6" name="Rectangle 5">
            <a:extLst>
              <a:ext uri="{FF2B5EF4-FFF2-40B4-BE49-F238E27FC236}">
                <a16:creationId xmlns:a16="http://schemas.microsoft.com/office/drawing/2014/main" id="{C5280CAD-FAA2-3D9F-1666-4B3EBC3A0360}"/>
              </a:ext>
            </a:extLst>
          </xdr:cNvPr>
          <xdr:cNvSpPr/>
        </xdr:nvSpPr>
        <xdr:spPr>
          <a:xfrm>
            <a:off x="3695701" y="10718092"/>
            <a:ext cx="541492" cy="766379"/>
          </a:xfrm>
          <a:prstGeom prst="rect">
            <a:avLst/>
          </a:prstGeom>
          <a:noFill/>
          <a:ln w="38100">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 name="Rectangle 6">
            <a:extLst>
              <a:ext uri="{FF2B5EF4-FFF2-40B4-BE49-F238E27FC236}">
                <a16:creationId xmlns:a16="http://schemas.microsoft.com/office/drawing/2014/main" id="{3B3C314B-7303-277C-CFA7-5ECA80B11BB1}"/>
              </a:ext>
            </a:extLst>
          </xdr:cNvPr>
          <xdr:cNvSpPr/>
        </xdr:nvSpPr>
        <xdr:spPr>
          <a:xfrm>
            <a:off x="5796688" y="10718092"/>
            <a:ext cx="541492" cy="766379"/>
          </a:xfrm>
          <a:prstGeom prst="rect">
            <a:avLst/>
          </a:prstGeom>
          <a:noFill/>
          <a:ln w="38100">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 name="Rectangle 7">
            <a:extLst>
              <a:ext uri="{FF2B5EF4-FFF2-40B4-BE49-F238E27FC236}">
                <a16:creationId xmlns:a16="http://schemas.microsoft.com/office/drawing/2014/main" id="{A04ACB2E-CEC1-7AFF-A70E-EBCD891BEF0A}"/>
              </a:ext>
            </a:extLst>
          </xdr:cNvPr>
          <xdr:cNvSpPr/>
        </xdr:nvSpPr>
        <xdr:spPr>
          <a:xfrm>
            <a:off x="7876016" y="10718092"/>
            <a:ext cx="541492" cy="766379"/>
          </a:xfrm>
          <a:prstGeom prst="rect">
            <a:avLst/>
          </a:prstGeom>
          <a:noFill/>
          <a:ln w="38100">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5</xdr:col>
      <xdr:colOff>209550</xdr:colOff>
      <xdr:row>77</xdr:row>
      <xdr:rowOff>28575</xdr:rowOff>
    </xdr:from>
    <xdr:to>
      <xdr:col>17</xdr:col>
      <xdr:colOff>48375</xdr:colOff>
      <xdr:row>85</xdr:row>
      <xdr:rowOff>133350</xdr:rowOff>
    </xdr:to>
    <xdr:grpSp>
      <xdr:nvGrpSpPr>
        <xdr:cNvPr id="19" name="Group 18">
          <a:extLst>
            <a:ext uri="{FF2B5EF4-FFF2-40B4-BE49-F238E27FC236}">
              <a16:creationId xmlns:a16="http://schemas.microsoft.com/office/drawing/2014/main" id="{95571383-7622-8DBE-50BE-0CDCD00D6242}"/>
            </a:ext>
          </a:extLst>
        </xdr:cNvPr>
        <xdr:cNvGrpSpPr/>
      </xdr:nvGrpSpPr>
      <xdr:grpSpPr>
        <a:xfrm>
          <a:off x="2600325" y="16592550"/>
          <a:ext cx="5372850" cy="1628775"/>
          <a:chOff x="2114550" y="15116175"/>
          <a:chExt cx="5372850" cy="1628775"/>
        </a:xfrm>
      </xdr:grpSpPr>
      <xdr:pic>
        <xdr:nvPicPr>
          <xdr:cNvPr id="11" name="Picture 10">
            <a:extLst>
              <a:ext uri="{FF2B5EF4-FFF2-40B4-BE49-F238E27FC236}">
                <a16:creationId xmlns:a16="http://schemas.microsoft.com/office/drawing/2014/main" id="{55A3D46C-D0E5-37F2-6FD6-B3D0B8EA906D}"/>
              </a:ext>
            </a:extLst>
          </xdr:cNvPr>
          <xdr:cNvPicPr>
            <a:picLocks noChangeAspect="1"/>
          </xdr:cNvPicPr>
        </xdr:nvPicPr>
        <xdr:blipFill>
          <a:blip xmlns:r="http://schemas.openxmlformats.org/officeDocument/2006/relationships" r:embed="rId2"/>
          <a:stretch>
            <a:fillRect/>
          </a:stretch>
        </xdr:blipFill>
        <xdr:spPr>
          <a:xfrm>
            <a:off x="2114550" y="15116175"/>
            <a:ext cx="5372850" cy="1600423"/>
          </a:xfrm>
          <a:prstGeom prst="rect">
            <a:avLst/>
          </a:prstGeom>
        </xdr:spPr>
      </xdr:pic>
      <xdr:sp macro="" textlink="">
        <xdr:nvSpPr>
          <xdr:cNvPr id="18" name="Rectangle 17">
            <a:extLst>
              <a:ext uri="{FF2B5EF4-FFF2-40B4-BE49-F238E27FC236}">
                <a16:creationId xmlns:a16="http://schemas.microsoft.com/office/drawing/2014/main" id="{AC13E5F4-5E21-42FC-A0D2-CCE753DB7311}"/>
              </a:ext>
            </a:extLst>
          </xdr:cNvPr>
          <xdr:cNvSpPr/>
        </xdr:nvSpPr>
        <xdr:spPr>
          <a:xfrm>
            <a:off x="6381748" y="16116301"/>
            <a:ext cx="533402" cy="628649"/>
          </a:xfrm>
          <a:prstGeom prst="rect">
            <a:avLst/>
          </a:prstGeom>
          <a:noFill/>
          <a:ln w="38100">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6</xdr:col>
      <xdr:colOff>19050</xdr:colOff>
      <xdr:row>15</xdr:row>
      <xdr:rowOff>114300</xdr:rowOff>
    </xdr:from>
    <xdr:to>
      <xdr:col>15</xdr:col>
      <xdr:colOff>229214</xdr:colOff>
      <xdr:row>33</xdr:row>
      <xdr:rowOff>66675</xdr:rowOff>
    </xdr:to>
    <xdr:grpSp>
      <xdr:nvGrpSpPr>
        <xdr:cNvPr id="35" name="Group 34">
          <a:extLst>
            <a:ext uri="{FF2B5EF4-FFF2-40B4-BE49-F238E27FC236}">
              <a16:creationId xmlns:a16="http://schemas.microsoft.com/office/drawing/2014/main" id="{E976EC47-CAE3-FFD7-FA81-500D71FE2AD5}"/>
            </a:ext>
          </a:extLst>
        </xdr:cNvPr>
        <xdr:cNvGrpSpPr/>
      </xdr:nvGrpSpPr>
      <xdr:grpSpPr>
        <a:xfrm>
          <a:off x="2857500" y="3752850"/>
          <a:ext cx="4401164" cy="3381375"/>
          <a:chOff x="4143375" y="4962525"/>
          <a:chExt cx="4401164" cy="3400900"/>
        </a:xfrm>
      </xdr:grpSpPr>
      <xdr:pic>
        <xdr:nvPicPr>
          <xdr:cNvPr id="23" name="Picture 22">
            <a:extLst>
              <a:ext uri="{FF2B5EF4-FFF2-40B4-BE49-F238E27FC236}">
                <a16:creationId xmlns:a16="http://schemas.microsoft.com/office/drawing/2014/main" id="{B5B6DEC7-07F7-2EE4-EACC-D2DA4300D699}"/>
              </a:ext>
            </a:extLst>
          </xdr:cNvPr>
          <xdr:cNvPicPr>
            <a:picLocks noChangeAspect="1"/>
          </xdr:cNvPicPr>
        </xdr:nvPicPr>
        <xdr:blipFill>
          <a:blip xmlns:r="http://schemas.openxmlformats.org/officeDocument/2006/relationships" r:embed="rId3"/>
          <a:stretch>
            <a:fillRect/>
          </a:stretch>
        </xdr:blipFill>
        <xdr:spPr>
          <a:xfrm>
            <a:off x="4143375" y="4962525"/>
            <a:ext cx="4401164" cy="3400900"/>
          </a:xfrm>
          <a:prstGeom prst="rect">
            <a:avLst/>
          </a:prstGeom>
        </xdr:spPr>
      </xdr:pic>
      <xdr:sp macro="" textlink="">
        <xdr:nvSpPr>
          <xdr:cNvPr id="24" name="Rectangle 23">
            <a:extLst>
              <a:ext uri="{FF2B5EF4-FFF2-40B4-BE49-F238E27FC236}">
                <a16:creationId xmlns:a16="http://schemas.microsoft.com/office/drawing/2014/main" id="{F549B2A4-EE1A-42D7-9069-1A13AA63F4D3}"/>
              </a:ext>
            </a:extLst>
          </xdr:cNvPr>
          <xdr:cNvSpPr/>
        </xdr:nvSpPr>
        <xdr:spPr>
          <a:xfrm>
            <a:off x="6438362" y="5781675"/>
            <a:ext cx="1981738" cy="714375"/>
          </a:xfrm>
          <a:prstGeom prst="rect">
            <a:avLst/>
          </a:prstGeom>
          <a:noFill/>
          <a:ln w="38100">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2</xdr:col>
      <xdr:colOff>257175</xdr:colOff>
      <xdr:row>48</xdr:row>
      <xdr:rowOff>85725</xdr:rowOff>
    </xdr:from>
    <xdr:to>
      <xdr:col>19</xdr:col>
      <xdr:colOff>381000</xdr:colOff>
      <xdr:row>57</xdr:row>
      <xdr:rowOff>161925</xdr:rowOff>
    </xdr:to>
    <xdr:grpSp>
      <xdr:nvGrpSpPr>
        <xdr:cNvPr id="33" name="Group 32">
          <a:extLst>
            <a:ext uri="{FF2B5EF4-FFF2-40B4-BE49-F238E27FC236}">
              <a16:creationId xmlns:a16="http://schemas.microsoft.com/office/drawing/2014/main" id="{84B4BD4F-D425-BC5D-5E4F-E0513A21C5E5}"/>
            </a:ext>
          </a:extLst>
        </xdr:cNvPr>
        <xdr:cNvGrpSpPr/>
      </xdr:nvGrpSpPr>
      <xdr:grpSpPr>
        <a:xfrm>
          <a:off x="981075" y="10677525"/>
          <a:ext cx="8220075" cy="1790700"/>
          <a:chOff x="1924050" y="12268200"/>
          <a:chExt cx="8678486" cy="1790700"/>
        </a:xfrm>
      </xdr:grpSpPr>
      <xdr:pic>
        <xdr:nvPicPr>
          <xdr:cNvPr id="29" name="Picture 28">
            <a:extLst>
              <a:ext uri="{FF2B5EF4-FFF2-40B4-BE49-F238E27FC236}">
                <a16:creationId xmlns:a16="http://schemas.microsoft.com/office/drawing/2014/main" id="{A48F4B3B-21C3-A3A7-6A86-A407BF320751}"/>
              </a:ext>
            </a:extLst>
          </xdr:cNvPr>
          <xdr:cNvPicPr>
            <a:picLocks noChangeAspect="1"/>
          </xdr:cNvPicPr>
        </xdr:nvPicPr>
        <xdr:blipFill>
          <a:blip xmlns:r="http://schemas.openxmlformats.org/officeDocument/2006/relationships" r:embed="rId4"/>
          <a:stretch>
            <a:fillRect/>
          </a:stretch>
        </xdr:blipFill>
        <xdr:spPr>
          <a:xfrm>
            <a:off x="1924050" y="12268200"/>
            <a:ext cx="8678486" cy="1771897"/>
          </a:xfrm>
          <a:prstGeom prst="rect">
            <a:avLst/>
          </a:prstGeom>
        </xdr:spPr>
      </xdr:pic>
      <xdr:sp macro="" textlink="">
        <xdr:nvSpPr>
          <xdr:cNvPr id="28" name="Rectangle 27">
            <a:extLst>
              <a:ext uri="{FF2B5EF4-FFF2-40B4-BE49-F238E27FC236}">
                <a16:creationId xmlns:a16="http://schemas.microsoft.com/office/drawing/2014/main" id="{2EA7F3A1-DF01-5E00-EA3F-D6C298783A69}"/>
              </a:ext>
            </a:extLst>
          </xdr:cNvPr>
          <xdr:cNvSpPr/>
        </xdr:nvSpPr>
        <xdr:spPr>
          <a:xfrm>
            <a:off x="6124573" y="12915900"/>
            <a:ext cx="476250" cy="1143000"/>
          </a:xfrm>
          <a:prstGeom prst="rect">
            <a:avLst/>
          </a:prstGeom>
          <a:noFill/>
          <a:ln w="38100">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0" name="Rectangle 29">
            <a:extLst>
              <a:ext uri="{FF2B5EF4-FFF2-40B4-BE49-F238E27FC236}">
                <a16:creationId xmlns:a16="http://schemas.microsoft.com/office/drawing/2014/main" id="{78B7C20E-397E-AFB1-8577-2C21BC70E3AF}"/>
              </a:ext>
            </a:extLst>
          </xdr:cNvPr>
          <xdr:cNvSpPr/>
        </xdr:nvSpPr>
        <xdr:spPr>
          <a:xfrm>
            <a:off x="7905748" y="12915900"/>
            <a:ext cx="476250" cy="1143000"/>
          </a:xfrm>
          <a:prstGeom prst="rect">
            <a:avLst/>
          </a:prstGeom>
          <a:noFill/>
          <a:ln w="38100">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1" name="Rectangle 30">
            <a:extLst>
              <a:ext uri="{FF2B5EF4-FFF2-40B4-BE49-F238E27FC236}">
                <a16:creationId xmlns:a16="http://schemas.microsoft.com/office/drawing/2014/main" id="{6342C6A0-4330-098F-E8CD-392D437CB6C4}"/>
              </a:ext>
            </a:extLst>
          </xdr:cNvPr>
          <xdr:cNvSpPr/>
        </xdr:nvSpPr>
        <xdr:spPr>
          <a:xfrm>
            <a:off x="9705973" y="12915900"/>
            <a:ext cx="476250" cy="1143000"/>
          </a:xfrm>
          <a:prstGeom prst="rect">
            <a:avLst/>
          </a:prstGeom>
          <a:noFill/>
          <a:ln w="38100">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oneCell">
    <xdr:from>
      <xdr:col>2</xdr:col>
      <xdr:colOff>200025</xdr:colOff>
      <xdr:row>60</xdr:row>
      <xdr:rowOff>85725</xdr:rowOff>
    </xdr:from>
    <xdr:to>
      <xdr:col>20</xdr:col>
      <xdr:colOff>325060</xdr:colOff>
      <xdr:row>69</xdr:row>
      <xdr:rowOff>143122</xdr:rowOff>
    </xdr:to>
    <xdr:pic>
      <xdr:nvPicPr>
        <xdr:cNvPr id="32" name="Picture 31">
          <a:extLst>
            <a:ext uri="{FF2B5EF4-FFF2-40B4-BE49-F238E27FC236}">
              <a16:creationId xmlns:a16="http://schemas.microsoft.com/office/drawing/2014/main" id="{6A7C74D8-AC43-DDCC-26CF-541C30D180DA}"/>
            </a:ext>
          </a:extLst>
        </xdr:cNvPr>
        <xdr:cNvPicPr>
          <a:picLocks noChangeAspect="1"/>
        </xdr:cNvPicPr>
      </xdr:nvPicPr>
      <xdr:blipFill>
        <a:blip xmlns:r="http://schemas.openxmlformats.org/officeDocument/2006/relationships" r:embed="rId5"/>
        <a:stretch>
          <a:fillRect/>
        </a:stretch>
      </xdr:blipFill>
      <xdr:spPr>
        <a:xfrm>
          <a:off x="923925" y="13363575"/>
          <a:ext cx="8668960" cy="1771897"/>
        </a:xfrm>
        <a:prstGeom prst="rect">
          <a:avLst/>
        </a:prstGeom>
      </xdr:spPr>
    </xdr:pic>
    <xdr:clientData/>
  </xdr:twoCellAnchor>
  <xdr:twoCellAnchor editAs="oneCell">
    <xdr:from>
      <xdr:col>2</xdr:col>
      <xdr:colOff>47626</xdr:colOff>
      <xdr:row>7</xdr:row>
      <xdr:rowOff>161925</xdr:rowOff>
    </xdr:from>
    <xdr:to>
      <xdr:col>21</xdr:col>
      <xdr:colOff>123826</xdr:colOff>
      <xdr:row>12</xdr:row>
      <xdr:rowOff>164296</xdr:rowOff>
    </xdr:to>
    <xdr:pic>
      <xdr:nvPicPr>
        <xdr:cNvPr id="36" name="Picture 35">
          <a:extLst>
            <a:ext uri="{FF2B5EF4-FFF2-40B4-BE49-F238E27FC236}">
              <a16:creationId xmlns:a16="http://schemas.microsoft.com/office/drawing/2014/main" id="{C82E37CD-71BD-CCEB-CA5E-1E17D20FF87B}"/>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771526" y="1800225"/>
          <a:ext cx="9067800" cy="964396"/>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76200</xdr:colOff>
      <xdr:row>4</xdr:row>
      <xdr:rowOff>90487</xdr:rowOff>
    </xdr:from>
    <xdr:to>
      <xdr:col>3</xdr:col>
      <xdr:colOff>419099</xdr:colOff>
      <xdr:row>5</xdr:row>
      <xdr:rowOff>61913</xdr:rowOff>
    </xdr:to>
    <xdr:sp macro="" textlink="">
      <xdr:nvSpPr>
        <xdr:cNvPr id="2" name="Rectangle 1">
          <a:extLst>
            <a:ext uri="{FF2B5EF4-FFF2-40B4-BE49-F238E27FC236}">
              <a16:creationId xmlns:a16="http://schemas.microsoft.com/office/drawing/2014/main" id="{05EE9393-45EB-D65B-FE87-26E4C7731A39}"/>
            </a:ext>
          </a:extLst>
        </xdr:cNvPr>
        <xdr:cNvSpPr/>
      </xdr:nvSpPr>
      <xdr:spPr>
        <a:xfrm>
          <a:off x="619125" y="1042987"/>
          <a:ext cx="342899" cy="161926"/>
        </a:xfrm>
        <a:prstGeom prst="rect">
          <a:avLst/>
        </a:prstGeom>
        <a:solidFill>
          <a:srgbClr val="FF0000"/>
        </a:solidFill>
        <a:ln w="952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EE24D4-0C8F-4079-B621-1FC4B36543FC}">
  <dimension ref="A1:W88"/>
  <sheetViews>
    <sheetView showGridLines="0" workbookViewId="0"/>
  </sheetViews>
  <sheetFormatPr defaultColWidth="0" defaultRowHeight="15" x14ac:dyDescent="0.2"/>
  <cols>
    <col min="1" max="1" width="1.7109375" style="336" customWidth="1"/>
    <col min="2" max="4" width="9.140625" style="336" customWidth="1"/>
    <col min="5" max="14" width="6.7109375" style="336" customWidth="1"/>
    <col min="15" max="15" width="9.140625" style="336" customWidth="1"/>
    <col min="16" max="21" width="6.7109375" style="336" customWidth="1"/>
    <col min="22" max="22" width="9.140625" style="336" customWidth="1"/>
    <col min="23" max="23" width="1.7109375" style="336" customWidth="1"/>
    <col min="24" max="16384" width="9.140625" style="336" hidden="1"/>
  </cols>
  <sheetData>
    <row r="1" spans="1:23" ht="9.9499999999999993" customHeight="1" x14ac:dyDescent="0.2">
      <c r="A1" s="335"/>
      <c r="B1" s="335"/>
      <c r="C1" s="335"/>
      <c r="D1" s="335"/>
      <c r="E1" s="335"/>
      <c r="F1" s="335"/>
      <c r="G1" s="335"/>
      <c r="H1" s="335"/>
      <c r="I1" s="335"/>
      <c r="J1" s="335"/>
      <c r="K1" s="335"/>
      <c r="L1" s="335"/>
      <c r="M1" s="335"/>
      <c r="N1" s="335"/>
      <c r="O1" s="335"/>
      <c r="P1" s="335"/>
      <c r="Q1" s="335"/>
      <c r="R1" s="335"/>
      <c r="S1" s="335"/>
      <c r="T1" s="335"/>
      <c r="U1" s="335"/>
      <c r="V1" s="335"/>
      <c r="W1" s="335"/>
    </row>
    <row r="2" spans="1:23" x14ac:dyDescent="0.2">
      <c r="A2" s="335"/>
      <c r="W2" s="335"/>
    </row>
    <row r="3" spans="1:23" ht="39.950000000000003" customHeight="1" thickBot="1" x14ac:dyDescent="0.25">
      <c r="A3" s="335"/>
      <c r="C3" s="359" t="s">
        <v>0</v>
      </c>
      <c r="D3" s="359"/>
      <c r="E3" s="359"/>
      <c r="F3" s="359"/>
      <c r="G3" s="359"/>
      <c r="H3" s="359"/>
      <c r="I3" s="359"/>
      <c r="J3" s="359"/>
      <c r="K3" s="359"/>
      <c r="L3" s="359"/>
      <c r="M3" s="359"/>
      <c r="N3" s="359"/>
      <c r="O3" s="359"/>
      <c r="P3" s="359"/>
      <c r="Q3" s="359"/>
      <c r="R3" s="359"/>
      <c r="S3" s="359"/>
      <c r="T3" s="359"/>
      <c r="U3" s="359"/>
      <c r="V3" s="338"/>
      <c r="W3" s="335"/>
    </row>
    <row r="4" spans="1:23" ht="15.75" thickTop="1" x14ac:dyDescent="0.2">
      <c r="A4" s="335"/>
      <c r="W4" s="335"/>
    </row>
    <row r="5" spans="1:23" ht="18.75" x14ac:dyDescent="0.2">
      <c r="A5" s="335"/>
      <c r="C5" s="358" t="s">
        <v>1</v>
      </c>
      <c r="D5" s="358"/>
      <c r="W5" s="335"/>
    </row>
    <row r="6" spans="1:23" x14ac:dyDescent="0.2">
      <c r="A6" s="335"/>
      <c r="C6" s="337"/>
      <c r="D6" s="337"/>
      <c r="W6" s="335"/>
    </row>
    <row r="7" spans="1:23" x14ac:dyDescent="0.2">
      <c r="A7" s="335"/>
      <c r="C7" s="357" t="s">
        <v>2</v>
      </c>
      <c r="D7" s="357"/>
      <c r="E7" s="357"/>
      <c r="F7" s="357"/>
      <c r="G7" s="357"/>
      <c r="H7" s="357"/>
      <c r="I7" s="357"/>
      <c r="J7" s="357"/>
      <c r="K7" s="357"/>
      <c r="L7" s="357"/>
      <c r="M7" s="357"/>
      <c r="N7" s="357"/>
      <c r="O7" s="357"/>
      <c r="P7" s="357"/>
      <c r="Q7" s="357"/>
      <c r="R7" s="357"/>
      <c r="S7" s="357"/>
      <c r="T7" s="357"/>
      <c r="U7" s="357"/>
      <c r="V7" s="357"/>
      <c r="W7" s="335"/>
    </row>
    <row r="8" spans="1:23" x14ac:dyDescent="0.2">
      <c r="A8" s="335"/>
      <c r="W8" s="335"/>
    </row>
    <row r="9" spans="1:23" ht="15" customHeight="1" x14ac:dyDescent="0.2">
      <c r="A9" s="335"/>
      <c r="C9" s="339"/>
      <c r="D9" s="339"/>
      <c r="E9" s="339"/>
      <c r="F9" s="339"/>
      <c r="G9" s="339"/>
      <c r="H9" s="339"/>
      <c r="I9" s="339"/>
      <c r="J9" s="339"/>
      <c r="K9" s="339"/>
      <c r="L9" s="339"/>
      <c r="M9" s="339"/>
      <c r="N9" s="339"/>
      <c r="O9" s="339"/>
      <c r="P9" s="339"/>
      <c r="Q9" s="339"/>
      <c r="R9" s="339"/>
      <c r="S9" s="339"/>
      <c r="T9" s="339"/>
      <c r="U9" s="339"/>
      <c r="W9" s="335"/>
    </row>
    <row r="10" spans="1:23" ht="15" customHeight="1" x14ac:dyDescent="0.2">
      <c r="A10" s="335"/>
      <c r="C10" s="339"/>
      <c r="D10" s="339"/>
      <c r="E10" s="339"/>
      <c r="F10" s="339"/>
      <c r="G10" s="339"/>
      <c r="H10" s="339"/>
      <c r="I10" s="339"/>
      <c r="J10" s="339"/>
      <c r="K10" s="339"/>
      <c r="L10" s="339"/>
      <c r="M10" s="339"/>
      <c r="N10" s="339"/>
      <c r="O10" s="339"/>
      <c r="P10" s="339"/>
      <c r="Q10" s="339"/>
      <c r="R10" s="339"/>
      <c r="S10" s="339"/>
      <c r="T10" s="339"/>
      <c r="U10" s="339"/>
      <c r="W10" s="335"/>
    </row>
    <row r="11" spans="1:23" ht="15" customHeight="1" x14ac:dyDescent="0.2">
      <c r="A11" s="335"/>
      <c r="C11" s="339"/>
      <c r="D11" s="339"/>
      <c r="E11" s="339"/>
      <c r="F11" s="339"/>
      <c r="G11" s="339"/>
      <c r="H11" s="339"/>
      <c r="I11" s="339"/>
      <c r="J11" s="339"/>
      <c r="K11" s="339"/>
      <c r="L11" s="339"/>
      <c r="M11" s="339"/>
      <c r="N11" s="339"/>
      <c r="O11" s="339"/>
      <c r="P11" s="339"/>
      <c r="Q11" s="339"/>
      <c r="R11" s="339"/>
      <c r="S11" s="339"/>
      <c r="T11" s="339"/>
      <c r="U11" s="339"/>
      <c r="W11" s="335"/>
    </row>
    <row r="12" spans="1:23" ht="15.75" customHeight="1" x14ac:dyDescent="0.2">
      <c r="A12" s="335"/>
      <c r="C12" s="339"/>
      <c r="D12" s="339"/>
      <c r="E12" s="339"/>
      <c r="F12" s="339"/>
      <c r="G12" s="339"/>
      <c r="H12" s="339"/>
      <c r="I12" s="339"/>
      <c r="J12" s="339"/>
      <c r="K12" s="339"/>
      <c r="L12" s="339"/>
      <c r="M12" s="339"/>
      <c r="N12" s="339"/>
      <c r="O12" s="339"/>
      <c r="P12" s="339"/>
      <c r="Q12" s="339"/>
      <c r="R12" s="339"/>
      <c r="S12" s="339"/>
      <c r="T12" s="339"/>
      <c r="U12" s="339"/>
      <c r="W12" s="335"/>
    </row>
    <row r="13" spans="1:23" ht="15.75" customHeight="1" x14ac:dyDescent="0.2">
      <c r="A13" s="335"/>
      <c r="C13" s="339"/>
      <c r="D13" s="339"/>
      <c r="E13" s="339"/>
      <c r="F13" s="339"/>
      <c r="G13" s="339"/>
      <c r="H13" s="339"/>
      <c r="I13" s="339"/>
      <c r="J13" s="339"/>
      <c r="K13" s="339"/>
      <c r="L13" s="339"/>
      <c r="M13" s="339"/>
      <c r="N13" s="339"/>
      <c r="O13" s="339"/>
      <c r="P13" s="339"/>
      <c r="Q13" s="339"/>
      <c r="R13" s="339"/>
      <c r="S13" s="339"/>
      <c r="T13" s="339"/>
      <c r="U13" s="339"/>
      <c r="W13" s="335"/>
    </row>
    <row r="14" spans="1:23" x14ac:dyDescent="0.2">
      <c r="A14" s="335"/>
      <c r="W14" s="335"/>
    </row>
    <row r="15" spans="1:23" ht="51" customHeight="1" x14ac:dyDescent="0.2">
      <c r="A15" s="335"/>
      <c r="C15" s="360" t="s">
        <v>3</v>
      </c>
      <c r="D15" s="360"/>
      <c r="E15" s="360"/>
      <c r="F15" s="360"/>
      <c r="G15" s="360"/>
      <c r="H15" s="360"/>
      <c r="I15" s="360"/>
      <c r="J15" s="360"/>
      <c r="K15" s="360"/>
      <c r="L15" s="360"/>
      <c r="M15" s="360"/>
      <c r="N15" s="360"/>
      <c r="O15" s="360"/>
      <c r="P15" s="360"/>
      <c r="Q15" s="360"/>
      <c r="R15" s="360"/>
      <c r="S15" s="360"/>
      <c r="T15" s="360"/>
      <c r="U15" s="360"/>
      <c r="V15" s="341"/>
      <c r="W15" s="335"/>
    </row>
    <row r="16" spans="1:23" x14ac:dyDescent="0.2">
      <c r="A16" s="335"/>
      <c r="W16" s="335"/>
    </row>
    <row r="17" spans="1:23" x14ac:dyDescent="0.2">
      <c r="A17" s="335"/>
      <c r="C17" s="340"/>
      <c r="D17" s="340"/>
      <c r="E17" s="340"/>
      <c r="F17" s="340"/>
      <c r="G17" s="340"/>
      <c r="H17" s="340"/>
      <c r="I17" s="340"/>
      <c r="W17" s="335"/>
    </row>
    <row r="18" spans="1:23" x14ac:dyDescent="0.2">
      <c r="A18" s="335"/>
      <c r="C18" s="340"/>
      <c r="D18" s="340"/>
      <c r="E18" s="340"/>
      <c r="F18" s="340"/>
      <c r="G18" s="340"/>
      <c r="H18" s="340"/>
      <c r="I18" s="340"/>
      <c r="W18" s="335"/>
    </row>
    <row r="19" spans="1:23" x14ac:dyDescent="0.2">
      <c r="A19" s="335"/>
      <c r="C19" s="340"/>
      <c r="D19" s="340"/>
      <c r="E19" s="340"/>
      <c r="F19" s="340"/>
      <c r="G19" s="340"/>
      <c r="H19" s="340"/>
      <c r="I19" s="340"/>
      <c r="W19" s="335"/>
    </row>
    <row r="20" spans="1:23" x14ac:dyDescent="0.2">
      <c r="A20" s="335"/>
      <c r="C20" s="340"/>
      <c r="D20" s="340"/>
      <c r="E20" s="340"/>
      <c r="F20" s="340"/>
      <c r="G20" s="340"/>
      <c r="H20" s="340"/>
      <c r="I20" s="340"/>
      <c r="W20" s="335"/>
    </row>
    <row r="21" spans="1:23" x14ac:dyDescent="0.2">
      <c r="A21" s="335"/>
      <c r="C21" s="340"/>
      <c r="D21" s="340"/>
      <c r="E21" s="340"/>
      <c r="F21" s="340"/>
      <c r="G21" s="340"/>
      <c r="H21" s="340"/>
      <c r="I21" s="340"/>
      <c r="W21" s="335"/>
    </row>
    <row r="22" spans="1:23" x14ac:dyDescent="0.2">
      <c r="A22" s="335"/>
      <c r="C22" s="340"/>
      <c r="D22" s="340"/>
      <c r="E22" s="340"/>
      <c r="F22" s="340"/>
      <c r="G22" s="340"/>
      <c r="H22" s="340"/>
      <c r="I22" s="340"/>
      <c r="W22" s="335"/>
    </row>
    <row r="23" spans="1:23" x14ac:dyDescent="0.2">
      <c r="A23" s="335"/>
      <c r="C23" s="340"/>
      <c r="D23" s="340"/>
      <c r="E23" s="340"/>
      <c r="F23" s="340"/>
      <c r="G23" s="340"/>
      <c r="H23" s="340"/>
      <c r="I23" s="340"/>
      <c r="W23" s="335"/>
    </row>
    <row r="24" spans="1:23" x14ac:dyDescent="0.2">
      <c r="A24" s="335"/>
      <c r="C24" s="340"/>
      <c r="D24" s="340"/>
      <c r="E24" s="340"/>
      <c r="F24" s="340"/>
      <c r="G24" s="340"/>
      <c r="H24" s="340"/>
      <c r="I24" s="340"/>
      <c r="W24" s="335"/>
    </row>
    <row r="25" spans="1:23" x14ac:dyDescent="0.2">
      <c r="A25" s="335"/>
      <c r="C25" s="340"/>
      <c r="D25" s="340"/>
      <c r="E25" s="340"/>
      <c r="F25" s="340"/>
      <c r="G25" s="340"/>
      <c r="H25" s="340"/>
      <c r="I25" s="340"/>
      <c r="W25" s="335"/>
    </row>
    <row r="26" spans="1:23" x14ac:dyDescent="0.2">
      <c r="A26" s="335"/>
      <c r="C26" s="340"/>
      <c r="D26" s="340"/>
      <c r="E26" s="340"/>
      <c r="F26" s="340"/>
      <c r="G26" s="340"/>
      <c r="H26" s="340"/>
      <c r="I26" s="340"/>
      <c r="W26" s="335"/>
    </row>
    <row r="27" spans="1:23" x14ac:dyDescent="0.2">
      <c r="A27" s="335"/>
      <c r="C27" s="340"/>
      <c r="D27" s="340"/>
      <c r="E27" s="340"/>
      <c r="F27" s="340"/>
      <c r="G27" s="340"/>
      <c r="H27" s="340"/>
      <c r="I27" s="340"/>
      <c r="W27" s="335"/>
    </row>
    <row r="28" spans="1:23" x14ac:dyDescent="0.2">
      <c r="A28" s="335"/>
      <c r="C28" s="340"/>
      <c r="D28" s="340"/>
      <c r="E28" s="340"/>
      <c r="F28" s="340"/>
      <c r="G28" s="340"/>
      <c r="H28" s="340"/>
      <c r="I28" s="340"/>
      <c r="W28" s="335"/>
    </row>
    <row r="29" spans="1:23" x14ac:dyDescent="0.2">
      <c r="A29" s="335"/>
      <c r="C29" s="340"/>
      <c r="D29" s="340"/>
      <c r="E29" s="340"/>
      <c r="F29" s="340"/>
      <c r="G29" s="340"/>
      <c r="H29" s="340"/>
      <c r="I29" s="340"/>
      <c r="W29" s="335"/>
    </row>
    <row r="30" spans="1:23" x14ac:dyDescent="0.2">
      <c r="A30" s="335"/>
      <c r="C30" s="340"/>
      <c r="D30" s="340"/>
      <c r="E30" s="340"/>
      <c r="F30" s="340"/>
      <c r="G30" s="340"/>
      <c r="H30" s="340"/>
      <c r="I30" s="340"/>
      <c r="W30" s="335"/>
    </row>
    <row r="31" spans="1:23" x14ac:dyDescent="0.2">
      <c r="A31" s="335"/>
      <c r="C31" s="340"/>
      <c r="D31" s="340"/>
      <c r="E31" s="340"/>
      <c r="F31" s="340"/>
      <c r="G31" s="340"/>
      <c r="H31" s="340"/>
      <c r="I31" s="340"/>
      <c r="W31" s="335"/>
    </row>
    <row r="32" spans="1:23" x14ac:dyDescent="0.2">
      <c r="A32" s="335"/>
      <c r="C32" s="340"/>
      <c r="D32" s="340"/>
      <c r="E32" s="340"/>
      <c r="F32" s="340"/>
      <c r="G32" s="340"/>
      <c r="H32" s="340"/>
      <c r="I32" s="340"/>
      <c r="W32" s="335"/>
    </row>
    <row r="33" spans="1:23" x14ac:dyDescent="0.2">
      <c r="A33" s="335"/>
      <c r="W33" s="335"/>
    </row>
    <row r="34" spans="1:23" x14ac:dyDescent="0.2">
      <c r="A34" s="335"/>
      <c r="W34" s="335"/>
    </row>
    <row r="35" spans="1:23" ht="18.75" x14ac:dyDescent="0.2">
      <c r="A35" s="335"/>
      <c r="C35" s="358" t="s">
        <v>4</v>
      </c>
      <c r="D35" s="358"/>
      <c r="E35" s="358"/>
      <c r="F35" s="358"/>
      <c r="G35" s="358"/>
      <c r="H35" s="358"/>
      <c r="I35" s="358"/>
      <c r="J35" s="358"/>
      <c r="K35" s="358"/>
      <c r="L35" s="358"/>
      <c r="M35" s="358"/>
      <c r="N35" s="358"/>
      <c r="O35" s="358"/>
      <c r="P35" s="358"/>
      <c r="Q35" s="358"/>
      <c r="R35" s="358"/>
      <c r="S35" s="358"/>
      <c r="T35" s="358"/>
      <c r="U35" s="358"/>
      <c r="W35" s="335"/>
    </row>
    <row r="36" spans="1:23" x14ac:dyDescent="0.2">
      <c r="A36" s="335"/>
      <c r="C36" s="337"/>
      <c r="D36" s="337"/>
      <c r="E36" s="337"/>
      <c r="F36" s="337"/>
      <c r="G36" s="337"/>
      <c r="H36" s="337"/>
      <c r="I36" s="337"/>
      <c r="J36" s="337"/>
      <c r="K36" s="337"/>
      <c r="L36" s="337"/>
      <c r="M36" s="337"/>
      <c r="N36" s="337"/>
      <c r="O36" s="337"/>
      <c r="P36" s="337"/>
      <c r="Q36" s="337"/>
      <c r="R36" s="337"/>
      <c r="S36" s="337"/>
      <c r="T36" s="337"/>
      <c r="U36" s="337"/>
      <c r="W36" s="335"/>
    </row>
    <row r="37" spans="1:23" ht="38.25" customHeight="1" x14ac:dyDescent="0.2">
      <c r="A37" s="335"/>
      <c r="C37" s="360" t="s">
        <v>5</v>
      </c>
      <c r="D37" s="360"/>
      <c r="E37" s="360"/>
      <c r="F37" s="360"/>
      <c r="G37" s="360"/>
      <c r="H37" s="360"/>
      <c r="I37" s="360"/>
      <c r="J37" s="360"/>
      <c r="K37" s="360"/>
      <c r="L37" s="360"/>
      <c r="M37" s="360"/>
      <c r="N37" s="360"/>
      <c r="O37" s="360"/>
      <c r="P37" s="360"/>
      <c r="Q37" s="360"/>
      <c r="R37" s="360"/>
      <c r="S37" s="360"/>
      <c r="T37" s="360"/>
      <c r="U37" s="360"/>
      <c r="V37" s="341"/>
      <c r="W37" s="335"/>
    </row>
    <row r="38" spans="1:23" x14ac:dyDescent="0.2">
      <c r="A38" s="335"/>
      <c r="W38" s="335"/>
    </row>
    <row r="39" spans="1:23" x14ac:dyDescent="0.2">
      <c r="A39" s="335"/>
      <c r="W39" s="335"/>
    </row>
    <row r="40" spans="1:23" x14ac:dyDescent="0.2">
      <c r="A40" s="335"/>
      <c r="W40" s="335"/>
    </row>
    <row r="41" spans="1:23" x14ac:dyDescent="0.2">
      <c r="A41" s="335"/>
      <c r="W41" s="335"/>
    </row>
    <row r="42" spans="1:23" x14ac:dyDescent="0.2">
      <c r="A42" s="335"/>
      <c r="W42" s="335"/>
    </row>
    <row r="43" spans="1:23" x14ac:dyDescent="0.2">
      <c r="A43" s="335"/>
      <c r="W43" s="335"/>
    </row>
    <row r="44" spans="1:23" x14ac:dyDescent="0.2">
      <c r="A44" s="335"/>
      <c r="W44" s="335"/>
    </row>
    <row r="45" spans="1:23" x14ac:dyDescent="0.2">
      <c r="A45" s="335"/>
      <c r="W45" s="335"/>
    </row>
    <row r="46" spans="1:23" x14ac:dyDescent="0.2">
      <c r="A46" s="335"/>
      <c r="W46" s="335"/>
    </row>
    <row r="47" spans="1:23" x14ac:dyDescent="0.2">
      <c r="A47" s="335"/>
      <c r="W47" s="335"/>
    </row>
    <row r="48" spans="1:23" ht="40.5" customHeight="1" x14ac:dyDescent="0.2">
      <c r="A48" s="335"/>
      <c r="C48" s="360" t="s">
        <v>6</v>
      </c>
      <c r="D48" s="360"/>
      <c r="E48" s="360"/>
      <c r="F48" s="360"/>
      <c r="G48" s="360"/>
      <c r="H48" s="360"/>
      <c r="I48" s="360"/>
      <c r="J48" s="360"/>
      <c r="K48" s="360"/>
      <c r="L48" s="360"/>
      <c r="M48" s="360"/>
      <c r="N48" s="360"/>
      <c r="O48" s="360"/>
      <c r="P48" s="360"/>
      <c r="Q48" s="360"/>
      <c r="R48" s="360"/>
      <c r="S48" s="360"/>
      <c r="T48" s="360"/>
      <c r="U48" s="360"/>
      <c r="W48" s="335"/>
    </row>
    <row r="49" spans="1:23" x14ac:dyDescent="0.2">
      <c r="A49" s="335"/>
      <c r="W49" s="335"/>
    </row>
    <row r="50" spans="1:23" x14ac:dyDescent="0.2">
      <c r="A50" s="335"/>
      <c r="W50" s="335"/>
    </row>
    <row r="51" spans="1:23" x14ac:dyDescent="0.2">
      <c r="A51" s="335"/>
      <c r="W51" s="335"/>
    </row>
    <row r="52" spans="1:23" x14ac:dyDescent="0.2">
      <c r="A52" s="335"/>
      <c r="W52" s="335"/>
    </row>
    <row r="53" spans="1:23" x14ac:dyDescent="0.2">
      <c r="A53" s="335"/>
      <c r="W53" s="335"/>
    </row>
    <row r="54" spans="1:23" x14ac:dyDescent="0.2">
      <c r="A54" s="335"/>
      <c r="W54" s="335"/>
    </row>
    <row r="55" spans="1:23" x14ac:dyDescent="0.2">
      <c r="A55" s="335"/>
      <c r="W55" s="335"/>
    </row>
    <row r="56" spans="1:23" x14ac:dyDescent="0.2">
      <c r="A56" s="335"/>
      <c r="W56" s="335"/>
    </row>
    <row r="57" spans="1:23" x14ac:dyDescent="0.2">
      <c r="A57" s="335"/>
      <c r="W57" s="335"/>
    </row>
    <row r="58" spans="1:23" x14ac:dyDescent="0.2">
      <c r="A58" s="335"/>
      <c r="W58" s="335"/>
    </row>
    <row r="59" spans="1:23" x14ac:dyDescent="0.2">
      <c r="A59" s="335"/>
      <c r="W59" s="335"/>
    </row>
    <row r="60" spans="1:23" ht="46.5" customHeight="1" x14ac:dyDescent="0.2">
      <c r="A60" s="335"/>
      <c r="C60" s="360" t="s">
        <v>7</v>
      </c>
      <c r="D60" s="360"/>
      <c r="E60" s="360"/>
      <c r="F60" s="360"/>
      <c r="G60" s="360"/>
      <c r="H60" s="360"/>
      <c r="I60" s="360"/>
      <c r="J60" s="360"/>
      <c r="K60" s="360"/>
      <c r="L60" s="360"/>
      <c r="M60" s="360"/>
      <c r="N60" s="360"/>
      <c r="O60" s="360"/>
      <c r="P60" s="360"/>
      <c r="Q60" s="360"/>
      <c r="R60" s="360"/>
      <c r="S60" s="360"/>
      <c r="T60" s="360"/>
      <c r="U60" s="360"/>
      <c r="W60" s="335"/>
    </row>
    <row r="61" spans="1:23" x14ac:dyDescent="0.2">
      <c r="A61" s="335"/>
      <c r="W61" s="335"/>
    </row>
    <row r="62" spans="1:23" x14ac:dyDescent="0.2">
      <c r="A62" s="335"/>
      <c r="W62" s="335"/>
    </row>
    <row r="63" spans="1:23" x14ac:dyDescent="0.2">
      <c r="A63" s="335"/>
      <c r="W63" s="335"/>
    </row>
    <row r="64" spans="1:23" x14ac:dyDescent="0.2">
      <c r="A64" s="335"/>
      <c r="W64" s="335"/>
    </row>
    <row r="65" spans="1:23" x14ac:dyDescent="0.2">
      <c r="A65" s="335"/>
      <c r="W65" s="335"/>
    </row>
    <row r="66" spans="1:23" x14ac:dyDescent="0.2">
      <c r="A66" s="335"/>
      <c r="W66" s="335"/>
    </row>
    <row r="67" spans="1:23" x14ac:dyDescent="0.2">
      <c r="A67" s="335"/>
      <c r="W67" s="335"/>
    </row>
    <row r="68" spans="1:23" x14ac:dyDescent="0.2">
      <c r="A68" s="335"/>
      <c r="W68" s="335"/>
    </row>
    <row r="69" spans="1:23" x14ac:dyDescent="0.2">
      <c r="A69" s="335"/>
      <c r="W69" s="335"/>
    </row>
    <row r="70" spans="1:23" x14ac:dyDescent="0.2">
      <c r="A70" s="335"/>
      <c r="W70" s="335"/>
    </row>
    <row r="71" spans="1:23" x14ac:dyDescent="0.2">
      <c r="A71" s="335"/>
      <c r="W71" s="335"/>
    </row>
    <row r="72" spans="1:23" x14ac:dyDescent="0.2">
      <c r="A72" s="335"/>
      <c r="W72" s="335"/>
    </row>
    <row r="73" spans="1:23" ht="18.75" x14ac:dyDescent="0.2">
      <c r="A73" s="335"/>
      <c r="C73" s="358" t="s">
        <v>8</v>
      </c>
      <c r="D73" s="358"/>
      <c r="E73" s="358"/>
      <c r="F73" s="358"/>
      <c r="G73" s="358"/>
      <c r="H73" s="358"/>
      <c r="I73" s="358"/>
      <c r="J73" s="358"/>
      <c r="K73" s="358"/>
      <c r="L73" s="358"/>
      <c r="M73" s="358"/>
      <c r="N73" s="358"/>
      <c r="O73" s="358"/>
      <c r="P73" s="358"/>
      <c r="Q73" s="358"/>
      <c r="R73" s="358"/>
      <c r="S73" s="358"/>
      <c r="T73" s="358"/>
      <c r="U73" s="358"/>
      <c r="W73" s="335"/>
    </row>
    <row r="74" spans="1:23" x14ac:dyDescent="0.2">
      <c r="A74" s="335"/>
      <c r="C74" s="337"/>
      <c r="D74" s="337"/>
      <c r="E74" s="337"/>
      <c r="F74" s="337"/>
      <c r="G74" s="337"/>
      <c r="H74" s="337"/>
      <c r="I74" s="337"/>
      <c r="J74" s="337"/>
      <c r="K74" s="337"/>
      <c r="L74" s="337"/>
      <c r="M74" s="337"/>
      <c r="N74" s="337"/>
      <c r="O74" s="337"/>
      <c r="P74" s="337"/>
      <c r="Q74" s="337"/>
      <c r="R74" s="337"/>
      <c r="S74" s="337"/>
      <c r="T74" s="337"/>
      <c r="U74" s="337"/>
      <c r="W74" s="335"/>
    </row>
    <row r="75" spans="1:23" x14ac:dyDescent="0.2">
      <c r="A75" s="335"/>
      <c r="C75" s="357" t="s">
        <v>9</v>
      </c>
      <c r="D75" s="357"/>
      <c r="E75" s="357"/>
      <c r="F75" s="357"/>
      <c r="G75" s="357"/>
      <c r="H75" s="357"/>
      <c r="I75" s="357"/>
      <c r="J75" s="357"/>
      <c r="K75" s="357"/>
      <c r="L75" s="357"/>
      <c r="M75" s="357"/>
      <c r="N75" s="357"/>
      <c r="O75" s="357"/>
      <c r="P75" s="357"/>
      <c r="Q75" s="357"/>
      <c r="R75" s="357"/>
      <c r="S75" s="357"/>
      <c r="T75" s="357"/>
      <c r="U75" s="357"/>
      <c r="V75" s="47"/>
      <c r="W75" s="335"/>
    </row>
    <row r="76" spans="1:23" x14ac:dyDescent="0.2">
      <c r="A76" s="335"/>
      <c r="C76" s="357" t="s">
        <v>10</v>
      </c>
      <c r="D76" s="357"/>
      <c r="E76" s="357"/>
      <c r="F76" s="357"/>
      <c r="G76" s="357"/>
      <c r="H76" s="357"/>
      <c r="I76" s="357"/>
      <c r="J76" s="357"/>
      <c r="K76" s="357"/>
      <c r="L76" s="357"/>
      <c r="M76" s="357"/>
      <c r="N76" s="357"/>
      <c r="O76" s="357"/>
      <c r="P76" s="357"/>
      <c r="Q76" s="357"/>
      <c r="R76" s="357"/>
      <c r="S76" s="357"/>
      <c r="T76" s="357"/>
      <c r="U76" s="357"/>
      <c r="V76" s="47"/>
      <c r="W76" s="335"/>
    </row>
    <row r="77" spans="1:23" x14ac:dyDescent="0.2">
      <c r="A77" s="335"/>
      <c r="W77" s="335"/>
    </row>
    <row r="78" spans="1:23" x14ac:dyDescent="0.2">
      <c r="A78" s="335"/>
      <c r="W78" s="335"/>
    </row>
    <row r="79" spans="1:23" x14ac:dyDescent="0.2">
      <c r="A79" s="335"/>
      <c r="W79" s="335"/>
    </row>
    <row r="80" spans="1:23" x14ac:dyDescent="0.2">
      <c r="A80" s="335"/>
      <c r="W80" s="335"/>
    </row>
    <row r="81" spans="1:23" x14ac:dyDescent="0.2">
      <c r="A81" s="335"/>
      <c r="W81" s="335"/>
    </row>
    <row r="82" spans="1:23" x14ac:dyDescent="0.2">
      <c r="A82" s="335"/>
      <c r="W82" s="335"/>
    </row>
    <row r="83" spans="1:23" x14ac:dyDescent="0.2">
      <c r="A83" s="335"/>
      <c r="W83" s="335"/>
    </row>
    <row r="84" spans="1:23" x14ac:dyDescent="0.2">
      <c r="A84" s="335"/>
      <c r="W84" s="335"/>
    </row>
    <row r="85" spans="1:23" x14ac:dyDescent="0.2">
      <c r="A85" s="335"/>
      <c r="W85" s="335"/>
    </row>
    <row r="86" spans="1:23" x14ac:dyDescent="0.2">
      <c r="A86" s="335"/>
      <c r="W86" s="335"/>
    </row>
    <row r="87" spans="1:23" x14ac:dyDescent="0.2">
      <c r="A87" s="335"/>
      <c r="W87" s="335"/>
    </row>
    <row r="88" spans="1:23" ht="9.9499999999999993" customHeight="1" x14ac:dyDescent="0.2">
      <c r="A88" s="335"/>
      <c r="B88" s="335"/>
      <c r="C88" s="335"/>
      <c r="D88" s="335"/>
      <c r="E88" s="335"/>
      <c r="F88" s="335"/>
      <c r="G88" s="335"/>
      <c r="H88" s="335"/>
      <c r="I88" s="335"/>
      <c r="J88" s="335"/>
      <c r="K88" s="335"/>
      <c r="L88" s="335"/>
      <c r="M88" s="335"/>
      <c r="N88" s="335"/>
      <c r="O88" s="335"/>
      <c r="P88" s="335"/>
      <c r="Q88" s="335"/>
      <c r="R88" s="335"/>
      <c r="S88" s="335"/>
      <c r="T88" s="335"/>
      <c r="U88" s="335"/>
      <c r="V88" s="335"/>
      <c r="W88" s="335"/>
    </row>
  </sheetData>
  <sheetProtection algorithmName="SHA-512" hashValue="kZXcyxLUFVStr1SdsirVcwQKfcTvimGmhAZNjTe8L/g4Z69H1MjKS4ljFuPR/L/k+cpBRqjROXfdJwD60eeIDQ==" saltValue="ZOD4hs3x62Ck7SqNkibF7A==" spinCount="100000" sheet="1" objects="1" scenarios="1"/>
  <mergeCells count="11">
    <mergeCell ref="C76:U76"/>
    <mergeCell ref="C5:D5"/>
    <mergeCell ref="C3:U3"/>
    <mergeCell ref="C15:U15"/>
    <mergeCell ref="C37:U37"/>
    <mergeCell ref="C75:U75"/>
    <mergeCell ref="C48:U48"/>
    <mergeCell ref="C60:U60"/>
    <mergeCell ref="C73:U73"/>
    <mergeCell ref="C7:V7"/>
    <mergeCell ref="C35:U3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Q57"/>
  <sheetViews>
    <sheetView showGridLines="0" topLeftCell="C8" workbookViewId="0">
      <selection activeCell="M37" sqref="M37"/>
    </sheetView>
  </sheetViews>
  <sheetFormatPr defaultColWidth="9.140625" defaultRowHeight="12.75" x14ac:dyDescent="0.2"/>
  <cols>
    <col min="1" max="1" width="1.7109375" style="40" customWidth="1"/>
    <col min="2" max="2" width="2.7109375" style="41" customWidth="1"/>
    <col min="3" max="3" width="10.7109375" style="40" customWidth="1"/>
    <col min="4" max="4" width="11.5703125" style="40" customWidth="1"/>
    <col min="5" max="5" width="7.42578125" style="42" customWidth="1"/>
    <col min="6" max="6" width="2.7109375" style="42" customWidth="1"/>
    <col min="7" max="9" width="10.7109375" style="41" customWidth="1"/>
    <col min="10" max="10" width="2.7109375" style="41" customWidth="1"/>
    <col min="11" max="13" width="10.7109375" style="41" customWidth="1"/>
    <col min="14" max="14" width="2.7109375" style="41" customWidth="1"/>
    <col min="15" max="17" width="10.7109375" style="41" customWidth="1"/>
    <col min="18" max="18" width="2.7109375" style="41" customWidth="1"/>
    <col min="19" max="21" width="10.7109375" style="41" customWidth="1"/>
    <col min="22" max="22" width="2.7109375" style="41" customWidth="1"/>
    <col min="23" max="23" width="1.7109375" style="40" customWidth="1"/>
    <col min="24" max="16384" width="9.140625" style="40"/>
  </cols>
  <sheetData>
    <row r="1" spans="1:43" ht="9.9499999999999993" customHeight="1" x14ac:dyDescent="0.2">
      <c r="A1" s="37"/>
      <c r="B1" s="38"/>
      <c r="C1" s="37"/>
      <c r="D1" s="37"/>
      <c r="E1" s="39"/>
      <c r="F1" s="39"/>
      <c r="G1" s="38"/>
      <c r="H1" s="38"/>
      <c r="I1" s="38"/>
      <c r="J1" s="38"/>
      <c r="K1" s="38"/>
      <c r="L1" s="38"/>
      <c r="M1" s="38"/>
      <c r="N1" s="38"/>
      <c r="O1" s="38"/>
      <c r="P1" s="38"/>
      <c r="Q1" s="38"/>
      <c r="R1" s="38"/>
      <c r="S1" s="38"/>
      <c r="T1" s="38"/>
      <c r="U1" s="38"/>
      <c r="V1" s="38"/>
      <c r="W1" s="37"/>
    </row>
    <row r="2" spans="1:43" ht="15" customHeight="1" x14ac:dyDescent="0.2">
      <c r="A2" s="37"/>
      <c r="W2" s="37"/>
    </row>
    <row r="3" spans="1:43" ht="15.95" customHeight="1" x14ac:dyDescent="0.2">
      <c r="A3" s="37"/>
      <c r="B3" s="43"/>
      <c r="C3" s="411" t="s">
        <v>11</v>
      </c>
      <c r="D3" s="44" t="s">
        <v>12</v>
      </c>
      <c r="E3" s="408" t="s">
        <v>109</v>
      </c>
      <c r="F3" s="409"/>
      <c r="G3" s="409"/>
      <c r="H3" s="409"/>
      <c r="I3" s="409"/>
      <c r="J3" s="409"/>
      <c r="K3" s="409"/>
      <c r="L3" s="409"/>
      <c r="M3" s="410"/>
      <c r="N3" s="40"/>
      <c r="O3" s="45" t="s">
        <v>13</v>
      </c>
      <c r="P3" s="414">
        <v>1798</v>
      </c>
      <c r="Q3" s="415"/>
      <c r="R3" s="415"/>
      <c r="S3" s="415"/>
      <c r="T3" s="415"/>
      <c r="U3" s="416"/>
      <c r="V3" s="43"/>
      <c r="W3" s="46"/>
      <c r="X3" s="43"/>
      <c r="Y3" s="43"/>
      <c r="Z3" s="43"/>
      <c r="AA3" s="43"/>
      <c r="AB3" s="43"/>
      <c r="AC3" s="43"/>
      <c r="AD3" s="43"/>
      <c r="AE3" s="43"/>
      <c r="AF3" s="43"/>
      <c r="AG3" s="43"/>
      <c r="AH3" s="43"/>
      <c r="AI3" s="43"/>
      <c r="AJ3" s="43"/>
      <c r="AK3" s="43"/>
      <c r="AL3" s="43"/>
      <c r="AM3" s="43"/>
      <c r="AN3" s="43"/>
      <c r="AO3" s="43"/>
      <c r="AP3" s="43"/>
      <c r="AQ3" s="43"/>
    </row>
    <row r="4" spans="1:43" ht="15.95" customHeight="1" x14ac:dyDescent="0.2">
      <c r="A4" s="37"/>
      <c r="B4" s="47"/>
      <c r="C4" s="412"/>
      <c r="D4" s="44" t="s">
        <v>14</v>
      </c>
      <c r="E4" s="365" t="s">
        <v>110</v>
      </c>
      <c r="F4" s="366"/>
      <c r="G4" s="366"/>
      <c r="H4" s="366"/>
      <c r="I4" s="366"/>
      <c r="J4" s="366"/>
      <c r="K4" s="366"/>
      <c r="L4" s="366"/>
      <c r="M4" s="367"/>
      <c r="N4" s="40"/>
      <c r="O4" s="45" t="s">
        <v>15</v>
      </c>
      <c r="P4" s="377" t="s">
        <v>115</v>
      </c>
      <c r="Q4" s="378"/>
      <c r="R4" s="378"/>
      <c r="S4" s="378"/>
      <c r="T4" s="378"/>
      <c r="U4" s="379"/>
      <c r="V4" s="47"/>
      <c r="W4" s="48"/>
      <c r="AE4" s="47"/>
      <c r="AF4" s="47"/>
      <c r="AG4" s="47"/>
      <c r="AH4" s="47"/>
      <c r="AI4" s="47"/>
      <c r="AJ4" s="47"/>
      <c r="AK4" s="47"/>
      <c r="AL4" s="47"/>
      <c r="AM4" s="47"/>
      <c r="AN4" s="47"/>
      <c r="AO4" s="47"/>
      <c r="AP4" s="47"/>
      <c r="AQ4" s="47"/>
    </row>
    <row r="5" spans="1:43" ht="15.95" customHeight="1" x14ac:dyDescent="0.2">
      <c r="A5" s="37"/>
      <c r="B5" s="47"/>
      <c r="C5" s="412"/>
      <c r="D5" s="44" t="s">
        <v>16</v>
      </c>
      <c r="E5" s="365" t="s">
        <v>111</v>
      </c>
      <c r="F5" s="366"/>
      <c r="G5" s="366"/>
      <c r="H5" s="366"/>
      <c r="I5" s="366"/>
      <c r="J5" s="366"/>
      <c r="K5" s="366"/>
      <c r="L5" s="366"/>
      <c r="M5" s="367"/>
      <c r="N5" s="40"/>
      <c r="O5" s="45" t="s">
        <v>17</v>
      </c>
      <c r="P5" s="377" t="s">
        <v>116</v>
      </c>
      <c r="Q5" s="378"/>
      <c r="R5" s="378"/>
      <c r="S5" s="378"/>
      <c r="T5" s="378"/>
      <c r="U5" s="379"/>
      <c r="V5" s="47"/>
      <c r="W5" s="48"/>
      <c r="AE5" s="47"/>
      <c r="AF5" s="47"/>
      <c r="AG5" s="47"/>
      <c r="AH5" s="47"/>
      <c r="AI5" s="47"/>
      <c r="AJ5" s="47"/>
      <c r="AK5" s="47"/>
      <c r="AL5" s="47"/>
      <c r="AM5" s="47"/>
      <c r="AN5" s="47"/>
      <c r="AO5" s="47"/>
      <c r="AP5" s="47"/>
      <c r="AQ5" s="47"/>
    </row>
    <row r="6" spans="1:43" s="51" customFormat="1" ht="15.95" customHeight="1" x14ac:dyDescent="0.2">
      <c r="A6" s="49"/>
      <c r="B6" s="50"/>
      <c r="C6" s="412"/>
      <c r="D6" s="44" t="s">
        <v>18</v>
      </c>
      <c r="E6" s="365" t="s">
        <v>112</v>
      </c>
      <c r="F6" s="366"/>
      <c r="G6" s="366"/>
      <c r="H6" s="366"/>
      <c r="I6" s="366"/>
      <c r="J6" s="366"/>
      <c r="K6" s="366"/>
      <c r="L6" s="366"/>
      <c r="M6" s="367"/>
      <c r="O6" s="45" t="s">
        <v>19</v>
      </c>
      <c r="P6" s="377" t="s">
        <v>117</v>
      </c>
      <c r="Q6" s="378"/>
      <c r="R6" s="378"/>
      <c r="S6" s="378"/>
      <c r="T6" s="378"/>
      <c r="U6" s="379"/>
      <c r="V6" s="50"/>
      <c r="W6" s="49"/>
    </row>
    <row r="7" spans="1:43" s="51" customFormat="1" ht="15.95" customHeight="1" x14ac:dyDescent="0.2">
      <c r="A7" s="49"/>
      <c r="B7" s="50"/>
      <c r="C7" s="412"/>
      <c r="D7" s="44" t="s">
        <v>20</v>
      </c>
      <c r="E7" s="365" t="s">
        <v>114</v>
      </c>
      <c r="F7" s="366"/>
      <c r="G7" s="366"/>
      <c r="H7" s="366"/>
      <c r="I7" s="366"/>
      <c r="J7" s="366"/>
      <c r="K7" s="366"/>
      <c r="L7" s="366"/>
      <c r="M7" s="367"/>
      <c r="O7" s="45" t="s">
        <v>21</v>
      </c>
      <c r="P7" s="377" t="s">
        <v>118</v>
      </c>
      <c r="Q7" s="378"/>
      <c r="R7" s="378"/>
      <c r="S7" s="378"/>
      <c r="T7" s="378"/>
      <c r="U7" s="379"/>
      <c r="V7" s="50"/>
      <c r="W7" s="49"/>
    </row>
    <row r="8" spans="1:43" s="51" customFormat="1" ht="15.95" customHeight="1" x14ac:dyDescent="0.2">
      <c r="A8" s="49"/>
      <c r="B8" s="50"/>
      <c r="C8" s="413"/>
      <c r="D8" s="44" t="s">
        <v>22</v>
      </c>
      <c r="E8" s="362" t="s">
        <v>113</v>
      </c>
      <c r="F8" s="363"/>
      <c r="G8" s="363"/>
      <c r="H8" s="363"/>
      <c r="I8" s="363"/>
      <c r="J8" s="363"/>
      <c r="K8" s="363"/>
      <c r="L8" s="363"/>
      <c r="M8" s="364"/>
      <c r="O8" s="45" t="s">
        <v>23</v>
      </c>
      <c r="P8" s="374" t="s">
        <v>119</v>
      </c>
      <c r="Q8" s="375"/>
      <c r="R8" s="375"/>
      <c r="S8" s="375"/>
      <c r="T8" s="375"/>
      <c r="U8" s="376"/>
      <c r="V8" s="50"/>
      <c r="W8" s="49"/>
    </row>
    <row r="9" spans="1:43" s="51" customFormat="1" ht="15.95" customHeight="1" thickBot="1" x14ac:dyDescent="0.25">
      <c r="A9" s="49"/>
      <c r="B9" s="50"/>
      <c r="C9" s="52"/>
      <c r="D9" s="53"/>
      <c r="E9" s="54"/>
      <c r="F9" s="54"/>
      <c r="G9" s="54"/>
      <c r="H9" s="54"/>
      <c r="I9" s="54"/>
      <c r="J9" s="54"/>
      <c r="K9" s="54"/>
      <c r="L9" s="54"/>
      <c r="M9" s="54"/>
      <c r="N9" s="52"/>
      <c r="O9" s="53"/>
      <c r="P9" s="54"/>
      <c r="Q9" s="54"/>
      <c r="R9" s="54"/>
      <c r="S9" s="54"/>
      <c r="T9" s="54"/>
      <c r="U9" s="52"/>
      <c r="V9" s="50"/>
      <c r="W9" s="49"/>
    </row>
    <row r="10" spans="1:43" s="51" customFormat="1" ht="17.25" thickTop="1" thickBot="1" x14ac:dyDescent="0.25">
      <c r="A10" s="49"/>
      <c r="B10" s="50"/>
      <c r="C10" s="55"/>
      <c r="D10" s="55"/>
      <c r="E10" s="56"/>
      <c r="F10" s="56"/>
      <c r="G10" s="50"/>
      <c r="H10" s="50"/>
      <c r="I10" s="50"/>
      <c r="J10" s="50"/>
      <c r="K10" s="50"/>
      <c r="L10" s="50"/>
      <c r="N10" s="50"/>
      <c r="O10" s="50"/>
      <c r="R10" s="50"/>
      <c r="S10" s="50"/>
      <c r="V10" s="50"/>
      <c r="W10" s="49"/>
    </row>
    <row r="11" spans="1:43" s="58" customFormat="1" ht="22.5" customHeight="1" thickBot="1" x14ac:dyDescent="0.25">
      <c r="A11" s="57"/>
      <c r="B11" s="41"/>
      <c r="C11" s="401"/>
      <c r="D11" s="401"/>
      <c r="E11" s="401"/>
      <c r="F11" s="56"/>
      <c r="G11" s="398" t="s">
        <v>24</v>
      </c>
      <c r="H11" s="399"/>
      <c r="I11" s="400"/>
      <c r="J11" s="50"/>
      <c r="K11" s="370" t="s">
        <v>78</v>
      </c>
      <c r="L11" s="371"/>
      <c r="M11" s="372"/>
      <c r="N11" s="50"/>
      <c r="O11" s="370" t="s">
        <v>25</v>
      </c>
      <c r="P11" s="371"/>
      <c r="Q11" s="372"/>
      <c r="R11" s="50"/>
      <c r="S11" s="370" t="s">
        <v>26</v>
      </c>
      <c r="T11" s="371"/>
      <c r="U11" s="372"/>
      <c r="V11" s="41"/>
      <c r="W11" s="57"/>
    </row>
    <row r="12" spans="1:43" s="66" customFormat="1" ht="25.5" customHeight="1" thickBot="1" x14ac:dyDescent="0.25">
      <c r="A12" s="59"/>
      <c r="B12" s="41"/>
      <c r="C12" s="361"/>
      <c r="D12" s="361"/>
      <c r="E12" s="361"/>
      <c r="F12" s="56"/>
      <c r="G12" s="60" t="s">
        <v>27</v>
      </c>
      <c r="H12" s="61" t="s">
        <v>28</v>
      </c>
      <c r="I12" s="62" t="s">
        <v>29</v>
      </c>
      <c r="J12" s="50"/>
      <c r="K12" s="63" t="s">
        <v>27</v>
      </c>
      <c r="L12" s="64" t="s">
        <v>28</v>
      </c>
      <c r="M12" s="65" t="s">
        <v>29</v>
      </c>
      <c r="N12" s="50"/>
      <c r="O12" s="63" t="s">
        <v>27</v>
      </c>
      <c r="P12" s="64" t="s">
        <v>28</v>
      </c>
      <c r="Q12" s="65" t="s">
        <v>29</v>
      </c>
      <c r="R12" s="50"/>
      <c r="S12" s="63" t="s">
        <v>27</v>
      </c>
      <c r="T12" s="64" t="s">
        <v>28</v>
      </c>
      <c r="U12" s="65" t="s">
        <v>29</v>
      </c>
      <c r="V12" s="41"/>
      <c r="W12" s="59"/>
    </row>
    <row r="13" spans="1:43" ht="15" hidden="1" customHeight="1" x14ac:dyDescent="0.2">
      <c r="A13" s="37"/>
      <c r="C13" s="419"/>
      <c r="D13" s="420"/>
      <c r="E13" s="421"/>
      <c r="F13" s="56"/>
      <c r="G13" s="67"/>
      <c r="H13" s="68"/>
      <c r="I13" s="69"/>
      <c r="J13" s="50"/>
      <c r="K13" s="67"/>
      <c r="L13" s="68"/>
      <c r="M13" s="69"/>
      <c r="N13" s="50"/>
      <c r="O13" s="67"/>
      <c r="P13" s="68"/>
      <c r="Q13" s="69"/>
      <c r="R13" s="50"/>
      <c r="S13" s="67"/>
      <c r="T13" s="68"/>
      <c r="U13" s="69"/>
      <c r="W13" s="37"/>
    </row>
    <row r="14" spans="1:43" ht="15" hidden="1" customHeight="1" x14ac:dyDescent="0.2">
      <c r="A14" s="37"/>
      <c r="C14" s="419" t="s">
        <v>30</v>
      </c>
      <c r="D14" s="420"/>
      <c r="E14" s="421"/>
      <c r="F14" s="56"/>
      <c r="G14" s="70">
        <f>G15+G20+G25</f>
        <v>0</v>
      </c>
      <c r="H14" s="71"/>
      <c r="I14" s="72"/>
      <c r="J14" s="50"/>
      <c r="K14" s="70">
        <f>K15+K20+K25</f>
        <v>0</v>
      </c>
      <c r="L14" s="71"/>
      <c r="M14" s="72"/>
      <c r="N14" s="50"/>
      <c r="O14" s="70">
        <f>SUM(O15,O20,O25)</f>
        <v>0</v>
      </c>
      <c r="P14" s="71"/>
      <c r="Q14" s="72"/>
      <c r="R14" s="50"/>
      <c r="S14" s="70">
        <f>S15+S20+S25</f>
        <v>0</v>
      </c>
      <c r="T14" s="71"/>
      <c r="U14" s="72"/>
      <c r="W14" s="37"/>
    </row>
    <row r="15" spans="1:43" ht="15" hidden="1" customHeight="1" x14ac:dyDescent="0.2">
      <c r="A15" s="37"/>
      <c r="C15" s="368" t="s">
        <v>31</v>
      </c>
      <c r="D15" s="369"/>
      <c r="E15" s="73" t="s">
        <v>32</v>
      </c>
      <c r="F15" s="56"/>
      <c r="G15" s="373">
        <v>0</v>
      </c>
      <c r="H15" s="74"/>
      <c r="I15" s="75"/>
      <c r="J15" s="50"/>
      <c r="K15" s="373">
        <v>0</v>
      </c>
      <c r="L15" s="74"/>
      <c r="M15" s="75"/>
      <c r="N15" s="50"/>
      <c r="O15" s="373">
        <v>0</v>
      </c>
      <c r="P15" s="74"/>
      <c r="Q15" s="75"/>
      <c r="R15" s="50"/>
      <c r="S15" s="373">
        <v>0</v>
      </c>
      <c r="T15" s="74"/>
      <c r="U15" s="75"/>
      <c r="W15" s="37"/>
    </row>
    <row r="16" spans="1:43" ht="15" hidden="1" customHeight="1" x14ac:dyDescent="0.2">
      <c r="A16" s="37"/>
      <c r="C16" s="368" t="s">
        <v>33</v>
      </c>
      <c r="D16" s="369"/>
      <c r="E16" s="73" t="s">
        <v>34</v>
      </c>
      <c r="F16" s="56"/>
      <c r="G16" s="373"/>
      <c r="H16" s="74"/>
      <c r="I16" s="75"/>
      <c r="J16" s="50"/>
      <c r="K16" s="373"/>
      <c r="L16" s="74"/>
      <c r="M16" s="75"/>
      <c r="N16" s="50"/>
      <c r="O16" s="373"/>
      <c r="P16" s="74"/>
      <c r="Q16" s="75"/>
      <c r="R16" s="50"/>
      <c r="S16" s="373"/>
      <c r="T16" s="74"/>
      <c r="U16" s="75"/>
      <c r="W16" s="37"/>
    </row>
    <row r="17" spans="1:23" ht="15" hidden="1" customHeight="1" x14ac:dyDescent="0.2">
      <c r="A17" s="37"/>
      <c r="C17" s="368" t="s">
        <v>35</v>
      </c>
      <c r="D17" s="369"/>
      <c r="E17" s="73" t="s">
        <v>36</v>
      </c>
      <c r="F17" s="56"/>
      <c r="G17" s="373"/>
      <c r="H17" s="74"/>
      <c r="I17" s="75"/>
      <c r="K17" s="373"/>
      <c r="L17" s="74"/>
      <c r="M17" s="75"/>
      <c r="O17" s="373"/>
      <c r="P17" s="74"/>
      <c r="Q17" s="75"/>
      <c r="S17" s="373"/>
      <c r="T17" s="74"/>
      <c r="U17" s="75"/>
      <c r="W17" s="37"/>
    </row>
    <row r="18" spans="1:23" ht="15" hidden="1" customHeight="1" x14ac:dyDescent="0.2">
      <c r="A18" s="37"/>
      <c r="C18" s="368" t="s">
        <v>37</v>
      </c>
      <c r="D18" s="369"/>
      <c r="E18" s="73" t="s">
        <v>38</v>
      </c>
      <c r="F18" s="56"/>
      <c r="G18" s="373"/>
      <c r="H18" s="74"/>
      <c r="I18" s="75"/>
      <c r="K18" s="373"/>
      <c r="L18" s="74"/>
      <c r="M18" s="75"/>
      <c r="O18" s="373"/>
      <c r="P18" s="74"/>
      <c r="Q18" s="75"/>
      <c r="S18" s="373"/>
      <c r="T18" s="74"/>
      <c r="U18" s="75"/>
      <c r="W18" s="37"/>
    </row>
    <row r="19" spans="1:23" ht="15" hidden="1" customHeight="1" x14ac:dyDescent="0.2">
      <c r="A19" s="37"/>
      <c r="C19" s="368" t="s">
        <v>39</v>
      </c>
      <c r="D19" s="369"/>
      <c r="E19" s="73" t="s">
        <v>40</v>
      </c>
      <c r="F19" s="56"/>
      <c r="G19" s="373"/>
      <c r="H19" s="74"/>
      <c r="I19" s="75"/>
      <c r="K19" s="373"/>
      <c r="L19" s="74"/>
      <c r="M19" s="75"/>
      <c r="O19" s="373"/>
      <c r="P19" s="74"/>
      <c r="Q19" s="75"/>
      <c r="S19" s="373"/>
      <c r="T19" s="74"/>
      <c r="U19" s="75"/>
      <c r="W19" s="37"/>
    </row>
    <row r="20" spans="1:23" ht="15" hidden="1" customHeight="1" x14ac:dyDescent="0.2">
      <c r="A20" s="37"/>
      <c r="C20" s="368" t="s">
        <v>41</v>
      </c>
      <c r="D20" s="369"/>
      <c r="E20" s="73" t="s">
        <v>42</v>
      </c>
      <c r="F20" s="56"/>
      <c r="G20" s="373"/>
      <c r="H20" s="76"/>
      <c r="I20" s="77"/>
      <c r="K20" s="373"/>
      <c r="L20" s="76"/>
      <c r="M20" s="77"/>
      <c r="O20" s="373"/>
      <c r="P20" s="76"/>
      <c r="Q20" s="77"/>
      <c r="S20" s="373"/>
      <c r="T20" s="76"/>
      <c r="U20" s="77"/>
      <c r="W20" s="37"/>
    </row>
    <row r="21" spans="1:23" ht="15" hidden="1" customHeight="1" x14ac:dyDescent="0.2">
      <c r="A21" s="37"/>
      <c r="C21" s="368" t="s">
        <v>43</v>
      </c>
      <c r="D21" s="369"/>
      <c r="E21" s="73" t="s">
        <v>44</v>
      </c>
      <c r="F21" s="56"/>
      <c r="G21" s="373"/>
      <c r="H21" s="76"/>
      <c r="I21" s="77"/>
      <c r="K21" s="373"/>
      <c r="L21" s="76"/>
      <c r="M21" s="77"/>
      <c r="O21" s="373"/>
      <c r="P21" s="76"/>
      <c r="Q21" s="77"/>
      <c r="S21" s="373"/>
      <c r="T21" s="76"/>
      <c r="U21" s="77"/>
      <c r="W21" s="37"/>
    </row>
    <row r="22" spans="1:23" ht="15" hidden="1" customHeight="1" x14ac:dyDescent="0.2">
      <c r="A22" s="37"/>
      <c r="C22" s="368" t="s">
        <v>45</v>
      </c>
      <c r="D22" s="369"/>
      <c r="E22" s="73" t="s">
        <v>46</v>
      </c>
      <c r="F22" s="56"/>
      <c r="G22" s="373"/>
      <c r="H22" s="76"/>
      <c r="I22" s="77"/>
      <c r="K22" s="373"/>
      <c r="L22" s="76"/>
      <c r="M22" s="77"/>
      <c r="O22" s="373"/>
      <c r="P22" s="76"/>
      <c r="Q22" s="77"/>
      <c r="S22" s="373"/>
      <c r="T22" s="76"/>
      <c r="U22" s="77"/>
      <c r="W22" s="37"/>
    </row>
    <row r="23" spans="1:23" ht="15" hidden="1" customHeight="1" x14ac:dyDescent="0.2">
      <c r="A23" s="37"/>
      <c r="C23" s="368" t="s">
        <v>47</v>
      </c>
      <c r="D23" s="369"/>
      <c r="E23" s="73" t="s">
        <v>48</v>
      </c>
      <c r="F23" s="56"/>
      <c r="G23" s="373"/>
      <c r="H23" s="76"/>
      <c r="I23" s="77"/>
      <c r="K23" s="373"/>
      <c r="L23" s="76"/>
      <c r="M23" s="77"/>
      <c r="O23" s="373"/>
      <c r="P23" s="76"/>
      <c r="Q23" s="77"/>
      <c r="S23" s="373"/>
      <c r="T23" s="76"/>
      <c r="U23" s="77"/>
      <c r="W23" s="37"/>
    </row>
    <row r="24" spans="1:23" ht="15" hidden="1" customHeight="1" x14ac:dyDescent="0.2">
      <c r="A24" s="37"/>
      <c r="C24" s="368" t="s">
        <v>49</v>
      </c>
      <c r="D24" s="369"/>
      <c r="E24" s="73" t="s">
        <v>50</v>
      </c>
      <c r="F24" s="56"/>
      <c r="G24" s="373"/>
      <c r="H24" s="76"/>
      <c r="I24" s="77"/>
      <c r="K24" s="373"/>
      <c r="L24" s="76"/>
      <c r="M24" s="77"/>
      <c r="O24" s="373"/>
      <c r="P24" s="76"/>
      <c r="Q24" s="77"/>
      <c r="S24" s="373"/>
      <c r="T24" s="76"/>
      <c r="U24" s="77"/>
      <c r="W24" s="37"/>
    </row>
    <row r="25" spans="1:23" ht="15" hidden="1" customHeight="1" x14ac:dyDescent="0.2">
      <c r="A25" s="37"/>
      <c r="C25" s="368" t="s">
        <v>51</v>
      </c>
      <c r="D25" s="369"/>
      <c r="E25" s="73" t="s">
        <v>52</v>
      </c>
      <c r="F25" s="56"/>
      <c r="G25" s="396">
        <v>0</v>
      </c>
      <c r="H25" s="78"/>
      <c r="I25" s="79"/>
      <c r="K25" s="396">
        <v>0</v>
      </c>
      <c r="L25" s="78"/>
      <c r="M25" s="79"/>
      <c r="O25" s="396">
        <v>0</v>
      </c>
      <c r="P25" s="78"/>
      <c r="Q25" s="79"/>
      <c r="S25" s="396">
        <v>0</v>
      </c>
      <c r="T25" s="78"/>
      <c r="U25" s="79"/>
      <c r="W25" s="37"/>
    </row>
    <row r="26" spans="1:23" ht="15" hidden="1" customHeight="1" x14ac:dyDescent="0.2">
      <c r="A26" s="37"/>
      <c r="C26" s="368" t="s">
        <v>53</v>
      </c>
      <c r="D26" s="369"/>
      <c r="E26" s="73" t="s">
        <v>54</v>
      </c>
      <c r="F26" s="56"/>
      <c r="G26" s="396"/>
      <c r="H26" s="78"/>
      <c r="I26" s="79"/>
      <c r="K26" s="396"/>
      <c r="L26" s="78"/>
      <c r="M26" s="79"/>
      <c r="O26" s="396"/>
      <c r="P26" s="78"/>
      <c r="Q26" s="79"/>
      <c r="S26" s="396"/>
      <c r="T26" s="78"/>
      <c r="U26" s="79"/>
      <c r="W26" s="37"/>
    </row>
    <row r="27" spans="1:23" ht="15" hidden="1" customHeight="1" x14ac:dyDescent="0.2">
      <c r="A27" s="37"/>
      <c r="C27" s="417" t="s">
        <v>55</v>
      </c>
      <c r="D27" s="418"/>
      <c r="E27" s="80" t="s">
        <v>56</v>
      </c>
      <c r="F27" s="56"/>
      <c r="G27" s="396"/>
      <c r="H27" s="78"/>
      <c r="I27" s="79"/>
      <c r="K27" s="396"/>
      <c r="L27" s="78"/>
      <c r="M27" s="79"/>
      <c r="O27" s="396"/>
      <c r="P27" s="78"/>
      <c r="Q27" s="79"/>
      <c r="S27" s="396"/>
      <c r="T27" s="78"/>
      <c r="U27" s="79"/>
      <c r="W27" s="37"/>
    </row>
    <row r="28" spans="1:23" ht="18" customHeight="1" x14ac:dyDescent="0.2">
      <c r="A28" s="37"/>
      <c r="C28" s="405" t="s">
        <v>57</v>
      </c>
      <c r="D28" s="406"/>
      <c r="E28" s="407"/>
      <c r="F28" s="56"/>
      <c r="G28" s="81"/>
      <c r="H28" s="403"/>
      <c r="I28" s="404"/>
      <c r="K28" s="81"/>
      <c r="L28" s="403"/>
      <c r="M28" s="404"/>
      <c r="O28" s="81"/>
      <c r="P28" s="403"/>
      <c r="Q28" s="404"/>
      <c r="S28" s="81"/>
      <c r="T28" s="403"/>
      <c r="U28" s="404"/>
      <c r="W28" s="37"/>
    </row>
    <row r="29" spans="1:23" ht="15" customHeight="1" x14ac:dyDescent="0.2">
      <c r="A29" s="37"/>
      <c r="C29" s="385" t="s">
        <v>58</v>
      </c>
      <c r="D29" s="386"/>
      <c r="E29" s="82" t="s">
        <v>59</v>
      </c>
      <c r="F29" s="56"/>
      <c r="G29" s="394">
        <v>0.3</v>
      </c>
      <c r="H29" s="27"/>
      <c r="I29" s="1">
        <v>100</v>
      </c>
      <c r="K29" s="394">
        <v>0.3</v>
      </c>
      <c r="L29" s="27"/>
      <c r="M29" s="1">
        <v>50</v>
      </c>
      <c r="O29" s="394">
        <v>0.3</v>
      </c>
      <c r="P29" s="27"/>
      <c r="Q29" s="1"/>
      <c r="S29" s="394">
        <v>0.3</v>
      </c>
      <c r="T29" s="27"/>
      <c r="U29" s="1"/>
      <c r="W29" s="37"/>
    </row>
    <row r="30" spans="1:23" ht="15" customHeight="1" x14ac:dyDescent="0.2">
      <c r="A30" s="37"/>
      <c r="C30" s="387" t="s">
        <v>60</v>
      </c>
      <c r="D30" s="388"/>
      <c r="E30" s="83" t="s">
        <v>61</v>
      </c>
      <c r="F30" s="56"/>
      <c r="G30" s="395"/>
      <c r="H30" s="28"/>
      <c r="I30" s="2">
        <v>100</v>
      </c>
      <c r="K30" s="395"/>
      <c r="L30" s="28"/>
      <c r="M30" s="2">
        <v>50</v>
      </c>
      <c r="O30" s="395"/>
      <c r="P30" s="28"/>
      <c r="Q30" s="2"/>
      <c r="S30" s="395"/>
      <c r="T30" s="28"/>
      <c r="U30" s="2"/>
      <c r="W30" s="37"/>
    </row>
    <row r="31" spans="1:23" ht="15" customHeight="1" x14ac:dyDescent="0.2">
      <c r="A31" s="37"/>
      <c r="C31" s="387" t="s">
        <v>62</v>
      </c>
      <c r="D31" s="388"/>
      <c r="E31" s="83" t="s">
        <v>63</v>
      </c>
      <c r="F31" s="56"/>
      <c r="G31" s="395"/>
      <c r="H31" s="28"/>
      <c r="I31" s="2">
        <v>50</v>
      </c>
      <c r="K31" s="395"/>
      <c r="L31" s="28"/>
      <c r="M31" s="2"/>
      <c r="O31" s="395"/>
      <c r="P31" s="28"/>
      <c r="Q31" s="2"/>
      <c r="S31" s="395"/>
      <c r="T31" s="28"/>
      <c r="U31" s="2"/>
      <c r="W31" s="37"/>
    </row>
    <row r="32" spans="1:23" ht="15" customHeight="1" x14ac:dyDescent="0.2">
      <c r="A32" s="37"/>
      <c r="C32" s="389" t="s">
        <v>64</v>
      </c>
      <c r="D32" s="390"/>
      <c r="E32" s="84" t="s">
        <v>65</v>
      </c>
      <c r="F32" s="56"/>
      <c r="G32" s="402"/>
      <c r="H32" s="29"/>
      <c r="I32" s="2"/>
      <c r="K32" s="402"/>
      <c r="L32" s="29"/>
      <c r="M32" s="3"/>
      <c r="O32" s="402"/>
      <c r="P32" s="29"/>
      <c r="Q32" s="3"/>
      <c r="S32" s="402"/>
      <c r="T32" s="29"/>
      <c r="U32" s="3"/>
      <c r="W32" s="37"/>
    </row>
    <row r="33" spans="1:23" ht="18" customHeight="1" x14ac:dyDescent="0.2">
      <c r="A33" s="37"/>
      <c r="C33" s="380" t="s">
        <v>66</v>
      </c>
      <c r="D33" s="381"/>
      <c r="E33" s="382"/>
      <c r="F33" s="56"/>
      <c r="G33" s="81"/>
      <c r="H33" s="85"/>
      <c r="I33" s="86"/>
      <c r="K33" s="81"/>
      <c r="L33" s="85"/>
      <c r="M33" s="86"/>
      <c r="O33" s="81"/>
      <c r="P33" s="85"/>
      <c r="Q33" s="86"/>
      <c r="S33" s="81"/>
      <c r="T33" s="85"/>
      <c r="U33" s="86"/>
      <c r="W33" s="37"/>
    </row>
    <row r="34" spans="1:23" ht="15" customHeight="1" x14ac:dyDescent="0.2">
      <c r="A34" s="37"/>
      <c r="C34" s="385" t="s">
        <v>67</v>
      </c>
      <c r="D34" s="386"/>
      <c r="E34" s="82" t="s">
        <v>68</v>
      </c>
      <c r="F34" s="56"/>
      <c r="G34" s="394">
        <v>0.2</v>
      </c>
      <c r="H34" s="30"/>
      <c r="I34" s="4">
        <v>100</v>
      </c>
      <c r="K34" s="394">
        <v>0.2</v>
      </c>
      <c r="L34" s="30"/>
      <c r="M34" s="4">
        <v>10</v>
      </c>
      <c r="O34" s="394">
        <v>0.2</v>
      </c>
      <c r="P34" s="30"/>
      <c r="Q34" s="4"/>
      <c r="S34" s="394">
        <v>0.2</v>
      </c>
      <c r="T34" s="30"/>
      <c r="U34" s="4"/>
      <c r="W34" s="37"/>
    </row>
    <row r="35" spans="1:23" ht="15" customHeight="1" x14ac:dyDescent="0.2">
      <c r="A35" s="37"/>
      <c r="C35" s="387" t="s">
        <v>69</v>
      </c>
      <c r="D35" s="388"/>
      <c r="E35" s="83" t="s">
        <v>70</v>
      </c>
      <c r="F35" s="56"/>
      <c r="G35" s="395"/>
      <c r="H35" s="31"/>
      <c r="I35" s="5">
        <v>100</v>
      </c>
      <c r="K35" s="395"/>
      <c r="L35" s="31"/>
      <c r="M35" s="5">
        <v>20</v>
      </c>
      <c r="O35" s="395"/>
      <c r="P35" s="31"/>
      <c r="Q35" s="5"/>
      <c r="S35" s="395"/>
      <c r="T35" s="31"/>
      <c r="U35" s="5"/>
      <c r="W35" s="37"/>
    </row>
    <row r="36" spans="1:23" ht="15" customHeight="1" x14ac:dyDescent="0.2">
      <c r="A36" s="37"/>
      <c r="C36" s="387" t="s">
        <v>71</v>
      </c>
      <c r="D36" s="388"/>
      <c r="E36" s="83" t="s">
        <v>72</v>
      </c>
      <c r="F36" s="56"/>
      <c r="G36" s="395"/>
      <c r="H36" s="31"/>
      <c r="I36" s="5">
        <v>100</v>
      </c>
      <c r="K36" s="395"/>
      <c r="L36" s="31"/>
      <c r="M36" s="5">
        <v>35</v>
      </c>
      <c r="O36" s="395"/>
      <c r="P36" s="31"/>
      <c r="Q36" s="5"/>
      <c r="S36" s="395"/>
      <c r="T36" s="31"/>
      <c r="U36" s="5"/>
      <c r="W36" s="37"/>
    </row>
    <row r="37" spans="1:23" ht="15" customHeight="1" x14ac:dyDescent="0.2">
      <c r="A37" s="37"/>
      <c r="C37" s="389" t="s">
        <v>73</v>
      </c>
      <c r="D37" s="390"/>
      <c r="E37" s="84" t="s">
        <v>74</v>
      </c>
      <c r="F37" s="56"/>
      <c r="G37" s="395"/>
      <c r="H37" s="32"/>
      <c r="I37" s="6"/>
      <c r="K37" s="395"/>
      <c r="L37" s="32"/>
      <c r="M37" s="6"/>
      <c r="O37" s="395"/>
      <c r="P37" s="32"/>
      <c r="Q37" s="6"/>
      <c r="S37" s="395"/>
      <c r="T37" s="32"/>
      <c r="U37" s="6"/>
      <c r="W37" s="37"/>
    </row>
    <row r="38" spans="1:23" ht="15" customHeight="1" x14ac:dyDescent="0.2">
      <c r="A38" s="37"/>
      <c r="C38" s="380" t="s">
        <v>75</v>
      </c>
      <c r="D38" s="381"/>
      <c r="E38" s="382"/>
      <c r="F38" s="56"/>
      <c r="G38" s="87"/>
      <c r="H38" s="85"/>
      <c r="I38" s="86"/>
      <c r="J38" s="88"/>
      <c r="K38" s="87"/>
      <c r="L38" s="85"/>
      <c r="M38" s="86"/>
      <c r="N38" s="88"/>
      <c r="O38" s="87"/>
      <c r="P38" s="85"/>
      <c r="Q38" s="86"/>
      <c r="R38" s="88"/>
      <c r="S38" s="87"/>
      <c r="T38" s="85"/>
      <c r="U38" s="86"/>
      <c r="W38" s="37"/>
    </row>
    <row r="39" spans="1:23" ht="20.100000000000001" customHeight="1" thickBot="1" x14ac:dyDescent="0.25">
      <c r="A39" s="37"/>
      <c r="C39" s="383" t="s">
        <v>76</v>
      </c>
      <c r="D39" s="384"/>
      <c r="E39" s="89" t="s">
        <v>77</v>
      </c>
      <c r="F39" s="56"/>
      <c r="G39" s="90">
        <v>0.5</v>
      </c>
      <c r="H39" s="33">
        <v>46279</v>
      </c>
      <c r="I39" s="7">
        <v>70</v>
      </c>
      <c r="K39" s="90">
        <v>0.5</v>
      </c>
      <c r="L39" s="33"/>
      <c r="M39" s="7">
        <v>70</v>
      </c>
      <c r="O39" s="90">
        <v>0.5</v>
      </c>
      <c r="P39" s="33"/>
      <c r="Q39" s="7"/>
      <c r="S39" s="90">
        <v>0.5</v>
      </c>
      <c r="T39" s="33"/>
      <c r="U39" s="7"/>
      <c r="W39" s="37"/>
    </row>
    <row r="40" spans="1:23" ht="15" hidden="1" customHeight="1" thickBot="1" x14ac:dyDescent="0.25">
      <c r="A40" s="37"/>
      <c r="C40" s="91"/>
      <c r="D40" s="92"/>
      <c r="E40" s="93"/>
      <c r="F40" s="56"/>
      <c r="G40" s="94"/>
      <c r="H40" s="95"/>
      <c r="I40" s="96"/>
      <c r="J40" s="88"/>
      <c r="K40" s="94"/>
      <c r="L40" s="95"/>
      <c r="M40" s="96"/>
      <c r="N40" s="88"/>
      <c r="O40" s="94"/>
      <c r="P40" s="95"/>
      <c r="Q40" s="96"/>
      <c r="R40" s="88"/>
      <c r="S40" s="94"/>
      <c r="T40" s="95"/>
      <c r="U40" s="96"/>
      <c r="W40" s="37"/>
    </row>
    <row r="41" spans="1:23" s="43" customFormat="1" ht="20.100000000000001" customHeight="1" thickTop="1" thickBot="1" x14ac:dyDescent="0.25">
      <c r="A41" s="46"/>
      <c r="B41" s="88"/>
      <c r="C41" s="397"/>
      <c r="D41" s="397"/>
      <c r="E41" s="97"/>
      <c r="F41" s="56"/>
      <c r="G41" s="391">
        <f>SUM(G14,G29,G34,G39)</f>
        <v>1</v>
      </c>
      <c r="H41" s="392"/>
      <c r="I41" s="393"/>
      <c r="J41" s="88"/>
      <c r="K41" s="391">
        <f>SUM(K14,K29,K34,K39)</f>
        <v>1</v>
      </c>
      <c r="L41" s="392"/>
      <c r="M41" s="393"/>
      <c r="N41" s="88"/>
      <c r="O41" s="391">
        <f>SUM(O14,O29,O34,O39)</f>
        <v>1</v>
      </c>
      <c r="P41" s="392"/>
      <c r="Q41" s="393"/>
      <c r="R41" s="88"/>
      <c r="S41" s="391">
        <f>SUM(S14,S29,S34,S39)</f>
        <v>1</v>
      </c>
      <c r="T41" s="392"/>
      <c r="U41" s="393"/>
      <c r="V41" s="88"/>
      <c r="W41" s="46"/>
    </row>
    <row r="42" spans="1:23" ht="15" customHeight="1" x14ac:dyDescent="0.2">
      <c r="A42" s="37"/>
      <c r="F42" s="56"/>
      <c r="W42" s="37"/>
    </row>
    <row r="43" spans="1:23" ht="9.9499999999999993" customHeight="1" x14ac:dyDescent="0.2">
      <c r="A43" s="37"/>
      <c r="B43" s="38"/>
      <c r="C43" s="37"/>
      <c r="D43" s="37"/>
      <c r="E43" s="39"/>
      <c r="F43" s="98"/>
      <c r="G43" s="38"/>
      <c r="H43" s="38"/>
      <c r="I43" s="38"/>
      <c r="J43" s="38"/>
      <c r="K43" s="38"/>
      <c r="L43" s="38"/>
      <c r="M43" s="38"/>
      <c r="N43" s="38"/>
      <c r="O43" s="38"/>
      <c r="P43" s="38"/>
      <c r="Q43" s="38"/>
      <c r="R43" s="38"/>
      <c r="S43" s="38"/>
      <c r="T43" s="38"/>
      <c r="U43" s="38"/>
      <c r="V43" s="38"/>
      <c r="W43" s="37"/>
    </row>
    <row r="44" spans="1:23" x14ac:dyDescent="0.2">
      <c r="F44" s="56"/>
    </row>
    <row r="45" spans="1:23" x14ac:dyDescent="0.2">
      <c r="F45" s="56"/>
    </row>
    <row r="46" spans="1:23" x14ac:dyDescent="0.2">
      <c r="F46" s="56"/>
    </row>
    <row r="47" spans="1:23" x14ac:dyDescent="0.2">
      <c r="F47" s="56"/>
    </row>
    <row r="48" spans="1:23" x14ac:dyDescent="0.2">
      <c r="F48" s="56"/>
    </row>
    <row r="49" spans="6:6" x14ac:dyDescent="0.2">
      <c r="F49" s="56"/>
    </row>
    <row r="57" spans="6:6" ht="33.75" customHeight="1" x14ac:dyDescent="0.2"/>
  </sheetData>
  <sheetProtection algorithmName="SHA-512" hashValue="fDyCCMBLE91eSeoR/p5ShXZE+RC0spa3hOF0WK8ohAtXL12IpKRg8EI/fisKXXw/F54+Mt10B05Rts1REEk6NA==" saltValue="uylFeW+6a73tIa9dt6IO5g==" spinCount="100000" sheet="1" objects="1" scenarios="1"/>
  <mergeCells count="71">
    <mergeCell ref="E3:M3"/>
    <mergeCell ref="C3:C8"/>
    <mergeCell ref="P3:U3"/>
    <mergeCell ref="K29:K32"/>
    <mergeCell ref="O29:O32"/>
    <mergeCell ref="S29:S32"/>
    <mergeCell ref="S11:U11"/>
    <mergeCell ref="T28:U28"/>
    <mergeCell ref="P28:Q28"/>
    <mergeCell ref="L28:M28"/>
    <mergeCell ref="S15:S24"/>
    <mergeCell ref="C27:D27"/>
    <mergeCell ref="C13:E13"/>
    <mergeCell ref="C14:E14"/>
    <mergeCell ref="O15:O24"/>
    <mergeCell ref="O25:O27"/>
    <mergeCell ref="S25:S27"/>
    <mergeCell ref="K25:K27"/>
    <mergeCell ref="C26:D26"/>
    <mergeCell ref="O11:Q11"/>
    <mergeCell ref="C41:D41"/>
    <mergeCell ref="G11:I11"/>
    <mergeCell ref="C11:E11"/>
    <mergeCell ref="G29:G32"/>
    <mergeCell ref="G25:G27"/>
    <mergeCell ref="C33:E33"/>
    <mergeCell ref="H28:I28"/>
    <mergeCell ref="C32:D32"/>
    <mergeCell ref="C31:D31"/>
    <mergeCell ref="C30:D30"/>
    <mergeCell ref="C29:D29"/>
    <mergeCell ref="C28:E28"/>
    <mergeCell ref="S41:U41"/>
    <mergeCell ref="O34:O37"/>
    <mergeCell ref="K34:K37"/>
    <mergeCell ref="G34:G37"/>
    <mergeCell ref="G41:I41"/>
    <mergeCell ref="K41:M41"/>
    <mergeCell ref="O41:Q41"/>
    <mergeCell ref="S34:S37"/>
    <mergeCell ref="C38:E38"/>
    <mergeCell ref="C39:D39"/>
    <mergeCell ref="C18:D18"/>
    <mergeCell ref="C19:D19"/>
    <mergeCell ref="C34:D34"/>
    <mergeCell ref="C35:D35"/>
    <mergeCell ref="C37:D37"/>
    <mergeCell ref="C22:D22"/>
    <mergeCell ref="C23:D23"/>
    <mergeCell ref="C24:D24"/>
    <mergeCell ref="C25:D25"/>
    <mergeCell ref="C36:D36"/>
    <mergeCell ref="C20:D20"/>
    <mergeCell ref="C21:D21"/>
    <mergeCell ref="E6:M6"/>
    <mergeCell ref="E5:M5"/>
    <mergeCell ref="E4:M4"/>
    <mergeCell ref="P8:U8"/>
    <mergeCell ref="P7:U7"/>
    <mergeCell ref="P6:U6"/>
    <mergeCell ref="P5:U5"/>
    <mergeCell ref="P4:U4"/>
    <mergeCell ref="C12:E12"/>
    <mergeCell ref="E8:M8"/>
    <mergeCell ref="E7:M7"/>
    <mergeCell ref="C16:D16"/>
    <mergeCell ref="C17:D17"/>
    <mergeCell ref="K11:M11"/>
    <mergeCell ref="G15:G24"/>
    <mergeCell ref="K15:K24"/>
    <mergeCell ref="C15:D15"/>
  </mergeCells>
  <conditionalFormatting sqref="G41 K41 O41 S41">
    <cfRule type="cellIs" dxfId="115" priority="9" stopIfTrue="1" operator="lessThan">
      <formula>1</formula>
    </cfRule>
    <cfRule type="cellIs" dxfId="114" priority="10" stopIfTrue="1" operator="greaterThan">
      <formula>1</formula>
    </cfRule>
  </conditionalFormatting>
  <conditionalFormatting sqref="AK3:AK5 AM3:AM5 AO3:AO5">
    <cfRule type="cellIs" dxfId="113" priority="11" stopIfTrue="1" operator="lessThan">
      <formula>75</formula>
    </cfRule>
  </conditionalFormatting>
  <dataValidations count="2">
    <dataValidation type="date" allowBlank="1" showInputMessage="1" showErrorMessage="1" sqref="H29:H32 H34:H37 H39 L29:L32 L34:L37 L39 P29:P32 P34:P37 P39 T29:T32 T34:T37 T39" xr:uid="{DFD9E823-8A80-4813-9EB5-950FAE968916}">
      <formula1>1</formula1>
      <formula2>TODAY()</formula2>
    </dataValidation>
    <dataValidation type="whole" operator="greaterThanOrEqual" allowBlank="1" showInputMessage="1" showErrorMessage="1" sqref="U39 I34:I37 I39 M29:M32 M34:M37 M39 Q29:Q32 Q34:Q37 Q39 U29:U32 U34:U37 I29:I32" xr:uid="{233AC9B3-6C47-4258-A2F6-7AEE6DD9F719}">
      <formula1>0</formula1>
    </dataValidation>
  </dataValidations>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BP1048532"/>
  <sheetViews>
    <sheetView showGridLines="0" tabSelected="1" zoomScaleNormal="100" workbookViewId="0">
      <pane xSplit="6" ySplit="7" topLeftCell="O8" activePane="bottomRight" state="frozen"/>
      <selection pane="topRight" activeCell="G1" sqref="G1"/>
      <selection pane="bottomLeft" activeCell="A8" sqref="A8"/>
      <selection pane="bottomRight" activeCell="V18" sqref="V18"/>
    </sheetView>
  </sheetViews>
  <sheetFormatPr defaultColWidth="9.140625" defaultRowHeight="12" x14ac:dyDescent="0.2"/>
  <cols>
    <col min="1" max="1" width="1.7109375" style="102" customWidth="1"/>
    <col min="2" max="2" width="2.7109375" style="102" customWidth="1"/>
    <col min="3" max="3" width="3.7109375" style="103" customWidth="1"/>
    <col min="4" max="4" width="12.42578125" style="104" customWidth="1"/>
    <col min="5" max="5" width="2.7109375" style="104" hidden="1" customWidth="1"/>
    <col min="6" max="6" width="50.7109375" style="102" customWidth="1"/>
    <col min="7" max="10" width="5.28515625" style="105" customWidth="1"/>
    <col min="11" max="11" width="5.7109375" style="105" customWidth="1"/>
    <col min="12" max="15" width="5.28515625" style="103" customWidth="1"/>
    <col min="16" max="16" width="5.7109375" style="105" customWidth="1"/>
    <col min="17" max="17" width="5.28515625" style="103" customWidth="1"/>
    <col min="18" max="18" width="6.7109375" style="103" customWidth="1"/>
    <col min="19" max="19" width="2.7109375" style="102" customWidth="1"/>
    <col min="20" max="23" width="5.28515625" style="105" customWidth="1"/>
    <col min="24" max="24" width="5.7109375" style="105" customWidth="1"/>
    <col min="25" max="28" width="5.28515625" style="103" customWidth="1"/>
    <col min="29" max="29" width="5.7109375" style="105" customWidth="1"/>
    <col min="30" max="30" width="5.28515625" style="103" customWidth="1"/>
    <col min="31" max="31" width="6.7109375" style="103" customWidth="1"/>
    <col min="32" max="32" width="2.7109375" style="102" customWidth="1"/>
    <col min="33" max="36" width="5.28515625" style="105" customWidth="1"/>
    <col min="37" max="37" width="5.7109375" style="105" customWidth="1"/>
    <col min="38" max="41" width="5.28515625" style="103" customWidth="1"/>
    <col min="42" max="42" width="5.7109375" style="105" customWidth="1"/>
    <col min="43" max="43" width="5.28515625" style="103" customWidth="1"/>
    <col min="44" max="44" width="6.7109375" style="103" customWidth="1"/>
    <col min="45" max="45" width="2.7109375" style="102" customWidth="1"/>
    <col min="46" max="49" width="5.28515625" style="105" customWidth="1"/>
    <col min="50" max="50" width="5.7109375" style="105" customWidth="1"/>
    <col min="51" max="54" width="5.28515625" style="103" customWidth="1"/>
    <col min="55" max="55" width="5.7109375" style="105" customWidth="1"/>
    <col min="56" max="56" width="5.28515625" style="103" customWidth="1"/>
    <col min="57" max="57" width="6.7109375" style="103" customWidth="1"/>
    <col min="58" max="58" width="2.7109375" style="102" customWidth="1"/>
    <col min="59" max="59" width="1.7109375" style="102" customWidth="1"/>
    <col min="60" max="68" width="9.140625" style="102"/>
    <col min="69" max="16384" width="9.140625" style="111"/>
  </cols>
  <sheetData>
    <row r="1" spans="1:59" s="102" customFormat="1" ht="9.9499999999999993" customHeight="1" x14ac:dyDescent="0.2">
      <c r="A1" s="101"/>
      <c r="B1" s="101"/>
      <c r="C1" s="106"/>
      <c r="D1" s="107"/>
      <c r="E1" s="440"/>
      <c r="F1" s="440"/>
      <c r="G1" s="440"/>
      <c r="H1" s="440"/>
      <c r="I1" s="440"/>
      <c r="J1" s="440"/>
      <c r="K1" s="440"/>
      <c r="L1" s="440"/>
      <c r="M1" s="440"/>
      <c r="N1" s="440"/>
      <c r="O1" s="440"/>
      <c r="P1" s="440"/>
      <c r="Q1" s="117"/>
      <c r="R1" s="117"/>
      <c r="S1" s="101"/>
      <c r="T1" s="101"/>
      <c r="U1" s="101"/>
      <c r="V1" s="101"/>
      <c r="W1" s="101"/>
      <c r="X1" s="101"/>
      <c r="Y1" s="101"/>
      <c r="Z1" s="101"/>
      <c r="AA1" s="101"/>
      <c r="AB1" s="101"/>
      <c r="AC1" s="101"/>
      <c r="AD1" s="117"/>
      <c r="AE1" s="117"/>
      <c r="AF1" s="101"/>
      <c r="AG1" s="101"/>
      <c r="AH1" s="101"/>
      <c r="AI1" s="101"/>
      <c r="AJ1" s="101"/>
      <c r="AK1" s="101"/>
      <c r="AL1" s="101"/>
      <c r="AM1" s="101"/>
      <c r="AN1" s="101"/>
      <c r="AO1" s="101"/>
      <c r="AP1" s="101"/>
      <c r="AQ1" s="117"/>
      <c r="AR1" s="117"/>
      <c r="AS1" s="101"/>
      <c r="AT1" s="101"/>
      <c r="AU1" s="101"/>
      <c r="AV1" s="101"/>
      <c r="AW1" s="101"/>
      <c r="AX1" s="101"/>
      <c r="AY1" s="101"/>
      <c r="AZ1" s="101"/>
      <c r="BA1" s="101"/>
      <c r="BB1" s="101"/>
      <c r="BC1" s="101"/>
      <c r="BD1" s="117"/>
      <c r="BE1" s="117"/>
      <c r="BF1" s="101"/>
      <c r="BG1" s="101"/>
    </row>
    <row r="2" spans="1:59" s="102" customFormat="1" ht="15" customHeight="1" thickBot="1" x14ac:dyDescent="0.25">
      <c r="A2" s="101"/>
      <c r="C2" s="103"/>
      <c r="D2" s="104"/>
      <c r="E2" s="441"/>
      <c r="F2" s="441"/>
      <c r="G2" s="441"/>
      <c r="H2" s="441"/>
      <c r="I2" s="441"/>
      <c r="J2" s="441"/>
      <c r="K2" s="441"/>
      <c r="L2" s="441"/>
      <c r="M2" s="441"/>
      <c r="N2" s="441"/>
      <c r="O2" s="441"/>
      <c r="P2" s="441"/>
      <c r="Q2" s="118"/>
      <c r="R2" s="118"/>
      <c r="AD2" s="118"/>
      <c r="AE2" s="118"/>
      <c r="AQ2" s="118"/>
      <c r="AR2" s="118"/>
      <c r="BD2" s="118"/>
      <c r="BE2" s="118"/>
      <c r="BG2" s="101"/>
    </row>
    <row r="3" spans="1:59" s="102" customFormat="1" ht="30.75" customHeight="1" x14ac:dyDescent="0.2">
      <c r="A3" s="101"/>
      <c r="C3" s="428"/>
      <c r="D3" s="354" t="str">
        <f>Settings!E8&amp;" - "&amp;Settings!P5</f>
        <v>Mathematics in the Modern World - BSHM1A</v>
      </c>
      <c r="E3" s="354"/>
      <c r="F3" s="354"/>
      <c r="G3" s="442" t="s">
        <v>24</v>
      </c>
      <c r="H3" s="431"/>
      <c r="I3" s="431"/>
      <c r="J3" s="431"/>
      <c r="K3" s="431"/>
      <c r="L3" s="431"/>
      <c r="M3" s="431"/>
      <c r="N3" s="431"/>
      <c r="O3" s="431"/>
      <c r="P3" s="431"/>
      <c r="Q3" s="431"/>
      <c r="R3" s="432"/>
      <c r="T3" s="430" t="s">
        <v>78</v>
      </c>
      <c r="U3" s="431"/>
      <c r="V3" s="431"/>
      <c r="W3" s="431"/>
      <c r="X3" s="431"/>
      <c r="Y3" s="431"/>
      <c r="Z3" s="431"/>
      <c r="AA3" s="431"/>
      <c r="AB3" s="431"/>
      <c r="AC3" s="431"/>
      <c r="AD3" s="431"/>
      <c r="AE3" s="432"/>
      <c r="AG3" s="430" t="s">
        <v>25</v>
      </c>
      <c r="AH3" s="431"/>
      <c r="AI3" s="431"/>
      <c r="AJ3" s="431"/>
      <c r="AK3" s="431"/>
      <c r="AL3" s="431"/>
      <c r="AM3" s="431"/>
      <c r="AN3" s="431"/>
      <c r="AO3" s="431"/>
      <c r="AP3" s="431"/>
      <c r="AQ3" s="431"/>
      <c r="AR3" s="432"/>
      <c r="AT3" s="430" t="s">
        <v>26</v>
      </c>
      <c r="AU3" s="431"/>
      <c r="AV3" s="431"/>
      <c r="AW3" s="431"/>
      <c r="AX3" s="431"/>
      <c r="AY3" s="431"/>
      <c r="AZ3" s="431"/>
      <c r="BA3" s="431"/>
      <c r="BB3" s="431"/>
      <c r="BC3" s="431"/>
      <c r="BD3" s="431"/>
      <c r="BE3" s="432"/>
      <c r="BG3" s="101"/>
    </row>
    <row r="4" spans="1:59" s="102" customFormat="1" ht="20.100000000000001" customHeight="1" thickBot="1" x14ac:dyDescent="0.25">
      <c r="A4" s="101"/>
      <c r="C4" s="429"/>
      <c r="D4" s="443" t="str">
        <f>IF(Settings!P4="","",Settings!P4)</f>
        <v>GEDC1005</v>
      </c>
      <c r="E4" s="444"/>
      <c r="F4" s="445"/>
      <c r="G4" s="439" t="s">
        <v>79</v>
      </c>
      <c r="H4" s="439"/>
      <c r="I4" s="439"/>
      <c r="J4" s="439"/>
      <c r="K4" s="119">
        <f>Settings!G29</f>
        <v>0.3</v>
      </c>
      <c r="L4" s="437" t="s">
        <v>66</v>
      </c>
      <c r="M4" s="437"/>
      <c r="N4" s="437"/>
      <c r="O4" s="437"/>
      <c r="P4" s="119">
        <f>Settings!$G$34</f>
        <v>0.2</v>
      </c>
      <c r="Q4" s="120" t="s">
        <v>80</v>
      </c>
      <c r="R4" s="121">
        <f>Settings!$G$39</f>
        <v>0.5</v>
      </c>
      <c r="S4" s="114"/>
      <c r="T4" s="438" t="s">
        <v>79</v>
      </c>
      <c r="U4" s="439"/>
      <c r="V4" s="439"/>
      <c r="W4" s="439"/>
      <c r="X4" s="119">
        <f>Settings!K29</f>
        <v>0.3</v>
      </c>
      <c r="Y4" s="437" t="s">
        <v>66</v>
      </c>
      <c r="Z4" s="437"/>
      <c r="AA4" s="437"/>
      <c r="AB4" s="437"/>
      <c r="AC4" s="119">
        <f>Settings!K34</f>
        <v>0.2</v>
      </c>
      <c r="AD4" s="120" t="s">
        <v>80</v>
      </c>
      <c r="AE4" s="121">
        <f>Settings!K39</f>
        <v>0.5</v>
      </c>
      <c r="AF4" s="114"/>
      <c r="AG4" s="438" t="s">
        <v>79</v>
      </c>
      <c r="AH4" s="439"/>
      <c r="AI4" s="439"/>
      <c r="AJ4" s="439"/>
      <c r="AK4" s="119">
        <f>Settings!O29</f>
        <v>0.3</v>
      </c>
      <c r="AL4" s="437" t="s">
        <v>66</v>
      </c>
      <c r="AM4" s="437"/>
      <c r="AN4" s="437"/>
      <c r="AO4" s="437"/>
      <c r="AP4" s="119">
        <f>Settings!O34</f>
        <v>0.2</v>
      </c>
      <c r="AQ4" s="120" t="s">
        <v>80</v>
      </c>
      <c r="AR4" s="121">
        <f>Settings!O39</f>
        <v>0.5</v>
      </c>
      <c r="AS4" s="114"/>
      <c r="AT4" s="438" t="s">
        <v>79</v>
      </c>
      <c r="AU4" s="439"/>
      <c r="AV4" s="439"/>
      <c r="AW4" s="439"/>
      <c r="AX4" s="119">
        <f>Settings!S29</f>
        <v>0.3</v>
      </c>
      <c r="AY4" s="437" t="s">
        <v>66</v>
      </c>
      <c r="AZ4" s="437"/>
      <c r="BA4" s="437"/>
      <c r="BB4" s="437"/>
      <c r="BC4" s="119">
        <f>Settings!S34</f>
        <v>0.2</v>
      </c>
      <c r="BD4" s="120" t="s">
        <v>80</v>
      </c>
      <c r="BE4" s="121">
        <f>Settings!S39</f>
        <v>0.5</v>
      </c>
      <c r="BG4" s="101"/>
    </row>
    <row r="5" spans="1:59" s="102" customFormat="1" ht="15" customHeight="1" thickTop="1" x14ac:dyDescent="0.2">
      <c r="A5" s="101"/>
      <c r="C5" s="429"/>
      <c r="D5" s="422" t="s">
        <v>81</v>
      </c>
      <c r="E5" s="423"/>
      <c r="F5" s="424"/>
      <c r="G5" s="122" t="str">
        <f>IF(Settings!$E29="","",Settings!$E29)</f>
        <v>PRC1</v>
      </c>
      <c r="H5" s="122" t="str">
        <f>IF(Settings!$E30="","",Settings!$E30)</f>
        <v>PRC2</v>
      </c>
      <c r="I5" s="122" t="str">
        <f>IF(Settings!$E31="","",Settings!$E31)</f>
        <v>PRC3</v>
      </c>
      <c r="J5" s="122" t="str">
        <f>IF(Settings!$E32="","",Settings!$E32)</f>
        <v>PRC4</v>
      </c>
      <c r="K5" s="433" t="s">
        <v>82</v>
      </c>
      <c r="L5" s="123" t="s">
        <v>68</v>
      </c>
      <c r="M5" s="123" t="s">
        <v>70</v>
      </c>
      <c r="N5" s="123" t="s">
        <v>72</v>
      </c>
      <c r="O5" s="123" t="s">
        <v>74</v>
      </c>
      <c r="P5" s="433" t="s">
        <v>82</v>
      </c>
      <c r="Q5" s="124" t="s">
        <v>77</v>
      </c>
      <c r="R5" s="435" t="s">
        <v>83</v>
      </c>
      <c r="S5" s="114"/>
      <c r="T5" s="125" t="str">
        <f>IF(Settings!$E29="","",Settings!$E29)</f>
        <v>PRC1</v>
      </c>
      <c r="U5" s="122" t="str">
        <f>IF(Settings!$E30="","",Settings!$E30)</f>
        <v>PRC2</v>
      </c>
      <c r="V5" s="122" t="str">
        <f>IF(Settings!$E31="","",Settings!$E31)</f>
        <v>PRC3</v>
      </c>
      <c r="W5" s="122" t="str">
        <f>IF(Settings!$E32="","",Settings!$E32)</f>
        <v>PRC4</v>
      </c>
      <c r="X5" s="433" t="s">
        <v>82</v>
      </c>
      <c r="Y5" s="123" t="s">
        <v>68</v>
      </c>
      <c r="Z5" s="123" t="s">
        <v>70</v>
      </c>
      <c r="AA5" s="123" t="s">
        <v>72</v>
      </c>
      <c r="AB5" s="123" t="s">
        <v>74</v>
      </c>
      <c r="AC5" s="433" t="s">
        <v>82</v>
      </c>
      <c r="AD5" s="124" t="s">
        <v>77</v>
      </c>
      <c r="AE5" s="435" t="s">
        <v>83</v>
      </c>
      <c r="AF5" s="114"/>
      <c r="AG5" s="125" t="str">
        <f>IF(Settings!$E29="","",Settings!$E29)</f>
        <v>PRC1</v>
      </c>
      <c r="AH5" s="122" t="str">
        <f>IF(Settings!$E30="","",Settings!$E30)</f>
        <v>PRC2</v>
      </c>
      <c r="AI5" s="122" t="str">
        <f>IF(Settings!$E31="","",Settings!$E31)</f>
        <v>PRC3</v>
      </c>
      <c r="AJ5" s="122" t="str">
        <f>IF(Settings!$E32="","",Settings!$E32)</f>
        <v>PRC4</v>
      </c>
      <c r="AK5" s="433" t="s">
        <v>82</v>
      </c>
      <c r="AL5" s="123" t="s">
        <v>68</v>
      </c>
      <c r="AM5" s="123" t="s">
        <v>70</v>
      </c>
      <c r="AN5" s="123" t="s">
        <v>72</v>
      </c>
      <c r="AO5" s="123" t="s">
        <v>74</v>
      </c>
      <c r="AP5" s="433" t="s">
        <v>82</v>
      </c>
      <c r="AQ5" s="124" t="s">
        <v>77</v>
      </c>
      <c r="AR5" s="435" t="s">
        <v>83</v>
      </c>
      <c r="AS5" s="114"/>
      <c r="AT5" s="125" t="str">
        <f>IF(Settings!$E29="","",Settings!$E29)</f>
        <v>PRC1</v>
      </c>
      <c r="AU5" s="122" t="str">
        <f>IF(Settings!$E30="","",Settings!$E30)</f>
        <v>PRC2</v>
      </c>
      <c r="AV5" s="122" t="str">
        <f>IF(Settings!$E31="","",Settings!$E31)</f>
        <v>PRC3</v>
      </c>
      <c r="AW5" s="122" t="str">
        <f>IF(Settings!$E32="","",Settings!$E32)</f>
        <v>PRC4</v>
      </c>
      <c r="AX5" s="433" t="s">
        <v>82</v>
      </c>
      <c r="AY5" s="123" t="s">
        <v>68</v>
      </c>
      <c r="AZ5" s="123" t="s">
        <v>70</v>
      </c>
      <c r="BA5" s="123" t="s">
        <v>72</v>
      </c>
      <c r="BB5" s="123" t="s">
        <v>74</v>
      </c>
      <c r="BC5" s="433" t="s">
        <v>82</v>
      </c>
      <c r="BD5" s="124" t="s">
        <v>77</v>
      </c>
      <c r="BE5" s="435" t="s">
        <v>83</v>
      </c>
      <c r="BG5" s="101"/>
    </row>
    <row r="6" spans="1:59" s="102" customFormat="1" ht="14.1" customHeight="1" x14ac:dyDescent="0.2">
      <c r="A6" s="101"/>
      <c r="C6" s="429"/>
      <c r="D6" s="425"/>
      <c r="E6" s="426"/>
      <c r="F6" s="427"/>
      <c r="G6" s="330">
        <f>IF(Settings!I29="","",Settings!I29)</f>
        <v>100</v>
      </c>
      <c r="H6" s="330">
        <f>IF(Settings!I30="","",Settings!I30)</f>
        <v>100</v>
      </c>
      <c r="I6" s="330">
        <f>IF(Settings!I31="","",Settings!I31)</f>
        <v>50</v>
      </c>
      <c r="J6" s="330" t="str">
        <f>IF(Settings!I32="","",Settings!I32)</f>
        <v/>
      </c>
      <c r="K6" s="434"/>
      <c r="L6" s="330">
        <f>IF(Settings!I34="","",Settings!I34)</f>
        <v>100</v>
      </c>
      <c r="M6" s="330">
        <f>IF(Settings!I35="","",Settings!I35)</f>
        <v>100</v>
      </c>
      <c r="N6" s="330">
        <f>IF(Settings!I36="","",Settings!I36)</f>
        <v>100</v>
      </c>
      <c r="O6" s="330" t="str">
        <f>IF(Settings!I37="","",Settings!I37)</f>
        <v/>
      </c>
      <c r="P6" s="434"/>
      <c r="Q6" s="126">
        <f>IF(Settings!I39="","",Settings!I39)</f>
        <v>70</v>
      </c>
      <c r="R6" s="436"/>
      <c r="S6" s="114"/>
      <c r="T6" s="331">
        <f>IF(Settings!M29="","",Settings!M29)</f>
        <v>50</v>
      </c>
      <c r="U6" s="330">
        <f>IF(Settings!M30="","",Settings!M30)</f>
        <v>50</v>
      </c>
      <c r="V6" s="330" t="str">
        <f>IF(Settings!M31="","",Settings!M31)</f>
        <v/>
      </c>
      <c r="W6" s="330" t="str">
        <f>IF(Settings!M32="","",Settings!M32)</f>
        <v/>
      </c>
      <c r="X6" s="434"/>
      <c r="Y6" s="330">
        <f>IF(Settings!M34="","",Settings!M34)</f>
        <v>10</v>
      </c>
      <c r="Z6" s="330">
        <f>IF(Settings!M35="","",Settings!M35)</f>
        <v>20</v>
      </c>
      <c r="AA6" s="330">
        <f>IF(Settings!M36="","",Settings!M36)</f>
        <v>35</v>
      </c>
      <c r="AB6" s="330" t="str">
        <f>IF(Settings!M37="","",Settings!M37)</f>
        <v/>
      </c>
      <c r="AC6" s="434"/>
      <c r="AD6" s="328">
        <f>IF(Settings!M39="","",Settings!M39)</f>
        <v>70</v>
      </c>
      <c r="AE6" s="436"/>
      <c r="AF6" s="114"/>
      <c r="AG6" s="331" t="str">
        <f>IF(Settings!Q29="","",Settings!Q29)</f>
        <v/>
      </c>
      <c r="AH6" s="330" t="str">
        <f>IF(Settings!Q30="","",Settings!Q30)</f>
        <v/>
      </c>
      <c r="AI6" s="330" t="str">
        <f>IF(Settings!Q31="","",Settings!Q31)</f>
        <v/>
      </c>
      <c r="AJ6" s="330" t="str">
        <f>IF(Settings!Q32="","",Settings!Q32)</f>
        <v/>
      </c>
      <c r="AK6" s="434"/>
      <c r="AL6" s="330" t="str">
        <f>IF(Settings!Q34="","",Settings!Q34)</f>
        <v/>
      </c>
      <c r="AM6" s="330" t="str">
        <f>IF(Settings!Q35="","",Settings!Q35)</f>
        <v/>
      </c>
      <c r="AN6" s="330" t="str">
        <f>IF(Settings!Q36="","",Settings!Q36)</f>
        <v/>
      </c>
      <c r="AO6" s="330" t="str">
        <f>IF(Settings!Q37="","",Settings!Q37)</f>
        <v/>
      </c>
      <c r="AP6" s="434"/>
      <c r="AQ6" s="126" t="str">
        <f>IF(Settings!Q39="","",Settings!Q39)</f>
        <v/>
      </c>
      <c r="AR6" s="436"/>
      <c r="AS6" s="114"/>
      <c r="AT6" s="331" t="str">
        <f>IF(Settings!U29="","",Settings!U29)</f>
        <v/>
      </c>
      <c r="AU6" s="330" t="str">
        <f>IF(Settings!U30="","",Settings!U30)</f>
        <v/>
      </c>
      <c r="AV6" s="330" t="str">
        <f>IF(Settings!U31="","",Settings!U31)</f>
        <v/>
      </c>
      <c r="AW6" s="330" t="str">
        <f>IF(Settings!U32="","",Settings!U32)</f>
        <v/>
      </c>
      <c r="AX6" s="434"/>
      <c r="AY6" s="330" t="str">
        <f>IF(Settings!U34="","",Settings!U34)</f>
        <v/>
      </c>
      <c r="AZ6" s="330" t="str">
        <f>IF(Settings!U35="","",Settings!U35)</f>
        <v/>
      </c>
      <c r="BA6" s="330" t="str">
        <f>IF(Settings!U36="","",Settings!U36)</f>
        <v/>
      </c>
      <c r="BB6" s="330" t="str">
        <f>IF(Settings!U37="","",Settings!U37)</f>
        <v/>
      </c>
      <c r="BC6" s="434"/>
      <c r="BD6" s="126" t="str">
        <f>IF(Settings!U39="","",Settings!U39)</f>
        <v/>
      </c>
      <c r="BE6" s="436"/>
      <c r="BG6" s="101"/>
    </row>
    <row r="7" spans="1:59" s="103" customFormat="1" ht="14.1" customHeight="1" x14ac:dyDescent="0.2">
      <c r="A7" s="106"/>
      <c r="C7" s="429"/>
      <c r="D7" s="127" t="s">
        <v>84</v>
      </c>
      <c r="E7" s="128"/>
      <c r="F7" s="129" t="s">
        <v>85</v>
      </c>
      <c r="G7" s="130" t="str">
        <f>IF(Settings!H29="","",Settings!H29)</f>
        <v/>
      </c>
      <c r="H7" s="130" t="str">
        <f>IF(Settings!H30="","",Settings!H30)</f>
        <v/>
      </c>
      <c r="I7" s="130" t="str">
        <f>IF(Settings!H31="","",Settings!H31)</f>
        <v/>
      </c>
      <c r="J7" s="130" t="str">
        <f>IF(Settings!H32="","",Settings!H32)</f>
        <v/>
      </c>
      <c r="K7" s="131">
        <f>SUM(G6:J6)</f>
        <v>250</v>
      </c>
      <c r="L7" s="130" t="str">
        <f>IF(Settings!H34="","",Settings!H34)</f>
        <v/>
      </c>
      <c r="M7" s="130" t="str">
        <f>IF(Settings!$H35="","",Settings!$H35)</f>
        <v/>
      </c>
      <c r="N7" s="130" t="str">
        <f>IF(Settings!$H36="","",Settings!$H36)</f>
        <v/>
      </c>
      <c r="O7" s="130" t="str">
        <f>IF(Settings!H37="","",Settings!H37)</f>
        <v/>
      </c>
      <c r="P7" s="131">
        <f>SUM(L6:O6)</f>
        <v>300</v>
      </c>
      <c r="Q7" s="130">
        <f>IF(Settings!H39="","",Settings!H39)</f>
        <v>46279</v>
      </c>
      <c r="R7" s="132"/>
      <c r="S7" s="133"/>
      <c r="T7" s="134" t="str">
        <f>IF(Settings!L29="","",Settings!L29)</f>
        <v/>
      </c>
      <c r="U7" s="130" t="str">
        <f>IF(Settings!L30="","",Settings!L30)</f>
        <v/>
      </c>
      <c r="V7" s="130" t="str">
        <f>IF(Settings!L31="","",Settings!L31)</f>
        <v/>
      </c>
      <c r="W7" s="130" t="str">
        <f>IF(Settings!L32="","",Settings!L32)</f>
        <v/>
      </c>
      <c r="X7" s="131">
        <f>SUM(T6:W6)</f>
        <v>100</v>
      </c>
      <c r="Y7" s="130" t="str">
        <f>IF(Settings!L34="","",Settings!L34)</f>
        <v/>
      </c>
      <c r="Z7" s="130" t="str">
        <f>IF(Settings!L35="","",Settings!L35)</f>
        <v/>
      </c>
      <c r="AA7" s="130" t="str">
        <f>IF(Settings!L36="","",Settings!L36)</f>
        <v/>
      </c>
      <c r="AB7" s="130" t="str">
        <f>IF(Settings!L37="","",Settings!L37)</f>
        <v/>
      </c>
      <c r="AC7" s="131">
        <f>SUM(Y6:AB6)</f>
        <v>65</v>
      </c>
      <c r="AD7" s="130" t="str">
        <f>IF(Settings!L39="","",Settings!L39)</f>
        <v/>
      </c>
      <c r="AE7" s="132"/>
      <c r="AF7" s="133"/>
      <c r="AG7" s="134" t="str">
        <f>IF(Settings!P29="","",Settings!P29)</f>
        <v/>
      </c>
      <c r="AH7" s="130" t="str">
        <f>IF(Settings!P30="","",Settings!P30)</f>
        <v/>
      </c>
      <c r="AI7" s="130" t="str">
        <f>IF(Settings!P31="","",Settings!P31)</f>
        <v/>
      </c>
      <c r="AJ7" s="130" t="str">
        <f>IF(Settings!P32="","",Settings!P32)</f>
        <v/>
      </c>
      <c r="AK7" s="131">
        <f>SUM(AG6:AJ6)</f>
        <v>0</v>
      </c>
      <c r="AL7" s="130" t="str">
        <f>IF(Settings!P34="","",Settings!P34)</f>
        <v/>
      </c>
      <c r="AM7" s="130" t="str">
        <f>IF(Settings!P35="","",Settings!P35)</f>
        <v/>
      </c>
      <c r="AN7" s="130" t="str">
        <f>IF(Settings!P36="","",Settings!P36)</f>
        <v/>
      </c>
      <c r="AO7" s="130" t="str">
        <f>IF(Settings!P37="","",Settings!P37)</f>
        <v/>
      </c>
      <c r="AP7" s="131">
        <f>SUM(AL6:AO6)</f>
        <v>0</v>
      </c>
      <c r="AQ7" s="130" t="str">
        <f>IF(Settings!P39="","",Settings!P39)</f>
        <v/>
      </c>
      <c r="AR7" s="132"/>
      <c r="AS7" s="133"/>
      <c r="AT7" s="134" t="str">
        <f>IF(Settings!T29="","",Settings!T29)</f>
        <v/>
      </c>
      <c r="AU7" s="130" t="str">
        <f>IF(Settings!T30="","",Settings!T30)</f>
        <v/>
      </c>
      <c r="AV7" s="130" t="str">
        <f>IF(Settings!T31="","",Settings!T31)</f>
        <v/>
      </c>
      <c r="AW7" s="130" t="str">
        <f>IF(Settings!T32="","",Settings!T32)</f>
        <v/>
      </c>
      <c r="AX7" s="131">
        <f>SUM(AT6:AW6)</f>
        <v>0</v>
      </c>
      <c r="AY7" s="130" t="str">
        <f>IF(Settings!T34="","",Settings!T34)</f>
        <v/>
      </c>
      <c r="AZ7" s="130" t="str">
        <f>IF(Settings!T35="","",Settings!T35)</f>
        <v/>
      </c>
      <c r="BA7" s="130" t="str">
        <f>IF(Settings!T36="","",Settings!T36)</f>
        <v/>
      </c>
      <c r="BB7" s="130" t="str">
        <f>IF(Settings!T37="","",Settings!T37)</f>
        <v/>
      </c>
      <c r="BC7" s="131">
        <f>SUM(AY6:BB6)</f>
        <v>0</v>
      </c>
      <c r="BD7" s="130" t="str">
        <f>IF(Settings!T39="","",Settings!T39)</f>
        <v/>
      </c>
      <c r="BE7" s="132"/>
      <c r="BG7" s="106"/>
    </row>
    <row r="8" spans="1:59" s="102" customFormat="1" ht="14.1" customHeight="1" x14ac:dyDescent="0.2">
      <c r="A8" s="101"/>
      <c r="C8" s="115">
        <f>C7+1</f>
        <v>1</v>
      </c>
      <c r="D8" s="8" t="s">
        <v>120</v>
      </c>
      <c r="E8" s="99"/>
      <c r="F8" s="24" t="s">
        <v>145</v>
      </c>
      <c r="G8" s="10">
        <v>100</v>
      </c>
      <c r="H8" s="10">
        <v>100</v>
      </c>
      <c r="I8" s="10">
        <v>48</v>
      </c>
      <c r="J8" s="10"/>
      <c r="K8" s="113">
        <f>IF(OR(F8="",COUNTA(G8:J8)=0),"",
IF(COUNTA(G8:J8,$G$6:$J$6)=0,"",
IF(OR(
AND($G$6="",G8&lt;&gt;""),AND(ISTEXT($G$6),$G$6&lt;&gt;""),AND(ISTEXT(G8),G8&lt;&gt;""),
AND($H$6="",H8&lt;&gt;""),AND(ISTEXT($H$6),$H$6&lt;&gt;""),AND(ISTEXT(H8),H8&lt;&gt;""),
AND($I$6="",I8&lt;&gt;""),AND(ISTEXT($I$6),$I$6&lt;&gt;""),AND(ISTEXT(I8),I8&lt;&gt;""),
AND($J$6="",J8&lt;&gt;""),AND(ISTEXT($J$6),$J$6&lt;&gt;""),AND(ISTEXT(J8),J8&lt;&gt;"")),"Error",
IF(OR(
AND(ISNUMBER($G$6),ISNUMBER(G8),G8&gt;$G$6),
AND(ISNUMBER($H$6),ISNUMBER(H8),H8&gt;$H$6),
AND(ISNUMBER($I$6),ISNUMBER(I8),I8&gt;$I$6),
AND(ISNUMBER($J$6),ISNUMBER(J8),J8&gt;$J$6)),"Error",
IF(SUM(G8:J8)&gt;$K$7,"Error",
SUM(G8:J8))))))</f>
        <v>248</v>
      </c>
      <c r="L8" s="11">
        <v>100</v>
      </c>
      <c r="M8" s="11">
        <v>100</v>
      </c>
      <c r="N8" s="11">
        <v>100</v>
      </c>
      <c r="O8" s="11"/>
      <c r="P8" s="113">
        <f>IF(OR(F8="",COUNTA(L8:O8)=0),"",
IF(COUNTA(L8:O8,$L$6:$O$6)=0,"",
IF(OR(
AND($L$6="",L8&lt;&gt;""),AND(ISTEXT($L$6),$L$6&lt;&gt;""),AND(ISTEXT(L8),L8&lt;&gt;""),
AND($M$6="",M8&lt;&gt;""),AND(ISTEXT($M$6),$M$6&lt;&gt;""),AND(ISTEXT(M8),M8&lt;&gt;""),
AND($N$6="",N8&lt;&gt;""),AND(ISTEXT($N$6),$N$6&lt;&gt;""),AND(ISTEXT(N8),N8&lt;&gt;""),
AND($O$6="",O8&lt;&gt;""),AND(ISTEXT($O$6),$O$6&lt;&gt;""),AND(ISTEXT(O8),O8&lt;&gt;"")),"Error",
IF(OR(
AND(ISNUMBER($L$6),ISNUMBER(L8),L8&gt;$L$6),
AND(ISNUMBER($M$6),ISNUMBER(M8),M8&gt;$M$6),
AND(ISNUMBER($N$6),ISNUMBER(N8),N8&gt;$N$6),
AND(ISNUMBER($O$6),ISNUMBER(O8),O8&gt;$O$6)),"Error",
IF(SUM(L8:O8)&gt;$P$7,"Error",
SUM(L8:O8))))))</f>
        <v>300</v>
      </c>
      <c r="Q8" s="16">
        <v>30</v>
      </c>
      <c r="R8" s="112">
        <f>IF(F8="","",
IF(AND(Q8="",$Q$6=""),"",
IF($Q$6="","Error",
IF(OR(AND(ISTEXT(Q8),Q8&lt;&gt;""),AND(ISTEXT($Q$6),$Q$6&lt;&gt;"")),"Error",
IF(AND(ISNUMBER(Q8),ISNUMBER($Q$6),Q8&gt;$Q$6),"Error",
IFERROR(IF(Q8="","",(Q8/$Q$6)*100),0))))))</f>
        <v>42.857142857142854</v>
      </c>
      <c r="S8" s="114"/>
      <c r="T8" s="12">
        <v>50</v>
      </c>
      <c r="U8" s="10">
        <v>50</v>
      </c>
      <c r="V8" s="10"/>
      <c r="W8" s="10"/>
      <c r="X8" s="113">
        <f>IF(OR(F8="",COUNTA(T8:W8)=0),"",
IF(COUNTA(T8:W8,$T$6:$W$6)=0,"",
IF(OR(
AND($T$6="",T8&lt;&gt;""),AND(ISTEXT($T$6),$T$6&lt;&gt;""),AND(ISTEXT(T8),T8&lt;&gt;""),
AND($U$6="",U8&lt;&gt;""),AND(ISTEXT($U$6),$U$6&lt;&gt;""),AND(ISTEXT(U8),U8&lt;&gt;""),
AND($V$6="",V8&lt;&gt;""),AND(ISTEXT($V$6),$V$6&lt;&gt;""),AND(ISTEXT(V8),V8&lt;&gt;""),
AND($W$6="",W8&lt;&gt;""),AND(ISTEXT($W$6),$W$6&lt;&gt;""),AND(ISTEXT(W8),W8&lt;&gt;"")),"Error",
IF(OR(
AND(ISNUMBER($T$6),ISNUMBER(T8),T8&gt;$T$6),
AND(ISNUMBER($U$6),ISNUMBER(U8),U8&gt;$U$6),
AND(ISNUMBER($V$6),ISNUMBER(V8),V8&gt;$V$6),
AND(ISNUMBER($W$6),ISNUMBER(W8),W8&gt;$W$6)),"Error",
IF(SUM(T8:W8)&gt;$X$7,"Error",
SUM(T8:W8))))))</f>
        <v>100</v>
      </c>
      <c r="Y8" s="11">
        <v>5</v>
      </c>
      <c r="Z8" s="11">
        <v>18</v>
      </c>
      <c r="AA8" s="11">
        <v>15</v>
      </c>
      <c r="AB8" s="11"/>
      <c r="AC8" s="113">
        <f>IF(OR(F8="",COUNTA(Y8:AB8)=0),"",
IF(COUNTA(Y8:AB8,$Y$6:$AB$6)=0,"",
IF(OR(
AND($Y$6="",Y8&lt;&gt;""),AND(ISTEXT($Y$6),$Y$6&lt;&gt;""),AND(ISTEXT(Y8),Y8&lt;&gt;""),
AND($Z$6="",Z8&lt;&gt;""),AND(ISTEXT($Z$6),$Z$6&lt;&gt;""),AND(ISTEXT(Z8),Z8&lt;&gt;""),
AND($AA$6="",AA8&lt;&gt;""),AND(ISTEXT($AA$6),$AA$6&lt;&gt;""),AND(ISTEXT(AA8),AA8&lt;&gt;""),
AND($AB$6="",AB8&lt;&gt;""),AND(ISTEXT($AB$6),$AB$6&lt;&gt;""),AND(ISTEXT(AB8),AB8&lt;&gt;"")),"Error",
IF(OR(
AND(ISNUMBER($Y$6),ISNUMBER(Y8),Y8&gt;$Y$6),
AND(ISNUMBER($Z$6),ISNUMBER(Z8),Z8&gt;$Z$6),
AND(ISNUMBER($AA$6),ISNUMBER(AA8),AA8&gt;$AA$6),
AND(ISNUMBER($AB$6),ISNUMBER(AB8),AB8&gt;$AB$6)),"Error",
IF(SUM(Y8:AB8)&gt;$AC$7,"Error",
SUM(Y8:AB8))))))</f>
        <v>38</v>
      </c>
      <c r="AD8" s="16">
        <v>34</v>
      </c>
      <c r="AE8" s="112">
        <f>IF(F8="","",
IF(AND(AD8="",$AD$6=""),"",
IF($AD$6="","Error",
IF(OR(AND(ISTEXT(AD8),AD8&lt;&gt;""),AND(ISTEXT($AD$6),$AD$6&lt;&gt;"")),"Error",
IF(AND(ISNUMBER(AD8),ISNUMBER($AD$6),AD8&gt;$AD$6),"Error",
IFERROR(IF(AD8="","",(AD8/$AD$6)*100),0))))))</f>
        <v>48.571428571428569</v>
      </c>
      <c r="AF8" s="114"/>
      <c r="AG8" s="12"/>
      <c r="AH8" s="10"/>
      <c r="AI8" s="10"/>
      <c r="AJ8" s="10"/>
      <c r="AK8" s="113" t="str">
        <f>IF(OR(F8="",COUNTA(AG8:AJ8)=0),"",
IF(COUNTA(AG8:AJ8,$AG$6:$AJ$6)=0,"",
IF(OR(
AND($AG$6="",AG8&lt;&gt;""),AND(ISTEXT($AG$6),$AG$6&lt;&gt;""),AND(ISTEXT(AG8),AG8&lt;&gt;""),
AND($AH$6="",AH8&lt;&gt;""),AND(ISTEXT($AH$6),$AH$6&lt;&gt;""),AND(ISTEXT(AH8),AH8&lt;&gt;""),
AND($AI$6="",AI8&lt;&gt;""),AND(ISTEXT($AI$6),$AI$6&lt;&gt;""),AND(ISTEXT(AI8),AI8&lt;&gt;""),
AND($AJ$6="",AJ8&lt;&gt;""),AND(ISTEXT($AJ$6),$AJ$6&lt;&gt;""),AND(ISTEXT(AJ8),AJ8&lt;&gt;"")),"Error",
IF(OR(
AND(ISNUMBER($AG$6),ISNUMBER(AG8),AG8&gt;$AG$6),
AND(ISNUMBER($AH$6),ISNUMBER(AH8),AH8&gt;$AH$6),
AND(ISNUMBER($AI$6),ISNUMBER(AI8),AI8&gt;$AI$6),
AND(ISNUMBER($AJ$6),ISNUMBER(AJ8),AJ8&gt;$AJ$6)),"Error",
IF(SUM(AG8:AJ8)&gt;$AK$7,"Error",
SUM(AG8:AJ8))))))</f>
        <v/>
      </c>
      <c r="AL8" s="11"/>
      <c r="AM8" s="11"/>
      <c r="AN8" s="11"/>
      <c r="AO8" s="11"/>
      <c r="AP8" s="113" t="str">
        <f>IF(OR(F8="",COUNTA(AL8:AO8)=0),"",
IF(COUNTA(AL8:AO8,$AL$6:$AO$6)=0,"",
IF(OR(
AND($AL$6="",AL8&lt;&gt;""),AND(ISTEXT($AL$6),$AL$6&lt;&gt;""),AND(ISTEXT(AL8),AL8&lt;&gt;""),
AND($AM$6="",AM8&lt;&gt;""),AND(ISTEXT($AM$6),$AM$6&lt;&gt;""),AND(ISTEXT(AM8),AM8&lt;&gt;""),
AND($AN$6="",AN8&lt;&gt;""),AND(ISTEXT($AN$6),$AN$6&lt;&gt;""),AND(ISTEXT(AN8),AN8&lt;&gt;""),
AND($AO$6="",AO8&lt;&gt;""),AND(ISTEXT($AO$6),$AO$6&lt;&gt;""),AND(ISTEXT(AO8),AO8&lt;&gt;"")),"Error",
IF(OR(
AND(ISNUMBER($AL$6),ISNUMBER(AL8),AL8&gt;$AL$6),
AND(ISNUMBER($AM$6),ISNUMBER(AM8),AM8&gt;$AM$6),
AND(ISNUMBER($AN$6),ISNUMBER(AN8),AN8&gt;$AN$6),
AND(ISNUMBER($AO$6),ISNUMBER(AO8),AO8&gt;$AO$6)),"Error",
IF(SUM(AL8:AO8)&gt;$AP$7,"Error",
SUM(AL8:AO8))))))</f>
        <v/>
      </c>
      <c r="AQ8" s="16"/>
      <c r="AR8" s="112" t="str">
        <f>IF(F8="","",
IF(AND(AQ8="",$AQ$6=""),"",
IF($AQ$6="","Error",
IF(OR(AND(ISTEXT(AQ8),AQ8&lt;&gt;""),AND(ISTEXT($AQ$6),$AQ$6&lt;&gt;"")),"Error",
IF(AND(ISNUMBER(AQ8),ISNUMBER($AQ$6),AD8&gt;$AQ$6),"Error",
IFERROR(IF(AQ8="","",(AQ8/$AQ$6)*100),0))))))</f>
        <v/>
      </c>
      <c r="AS8" s="114"/>
      <c r="AT8" s="12"/>
      <c r="AU8" s="10"/>
      <c r="AV8" s="10"/>
      <c r="AW8" s="10"/>
      <c r="AX8" s="113" t="str">
        <f>IF(OR(F8="",COUNTA(AT8:AW8)=0),"",
IF(COUNTA(AT8:AW8,$AT$6:$AW$6)=0,"",
IF(OR(
AND($AT$6="",AT8&lt;&gt;""),AND(ISTEXT($AT$6),$AT$6&lt;&gt;""),AND(ISTEXT(AT8),AT8&lt;&gt;""),
AND($AU$6="",AU8&lt;&gt;""),AND(ISTEXT($AU$6),$AU$6&lt;&gt;""),AND(ISTEXT(AU8),AU8&lt;&gt;""),
AND($AV$6="",AV8&lt;&gt;""),AND(ISTEXT($AV$6),$AV$6&lt;&gt;""),AND(ISTEXT(AV8),AV8&lt;&gt;""),
AND($AW$6="",AW8&lt;&gt;""),AND(ISTEXT($AW$6),$AW$6&lt;&gt;""),AND(ISTEXT(AW8),AW8&lt;&gt;"")),"Error",
IF(OR(
AND(ISNUMBER($AT$6),ISNUMBER(AT8),AT8&gt;$AT$6),
AND(ISNUMBER($AU$6),ISNUMBER(AU8),AU8&gt;$AU$6),
AND(ISNUMBER($AV$6),ISNUMBER(AV8),AV8&gt;$AV$6),
AND(ISNUMBER($AW$6),ISNUMBER(AW8),AW8&gt;$AW$6)),"Error",
IF(SUM(AT8:AW8)&gt;$AX$7,"Error",
SUM(AT8:AW8))))))</f>
        <v/>
      </c>
      <c r="AY8" s="11"/>
      <c r="AZ8" s="11"/>
      <c r="BA8" s="11"/>
      <c r="BB8" s="11"/>
      <c r="BC8" s="113" t="str">
        <f>IF(OR(F8="",COUNTA(AY8:BB8)=0),"",
IF(COUNTA(AY8:BB8,$AY$6:$BB$6)=0,"",
IF(OR(
AND($AY$6="",AY8&lt;&gt;""),AND(ISTEXT($AY$6),$AY$6&lt;&gt;""),AND(ISTEXT(AY8),AY8&lt;&gt;""),
AND($AZ$6="",AZ8&lt;&gt;""),AND(ISTEXT($AZ$6),$AZ$6&lt;&gt;""),AND(ISTEXT(AZ8),AZ8&lt;&gt;""),
AND($BA$6="",BA8&lt;&gt;""),AND(ISTEXT($BA$6),$BA$6&lt;&gt;""),AND(ISTEXT(BA8),BA8&lt;&gt;""),
AND($BB$6="",BB8&lt;&gt;""),AND(ISTEXT($BB$6),$BB$6&lt;&gt;""),AND(ISTEXT(BB8),BB8&lt;&gt;"")),"Error",
IF(OR(
AND(ISNUMBER($AY$6),ISNUMBER(AY8),AY8&gt;$AY$6),
AND(ISNUMBER($AZ$6),ISNUMBER(AZ8),AZ8&gt;$AZ$6),
AND(ISNUMBER($BA$6),ISNUMBER(BA8),BA8&gt;$BA$6),
AND(ISNUMBER($BB$6),ISNUMBER(BB8),BB8&gt;$BB$6)),"Error",
IF(SUM(AY8:BB8)&gt;$BC$7,"Error",
SUM(AY8:BB8))))))</f>
        <v/>
      </c>
      <c r="BD8" s="16"/>
      <c r="BE8" s="112" t="str">
        <f>IF(F8="","",
IF(AND(BD8="",$BD$6=""),"",
IF($BD$6="","Error",
IF(OR(AND(ISTEXT(BD8),BD8&lt;&gt;""),AND(ISTEXT($BD$6),$BD$6&lt;&gt;"")),"Error",
IF(AND(ISNUMBER(BD8),ISNUMBER($BD$6),BD8&gt;$BD$6),"Error",
IFERROR(IF(BD8="","",(BD8/$BD$6)*100),0))))))</f>
        <v/>
      </c>
      <c r="BG8" s="101"/>
    </row>
    <row r="9" spans="1:59" s="102" customFormat="1" ht="14.1" customHeight="1" x14ac:dyDescent="0.2">
      <c r="A9" s="101"/>
      <c r="C9" s="115">
        <f t="shared" ref="C9:C57" si="0">C8+1</f>
        <v>2</v>
      </c>
      <c r="D9" s="8" t="s">
        <v>121</v>
      </c>
      <c r="E9" s="99"/>
      <c r="F9" s="24" t="s">
        <v>146</v>
      </c>
      <c r="G9" s="10">
        <v>98</v>
      </c>
      <c r="H9" s="10">
        <v>98</v>
      </c>
      <c r="I9" s="10">
        <v>47</v>
      </c>
      <c r="J9" s="10"/>
      <c r="K9" s="113">
        <f t="shared" ref="K9:K57" si="1">IF(OR(F9="",COUNTA(G9:J9)=0),"",
IF(COUNTA(G9:J9,$G$6:$J$6)=0,"",
IF(OR(
AND($G$6="",G9&lt;&gt;""),AND(ISTEXT($G$6),$G$6&lt;&gt;""),AND(ISTEXT(G9),G9&lt;&gt;""),
AND($H$6="",H9&lt;&gt;""),AND(ISTEXT($H$6),$H$6&lt;&gt;""),AND(ISTEXT(H9),H9&lt;&gt;""),
AND($I$6="",I9&lt;&gt;""),AND(ISTEXT($I$6),$I$6&lt;&gt;""),AND(ISTEXT(I9),I9&lt;&gt;""),
AND($J$6="",J9&lt;&gt;""),AND(ISTEXT($J$6),$J$6&lt;&gt;""),AND(ISTEXT(J9),J9&lt;&gt;"")),"Error",
IF(OR(
AND(ISNUMBER($G$6),ISNUMBER(G9),G9&gt;$G$6),
AND(ISNUMBER($H$6),ISNUMBER(H9),H9&gt;$H$6),
AND(ISNUMBER($I$6),ISNUMBER(I9),I9&gt;$I$6),
AND(ISNUMBER($J$6),ISNUMBER(J9),J9&gt;$J$6)),"Error",
IF(SUM(G9:J9)&gt;$K$7,"Error",
SUM(G9:J9))))))</f>
        <v>243</v>
      </c>
      <c r="L9" s="11">
        <v>98</v>
      </c>
      <c r="M9" s="11">
        <v>98</v>
      </c>
      <c r="N9" s="11">
        <v>98</v>
      </c>
      <c r="O9" s="11"/>
      <c r="P9" s="113">
        <f t="shared" ref="P9:P57" si="2">IF(OR(F9="",COUNTA(L9:O9)=0),"",
IF(COUNTA(L9:O9,$L$6:$O$6)=0,"",
IF(OR(
AND($L$6="",L9&lt;&gt;""),AND(ISTEXT($L$6),$L$6&lt;&gt;""),AND(ISTEXT(L9),L9&lt;&gt;""),
AND($M$6="",M9&lt;&gt;""),AND(ISTEXT($M$6),$M$6&lt;&gt;""),AND(ISTEXT(M9),M9&lt;&gt;""),
AND($N$6="",N9&lt;&gt;""),AND(ISTEXT($N$6),$N$6&lt;&gt;""),AND(ISTEXT(N9),N9&lt;&gt;""),
AND($O$6="",O9&lt;&gt;""),AND(ISTEXT($O$6),$O$6&lt;&gt;""),AND(ISTEXT(O9),O9&lt;&gt;"")),"Error",
IF(OR(
AND(ISNUMBER($L$6),ISNUMBER(L9),L9&gt;$L$6),
AND(ISNUMBER($M$6),ISNUMBER(M9),M9&gt;$M$6),
AND(ISNUMBER($N$6),ISNUMBER(N9),N9&gt;$N$6),
AND(ISNUMBER($O$6),ISNUMBER(O9),O9&gt;$O$6)),"Error",
IF(SUM(L9:O9)&gt;$P$7,"Error",
SUM(L9:O9))))))</f>
        <v>294</v>
      </c>
      <c r="Q9" s="16">
        <v>58</v>
      </c>
      <c r="R9" s="112">
        <f t="shared" ref="R9:R57" si="3">IF(F9="","",
IF(AND(Q9="",$Q$6=""),"",
IF($Q$6="","Error",
IF(OR(AND(ISTEXT(Q9),Q9&lt;&gt;""),AND(ISTEXT($Q$6),$Q$6&lt;&gt;"")),"Error",
IF(AND(ISNUMBER(Q9),ISNUMBER($Q$6),Q9&gt;$Q$6),"Error",
IFERROR(IF(Q9="","",(Q9/$Q$6)*100),0))))))</f>
        <v>82.857142857142861</v>
      </c>
      <c r="S9" s="114"/>
      <c r="T9" s="12">
        <v>50</v>
      </c>
      <c r="U9" s="10">
        <v>50</v>
      </c>
      <c r="V9" s="10"/>
      <c r="W9" s="10"/>
      <c r="X9" s="113">
        <f t="shared" ref="X9:X57" si="4">IF(OR(F9="",COUNTA(T9:W9)=0),"",
IF(COUNTA(T9:W9,$T$6:$W$6)=0,"",
IF(OR(
AND($T$6="",T9&lt;&gt;""),AND(ISTEXT($T$6),$T$6&lt;&gt;""),AND(ISTEXT(T9),T9&lt;&gt;""),
AND($U$6="",U9&lt;&gt;""),AND(ISTEXT($U$6),$U$6&lt;&gt;""),AND(ISTEXT(U9),U9&lt;&gt;""),
AND($V$6="",V9&lt;&gt;""),AND(ISTEXT($V$6),$V$6&lt;&gt;""),AND(ISTEXT(V9),V9&lt;&gt;""),
AND($W$6="",W9&lt;&gt;""),AND(ISTEXT($W$6),$W$6&lt;&gt;""),AND(ISTEXT(W9),W9&lt;&gt;"")),"Error",
IF(OR(
AND(ISNUMBER($T$6),ISNUMBER(T9),T9&gt;$T$6),
AND(ISNUMBER($U$6),ISNUMBER(U9),U9&gt;$U$6),
AND(ISNUMBER($V$6),ISNUMBER(V9),V9&gt;$V$6),
AND(ISNUMBER($W$6),ISNUMBER(W9),W9&gt;$W$6)),"Error",
IF(SUM(T9:W9)&gt;$X$7,"Error",
SUM(T9:W9))))))</f>
        <v>100</v>
      </c>
      <c r="Y9" s="11">
        <v>8</v>
      </c>
      <c r="Z9" s="11">
        <v>18</v>
      </c>
      <c r="AA9" s="11">
        <v>26</v>
      </c>
      <c r="AB9" s="11"/>
      <c r="AC9" s="113">
        <f t="shared" ref="AC9:AC57" si="5">IF(OR(F9="",COUNTA(Y9:AB9)=0),"",
IF(COUNTA(Y9:AB9,$Y$6:$AB$6)=0,"",
IF(OR(
AND($Y$6="",Y9&lt;&gt;""),AND(ISTEXT($Y$6),$Y$6&lt;&gt;""),AND(ISTEXT(Y9),Y9&lt;&gt;""),
AND($Z$6="",Z9&lt;&gt;""),AND(ISTEXT($Z$6),$Z$6&lt;&gt;""),AND(ISTEXT(Z9),Z9&lt;&gt;""),
AND($AA$6="",AA9&lt;&gt;""),AND(ISTEXT($AA$6),$AA$6&lt;&gt;""),AND(ISTEXT(AA9),AA9&lt;&gt;""),
AND($AB$6="",AB9&lt;&gt;""),AND(ISTEXT($AB$6),$AB$6&lt;&gt;""),AND(ISTEXT(AB9),AB9&lt;&gt;"")),"Error",
IF(OR(
AND(ISNUMBER($Y$6),ISNUMBER(Y9),Y9&gt;$Y$6),
AND(ISNUMBER($Z$6),ISNUMBER(Z9),Z9&gt;$Z$6),
AND(ISNUMBER($AA$6),ISNUMBER(AA9),AA9&gt;$AA$6),
AND(ISNUMBER($AB$6),ISNUMBER(AB9),AB9&gt;$AB$6)),"Error",
IF(SUM(Y9:AB9)&gt;$AC$7,"Error",
SUM(Y9:AB9))))))</f>
        <v>52</v>
      </c>
      <c r="AD9" s="16">
        <v>48</v>
      </c>
      <c r="AE9" s="112">
        <f t="shared" ref="AE9:AE57" si="6">IF(F9="","",
IF(AND(AD9="",$AD$6=""),"",
IF($AD$6="","Error",
IF(OR(AND(ISTEXT(AD9),AD9&lt;&gt;""),AND(ISTEXT($AD$6),$AD$6&lt;&gt;"")),"Error",
IF(AND(ISNUMBER(AD9),ISNUMBER($AD$6),AD9&gt;$AD$6),"Error",
IFERROR(IF(AD9="","",(AD9/$AD$6)*100),0))))))</f>
        <v>68.571428571428569</v>
      </c>
      <c r="AF9" s="114"/>
      <c r="AG9" s="12"/>
      <c r="AH9" s="10"/>
      <c r="AI9" s="10"/>
      <c r="AJ9" s="10"/>
      <c r="AK9" s="113" t="str">
        <f t="shared" ref="AK9:AK57" si="7">IF(OR(F9="",COUNTA(AG9:AJ9)=0),"",
IF(COUNTA(AG9:AJ9,$AG$6:$AJ$6)=0,"",
IF(OR(
AND($AG$6="",AG9&lt;&gt;""),AND(ISTEXT($AG$6),$AG$6&lt;&gt;""),AND(ISTEXT(AG9),AG9&lt;&gt;""),
AND($AH$6="",AH9&lt;&gt;""),AND(ISTEXT($AH$6),$AH$6&lt;&gt;""),AND(ISTEXT(AH9),AH9&lt;&gt;""),
AND($AI$6="",AI9&lt;&gt;""),AND(ISTEXT($AI$6),$AI$6&lt;&gt;""),AND(ISTEXT(AI9),AI9&lt;&gt;""),
AND($AJ$6="",AJ9&lt;&gt;""),AND(ISTEXT($AJ$6),$AJ$6&lt;&gt;""),AND(ISTEXT(AJ9),AJ9&lt;&gt;"")),"Error",
IF(OR(
AND(ISNUMBER($AG$6),ISNUMBER(AG9),AG9&gt;$AG$6),
AND(ISNUMBER($AH$6),ISNUMBER(AH9),AH9&gt;$AH$6),
AND(ISNUMBER($AI$6),ISNUMBER(AI9),AI9&gt;$AI$6),
AND(ISNUMBER($AJ$6),ISNUMBER(AJ9),AJ9&gt;$AJ$6)),"Error",
IF(SUM(AG9:AJ9)&gt;$AK$7,"Error",
SUM(AG9:AJ9))))))</f>
        <v/>
      </c>
      <c r="AL9" s="11"/>
      <c r="AM9" s="11"/>
      <c r="AN9" s="11"/>
      <c r="AO9" s="11"/>
      <c r="AP9" s="113" t="str">
        <f t="shared" ref="AP9:AP57" si="8">IF(OR(F9="",COUNTA(AL9:AO9)=0),"",
IF(COUNTA(AL9:AO9,$AL$6:$AO$6)=0,"",
IF(OR(
AND($AL$6="",AL9&lt;&gt;""),AND(ISTEXT($AL$6),$AL$6&lt;&gt;""),AND(ISTEXT(AL9),AL9&lt;&gt;""),
AND($AM$6="",AM9&lt;&gt;""),AND(ISTEXT($AM$6),$AM$6&lt;&gt;""),AND(ISTEXT(AM9),AM9&lt;&gt;""),
AND($AN$6="",AN9&lt;&gt;""),AND(ISTEXT($AN$6),$AN$6&lt;&gt;""),AND(ISTEXT(AN9),AN9&lt;&gt;""),
AND($AO$6="",AO9&lt;&gt;""),AND(ISTEXT($AO$6),$AO$6&lt;&gt;""),AND(ISTEXT(AO9),AO9&lt;&gt;"")),"Error",
IF(OR(
AND(ISNUMBER($AL$6),ISNUMBER(AL9),AL9&gt;$AL$6),
AND(ISNUMBER($AM$6),ISNUMBER(AM9),AM9&gt;$AM$6),
AND(ISNUMBER($AN$6),ISNUMBER(AN9),AN9&gt;$AN$6),
AND(ISNUMBER($AO$6),ISNUMBER(AO9),AO9&gt;$AO$6)),"Error",
IF(SUM(AL9:AO9)&gt;$AP$7,"Error",
SUM(AL9:AO9))))))</f>
        <v/>
      </c>
      <c r="AQ9" s="16"/>
      <c r="AR9" s="112" t="str">
        <f t="shared" ref="AR9:AR57" si="9">IF(F9="","",
IF(AND(AQ9="",$AQ$6=""),"",
IF($AQ$6="","Error",
IF(OR(AND(ISTEXT(AQ9),AQ9&lt;&gt;""),AND(ISTEXT($AQ$6),$AQ$6&lt;&gt;"")),"Error",
IF(AND(ISNUMBER(AQ9),ISNUMBER($AQ$6),AD9&gt;$AQ$6),"Error",
IFERROR(IF(AQ9="","",(AQ9/$AQ$6)*100),0))))))</f>
        <v/>
      </c>
      <c r="AS9" s="114"/>
      <c r="AT9" s="12"/>
      <c r="AU9" s="10"/>
      <c r="AV9" s="10"/>
      <c r="AW9" s="10"/>
      <c r="AX9" s="113" t="str">
        <f t="shared" ref="AX9:AX57" si="10">IF(OR(F9="",COUNTA(AT9:AW9)=0),"",
IF(COUNTA(AT9:AW9,$AT$6:$AW$6)=0,"",
IF(OR(
AND($AT$6="",AT9&lt;&gt;""),AND(ISTEXT($AT$6),$AT$6&lt;&gt;""),AND(ISTEXT(AT9),AT9&lt;&gt;""),
AND($AU$6="",AU9&lt;&gt;""),AND(ISTEXT($AU$6),$AU$6&lt;&gt;""),AND(ISTEXT(AU9),AU9&lt;&gt;""),
AND($AV$6="",AV9&lt;&gt;""),AND(ISTEXT($AV$6),$AV$6&lt;&gt;""),AND(ISTEXT(AV9),AV9&lt;&gt;""),
AND($AW$6="",AW9&lt;&gt;""),AND(ISTEXT($AW$6),$AW$6&lt;&gt;""),AND(ISTEXT(AW9),AW9&lt;&gt;"")),"Error",
IF(OR(
AND(ISNUMBER($AT$6),ISNUMBER(AT9),AT9&gt;$AT$6),
AND(ISNUMBER($AU$6),ISNUMBER(AU9),AU9&gt;$AU$6),
AND(ISNUMBER($AV$6),ISNUMBER(AV9),AV9&gt;$AV$6),
AND(ISNUMBER($AW$6),ISNUMBER(AW9),AW9&gt;$AW$6)),"Error",
IF(SUM(AT9:AW9)&gt;$AX$7,"Error",
SUM(AT9:AW9))))))</f>
        <v/>
      </c>
      <c r="AY9" s="11"/>
      <c r="AZ9" s="11"/>
      <c r="BA9" s="11"/>
      <c r="BB9" s="11"/>
      <c r="BC9" s="113" t="str">
        <f t="shared" ref="BC9:BC57" si="11">IF(OR(F9="",COUNTA(AY9:BB9)=0),"",
IF(COUNTA(AY9:BB9,$AY$6:$BB$6)=0,"",
IF(OR(
AND($AY$6="",AY9&lt;&gt;""),AND(ISTEXT($AY$6),$AY$6&lt;&gt;""),AND(ISTEXT(AY9),AY9&lt;&gt;""),
AND($AZ$6="",AZ9&lt;&gt;""),AND(ISTEXT($AZ$6),$AZ$6&lt;&gt;""),AND(ISTEXT(AZ9),AZ9&lt;&gt;""),
AND($BA$6="",BA9&lt;&gt;""),AND(ISTEXT($BA$6),$BA$6&lt;&gt;""),AND(ISTEXT(BA9),BA9&lt;&gt;""),
AND($BB$6="",BB9&lt;&gt;""),AND(ISTEXT($BB$6),$BB$6&lt;&gt;""),AND(ISTEXT(BB9),BB9&lt;&gt;"")),"Error",
IF(OR(
AND(ISNUMBER($AY$6),ISNUMBER(AY9),AY9&gt;$AY$6),
AND(ISNUMBER($AZ$6),ISNUMBER(AZ9),AZ9&gt;$AZ$6),
AND(ISNUMBER($BA$6),ISNUMBER(BA9),BA9&gt;$BA$6),
AND(ISNUMBER($BB$6),ISNUMBER(BB9),BB9&gt;$BB$6)),"Error",
IF(SUM(AY9:BB9)&gt;$BC$7,"Error",
SUM(AY9:BB9))))))</f>
        <v/>
      </c>
      <c r="BD9" s="16"/>
      <c r="BE9" s="112" t="str">
        <f t="shared" ref="BE9:BE57" si="12">IF(F9="","",
IF(AND(BD9="",$BD$6=""),"",
IF($BD$6="","Error",
IF(OR(AND(ISTEXT(BD9),BD9&lt;&gt;""),AND(ISTEXT($BD$6),$BD$6&lt;&gt;"")),"Error",
IF(AND(ISNUMBER(BD9),ISNUMBER($BD$6),BD9&gt;$BD$6),"Error",
IFERROR(IF(BD9="","",(BD9/$BD$6)*100),0))))))</f>
        <v/>
      </c>
      <c r="BG9" s="101"/>
    </row>
    <row r="10" spans="1:59" s="102" customFormat="1" ht="14.1" customHeight="1" x14ac:dyDescent="0.2">
      <c r="A10" s="101"/>
      <c r="C10" s="115">
        <f t="shared" si="0"/>
        <v>3</v>
      </c>
      <c r="D10" s="8" t="s">
        <v>122</v>
      </c>
      <c r="E10" s="99"/>
      <c r="F10" s="24" t="s">
        <v>147</v>
      </c>
      <c r="G10" s="10">
        <v>100</v>
      </c>
      <c r="H10" s="10">
        <v>100</v>
      </c>
      <c r="I10" s="10">
        <v>48</v>
      </c>
      <c r="J10" s="10"/>
      <c r="K10" s="113">
        <f t="shared" si="1"/>
        <v>248</v>
      </c>
      <c r="L10" s="11">
        <v>100</v>
      </c>
      <c r="M10" s="11">
        <v>100</v>
      </c>
      <c r="N10" s="11">
        <v>100</v>
      </c>
      <c r="O10" s="11"/>
      <c r="P10" s="113">
        <f t="shared" si="2"/>
        <v>300</v>
      </c>
      <c r="Q10" s="16">
        <v>46</v>
      </c>
      <c r="R10" s="112">
        <f t="shared" si="3"/>
        <v>65.714285714285708</v>
      </c>
      <c r="S10" s="114"/>
      <c r="T10" s="12">
        <v>45</v>
      </c>
      <c r="U10" s="10">
        <v>50</v>
      </c>
      <c r="V10" s="10"/>
      <c r="W10" s="10"/>
      <c r="X10" s="113">
        <f t="shared" si="4"/>
        <v>95</v>
      </c>
      <c r="Y10" s="11">
        <v>0</v>
      </c>
      <c r="Z10" s="11">
        <v>19</v>
      </c>
      <c r="AA10" s="11">
        <v>14</v>
      </c>
      <c r="AB10" s="11"/>
      <c r="AC10" s="113">
        <f t="shared" si="5"/>
        <v>33</v>
      </c>
      <c r="AD10" s="16">
        <v>44</v>
      </c>
      <c r="AE10" s="112">
        <f t="shared" si="6"/>
        <v>62.857142857142854</v>
      </c>
      <c r="AF10" s="114"/>
      <c r="AG10" s="12"/>
      <c r="AH10" s="10"/>
      <c r="AI10" s="10"/>
      <c r="AJ10" s="10"/>
      <c r="AK10" s="113" t="str">
        <f t="shared" si="7"/>
        <v/>
      </c>
      <c r="AL10" s="11"/>
      <c r="AM10" s="11"/>
      <c r="AN10" s="11"/>
      <c r="AO10" s="11"/>
      <c r="AP10" s="113" t="str">
        <f t="shared" si="8"/>
        <v/>
      </c>
      <c r="AQ10" s="16"/>
      <c r="AR10" s="112" t="str">
        <f t="shared" si="9"/>
        <v/>
      </c>
      <c r="AS10" s="114"/>
      <c r="AT10" s="12"/>
      <c r="AU10" s="10"/>
      <c r="AV10" s="10"/>
      <c r="AW10" s="10"/>
      <c r="AX10" s="113" t="str">
        <f t="shared" si="10"/>
        <v/>
      </c>
      <c r="AY10" s="11"/>
      <c r="AZ10" s="11"/>
      <c r="BA10" s="11"/>
      <c r="BB10" s="11"/>
      <c r="BC10" s="113" t="str">
        <f t="shared" si="11"/>
        <v/>
      </c>
      <c r="BD10" s="16"/>
      <c r="BE10" s="112" t="str">
        <f t="shared" si="12"/>
        <v/>
      </c>
      <c r="BG10" s="101"/>
    </row>
    <row r="11" spans="1:59" s="102" customFormat="1" ht="14.1" customHeight="1" x14ac:dyDescent="0.2">
      <c r="A11" s="101"/>
      <c r="C11" s="115">
        <f t="shared" si="0"/>
        <v>4</v>
      </c>
      <c r="D11" s="8" t="s">
        <v>123</v>
      </c>
      <c r="E11" s="99"/>
      <c r="F11" s="24" t="s">
        <v>148</v>
      </c>
      <c r="G11" s="10">
        <v>100</v>
      </c>
      <c r="H11" s="10">
        <v>100</v>
      </c>
      <c r="I11" s="10">
        <v>48</v>
      </c>
      <c r="J11" s="10"/>
      <c r="K11" s="113">
        <f t="shared" si="1"/>
        <v>248</v>
      </c>
      <c r="L11" s="11">
        <v>100</v>
      </c>
      <c r="M11" s="11">
        <v>100</v>
      </c>
      <c r="N11" s="11">
        <v>100</v>
      </c>
      <c r="O11" s="11"/>
      <c r="P11" s="113">
        <f t="shared" si="2"/>
        <v>300</v>
      </c>
      <c r="Q11" s="16">
        <v>24</v>
      </c>
      <c r="R11" s="112">
        <f t="shared" si="3"/>
        <v>34.285714285714285</v>
      </c>
      <c r="S11" s="114"/>
      <c r="T11" s="12">
        <v>0</v>
      </c>
      <c r="U11" s="10">
        <v>50</v>
      </c>
      <c r="V11" s="10"/>
      <c r="W11" s="10"/>
      <c r="X11" s="113">
        <f t="shared" si="4"/>
        <v>50</v>
      </c>
      <c r="Y11" s="11">
        <v>4</v>
      </c>
      <c r="Z11" s="11">
        <v>0</v>
      </c>
      <c r="AA11" s="11">
        <v>9</v>
      </c>
      <c r="AB11" s="11"/>
      <c r="AC11" s="113">
        <f t="shared" si="5"/>
        <v>13</v>
      </c>
      <c r="AD11" s="16">
        <v>20</v>
      </c>
      <c r="AE11" s="112">
        <f t="shared" si="6"/>
        <v>28.571428571428569</v>
      </c>
      <c r="AF11" s="114"/>
      <c r="AG11" s="12"/>
      <c r="AH11" s="10"/>
      <c r="AI11" s="10"/>
      <c r="AJ11" s="10"/>
      <c r="AK11" s="113" t="str">
        <f t="shared" si="7"/>
        <v/>
      </c>
      <c r="AL11" s="11"/>
      <c r="AM11" s="11"/>
      <c r="AN11" s="11"/>
      <c r="AO11" s="11"/>
      <c r="AP11" s="113" t="str">
        <f t="shared" si="8"/>
        <v/>
      </c>
      <c r="AQ11" s="16"/>
      <c r="AR11" s="112" t="str">
        <f t="shared" si="9"/>
        <v/>
      </c>
      <c r="AS11" s="114"/>
      <c r="AT11" s="12"/>
      <c r="AU11" s="10"/>
      <c r="AV11" s="10"/>
      <c r="AW11" s="10"/>
      <c r="AX11" s="113" t="str">
        <f t="shared" si="10"/>
        <v/>
      </c>
      <c r="AY11" s="11"/>
      <c r="AZ11" s="11"/>
      <c r="BA11" s="11"/>
      <c r="BB11" s="11"/>
      <c r="BC11" s="113" t="str">
        <f t="shared" si="11"/>
        <v/>
      </c>
      <c r="BD11" s="16"/>
      <c r="BE11" s="112" t="str">
        <f t="shared" si="12"/>
        <v/>
      </c>
      <c r="BG11" s="101"/>
    </row>
    <row r="12" spans="1:59" s="102" customFormat="1" ht="14.1" customHeight="1" x14ac:dyDescent="0.2">
      <c r="A12" s="101"/>
      <c r="C12" s="115">
        <f t="shared" si="0"/>
        <v>5</v>
      </c>
      <c r="D12" s="8" t="s">
        <v>124</v>
      </c>
      <c r="E12" s="99"/>
      <c r="F12" s="24" t="s">
        <v>149</v>
      </c>
      <c r="G12" s="10">
        <v>100</v>
      </c>
      <c r="H12" s="10">
        <v>100</v>
      </c>
      <c r="I12" s="10">
        <v>48</v>
      </c>
      <c r="J12" s="10"/>
      <c r="K12" s="113">
        <f t="shared" si="1"/>
        <v>248</v>
      </c>
      <c r="L12" s="11">
        <v>100</v>
      </c>
      <c r="M12" s="11">
        <v>100</v>
      </c>
      <c r="N12" s="11">
        <v>100</v>
      </c>
      <c r="O12" s="11"/>
      <c r="P12" s="113">
        <f t="shared" si="2"/>
        <v>300</v>
      </c>
      <c r="Q12" s="16">
        <v>54</v>
      </c>
      <c r="R12" s="112">
        <f t="shared" si="3"/>
        <v>77.142857142857153</v>
      </c>
      <c r="S12" s="114"/>
      <c r="T12" s="12">
        <v>43</v>
      </c>
      <c r="U12" s="10">
        <v>50</v>
      </c>
      <c r="V12" s="10"/>
      <c r="W12" s="10"/>
      <c r="X12" s="113">
        <f t="shared" si="4"/>
        <v>93</v>
      </c>
      <c r="Y12" s="11">
        <v>0</v>
      </c>
      <c r="Z12" s="11">
        <v>20</v>
      </c>
      <c r="AA12" s="11">
        <v>17</v>
      </c>
      <c r="AB12" s="11"/>
      <c r="AC12" s="113">
        <f t="shared" si="5"/>
        <v>37</v>
      </c>
      <c r="AD12" s="16">
        <v>44</v>
      </c>
      <c r="AE12" s="112">
        <f t="shared" si="6"/>
        <v>62.857142857142854</v>
      </c>
      <c r="AF12" s="114"/>
      <c r="AG12" s="12"/>
      <c r="AH12" s="10"/>
      <c r="AI12" s="10"/>
      <c r="AJ12" s="10"/>
      <c r="AK12" s="113" t="str">
        <f t="shared" si="7"/>
        <v/>
      </c>
      <c r="AL12" s="11"/>
      <c r="AM12" s="11"/>
      <c r="AN12" s="11"/>
      <c r="AO12" s="11"/>
      <c r="AP12" s="113" t="str">
        <f t="shared" si="8"/>
        <v/>
      </c>
      <c r="AQ12" s="16"/>
      <c r="AR12" s="112" t="str">
        <f t="shared" si="9"/>
        <v/>
      </c>
      <c r="AS12" s="114"/>
      <c r="AT12" s="12"/>
      <c r="AU12" s="10"/>
      <c r="AV12" s="10"/>
      <c r="AW12" s="10"/>
      <c r="AX12" s="113" t="str">
        <f t="shared" si="10"/>
        <v/>
      </c>
      <c r="AY12" s="11"/>
      <c r="AZ12" s="11"/>
      <c r="BA12" s="11"/>
      <c r="BB12" s="11"/>
      <c r="BC12" s="113" t="str">
        <f t="shared" si="11"/>
        <v/>
      </c>
      <c r="BD12" s="16"/>
      <c r="BE12" s="112" t="str">
        <f t="shared" si="12"/>
        <v/>
      </c>
      <c r="BG12" s="101"/>
    </row>
    <row r="13" spans="1:59" s="102" customFormat="1" ht="14.1" customHeight="1" x14ac:dyDescent="0.2">
      <c r="A13" s="101"/>
      <c r="C13" s="115">
        <f t="shared" si="0"/>
        <v>6</v>
      </c>
      <c r="D13" s="8" t="s">
        <v>125</v>
      </c>
      <c r="E13" s="99"/>
      <c r="F13" s="24" t="s">
        <v>150</v>
      </c>
      <c r="G13" s="10">
        <v>90</v>
      </c>
      <c r="H13" s="10">
        <v>90</v>
      </c>
      <c r="I13" s="10">
        <v>47</v>
      </c>
      <c r="J13" s="10"/>
      <c r="K13" s="113">
        <f t="shared" si="1"/>
        <v>227</v>
      </c>
      <c r="L13" s="11">
        <v>98</v>
      </c>
      <c r="M13" s="11">
        <v>98</v>
      </c>
      <c r="N13" s="11">
        <v>98</v>
      </c>
      <c r="O13" s="11"/>
      <c r="P13" s="113">
        <f t="shared" si="2"/>
        <v>294</v>
      </c>
      <c r="Q13" s="16">
        <v>64</v>
      </c>
      <c r="R13" s="112">
        <f t="shared" si="3"/>
        <v>91.428571428571431</v>
      </c>
      <c r="S13" s="114"/>
      <c r="T13" s="12">
        <v>50</v>
      </c>
      <c r="U13" s="10">
        <v>50</v>
      </c>
      <c r="V13" s="10"/>
      <c r="W13" s="10"/>
      <c r="X13" s="113">
        <f t="shared" si="4"/>
        <v>100</v>
      </c>
      <c r="Y13" s="11">
        <v>2</v>
      </c>
      <c r="Z13" s="11">
        <v>8</v>
      </c>
      <c r="AA13" s="11">
        <v>17</v>
      </c>
      <c r="AB13" s="11"/>
      <c r="AC13" s="113">
        <f t="shared" si="5"/>
        <v>27</v>
      </c>
      <c r="AD13" s="16">
        <v>44</v>
      </c>
      <c r="AE13" s="112">
        <f t="shared" si="6"/>
        <v>62.857142857142854</v>
      </c>
      <c r="AF13" s="114"/>
      <c r="AG13" s="12"/>
      <c r="AH13" s="10"/>
      <c r="AI13" s="10"/>
      <c r="AJ13" s="10"/>
      <c r="AK13" s="113" t="str">
        <f t="shared" si="7"/>
        <v/>
      </c>
      <c r="AL13" s="11"/>
      <c r="AM13" s="11"/>
      <c r="AN13" s="11"/>
      <c r="AO13" s="11"/>
      <c r="AP13" s="113" t="str">
        <f t="shared" si="8"/>
        <v/>
      </c>
      <c r="AQ13" s="16"/>
      <c r="AR13" s="112" t="str">
        <f t="shared" si="9"/>
        <v/>
      </c>
      <c r="AS13" s="114"/>
      <c r="AT13" s="12"/>
      <c r="AU13" s="10"/>
      <c r="AV13" s="10"/>
      <c r="AW13" s="10"/>
      <c r="AX13" s="113" t="str">
        <f t="shared" si="10"/>
        <v/>
      </c>
      <c r="AY13" s="11"/>
      <c r="AZ13" s="11"/>
      <c r="BA13" s="11"/>
      <c r="BB13" s="11"/>
      <c r="BC13" s="113" t="str">
        <f t="shared" si="11"/>
        <v/>
      </c>
      <c r="BD13" s="16"/>
      <c r="BE13" s="112" t="str">
        <f t="shared" si="12"/>
        <v/>
      </c>
      <c r="BG13" s="101"/>
    </row>
    <row r="14" spans="1:59" s="102" customFormat="1" ht="14.1" customHeight="1" x14ac:dyDescent="0.2">
      <c r="A14" s="101"/>
      <c r="C14" s="115">
        <f t="shared" si="0"/>
        <v>7</v>
      </c>
      <c r="D14" s="8" t="s">
        <v>126</v>
      </c>
      <c r="E14" s="99"/>
      <c r="F14" s="24" t="s">
        <v>151</v>
      </c>
      <c r="G14" s="10">
        <v>100</v>
      </c>
      <c r="H14" s="10">
        <v>100</v>
      </c>
      <c r="I14" s="10">
        <v>48</v>
      </c>
      <c r="J14" s="10"/>
      <c r="K14" s="113">
        <f t="shared" si="1"/>
        <v>248</v>
      </c>
      <c r="L14" s="11">
        <v>100</v>
      </c>
      <c r="M14" s="11">
        <v>100</v>
      </c>
      <c r="N14" s="11">
        <v>100</v>
      </c>
      <c r="O14" s="11"/>
      <c r="P14" s="113">
        <f t="shared" si="2"/>
        <v>300</v>
      </c>
      <c r="Q14" s="16">
        <v>48</v>
      </c>
      <c r="R14" s="112">
        <f t="shared" si="3"/>
        <v>68.571428571428569</v>
      </c>
      <c r="S14" s="114"/>
      <c r="T14" s="12">
        <v>45</v>
      </c>
      <c r="U14" s="10">
        <v>50</v>
      </c>
      <c r="V14" s="10"/>
      <c r="W14" s="10"/>
      <c r="X14" s="113">
        <f t="shared" si="4"/>
        <v>95</v>
      </c>
      <c r="Y14" s="11">
        <v>10</v>
      </c>
      <c r="Z14" s="11">
        <v>0</v>
      </c>
      <c r="AA14" s="11">
        <v>16</v>
      </c>
      <c r="AB14" s="11"/>
      <c r="AC14" s="113">
        <f t="shared" si="5"/>
        <v>26</v>
      </c>
      <c r="AD14" s="16">
        <v>28</v>
      </c>
      <c r="AE14" s="112">
        <f t="shared" si="6"/>
        <v>40</v>
      </c>
      <c r="AF14" s="114"/>
      <c r="AG14" s="12"/>
      <c r="AH14" s="10"/>
      <c r="AI14" s="10"/>
      <c r="AJ14" s="10"/>
      <c r="AK14" s="113" t="str">
        <f t="shared" si="7"/>
        <v/>
      </c>
      <c r="AL14" s="11"/>
      <c r="AM14" s="11"/>
      <c r="AN14" s="11"/>
      <c r="AO14" s="11"/>
      <c r="AP14" s="113" t="str">
        <f t="shared" si="8"/>
        <v/>
      </c>
      <c r="AQ14" s="16"/>
      <c r="AR14" s="112" t="str">
        <f t="shared" si="9"/>
        <v/>
      </c>
      <c r="AS14" s="114"/>
      <c r="AT14" s="12"/>
      <c r="AU14" s="10"/>
      <c r="AV14" s="10"/>
      <c r="AW14" s="10"/>
      <c r="AX14" s="113" t="str">
        <f t="shared" si="10"/>
        <v/>
      </c>
      <c r="AY14" s="11"/>
      <c r="AZ14" s="11"/>
      <c r="BA14" s="11"/>
      <c r="BB14" s="11"/>
      <c r="BC14" s="113" t="str">
        <f t="shared" si="11"/>
        <v/>
      </c>
      <c r="BD14" s="16"/>
      <c r="BE14" s="112" t="str">
        <f t="shared" si="12"/>
        <v/>
      </c>
      <c r="BG14" s="101"/>
    </row>
    <row r="15" spans="1:59" s="102" customFormat="1" ht="14.1" customHeight="1" x14ac:dyDescent="0.2">
      <c r="A15" s="101"/>
      <c r="C15" s="115">
        <f t="shared" si="0"/>
        <v>8</v>
      </c>
      <c r="D15" s="8" t="s">
        <v>127</v>
      </c>
      <c r="E15" s="99"/>
      <c r="F15" s="24" t="s">
        <v>152</v>
      </c>
      <c r="G15" s="10">
        <v>90</v>
      </c>
      <c r="H15" s="10">
        <v>90</v>
      </c>
      <c r="I15" s="10">
        <v>47</v>
      </c>
      <c r="J15" s="10"/>
      <c r="K15" s="113">
        <f t="shared" si="1"/>
        <v>227</v>
      </c>
      <c r="L15" s="11">
        <v>90</v>
      </c>
      <c r="M15" s="11">
        <v>90</v>
      </c>
      <c r="N15" s="11">
        <v>90</v>
      </c>
      <c r="O15" s="11"/>
      <c r="P15" s="113">
        <f t="shared" si="2"/>
        <v>270</v>
      </c>
      <c r="Q15" s="16">
        <v>68</v>
      </c>
      <c r="R15" s="112">
        <f t="shared" si="3"/>
        <v>97.142857142857139</v>
      </c>
      <c r="S15" s="114"/>
      <c r="T15" s="12">
        <v>50</v>
      </c>
      <c r="U15" s="10">
        <v>50</v>
      </c>
      <c r="V15" s="10"/>
      <c r="W15" s="10"/>
      <c r="X15" s="113">
        <f t="shared" si="4"/>
        <v>100</v>
      </c>
      <c r="Y15" s="11">
        <v>10</v>
      </c>
      <c r="Z15" s="11">
        <v>15</v>
      </c>
      <c r="AA15" s="11">
        <v>23</v>
      </c>
      <c r="AB15" s="11"/>
      <c r="AC15" s="113">
        <f t="shared" si="5"/>
        <v>48</v>
      </c>
      <c r="AD15" s="16">
        <v>62</v>
      </c>
      <c r="AE15" s="112">
        <f t="shared" si="6"/>
        <v>88.571428571428569</v>
      </c>
      <c r="AF15" s="114"/>
      <c r="AG15" s="12"/>
      <c r="AH15" s="10"/>
      <c r="AI15" s="10"/>
      <c r="AJ15" s="10"/>
      <c r="AK15" s="113" t="str">
        <f t="shared" si="7"/>
        <v/>
      </c>
      <c r="AL15" s="11"/>
      <c r="AM15" s="11"/>
      <c r="AN15" s="11"/>
      <c r="AO15" s="11"/>
      <c r="AP15" s="113" t="str">
        <f t="shared" si="8"/>
        <v/>
      </c>
      <c r="AQ15" s="16"/>
      <c r="AR15" s="112" t="str">
        <f t="shared" si="9"/>
        <v/>
      </c>
      <c r="AS15" s="114"/>
      <c r="AT15" s="12"/>
      <c r="AU15" s="10"/>
      <c r="AV15" s="10"/>
      <c r="AW15" s="10"/>
      <c r="AX15" s="113" t="str">
        <f t="shared" si="10"/>
        <v/>
      </c>
      <c r="AY15" s="11"/>
      <c r="AZ15" s="11"/>
      <c r="BA15" s="11"/>
      <c r="BB15" s="11"/>
      <c r="BC15" s="113" t="str">
        <f t="shared" si="11"/>
        <v/>
      </c>
      <c r="BD15" s="16"/>
      <c r="BE15" s="112" t="str">
        <f t="shared" si="12"/>
        <v/>
      </c>
      <c r="BG15" s="101"/>
    </row>
    <row r="16" spans="1:59" s="102" customFormat="1" ht="14.1" customHeight="1" x14ac:dyDescent="0.2">
      <c r="A16" s="101"/>
      <c r="C16" s="115">
        <f t="shared" si="0"/>
        <v>9</v>
      </c>
      <c r="D16" s="8" t="s">
        <v>128</v>
      </c>
      <c r="E16" s="99"/>
      <c r="F16" s="24" t="s">
        <v>153</v>
      </c>
      <c r="G16" s="10">
        <v>95</v>
      </c>
      <c r="H16" s="10">
        <v>95</v>
      </c>
      <c r="I16" s="10">
        <v>47</v>
      </c>
      <c r="J16" s="10"/>
      <c r="K16" s="113">
        <f t="shared" si="1"/>
        <v>237</v>
      </c>
      <c r="L16" s="11">
        <v>92</v>
      </c>
      <c r="M16" s="11">
        <v>92</v>
      </c>
      <c r="N16" s="11">
        <v>92</v>
      </c>
      <c r="O16" s="11"/>
      <c r="P16" s="113">
        <f t="shared" si="2"/>
        <v>276</v>
      </c>
      <c r="Q16" s="16">
        <v>62</v>
      </c>
      <c r="R16" s="112">
        <f t="shared" si="3"/>
        <v>88.571428571428569</v>
      </c>
      <c r="S16" s="114"/>
      <c r="T16" s="12">
        <v>45</v>
      </c>
      <c r="U16" s="10">
        <v>50</v>
      </c>
      <c r="V16" s="10"/>
      <c r="W16" s="10"/>
      <c r="X16" s="113">
        <f t="shared" si="4"/>
        <v>95</v>
      </c>
      <c r="Y16" s="11">
        <v>9</v>
      </c>
      <c r="Z16" s="11">
        <v>14</v>
      </c>
      <c r="AA16" s="11">
        <v>24</v>
      </c>
      <c r="AB16" s="11"/>
      <c r="AC16" s="113">
        <f t="shared" si="5"/>
        <v>47</v>
      </c>
      <c r="AD16" s="16">
        <v>66</v>
      </c>
      <c r="AE16" s="112">
        <f t="shared" si="6"/>
        <v>94.285714285714278</v>
      </c>
      <c r="AF16" s="114"/>
      <c r="AG16" s="12"/>
      <c r="AH16" s="10"/>
      <c r="AI16" s="10"/>
      <c r="AJ16" s="10"/>
      <c r="AK16" s="113" t="str">
        <f t="shared" si="7"/>
        <v/>
      </c>
      <c r="AL16" s="11"/>
      <c r="AM16" s="11"/>
      <c r="AN16" s="11"/>
      <c r="AO16" s="11"/>
      <c r="AP16" s="113" t="str">
        <f t="shared" si="8"/>
        <v/>
      </c>
      <c r="AQ16" s="16"/>
      <c r="AR16" s="112" t="str">
        <f t="shared" si="9"/>
        <v/>
      </c>
      <c r="AS16" s="114"/>
      <c r="AT16" s="12"/>
      <c r="AU16" s="10"/>
      <c r="AV16" s="10"/>
      <c r="AW16" s="10"/>
      <c r="AX16" s="113" t="str">
        <f t="shared" si="10"/>
        <v/>
      </c>
      <c r="AY16" s="11"/>
      <c r="AZ16" s="11"/>
      <c r="BA16" s="11"/>
      <c r="BB16" s="11"/>
      <c r="BC16" s="113" t="str">
        <f t="shared" si="11"/>
        <v/>
      </c>
      <c r="BD16" s="16"/>
      <c r="BE16" s="112" t="str">
        <f t="shared" si="12"/>
        <v/>
      </c>
      <c r="BG16" s="101"/>
    </row>
    <row r="17" spans="1:59" s="102" customFormat="1" ht="14.1" customHeight="1" x14ac:dyDescent="0.2">
      <c r="A17" s="101"/>
      <c r="C17" s="115">
        <f t="shared" si="0"/>
        <v>10</v>
      </c>
      <c r="D17" s="8" t="s">
        <v>129</v>
      </c>
      <c r="E17" s="99"/>
      <c r="F17" s="24" t="s">
        <v>154</v>
      </c>
      <c r="G17" s="10">
        <v>98</v>
      </c>
      <c r="H17" s="10">
        <v>98</v>
      </c>
      <c r="I17" s="10">
        <v>47</v>
      </c>
      <c r="J17" s="10"/>
      <c r="K17" s="113">
        <f t="shared" si="1"/>
        <v>243</v>
      </c>
      <c r="L17" s="11">
        <v>98</v>
      </c>
      <c r="M17" s="11">
        <v>98</v>
      </c>
      <c r="N17" s="11">
        <v>98</v>
      </c>
      <c r="O17" s="11"/>
      <c r="P17" s="113">
        <f t="shared" si="2"/>
        <v>294</v>
      </c>
      <c r="Q17" s="16">
        <v>58</v>
      </c>
      <c r="R17" s="112">
        <f t="shared" si="3"/>
        <v>82.857142857142861</v>
      </c>
      <c r="S17" s="114"/>
      <c r="T17" s="12">
        <v>0</v>
      </c>
      <c r="U17" s="10">
        <v>50</v>
      </c>
      <c r="V17" s="10"/>
      <c r="W17" s="10"/>
      <c r="X17" s="113">
        <f t="shared" si="4"/>
        <v>50</v>
      </c>
      <c r="Y17" s="11">
        <v>0</v>
      </c>
      <c r="Z17" s="11">
        <v>0</v>
      </c>
      <c r="AA17" s="11">
        <v>19</v>
      </c>
      <c r="AB17" s="11"/>
      <c r="AC17" s="113">
        <f t="shared" si="5"/>
        <v>19</v>
      </c>
      <c r="AD17" s="16">
        <v>32</v>
      </c>
      <c r="AE17" s="112">
        <f t="shared" si="6"/>
        <v>45.714285714285715</v>
      </c>
      <c r="AF17" s="114"/>
      <c r="AG17" s="12"/>
      <c r="AH17" s="10"/>
      <c r="AI17" s="10"/>
      <c r="AJ17" s="10"/>
      <c r="AK17" s="113" t="str">
        <f t="shared" si="7"/>
        <v/>
      </c>
      <c r="AL17" s="11"/>
      <c r="AM17" s="11"/>
      <c r="AN17" s="11"/>
      <c r="AO17" s="11"/>
      <c r="AP17" s="113" t="str">
        <f t="shared" si="8"/>
        <v/>
      </c>
      <c r="AQ17" s="16"/>
      <c r="AR17" s="112" t="str">
        <f t="shared" si="9"/>
        <v/>
      </c>
      <c r="AS17" s="114"/>
      <c r="AT17" s="12"/>
      <c r="AU17" s="10"/>
      <c r="AV17" s="10"/>
      <c r="AW17" s="10"/>
      <c r="AX17" s="113" t="str">
        <f t="shared" si="10"/>
        <v/>
      </c>
      <c r="AY17" s="11"/>
      <c r="AZ17" s="11"/>
      <c r="BA17" s="11"/>
      <c r="BB17" s="11"/>
      <c r="BC17" s="113" t="str">
        <f t="shared" si="11"/>
        <v/>
      </c>
      <c r="BD17" s="16"/>
      <c r="BE17" s="112" t="str">
        <f t="shared" si="12"/>
        <v/>
      </c>
      <c r="BG17" s="101"/>
    </row>
    <row r="18" spans="1:59" s="102" customFormat="1" ht="14.1" customHeight="1" x14ac:dyDescent="0.2">
      <c r="A18" s="101"/>
      <c r="C18" s="115">
        <f t="shared" si="0"/>
        <v>11</v>
      </c>
      <c r="D18" s="8" t="s">
        <v>130</v>
      </c>
      <c r="E18" s="99"/>
      <c r="F18" s="24" t="s">
        <v>155</v>
      </c>
      <c r="G18" s="10">
        <v>95</v>
      </c>
      <c r="H18" s="10">
        <v>95</v>
      </c>
      <c r="I18" s="10">
        <v>47</v>
      </c>
      <c r="J18" s="10"/>
      <c r="K18" s="113">
        <f t="shared" si="1"/>
        <v>237</v>
      </c>
      <c r="L18" s="11">
        <v>98</v>
      </c>
      <c r="M18" s="11">
        <v>98</v>
      </c>
      <c r="N18" s="11">
        <v>98</v>
      </c>
      <c r="O18" s="11"/>
      <c r="P18" s="113">
        <f t="shared" si="2"/>
        <v>294</v>
      </c>
      <c r="Q18" s="16">
        <v>0</v>
      </c>
      <c r="R18" s="112">
        <f t="shared" si="3"/>
        <v>0</v>
      </c>
      <c r="S18" s="114"/>
      <c r="T18" s="12">
        <v>0</v>
      </c>
      <c r="U18" s="10">
        <v>50</v>
      </c>
      <c r="V18" s="10"/>
      <c r="W18" s="10"/>
      <c r="X18" s="113">
        <f t="shared" si="4"/>
        <v>50</v>
      </c>
      <c r="Y18" s="11">
        <v>0</v>
      </c>
      <c r="Z18" s="11">
        <v>0</v>
      </c>
      <c r="AA18" s="11">
        <v>14</v>
      </c>
      <c r="AB18" s="11"/>
      <c r="AC18" s="113">
        <f t="shared" si="5"/>
        <v>14</v>
      </c>
      <c r="AD18" s="16"/>
      <c r="AE18" s="112" t="str">
        <f t="shared" si="6"/>
        <v/>
      </c>
      <c r="AF18" s="114"/>
      <c r="AG18" s="12"/>
      <c r="AH18" s="10"/>
      <c r="AI18" s="10"/>
      <c r="AJ18" s="10"/>
      <c r="AK18" s="113" t="str">
        <f t="shared" si="7"/>
        <v/>
      </c>
      <c r="AL18" s="11"/>
      <c r="AM18" s="11"/>
      <c r="AN18" s="11"/>
      <c r="AO18" s="11"/>
      <c r="AP18" s="113" t="str">
        <f t="shared" si="8"/>
        <v/>
      </c>
      <c r="AQ18" s="16"/>
      <c r="AR18" s="112" t="str">
        <f t="shared" si="9"/>
        <v/>
      </c>
      <c r="AS18" s="114"/>
      <c r="AT18" s="12"/>
      <c r="AU18" s="10"/>
      <c r="AV18" s="10"/>
      <c r="AW18" s="10"/>
      <c r="AX18" s="113" t="str">
        <f t="shared" si="10"/>
        <v/>
      </c>
      <c r="AY18" s="11"/>
      <c r="AZ18" s="11"/>
      <c r="BA18" s="11"/>
      <c r="BB18" s="11"/>
      <c r="BC18" s="113" t="str">
        <f t="shared" si="11"/>
        <v/>
      </c>
      <c r="BD18" s="16"/>
      <c r="BE18" s="112" t="str">
        <f t="shared" si="12"/>
        <v/>
      </c>
      <c r="BG18" s="101"/>
    </row>
    <row r="19" spans="1:59" s="102" customFormat="1" ht="14.1" customHeight="1" x14ac:dyDescent="0.2">
      <c r="A19" s="101"/>
      <c r="C19" s="115">
        <f t="shared" si="0"/>
        <v>12</v>
      </c>
      <c r="D19" s="8" t="s">
        <v>131</v>
      </c>
      <c r="E19" s="99"/>
      <c r="F19" s="24" t="s">
        <v>156</v>
      </c>
      <c r="G19" s="10">
        <v>100</v>
      </c>
      <c r="H19" s="10">
        <v>100</v>
      </c>
      <c r="I19" s="10">
        <v>48</v>
      </c>
      <c r="J19" s="10"/>
      <c r="K19" s="113">
        <f t="shared" si="1"/>
        <v>248</v>
      </c>
      <c r="L19" s="11">
        <v>100</v>
      </c>
      <c r="M19" s="11">
        <v>100</v>
      </c>
      <c r="N19" s="11">
        <v>100</v>
      </c>
      <c r="O19" s="11"/>
      <c r="P19" s="113">
        <f t="shared" si="2"/>
        <v>300</v>
      </c>
      <c r="Q19" s="16">
        <v>18</v>
      </c>
      <c r="R19" s="112">
        <f t="shared" si="3"/>
        <v>25.714285714285712</v>
      </c>
      <c r="S19" s="114"/>
      <c r="T19" s="12">
        <v>0</v>
      </c>
      <c r="U19" s="10">
        <v>50</v>
      </c>
      <c r="V19" s="10"/>
      <c r="W19" s="10"/>
      <c r="X19" s="113">
        <f t="shared" si="4"/>
        <v>50</v>
      </c>
      <c r="Y19" s="11">
        <v>0</v>
      </c>
      <c r="Z19" s="11">
        <v>0</v>
      </c>
      <c r="AA19" s="11">
        <v>14</v>
      </c>
      <c r="AB19" s="11"/>
      <c r="AC19" s="113">
        <f t="shared" si="5"/>
        <v>14</v>
      </c>
      <c r="AD19" s="16">
        <v>20</v>
      </c>
      <c r="AE19" s="112">
        <f t="shared" si="6"/>
        <v>28.571428571428569</v>
      </c>
      <c r="AF19" s="114"/>
      <c r="AG19" s="12"/>
      <c r="AH19" s="10"/>
      <c r="AI19" s="10"/>
      <c r="AJ19" s="10"/>
      <c r="AK19" s="113" t="str">
        <f t="shared" si="7"/>
        <v/>
      </c>
      <c r="AL19" s="11"/>
      <c r="AM19" s="11"/>
      <c r="AN19" s="11"/>
      <c r="AO19" s="11"/>
      <c r="AP19" s="113" t="str">
        <f t="shared" si="8"/>
        <v/>
      </c>
      <c r="AQ19" s="16"/>
      <c r="AR19" s="112" t="str">
        <f t="shared" si="9"/>
        <v/>
      </c>
      <c r="AS19" s="114"/>
      <c r="AT19" s="12"/>
      <c r="AU19" s="10"/>
      <c r="AV19" s="10"/>
      <c r="AW19" s="10"/>
      <c r="AX19" s="113" t="str">
        <f t="shared" si="10"/>
        <v/>
      </c>
      <c r="AY19" s="11"/>
      <c r="AZ19" s="11"/>
      <c r="BA19" s="11"/>
      <c r="BB19" s="11"/>
      <c r="BC19" s="113" t="str">
        <f t="shared" si="11"/>
        <v/>
      </c>
      <c r="BD19" s="16"/>
      <c r="BE19" s="112" t="str">
        <f t="shared" si="12"/>
        <v/>
      </c>
      <c r="BG19" s="101"/>
    </row>
    <row r="20" spans="1:59" s="102" customFormat="1" ht="14.1" customHeight="1" x14ac:dyDescent="0.2">
      <c r="A20" s="101"/>
      <c r="C20" s="115">
        <f t="shared" si="0"/>
        <v>13</v>
      </c>
      <c r="D20" s="8" t="s">
        <v>132</v>
      </c>
      <c r="E20" s="99"/>
      <c r="F20" s="24" t="s">
        <v>157</v>
      </c>
      <c r="G20" s="10">
        <v>100</v>
      </c>
      <c r="H20" s="10">
        <v>100</v>
      </c>
      <c r="I20" s="10">
        <v>48</v>
      </c>
      <c r="J20" s="10"/>
      <c r="K20" s="113">
        <f t="shared" si="1"/>
        <v>248</v>
      </c>
      <c r="L20" s="11">
        <v>100</v>
      </c>
      <c r="M20" s="11">
        <v>100</v>
      </c>
      <c r="N20" s="11">
        <v>100</v>
      </c>
      <c r="O20" s="11"/>
      <c r="P20" s="113">
        <f t="shared" si="2"/>
        <v>300</v>
      </c>
      <c r="Q20" s="16">
        <v>44</v>
      </c>
      <c r="R20" s="112">
        <f t="shared" si="3"/>
        <v>62.857142857142854</v>
      </c>
      <c r="S20" s="114"/>
      <c r="T20" s="12">
        <v>48</v>
      </c>
      <c r="U20" s="10">
        <v>50</v>
      </c>
      <c r="V20" s="10"/>
      <c r="W20" s="10"/>
      <c r="X20" s="113">
        <f t="shared" si="4"/>
        <v>98</v>
      </c>
      <c r="Y20" s="11">
        <v>10</v>
      </c>
      <c r="Z20" s="11">
        <v>0</v>
      </c>
      <c r="AA20" s="11">
        <v>14</v>
      </c>
      <c r="AB20" s="11"/>
      <c r="AC20" s="113">
        <f t="shared" si="5"/>
        <v>24</v>
      </c>
      <c r="AD20" s="16">
        <v>38</v>
      </c>
      <c r="AE20" s="112">
        <f t="shared" si="6"/>
        <v>54.285714285714285</v>
      </c>
      <c r="AF20" s="114"/>
      <c r="AG20" s="12"/>
      <c r="AH20" s="10"/>
      <c r="AI20" s="10"/>
      <c r="AJ20" s="10"/>
      <c r="AK20" s="113" t="str">
        <f t="shared" si="7"/>
        <v/>
      </c>
      <c r="AL20" s="11"/>
      <c r="AM20" s="11"/>
      <c r="AN20" s="11"/>
      <c r="AO20" s="11"/>
      <c r="AP20" s="113" t="str">
        <f t="shared" si="8"/>
        <v/>
      </c>
      <c r="AQ20" s="16"/>
      <c r="AR20" s="112" t="str">
        <f t="shared" si="9"/>
        <v/>
      </c>
      <c r="AS20" s="114"/>
      <c r="AT20" s="12"/>
      <c r="AU20" s="10"/>
      <c r="AV20" s="10"/>
      <c r="AW20" s="10"/>
      <c r="AX20" s="113" t="str">
        <f t="shared" si="10"/>
        <v/>
      </c>
      <c r="AY20" s="11"/>
      <c r="AZ20" s="11"/>
      <c r="BA20" s="11"/>
      <c r="BB20" s="11"/>
      <c r="BC20" s="113" t="str">
        <f t="shared" si="11"/>
        <v/>
      </c>
      <c r="BD20" s="16"/>
      <c r="BE20" s="112" t="str">
        <f t="shared" si="12"/>
        <v/>
      </c>
      <c r="BG20" s="101"/>
    </row>
    <row r="21" spans="1:59" s="102" customFormat="1" ht="14.1" customHeight="1" x14ac:dyDescent="0.2">
      <c r="A21" s="101"/>
      <c r="C21" s="115">
        <f t="shared" si="0"/>
        <v>14</v>
      </c>
      <c r="D21" s="8" t="s">
        <v>133</v>
      </c>
      <c r="E21" s="99"/>
      <c r="F21" s="24" t="s">
        <v>158</v>
      </c>
      <c r="G21" s="10">
        <v>95</v>
      </c>
      <c r="H21" s="10">
        <v>95</v>
      </c>
      <c r="I21" s="10">
        <v>47</v>
      </c>
      <c r="J21" s="10"/>
      <c r="K21" s="113">
        <f t="shared" si="1"/>
        <v>237</v>
      </c>
      <c r="L21" s="11">
        <v>95</v>
      </c>
      <c r="M21" s="11">
        <v>95</v>
      </c>
      <c r="N21" s="11">
        <v>95</v>
      </c>
      <c r="O21" s="11"/>
      <c r="P21" s="113">
        <f t="shared" si="2"/>
        <v>285</v>
      </c>
      <c r="Q21" s="16">
        <v>0</v>
      </c>
      <c r="R21" s="112">
        <f t="shared" si="3"/>
        <v>0</v>
      </c>
      <c r="S21" s="114"/>
      <c r="T21" s="12"/>
      <c r="U21" s="10">
        <v>50</v>
      </c>
      <c r="V21" s="10"/>
      <c r="W21" s="10"/>
      <c r="X21" s="113">
        <f t="shared" si="4"/>
        <v>50</v>
      </c>
      <c r="Y21" s="11">
        <v>7</v>
      </c>
      <c r="Z21" s="11">
        <v>5</v>
      </c>
      <c r="AA21" s="11">
        <v>10</v>
      </c>
      <c r="AB21" s="11"/>
      <c r="AC21" s="113">
        <f t="shared" si="5"/>
        <v>22</v>
      </c>
      <c r="AD21" s="16"/>
      <c r="AE21" s="112" t="str">
        <f t="shared" si="6"/>
        <v/>
      </c>
      <c r="AF21" s="114"/>
      <c r="AG21" s="12"/>
      <c r="AH21" s="10"/>
      <c r="AI21" s="10"/>
      <c r="AJ21" s="10"/>
      <c r="AK21" s="113" t="str">
        <f t="shared" si="7"/>
        <v/>
      </c>
      <c r="AL21" s="11"/>
      <c r="AM21" s="11"/>
      <c r="AN21" s="11"/>
      <c r="AO21" s="11"/>
      <c r="AP21" s="113" t="str">
        <f t="shared" si="8"/>
        <v/>
      </c>
      <c r="AQ21" s="16"/>
      <c r="AR21" s="112" t="str">
        <f t="shared" si="9"/>
        <v/>
      </c>
      <c r="AS21" s="114"/>
      <c r="AT21" s="12"/>
      <c r="AU21" s="10"/>
      <c r="AV21" s="10"/>
      <c r="AW21" s="10"/>
      <c r="AX21" s="113" t="str">
        <f t="shared" si="10"/>
        <v/>
      </c>
      <c r="AY21" s="11"/>
      <c r="AZ21" s="11"/>
      <c r="BA21" s="11"/>
      <c r="BB21" s="11"/>
      <c r="BC21" s="113" t="str">
        <f t="shared" si="11"/>
        <v/>
      </c>
      <c r="BD21" s="16"/>
      <c r="BE21" s="112" t="str">
        <f t="shared" si="12"/>
        <v/>
      </c>
      <c r="BG21" s="101"/>
    </row>
    <row r="22" spans="1:59" s="102" customFormat="1" ht="14.1" customHeight="1" x14ac:dyDescent="0.2">
      <c r="A22" s="101"/>
      <c r="C22" s="115">
        <f t="shared" si="0"/>
        <v>15</v>
      </c>
      <c r="D22" s="8" t="s">
        <v>134</v>
      </c>
      <c r="E22" s="99"/>
      <c r="F22" s="24" t="s">
        <v>159</v>
      </c>
      <c r="G22" s="10">
        <v>100</v>
      </c>
      <c r="H22" s="10">
        <v>100</v>
      </c>
      <c r="I22" s="10">
        <v>48</v>
      </c>
      <c r="J22" s="10"/>
      <c r="K22" s="113">
        <f t="shared" si="1"/>
        <v>248</v>
      </c>
      <c r="L22" s="11">
        <v>100</v>
      </c>
      <c r="M22" s="11">
        <v>100</v>
      </c>
      <c r="N22" s="11">
        <v>100</v>
      </c>
      <c r="O22" s="11"/>
      <c r="P22" s="113">
        <f t="shared" si="2"/>
        <v>300</v>
      </c>
      <c r="Q22" s="16">
        <v>48</v>
      </c>
      <c r="R22" s="112">
        <f t="shared" si="3"/>
        <v>68.571428571428569</v>
      </c>
      <c r="S22" s="114"/>
      <c r="T22" s="12">
        <v>0</v>
      </c>
      <c r="U22" s="10">
        <v>50</v>
      </c>
      <c r="V22" s="10"/>
      <c r="W22" s="10"/>
      <c r="X22" s="113">
        <f t="shared" si="4"/>
        <v>50</v>
      </c>
      <c r="Y22" s="11">
        <v>0</v>
      </c>
      <c r="Z22" s="11">
        <v>0</v>
      </c>
      <c r="AA22" s="11">
        <v>28</v>
      </c>
      <c r="AB22" s="11"/>
      <c r="AC22" s="113">
        <f t="shared" si="5"/>
        <v>28</v>
      </c>
      <c r="AD22" s="16">
        <v>64</v>
      </c>
      <c r="AE22" s="112">
        <f t="shared" si="6"/>
        <v>91.428571428571431</v>
      </c>
      <c r="AF22" s="114"/>
      <c r="AG22" s="12"/>
      <c r="AH22" s="10"/>
      <c r="AI22" s="10"/>
      <c r="AJ22" s="10"/>
      <c r="AK22" s="113" t="str">
        <f t="shared" si="7"/>
        <v/>
      </c>
      <c r="AL22" s="11"/>
      <c r="AM22" s="11"/>
      <c r="AN22" s="11"/>
      <c r="AO22" s="11"/>
      <c r="AP22" s="113" t="str">
        <f t="shared" si="8"/>
        <v/>
      </c>
      <c r="AQ22" s="16"/>
      <c r="AR22" s="112" t="str">
        <f t="shared" si="9"/>
        <v/>
      </c>
      <c r="AS22" s="114"/>
      <c r="AT22" s="12"/>
      <c r="AU22" s="10"/>
      <c r="AV22" s="10"/>
      <c r="AW22" s="10"/>
      <c r="AX22" s="113" t="str">
        <f t="shared" si="10"/>
        <v/>
      </c>
      <c r="AY22" s="11"/>
      <c r="AZ22" s="11"/>
      <c r="BA22" s="11"/>
      <c r="BB22" s="11"/>
      <c r="BC22" s="113" t="str">
        <f t="shared" si="11"/>
        <v/>
      </c>
      <c r="BD22" s="16"/>
      <c r="BE22" s="112" t="str">
        <f t="shared" si="12"/>
        <v/>
      </c>
      <c r="BG22" s="101"/>
    </row>
    <row r="23" spans="1:59" s="102" customFormat="1" ht="14.1" customHeight="1" x14ac:dyDescent="0.2">
      <c r="A23" s="101"/>
      <c r="C23" s="115">
        <f t="shared" si="0"/>
        <v>16</v>
      </c>
      <c r="D23" s="8" t="s">
        <v>135</v>
      </c>
      <c r="E23" s="99"/>
      <c r="F23" s="24" t="s">
        <v>160</v>
      </c>
      <c r="G23" s="10">
        <v>98</v>
      </c>
      <c r="H23" s="10">
        <v>98</v>
      </c>
      <c r="I23" s="10">
        <v>47</v>
      </c>
      <c r="J23" s="10"/>
      <c r="K23" s="113">
        <f t="shared" si="1"/>
        <v>243</v>
      </c>
      <c r="L23" s="11">
        <v>98</v>
      </c>
      <c r="M23" s="11">
        <v>98</v>
      </c>
      <c r="N23" s="11">
        <v>98</v>
      </c>
      <c r="O23" s="11"/>
      <c r="P23" s="113">
        <f t="shared" si="2"/>
        <v>294</v>
      </c>
      <c r="Q23" s="16">
        <v>54</v>
      </c>
      <c r="R23" s="112">
        <f t="shared" si="3"/>
        <v>77.142857142857153</v>
      </c>
      <c r="S23" s="114"/>
      <c r="T23" s="12">
        <v>0</v>
      </c>
      <c r="U23" s="10">
        <v>50</v>
      </c>
      <c r="V23" s="10"/>
      <c r="W23" s="10"/>
      <c r="X23" s="113">
        <f t="shared" si="4"/>
        <v>50</v>
      </c>
      <c r="Y23" s="11">
        <v>6</v>
      </c>
      <c r="Z23" s="11">
        <v>0</v>
      </c>
      <c r="AA23" s="11">
        <v>21</v>
      </c>
      <c r="AB23" s="11"/>
      <c r="AC23" s="113">
        <f t="shared" si="5"/>
        <v>27</v>
      </c>
      <c r="AD23" s="16"/>
      <c r="AE23" s="112" t="str">
        <f t="shared" si="6"/>
        <v/>
      </c>
      <c r="AF23" s="114"/>
      <c r="AG23" s="12"/>
      <c r="AH23" s="10"/>
      <c r="AI23" s="10"/>
      <c r="AJ23" s="10"/>
      <c r="AK23" s="113" t="str">
        <f t="shared" si="7"/>
        <v/>
      </c>
      <c r="AL23" s="11"/>
      <c r="AM23" s="11"/>
      <c r="AN23" s="11"/>
      <c r="AO23" s="11"/>
      <c r="AP23" s="113" t="str">
        <f t="shared" si="8"/>
        <v/>
      </c>
      <c r="AQ23" s="16"/>
      <c r="AR23" s="112" t="str">
        <f t="shared" si="9"/>
        <v/>
      </c>
      <c r="AS23" s="114"/>
      <c r="AT23" s="12"/>
      <c r="AU23" s="10"/>
      <c r="AV23" s="10"/>
      <c r="AW23" s="10"/>
      <c r="AX23" s="113" t="str">
        <f t="shared" si="10"/>
        <v/>
      </c>
      <c r="AY23" s="11"/>
      <c r="AZ23" s="11"/>
      <c r="BA23" s="11"/>
      <c r="BB23" s="11"/>
      <c r="BC23" s="113" t="str">
        <f t="shared" si="11"/>
        <v/>
      </c>
      <c r="BD23" s="16"/>
      <c r="BE23" s="112" t="str">
        <f t="shared" si="12"/>
        <v/>
      </c>
      <c r="BG23" s="101"/>
    </row>
    <row r="24" spans="1:59" s="102" customFormat="1" ht="14.1" customHeight="1" x14ac:dyDescent="0.2">
      <c r="A24" s="101"/>
      <c r="C24" s="115">
        <f t="shared" si="0"/>
        <v>17</v>
      </c>
      <c r="D24" s="8" t="s">
        <v>136</v>
      </c>
      <c r="E24" s="99"/>
      <c r="F24" s="24" t="s">
        <v>161</v>
      </c>
      <c r="G24" s="10">
        <v>98</v>
      </c>
      <c r="H24" s="10">
        <v>98</v>
      </c>
      <c r="I24" s="10">
        <v>47</v>
      </c>
      <c r="J24" s="10"/>
      <c r="K24" s="113">
        <f t="shared" si="1"/>
        <v>243</v>
      </c>
      <c r="L24" s="11">
        <v>98</v>
      </c>
      <c r="M24" s="11">
        <v>98</v>
      </c>
      <c r="N24" s="11">
        <v>98</v>
      </c>
      <c r="O24" s="11"/>
      <c r="P24" s="113">
        <f t="shared" si="2"/>
        <v>294</v>
      </c>
      <c r="Q24" s="16">
        <v>0</v>
      </c>
      <c r="R24" s="112">
        <f t="shared" si="3"/>
        <v>0</v>
      </c>
      <c r="S24" s="114"/>
      <c r="T24" s="12">
        <v>48</v>
      </c>
      <c r="U24" s="10">
        <v>50</v>
      </c>
      <c r="V24" s="10"/>
      <c r="W24" s="10"/>
      <c r="X24" s="113">
        <f t="shared" si="4"/>
        <v>98</v>
      </c>
      <c r="Y24" s="11">
        <v>4</v>
      </c>
      <c r="Z24" s="11">
        <v>13</v>
      </c>
      <c r="AA24" s="11">
        <v>14</v>
      </c>
      <c r="AB24" s="11"/>
      <c r="AC24" s="113">
        <f t="shared" si="5"/>
        <v>31</v>
      </c>
      <c r="AD24" s="16">
        <v>38</v>
      </c>
      <c r="AE24" s="112">
        <f t="shared" si="6"/>
        <v>54.285714285714285</v>
      </c>
      <c r="AF24" s="114"/>
      <c r="AG24" s="12"/>
      <c r="AH24" s="10"/>
      <c r="AI24" s="10"/>
      <c r="AJ24" s="10"/>
      <c r="AK24" s="113" t="str">
        <f t="shared" si="7"/>
        <v/>
      </c>
      <c r="AL24" s="11"/>
      <c r="AM24" s="11"/>
      <c r="AN24" s="11"/>
      <c r="AO24" s="11"/>
      <c r="AP24" s="113" t="str">
        <f t="shared" si="8"/>
        <v/>
      </c>
      <c r="AQ24" s="16"/>
      <c r="AR24" s="112" t="str">
        <f t="shared" si="9"/>
        <v/>
      </c>
      <c r="AS24" s="114"/>
      <c r="AT24" s="12"/>
      <c r="AU24" s="10"/>
      <c r="AV24" s="10"/>
      <c r="AW24" s="10"/>
      <c r="AX24" s="113" t="str">
        <f t="shared" si="10"/>
        <v/>
      </c>
      <c r="AY24" s="11"/>
      <c r="AZ24" s="11"/>
      <c r="BA24" s="11"/>
      <c r="BB24" s="11"/>
      <c r="BC24" s="113" t="str">
        <f t="shared" si="11"/>
        <v/>
      </c>
      <c r="BD24" s="16"/>
      <c r="BE24" s="112" t="str">
        <f t="shared" si="12"/>
        <v/>
      </c>
      <c r="BG24" s="101"/>
    </row>
    <row r="25" spans="1:59" s="102" customFormat="1" ht="14.1" customHeight="1" x14ac:dyDescent="0.2">
      <c r="A25" s="101"/>
      <c r="C25" s="115">
        <f t="shared" si="0"/>
        <v>18</v>
      </c>
      <c r="D25" s="8" t="s">
        <v>137</v>
      </c>
      <c r="E25" s="99"/>
      <c r="F25" s="24" t="s">
        <v>162</v>
      </c>
      <c r="G25" s="10">
        <v>90</v>
      </c>
      <c r="H25" s="10">
        <v>90</v>
      </c>
      <c r="I25" s="10">
        <v>47</v>
      </c>
      <c r="J25" s="10"/>
      <c r="K25" s="113">
        <f t="shared" si="1"/>
        <v>227</v>
      </c>
      <c r="L25" s="11">
        <v>90</v>
      </c>
      <c r="M25" s="11">
        <v>90</v>
      </c>
      <c r="N25" s="11">
        <v>90</v>
      </c>
      <c r="O25" s="11"/>
      <c r="P25" s="113">
        <f t="shared" si="2"/>
        <v>270</v>
      </c>
      <c r="Q25" s="16">
        <v>0</v>
      </c>
      <c r="R25" s="112">
        <f t="shared" si="3"/>
        <v>0</v>
      </c>
      <c r="S25" s="114"/>
      <c r="T25" s="12">
        <v>0</v>
      </c>
      <c r="U25" s="10">
        <v>50</v>
      </c>
      <c r="V25" s="10"/>
      <c r="W25" s="10"/>
      <c r="X25" s="113">
        <f t="shared" si="4"/>
        <v>50</v>
      </c>
      <c r="Y25" s="11">
        <v>0</v>
      </c>
      <c r="Z25" s="11">
        <v>0</v>
      </c>
      <c r="AA25" s="11"/>
      <c r="AB25" s="11"/>
      <c r="AC25" s="113">
        <f t="shared" si="5"/>
        <v>0</v>
      </c>
      <c r="AD25" s="16"/>
      <c r="AE25" s="112" t="str">
        <f t="shared" si="6"/>
        <v/>
      </c>
      <c r="AF25" s="114"/>
      <c r="AG25" s="12"/>
      <c r="AH25" s="10"/>
      <c r="AI25" s="10"/>
      <c r="AJ25" s="10"/>
      <c r="AK25" s="113" t="str">
        <f t="shared" si="7"/>
        <v/>
      </c>
      <c r="AL25" s="11"/>
      <c r="AM25" s="11"/>
      <c r="AN25" s="11"/>
      <c r="AO25" s="11"/>
      <c r="AP25" s="113" t="str">
        <f t="shared" si="8"/>
        <v/>
      </c>
      <c r="AQ25" s="16"/>
      <c r="AR25" s="112" t="str">
        <f t="shared" si="9"/>
        <v/>
      </c>
      <c r="AS25" s="114"/>
      <c r="AT25" s="12"/>
      <c r="AU25" s="10"/>
      <c r="AV25" s="10"/>
      <c r="AW25" s="10"/>
      <c r="AX25" s="113" t="str">
        <f t="shared" si="10"/>
        <v/>
      </c>
      <c r="AY25" s="11"/>
      <c r="AZ25" s="11"/>
      <c r="BA25" s="11"/>
      <c r="BB25" s="11"/>
      <c r="BC25" s="113" t="str">
        <f t="shared" si="11"/>
        <v/>
      </c>
      <c r="BD25" s="16"/>
      <c r="BE25" s="112" t="str">
        <f t="shared" si="12"/>
        <v/>
      </c>
      <c r="BG25" s="101"/>
    </row>
    <row r="26" spans="1:59" s="102" customFormat="1" ht="14.1" customHeight="1" x14ac:dyDescent="0.2">
      <c r="A26" s="101"/>
      <c r="C26" s="115">
        <f t="shared" si="0"/>
        <v>19</v>
      </c>
      <c r="D26" s="8" t="s">
        <v>138</v>
      </c>
      <c r="E26" s="99"/>
      <c r="F26" s="24" t="s">
        <v>163</v>
      </c>
      <c r="G26" s="10">
        <v>93</v>
      </c>
      <c r="H26" s="10">
        <v>93</v>
      </c>
      <c r="I26" s="10">
        <v>47</v>
      </c>
      <c r="J26" s="10"/>
      <c r="K26" s="113">
        <f t="shared" si="1"/>
        <v>233</v>
      </c>
      <c r="L26" s="11">
        <v>93</v>
      </c>
      <c r="M26" s="11">
        <v>93</v>
      </c>
      <c r="N26" s="11">
        <v>93</v>
      </c>
      <c r="O26" s="11"/>
      <c r="P26" s="113">
        <f t="shared" si="2"/>
        <v>279</v>
      </c>
      <c r="Q26" s="16">
        <v>66</v>
      </c>
      <c r="R26" s="112">
        <f t="shared" si="3"/>
        <v>94.285714285714278</v>
      </c>
      <c r="S26" s="114"/>
      <c r="T26" s="12">
        <v>50</v>
      </c>
      <c r="U26" s="10">
        <v>50</v>
      </c>
      <c r="V26" s="10"/>
      <c r="W26" s="10"/>
      <c r="X26" s="113">
        <f t="shared" si="4"/>
        <v>100</v>
      </c>
      <c r="Y26" s="11">
        <v>3</v>
      </c>
      <c r="Z26" s="11">
        <v>13</v>
      </c>
      <c r="AA26" s="11">
        <v>23</v>
      </c>
      <c r="AB26" s="11"/>
      <c r="AC26" s="113">
        <f t="shared" si="5"/>
        <v>39</v>
      </c>
      <c r="AD26" s="16">
        <v>58</v>
      </c>
      <c r="AE26" s="112">
        <f t="shared" si="6"/>
        <v>82.857142857142861</v>
      </c>
      <c r="AF26" s="114"/>
      <c r="AG26" s="12"/>
      <c r="AH26" s="10"/>
      <c r="AI26" s="10"/>
      <c r="AJ26" s="10"/>
      <c r="AK26" s="113" t="str">
        <f t="shared" si="7"/>
        <v/>
      </c>
      <c r="AL26" s="11"/>
      <c r="AM26" s="11"/>
      <c r="AN26" s="11"/>
      <c r="AO26" s="11"/>
      <c r="AP26" s="113" t="str">
        <f t="shared" si="8"/>
        <v/>
      </c>
      <c r="AQ26" s="16"/>
      <c r="AR26" s="112" t="str">
        <f t="shared" si="9"/>
        <v/>
      </c>
      <c r="AS26" s="114"/>
      <c r="AT26" s="12"/>
      <c r="AU26" s="10"/>
      <c r="AV26" s="10"/>
      <c r="AW26" s="10"/>
      <c r="AX26" s="113" t="str">
        <f t="shared" si="10"/>
        <v/>
      </c>
      <c r="AY26" s="11"/>
      <c r="AZ26" s="11"/>
      <c r="BA26" s="11"/>
      <c r="BB26" s="11"/>
      <c r="BC26" s="113" t="str">
        <f t="shared" si="11"/>
        <v/>
      </c>
      <c r="BD26" s="16"/>
      <c r="BE26" s="112" t="str">
        <f t="shared" si="12"/>
        <v/>
      </c>
      <c r="BG26" s="101"/>
    </row>
    <row r="27" spans="1:59" s="102" customFormat="1" ht="14.1" customHeight="1" x14ac:dyDescent="0.2">
      <c r="A27" s="101"/>
      <c r="C27" s="115">
        <f t="shared" si="0"/>
        <v>20</v>
      </c>
      <c r="D27" s="8" t="s">
        <v>139</v>
      </c>
      <c r="E27" s="99"/>
      <c r="F27" s="24" t="s">
        <v>164</v>
      </c>
      <c r="G27" s="10">
        <v>98</v>
      </c>
      <c r="H27" s="10">
        <v>98</v>
      </c>
      <c r="I27" s="10">
        <v>47</v>
      </c>
      <c r="J27" s="10"/>
      <c r="K27" s="113">
        <f t="shared" si="1"/>
        <v>243</v>
      </c>
      <c r="L27" s="11">
        <v>98</v>
      </c>
      <c r="M27" s="11">
        <v>98</v>
      </c>
      <c r="N27" s="11">
        <v>98</v>
      </c>
      <c r="O27" s="11"/>
      <c r="P27" s="113">
        <f t="shared" si="2"/>
        <v>294</v>
      </c>
      <c r="Q27" s="16">
        <v>0</v>
      </c>
      <c r="R27" s="112">
        <f t="shared" si="3"/>
        <v>0</v>
      </c>
      <c r="S27" s="114"/>
      <c r="T27" s="12">
        <v>50</v>
      </c>
      <c r="U27" s="10">
        <v>50</v>
      </c>
      <c r="V27" s="10"/>
      <c r="W27" s="10"/>
      <c r="X27" s="113">
        <f t="shared" si="4"/>
        <v>100</v>
      </c>
      <c r="Y27" s="11">
        <v>8</v>
      </c>
      <c r="Z27" s="11">
        <v>15</v>
      </c>
      <c r="AA27" s="11">
        <v>21</v>
      </c>
      <c r="AB27" s="11"/>
      <c r="AC27" s="113">
        <f t="shared" si="5"/>
        <v>44</v>
      </c>
      <c r="AD27" s="16">
        <v>50</v>
      </c>
      <c r="AE27" s="112">
        <f t="shared" si="6"/>
        <v>71.428571428571431</v>
      </c>
      <c r="AF27" s="114"/>
      <c r="AG27" s="12"/>
      <c r="AH27" s="10"/>
      <c r="AI27" s="10"/>
      <c r="AJ27" s="10"/>
      <c r="AK27" s="113" t="str">
        <f t="shared" si="7"/>
        <v/>
      </c>
      <c r="AL27" s="11"/>
      <c r="AM27" s="11"/>
      <c r="AN27" s="11"/>
      <c r="AO27" s="11"/>
      <c r="AP27" s="113" t="str">
        <f t="shared" si="8"/>
        <v/>
      </c>
      <c r="AQ27" s="16"/>
      <c r="AR27" s="112" t="str">
        <f t="shared" si="9"/>
        <v/>
      </c>
      <c r="AS27" s="114"/>
      <c r="AT27" s="12"/>
      <c r="AU27" s="10"/>
      <c r="AV27" s="10"/>
      <c r="AW27" s="10"/>
      <c r="AX27" s="113" t="str">
        <f t="shared" si="10"/>
        <v/>
      </c>
      <c r="AY27" s="11"/>
      <c r="AZ27" s="11"/>
      <c r="BA27" s="11"/>
      <c r="BB27" s="11"/>
      <c r="BC27" s="113" t="str">
        <f t="shared" si="11"/>
        <v/>
      </c>
      <c r="BD27" s="16"/>
      <c r="BE27" s="112" t="str">
        <f t="shared" si="12"/>
        <v/>
      </c>
      <c r="BG27" s="101"/>
    </row>
    <row r="28" spans="1:59" s="102" customFormat="1" ht="14.1" customHeight="1" x14ac:dyDescent="0.2">
      <c r="A28" s="101"/>
      <c r="C28" s="115">
        <f t="shared" si="0"/>
        <v>21</v>
      </c>
      <c r="D28" s="8" t="s">
        <v>140</v>
      </c>
      <c r="E28" s="99"/>
      <c r="F28" s="24" t="s">
        <v>165</v>
      </c>
      <c r="G28" s="10">
        <v>98</v>
      </c>
      <c r="H28" s="10">
        <v>98</v>
      </c>
      <c r="I28" s="10">
        <v>47</v>
      </c>
      <c r="J28" s="10"/>
      <c r="K28" s="113">
        <f t="shared" si="1"/>
        <v>243</v>
      </c>
      <c r="L28" s="11">
        <v>98</v>
      </c>
      <c r="M28" s="11">
        <v>98</v>
      </c>
      <c r="N28" s="11">
        <v>98</v>
      </c>
      <c r="O28" s="11"/>
      <c r="P28" s="113">
        <f t="shared" si="2"/>
        <v>294</v>
      </c>
      <c r="Q28" s="16">
        <v>0</v>
      </c>
      <c r="R28" s="112">
        <f t="shared" si="3"/>
        <v>0</v>
      </c>
      <c r="S28" s="114"/>
      <c r="T28" s="12">
        <v>0</v>
      </c>
      <c r="U28" s="10">
        <v>50</v>
      </c>
      <c r="V28" s="10"/>
      <c r="W28" s="10"/>
      <c r="X28" s="113">
        <f t="shared" si="4"/>
        <v>50</v>
      </c>
      <c r="Y28" s="11">
        <v>9</v>
      </c>
      <c r="Z28" s="11">
        <v>5</v>
      </c>
      <c r="AA28" s="11"/>
      <c r="AB28" s="11"/>
      <c r="AC28" s="113">
        <f t="shared" si="5"/>
        <v>14</v>
      </c>
      <c r="AD28" s="16">
        <v>50</v>
      </c>
      <c r="AE28" s="112">
        <f t="shared" si="6"/>
        <v>71.428571428571431</v>
      </c>
      <c r="AF28" s="114"/>
      <c r="AG28" s="12"/>
      <c r="AH28" s="10"/>
      <c r="AI28" s="10"/>
      <c r="AJ28" s="10"/>
      <c r="AK28" s="113" t="str">
        <f t="shared" si="7"/>
        <v/>
      </c>
      <c r="AL28" s="11"/>
      <c r="AM28" s="11"/>
      <c r="AN28" s="11"/>
      <c r="AO28" s="11"/>
      <c r="AP28" s="113" t="str">
        <f t="shared" si="8"/>
        <v/>
      </c>
      <c r="AQ28" s="16"/>
      <c r="AR28" s="112" t="str">
        <f t="shared" si="9"/>
        <v/>
      </c>
      <c r="AS28" s="114"/>
      <c r="AT28" s="12"/>
      <c r="AU28" s="10"/>
      <c r="AV28" s="10"/>
      <c r="AW28" s="10"/>
      <c r="AX28" s="113" t="str">
        <f t="shared" si="10"/>
        <v/>
      </c>
      <c r="AY28" s="11"/>
      <c r="AZ28" s="11"/>
      <c r="BA28" s="11"/>
      <c r="BB28" s="11"/>
      <c r="BC28" s="113" t="str">
        <f t="shared" si="11"/>
        <v/>
      </c>
      <c r="BD28" s="16"/>
      <c r="BE28" s="112" t="str">
        <f t="shared" si="12"/>
        <v/>
      </c>
      <c r="BG28" s="101"/>
    </row>
    <row r="29" spans="1:59" s="102" customFormat="1" ht="14.1" customHeight="1" x14ac:dyDescent="0.2">
      <c r="A29" s="101"/>
      <c r="C29" s="115">
        <f t="shared" si="0"/>
        <v>22</v>
      </c>
      <c r="D29" s="8" t="s">
        <v>141</v>
      </c>
      <c r="E29" s="99"/>
      <c r="F29" s="24" t="s">
        <v>166</v>
      </c>
      <c r="G29" s="10">
        <v>100</v>
      </c>
      <c r="H29" s="10">
        <v>100</v>
      </c>
      <c r="I29" s="10">
        <v>48</v>
      </c>
      <c r="J29" s="10"/>
      <c r="K29" s="113">
        <f t="shared" si="1"/>
        <v>248</v>
      </c>
      <c r="L29" s="11">
        <v>100</v>
      </c>
      <c r="M29" s="11">
        <v>100</v>
      </c>
      <c r="N29" s="11">
        <v>100</v>
      </c>
      <c r="O29" s="11"/>
      <c r="P29" s="113">
        <f t="shared" si="2"/>
        <v>300</v>
      </c>
      <c r="Q29" s="16">
        <v>24</v>
      </c>
      <c r="R29" s="112">
        <f t="shared" si="3"/>
        <v>34.285714285714285</v>
      </c>
      <c r="S29" s="114"/>
      <c r="T29" s="12">
        <v>45</v>
      </c>
      <c r="U29" s="10">
        <v>50</v>
      </c>
      <c r="V29" s="10"/>
      <c r="W29" s="10"/>
      <c r="X29" s="113">
        <f t="shared" si="4"/>
        <v>95</v>
      </c>
      <c r="Y29" s="11">
        <v>8</v>
      </c>
      <c r="Z29" s="11">
        <v>18</v>
      </c>
      <c r="AA29" s="11">
        <v>11</v>
      </c>
      <c r="AB29" s="11"/>
      <c r="AC29" s="113">
        <f t="shared" si="5"/>
        <v>37</v>
      </c>
      <c r="AD29" s="16">
        <v>30</v>
      </c>
      <c r="AE29" s="112">
        <f t="shared" si="6"/>
        <v>42.857142857142854</v>
      </c>
      <c r="AF29" s="114"/>
      <c r="AG29" s="12"/>
      <c r="AH29" s="10"/>
      <c r="AI29" s="10"/>
      <c r="AJ29" s="10"/>
      <c r="AK29" s="113" t="str">
        <f t="shared" si="7"/>
        <v/>
      </c>
      <c r="AL29" s="11"/>
      <c r="AM29" s="11"/>
      <c r="AN29" s="11"/>
      <c r="AO29" s="11"/>
      <c r="AP29" s="113" t="str">
        <f t="shared" si="8"/>
        <v/>
      </c>
      <c r="AQ29" s="16"/>
      <c r="AR29" s="112" t="str">
        <f t="shared" si="9"/>
        <v/>
      </c>
      <c r="AS29" s="114"/>
      <c r="AT29" s="12"/>
      <c r="AU29" s="10"/>
      <c r="AV29" s="10"/>
      <c r="AW29" s="10"/>
      <c r="AX29" s="113" t="str">
        <f t="shared" si="10"/>
        <v/>
      </c>
      <c r="AY29" s="11"/>
      <c r="AZ29" s="11"/>
      <c r="BA29" s="11"/>
      <c r="BB29" s="11"/>
      <c r="BC29" s="113" t="str">
        <f t="shared" si="11"/>
        <v/>
      </c>
      <c r="BD29" s="16"/>
      <c r="BE29" s="112" t="str">
        <f t="shared" si="12"/>
        <v/>
      </c>
      <c r="BG29" s="101"/>
    </row>
    <row r="30" spans="1:59" s="102" customFormat="1" ht="14.1" customHeight="1" x14ac:dyDescent="0.2">
      <c r="A30" s="101"/>
      <c r="C30" s="115">
        <f t="shared" si="0"/>
        <v>23</v>
      </c>
      <c r="D30" s="8" t="s">
        <v>142</v>
      </c>
      <c r="E30" s="99"/>
      <c r="F30" s="24" t="s">
        <v>167</v>
      </c>
      <c r="G30" s="10">
        <v>100</v>
      </c>
      <c r="H30" s="10">
        <v>100</v>
      </c>
      <c r="I30" s="10">
        <v>48</v>
      </c>
      <c r="J30" s="10"/>
      <c r="K30" s="113">
        <f t="shared" si="1"/>
        <v>248</v>
      </c>
      <c r="L30" s="11">
        <v>100</v>
      </c>
      <c r="M30" s="11">
        <v>100</v>
      </c>
      <c r="N30" s="11">
        <v>100</v>
      </c>
      <c r="O30" s="11"/>
      <c r="P30" s="113">
        <f t="shared" si="2"/>
        <v>300</v>
      </c>
      <c r="Q30" s="16">
        <v>58</v>
      </c>
      <c r="R30" s="112">
        <f t="shared" si="3"/>
        <v>82.857142857142861</v>
      </c>
      <c r="S30" s="114"/>
      <c r="T30" s="12">
        <v>50</v>
      </c>
      <c r="U30" s="10">
        <v>50</v>
      </c>
      <c r="V30" s="10"/>
      <c r="W30" s="10"/>
      <c r="X30" s="113">
        <f t="shared" si="4"/>
        <v>100</v>
      </c>
      <c r="Y30" s="11">
        <v>0</v>
      </c>
      <c r="Z30" s="11">
        <v>16</v>
      </c>
      <c r="AA30" s="11"/>
      <c r="AB30" s="11"/>
      <c r="AC30" s="113">
        <f t="shared" si="5"/>
        <v>16</v>
      </c>
      <c r="AD30" s="16">
        <v>64</v>
      </c>
      <c r="AE30" s="112">
        <f t="shared" si="6"/>
        <v>91.428571428571431</v>
      </c>
      <c r="AF30" s="114"/>
      <c r="AG30" s="12"/>
      <c r="AH30" s="10"/>
      <c r="AI30" s="10"/>
      <c r="AJ30" s="10"/>
      <c r="AK30" s="113" t="str">
        <f t="shared" si="7"/>
        <v/>
      </c>
      <c r="AL30" s="11"/>
      <c r="AM30" s="11"/>
      <c r="AN30" s="11"/>
      <c r="AO30" s="11"/>
      <c r="AP30" s="113" t="str">
        <f t="shared" si="8"/>
        <v/>
      </c>
      <c r="AQ30" s="16"/>
      <c r="AR30" s="112" t="str">
        <f t="shared" si="9"/>
        <v/>
      </c>
      <c r="AS30" s="114"/>
      <c r="AT30" s="12"/>
      <c r="AU30" s="10"/>
      <c r="AV30" s="10"/>
      <c r="AW30" s="10"/>
      <c r="AX30" s="113" t="str">
        <f t="shared" si="10"/>
        <v/>
      </c>
      <c r="AY30" s="11"/>
      <c r="AZ30" s="11"/>
      <c r="BA30" s="11"/>
      <c r="BB30" s="11"/>
      <c r="BC30" s="113" t="str">
        <f t="shared" si="11"/>
        <v/>
      </c>
      <c r="BD30" s="16"/>
      <c r="BE30" s="112" t="str">
        <f t="shared" si="12"/>
        <v/>
      </c>
      <c r="BG30" s="101"/>
    </row>
    <row r="31" spans="1:59" s="102" customFormat="1" ht="14.1" customHeight="1" x14ac:dyDescent="0.2">
      <c r="A31" s="101"/>
      <c r="C31" s="115">
        <f t="shared" si="0"/>
        <v>24</v>
      </c>
      <c r="D31" s="8" t="s">
        <v>143</v>
      </c>
      <c r="E31" s="99"/>
      <c r="F31" s="24" t="s">
        <v>168</v>
      </c>
      <c r="G31" s="10">
        <v>95</v>
      </c>
      <c r="H31" s="10">
        <v>95</v>
      </c>
      <c r="I31" s="10">
        <v>47</v>
      </c>
      <c r="J31" s="10"/>
      <c r="K31" s="113">
        <f t="shared" si="1"/>
        <v>237</v>
      </c>
      <c r="L31" s="11">
        <v>95</v>
      </c>
      <c r="M31" s="11">
        <v>95</v>
      </c>
      <c r="N31" s="11">
        <v>95</v>
      </c>
      <c r="O31" s="11"/>
      <c r="P31" s="113">
        <f t="shared" si="2"/>
        <v>285</v>
      </c>
      <c r="Q31" s="16">
        <v>64</v>
      </c>
      <c r="R31" s="112">
        <f t="shared" si="3"/>
        <v>91.428571428571431</v>
      </c>
      <c r="S31" s="114"/>
      <c r="T31" s="12"/>
      <c r="U31" s="10">
        <v>50</v>
      </c>
      <c r="V31" s="10"/>
      <c r="W31" s="10"/>
      <c r="X31" s="113">
        <f t="shared" si="4"/>
        <v>50</v>
      </c>
      <c r="Y31" s="11">
        <v>2</v>
      </c>
      <c r="Z31" s="11">
        <v>18</v>
      </c>
      <c r="AA31" s="11">
        <v>15</v>
      </c>
      <c r="AB31" s="11"/>
      <c r="AC31" s="113">
        <f t="shared" si="5"/>
        <v>35</v>
      </c>
      <c r="AD31" s="16">
        <v>54</v>
      </c>
      <c r="AE31" s="112">
        <f t="shared" si="6"/>
        <v>77.142857142857153</v>
      </c>
      <c r="AF31" s="114"/>
      <c r="AG31" s="12"/>
      <c r="AH31" s="10"/>
      <c r="AI31" s="10"/>
      <c r="AJ31" s="10"/>
      <c r="AK31" s="113" t="str">
        <f t="shared" si="7"/>
        <v/>
      </c>
      <c r="AL31" s="11"/>
      <c r="AM31" s="11"/>
      <c r="AN31" s="11"/>
      <c r="AO31" s="11"/>
      <c r="AP31" s="113" t="str">
        <f t="shared" si="8"/>
        <v/>
      </c>
      <c r="AQ31" s="16"/>
      <c r="AR31" s="112" t="str">
        <f t="shared" si="9"/>
        <v/>
      </c>
      <c r="AS31" s="114"/>
      <c r="AT31" s="12"/>
      <c r="AU31" s="10"/>
      <c r="AV31" s="10"/>
      <c r="AW31" s="10"/>
      <c r="AX31" s="113" t="str">
        <f t="shared" si="10"/>
        <v/>
      </c>
      <c r="AY31" s="11"/>
      <c r="AZ31" s="11"/>
      <c r="BA31" s="11"/>
      <c r="BB31" s="11"/>
      <c r="BC31" s="113" t="str">
        <f t="shared" si="11"/>
        <v/>
      </c>
      <c r="BD31" s="16"/>
      <c r="BE31" s="112" t="str">
        <f t="shared" si="12"/>
        <v/>
      </c>
      <c r="BG31" s="101"/>
    </row>
    <row r="32" spans="1:59" s="102" customFormat="1" ht="14.1" customHeight="1" x14ac:dyDescent="0.2">
      <c r="A32" s="101"/>
      <c r="C32" s="115">
        <f t="shared" si="0"/>
        <v>25</v>
      </c>
      <c r="D32" s="8" t="s">
        <v>144</v>
      </c>
      <c r="E32" s="99"/>
      <c r="F32" s="24" t="s">
        <v>169</v>
      </c>
      <c r="G32" s="10">
        <v>96</v>
      </c>
      <c r="H32" s="10">
        <v>96</v>
      </c>
      <c r="I32" s="10">
        <v>47</v>
      </c>
      <c r="J32" s="10"/>
      <c r="K32" s="113">
        <f t="shared" si="1"/>
        <v>239</v>
      </c>
      <c r="L32" s="11">
        <v>95</v>
      </c>
      <c r="M32" s="11">
        <v>95</v>
      </c>
      <c r="N32" s="11">
        <v>95</v>
      </c>
      <c r="O32" s="11"/>
      <c r="P32" s="113">
        <f t="shared" si="2"/>
        <v>285</v>
      </c>
      <c r="Q32" s="16">
        <v>64</v>
      </c>
      <c r="R32" s="112">
        <f t="shared" si="3"/>
        <v>91.428571428571431</v>
      </c>
      <c r="S32" s="114"/>
      <c r="T32" s="12">
        <v>48</v>
      </c>
      <c r="U32" s="10">
        <v>50</v>
      </c>
      <c r="V32" s="10"/>
      <c r="W32" s="10"/>
      <c r="X32" s="113">
        <f t="shared" si="4"/>
        <v>98</v>
      </c>
      <c r="Y32" s="11">
        <v>9</v>
      </c>
      <c r="Z32" s="11"/>
      <c r="AA32" s="11">
        <v>18</v>
      </c>
      <c r="AB32" s="11"/>
      <c r="AC32" s="113">
        <f t="shared" si="5"/>
        <v>27</v>
      </c>
      <c r="AD32" s="16">
        <v>46</v>
      </c>
      <c r="AE32" s="112">
        <f t="shared" si="6"/>
        <v>65.714285714285708</v>
      </c>
      <c r="AF32" s="114"/>
      <c r="AG32" s="12"/>
      <c r="AH32" s="10"/>
      <c r="AI32" s="10"/>
      <c r="AJ32" s="10"/>
      <c r="AK32" s="113" t="str">
        <f t="shared" si="7"/>
        <v/>
      </c>
      <c r="AL32" s="11"/>
      <c r="AM32" s="11"/>
      <c r="AN32" s="11"/>
      <c r="AO32" s="11"/>
      <c r="AP32" s="113" t="str">
        <f t="shared" si="8"/>
        <v/>
      </c>
      <c r="AQ32" s="16"/>
      <c r="AR32" s="112" t="str">
        <f t="shared" si="9"/>
        <v/>
      </c>
      <c r="AS32" s="114"/>
      <c r="AT32" s="12"/>
      <c r="AU32" s="10"/>
      <c r="AV32" s="10"/>
      <c r="AW32" s="10"/>
      <c r="AX32" s="113" t="str">
        <f t="shared" si="10"/>
        <v/>
      </c>
      <c r="AY32" s="11"/>
      <c r="AZ32" s="11"/>
      <c r="BA32" s="11"/>
      <c r="BB32" s="11"/>
      <c r="BC32" s="113" t="str">
        <f t="shared" si="11"/>
        <v/>
      </c>
      <c r="BD32" s="16"/>
      <c r="BE32" s="112" t="str">
        <f t="shared" si="12"/>
        <v/>
      </c>
      <c r="BG32" s="101"/>
    </row>
    <row r="33" spans="1:59" s="102" customFormat="1" ht="14.1" customHeight="1" x14ac:dyDescent="0.2">
      <c r="A33" s="101"/>
      <c r="C33" s="115">
        <f t="shared" si="0"/>
        <v>26</v>
      </c>
      <c r="D33" s="8"/>
      <c r="E33" s="99"/>
      <c r="F33" s="24"/>
      <c r="G33" s="10"/>
      <c r="H33" s="10"/>
      <c r="I33" s="10"/>
      <c r="J33" s="10"/>
      <c r="K33" s="113" t="str">
        <f t="shared" si="1"/>
        <v/>
      </c>
      <c r="L33" s="11"/>
      <c r="M33" s="11"/>
      <c r="N33" s="11"/>
      <c r="O33" s="11"/>
      <c r="P33" s="113" t="str">
        <f t="shared" si="2"/>
        <v/>
      </c>
      <c r="Q33" s="16"/>
      <c r="R33" s="112" t="str">
        <f t="shared" si="3"/>
        <v/>
      </c>
      <c r="S33" s="114"/>
      <c r="T33" s="12"/>
      <c r="U33" s="10"/>
      <c r="V33" s="10"/>
      <c r="W33" s="10"/>
      <c r="X33" s="113" t="str">
        <f t="shared" si="4"/>
        <v/>
      </c>
      <c r="Y33" s="11"/>
      <c r="Z33" s="11"/>
      <c r="AA33" s="11"/>
      <c r="AB33" s="11"/>
      <c r="AC33" s="113" t="str">
        <f t="shared" si="5"/>
        <v/>
      </c>
      <c r="AD33" s="16"/>
      <c r="AE33" s="112" t="str">
        <f t="shared" si="6"/>
        <v/>
      </c>
      <c r="AF33" s="114"/>
      <c r="AG33" s="12"/>
      <c r="AH33" s="10"/>
      <c r="AI33" s="10"/>
      <c r="AJ33" s="10"/>
      <c r="AK33" s="113" t="str">
        <f t="shared" si="7"/>
        <v/>
      </c>
      <c r="AL33" s="11"/>
      <c r="AM33" s="11"/>
      <c r="AN33" s="11"/>
      <c r="AO33" s="11"/>
      <c r="AP33" s="113" t="str">
        <f t="shared" si="8"/>
        <v/>
      </c>
      <c r="AQ33" s="16"/>
      <c r="AR33" s="112" t="str">
        <f t="shared" si="9"/>
        <v/>
      </c>
      <c r="AS33" s="114"/>
      <c r="AT33" s="12"/>
      <c r="AU33" s="10"/>
      <c r="AV33" s="10"/>
      <c r="AW33" s="10"/>
      <c r="AX33" s="113" t="str">
        <f t="shared" si="10"/>
        <v/>
      </c>
      <c r="AY33" s="11"/>
      <c r="AZ33" s="11"/>
      <c r="BA33" s="11"/>
      <c r="BB33" s="11"/>
      <c r="BC33" s="113" t="str">
        <f t="shared" si="11"/>
        <v/>
      </c>
      <c r="BD33" s="16"/>
      <c r="BE33" s="112" t="str">
        <f t="shared" si="12"/>
        <v/>
      </c>
      <c r="BG33" s="101"/>
    </row>
    <row r="34" spans="1:59" s="102" customFormat="1" ht="14.1" customHeight="1" x14ac:dyDescent="0.2">
      <c r="A34" s="101"/>
      <c r="C34" s="115">
        <f t="shared" si="0"/>
        <v>27</v>
      </c>
      <c r="D34" s="8"/>
      <c r="E34" s="99"/>
      <c r="F34" s="24"/>
      <c r="G34" s="10"/>
      <c r="H34" s="10"/>
      <c r="I34" s="10"/>
      <c r="J34" s="10"/>
      <c r="K34" s="113" t="str">
        <f t="shared" si="1"/>
        <v/>
      </c>
      <c r="L34" s="11"/>
      <c r="M34" s="11"/>
      <c r="N34" s="11"/>
      <c r="O34" s="11"/>
      <c r="P34" s="113" t="str">
        <f t="shared" si="2"/>
        <v/>
      </c>
      <c r="Q34" s="16"/>
      <c r="R34" s="112" t="str">
        <f t="shared" si="3"/>
        <v/>
      </c>
      <c r="S34" s="114"/>
      <c r="T34" s="12"/>
      <c r="U34" s="10"/>
      <c r="V34" s="10"/>
      <c r="W34" s="10"/>
      <c r="X34" s="113" t="str">
        <f t="shared" si="4"/>
        <v/>
      </c>
      <c r="Y34" s="11"/>
      <c r="Z34" s="11"/>
      <c r="AA34" s="11"/>
      <c r="AB34" s="11"/>
      <c r="AC34" s="113" t="str">
        <f t="shared" si="5"/>
        <v/>
      </c>
      <c r="AD34" s="16"/>
      <c r="AE34" s="112" t="str">
        <f t="shared" si="6"/>
        <v/>
      </c>
      <c r="AF34" s="114"/>
      <c r="AG34" s="12"/>
      <c r="AH34" s="10"/>
      <c r="AI34" s="10"/>
      <c r="AJ34" s="10"/>
      <c r="AK34" s="113" t="str">
        <f t="shared" si="7"/>
        <v/>
      </c>
      <c r="AL34" s="11"/>
      <c r="AM34" s="11"/>
      <c r="AN34" s="11"/>
      <c r="AO34" s="11"/>
      <c r="AP34" s="113" t="str">
        <f t="shared" si="8"/>
        <v/>
      </c>
      <c r="AQ34" s="16"/>
      <c r="AR34" s="112" t="str">
        <f t="shared" si="9"/>
        <v/>
      </c>
      <c r="AS34" s="114"/>
      <c r="AT34" s="12"/>
      <c r="AU34" s="10"/>
      <c r="AV34" s="10"/>
      <c r="AW34" s="10"/>
      <c r="AX34" s="113" t="str">
        <f t="shared" si="10"/>
        <v/>
      </c>
      <c r="AY34" s="11"/>
      <c r="AZ34" s="11"/>
      <c r="BA34" s="11"/>
      <c r="BB34" s="11"/>
      <c r="BC34" s="113" t="str">
        <f t="shared" si="11"/>
        <v/>
      </c>
      <c r="BD34" s="16"/>
      <c r="BE34" s="112" t="str">
        <f t="shared" si="12"/>
        <v/>
      </c>
      <c r="BG34" s="101"/>
    </row>
    <row r="35" spans="1:59" s="102" customFormat="1" ht="14.1" customHeight="1" x14ac:dyDescent="0.2">
      <c r="A35" s="101"/>
      <c r="C35" s="115">
        <f t="shared" si="0"/>
        <v>28</v>
      </c>
      <c r="D35" s="8"/>
      <c r="E35" s="99"/>
      <c r="F35" s="24"/>
      <c r="G35" s="10"/>
      <c r="H35" s="10"/>
      <c r="I35" s="10"/>
      <c r="J35" s="10"/>
      <c r="K35" s="113" t="str">
        <f t="shared" si="1"/>
        <v/>
      </c>
      <c r="L35" s="11"/>
      <c r="M35" s="11"/>
      <c r="N35" s="11"/>
      <c r="O35" s="11"/>
      <c r="P35" s="113" t="str">
        <f t="shared" si="2"/>
        <v/>
      </c>
      <c r="Q35" s="16"/>
      <c r="R35" s="112" t="str">
        <f t="shared" si="3"/>
        <v/>
      </c>
      <c r="S35" s="114"/>
      <c r="T35" s="12"/>
      <c r="U35" s="10"/>
      <c r="V35" s="10"/>
      <c r="W35" s="10"/>
      <c r="X35" s="113" t="str">
        <f t="shared" si="4"/>
        <v/>
      </c>
      <c r="Y35" s="11"/>
      <c r="Z35" s="11"/>
      <c r="AA35" s="11"/>
      <c r="AB35" s="11"/>
      <c r="AC35" s="113" t="str">
        <f t="shared" si="5"/>
        <v/>
      </c>
      <c r="AD35" s="16"/>
      <c r="AE35" s="112" t="str">
        <f t="shared" si="6"/>
        <v/>
      </c>
      <c r="AF35" s="114"/>
      <c r="AG35" s="12"/>
      <c r="AH35" s="10"/>
      <c r="AI35" s="10"/>
      <c r="AJ35" s="10"/>
      <c r="AK35" s="113" t="str">
        <f t="shared" si="7"/>
        <v/>
      </c>
      <c r="AL35" s="11"/>
      <c r="AM35" s="11"/>
      <c r="AN35" s="11"/>
      <c r="AO35" s="11"/>
      <c r="AP35" s="113" t="str">
        <f t="shared" si="8"/>
        <v/>
      </c>
      <c r="AQ35" s="16"/>
      <c r="AR35" s="112" t="str">
        <f t="shared" si="9"/>
        <v/>
      </c>
      <c r="AS35" s="114"/>
      <c r="AT35" s="12"/>
      <c r="AU35" s="10"/>
      <c r="AV35" s="10"/>
      <c r="AW35" s="10"/>
      <c r="AX35" s="113" t="str">
        <f t="shared" si="10"/>
        <v/>
      </c>
      <c r="AY35" s="11"/>
      <c r="AZ35" s="11"/>
      <c r="BA35" s="11"/>
      <c r="BB35" s="11"/>
      <c r="BC35" s="113" t="str">
        <f t="shared" si="11"/>
        <v/>
      </c>
      <c r="BD35" s="16"/>
      <c r="BE35" s="112" t="str">
        <f t="shared" si="12"/>
        <v/>
      </c>
      <c r="BG35" s="101"/>
    </row>
    <row r="36" spans="1:59" s="102" customFormat="1" ht="14.1" customHeight="1" x14ac:dyDescent="0.2">
      <c r="A36" s="101"/>
      <c r="C36" s="115">
        <f t="shared" si="0"/>
        <v>29</v>
      </c>
      <c r="D36" s="8"/>
      <c r="E36" s="99"/>
      <c r="F36" s="24"/>
      <c r="G36" s="10"/>
      <c r="H36" s="10"/>
      <c r="I36" s="10"/>
      <c r="J36" s="10"/>
      <c r="K36" s="113" t="str">
        <f t="shared" si="1"/>
        <v/>
      </c>
      <c r="L36" s="11"/>
      <c r="M36" s="11"/>
      <c r="N36" s="11"/>
      <c r="O36" s="11"/>
      <c r="P36" s="113" t="str">
        <f t="shared" si="2"/>
        <v/>
      </c>
      <c r="Q36" s="16"/>
      <c r="R36" s="112" t="str">
        <f t="shared" si="3"/>
        <v/>
      </c>
      <c r="S36" s="114"/>
      <c r="T36" s="12"/>
      <c r="U36" s="10"/>
      <c r="V36" s="10"/>
      <c r="W36" s="10"/>
      <c r="X36" s="113" t="str">
        <f t="shared" si="4"/>
        <v/>
      </c>
      <c r="Y36" s="11"/>
      <c r="Z36" s="11"/>
      <c r="AA36" s="11"/>
      <c r="AB36" s="11"/>
      <c r="AC36" s="113" t="str">
        <f t="shared" si="5"/>
        <v/>
      </c>
      <c r="AD36" s="16"/>
      <c r="AE36" s="112" t="str">
        <f t="shared" si="6"/>
        <v/>
      </c>
      <c r="AF36" s="114"/>
      <c r="AG36" s="12"/>
      <c r="AH36" s="10"/>
      <c r="AI36" s="10"/>
      <c r="AJ36" s="10"/>
      <c r="AK36" s="113" t="str">
        <f t="shared" si="7"/>
        <v/>
      </c>
      <c r="AL36" s="11"/>
      <c r="AM36" s="11"/>
      <c r="AN36" s="11"/>
      <c r="AO36" s="11"/>
      <c r="AP36" s="113" t="str">
        <f t="shared" si="8"/>
        <v/>
      </c>
      <c r="AQ36" s="16"/>
      <c r="AR36" s="112" t="str">
        <f t="shared" si="9"/>
        <v/>
      </c>
      <c r="AS36" s="114"/>
      <c r="AT36" s="12"/>
      <c r="AU36" s="10"/>
      <c r="AV36" s="10"/>
      <c r="AW36" s="10"/>
      <c r="AX36" s="113" t="str">
        <f t="shared" si="10"/>
        <v/>
      </c>
      <c r="AY36" s="11"/>
      <c r="AZ36" s="11"/>
      <c r="BA36" s="11"/>
      <c r="BB36" s="11"/>
      <c r="BC36" s="113" t="str">
        <f t="shared" si="11"/>
        <v/>
      </c>
      <c r="BD36" s="16"/>
      <c r="BE36" s="112" t="str">
        <f t="shared" si="12"/>
        <v/>
      </c>
      <c r="BG36" s="101"/>
    </row>
    <row r="37" spans="1:59" s="102" customFormat="1" ht="14.1" customHeight="1" x14ac:dyDescent="0.2">
      <c r="A37" s="101"/>
      <c r="C37" s="115">
        <f t="shared" si="0"/>
        <v>30</v>
      </c>
      <c r="D37" s="8"/>
      <c r="E37" s="99"/>
      <c r="F37" s="24"/>
      <c r="G37" s="10"/>
      <c r="H37" s="10"/>
      <c r="I37" s="10"/>
      <c r="J37" s="10"/>
      <c r="K37" s="113" t="str">
        <f t="shared" si="1"/>
        <v/>
      </c>
      <c r="L37" s="11"/>
      <c r="M37" s="11"/>
      <c r="N37" s="11"/>
      <c r="O37" s="11"/>
      <c r="P37" s="113" t="str">
        <f t="shared" si="2"/>
        <v/>
      </c>
      <c r="Q37" s="16"/>
      <c r="R37" s="112" t="str">
        <f t="shared" si="3"/>
        <v/>
      </c>
      <c r="S37" s="114"/>
      <c r="T37" s="12"/>
      <c r="U37" s="10"/>
      <c r="V37" s="10"/>
      <c r="W37" s="10"/>
      <c r="X37" s="113" t="str">
        <f t="shared" si="4"/>
        <v/>
      </c>
      <c r="Y37" s="11"/>
      <c r="Z37" s="11"/>
      <c r="AA37" s="11"/>
      <c r="AB37" s="11"/>
      <c r="AC37" s="113" t="str">
        <f t="shared" si="5"/>
        <v/>
      </c>
      <c r="AD37" s="16"/>
      <c r="AE37" s="112" t="str">
        <f t="shared" si="6"/>
        <v/>
      </c>
      <c r="AF37" s="114"/>
      <c r="AG37" s="12"/>
      <c r="AH37" s="10"/>
      <c r="AI37" s="10"/>
      <c r="AJ37" s="10"/>
      <c r="AK37" s="113" t="str">
        <f t="shared" si="7"/>
        <v/>
      </c>
      <c r="AL37" s="11"/>
      <c r="AM37" s="11"/>
      <c r="AN37" s="11"/>
      <c r="AO37" s="11"/>
      <c r="AP37" s="113" t="str">
        <f t="shared" si="8"/>
        <v/>
      </c>
      <c r="AQ37" s="16"/>
      <c r="AR37" s="112" t="str">
        <f t="shared" si="9"/>
        <v/>
      </c>
      <c r="AS37" s="114"/>
      <c r="AT37" s="12"/>
      <c r="AU37" s="10"/>
      <c r="AV37" s="10"/>
      <c r="AW37" s="10"/>
      <c r="AX37" s="113" t="str">
        <f t="shared" si="10"/>
        <v/>
      </c>
      <c r="AY37" s="11"/>
      <c r="AZ37" s="11"/>
      <c r="BA37" s="11"/>
      <c r="BB37" s="11"/>
      <c r="BC37" s="113" t="str">
        <f t="shared" si="11"/>
        <v/>
      </c>
      <c r="BD37" s="16"/>
      <c r="BE37" s="112" t="str">
        <f t="shared" si="12"/>
        <v/>
      </c>
      <c r="BG37" s="101"/>
    </row>
    <row r="38" spans="1:59" s="102" customFormat="1" ht="14.1" customHeight="1" x14ac:dyDescent="0.2">
      <c r="A38" s="101"/>
      <c r="C38" s="115">
        <f t="shared" si="0"/>
        <v>31</v>
      </c>
      <c r="D38" s="8"/>
      <c r="E38" s="99"/>
      <c r="F38" s="24"/>
      <c r="G38" s="10"/>
      <c r="H38" s="10"/>
      <c r="I38" s="10"/>
      <c r="J38" s="10"/>
      <c r="K38" s="113" t="str">
        <f t="shared" si="1"/>
        <v/>
      </c>
      <c r="L38" s="11"/>
      <c r="M38" s="11"/>
      <c r="N38" s="11"/>
      <c r="O38" s="11"/>
      <c r="P38" s="113" t="str">
        <f t="shared" si="2"/>
        <v/>
      </c>
      <c r="Q38" s="16"/>
      <c r="R38" s="112" t="str">
        <f t="shared" si="3"/>
        <v/>
      </c>
      <c r="S38" s="114"/>
      <c r="T38" s="12"/>
      <c r="U38" s="10"/>
      <c r="V38" s="10"/>
      <c r="W38" s="10"/>
      <c r="X38" s="113" t="str">
        <f t="shared" si="4"/>
        <v/>
      </c>
      <c r="Y38" s="11"/>
      <c r="Z38" s="11"/>
      <c r="AA38" s="11"/>
      <c r="AB38" s="11"/>
      <c r="AC38" s="113" t="str">
        <f t="shared" si="5"/>
        <v/>
      </c>
      <c r="AD38" s="16"/>
      <c r="AE38" s="112" t="str">
        <f t="shared" si="6"/>
        <v/>
      </c>
      <c r="AF38" s="114"/>
      <c r="AG38" s="12"/>
      <c r="AH38" s="10"/>
      <c r="AI38" s="10"/>
      <c r="AJ38" s="10"/>
      <c r="AK38" s="113" t="str">
        <f t="shared" si="7"/>
        <v/>
      </c>
      <c r="AL38" s="11"/>
      <c r="AM38" s="11"/>
      <c r="AN38" s="11"/>
      <c r="AO38" s="11"/>
      <c r="AP38" s="113" t="str">
        <f t="shared" si="8"/>
        <v/>
      </c>
      <c r="AQ38" s="16"/>
      <c r="AR38" s="112" t="str">
        <f t="shared" si="9"/>
        <v/>
      </c>
      <c r="AS38" s="114"/>
      <c r="AT38" s="12"/>
      <c r="AU38" s="10"/>
      <c r="AV38" s="10"/>
      <c r="AW38" s="10"/>
      <c r="AX38" s="113" t="str">
        <f t="shared" si="10"/>
        <v/>
      </c>
      <c r="AY38" s="11"/>
      <c r="AZ38" s="11"/>
      <c r="BA38" s="11"/>
      <c r="BB38" s="11"/>
      <c r="BC38" s="113" t="str">
        <f t="shared" si="11"/>
        <v/>
      </c>
      <c r="BD38" s="16"/>
      <c r="BE38" s="112" t="str">
        <f t="shared" si="12"/>
        <v/>
      </c>
      <c r="BG38" s="101"/>
    </row>
    <row r="39" spans="1:59" s="102" customFormat="1" ht="14.1" customHeight="1" x14ac:dyDescent="0.2">
      <c r="A39" s="101"/>
      <c r="C39" s="115">
        <f t="shared" si="0"/>
        <v>32</v>
      </c>
      <c r="D39" s="8"/>
      <c r="E39" s="99"/>
      <c r="F39" s="24"/>
      <c r="G39" s="10"/>
      <c r="H39" s="10"/>
      <c r="I39" s="10"/>
      <c r="J39" s="10"/>
      <c r="K39" s="113" t="str">
        <f t="shared" si="1"/>
        <v/>
      </c>
      <c r="L39" s="11"/>
      <c r="M39" s="11"/>
      <c r="N39" s="11"/>
      <c r="O39" s="11"/>
      <c r="P39" s="113" t="str">
        <f t="shared" si="2"/>
        <v/>
      </c>
      <c r="Q39" s="16"/>
      <c r="R39" s="112" t="str">
        <f t="shared" si="3"/>
        <v/>
      </c>
      <c r="S39" s="114"/>
      <c r="T39" s="12"/>
      <c r="U39" s="10"/>
      <c r="V39" s="10"/>
      <c r="W39" s="10"/>
      <c r="X39" s="113" t="str">
        <f t="shared" si="4"/>
        <v/>
      </c>
      <c r="Y39" s="11"/>
      <c r="Z39" s="11"/>
      <c r="AA39" s="11"/>
      <c r="AB39" s="11"/>
      <c r="AC39" s="113" t="str">
        <f t="shared" si="5"/>
        <v/>
      </c>
      <c r="AD39" s="16"/>
      <c r="AE39" s="112" t="str">
        <f t="shared" si="6"/>
        <v/>
      </c>
      <c r="AF39" s="114"/>
      <c r="AG39" s="12"/>
      <c r="AH39" s="10"/>
      <c r="AI39" s="10"/>
      <c r="AJ39" s="10"/>
      <c r="AK39" s="113" t="str">
        <f t="shared" si="7"/>
        <v/>
      </c>
      <c r="AL39" s="11"/>
      <c r="AM39" s="11"/>
      <c r="AN39" s="11"/>
      <c r="AO39" s="11"/>
      <c r="AP39" s="113" t="str">
        <f t="shared" si="8"/>
        <v/>
      </c>
      <c r="AQ39" s="16"/>
      <c r="AR39" s="112" t="str">
        <f t="shared" si="9"/>
        <v/>
      </c>
      <c r="AS39" s="114"/>
      <c r="AT39" s="12"/>
      <c r="AU39" s="10"/>
      <c r="AV39" s="10"/>
      <c r="AW39" s="10"/>
      <c r="AX39" s="113" t="str">
        <f t="shared" si="10"/>
        <v/>
      </c>
      <c r="AY39" s="11"/>
      <c r="AZ39" s="11"/>
      <c r="BA39" s="11"/>
      <c r="BB39" s="11"/>
      <c r="BC39" s="113" t="str">
        <f t="shared" si="11"/>
        <v/>
      </c>
      <c r="BD39" s="16"/>
      <c r="BE39" s="112" t="str">
        <f t="shared" si="12"/>
        <v/>
      </c>
      <c r="BG39" s="101"/>
    </row>
    <row r="40" spans="1:59" s="102" customFormat="1" ht="14.1" customHeight="1" x14ac:dyDescent="0.2">
      <c r="A40" s="101"/>
      <c r="C40" s="115">
        <f t="shared" si="0"/>
        <v>33</v>
      </c>
      <c r="D40" s="8"/>
      <c r="E40" s="99"/>
      <c r="F40" s="24"/>
      <c r="G40" s="10"/>
      <c r="H40" s="10"/>
      <c r="I40" s="10"/>
      <c r="J40" s="10"/>
      <c r="K40" s="113" t="str">
        <f t="shared" si="1"/>
        <v/>
      </c>
      <c r="L40" s="11"/>
      <c r="M40" s="11"/>
      <c r="N40" s="11"/>
      <c r="O40" s="11"/>
      <c r="P40" s="113" t="str">
        <f t="shared" si="2"/>
        <v/>
      </c>
      <c r="Q40" s="16"/>
      <c r="R40" s="112" t="str">
        <f t="shared" si="3"/>
        <v/>
      </c>
      <c r="S40" s="114"/>
      <c r="T40" s="12"/>
      <c r="U40" s="10"/>
      <c r="V40" s="10"/>
      <c r="W40" s="10"/>
      <c r="X40" s="113" t="str">
        <f t="shared" si="4"/>
        <v/>
      </c>
      <c r="Y40" s="11"/>
      <c r="Z40" s="11"/>
      <c r="AA40" s="11"/>
      <c r="AB40" s="11"/>
      <c r="AC40" s="113" t="str">
        <f t="shared" si="5"/>
        <v/>
      </c>
      <c r="AD40" s="16"/>
      <c r="AE40" s="112" t="str">
        <f t="shared" si="6"/>
        <v/>
      </c>
      <c r="AF40" s="114"/>
      <c r="AG40" s="12"/>
      <c r="AH40" s="10"/>
      <c r="AI40" s="10"/>
      <c r="AJ40" s="10"/>
      <c r="AK40" s="113" t="str">
        <f t="shared" si="7"/>
        <v/>
      </c>
      <c r="AL40" s="11"/>
      <c r="AM40" s="11"/>
      <c r="AN40" s="11"/>
      <c r="AO40" s="11"/>
      <c r="AP40" s="113" t="str">
        <f t="shared" si="8"/>
        <v/>
      </c>
      <c r="AQ40" s="16"/>
      <c r="AR40" s="112" t="str">
        <f t="shared" si="9"/>
        <v/>
      </c>
      <c r="AS40" s="114"/>
      <c r="AT40" s="12"/>
      <c r="AU40" s="10"/>
      <c r="AV40" s="10"/>
      <c r="AW40" s="10"/>
      <c r="AX40" s="113" t="str">
        <f t="shared" si="10"/>
        <v/>
      </c>
      <c r="AY40" s="11"/>
      <c r="AZ40" s="11"/>
      <c r="BA40" s="11"/>
      <c r="BB40" s="11"/>
      <c r="BC40" s="113" t="str">
        <f t="shared" si="11"/>
        <v/>
      </c>
      <c r="BD40" s="16"/>
      <c r="BE40" s="112" t="str">
        <f t="shared" si="12"/>
        <v/>
      </c>
      <c r="BG40" s="101"/>
    </row>
    <row r="41" spans="1:59" s="102" customFormat="1" ht="14.1" customHeight="1" x14ac:dyDescent="0.2">
      <c r="A41" s="101"/>
      <c r="C41" s="115">
        <f t="shared" si="0"/>
        <v>34</v>
      </c>
      <c r="D41" s="8"/>
      <c r="E41" s="99"/>
      <c r="F41" s="24"/>
      <c r="G41" s="10"/>
      <c r="H41" s="10"/>
      <c r="I41" s="10"/>
      <c r="J41" s="10"/>
      <c r="K41" s="113" t="str">
        <f t="shared" si="1"/>
        <v/>
      </c>
      <c r="L41" s="11"/>
      <c r="M41" s="11"/>
      <c r="N41" s="11"/>
      <c r="O41" s="11"/>
      <c r="P41" s="113" t="str">
        <f t="shared" si="2"/>
        <v/>
      </c>
      <c r="Q41" s="16"/>
      <c r="R41" s="112" t="str">
        <f t="shared" si="3"/>
        <v/>
      </c>
      <c r="S41" s="114"/>
      <c r="T41" s="12"/>
      <c r="U41" s="10"/>
      <c r="V41" s="10"/>
      <c r="W41" s="10"/>
      <c r="X41" s="113" t="str">
        <f t="shared" si="4"/>
        <v/>
      </c>
      <c r="Y41" s="11"/>
      <c r="Z41" s="11"/>
      <c r="AA41" s="11"/>
      <c r="AB41" s="11"/>
      <c r="AC41" s="113" t="str">
        <f t="shared" si="5"/>
        <v/>
      </c>
      <c r="AD41" s="16"/>
      <c r="AE41" s="112" t="str">
        <f t="shared" si="6"/>
        <v/>
      </c>
      <c r="AF41" s="114"/>
      <c r="AG41" s="12"/>
      <c r="AH41" s="10"/>
      <c r="AI41" s="10"/>
      <c r="AJ41" s="10"/>
      <c r="AK41" s="113" t="str">
        <f t="shared" si="7"/>
        <v/>
      </c>
      <c r="AL41" s="11"/>
      <c r="AM41" s="11"/>
      <c r="AN41" s="11"/>
      <c r="AO41" s="11"/>
      <c r="AP41" s="113" t="str">
        <f t="shared" si="8"/>
        <v/>
      </c>
      <c r="AQ41" s="16"/>
      <c r="AR41" s="112" t="str">
        <f t="shared" si="9"/>
        <v/>
      </c>
      <c r="AS41" s="114"/>
      <c r="AT41" s="12"/>
      <c r="AU41" s="10"/>
      <c r="AV41" s="10"/>
      <c r="AW41" s="10"/>
      <c r="AX41" s="113" t="str">
        <f t="shared" si="10"/>
        <v/>
      </c>
      <c r="AY41" s="11"/>
      <c r="AZ41" s="11"/>
      <c r="BA41" s="11"/>
      <c r="BB41" s="11"/>
      <c r="BC41" s="113" t="str">
        <f t="shared" si="11"/>
        <v/>
      </c>
      <c r="BD41" s="16"/>
      <c r="BE41" s="112" t="str">
        <f t="shared" si="12"/>
        <v/>
      </c>
      <c r="BG41" s="101"/>
    </row>
    <row r="42" spans="1:59" s="102" customFormat="1" ht="14.1" customHeight="1" x14ac:dyDescent="0.2">
      <c r="A42" s="101"/>
      <c r="C42" s="115">
        <f t="shared" si="0"/>
        <v>35</v>
      </c>
      <c r="D42" s="8"/>
      <c r="E42" s="99"/>
      <c r="F42" s="24"/>
      <c r="G42" s="10"/>
      <c r="H42" s="10"/>
      <c r="I42" s="10"/>
      <c r="J42" s="10"/>
      <c r="K42" s="113" t="str">
        <f t="shared" si="1"/>
        <v/>
      </c>
      <c r="L42" s="11"/>
      <c r="M42" s="11"/>
      <c r="N42" s="11"/>
      <c r="O42" s="11"/>
      <c r="P42" s="113" t="str">
        <f t="shared" si="2"/>
        <v/>
      </c>
      <c r="Q42" s="16"/>
      <c r="R42" s="112" t="str">
        <f t="shared" si="3"/>
        <v/>
      </c>
      <c r="S42" s="114"/>
      <c r="T42" s="12"/>
      <c r="U42" s="10"/>
      <c r="V42" s="10"/>
      <c r="W42" s="10"/>
      <c r="X42" s="113" t="str">
        <f t="shared" si="4"/>
        <v/>
      </c>
      <c r="Y42" s="11"/>
      <c r="Z42" s="11"/>
      <c r="AA42" s="11"/>
      <c r="AB42" s="11"/>
      <c r="AC42" s="113" t="str">
        <f t="shared" si="5"/>
        <v/>
      </c>
      <c r="AD42" s="16"/>
      <c r="AE42" s="112" t="str">
        <f t="shared" si="6"/>
        <v/>
      </c>
      <c r="AF42" s="114"/>
      <c r="AG42" s="12"/>
      <c r="AH42" s="10"/>
      <c r="AI42" s="10"/>
      <c r="AJ42" s="10"/>
      <c r="AK42" s="113" t="str">
        <f t="shared" si="7"/>
        <v/>
      </c>
      <c r="AL42" s="11"/>
      <c r="AM42" s="11"/>
      <c r="AN42" s="11"/>
      <c r="AO42" s="11"/>
      <c r="AP42" s="113" t="str">
        <f t="shared" si="8"/>
        <v/>
      </c>
      <c r="AQ42" s="16"/>
      <c r="AR42" s="112" t="str">
        <f t="shared" si="9"/>
        <v/>
      </c>
      <c r="AS42" s="114"/>
      <c r="AT42" s="12"/>
      <c r="AU42" s="10"/>
      <c r="AV42" s="10"/>
      <c r="AW42" s="10"/>
      <c r="AX42" s="113" t="str">
        <f t="shared" si="10"/>
        <v/>
      </c>
      <c r="AY42" s="11"/>
      <c r="AZ42" s="11"/>
      <c r="BA42" s="11"/>
      <c r="BB42" s="11"/>
      <c r="BC42" s="113" t="str">
        <f t="shared" si="11"/>
        <v/>
      </c>
      <c r="BD42" s="16"/>
      <c r="BE42" s="112" t="str">
        <f t="shared" si="12"/>
        <v/>
      </c>
      <c r="BG42" s="101"/>
    </row>
    <row r="43" spans="1:59" s="102" customFormat="1" ht="14.1" customHeight="1" x14ac:dyDescent="0.2">
      <c r="A43" s="101"/>
      <c r="C43" s="115">
        <f t="shared" si="0"/>
        <v>36</v>
      </c>
      <c r="D43" s="8"/>
      <c r="E43" s="99"/>
      <c r="F43" s="24"/>
      <c r="G43" s="10"/>
      <c r="H43" s="10"/>
      <c r="I43" s="10"/>
      <c r="J43" s="10"/>
      <c r="K43" s="113" t="str">
        <f t="shared" si="1"/>
        <v/>
      </c>
      <c r="L43" s="11"/>
      <c r="M43" s="11"/>
      <c r="N43" s="11"/>
      <c r="O43" s="11"/>
      <c r="P43" s="113" t="str">
        <f t="shared" si="2"/>
        <v/>
      </c>
      <c r="Q43" s="16"/>
      <c r="R43" s="112" t="str">
        <f t="shared" si="3"/>
        <v/>
      </c>
      <c r="S43" s="114"/>
      <c r="T43" s="12"/>
      <c r="U43" s="10"/>
      <c r="V43" s="10"/>
      <c r="W43" s="10"/>
      <c r="X43" s="113" t="str">
        <f t="shared" si="4"/>
        <v/>
      </c>
      <c r="Y43" s="11"/>
      <c r="Z43" s="11"/>
      <c r="AA43" s="11"/>
      <c r="AB43" s="11"/>
      <c r="AC43" s="113" t="str">
        <f t="shared" si="5"/>
        <v/>
      </c>
      <c r="AD43" s="16"/>
      <c r="AE43" s="112" t="str">
        <f t="shared" si="6"/>
        <v/>
      </c>
      <c r="AF43" s="114"/>
      <c r="AG43" s="12"/>
      <c r="AH43" s="10"/>
      <c r="AI43" s="10"/>
      <c r="AJ43" s="10"/>
      <c r="AK43" s="113" t="str">
        <f t="shared" si="7"/>
        <v/>
      </c>
      <c r="AL43" s="11"/>
      <c r="AM43" s="11"/>
      <c r="AN43" s="11"/>
      <c r="AO43" s="11"/>
      <c r="AP43" s="113" t="str">
        <f t="shared" si="8"/>
        <v/>
      </c>
      <c r="AQ43" s="16"/>
      <c r="AR43" s="112" t="str">
        <f t="shared" si="9"/>
        <v/>
      </c>
      <c r="AS43" s="114"/>
      <c r="AT43" s="12"/>
      <c r="AU43" s="10"/>
      <c r="AV43" s="10"/>
      <c r="AW43" s="10"/>
      <c r="AX43" s="113" t="str">
        <f t="shared" si="10"/>
        <v/>
      </c>
      <c r="AY43" s="11"/>
      <c r="AZ43" s="11"/>
      <c r="BA43" s="11"/>
      <c r="BB43" s="11"/>
      <c r="BC43" s="113" t="str">
        <f t="shared" si="11"/>
        <v/>
      </c>
      <c r="BD43" s="16"/>
      <c r="BE43" s="112" t="str">
        <f t="shared" si="12"/>
        <v/>
      </c>
      <c r="BG43" s="101"/>
    </row>
    <row r="44" spans="1:59" s="102" customFormat="1" ht="14.1" customHeight="1" x14ac:dyDescent="0.2">
      <c r="A44" s="101"/>
      <c r="C44" s="115">
        <f t="shared" si="0"/>
        <v>37</v>
      </c>
      <c r="D44" s="8"/>
      <c r="E44" s="99"/>
      <c r="F44" s="24"/>
      <c r="G44" s="10"/>
      <c r="H44" s="10"/>
      <c r="I44" s="10"/>
      <c r="J44" s="10"/>
      <c r="K44" s="113" t="str">
        <f t="shared" si="1"/>
        <v/>
      </c>
      <c r="L44" s="11"/>
      <c r="M44" s="11"/>
      <c r="N44" s="11"/>
      <c r="O44" s="11"/>
      <c r="P44" s="113" t="str">
        <f t="shared" si="2"/>
        <v/>
      </c>
      <c r="Q44" s="16"/>
      <c r="R44" s="112" t="str">
        <f t="shared" si="3"/>
        <v/>
      </c>
      <c r="S44" s="114"/>
      <c r="T44" s="12"/>
      <c r="U44" s="10"/>
      <c r="V44" s="10"/>
      <c r="W44" s="10"/>
      <c r="X44" s="113" t="str">
        <f t="shared" si="4"/>
        <v/>
      </c>
      <c r="Y44" s="11"/>
      <c r="Z44" s="11"/>
      <c r="AA44" s="11"/>
      <c r="AB44" s="11"/>
      <c r="AC44" s="113" t="str">
        <f t="shared" si="5"/>
        <v/>
      </c>
      <c r="AD44" s="16"/>
      <c r="AE44" s="112" t="str">
        <f t="shared" si="6"/>
        <v/>
      </c>
      <c r="AF44" s="114"/>
      <c r="AG44" s="12"/>
      <c r="AH44" s="10"/>
      <c r="AI44" s="10"/>
      <c r="AJ44" s="10"/>
      <c r="AK44" s="113" t="str">
        <f t="shared" si="7"/>
        <v/>
      </c>
      <c r="AL44" s="11"/>
      <c r="AM44" s="11"/>
      <c r="AN44" s="11"/>
      <c r="AO44" s="11"/>
      <c r="AP44" s="113" t="str">
        <f t="shared" si="8"/>
        <v/>
      </c>
      <c r="AQ44" s="16"/>
      <c r="AR44" s="112" t="str">
        <f t="shared" si="9"/>
        <v/>
      </c>
      <c r="AS44" s="114"/>
      <c r="AT44" s="12"/>
      <c r="AU44" s="10"/>
      <c r="AV44" s="10"/>
      <c r="AW44" s="10"/>
      <c r="AX44" s="113" t="str">
        <f t="shared" si="10"/>
        <v/>
      </c>
      <c r="AY44" s="11"/>
      <c r="AZ44" s="11"/>
      <c r="BA44" s="11"/>
      <c r="BB44" s="11"/>
      <c r="BC44" s="113" t="str">
        <f t="shared" si="11"/>
        <v/>
      </c>
      <c r="BD44" s="16"/>
      <c r="BE44" s="112" t="str">
        <f t="shared" si="12"/>
        <v/>
      </c>
      <c r="BG44" s="101"/>
    </row>
    <row r="45" spans="1:59" s="102" customFormat="1" ht="14.1" customHeight="1" x14ac:dyDescent="0.2">
      <c r="A45" s="101"/>
      <c r="C45" s="115">
        <f t="shared" si="0"/>
        <v>38</v>
      </c>
      <c r="D45" s="8"/>
      <c r="E45" s="99"/>
      <c r="F45" s="24"/>
      <c r="G45" s="10"/>
      <c r="H45" s="10"/>
      <c r="I45" s="10"/>
      <c r="J45" s="10"/>
      <c r="K45" s="113" t="str">
        <f t="shared" si="1"/>
        <v/>
      </c>
      <c r="L45" s="11"/>
      <c r="M45" s="11"/>
      <c r="N45" s="11"/>
      <c r="O45" s="11"/>
      <c r="P45" s="113" t="str">
        <f t="shared" si="2"/>
        <v/>
      </c>
      <c r="Q45" s="16"/>
      <c r="R45" s="112" t="str">
        <f t="shared" si="3"/>
        <v/>
      </c>
      <c r="S45" s="114"/>
      <c r="T45" s="12"/>
      <c r="U45" s="10"/>
      <c r="V45" s="10"/>
      <c r="W45" s="10"/>
      <c r="X45" s="113" t="str">
        <f t="shared" si="4"/>
        <v/>
      </c>
      <c r="Y45" s="11"/>
      <c r="Z45" s="11"/>
      <c r="AA45" s="11"/>
      <c r="AB45" s="11"/>
      <c r="AC45" s="113" t="str">
        <f t="shared" si="5"/>
        <v/>
      </c>
      <c r="AD45" s="16"/>
      <c r="AE45" s="112" t="str">
        <f t="shared" si="6"/>
        <v/>
      </c>
      <c r="AF45" s="114"/>
      <c r="AG45" s="12"/>
      <c r="AH45" s="10"/>
      <c r="AI45" s="10"/>
      <c r="AJ45" s="10"/>
      <c r="AK45" s="113" t="str">
        <f t="shared" si="7"/>
        <v/>
      </c>
      <c r="AL45" s="11"/>
      <c r="AM45" s="11"/>
      <c r="AN45" s="11"/>
      <c r="AO45" s="11"/>
      <c r="AP45" s="113" t="str">
        <f t="shared" si="8"/>
        <v/>
      </c>
      <c r="AQ45" s="16"/>
      <c r="AR45" s="112" t="str">
        <f t="shared" si="9"/>
        <v/>
      </c>
      <c r="AS45" s="114"/>
      <c r="AT45" s="12"/>
      <c r="AU45" s="10"/>
      <c r="AV45" s="10"/>
      <c r="AW45" s="10"/>
      <c r="AX45" s="113" t="str">
        <f t="shared" si="10"/>
        <v/>
      </c>
      <c r="AY45" s="11"/>
      <c r="AZ45" s="11"/>
      <c r="BA45" s="11"/>
      <c r="BB45" s="11"/>
      <c r="BC45" s="113" t="str">
        <f t="shared" si="11"/>
        <v/>
      </c>
      <c r="BD45" s="16"/>
      <c r="BE45" s="112" t="str">
        <f t="shared" si="12"/>
        <v/>
      </c>
      <c r="BG45" s="101"/>
    </row>
    <row r="46" spans="1:59" s="102" customFormat="1" ht="14.1" customHeight="1" x14ac:dyDescent="0.2">
      <c r="A46" s="101"/>
      <c r="C46" s="115">
        <f t="shared" si="0"/>
        <v>39</v>
      </c>
      <c r="D46" s="8"/>
      <c r="E46" s="99"/>
      <c r="F46" s="24"/>
      <c r="G46" s="10"/>
      <c r="H46" s="10"/>
      <c r="I46" s="10"/>
      <c r="J46" s="10"/>
      <c r="K46" s="113" t="str">
        <f t="shared" si="1"/>
        <v/>
      </c>
      <c r="L46" s="11"/>
      <c r="M46" s="11"/>
      <c r="N46" s="11"/>
      <c r="O46" s="11"/>
      <c r="P46" s="113" t="str">
        <f t="shared" si="2"/>
        <v/>
      </c>
      <c r="Q46" s="16"/>
      <c r="R46" s="112" t="str">
        <f t="shared" si="3"/>
        <v/>
      </c>
      <c r="S46" s="114"/>
      <c r="T46" s="12"/>
      <c r="U46" s="10"/>
      <c r="V46" s="10"/>
      <c r="W46" s="10"/>
      <c r="X46" s="113" t="str">
        <f t="shared" si="4"/>
        <v/>
      </c>
      <c r="Y46" s="11"/>
      <c r="Z46" s="11"/>
      <c r="AA46" s="11"/>
      <c r="AB46" s="11"/>
      <c r="AC46" s="113" t="str">
        <f t="shared" si="5"/>
        <v/>
      </c>
      <c r="AD46" s="16"/>
      <c r="AE46" s="112" t="str">
        <f t="shared" si="6"/>
        <v/>
      </c>
      <c r="AF46" s="114"/>
      <c r="AG46" s="12"/>
      <c r="AH46" s="10"/>
      <c r="AI46" s="10"/>
      <c r="AJ46" s="10"/>
      <c r="AK46" s="113" t="str">
        <f t="shared" si="7"/>
        <v/>
      </c>
      <c r="AL46" s="11"/>
      <c r="AM46" s="11"/>
      <c r="AN46" s="11"/>
      <c r="AO46" s="11"/>
      <c r="AP46" s="113" t="str">
        <f t="shared" si="8"/>
        <v/>
      </c>
      <c r="AQ46" s="16"/>
      <c r="AR46" s="112" t="str">
        <f t="shared" si="9"/>
        <v/>
      </c>
      <c r="AS46" s="114"/>
      <c r="AT46" s="12"/>
      <c r="AU46" s="10"/>
      <c r="AV46" s="10"/>
      <c r="AW46" s="10"/>
      <c r="AX46" s="113" t="str">
        <f t="shared" si="10"/>
        <v/>
      </c>
      <c r="AY46" s="11"/>
      <c r="AZ46" s="11"/>
      <c r="BA46" s="11"/>
      <c r="BB46" s="11"/>
      <c r="BC46" s="113" t="str">
        <f t="shared" si="11"/>
        <v/>
      </c>
      <c r="BD46" s="16"/>
      <c r="BE46" s="112" t="str">
        <f t="shared" si="12"/>
        <v/>
      </c>
      <c r="BG46" s="101"/>
    </row>
    <row r="47" spans="1:59" s="102" customFormat="1" ht="14.1" customHeight="1" x14ac:dyDescent="0.2">
      <c r="A47" s="101"/>
      <c r="C47" s="115">
        <f t="shared" si="0"/>
        <v>40</v>
      </c>
      <c r="D47" s="8"/>
      <c r="E47" s="99"/>
      <c r="F47" s="24"/>
      <c r="G47" s="10"/>
      <c r="H47" s="10"/>
      <c r="I47" s="10"/>
      <c r="J47" s="10"/>
      <c r="K47" s="113" t="str">
        <f t="shared" si="1"/>
        <v/>
      </c>
      <c r="L47" s="11"/>
      <c r="M47" s="11"/>
      <c r="N47" s="11"/>
      <c r="O47" s="11"/>
      <c r="P47" s="113" t="str">
        <f t="shared" si="2"/>
        <v/>
      </c>
      <c r="Q47" s="16"/>
      <c r="R47" s="112" t="str">
        <f t="shared" si="3"/>
        <v/>
      </c>
      <c r="S47" s="114"/>
      <c r="T47" s="12"/>
      <c r="U47" s="10"/>
      <c r="V47" s="10"/>
      <c r="W47" s="10"/>
      <c r="X47" s="113" t="str">
        <f t="shared" si="4"/>
        <v/>
      </c>
      <c r="Y47" s="11"/>
      <c r="Z47" s="11"/>
      <c r="AA47" s="11"/>
      <c r="AB47" s="11"/>
      <c r="AC47" s="113" t="str">
        <f t="shared" si="5"/>
        <v/>
      </c>
      <c r="AD47" s="16"/>
      <c r="AE47" s="112" t="str">
        <f t="shared" si="6"/>
        <v/>
      </c>
      <c r="AF47" s="114"/>
      <c r="AG47" s="12"/>
      <c r="AH47" s="10"/>
      <c r="AI47" s="10"/>
      <c r="AJ47" s="10"/>
      <c r="AK47" s="113" t="str">
        <f t="shared" si="7"/>
        <v/>
      </c>
      <c r="AL47" s="11"/>
      <c r="AM47" s="11"/>
      <c r="AN47" s="11"/>
      <c r="AO47" s="11"/>
      <c r="AP47" s="113" t="str">
        <f t="shared" si="8"/>
        <v/>
      </c>
      <c r="AQ47" s="16"/>
      <c r="AR47" s="112" t="str">
        <f t="shared" si="9"/>
        <v/>
      </c>
      <c r="AS47" s="114"/>
      <c r="AT47" s="12"/>
      <c r="AU47" s="10"/>
      <c r="AV47" s="10"/>
      <c r="AW47" s="10"/>
      <c r="AX47" s="113" t="str">
        <f t="shared" si="10"/>
        <v/>
      </c>
      <c r="AY47" s="11"/>
      <c r="AZ47" s="11"/>
      <c r="BA47" s="11"/>
      <c r="BB47" s="11"/>
      <c r="BC47" s="113" t="str">
        <f t="shared" si="11"/>
        <v/>
      </c>
      <c r="BD47" s="16"/>
      <c r="BE47" s="112" t="str">
        <f t="shared" si="12"/>
        <v/>
      </c>
      <c r="BG47" s="101"/>
    </row>
    <row r="48" spans="1:59" s="102" customFormat="1" ht="14.1" customHeight="1" x14ac:dyDescent="0.2">
      <c r="A48" s="101"/>
      <c r="C48" s="115">
        <f t="shared" si="0"/>
        <v>41</v>
      </c>
      <c r="D48" s="8"/>
      <c r="E48" s="99"/>
      <c r="F48" s="24"/>
      <c r="G48" s="10"/>
      <c r="H48" s="10"/>
      <c r="I48" s="10"/>
      <c r="J48" s="10"/>
      <c r="K48" s="113" t="str">
        <f t="shared" si="1"/>
        <v/>
      </c>
      <c r="L48" s="11"/>
      <c r="M48" s="11"/>
      <c r="N48" s="11"/>
      <c r="O48" s="11"/>
      <c r="P48" s="113" t="str">
        <f t="shared" si="2"/>
        <v/>
      </c>
      <c r="Q48" s="16"/>
      <c r="R48" s="112" t="str">
        <f t="shared" si="3"/>
        <v/>
      </c>
      <c r="S48" s="114"/>
      <c r="T48" s="12"/>
      <c r="U48" s="10"/>
      <c r="V48" s="10"/>
      <c r="W48" s="10"/>
      <c r="X48" s="113" t="str">
        <f t="shared" si="4"/>
        <v/>
      </c>
      <c r="Y48" s="11"/>
      <c r="Z48" s="11"/>
      <c r="AA48" s="11"/>
      <c r="AB48" s="11"/>
      <c r="AC48" s="113" t="str">
        <f t="shared" si="5"/>
        <v/>
      </c>
      <c r="AD48" s="16"/>
      <c r="AE48" s="112" t="str">
        <f t="shared" si="6"/>
        <v/>
      </c>
      <c r="AF48" s="114"/>
      <c r="AG48" s="12"/>
      <c r="AH48" s="10"/>
      <c r="AI48" s="10"/>
      <c r="AJ48" s="10"/>
      <c r="AK48" s="113" t="str">
        <f t="shared" si="7"/>
        <v/>
      </c>
      <c r="AL48" s="11"/>
      <c r="AM48" s="11"/>
      <c r="AN48" s="11"/>
      <c r="AO48" s="11"/>
      <c r="AP48" s="113" t="str">
        <f t="shared" si="8"/>
        <v/>
      </c>
      <c r="AQ48" s="16"/>
      <c r="AR48" s="112" t="str">
        <f t="shared" si="9"/>
        <v/>
      </c>
      <c r="AS48" s="114"/>
      <c r="AT48" s="12"/>
      <c r="AU48" s="10"/>
      <c r="AV48" s="10"/>
      <c r="AW48" s="10"/>
      <c r="AX48" s="113" t="str">
        <f t="shared" si="10"/>
        <v/>
      </c>
      <c r="AY48" s="11"/>
      <c r="AZ48" s="11"/>
      <c r="BA48" s="11"/>
      <c r="BB48" s="11"/>
      <c r="BC48" s="113" t="str">
        <f t="shared" si="11"/>
        <v/>
      </c>
      <c r="BD48" s="16"/>
      <c r="BE48" s="112" t="str">
        <f t="shared" si="12"/>
        <v/>
      </c>
      <c r="BG48" s="101"/>
    </row>
    <row r="49" spans="1:59" s="102" customFormat="1" ht="14.1" customHeight="1" x14ac:dyDescent="0.2">
      <c r="A49" s="101"/>
      <c r="C49" s="115">
        <f t="shared" si="0"/>
        <v>42</v>
      </c>
      <c r="D49" s="8"/>
      <c r="E49" s="99"/>
      <c r="F49" s="24"/>
      <c r="G49" s="10"/>
      <c r="H49" s="10"/>
      <c r="I49" s="10"/>
      <c r="J49" s="10"/>
      <c r="K49" s="113" t="str">
        <f t="shared" si="1"/>
        <v/>
      </c>
      <c r="L49" s="11"/>
      <c r="M49" s="11"/>
      <c r="N49" s="11"/>
      <c r="O49" s="11"/>
      <c r="P49" s="113" t="str">
        <f t="shared" si="2"/>
        <v/>
      </c>
      <c r="Q49" s="16"/>
      <c r="R49" s="112" t="str">
        <f t="shared" si="3"/>
        <v/>
      </c>
      <c r="S49" s="114"/>
      <c r="T49" s="12"/>
      <c r="U49" s="10"/>
      <c r="V49" s="10"/>
      <c r="W49" s="10"/>
      <c r="X49" s="113" t="str">
        <f t="shared" si="4"/>
        <v/>
      </c>
      <c r="Y49" s="11"/>
      <c r="Z49" s="11"/>
      <c r="AA49" s="11"/>
      <c r="AB49" s="11"/>
      <c r="AC49" s="113" t="str">
        <f t="shared" si="5"/>
        <v/>
      </c>
      <c r="AD49" s="16"/>
      <c r="AE49" s="112" t="str">
        <f t="shared" si="6"/>
        <v/>
      </c>
      <c r="AF49" s="114"/>
      <c r="AG49" s="12"/>
      <c r="AH49" s="10"/>
      <c r="AI49" s="10"/>
      <c r="AJ49" s="10"/>
      <c r="AK49" s="113" t="str">
        <f t="shared" si="7"/>
        <v/>
      </c>
      <c r="AL49" s="11"/>
      <c r="AM49" s="11"/>
      <c r="AN49" s="11"/>
      <c r="AO49" s="11"/>
      <c r="AP49" s="113" t="str">
        <f t="shared" si="8"/>
        <v/>
      </c>
      <c r="AQ49" s="16"/>
      <c r="AR49" s="112" t="str">
        <f t="shared" si="9"/>
        <v/>
      </c>
      <c r="AS49" s="114"/>
      <c r="AT49" s="12"/>
      <c r="AU49" s="10"/>
      <c r="AV49" s="10"/>
      <c r="AW49" s="10"/>
      <c r="AX49" s="113" t="str">
        <f t="shared" si="10"/>
        <v/>
      </c>
      <c r="AY49" s="11"/>
      <c r="AZ49" s="11"/>
      <c r="BA49" s="11"/>
      <c r="BB49" s="11"/>
      <c r="BC49" s="113" t="str">
        <f t="shared" si="11"/>
        <v/>
      </c>
      <c r="BD49" s="16"/>
      <c r="BE49" s="112" t="str">
        <f t="shared" si="12"/>
        <v/>
      </c>
      <c r="BG49" s="101"/>
    </row>
    <row r="50" spans="1:59" s="102" customFormat="1" ht="14.1" customHeight="1" x14ac:dyDescent="0.2">
      <c r="A50" s="101"/>
      <c r="C50" s="115">
        <f t="shared" si="0"/>
        <v>43</v>
      </c>
      <c r="D50" s="8"/>
      <c r="E50" s="99"/>
      <c r="F50" s="24"/>
      <c r="G50" s="10"/>
      <c r="H50" s="10"/>
      <c r="I50" s="10"/>
      <c r="J50" s="10"/>
      <c r="K50" s="113" t="str">
        <f t="shared" si="1"/>
        <v/>
      </c>
      <c r="L50" s="11"/>
      <c r="M50" s="11"/>
      <c r="N50" s="11"/>
      <c r="O50" s="11"/>
      <c r="P50" s="113" t="str">
        <f t="shared" si="2"/>
        <v/>
      </c>
      <c r="Q50" s="16"/>
      <c r="R50" s="112" t="str">
        <f t="shared" si="3"/>
        <v/>
      </c>
      <c r="S50" s="114"/>
      <c r="T50" s="12"/>
      <c r="U50" s="10"/>
      <c r="V50" s="10"/>
      <c r="W50" s="10"/>
      <c r="X50" s="113" t="str">
        <f t="shared" si="4"/>
        <v/>
      </c>
      <c r="Y50" s="11"/>
      <c r="Z50" s="11"/>
      <c r="AA50" s="11"/>
      <c r="AB50" s="11"/>
      <c r="AC50" s="113" t="str">
        <f t="shared" si="5"/>
        <v/>
      </c>
      <c r="AD50" s="16"/>
      <c r="AE50" s="112" t="str">
        <f t="shared" si="6"/>
        <v/>
      </c>
      <c r="AF50" s="114"/>
      <c r="AG50" s="12"/>
      <c r="AH50" s="10"/>
      <c r="AI50" s="10"/>
      <c r="AJ50" s="10"/>
      <c r="AK50" s="113" t="str">
        <f t="shared" si="7"/>
        <v/>
      </c>
      <c r="AL50" s="11"/>
      <c r="AM50" s="11"/>
      <c r="AN50" s="11"/>
      <c r="AO50" s="11"/>
      <c r="AP50" s="113" t="str">
        <f t="shared" si="8"/>
        <v/>
      </c>
      <c r="AQ50" s="16"/>
      <c r="AR50" s="112" t="str">
        <f t="shared" si="9"/>
        <v/>
      </c>
      <c r="AS50" s="114"/>
      <c r="AT50" s="12"/>
      <c r="AU50" s="10"/>
      <c r="AV50" s="10"/>
      <c r="AW50" s="10"/>
      <c r="AX50" s="113" t="str">
        <f t="shared" si="10"/>
        <v/>
      </c>
      <c r="AY50" s="11"/>
      <c r="AZ50" s="11"/>
      <c r="BA50" s="11"/>
      <c r="BB50" s="11"/>
      <c r="BC50" s="113" t="str">
        <f t="shared" si="11"/>
        <v/>
      </c>
      <c r="BD50" s="16"/>
      <c r="BE50" s="112" t="str">
        <f t="shared" si="12"/>
        <v/>
      </c>
      <c r="BG50" s="101"/>
    </row>
    <row r="51" spans="1:59" s="102" customFormat="1" ht="14.1" customHeight="1" x14ac:dyDescent="0.2">
      <c r="A51" s="101"/>
      <c r="C51" s="115">
        <f t="shared" si="0"/>
        <v>44</v>
      </c>
      <c r="D51" s="8"/>
      <c r="E51" s="99"/>
      <c r="F51" s="24"/>
      <c r="G51" s="10"/>
      <c r="H51" s="10"/>
      <c r="I51" s="10"/>
      <c r="J51" s="10"/>
      <c r="K51" s="113" t="str">
        <f t="shared" si="1"/>
        <v/>
      </c>
      <c r="L51" s="11"/>
      <c r="M51" s="11"/>
      <c r="N51" s="11"/>
      <c r="O51" s="11"/>
      <c r="P51" s="113" t="str">
        <f t="shared" si="2"/>
        <v/>
      </c>
      <c r="Q51" s="16"/>
      <c r="R51" s="112" t="str">
        <f t="shared" si="3"/>
        <v/>
      </c>
      <c r="S51" s="114"/>
      <c r="T51" s="12"/>
      <c r="U51" s="10"/>
      <c r="V51" s="10"/>
      <c r="W51" s="10"/>
      <c r="X51" s="113" t="str">
        <f t="shared" si="4"/>
        <v/>
      </c>
      <c r="Y51" s="11"/>
      <c r="Z51" s="11"/>
      <c r="AA51" s="11"/>
      <c r="AB51" s="11"/>
      <c r="AC51" s="113" t="str">
        <f t="shared" si="5"/>
        <v/>
      </c>
      <c r="AD51" s="16"/>
      <c r="AE51" s="112" t="str">
        <f t="shared" si="6"/>
        <v/>
      </c>
      <c r="AF51" s="114"/>
      <c r="AG51" s="12"/>
      <c r="AH51" s="10"/>
      <c r="AI51" s="10"/>
      <c r="AJ51" s="10"/>
      <c r="AK51" s="113" t="str">
        <f t="shared" si="7"/>
        <v/>
      </c>
      <c r="AL51" s="11"/>
      <c r="AM51" s="11"/>
      <c r="AN51" s="11"/>
      <c r="AO51" s="11"/>
      <c r="AP51" s="113" t="str">
        <f t="shared" si="8"/>
        <v/>
      </c>
      <c r="AQ51" s="16"/>
      <c r="AR51" s="112" t="str">
        <f t="shared" si="9"/>
        <v/>
      </c>
      <c r="AS51" s="114"/>
      <c r="AT51" s="12"/>
      <c r="AU51" s="10"/>
      <c r="AV51" s="10"/>
      <c r="AW51" s="10"/>
      <c r="AX51" s="113" t="str">
        <f t="shared" si="10"/>
        <v/>
      </c>
      <c r="AY51" s="11"/>
      <c r="AZ51" s="11"/>
      <c r="BA51" s="11"/>
      <c r="BB51" s="11"/>
      <c r="BC51" s="113" t="str">
        <f t="shared" si="11"/>
        <v/>
      </c>
      <c r="BD51" s="16"/>
      <c r="BE51" s="112" t="str">
        <f t="shared" si="12"/>
        <v/>
      </c>
      <c r="BG51" s="101"/>
    </row>
    <row r="52" spans="1:59" s="102" customFormat="1" ht="14.1" customHeight="1" x14ac:dyDescent="0.2">
      <c r="A52" s="101"/>
      <c r="C52" s="115">
        <f t="shared" si="0"/>
        <v>45</v>
      </c>
      <c r="D52" s="8"/>
      <c r="E52" s="99"/>
      <c r="F52" s="24"/>
      <c r="G52" s="10"/>
      <c r="H52" s="10"/>
      <c r="I52" s="10"/>
      <c r="J52" s="10"/>
      <c r="K52" s="113" t="str">
        <f t="shared" si="1"/>
        <v/>
      </c>
      <c r="L52" s="11"/>
      <c r="M52" s="11"/>
      <c r="N52" s="11"/>
      <c r="O52" s="11"/>
      <c r="P52" s="113" t="str">
        <f t="shared" si="2"/>
        <v/>
      </c>
      <c r="Q52" s="16"/>
      <c r="R52" s="112" t="str">
        <f t="shared" si="3"/>
        <v/>
      </c>
      <c r="S52" s="114"/>
      <c r="T52" s="12"/>
      <c r="U52" s="10"/>
      <c r="V52" s="10"/>
      <c r="W52" s="10"/>
      <c r="X52" s="113" t="str">
        <f t="shared" si="4"/>
        <v/>
      </c>
      <c r="Y52" s="11"/>
      <c r="Z52" s="11"/>
      <c r="AA52" s="11"/>
      <c r="AB52" s="11"/>
      <c r="AC52" s="113" t="str">
        <f t="shared" si="5"/>
        <v/>
      </c>
      <c r="AD52" s="16"/>
      <c r="AE52" s="112" t="str">
        <f t="shared" si="6"/>
        <v/>
      </c>
      <c r="AF52" s="114"/>
      <c r="AG52" s="12"/>
      <c r="AH52" s="10"/>
      <c r="AI52" s="10"/>
      <c r="AJ52" s="10"/>
      <c r="AK52" s="113" t="str">
        <f t="shared" si="7"/>
        <v/>
      </c>
      <c r="AL52" s="11"/>
      <c r="AM52" s="11"/>
      <c r="AN52" s="11"/>
      <c r="AO52" s="11"/>
      <c r="AP52" s="113" t="str">
        <f t="shared" si="8"/>
        <v/>
      </c>
      <c r="AQ52" s="16"/>
      <c r="AR52" s="112" t="str">
        <f t="shared" si="9"/>
        <v/>
      </c>
      <c r="AS52" s="114"/>
      <c r="AT52" s="12"/>
      <c r="AU52" s="10"/>
      <c r="AV52" s="10"/>
      <c r="AW52" s="10"/>
      <c r="AX52" s="113" t="str">
        <f t="shared" si="10"/>
        <v/>
      </c>
      <c r="AY52" s="11"/>
      <c r="AZ52" s="11"/>
      <c r="BA52" s="11"/>
      <c r="BB52" s="11"/>
      <c r="BC52" s="113" t="str">
        <f t="shared" si="11"/>
        <v/>
      </c>
      <c r="BD52" s="16"/>
      <c r="BE52" s="112" t="str">
        <f t="shared" si="12"/>
        <v/>
      </c>
      <c r="BG52" s="101"/>
    </row>
    <row r="53" spans="1:59" s="102" customFormat="1" ht="14.1" customHeight="1" x14ac:dyDescent="0.2">
      <c r="A53" s="101"/>
      <c r="C53" s="115">
        <f t="shared" si="0"/>
        <v>46</v>
      </c>
      <c r="D53" s="8"/>
      <c r="E53" s="99"/>
      <c r="F53" s="24"/>
      <c r="G53" s="10"/>
      <c r="H53" s="10"/>
      <c r="I53" s="10"/>
      <c r="J53" s="10"/>
      <c r="K53" s="113" t="str">
        <f t="shared" si="1"/>
        <v/>
      </c>
      <c r="L53" s="11"/>
      <c r="M53" s="11"/>
      <c r="N53" s="11"/>
      <c r="O53" s="11"/>
      <c r="P53" s="113" t="str">
        <f t="shared" si="2"/>
        <v/>
      </c>
      <c r="Q53" s="16"/>
      <c r="R53" s="112" t="str">
        <f t="shared" si="3"/>
        <v/>
      </c>
      <c r="S53" s="114"/>
      <c r="T53" s="12"/>
      <c r="U53" s="10"/>
      <c r="V53" s="10"/>
      <c r="W53" s="10"/>
      <c r="X53" s="113" t="str">
        <f t="shared" si="4"/>
        <v/>
      </c>
      <c r="Y53" s="11"/>
      <c r="Z53" s="11"/>
      <c r="AA53" s="11"/>
      <c r="AB53" s="11"/>
      <c r="AC53" s="113" t="str">
        <f t="shared" si="5"/>
        <v/>
      </c>
      <c r="AD53" s="16"/>
      <c r="AE53" s="112" t="str">
        <f t="shared" si="6"/>
        <v/>
      </c>
      <c r="AF53" s="114"/>
      <c r="AG53" s="12"/>
      <c r="AH53" s="10"/>
      <c r="AI53" s="10"/>
      <c r="AJ53" s="10"/>
      <c r="AK53" s="113" t="str">
        <f t="shared" si="7"/>
        <v/>
      </c>
      <c r="AL53" s="11"/>
      <c r="AM53" s="11"/>
      <c r="AN53" s="11"/>
      <c r="AO53" s="11"/>
      <c r="AP53" s="113" t="str">
        <f t="shared" si="8"/>
        <v/>
      </c>
      <c r="AQ53" s="16"/>
      <c r="AR53" s="112" t="str">
        <f t="shared" si="9"/>
        <v/>
      </c>
      <c r="AS53" s="114"/>
      <c r="AT53" s="12"/>
      <c r="AU53" s="10"/>
      <c r="AV53" s="10"/>
      <c r="AW53" s="10"/>
      <c r="AX53" s="113" t="str">
        <f t="shared" si="10"/>
        <v/>
      </c>
      <c r="AY53" s="11"/>
      <c r="AZ53" s="11"/>
      <c r="BA53" s="11"/>
      <c r="BB53" s="11"/>
      <c r="BC53" s="113" t="str">
        <f t="shared" si="11"/>
        <v/>
      </c>
      <c r="BD53" s="16"/>
      <c r="BE53" s="112" t="str">
        <f t="shared" si="12"/>
        <v/>
      </c>
      <c r="BG53" s="101"/>
    </row>
    <row r="54" spans="1:59" s="102" customFormat="1" ht="14.1" customHeight="1" x14ac:dyDescent="0.2">
      <c r="A54" s="101"/>
      <c r="C54" s="115">
        <f t="shared" si="0"/>
        <v>47</v>
      </c>
      <c r="D54" s="8"/>
      <c r="E54" s="99"/>
      <c r="F54" s="24"/>
      <c r="G54" s="10"/>
      <c r="H54" s="10"/>
      <c r="I54" s="10"/>
      <c r="J54" s="10"/>
      <c r="K54" s="113" t="str">
        <f t="shared" si="1"/>
        <v/>
      </c>
      <c r="L54" s="11"/>
      <c r="M54" s="11"/>
      <c r="N54" s="11"/>
      <c r="O54" s="11"/>
      <c r="P54" s="113" t="str">
        <f t="shared" si="2"/>
        <v/>
      </c>
      <c r="Q54" s="16"/>
      <c r="R54" s="112" t="str">
        <f t="shared" si="3"/>
        <v/>
      </c>
      <c r="S54" s="114"/>
      <c r="T54" s="12"/>
      <c r="U54" s="10"/>
      <c r="V54" s="10"/>
      <c r="W54" s="10"/>
      <c r="X54" s="113" t="str">
        <f t="shared" si="4"/>
        <v/>
      </c>
      <c r="Y54" s="11"/>
      <c r="Z54" s="11"/>
      <c r="AA54" s="11"/>
      <c r="AB54" s="11"/>
      <c r="AC54" s="113" t="str">
        <f t="shared" si="5"/>
        <v/>
      </c>
      <c r="AD54" s="16"/>
      <c r="AE54" s="112" t="str">
        <f t="shared" si="6"/>
        <v/>
      </c>
      <c r="AF54" s="114"/>
      <c r="AG54" s="12"/>
      <c r="AH54" s="10"/>
      <c r="AI54" s="10"/>
      <c r="AJ54" s="10"/>
      <c r="AK54" s="113" t="str">
        <f t="shared" si="7"/>
        <v/>
      </c>
      <c r="AL54" s="11"/>
      <c r="AM54" s="11"/>
      <c r="AN54" s="11"/>
      <c r="AO54" s="11"/>
      <c r="AP54" s="113" t="str">
        <f t="shared" si="8"/>
        <v/>
      </c>
      <c r="AQ54" s="16"/>
      <c r="AR54" s="112" t="str">
        <f t="shared" si="9"/>
        <v/>
      </c>
      <c r="AS54" s="114"/>
      <c r="AT54" s="12"/>
      <c r="AU54" s="10"/>
      <c r="AV54" s="10"/>
      <c r="AW54" s="10"/>
      <c r="AX54" s="113" t="str">
        <f t="shared" si="10"/>
        <v/>
      </c>
      <c r="AY54" s="11"/>
      <c r="AZ54" s="11"/>
      <c r="BA54" s="11"/>
      <c r="BB54" s="11"/>
      <c r="BC54" s="113" t="str">
        <f t="shared" si="11"/>
        <v/>
      </c>
      <c r="BD54" s="16"/>
      <c r="BE54" s="112" t="str">
        <f t="shared" si="12"/>
        <v/>
      </c>
      <c r="BG54" s="101"/>
    </row>
    <row r="55" spans="1:59" s="102" customFormat="1" ht="14.1" customHeight="1" x14ac:dyDescent="0.2">
      <c r="A55" s="101"/>
      <c r="C55" s="115">
        <f t="shared" si="0"/>
        <v>48</v>
      </c>
      <c r="D55" s="8"/>
      <c r="E55" s="99"/>
      <c r="F55" s="24"/>
      <c r="G55" s="10"/>
      <c r="H55" s="10"/>
      <c r="I55" s="10"/>
      <c r="J55" s="10"/>
      <c r="K55" s="113" t="str">
        <f t="shared" si="1"/>
        <v/>
      </c>
      <c r="L55" s="11"/>
      <c r="M55" s="11"/>
      <c r="N55" s="11"/>
      <c r="O55" s="11"/>
      <c r="P55" s="113" t="str">
        <f t="shared" si="2"/>
        <v/>
      </c>
      <c r="Q55" s="16"/>
      <c r="R55" s="112" t="str">
        <f t="shared" si="3"/>
        <v/>
      </c>
      <c r="S55" s="114"/>
      <c r="T55" s="12"/>
      <c r="U55" s="10"/>
      <c r="V55" s="10"/>
      <c r="W55" s="10"/>
      <c r="X55" s="113" t="str">
        <f t="shared" si="4"/>
        <v/>
      </c>
      <c r="Y55" s="11"/>
      <c r="Z55" s="11"/>
      <c r="AA55" s="11"/>
      <c r="AB55" s="11"/>
      <c r="AC55" s="113" t="str">
        <f t="shared" si="5"/>
        <v/>
      </c>
      <c r="AD55" s="16"/>
      <c r="AE55" s="112" t="str">
        <f t="shared" si="6"/>
        <v/>
      </c>
      <c r="AF55" s="114"/>
      <c r="AG55" s="12"/>
      <c r="AH55" s="10"/>
      <c r="AI55" s="10"/>
      <c r="AJ55" s="10"/>
      <c r="AK55" s="113" t="str">
        <f t="shared" si="7"/>
        <v/>
      </c>
      <c r="AL55" s="11"/>
      <c r="AM55" s="11"/>
      <c r="AN55" s="11"/>
      <c r="AO55" s="11"/>
      <c r="AP55" s="113" t="str">
        <f t="shared" si="8"/>
        <v/>
      </c>
      <c r="AQ55" s="16"/>
      <c r="AR55" s="112" t="str">
        <f t="shared" si="9"/>
        <v/>
      </c>
      <c r="AS55" s="114"/>
      <c r="AT55" s="12"/>
      <c r="AU55" s="10"/>
      <c r="AV55" s="10"/>
      <c r="AW55" s="10"/>
      <c r="AX55" s="113" t="str">
        <f t="shared" si="10"/>
        <v/>
      </c>
      <c r="AY55" s="11"/>
      <c r="AZ55" s="11"/>
      <c r="BA55" s="11"/>
      <c r="BB55" s="11"/>
      <c r="BC55" s="113" t="str">
        <f t="shared" si="11"/>
        <v/>
      </c>
      <c r="BD55" s="16"/>
      <c r="BE55" s="112" t="str">
        <f t="shared" si="12"/>
        <v/>
      </c>
      <c r="BG55" s="101"/>
    </row>
    <row r="56" spans="1:59" s="102" customFormat="1" ht="14.1" customHeight="1" x14ac:dyDescent="0.2">
      <c r="A56" s="101"/>
      <c r="C56" s="115">
        <f t="shared" si="0"/>
        <v>49</v>
      </c>
      <c r="D56" s="8"/>
      <c r="E56" s="99"/>
      <c r="F56" s="24"/>
      <c r="G56" s="10"/>
      <c r="H56" s="10"/>
      <c r="I56" s="10"/>
      <c r="J56" s="10"/>
      <c r="K56" s="113" t="str">
        <f t="shared" si="1"/>
        <v/>
      </c>
      <c r="L56" s="11"/>
      <c r="M56" s="11"/>
      <c r="N56" s="11"/>
      <c r="O56" s="11"/>
      <c r="P56" s="113" t="str">
        <f t="shared" si="2"/>
        <v/>
      </c>
      <c r="Q56" s="16"/>
      <c r="R56" s="112" t="str">
        <f t="shared" si="3"/>
        <v/>
      </c>
      <c r="S56" s="114"/>
      <c r="T56" s="12"/>
      <c r="U56" s="10"/>
      <c r="V56" s="10"/>
      <c r="W56" s="10"/>
      <c r="X56" s="113" t="str">
        <f t="shared" si="4"/>
        <v/>
      </c>
      <c r="Y56" s="11"/>
      <c r="Z56" s="11"/>
      <c r="AA56" s="11"/>
      <c r="AB56" s="11"/>
      <c r="AC56" s="113" t="str">
        <f t="shared" si="5"/>
        <v/>
      </c>
      <c r="AD56" s="16"/>
      <c r="AE56" s="112" t="str">
        <f t="shared" si="6"/>
        <v/>
      </c>
      <c r="AF56" s="114"/>
      <c r="AG56" s="12"/>
      <c r="AH56" s="10"/>
      <c r="AI56" s="10"/>
      <c r="AJ56" s="10"/>
      <c r="AK56" s="113" t="str">
        <f t="shared" si="7"/>
        <v/>
      </c>
      <c r="AL56" s="11"/>
      <c r="AM56" s="11"/>
      <c r="AN56" s="11"/>
      <c r="AO56" s="11"/>
      <c r="AP56" s="113" t="str">
        <f t="shared" si="8"/>
        <v/>
      </c>
      <c r="AQ56" s="16"/>
      <c r="AR56" s="112" t="str">
        <f t="shared" si="9"/>
        <v/>
      </c>
      <c r="AS56" s="114"/>
      <c r="AT56" s="12"/>
      <c r="AU56" s="10"/>
      <c r="AV56" s="10"/>
      <c r="AW56" s="10"/>
      <c r="AX56" s="113" t="str">
        <f t="shared" si="10"/>
        <v/>
      </c>
      <c r="AY56" s="11"/>
      <c r="AZ56" s="11"/>
      <c r="BA56" s="11"/>
      <c r="BB56" s="11"/>
      <c r="BC56" s="113" t="str">
        <f t="shared" si="11"/>
        <v/>
      </c>
      <c r="BD56" s="16"/>
      <c r="BE56" s="112" t="str">
        <f t="shared" si="12"/>
        <v/>
      </c>
      <c r="BG56" s="101"/>
    </row>
    <row r="57" spans="1:59" s="102" customFormat="1" ht="14.1" customHeight="1" thickBot="1" x14ac:dyDescent="0.25">
      <c r="A57" s="101"/>
      <c r="C57" s="116">
        <f t="shared" si="0"/>
        <v>50</v>
      </c>
      <c r="D57" s="9"/>
      <c r="E57" s="100"/>
      <c r="F57" s="25"/>
      <c r="G57" s="13"/>
      <c r="H57" s="13"/>
      <c r="I57" s="13"/>
      <c r="J57" s="13"/>
      <c r="K57" s="333" t="str">
        <f t="shared" si="1"/>
        <v/>
      </c>
      <c r="L57" s="14"/>
      <c r="M57" s="14"/>
      <c r="N57" s="14"/>
      <c r="O57" s="14"/>
      <c r="P57" s="333" t="str">
        <f t="shared" si="2"/>
        <v/>
      </c>
      <c r="Q57" s="17"/>
      <c r="R57" s="334" t="str">
        <f t="shared" si="3"/>
        <v/>
      </c>
      <c r="S57" s="114"/>
      <c r="T57" s="15"/>
      <c r="U57" s="13"/>
      <c r="V57" s="13"/>
      <c r="W57" s="13"/>
      <c r="X57" s="333" t="str">
        <f t="shared" si="4"/>
        <v/>
      </c>
      <c r="Y57" s="14"/>
      <c r="Z57" s="14"/>
      <c r="AA57" s="14"/>
      <c r="AB57" s="14"/>
      <c r="AC57" s="333" t="str">
        <f t="shared" si="5"/>
        <v/>
      </c>
      <c r="AD57" s="17"/>
      <c r="AE57" s="334" t="str">
        <f t="shared" si="6"/>
        <v/>
      </c>
      <c r="AF57" s="114"/>
      <c r="AG57" s="15"/>
      <c r="AH57" s="13"/>
      <c r="AI57" s="13"/>
      <c r="AJ57" s="13"/>
      <c r="AK57" s="333" t="str">
        <f t="shared" si="7"/>
        <v/>
      </c>
      <c r="AL57" s="14"/>
      <c r="AM57" s="14"/>
      <c r="AN57" s="14"/>
      <c r="AO57" s="14"/>
      <c r="AP57" s="333" t="str">
        <f t="shared" si="8"/>
        <v/>
      </c>
      <c r="AQ57" s="17"/>
      <c r="AR57" s="334" t="str">
        <f t="shared" si="9"/>
        <v/>
      </c>
      <c r="AS57" s="114"/>
      <c r="AT57" s="15"/>
      <c r="AU57" s="13"/>
      <c r="AV57" s="13"/>
      <c r="AW57" s="13"/>
      <c r="AX57" s="333" t="str">
        <f t="shared" si="10"/>
        <v/>
      </c>
      <c r="AY57" s="14"/>
      <c r="AZ57" s="14"/>
      <c r="BA57" s="14"/>
      <c r="BB57" s="14"/>
      <c r="BC57" s="333" t="str">
        <f t="shared" si="11"/>
        <v/>
      </c>
      <c r="BD57" s="17"/>
      <c r="BE57" s="334" t="str">
        <f t="shared" si="12"/>
        <v/>
      </c>
      <c r="BG57" s="101"/>
    </row>
    <row r="58" spans="1:59" s="102" customFormat="1" ht="15" customHeight="1" x14ac:dyDescent="0.2">
      <c r="A58" s="101"/>
      <c r="C58" s="103"/>
      <c r="D58" s="104"/>
      <c r="E58" s="104"/>
      <c r="G58" s="105"/>
      <c r="H58" s="105"/>
      <c r="I58" s="105"/>
      <c r="J58" s="105"/>
      <c r="K58" s="105"/>
      <c r="L58" s="103"/>
      <c r="M58" s="103"/>
      <c r="N58" s="103"/>
      <c r="O58" s="103"/>
      <c r="P58" s="105"/>
      <c r="Q58" s="103"/>
      <c r="R58" s="103"/>
      <c r="T58" s="105"/>
      <c r="U58" s="105"/>
      <c r="V58" s="105"/>
      <c r="W58" s="105"/>
      <c r="X58" s="105"/>
      <c r="Y58" s="103"/>
      <c r="Z58" s="103"/>
      <c r="AA58" s="103"/>
      <c r="AB58" s="103"/>
      <c r="AC58" s="105"/>
      <c r="AD58" s="103"/>
      <c r="AE58" s="103"/>
      <c r="AG58" s="105"/>
      <c r="AH58" s="105"/>
      <c r="AI58" s="105"/>
      <c r="AJ58" s="105"/>
      <c r="AK58" s="105"/>
      <c r="AL58" s="103"/>
      <c r="AM58" s="103"/>
      <c r="AN58" s="103"/>
      <c r="AO58" s="103"/>
      <c r="AP58" s="105"/>
      <c r="AQ58" s="103"/>
      <c r="AR58" s="103"/>
      <c r="AT58" s="105"/>
      <c r="AU58" s="105"/>
      <c r="AV58" s="105"/>
      <c r="AW58" s="105"/>
      <c r="AX58" s="105"/>
      <c r="AY58" s="103"/>
      <c r="AZ58" s="103"/>
      <c r="BA58" s="103"/>
      <c r="BB58" s="103"/>
      <c r="BC58" s="105"/>
      <c r="BD58" s="103"/>
      <c r="BE58" s="103"/>
      <c r="BG58" s="101"/>
    </row>
    <row r="59" spans="1:59" s="102" customFormat="1" ht="9.9499999999999993" customHeight="1" x14ac:dyDescent="0.2">
      <c r="A59" s="101"/>
      <c r="B59" s="101"/>
      <c r="C59" s="106"/>
      <c r="D59" s="107"/>
      <c r="E59" s="107"/>
      <c r="F59" s="101"/>
      <c r="G59" s="108"/>
      <c r="H59" s="108"/>
      <c r="I59" s="108"/>
      <c r="J59" s="108"/>
      <c r="K59" s="108"/>
      <c r="L59" s="106"/>
      <c r="M59" s="106"/>
      <c r="N59" s="106"/>
      <c r="O59" s="106"/>
      <c r="P59" s="108"/>
      <c r="Q59" s="106"/>
      <c r="R59" s="106"/>
      <c r="S59" s="101"/>
      <c r="T59" s="108"/>
      <c r="U59" s="108"/>
      <c r="V59" s="108"/>
      <c r="W59" s="108"/>
      <c r="X59" s="108"/>
      <c r="Y59" s="106"/>
      <c r="Z59" s="106"/>
      <c r="AA59" s="106"/>
      <c r="AB59" s="106"/>
      <c r="AC59" s="108"/>
      <c r="AD59" s="106"/>
      <c r="AE59" s="106"/>
      <c r="AF59" s="101"/>
      <c r="AG59" s="108"/>
      <c r="AH59" s="108"/>
      <c r="AI59" s="108"/>
      <c r="AJ59" s="108"/>
      <c r="AK59" s="108"/>
      <c r="AL59" s="106"/>
      <c r="AM59" s="106"/>
      <c r="AN59" s="106"/>
      <c r="AO59" s="106"/>
      <c r="AP59" s="108"/>
      <c r="AQ59" s="106"/>
      <c r="AR59" s="106"/>
      <c r="AS59" s="101"/>
      <c r="AT59" s="108"/>
      <c r="AU59" s="108"/>
      <c r="AV59" s="108"/>
      <c r="AW59" s="108"/>
      <c r="AX59" s="108"/>
      <c r="AY59" s="106"/>
      <c r="AZ59" s="106"/>
      <c r="BA59" s="106"/>
      <c r="BB59" s="106"/>
      <c r="BC59" s="108"/>
      <c r="BD59" s="106"/>
      <c r="BE59" s="106"/>
      <c r="BF59" s="101"/>
      <c r="BG59" s="101"/>
    </row>
    <row r="60" spans="1:59" s="102" customFormat="1" x14ac:dyDescent="0.2">
      <c r="C60" s="103"/>
      <c r="D60" s="104"/>
      <c r="E60" s="104"/>
      <c r="G60" s="105"/>
      <c r="H60" s="105"/>
      <c r="I60" s="105"/>
      <c r="J60" s="105"/>
      <c r="K60" s="105"/>
      <c r="L60" s="103"/>
      <c r="M60" s="103"/>
      <c r="N60" s="103"/>
      <c r="O60" s="103"/>
      <c r="P60" s="105"/>
      <c r="Q60" s="103"/>
      <c r="R60" s="103"/>
      <c r="T60" s="105"/>
      <c r="U60" s="105"/>
      <c r="V60" s="105"/>
      <c r="W60" s="105"/>
      <c r="X60" s="105"/>
      <c r="Y60" s="103"/>
      <c r="Z60" s="103"/>
      <c r="AA60" s="103"/>
      <c r="AB60" s="103"/>
      <c r="AC60" s="105"/>
      <c r="AD60" s="103"/>
      <c r="AE60" s="103"/>
      <c r="AG60" s="105"/>
      <c r="AH60" s="105"/>
      <c r="AI60" s="105"/>
      <c r="AJ60" s="105"/>
      <c r="AK60" s="105"/>
      <c r="AL60" s="103"/>
      <c r="AM60" s="103"/>
      <c r="AN60" s="103"/>
      <c r="AO60" s="103"/>
      <c r="AP60" s="105"/>
      <c r="AQ60" s="103"/>
      <c r="AR60" s="103"/>
      <c r="AT60" s="105"/>
      <c r="AU60" s="105"/>
      <c r="AV60" s="105"/>
      <c r="AW60" s="105"/>
      <c r="AX60" s="105"/>
      <c r="AY60" s="103"/>
      <c r="AZ60" s="103"/>
      <c r="BA60" s="103"/>
      <c r="BB60" s="103"/>
      <c r="BC60" s="105"/>
      <c r="BD60" s="103"/>
      <c r="BE60" s="103"/>
    </row>
    <row r="61" spans="1:59" s="102" customFormat="1" x14ac:dyDescent="0.2">
      <c r="C61" s="103"/>
      <c r="D61" s="104"/>
      <c r="E61" s="104"/>
      <c r="G61" s="105"/>
      <c r="H61" s="105"/>
      <c r="I61" s="105"/>
      <c r="J61" s="105"/>
      <c r="K61" s="105"/>
      <c r="L61" s="103"/>
      <c r="M61" s="103"/>
      <c r="N61" s="103"/>
      <c r="O61" s="103"/>
      <c r="P61" s="105"/>
      <c r="Q61" s="103"/>
      <c r="R61" s="103"/>
      <c r="T61" s="105"/>
      <c r="U61" s="105"/>
      <c r="V61" s="105"/>
      <c r="W61" s="105"/>
      <c r="X61" s="105"/>
      <c r="Y61" s="103"/>
      <c r="Z61" s="103"/>
      <c r="AA61" s="103"/>
      <c r="AB61" s="103"/>
      <c r="AC61" s="105"/>
      <c r="AD61" s="103"/>
      <c r="AE61" s="103"/>
      <c r="AG61" s="105"/>
      <c r="AH61" s="105"/>
      <c r="AI61" s="105"/>
      <c r="AJ61" s="105"/>
      <c r="AK61" s="105"/>
      <c r="AL61" s="103"/>
      <c r="AM61" s="103"/>
      <c r="AN61" s="103"/>
      <c r="AO61" s="103"/>
      <c r="AP61" s="105"/>
      <c r="AQ61" s="103"/>
      <c r="AR61" s="103"/>
      <c r="AT61" s="105"/>
      <c r="AU61" s="105"/>
      <c r="AV61" s="105"/>
      <c r="AW61" s="105"/>
      <c r="AX61" s="105"/>
      <c r="AY61" s="103"/>
      <c r="AZ61" s="103"/>
      <c r="BA61" s="103"/>
      <c r="BB61" s="103"/>
      <c r="BC61" s="105"/>
      <c r="BD61" s="103"/>
      <c r="BE61" s="103"/>
    </row>
    <row r="62" spans="1:59" s="102" customFormat="1" x14ac:dyDescent="0.2">
      <c r="C62" s="103"/>
      <c r="D62" s="104"/>
      <c r="E62" s="104"/>
      <c r="G62" s="105"/>
      <c r="H62" s="105"/>
      <c r="I62" s="105"/>
      <c r="J62" s="105"/>
      <c r="K62" s="105"/>
      <c r="L62" s="103"/>
      <c r="M62" s="103"/>
      <c r="N62" s="103"/>
      <c r="O62" s="103"/>
      <c r="P62" s="105"/>
      <c r="Q62" s="103"/>
      <c r="R62" s="103"/>
      <c r="T62" s="105"/>
      <c r="U62" s="105"/>
      <c r="V62" s="105"/>
      <c r="W62" s="105"/>
      <c r="X62" s="105"/>
      <c r="Y62" s="103"/>
      <c r="Z62" s="103"/>
      <c r="AA62" s="103"/>
      <c r="AB62" s="103"/>
      <c r="AC62" s="105"/>
      <c r="AD62" s="103"/>
      <c r="AE62" s="103"/>
      <c r="AG62" s="105"/>
      <c r="AH62" s="105"/>
      <c r="AI62" s="105"/>
      <c r="AJ62" s="105"/>
      <c r="AK62" s="105"/>
      <c r="AL62" s="103"/>
      <c r="AM62" s="103"/>
      <c r="AN62" s="103"/>
      <c r="AO62" s="103"/>
      <c r="AP62" s="105"/>
      <c r="AQ62" s="103"/>
      <c r="AR62" s="103"/>
      <c r="AT62" s="105"/>
      <c r="AU62" s="105"/>
      <c r="AV62" s="105"/>
      <c r="AW62" s="105"/>
      <c r="AX62" s="105"/>
      <c r="AY62" s="103"/>
      <c r="AZ62" s="103"/>
      <c r="BA62" s="103"/>
      <c r="BB62" s="103"/>
      <c r="BC62" s="105"/>
      <c r="BD62" s="103"/>
      <c r="BE62" s="103"/>
    </row>
    <row r="63" spans="1:59" s="102" customFormat="1" x14ac:dyDescent="0.2">
      <c r="C63" s="103"/>
      <c r="D63" s="104"/>
      <c r="E63" s="104"/>
      <c r="G63" s="105"/>
      <c r="H63" s="105"/>
      <c r="I63" s="105"/>
      <c r="J63" s="105"/>
      <c r="K63" s="105"/>
      <c r="L63" s="103"/>
      <c r="M63" s="103"/>
      <c r="N63" s="103"/>
      <c r="O63" s="103"/>
      <c r="P63" s="105"/>
      <c r="Q63" s="103"/>
      <c r="R63" s="103"/>
      <c r="T63" s="105"/>
      <c r="U63" s="105"/>
      <c r="V63" s="105"/>
      <c r="W63" s="105"/>
      <c r="X63" s="105"/>
      <c r="Y63" s="103"/>
      <c r="Z63" s="103"/>
      <c r="AA63" s="103"/>
      <c r="AB63" s="103"/>
      <c r="AC63" s="105"/>
      <c r="AD63" s="103"/>
      <c r="AE63" s="103"/>
      <c r="AG63" s="105"/>
      <c r="AH63" s="105"/>
      <c r="AI63" s="105"/>
      <c r="AJ63" s="105"/>
      <c r="AK63" s="105"/>
      <c r="AL63" s="103"/>
      <c r="AM63" s="103"/>
      <c r="AN63" s="103"/>
      <c r="AO63" s="103"/>
      <c r="AP63" s="105"/>
      <c r="AQ63" s="103"/>
      <c r="AR63" s="103"/>
      <c r="AT63" s="105"/>
      <c r="AU63" s="105"/>
      <c r="AV63" s="105"/>
      <c r="AW63" s="105"/>
      <c r="AX63" s="105"/>
      <c r="AY63" s="103"/>
      <c r="AZ63" s="103"/>
      <c r="BA63" s="103"/>
      <c r="BB63" s="103"/>
      <c r="BC63" s="105"/>
      <c r="BD63" s="103"/>
      <c r="BE63" s="103"/>
    </row>
    <row r="64" spans="1:59" s="102" customFormat="1" x14ac:dyDescent="0.2">
      <c r="C64" s="103"/>
      <c r="D64" s="104"/>
      <c r="E64" s="104"/>
      <c r="G64" s="105"/>
      <c r="H64" s="105"/>
      <c r="I64" s="105"/>
      <c r="J64" s="105"/>
      <c r="K64" s="105"/>
      <c r="L64" s="103"/>
      <c r="M64" s="103"/>
      <c r="N64" s="103"/>
      <c r="O64" s="103"/>
      <c r="P64" s="105"/>
      <c r="Q64" s="103"/>
      <c r="R64" s="103"/>
      <c r="T64" s="105"/>
      <c r="U64" s="105"/>
      <c r="V64" s="105"/>
      <c r="W64" s="105"/>
      <c r="X64" s="105"/>
      <c r="Y64" s="103"/>
      <c r="Z64" s="103"/>
      <c r="AA64" s="103"/>
      <c r="AB64" s="103"/>
      <c r="AC64" s="105"/>
      <c r="AD64" s="103"/>
      <c r="AE64" s="103"/>
      <c r="AG64" s="105"/>
      <c r="AH64" s="105"/>
      <c r="AI64" s="105"/>
      <c r="AJ64" s="105"/>
      <c r="AK64" s="105"/>
      <c r="AL64" s="103"/>
      <c r="AM64" s="103"/>
      <c r="AN64" s="103"/>
      <c r="AO64" s="103"/>
      <c r="AP64" s="105"/>
      <c r="AQ64" s="103"/>
      <c r="AR64" s="103"/>
      <c r="AT64" s="105"/>
      <c r="AU64" s="105"/>
      <c r="AV64" s="105"/>
      <c r="AW64" s="105"/>
      <c r="AX64" s="105"/>
      <c r="AY64" s="103"/>
      <c r="AZ64" s="103"/>
      <c r="BA64" s="103"/>
      <c r="BB64" s="103"/>
      <c r="BC64" s="105"/>
      <c r="BD64" s="103"/>
      <c r="BE64" s="103"/>
    </row>
    <row r="65" spans="3:57" s="102" customFormat="1" x14ac:dyDescent="0.2">
      <c r="C65" s="103"/>
      <c r="D65" s="104"/>
      <c r="E65" s="104"/>
      <c r="G65" s="105"/>
      <c r="H65" s="105"/>
      <c r="I65" s="105"/>
      <c r="J65" s="105"/>
      <c r="K65" s="105"/>
      <c r="L65" s="103"/>
      <c r="M65" s="103"/>
      <c r="N65" s="103"/>
      <c r="O65" s="103"/>
      <c r="P65" s="105"/>
      <c r="Q65" s="103"/>
      <c r="R65" s="103"/>
      <c r="T65" s="105"/>
      <c r="U65" s="105"/>
      <c r="V65" s="105"/>
      <c r="W65" s="105"/>
      <c r="X65" s="105"/>
      <c r="Y65" s="103"/>
      <c r="Z65" s="103"/>
      <c r="AA65" s="103"/>
      <c r="AB65" s="103"/>
      <c r="AC65" s="105"/>
      <c r="AD65" s="103"/>
      <c r="AE65" s="103"/>
      <c r="AG65" s="105"/>
      <c r="AH65" s="105"/>
      <c r="AI65" s="105"/>
      <c r="AJ65" s="105"/>
      <c r="AK65" s="105"/>
      <c r="AL65" s="103"/>
      <c r="AM65" s="103"/>
      <c r="AN65" s="103"/>
      <c r="AO65" s="103"/>
      <c r="AP65" s="105"/>
      <c r="AQ65" s="103"/>
      <c r="AR65" s="103"/>
      <c r="AT65" s="105"/>
      <c r="AU65" s="105"/>
      <c r="AV65" s="105"/>
      <c r="AW65" s="105"/>
      <c r="AX65" s="105"/>
      <c r="AY65" s="103"/>
      <c r="AZ65" s="103"/>
      <c r="BA65" s="103"/>
      <c r="BB65" s="103"/>
      <c r="BC65" s="105"/>
      <c r="BD65" s="103"/>
      <c r="BE65" s="103"/>
    </row>
    <row r="66" spans="3:57" s="102" customFormat="1" x14ac:dyDescent="0.2">
      <c r="C66" s="103"/>
      <c r="D66" s="104"/>
      <c r="E66" s="104"/>
      <c r="G66" s="105"/>
      <c r="H66" s="105"/>
      <c r="I66" s="105"/>
      <c r="J66" s="105"/>
      <c r="K66" s="105"/>
      <c r="L66" s="103"/>
      <c r="M66" s="103"/>
      <c r="N66" s="103"/>
      <c r="O66" s="103"/>
      <c r="P66" s="105"/>
      <c r="Q66" s="103"/>
      <c r="R66" s="103"/>
      <c r="T66" s="105"/>
      <c r="U66" s="105"/>
      <c r="V66" s="105"/>
      <c r="W66" s="105"/>
      <c r="X66" s="105"/>
      <c r="Y66" s="103"/>
      <c r="Z66" s="103"/>
      <c r="AA66" s="103"/>
      <c r="AB66" s="103"/>
      <c r="AC66" s="105"/>
      <c r="AD66" s="103"/>
      <c r="AE66" s="103"/>
      <c r="AG66" s="105"/>
      <c r="AH66" s="105"/>
      <c r="AI66" s="105"/>
      <c r="AJ66" s="105"/>
      <c r="AK66" s="105"/>
      <c r="AL66" s="103"/>
      <c r="AM66" s="103"/>
      <c r="AN66" s="103"/>
      <c r="AO66" s="103"/>
      <c r="AP66" s="105"/>
      <c r="AQ66" s="103"/>
      <c r="AR66" s="103"/>
      <c r="AT66" s="105"/>
      <c r="AU66" s="105"/>
      <c r="AV66" s="105"/>
      <c r="AW66" s="105"/>
      <c r="AX66" s="105"/>
      <c r="AY66" s="103"/>
      <c r="AZ66" s="103"/>
      <c r="BA66" s="103"/>
      <c r="BB66" s="103"/>
      <c r="BC66" s="105"/>
      <c r="BD66" s="103"/>
      <c r="BE66" s="103"/>
    </row>
    <row r="67" spans="3:57" s="102" customFormat="1" x14ac:dyDescent="0.2">
      <c r="C67" s="103"/>
      <c r="D67" s="104"/>
      <c r="E67" s="104"/>
      <c r="G67" s="105"/>
      <c r="H67" s="105"/>
      <c r="I67" s="105"/>
      <c r="J67" s="105"/>
      <c r="K67" s="105"/>
      <c r="L67" s="103"/>
      <c r="M67" s="103"/>
      <c r="N67" s="103"/>
      <c r="O67" s="103"/>
      <c r="P67" s="105"/>
      <c r="Q67" s="103"/>
      <c r="R67" s="103"/>
      <c r="T67" s="105"/>
      <c r="U67" s="105"/>
      <c r="V67" s="105"/>
      <c r="W67" s="105"/>
      <c r="X67" s="105"/>
      <c r="Y67" s="103"/>
      <c r="Z67" s="103"/>
      <c r="AA67" s="103"/>
      <c r="AB67" s="103"/>
      <c r="AC67" s="105"/>
      <c r="AD67" s="103"/>
      <c r="AE67" s="103"/>
      <c r="AG67" s="105"/>
      <c r="AH67" s="105"/>
      <c r="AI67" s="105"/>
      <c r="AJ67" s="105"/>
      <c r="AK67" s="105"/>
      <c r="AL67" s="103"/>
      <c r="AM67" s="103"/>
      <c r="AN67" s="103"/>
      <c r="AO67" s="103"/>
      <c r="AP67" s="105"/>
      <c r="AQ67" s="103"/>
      <c r="AR67" s="103"/>
      <c r="AT67" s="105"/>
      <c r="AU67" s="105"/>
      <c r="AV67" s="105"/>
      <c r="AW67" s="105"/>
      <c r="AX67" s="105"/>
      <c r="AY67" s="103"/>
      <c r="AZ67" s="103"/>
      <c r="BA67" s="103"/>
      <c r="BB67" s="103"/>
      <c r="BC67" s="105"/>
      <c r="BD67" s="103"/>
      <c r="BE67" s="103"/>
    </row>
    <row r="68" spans="3:57" s="102" customFormat="1" x14ac:dyDescent="0.2">
      <c r="C68" s="103"/>
      <c r="D68" s="104"/>
      <c r="E68" s="104"/>
      <c r="G68" s="105"/>
      <c r="H68" s="105"/>
      <c r="I68" s="105"/>
      <c r="J68" s="105"/>
      <c r="K68" s="105"/>
      <c r="L68" s="103"/>
      <c r="M68" s="103"/>
      <c r="N68" s="103"/>
      <c r="O68" s="103"/>
      <c r="P68" s="105"/>
      <c r="Q68" s="103"/>
      <c r="R68" s="103"/>
      <c r="T68" s="105"/>
      <c r="U68" s="105"/>
      <c r="V68" s="105"/>
      <c r="W68" s="105"/>
      <c r="X68" s="105"/>
      <c r="Y68" s="103"/>
      <c r="Z68" s="103"/>
      <c r="AA68" s="103"/>
      <c r="AB68" s="103"/>
      <c r="AC68" s="105"/>
      <c r="AD68" s="103"/>
      <c r="AE68" s="103"/>
      <c r="AG68" s="105"/>
      <c r="AH68" s="105"/>
      <c r="AI68" s="105"/>
      <c r="AJ68" s="105"/>
      <c r="AK68" s="105"/>
      <c r="AL68" s="103"/>
      <c r="AM68" s="103"/>
      <c r="AN68" s="103"/>
      <c r="AO68" s="103"/>
      <c r="AP68" s="105"/>
      <c r="AQ68" s="103"/>
      <c r="AR68" s="103"/>
      <c r="AT68" s="105"/>
      <c r="AU68" s="105"/>
      <c r="AV68" s="105"/>
      <c r="AW68" s="105"/>
      <c r="AX68" s="105"/>
      <c r="AY68" s="103"/>
      <c r="AZ68" s="103"/>
      <c r="BA68" s="103"/>
      <c r="BB68" s="103"/>
      <c r="BC68" s="105"/>
      <c r="BD68" s="103"/>
      <c r="BE68" s="103"/>
    </row>
    <row r="69" spans="3:57" s="102" customFormat="1" x14ac:dyDescent="0.2">
      <c r="C69" s="103"/>
      <c r="D69" s="104"/>
      <c r="E69" s="104"/>
      <c r="G69" s="105"/>
      <c r="H69" s="105"/>
      <c r="I69" s="105"/>
      <c r="J69" s="105"/>
      <c r="K69" s="105"/>
      <c r="L69" s="103"/>
      <c r="M69" s="103"/>
      <c r="N69" s="103"/>
      <c r="O69" s="103"/>
      <c r="P69" s="105"/>
      <c r="Q69" s="103"/>
      <c r="R69" s="103"/>
      <c r="T69" s="105"/>
      <c r="U69" s="105"/>
      <c r="V69" s="105"/>
      <c r="W69" s="105"/>
      <c r="X69" s="105"/>
      <c r="Y69" s="103"/>
      <c r="Z69" s="103"/>
      <c r="AA69" s="103"/>
      <c r="AB69" s="103"/>
      <c r="AC69" s="105"/>
      <c r="AD69" s="103"/>
      <c r="AE69" s="103"/>
      <c r="AG69" s="105"/>
      <c r="AH69" s="105"/>
      <c r="AI69" s="105"/>
      <c r="AJ69" s="105"/>
      <c r="AK69" s="105"/>
      <c r="AL69" s="103"/>
      <c r="AM69" s="103"/>
      <c r="AN69" s="103"/>
      <c r="AO69" s="103"/>
      <c r="AP69" s="105"/>
      <c r="AQ69" s="103"/>
      <c r="AR69" s="103"/>
      <c r="AT69" s="105"/>
      <c r="AU69" s="105"/>
      <c r="AV69" s="105"/>
      <c r="AW69" s="105"/>
      <c r="AX69" s="105"/>
      <c r="AY69" s="103"/>
      <c r="AZ69" s="103"/>
      <c r="BA69" s="103"/>
      <c r="BB69" s="103"/>
      <c r="BC69" s="105"/>
      <c r="BD69" s="103"/>
      <c r="BE69" s="103"/>
    </row>
    <row r="70" spans="3:57" s="102" customFormat="1" x14ac:dyDescent="0.2">
      <c r="C70" s="103"/>
      <c r="D70" s="104"/>
      <c r="E70" s="104"/>
      <c r="G70" s="105"/>
      <c r="H70" s="105"/>
      <c r="I70" s="105"/>
      <c r="J70" s="105"/>
      <c r="K70" s="105"/>
      <c r="L70" s="103"/>
      <c r="M70" s="103"/>
      <c r="N70" s="103"/>
      <c r="O70" s="103"/>
      <c r="P70" s="105"/>
      <c r="Q70" s="103"/>
      <c r="R70" s="103"/>
      <c r="T70" s="105"/>
      <c r="U70" s="105"/>
      <c r="V70" s="105"/>
      <c r="W70" s="105"/>
      <c r="X70" s="105"/>
      <c r="Y70" s="103"/>
      <c r="Z70" s="103"/>
      <c r="AA70" s="103"/>
      <c r="AB70" s="103"/>
      <c r="AC70" s="105"/>
      <c r="AD70" s="103"/>
      <c r="AE70" s="103"/>
      <c r="AG70" s="105"/>
      <c r="AH70" s="105"/>
      <c r="AI70" s="105"/>
      <c r="AJ70" s="105"/>
      <c r="AK70" s="105"/>
      <c r="AL70" s="103"/>
      <c r="AM70" s="103"/>
      <c r="AN70" s="103"/>
      <c r="AO70" s="103"/>
      <c r="AP70" s="105"/>
      <c r="AQ70" s="103"/>
      <c r="AR70" s="103"/>
      <c r="AT70" s="105"/>
      <c r="AU70" s="105"/>
      <c r="AV70" s="105"/>
      <c r="AW70" s="105"/>
      <c r="AX70" s="105"/>
      <c r="AY70" s="103"/>
      <c r="AZ70" s="103"/>
      <c r="BA70" s="103"/>
      <c r="BB70" s="103"/>
      <c r="BC70" s="105"/>
      <c r="BD70" s="103"/>
      <c r="BE70" s="103"/>
    </row>
    <row r="71" spans="3:57" s="102" customFormat="1" x14ac:dyDescent="0.2">
      <c r="C71" s="103"/>
      <c r="D71" s="104"/>
      <c r="E71" s="104"/>
      <c r="G71" s="105"/>
      <c r="H71" s="105"/>
      <c r="I71" s="105"/>
      <c r="J71" s="105"/>
      <c r="K71" s="105"/>
      <c r="L71" s="103"/>
      <c r="M71" s="103"/>
      <c r="N71" s="103"/>
      <c r="O71" s="103"/>
      <c r="P71" s="105"/>
      <c r="Q71" s="103"/>
      <c r="R71" s="103"/>
      <c r="T71" s="105"/>
      <c r="U71" s="105"/>
      <c r="V71" s="105"/>
      <c r="W71" s="105"/>
      <c r="X71" s="105"/>
      <c r="Y71" s="103"/>
      <c r="Z71" s="103"/>
      <c r="AA71" s="103"/>
      <c r="AB71" s="103"/>
      <c r="AC71" s="105"/>
      <c r="AD71" s="103"/>
      <c r="AE71" s="103"/>
      <c r="AG71" s="105"/>
      <c r="AH71" s="105"/>
      <c r="AI71" s="105"/>
      <c r="AJ71" s="105"/>
      <c r="AK71" s="105"/>
      <c r="AL71" s="103"/>
      <c r="AM71" s="103"/>
      <c r="AN71" s="103"/>
      <c r="AO71" s="103"/>
      <c r="AP71" s="105"/>
      <c r="AQ71" s="103"/>
      <c r="AR71" s="103"/>
      <c r="AT71" s="105"/>
      <c r="AU71" s="105"/>
      <c r="AV71" s="105"/>
      <c r="AW71" s="105"/>
      <c r="AX71" s="105"/>
      <c r="AY71" s="103"/>
      <c r="AZ71" s="103"/>
      <c r="BA71" s="103"/>
      <c r="BB71" s="103"/>
      <c r="BC71" s="105"/>
      <c r="BD71" s="103"/>
      <c r="BE71" s="103"/>
    </row>
    <row r="72" spans="3:57" s="102" customFormat="1" x14ac:dyDescent="0.2">
      <c r="C72" s="103"/>
      <c r="D72" s="104"/>
      <c r="E72" s="104"/>
      <c r="G72" s="105"/>
      <c r="H72" s="105"/>
      <c r="I72" s="105"/>
      <c r="J72" s="105"/>
      <c r="K72" s="105"/>
      <c r="L72" s="103"/>
      <c r="M72" s="103"/>
      <c r="N72" s="103"/>
      <c r="O72" s="103"/>
      <c r="P72" s="105"/>
      <c r="Q72" s="103"/>
      <c r="R72" s="103"/>
      <c r="T72" s="105"/>
      <c r="U72" s="105"/>
      <c r="V72" s="105"/>
      <c r="W72" s="105"/>
      <c r="X72" s="105"/>
      <c r="Y72" s="103"/>
      <c r="Z72" s="103"/>
      <c r="AA72" s="103"/>
      <c r="AB72" s="103"/>
      <c r="AC72" s="105"/>
      <c r="AD72" s="103"/>
      <c r="AE72" s="103"/>
      <c r="AG72" s="105"/>
      <c r="AH72" s="105"/>
      <c r="AI72" s="105"/>
      <c r="AJ72" s="105"/>
      <c r="AK72" s="105"/>
      <c r="AL72" s="103"/>
      <c r="AM72" s="103"/>
      <c r="AN72" s="103"/>
      <c r="AO72" s="103"/>
      <c r="AP72" s="105"/>
      <c r="AQ72" s="103"/>
      <c r="AR72" s="103"/>
      <c r="AT72" s="105"/>
      <c r="AU72" s="105"/>
      <c r="AV72" s="105"/>
      <c r="AW72" s="105"/>
      <c r="AX72" s="105"/>
      <c r="AY72" s="103"/>
      <c r="AZ72" s="103"/>
      <c r="BA72" s="103"/>
      <c r="BB72" s="103"/>
      <c r="BC72" s="105"/>
      <c r="BD72" s="103"/>
      <c r="BE72" s="103"/>
    </row>
    <row r="73" spans="3:57" s="102" customFormat="1" x14ac:dyDescent="0.2">
      <c r="C73" s="103"/>
      <c r="D73" s="104"/>
      <c r="E73" s="104"/>
      <c r="G73" s="105"/>
      <c r="H73" s="105"/>
      <c r="I73" s="105"/>
      <c r="J73" s="105"/>
      <c r="K73" s="105"/>
      <c r="L73" s="103"/>
      <c r="M73" s="103"/>
      <c r="N73" s="103"/>
      <c r="O73" s="103"/>
      <c r="P73" s="105"/>
      <c r="Q73" s="103"/>
      <c r="R73" s="103"/>
      <c r="T73" s="105"/>
      <c r="U73" s="105"/>
      <c r="V73" s="105"/>
      <c r="W73" s="105"/>
      <c r="X73" s="105"/>
      <c r="Y73" s="103"/>
      <c r="Z73" s="103"/>
      <c r="AA73" s="103"/>
      <c r="AB73" s="103"/>
      <c r="AC73" s="105"/>
      <c r="AD73" s="103"/>
      <c r="AE73" s="103"/>
      <c r="AG73" s="105"/>
      <c r="AH73" s="105"/>
      <c r="AI73" s="105"/>
      <c r="AJ73" s="105"/>
      <c r="AK73" s="105"/>
      <c r="AL73" s="103"/>
      <c r="AM73" s="103"/>
      <c r="AN73" s="103"/>
      <c r="AO73" s="103"/>
      <c r="AP73" s="105"/>
      <c r="AQ73" s="103"/>
      <c r="AR73" s="103"/>
      <c r="AT73" s="105"/>
      <c r="AU73" s="105"/>
      <c r="AV73" s="105"/>
      <c r="AW73" s="105"/>
      <c r="AX73" s="105"/>
      <c r="AY73" s="103"/>
      <c r="AZ73" s="103"/>
      <c r="BA73" s="103"/>
      <c r="BB73" s="103"/>
      <c r="BC73" s="105"/>
      <c r="BD73" s="103"/>
      <c r="BE73" s="103"/>
    </row>
    <row r="74" spans="3:57" s="102" customFormat="1" x14ac:dyDescent="0.2">
      <c r="C74" s="103"/>
      <c r="D74" s="104"/>
      <c r="E74" s="104"/>
      <c r="G74" s="105"/>
      <c r="H74" s="105"/>
      <c r="I74" s="105"/>
      <c r="J74" s="105"/>
      <c r="K74" s="105"/>
      <c r="L74" s="103"/>
      <c r="M74" s="103"/>
      <c r="N74" s="103"/>
      <c r="O74" s="103"/>
      <c r="P74" s="105"/>
      <c r="Q74" s="103"/>
      <c r="R74" s="103"/>
      <c r="T74" s="105"/>
      <c r="U74" s="105"/>
      <c r="V74" s="105"/>
      <c r="W74" s="105"/>
      <c r="X74" s="105"/>
      <c r="Y74" s="103"/>
      <c r="Z74" s="103"/>
      <c r="AA74" s="103"/>
      <c r="AB74" s="103"/>
      <c r="AC74" s="105"/>
      <c r="AD74" s="103"/>
      <c r="AE74" s="103"/>
      <c r="AG74" s="105"/>
      <c r="AH74" s="105"/>
      <c r="AI74" s="105"/>
      <c r="AJ74" s="105"/>
      <c r="AK74" s="105"/>
      <c r="AL74" s="103"/>
      <c r="AM74" s="103"/>
      <c r="AN74" s="103"/>
      <c r="AO74" s="103"/>
      <c r="AP74" s="105"/>
      <c r="AQ74" s="103"/>
      <c r="AR74" s="103"/>
      <c r="AT74" s="105"/>
      <c r="AU74" s="105"/>
      <c r="AV74" s="105"/>
      <c r="AW74" s="105"/>
      <c r="AX74" s="105"/>
      <c r="AY74" s="103"/>
      <c r="AZ74" s="103"/>
      <c r="BA74" s="103"/>
      <c r="BB74" s="103"/>
      <c r="BC74" s="105"/>
      <c r="BD74" s="103"/>
      <c r="BE74" s="103"/>
    </row>
    <row r="75" spans="3:57" s="102" customFormat="1" x14ac:dyDescent="0.2">
      <c r="C75" s="103"/>
      <c r="D75" s="104"/>
      <c r="E75" s="104"/>
      <c r="G75" s="105"/>
      <c r="H75" s="105"/>
      <c r="I75" s="105"/>
      <c r="J75" s="105"/>
      <c r="K75" s="105"/>
      <c r="L75" s="103"/>
      <c r="M75" s="103"/>
      <c r="N75" s="103"/>
      <c r="O75" s="103"/>
      <c r="P75" s="105"/>
      <c r="Q75" s="103"/>
      <c r="R75" s="103"/>
      <c r="T75" s="105"/>
      <c r="U75" s="105"/>
      <c r="V75" s="105"/>
      <c r="W75" s="105"/>
      <c r="X75" s="105"/>
      <c r="Y75" s="103"/>
      <c r="Z75" s="103"/>
      <c r="AA75" s="103"/>
      <c r="AB75" s="103"/>
      <c r="AC75" s="105"/>
      <c r="AD75" s="103"/>
      <c r="AE75" s="103"/>
      <c r="AG75" s="105"/>
      <c r="AH75" s="105"/>
      <c r="AI75" s="105"/>
      <c r="AJ75" s="105"/>
      <c r="AK75" s="105"/>
      <c r="AL75" s="103"/>
      <c r="AM75" s="103"/>
      <c r="AN75" s="103"/>
      <c r="AO75" s="103"/>
      <c r="AP75" s="105"/>
      <c r="AQ75" s="103"/>
      <c r="AR75" s="103"/>
      <c r="AT75" s="105"/>
      <c r="AU75" s="105"/>
      <c r="AV75" s="105"/>
      <c r="AW75" s="105"/>
      <c r="AX75" s="105"/>
      <c r="AY75" s="103"/>
      <c r="AZ75" s="103"/>
      <c r="BA75" s="103"/>
      <c r="BB75" s="103"/>
      <c r="BC75" s="105"/>
      <c r="BD75" s="103"/>
      <c r="BE75" s="103"/>
    </row>
    <row r="76" spans="3:57" s="102" customFormat="1" x14ac:dyDescent="0.2">
      <c r="C76" s="103"/>
      <c r="D76" s="104"/>
      <c r="E76" s="104"/>
      <c r="G76" s="105"/>
      <c r="H76" s="105"/>
      <c r="I76" s="105"/>
      <c r="J76" s="105"/>
      <c r="K76" s="105"/>
      <c r="L76" s="103"/>
      <c r="M76" s="103"/>
      <c r="N76" s="103"/>
      <c r="O76" s="103"/>
      <c r="P76" s="105"/>
      <c r="Q76" s="103"/>
      <c r="R76" s="103"/>
      <c r="T76" s="105"/>
      <c r="U76" s="105"/>
      <c r="V76" s="105"/>
      <c r="W76" s="105"/>
      <c r="X76" s="105"/>
      <c r="Y76" s="103"/>
      <c r="Z76" s="103"/>
      <c r="AA76" s="103"/>
      <c r="AB76" s="103"/>
      <c r="AC76" s="105"/>
      <c r="AD76" s="103"/>
      <c r="AE76" s="103"/>
      <c r="AG76" s="105"/>
      <c r="AH76" s="105"/>
      <c r="AI76" s="105"/>
      <c r="AJ76" s="105"/>
      <c r="AK76" s="105"/>
      <c r="AL76" s="103"/>
      <c r="AM76" s="103"/>
      <c r="AN76" s="103"/>
      <c r="AO76" s="103"/>
      <c r="AP76" s="105"/>
      <c r="AQ76" s="103"/>
      <c r="AR76" s="103"/>
      <c r="AT76" s="105"/>
      <c r="AU76" s="105"/>
      <c r="AV76" s="105"/>
      <c r="AW76" s="105"/>
      <c r="AX76" s="105"/>
      <c r="AY76" s="103"/>
      <c r="AZ76" s="103"/>
      <c r="BA76" s="103"/>
      <c r="BB76" s="103"/>
      <c r="BC76" s="105"/>
      <c r="BD76" s="103"/>
      <c r="BE76" s="103"/>
    </row>
    <row r="77" spans="3:57" s="102" customFormat="1" x14ac:dyDescent="0.2">
      <c r="C77" s="103"/>
      <c r="D77" s="104"/>
      <c r="E77" s="104"/>
      <c r="G77" s="105"/>
      <c r="H77" s="105"/>
      <c r="I77" s="105"/>
      <c r="J77" s="105"/>
      <c r="K77" s="105"/>
      <c r="L77" s="103"/>
      <c r="M77" s="103"/>
      <c r="N77" s="103"/>
      <c r="O77" s="103"/>
      <c r="P77" s="105"/>
      <c r="Q77" s="103"/>
      <c r="R77" s="103"/>
      <c r="T77" s="105"/>
      <c r="U77" s="105"/>
      <c r="V77" s="105"/>
      <c r="W77" s="105"/>
      <c r="X77" s="105"/>
      <c r="Y77" s="103"/>
      <c r="Z77" s="103"/>
      <c r="AA77" s="103"/>
      <c r="AB77" s="103"/>
      <c r="AC77" s="105"/>
      <c r="AD77" s="103"/>
      <c r="AE77" s="103"/>
      <c r="AG77" s="105"/>
      <c r="AH77" s="105"/>
      <c r="AI77" s="105"/>
      <c r="AJ77" s="105"/>
      <c r="AK77" s="105"/>
      <c r="AL77" s="103"/>
      <c r="AM77" s="103"/>
      <c r="AN77" s="103"/>
      <c r="AO77" s="103"/>
      <c r="AP77" s="105"/>
      <c r="AQ77" s="103"/>
      <c r="AR77" s="103"/>
      <c r="AT77" s="105"/>
      <c r="AU77" s="105"/>
      <c r="AV77" s="105"/>
      <c r="AW77" s="105"/>
      <c r="AX77" s="105"/>
      <c r="AY77" s="103"/>
      <c r="AZ77" s="103"/>
      <c r="BA77" s="103"/>
      <c r="BB77" s="103"/>
      <c r="BC77" s="105"/>
      <c r="BD77" s="103"/>
      <c r="BE77" s="103"/>
    </row>
    <row r="78" spans="3:57" s="102" customFormat="1" x14ac:dyDescent="0.2">
      <c r="C78" s="103"/>
      <c r="D78" s="104"/>
      <c r="E78" s="104"/>
      <c r="G78" s="105"/>
      <c r="H78" s="105"/>
      <c r="I78" s="105"/>
      <c r="J78" s="105"/>
      <c r="K78" s="105"/>
      <c r="L78" s="103"/>
      <c r="M78" s="103"/>
      <c r="N78" s="103"/>
      <c r="O78" s="103"/>
      <c r="P78" s="105"/>
      <c r="Q78" s="103"/>
      <c r="R78" s="103"/>
      <c r="T78" s="105"/>
      <c r="U78" s="105"/>
      <c r="V78" s="105"/>
      <c r="W78" s="105"/>
      <c r="X78" s="105"/>
      <c r="Y78" s="103"/>
      <c r="Z78" s="103"/>
      <c r="AA78" s="103"/>
      <c r="AB78" s="103"/>
      <c r="AC78" s="105"/>
      <c r="AD78" s="103"/>
      <c r="AE78" s="103"/>
      <c r="AG78" s="105"/>
      <c r="AH78" s="105"/>
      <c r="AI78" s="105"/>
      <c r="AJ78" s="105"/>
      <c r="AK78" s="105"/>
      <c r="AL78" s="103"/>
      <c r="AM78" s="103"/>
      <c r="AN78" s="103"/>
      <c r="AO78" s="103"/>
      <c r="AP78" s="105"/>
      <c r="AQ78" s="103"/>
      <c r="AR78" s="103"/>
      <c r="AT78" s="105"/>
      <c r="AU78" s="105"/>
      <c r="AV78" s="105"/>
      <c r="AW78" s="105"/>
      <c r="AX78" s="105"/>
      <c r="AY78" s="103"/>
      <c r="AZ78" s="103"/>
      <c r="BA78" s="103"/>
      <c r="BB78" s="103"/>
      <c r="BC78" s="105"/>
      <c r="BD78" s="103"/>
      <c r="BE78" s="103"/>
    </row>
    <row r="79" spans="3:57" s="102" customFormat="1" x14ac:dyDescent="0.2">
      <c r="C79" s="103"/>
      <c r="D79" s="104"/>
      <c r="E79" s="104"/>
      <c r="G79" s="105"/>
      <c r="H79" s="105"/>
      <c r="I79" s="105"/>
      <c r="J79" s="105"/>
      <c r="K79" s="105"/>
      <c r="L79" s="103"/>
      <c r="M79" s="103"/>
      <c r="N79" s="103"/>
      <c r="O79" s="103"/>
      <c r="P79" s="105"/>
      <c r="Q79" s="103"/>
      <c r="R79" s="103"/>
      <c r="T79" s="105"/>
      <c r="U79" s="105"/>
      <c r="V79" s="105"/>
      <c r="W79" s="105"/>
      <c r="X79" s="105"/>
      <c r="Y79" s="103"/>
      <c r="Z79" s="103"/>
      <c r="AA79" s="103"/>
      <c r="AB79" s="103"/>
      <c r="AC79" s="105"/>
      <c r="AD79" s="103"/>
      <c r="AE79" s="103"/>
      <c r="AG79" s="105"/>
      <c r="AH79" s="105"/>
      <c r="AI79" s="105"/>
      <c r="AJ79" s="105"/>
      <c r="AK79" s="105"/>
      <c r="AL79" s="103"/>
      <c r="AM79" s="103"/>
      <c r="AN79" s="103"/>
      <c r="AO79" s="103"/>
      <c r="AP79" s="105"/>
      <c r="AQ79" s="103"/>
      <c r="AR79" s="103"/>
      <c r="AT79" s="105"/>
      <c r="AU79" s="105"/>
      <c r="AV79" s="105"/>
      <c r="AW79" s="105"/>
      <c r="AX79" s="105"/>
      <c r="AY79" s="103"/>
      <c r="AZ79" s="103"/>
      <c r="BA79" s="103"/>
      <c r="BB79" s="103"/>
      <c r="BC79" s="105"/>
      <c r="BD79" s="103"/>
      <c r="BE79" s="103"/>
    </row>
    <row r="80" spans="3:57" s="102" customFormat="1" x14ac:dyDescent="0.2">
      <c r="C80" s="103"/>
      <c r="D80" s="104"/>
      <c r="E80" s="104"/>
      <c r="G80" s="105"/>
      <c r="H80" s="105"/>
      <c r="I80" s="105"/>
      <c r="J80" s="105"/>
      <c r="K80" s="105"/>
      <c r="L80" s="103"/>
      <c r="M80" s="103"/>
      <c r="N80" s="103"/>
      <c r="O80" s="103"/>
      <c r="P80" s="105"/>
      <c r="Q80" s="103"/>
      <c r="R80" s="103"/>
      <c r="T80" s="105"/>
      <c r="U80" s="105"/>
      <c r="V80" s="105"/>
      <c r="W80" s="105"/>
      <c r="X80" s="105"/>
      <c r="Y80" s="103"/>
      <c r="Z80" s="103"/>
      <c r="AA80" s="103"/>
      <c r="AB80" s="103"/>
      <c r="AC80" s="105"/>
      <c r="AD80" s="103"/>
      <c r="AE80" s="103"/>
      <c r="AG80" s="105"/>
      <c r="AH80" s="105"/>
      <c r="AI80" s="105"/>
      <c r="AJ80" s="105"/>
      <c r="AK80" s="105"/>
      <c r="AL80" s="103"/>
      <c r="AM80" s="103"/>
      <c r="AN80" s="103"/>
      <c r="AO80" s="103"/>
      <c r="AP80" s="105"/>
      <c r="AQ80" s="103"/>
      <c r="AR80" s="103"/>
      <c r="AT80" s="105"/>
      <c r="AU80" s="105"/>
      <c r="AV80" s="105"/>
      <c r="AW80" s="105"/>
      <c r="AX80" s="105"/>
      <c r="AY80" s="103"/>
      <c r="AZ80" s="103"/>
      <c r="BA80" s="103"/>
      <c r="BB80" s="103"/>
      <c r="BC80" s="105"/>
      <c r="BD80" s="103"/>
      <c r="BE80" s="103"/>
    </row>
    <row r="81" spans="3:57" s="102" customFormat="1" x14ac:dyDescent="0.2">
      <c r="C81" s="103"/>
      <c r="D81" s="104"/>
      <c r="E81" s="104"/>
      <c r="G81" s="105"/>
      <c r="H81" s="105"/>
      <c r="I81" s="105"/>
      <c r="J81" s="105"/>
      <c r="K81" s="105"/>
      <c r="L81" s="103"/>
      <c r="M81" s="103"/>
      <c r="N81" s="103"/>
      <c r="O81" s="103"/>
      <c r="P81" s="105"/>
      <c r="Q81" s="103"/>
      <c r="R81" s="103"/>
      <c r="T81" s="105"/>
      <c r="U81" s="105"/>
      <c r="V81" s="105"/>
      <c r="W81" s="105"/>
      <c r="X81" s="105"/>
      <c r="Y81" s="103"/>
      <c r="Z81" s="103"/>
      <c r="AA81" s="103"/>
      <c r="AB81" s="103"/>
      <c r="AC81" s="105"/>
      <c r="AD81" s="103"/>
      <c r="AE81" s="103"/>
      <c r="AG81" s="105"/>
      <c r="AH81" s="105"/>
      <c r="AI81" s="105"/>
      <c r="AJ81" s="105"/>
      <c r="AK81" s="105"/>
      <c r="AL81" s="103"/>
      <c r="AM81" s="103"/>
      <c r="AN81" s="103"/>
      <c r="AO81" s="103"/>
      <c r="AP81" s="105"/>
      <c r="AQ81" s="103"/>
      <c r="AR81" s="103"/>
      <c r="AT81" s="105"/>
      <c r="AU81" s="105"/>
      <c r="AV81" s="105"/>
      <c r="AW81" s="105"/>
      <c r="AX81" s="105"/>
      <c r="AY81" s="103"/>
      <c r="AZ81" s="103"/>
      <c r="BA81" s="103"/>
      <c r="BB81" s="103"/>
      <c r="BC81" s="105"/>
      <c r="BD81" s="103"/>
      <c r="BE81" s="103"/>
    </row>
    <row r="82" spans="3:57" s="102" customFormat="1" x14ac:dyDescent="0.2">
      <c r="C82" s="103"/>
      <c r="D82" s="104"/>
      <c r="E82" s="104"/>
      <c r="G82" s="105"/>
      <c r="H82" s="105"/>
      <c r="I82" s="105"/>
      <c r="J82" s="105"/>
      <c r="K82" s="105"/>
      <c r="L82" s="103"/>
      <c r="M82" s="103"/>
      <c r="N82" s="103"/>
      <c r="O82" s="103"/>
      <c r="P82" s="105"/>
      <c r="Q82" s="103"/>
      <c r="R82" s="103"/>
      <c r="T82" s="105"/>
      <c r="U82" s="105"/>
      <c r="V82" s="105"/>
      <c r="W82" s="105"/>
      <c r="X82" s="105"/>
      <c r="Y82" s="103"/>
      <c r="Z82" s="103"/>
      <c r="AA82" s="103"/>
      <c r="AB82" s="103"/>
      <c r="AC82" s="105"/>
      <c r="AD82" s="103"/>
      <c r="AE82" s="103"/>
      <c r="AG82" s="105"/>
      <c r="AH82" s="105"/>
      <c r="AI82" s="105"/>
      <c r="AJ82" s="105"/>
      <c r="AK82" s="105"/>
      <c r="AL82" s="103"/>
      <c r="AM82" s="103"/>
      <c r="AN82" s="103"/>
      <c r="AO82" s="103"/>
      <c r="AP82" s="105"/>
      <c r="AQ82" s="103"/>
      <c r="AR82" s="103"/>
      <c r="AT82" s="105"/>
      <c r="AU82" s="105"/>
      <c r="AV82" s="105"/>
      <c r="AW82" s="105"/>
      <c r="AX82" s="105"/>
      <c r="AY82" s="103"/>
      <c r="AZ82" s="103"/>
      <c r="BA82" s="103"/>
      <c r="BB82" s="103"/>
      <c r="BC82" s="105"/>
      <c r="BD82" s="103"/>
      <c r="BE82" s="103"/>
    </row>
    <row r="83" spans="3:57" s="102" customFormat="1" x14ac:dyDescent="0.2">
      <c r="C83" s="103"/>
      <c r="D83" s="104"/>
      <c r="E83" s="104"/>
      <c r="G83" s="105"/>
      <c r="H83" s="105"/>
      <c r="I83" s="105"/>
      <c r="J83" s="105"/>
      <c r="K83" s="105"/>
      <c r="L83" s="103"/>
      <c r="M83" s="103"/>
      <c r="N83" s="103"/>
      <c r="O83" s="103"/>
      <c r="P83" s="105"/>
      <c r="Q83" s="103"/>
      <c r="R83" s="103"/>
      <c r="T83" s="105"/>
      <c r="U83" s="105"/>
      <c r="V83" s="105"/>
      <c r="W83" s="105"/>
      <c r="X83" s="105"/>
      <c r="Y83" s="103"/>
      <c r="Z83" s="103"/>
      <c r="AA83" s="103"/>
      <c r="AB83" s="103"/>
      <c r="AC83" s="105"/>
      <c r="AD83" s="103"/>
      <c r="AE83" s="103"/>
      <c r="AG83" s="105"/>
      <c r="AH83" s="105"/>
      <c r="AI83" s="105"/>
      <c r="AJ83" s="105"/>
      <c r="AK83" s="105"/>
      <c r="AL83" s="103"/>
      <c r="AM83" s="103"/>
      <c r="AN83" s="103"/>
      <c r="AO83" s="103"/>
      <c r="AP83" s="105"/>
      <c r="AQ83" s="103"/>
      <c r="AR83" s="103"/>
      <c r="AT83" s="105"/>
      <c r="AU83" s="105"/>
      <c r="AV83" s="105"/>
      <c r="AW83" s="105"/>
      <c r="AX83" s="105"/>
      <c r="AY83" s="103"/>
      <c r="AZ83" s="103"/>
      <c r="BA83" s="103"/>
      <c r="BB83" s="103"/>
      <c r="BC83" s="105"/>
      <c r="BD83" s="103"/>
      <c r="BE83" s="103"/>
    </row>
    <row r="84" spans="3:57" s="102" customFormat="1" x14ac:dyDescent="0.2">
      <c r="C84" s="103"/>
      <c r="D84" s="104"/>
      <c r="E84" s="104"/>
      <c r="G84" s="105"/>
      <c r="H84" s="105"/>
      <c r="I84" s="105"/>
      <c r="J84" s="105"/>
      <c r="K84" s="105"/>
      <c r="L84" s="103"/>
      <c r="M84" s="103"/>
      <c r="N84" s="103"/>
      <c r="O84" s="103"/>
      <c r="P84" s="105"/>
      <c r="Q84" s="103"/>
      <c r="R84" s="103"/>
      <c r="T84" s="105"/>
      <c r="U84" s="105"/>
      <c r="V84" s="105"/>
      <c r="W84" s="105"/>
      <c r="X84" s="105"/>
      <c r="Y84" s="103"/>
      <c r="Z84" s="103"/>
      <c r="AA84" s="103"/>
      <c r="AB84" s="103"/>
      <c r="AC84" s="105"/>
      <c r="AD84" s="103"/>
      <c r="AE84" s="103"/>
      <c r="AG84" s="105"/>
      <c r="AH84" s="105"/>
      <c r="AI84" s="105"/>
      <c r="AJ84" s="105"/>
      <c r="AK84" s="105"/>
      <c r="AL84" s="103"/>
      <c r="AM84" s="103"/>
      <c r="AN84" s="103"/>
      <c r="AO84" s="103"/>
      <c r="AP84" s="105"/>
      <c r="AQ84" s="103"/>
      <c r="AR84" s="103"/>
      <c r="AT84" s="105"/>
      <c r="AU84" s="105"/>
      <c r="AV84" s="105"/>
      <c r="AW84" s="105"/>
      <c r="AX84" s="105"/>
      <c r="AY84" s="103"/>
      <c r="AZ84" s="103"/>
      <c r="BA84" s="103"/>
      <c r="BB84" s="103"/>
      <c r="BC84" s="105"/>
      <c r="BD84" s="103"/>
      <c r="BE84" s="103"/>
    </row>
    <row r="85" spans="3:57" s="102" customFormat="1" x14ac:dyDescent="0.2">
      <c r="C85" s="103"/>
      <c r="D85" s="104"/>
      <c r="E85" s="104"/>
      <c r="G85" s="105"/>
      <c r="H85" s="105"/>
      <c r="I85" s="105"/>
      <c r="J85" s="105"/>
      <c r="K85" s="105"/>
      <c r="L85" s="103"/>
      <c r="M85" s="103"/>
      <c r="N85" s="103"/>
      <c r="O85" s="103"/>
      <c r="P85" s="105"/>
      <c r="Q85" s="103"/>
      <c r="R85" s="103"/>
      <c r="T85" s="105"/>
      <c r="U85" s="105"/>
      <c r="V85" s="105"/>
      <c r="W85" s="105"/>
      <c r="X85" s="105"/>
      <c r="Y85" s="103"/>
      <c r="Z85" s="103"/>
      <c r="AA85" s="103"/>
      <c r="AB85" s="103"/>
      <c r="AC85" s="105"/>
      <c r="AD85" s="103"/>
      <c r="AE85" s="103"/>
      <c r="AG85" s="105"/>
      <c r="AH85" s="105"/>
      <c r="AI85" s="105"/>
      <c r="AJ85" s="105"/>
      <c r="AK85" s="105"/>
      <c r="AL85" s="103"/>
      <c r="AM85" s="103"/>
      <c r="AN85" s="103"/>
      <c r="AO85" s="103"/>
      <c r="AP85" s="105"/>
      <c r="AQ85" s="103"/>
      <c r="AR85" s="103"/>
      <c r="AT85" s="105"/>
      <c r="AU85" s="105"/>
      <c r="AV85" s="105"/>
      <c r="AW85" s="105"/>
      <c r="AX85" s="105"/>
      <c r="AY85" s="103"/>
      <c r="AZ85" s="103"/>
      <c r="BA85" s="103"/>
      <c r="BB85" s="103"/>
      <c r="BC85" s="105"/>
      <c r="BD85" s="103"/>
      <c r="BE85" s="103"/>
    </row>
    <row r="86" spans="3:57" s="102" customFormat="1" x14ac:dyDescent="0.2">
      <c r="C86" s="103"/>
      <c r="D86" s="104"/>
      <c r="E86" s="104"/>
      <c r="G86" s="105"/>
      <c r="H86" s="105"/>
      <c r="I86" s="105"/>
      <c r="J86" s="105"/>
      <c r="K86" s="105"/>
      <c r="L86" s="103"/>
      <c r="M86" s="103"/>
      <c r="N86" s="103"/>
      <c r="O86" s="103"/>
      <c r="P86" s="105"/>
      <c r="Q86" s="103"/>
      <c r="R86" s="103"/>
      <c r="T86" s="105"/>
      <c r="U86" s="105"/>
      <c r="V86" s="105"/>
      <c r="W86" s="105"/>
      <c r="X86" s="105"/>
      <c r="Y86" s="103"/>
      <c r="Z86" s="103"/>
      <c r="AA86" s="103"/>
      <c r="AB86" s="103"/>
      <c r="AC86" s="105"/>
      <c r="AD86" s="103"/>
      <c r="AE86" s="103"/>
      <c r="AG86" s="105"/>
      <c r="AH86" s="105"/>
      <c r="AI86" s="105"/>
      <c r="AJ86" s="105"/>
      <c r="AK86" s="105"/>
      <c r="AL86" s="103"/>
      <c r="AM86" s="103"/>
      <c r="AN86" s="103"/>
      <c r="AO86" s="103"/>
      <c r="AP86" s="105"/>
      <c r="AQ86" s="103"/>
      <c r="AR86" s="103"/>
      <c r="AT86" s="105"/>
      <c r="AU86" s="105"/>
      <c r="AV86" s="105"/>
      <c r="AW86" s="105"/>
      <c r="AX86" s="105"/>
      <c r="AY86" s="103"/>
      <c r="AZ86" s="103"/>
      <c r="BA86" s="103"/>
      <c r="BB86" s="103"/>
      <c r="BC86" s="105"/>
      <c r="BD86" s="103"/>
      <c r="BE86" s="103"/>
    </row>
    <row r="87" spans="3:57" s="102" customFormat="1" x14ac:dyDescent="0.2">
      <c r="C87" s="103"/>
      <c r="D87" s="104"/>
      <c r="E87" s="104"/>
      <c r="G87" s="105"/>
      <c r="H87" s="105"/>
      <c r="I87" s="105"/>
      <c r="J87" s="105"/>
      <c r="K87" s="105"/>
      <c r="L87" s="103"/>
      <c r="M87" s="103"/>
      <c r="N87" s="103"/>
      <c r="O87" s="103"/>
      <c r="P87" s="105"/>
      <c r="Q87" s="103"/>
      <c r="R87" s="103"/>
      <c r="T87" s="105"/>
      <c r="U87" s="105"/>
      <c r="V87" s="105"/>
      <c r="W87" s="105"/>
      <c r="X87" s="105"/>
      <c r="Y87" s="103"/>
      <c r="Z87" s="103"/>
      <c r="AA87" s="103"/>
      <c r="AB87" s="103"/>
      <c r="AC87" s="105"/>
      <c r="AD87" s="103"/>
      <c r="AE87" s="103"/>
      <c r="AG87" s="105"/>
      <c r="AH87" s="105"/>
      <c r="AI87" s="105"/>
      <c r="AJ87" s="105"/>
      <c r="AK87" s="105"/>
      <c r="AL87" s="103"/>
      <c r="AM87" s="103"/>
      <c r="AN87" s="103"/>
      <c r="AO87" s="103"/>
      <c r="AP87" s="105"/>
      <c r="AQ87" s="103"/>
      <c r="AR87" s="103"/>
      <c r="AT87" s="105"/>
      <c r="AU87" s="105"/>
      <c r="AV87" s="105"/>
      <c r="AW87" s="105"/>
      <c r="AX87" s="105"/>
      <c r="AY87" s="103"/>
      <c r="AZ87" s="103"/>
      <c r="BA87" s="103"/>
      <c r="BB87" s="103"/>
      <c r="BC87" s="105"/>
      <c r="BD87" s="103"/>
      <c r="BE87" s="103"/>
    </row>
    <row r="88" spans="3:57" s="102" customFormat="1" x14ac:dyDescent="0.2">
      <c r="C88" s="103"/>
      <c r="D88" s="104"/>
      <c r="E88" s="104"/>
      <c r="G88" s="105"/>
      <c r="H88" s="105"/>
      <c r="I88" s="105"/>
      <c r="J88" s="105"/>
      <c r="K88" s="105"/>
      <c r="L88" s="103"/>
      <c r="M88" s="103"/>
      <c r="N88" s="103"/>
      <c r="O88" s="103"/>
      <c r="P88" s="105"/>
      <c r="Q88" s="103"/>
      <c r="R88" s="103"/>
      <c r="T88" s="105"/>
      <c r="U88" s="105"/>
      <c r="V88" s="105"/>
      <c r="W88" s="105"/>
      <c r="X88" s="105"/>
      <c r="Y88" s="103"/>
      <c r="Z88" s="103"/>
      <c r="AA88" s="103"/>
      <c r="AB88" s="103"/>
      <c r="AC88" s="105"/>
      <c r="AD88" s="103"/>
      <c r="AE88" s="103"/>
      <c r="AG88" s="105"/>
      <c r="AH88" s="105"/>
      <c r="AI88" s="105"/>
      <c r="AJ88" s="105"/>
      <c r="AK88" s="105"/>
      <c r="AL88" s="103"/>
      <c r="AM88" s="103"/>
      <c r="AN88" s="103"/>
      <c r="AO88" s="103"/>
      <c r="AP88" s="105"/>
      <c r="AQ88" s="103"/>
      <c r="AR88" s="103"/>
      <c r="AT88" s="105"/>
      <c r="AU88" s="105"/>
      <c r="AV88" s="105"/>
      <c r="AW88" s="105"/>
      <c r="AX88" s="105"/>
      <c r="AY88" s="103"/>
      <c r="AZ88" s="103"/>
      <c r="BA88" s="103"/>
      <c r="BB88" s="103"/>
      <c r="BC88" s="105"/>
      <c r="BD88" s="103"/>
      <c r="BE88" s="103"/>
    </row>
    <row r="89" spans="3:57" s="102" customFormat="1" x14ac:dyDescent="0.2">
      <c r="C89" s="103"/>
      <c r="D89" s="104"/>
      <c r="E89" s="104"/>
      <c r="G89" s="105"/>
      <c r="H89" s="105"/>
      <c r="I89" s="105"/>
      <c r="J89" s="105"/>
      <c r="K89" s="105"/>
      <c r="L89" s="103"/>
      <c r="M89" s="103"/>
      <c r="N89" s="103"/>
      <c r="O89" s="103"/>
      <c r="P89" s="105"/>
      <c r="Q89" s="103"/>
      <c r="R89" s="103"/>
      <c r="T89" s="105"/>
      <c r="U89" s="105"/>
      <c r="V89" s="105"/>
      <c r="W89" s="105"/>
      <c r="X89" s="105"/>
      <c r="Y89" s="103"/>
      <c r="Z89" s="103"/>
      <c r="AA89" s="103"/>
      <c r="AB89" s="103"/>
      <c r="AC89" s="105"/>
      <c r="AD89" s="103"/>
      <c r="AE89" s="103"/>
      <c r="AG89" s="105"/>
      <c r="AH89" s="105"/>
      <c r="AI89" s="105"/>
      <c r="AJ89" s="105"/>
      <c r="AK89" s="105"/>
      <c r="AL89" s="103"/>
      <c r="AM89" s="103"/>
      <c r="AN89" s="103"/>
      <c r="AO89" s="103"/>
      <c r="AP89" s="105"/>
      <c r="AQ89" s="103"/>
      <c r="AR89" s="103"/>
      <c r="AT89" s="105"/>
      <c r="AU89" s="105"/>
      <c r="AV89" s="105"/>
      <c r="AW89" s="105"/>
      <c r="AX89" s="105"/>
      <c r="AY89" s="103"/>
      <c r="AZ89" s="103"/>
      <c r="BA89" s="103"/>
      <c r="BB89" s="103"/>
      <c r="BC89" s="105"/>
      <c r="BD89" s="103"/>
      <c r="BE89" s="103"/>
    </row>
    <row r="90" spans="3:57" s="102" customFormat="1" x14ac:dyDescent="0.2">
      <c r="C90" s="103"/>
      <c r="D90" s="104"/>
      <c r="E90" s="104"/>
      <c r="G90" s="105"/>
      <c r="H90" s="105"/>
      <c r="I90" s="105"/>
      <c r="J90" s="105"/>
      <c r="K90" s="105"/>
      <c r="L90" s="103"/>
      <c r="M90" s="103"/>
      <c r="N90" s="103"/>
      <c r="O90" s="103"/>
      <c r="P90" s="105"/>
      <c r="Q90" s="103"/>
      <c r="R90" s="103"/>
      <c r="T90" s="105"/>
      <c r="U90" s="105"/>
      <c r="V90" s="105"/>
      <c r="W90" s="105"/>
      <c r="X90" s="105"/>
      <c r="Y90" s="103"/>
      <c r="Z90" s="103"/>
      <c r="AA90" s="103"/>
      <c r="AB90" s="103"/>
      <c r="AC90" s="105"/>
      <c r="AD90" s="103"/>
      <c r="AE90" s="103"/>
      <c r="AG90" s="105"/>
      <c r="AH90" s="105"/>
      <c r="AI90" s="105"/>
      <c r="AJ90" s="105"/>
      <c r="AK90" s="105"/>
      <c r="AL90" s="103"/>
      <c r="AM90" s="103"/>
      <c r="AN90" s="103"/>
      <c r="AO90" s="103"/>
      <c r="AP90" s="105"/>
      <c r="AQ90" s="103"/>
      <c r="AR90" s="103"/>
      <c r="AT90" s="105"/>
      <c r="AU90" s="105"/>
      <c r="AV90" s="105"/>
      <c r="AW90" s="105"/>
      <c r="AX90" s="105"/>
      <c r="AY90" s="103"/>
      <c r="AZ90" s="103"/>
      <c r="BA90" s="103"/>
      <c r="BB90" s="103"/>
      <c r="BC90" s="105"/>
      <c r="BD90" s="103"/>
      <c r="BE90" s="103"/>
    </row>
    <row r="91" spans="3:57" s="102" customFormat="1" x14ac:dyDescent="0.2">
      <c r="C91" s="103"/>
      <c r="D91" s="104"/>
      <c r="E91" s="104"/>
      <c r="G91" s="105"/>
      <c r="H91" s="105"/>
      <c r="I91" s="105"/>
      <c r="J91" s="105"/>
      <c r="K91" s="105"/>
      <c r="L91" s="103"/>
      <c r="M91" s="103"/>
      <c r="N91" s="103"/>
      <c r="O91" s="103"/>
      <c r="P91" s="105"/>
      <c r="Q91" s="103"/>
      <c r="R91" s="103"/>
      <c r="T91" s="105"/>
      <c r="U91" s="105"/>
      <c r="V91" s="105"/>
      <c r="W91" s="105"/>
      <c r="X91" s="105"/>
      <c r="Y91" s="103"/>
      <c r="Z91" s="103"/>
      <c r="AA91" s="103"/>
      <c r="AB91" s="103"/>
      <c r="AC91" s="105"/>
      <c r="AD91" s="103"/>
      <c r="AE91" s="103"/>
      <c r="AG91" s="105"/>
      <c r="AH91" s="105"/>
      <c r="AI91" s="105"/>
      <c r="AJ91" s="105"/>
      <c r="AK91" s="105"/>
      <c r="AL91" s="103"/>
      <c r="AM91" s="103"/>
      <c r="AN91" s="103"/>
      <c r="AO91" s="103"/>
      <c r="AP91" s="105"/>
      <c r="AQ91" s="103"/>
      <c r="AR91" s="103"/>
      <c r="AT91" s="105"/>
      <c r="AU91" s="105"/>
      <c r="AV91" s="105"/>
      <c r="AW91" s="105"/>
      <c r="AX91" s="105"/>
      <c r="AY91" s="103"/>
      <c r="AZ91" s="103"/>
      <c r="BA91" s="103"/>
      <c r="BB91" s="103"/>
      <c r="BC91" s="105"/>
      <c r="BD91" s="103"/>
      <c r="BE91" s="103"/>
    </row>
    <row r="92" spans="3:57" s="102" customFormat="1" x14ac:dyDescent="0.2">
      <c r="C92" s="103"/>
      <c r="D92" s="104"/>
      <c r="E92" s="104"/>
      <c r="G92" s="105"/>
      <c r="H92" s="105"/>
      <c r="I92" s="105"/>
      <c r="J92" s="105"/>
      <c r="K92" s="105"/>
      <c r="L92" s="103"/>
      <c r="M92" s="103"/>
      <c r="N92" s="103"/>
      <c r="O92" s="103"/>
      <c r="P92" s="105"/>
      <c r="Q92" s="103"/>
      <c r="R92" s="103"/>
      <c r="T92" s="105"/>
      <c r="U92" s="105"/>
      <c r="V92" s="105"/>
      <c r="W92" s="105"/>
      <c r="X92" s="105"/>
      <c r="Y92" s="103"/>
      <c r="Z92" s="103"/>
      <c r="AA92" s="103"/>
      <c r="AB92" s="103"/>
      <c r="AC92" s="105"/>
      <c r="AD92" s="103"/>
      <c r="AE92" s="103"/>
      <c r="AG92" s="105"/>
      <c r="AH92" s="105"/>
      <c r="AI92" s="105"/>
      <c r="AJ92" s="105"/>
      <c r="AK92" s="105"/>
      <c r="AL92" s="103"/>
      <c r="AM92" s="103"/>
      <c r="AN92" s="103"/>
      <c r="AO92" s="103"/>
      <c r="AP92" s="105"/>
      <c r="AQ92" s="103"/>
      <c r="AR92" s="103"/>
      <c r="AT92" s="105"/>
      <c r="AU92" s="105"/>
      <c r="AV92" s="105"/>
      <c r="AW92" s="105"/>
      <c r="AX92" s="105"/>
      <c r="AY92" s="103"/>
      <c r="AZ92" s="103"/>
      <c r="BA92" s="103"/>
      <c r="BB92" s="103"/>
      <c r="BC92" s="105"/>
      <c r="BD92" s="103"/>
      <c r="BE92" s="103"/>
    </row>
    <row r="93" spans="3:57" s="102" customFormat="1" x14ac:dyDescent="0.2">
      <c r="C93" s="103"/>
      <c r="D93" s="104"/>
      <c r="E93" s="104"/>
      <c r="G93" s="105"/>
      <c r="H93" s="105"/>
      <c r="I93" s="105"/>
      <c r="J93" s="105"/>
      <c r="K93" s="105"/>
      <c r="L93" s="103"/>
      <c r="M93" s="103"/>
      <c r="N93" s="103"/>
      <c r="O93" s="103"/>
      <c r="P93" s="105"/>
      <c r="Q93" s="103"/>
      <c r="R93" s="103"/>
      <c r="T93" s="105"/>
      <c r="U93" s="105"/>
      <c r="V93" s="105"/>
      <c r="W93" s="105"/>
      <c r="X93" s="105"/>
      <c r="Y93" s="103"/>
      <c r="Z93" s="103"/>
      <c r="AA93" s="103"/>
      <c r="AB93" s="103"/>
      <c r="AC93" s="105"/>
      <c r="AD93" s="103"/>
      <c r="AE93" s="103"/>
      <c r="AG93" s="105"/>
      <c r="AH93" s="105"/>
      <c r="AI93" s="105"/>
      <c r="AJ93" s="105"/>
      <c r="AK93" s="105"/>
      <c r="AL93" s="103"/>
      <c r="AM93" s="103"/>
      <c r="AN93" s="103"/>
      <c r="AO93" s="103"/>
      <c r="AP93" s="105"/>
      <c r="AQ93" s="103"/>
      <c r="AR93" s="103"/>
      <c r="AT93" s="105"/>
      <c r="AU93" s="105"/>
      <c r="AV93" s="105"/>
      <c r="AW93" s="105"/>
      <c r="AX93" s="105"/>
      <c r="AY93" s="103"/>
      <c r="AZ93" s="103"/>
      <c r="BA93" s="103"/>
      <c r="BB93" s="103"/>
      <c r="BC93" s="105"/>
      <c r="BD93" s="103"/>
      <c r="BE93" s="103"/>
    </row>
    <row r="94" spans="3:57" s="102" customFormat="1" x14ac:dyDescent="0.2">
      <c r="C94" s="103"/>
      <c r="D94" s="104"/>
      <c r="E94" s="104"/>
      <c r="G94" s="105"/>
      <c r="H94" s="105"/>
      <c r="I94" s="105"/>
      <c r="J94" s="105"/>
      <c r="K94" s="105"/>
      <c r="L94" s="103"/>
      <c r="M94" s="103"/>
      <c r="N94" s="103"/>
      <c r="O94" s="103"/>
      <c r="P94" s="105"/>
      <c r="Q94" s="103"/>
      <c r="R94" s="103"/>
      <c r="T94" s="105"/>
      <c r="U94" s="105"/>
      <c r="V94" s="105"/>
      <c r="W94" s="105"/>
      <c r="X94" s="105"/>
      <c r="Y94" s="103"/>
      <c r="Z94" s="103"/>
      <c r="AA94" s="103"/>
      <c r="AB94" s="103"/>
      <c r="AC94" s="105"/>
      <c r="AD94" s="103"/>
      <c r="AE94" s="103"/>
      <c r="AG94" s="105"/>
      <c r="AH94" s="105"/>
      <c r="AI94" s="105"/>
      <c r="AJ94" s="105"/>
      <c r="AK94" s="105"/>
      <c r="AL94" s="103"/>
      <c r="AM94" s="103"/>
      <c r="AN94" s="103"/>
      <c r="AO94" s="103"/>
      <c r="AP94" s="105"/>
      <c r="AQ94" s="103"/>
      <c r="AR94" s="103"/>
      <c r="AT94" s="105"/>
      <c r="AU94" s="105"/>
      <c r="AV94" s="105"/>
      <c r="AW94" s="105"/>
      <c r="AX94" s="105"/>
      <c r="AY94" s="103"/>
      <c r="AZ94" s="103"/>
      <c r="BA94" s="103"/>
      <c r="BB94" s="103"/>
      <c r="BC94" s="105"/>
      <c r="BD94" s="103"/>
      <c r="BE94" s="103"/>
    </row>
    <row r="95" spans="3:57" s="102" customFormat="1" x14ac:dyDescent="0.2">
      <c r="C95" s="103"/>
      <c r="D95" s="104"/>
      <c r="E95" s="104"/>
      <c r="G95" s="105"/>
      <c r="H95" s="105"/>
      <c r="I95" s="105"/>
      <c r="J95" s="105"/>
      <c r="K95" s="105"/>
      <c r="L95" s="103"/>
      <c r="M95" s="103"/>
      <c r="N95" s="103"/>
      <c r="O95" s="103"/>
      <c r="P95" s="105"/>
      <c r="Q95" s="103"/>
      <c r="R95" s="103"/>
      <c r="T95" s="105"/>
      <c r="U95" s="105"/>
      <c r="V95" s="105"/>
      <c r="W95" s="105"/>
      <c r="X95" s="105"/>
      <c r="Y95" s="103"/>
      <c r="Z95" s="103"/>
      <c r="AA95" s="103"/>
      <c r="AB95" s="103"/>
      <c r="AC95" s="105"/>
      <c r="AD95" s="103"/>
      <c r="AE95" s="103"/>
      <c r="AG95" s="105"/>
      <c r="AH95" s="105"/>
      <c r="AI95" s="105"/>
      <c r="AJ95" s="105"/>
      <c r="AK95" s="105"/>
      <c r="AL95" s="103"/>
      <c r="AM95" s="103"/>
      <c r="AN95" s="103"/>
      <c r="AO95" s="103"/>
      <c r="AP95" s="105"/>
      <c r="AQ95" s="103"/>
      <c r="AR95" s="103"/>
      <c r="AT95" s="105"/>
      <c r="AU95" s="105"/>
      <c r="AV95" s="105"/>
      <c r="AW95" s="105"/>
      <c r="AX95" s="105"/>
      <c r="AY95" s="103"/>
      <c r="AZ95" s="103"/>
      <c r="BA95" s="103"/>
      <c r="BB95" s="103"/>
      <c r="BC95" s="105"/>
      <c r="BD95" s="103"/>
      <c r="BE95" s="103"/>
    </row>
    <row r="96" spans="3:57" s="102" customFormat="1" x14ac:dyDescent="0.2">
      <c r="C96" s="103"/>
      <c r="D96" s="104"/>
      <c r="E96" s="104"/>
      <c r="G96" s="105"/>
      <c r="H96" s="105"/>
      <c r="I96" s="105"/>
      <c r="J96" s="105"/>
      <c r="K96" s="105"/>
      <c r="L96" s="103"/>
      <c r="M96" s="103"/>
      <c r="N96" s="103"/>
      <c r="O96" s="103"/>
      <c r="P96" s="105"/>
      <c r="Q96" s="103"/>
      <c r="R96" s="103"/>
      <c r="T96" s="105"/>
      <c r="U96" s="105"/>
      <c r="V96" s="105"/>
      <c r="W96" s="105"/>
      <c r="X96" s="105"/>
      <c r="Y96" s="103"/>
      <c r="Z96" s="103"/>
      <c r="AA96" s="103"/>
      <c r="AB96" s="103"/>
      <c r="AC96" s="105"/>
      <c r="AD96" s="103"/>
      <c r="AE96" s="103"/>
      <c r="AG96" s="105"/>
      <c r="AH96" s="105"/>
      <c r="AI96" s="105"/>
      <c r="AJ96" s="105"/>
      <c r="AK96" s="105"/>
      <c r="AL96" s="103"/>
      <c r="AM96" s="103"/>
      <c r="AN96" s="103"/>
      <c r="AO96" s="103"/>
      <c r="AP96" s="105"/>
      <c r="AQ96" s="103"/>
      <c r="AR96" s="103"/>
      <c r="AT96" s="105"/>
      <c r="AU96" s="105"/>
      <c r="AV96" s="105"/>
      <c r="AW96" s="105"/>
      <c r="AX96" s="105"/>
      <c r="AY96" s="103"/>
      <c r="AZ96" s="103"/>
      <c r="BA96" s="103"/>
      <c r="BB96" s="103"/>
      <c r="BC96" s="105"/>
      <c r="BD96" s="103"/>
      <c r="BE96" s="103"/>
    </row>
    <row r="97" spans="3:57" s="102" customFormat="1" x14ac:dyDescent="0.2">
      <c r="C97" s="103"/>
      <c r="D97" s="104"/>
      <c r="E97" s="104"/>
      <c r="G97" s="105"/>
      <c r="H97" s="105"/>
      <c r="I97" s="105"/>
      <c r="J97" s="105"/>
      <c r="K97" s="105"/>
      <c r="L97" s="103"/>
      <c r="M97" s="103"/>
      <c r="N97" s="103"/>
      <c r="O97" s="103"/>
      <c r="P97" s="105"/>
      <c r="Q97" s="103"/>
      <c r="R97" s="103"/>
      <c r="T97" s="105"/>
      <c r="U97" s="105"/>
      <c r="V97" s="105"/>
      <c r="W97" s="105"/>
      <c r="X97" s="105"/>
      <c r="Y97" s="103"/>
      <c r="Z97" s="103"/>
      <c r="AA97" s="103"/>
      <c r="AB97" s="103"/>
      <c r="AC97" s="105"/>
      <c r="AD97" s="103"/>
      <c r="AE97" s="103"/>
      <c r="AG97" s="105"/>
      <c r="AH97" s="105"/>
      <c r="AI97" s="105"/>
      <c r="AJ97" s="105"/>
      <c r="AK97" s="105"/>
      <c r="AL97" s="103"/>
      <c r="AM97" s="103"/>
      <c r="AN97" s="103"/>
      <c r="AO97" s="103"/>
      <c r="AP97" s="105"/>
      <c r="AQ97" s="103"/>
      <c r="AR97" s="103"/>
      <c r="AT97" s="105"/>
      <c r="AU97" s="105"/>
      <c r="AV97" s="105"/>
      <c r="AW97" s="105"/>
      <c r="AX97" s="105"/>
      <c r="AY97" s="103"/>
      <c r="AZ97" s="103"/>
      <c r="BA97" s="103"/>
      <c r="BB97" s="103"/>
      <c r="BC97" s="105"/>
      <c r="BD97" s="103"/>
      <c r="BE97" s="103"/>
    </row>
    <row r="98" spans="3:57" s="102" customFormat="1" x14ac:dyDescent="0.2">
      <c r="C98" s="103"/>
      <c r="D98" s="104"/>
      <c r="E98" s="104"/>
      <c r="G98" s="105"/>
      <c r="H98" s="105"/>
      <c r="I98" s="105"/>
      <c r="J98" s="105"/>
      <c r="K98" s="105"/>
      <c r="L98" s="103"/>
      <c r="M98" s="103"/>
      <c r="N98" s="103"/>
      <c r="O98" s="103"/>
      <c r="P98" s="105"/>
      <c r="Q98" s="103"/>
      <c r="R98" s="103"/>
      <c r="T98" s="105"/>
      <c r="U98" s="105"/>
      <c r="V98" s="105"/>
      <c r="W98" s="105"/>
      <c r="X98" s="105"/>
      <c r="Y98" s="103"/>
      <c r="Z98" s="103"/>
      <c r="AA98" s="103"/>
      <c r="AB98" s="103"/>
      <c r="AC98" s="105"/>
      <c r="AD98" s="103"/>
      <c r="AE98" s="103"/>
      <c r="AG98" s="105"/>
      <c r="AH98" s="105"/>
      <c r="AI98" s="105"/>
      <c r="AJ98" s="105"/>
      <c r="AK98" s="105"/>
      <c r="AL98" s="103"/>
      <c r="AM98" s="103"/>
      <c r="AN98" s="103"/>
      <c r="AO98" s="103"/>
      <c r="AP98" s="105"/>
      <c r="AQ98" s="103"/>
      <c r="AR98" s="103"/>
      <c r="AT98" s="105"/>
      <c r="AU98" s="105"/>
      <c r="AV98" s="105"/>
      <c r="AW98" s="105"/>
      <c r="AX98" s="105"/>
      <c r="AY98" s="103"/>
      <c r="AZ98" s="103"/>
      <c r="BA98" s="103"/>
      <c r="BB98" s="103"/>
      <c r="BC98" s="105"/>
      <c r="BD98" s="103"/>
      <c r="BE98" s="103"/>
    </row>
    <row r="99" spans="3:57" s="102" customFormat="1" x14ac:dyDescent="0.2">
      <c r="C99" s="103"/>
      <c r="D99" s="104"/>
      <c r="E99" s="104"/>
      <c r="G99" s="105"/>
      <c r="H99" s="105"/>
      <c r="I99" s="105"/>
      <c r="J99" s="105"/>
      <c r="K99" s="105"/>
      <c r="L99" s="103"/>
      <c r="M99" s="103"/>
      <c r="N99" s="103"/>
      <c r="O99" s="103"/>
      <c r="P99" s="105"/>
      <c r="Q99" s="103"/>
      <c r="R99" s="103"/>
      <c r="T99" s="105"/>
      <c r="U99" s="105"/>
      <c r="V99" s="105"/>
      <c r="W99" s="105"/>
      <c r="X99" s="105"/>
      <c r="Y99" s="103"/>
      <c r="Z99" s="103"/>
      <c r="AA99" s="103"/>
      <c r="AB99" s="103"/>
      <c r="AC99" s="105"/>
      <c r="AD99" s="103"/>
      <c r="AE99" s="103"/>
      <c r="AG99" s="105"/>
      <c r="AH99" s="105"/>
      <c r="AI99" s="105"/>
      <c r="AJ99" s="105"/>
      <c r="AK99" s="105"/>
      <c r="AL99" s="103"/>
      <c r="AM99" s="103"/>
      <c r="AN99" s="103"/>
      <c r="AO99" s="103"/>
      <c r="AP99" s="105"/>
      <c r="AQ99" s="103"/>
      <c r="AR99" s="103"/>
      <c r="AT99" s="105"/>
      <c r="AU99" s="105"/>
      <c r="AV99" s="105"/>
      <c r="AW99" s="105"/>
      <c r="AX99" s="105"/>
      <c r="AY99" s="103"/>
      <c r="AZ99" s="103"/>
      <c r="BA99" s="103"/>
      <c r="BB99" s="103"/>
      <c r="BC99" s="105"/>
      <c r="BD99" s="103"/>
      <c r="BE99" s="103"/>
    </row>
    <row r="100" spans="3:57" s="102" customFormat="1" x14ac:dyDescent="0.2">
      <c r="C100" s="103"/>
      <c r="D100" s="104"/>
      <c r="E100" s="104"/>
      <c r="G100" s="105"/>
      <c r="H100" s="105"/>
      <c r="I100" s="105"/>
      <c r="J100" s="105"/>
      <c r="K100" s="105"/>
      <c r="L100" s="103"/>
      <c r="M100" s="103"/>
      <c r="N100" s="103"/>
      <c r="O100" s="103"/>
      <c r="P100" s="105"/>
      <c r="Q100" s="103"/>
      <c r="R100" s="103"/>
      <c r="T100" s="105"/>
      <c r="U100" s="105"/>
      <c r="V100" s="105"/>
      <c r="W100" s="105"/>
      <c r="X100" s="105"/>
      <c r="Y100" s="103"/>
      <c r="Z100" s="103"/>
      <c r="AA100" s="103"/>
      <c r="AB100" s="103"/>
      <c r="AC100" s="105"/>
      <c r="AD100" s="103"/>
      <c r="AE100" s="103"/>
      <c r="AG100" s="105"/>
      <c r="AH100" s="105"/>
      <c r="AI100" s="105"/>
      <c r="AJ100" s="105"/>
      <c r="AK100" s="105"/>
      <c r="AL100" s="103"/>
      <c r="AM100" s="103"/>
      <c r="AN100" s="103"/>
      <c r="AO100" s="103"/>
      <c r="AP100" s="105"/>
      <c r="AQ100" s="103"/>
      <c r="AR100" s="103"/>
      <c r="AT100" s="105"/>
      <c r="AU100" s="105"/>
      <c r="AV100" s="105"/>
      <c r="AW100" s="105"/>
      <c r="AX100" s="105"/>
      <c r="AY100" s="103"/>
      <c r="AZ100" s="103"/>
      <c r="BA100" s="103"/>
      <c r="BB100" s="103"/>
      <c r="BC100" s="105"/>
      <c r="BD100" s="103"/>
      <c r="BE100" s="103"/>
    </row>
    <row r="101" spans="3:57" s="102" customFormat="1" x14ac:dyDescent="0.2">
      <c r="C101" s="103"/>
      <c r="D101" s="104"/>
      <c r="E101" s="104"/>
      <c r="G101" s="105"/>
      <c r="H101" s="105"/>
      <c r="I101" s="105"/>
      <c r="J101" s="105"/>
      <c r="K101" s="105"/>
      <c r="L101" s="103"/>
      <c r="M101" s="103"/>
      <c r="N101" s="103"/>
      <c r="O101" s="103"/>
      <c r="P101" s="105"/>
      <c r="Q101" s="103"/>
      <c r="R101" s="103"/>
      <c r="T101" s="105"/>
      <c r="U101" s="105"/>
      <c r="V101" s="105"/>
      <c r="W101" s="105"/>
      <c r="X101" s="105"/>
      <c r="Y101" s="103"/>
      <c r="Z101" s="103"/>
      <c r="AA101" s="103"/>
      <c r="AB101" s="103"/>
      <c r="AC101" s="105"/>
      <c r="AD101" s="103"/>
      <c r="AE101" s="103"/>
      <c r="AG101" s="105"/>
      <c r="AH101" s="105"/>
      <c r="AI101" s="105"/>
      <c r="AJ101" s="105"/>
      <c r="AK101" s="105"/>
      <c r="AL101" s="103"/>
      <c r="AM101" s="103"/>
      <c r="AN101" s="103"/>
      <c r="AO101" s="103"/>
      <c r="AP101" s="105"/>
      <c r="AQ101" s="103"/>
      <c r="AR101" s="103"/>
      <c r="AT101" s="105"/>
      <c r="AU101" s="105"/>
      <c r="AV101" s="105"/>
      <c r="AW101" s="105"/>
      <c r="AX101" s="105"/>
      <c r="AY101" s="103"/>
      <c r="AZ101" s="103"/>
      <c r="BA101" s="103"/>
      <c r="BB101" s="103"/>
      <c r="BC101" s="105"/>
      <c r="BD101" s="103"/>
      <c r="BE101" s="103"/>
    </row>
    <row r="102" spans="3:57" s="102" customFormat="1" x14ac:dyDescent="0.2">
      <c r="C102" s="103"/>
      <c r="D102" s="104"/>
      <c r="E102" s="104"/>
      <c r="G102" s="105"/>
      <c r="H102" s="105"/>
      <c r="I102" s="105"/>
      <c r="J102" s="105"/>
      <c r="K102" s="105"/>
      <c r="L102" s="103"/>
      <c r="M102" s="103"/>
      <c r="N102" s="103"/>
      <c r="O102" s="103"/>
      <c r="P102" s="105"/>
      <c r="Q102" s="103"/>
      <c r="R102" s="103"/>
      <c r="T102" s="105"/>
      <c r="U102" s="105"/>
      <c r="V102" s="105"/>
      <c r="W102" s="105"/>
      <c r="X102" s="105"/>
      <c r="Y102" s="103"/>
      <c r="Z102" s="103"/>
      <c r="AA102" s="103"/>
      <c r="AB102" s="103"/>
      <c r="AC102" s="105"/>
      <c r="AD102" s="103"/>
      <c r="AE102" s="103"/>
      <c r="AG102" s="105"/>
      <c r="AH102" s="105"/>
      <c r="AI102" s="105"/>
      <c r="AJ102" s="105"/>
      <c r="AK102" s="105"/>
      <c r="AL102" s="103"/>
      <c r="AM102" s="103"/>
      <c r="AN102" s="103"/>
      <c r="AO102" s="103"/>
      <c r="AP102" s="105"/>
      <c r="AQ102" s="103"/>
      <c r="AR102" s="103"/>
      <c r="AT102" s="105"/>
      <c r="AU102" s="105"/>
      <c r="AV102" s="105"/>
      <c r="AW102" s="105"/>
      <c r="AX102" s="105"/>
      <c r="AY102" s="103"/>
      <c r="AZ102" s="103"/>
      <c r="BA102" s="103"/>
      <c r="BB102" s="103"/>
      <c r="BC102" s="105"/>
      <c r="BD102" s="103"/>
      <c r="BE102" s="103"/>
    </row>
    <row r="103" spans="3:57" s="102" customFormat="1" x14ac:dyDescent="0.2">
      <c r="C103" s="103"/>
      <c r="D103" s="104"/>
      <c r="E103" s="104"/>
      <c r="G103" s="105"/>
      <c r="H103" s="105"/>
      <c r="I103" s="105"/>
      <c r="J103" s="105"/>
      <c r="K103" s="105"/>
      <c r="L103" s="103"/>
      <c r="M103" s="103"/>
      <c r="N103" s="103"/>
      <c r="O103" s="103"/>
      <c r="P103" s="105"/>
      <c r="Q103" s="103"/>
      <c r="R103" s="103"/>
      <c r="T103" s="105"/>
      <c r="U103" s="105"/>
      <c r="V103" s="105"/>
      <c r="W103" s="105"/>
      <c r="X103" s="105"/>
      <c r="Y103" s="103"/>
      <c r="Z103" s="103"/>
      <c r="AA103" s="103"/>
      <c r="AB103" s="103"/>
      <c r="AC103" s="105"/>
      <c r="AD103" s="103"/>
      <c r="AE103" s="103"/>
      <c r="AG103" s="105"/>
      <c r="AH103" s="105"/>
      <c r="AI103" s="105"/>
      <c r="AJ103" s="105"/>
      <c r="AK103" s="105"/>
      <c r="AL103" s="103"/>
      <c r="AM103" s="103"/>
      <c r="AN103" s="103"/>
      <c r="AO103" s="103"/>
      <c r="AP103" s="105"/>
      <c r="AQ103" s="103"/>
      <c r="AR103" s="103"/>
      <c r="AT103" s="105"/>
      <c r="AU103" s="105"/>
      <c r="AV103" s="105"/>
      <c r="AW103" s="105"/>
      <c r="AX103" s="105"/>
      <c r="AY103" s="103"/>
      <c r="AZ103" s="103"/>
      <c r="BA103" s="103"/>
      <c r="BB103" s="103"/>
      <c r="BC103" s="105"/>
      <c r="BD103" s="103"/>
      <c r="BE103" s="103"/>
    </row>
    <row r="104" spans="3:57" s="102" customFormat="1" x14ac:dyDescent="0.2">
      <c r="C104" s="103"/>
      <c r="D104" s="104"/>
      <c r="E104" s="104"/>
      <c r="G104" s="105"/>
      <c r="H104" s="105"/>
      <c r="I104" s="105"/>
      <c r="J104" s="105"/>
      <c r="K104" s="105"/>
      <c r="L104" s="103"/>
      <c r="M104" s="103"/>
      <c r="N104" s="103"/>
      <c r="O104" s="103"/>
      <c r="P104" s="105"/>
      <c r="Q104" s="103"/>
      <c r="R104" s="103"/>
      <c r="T104" s="105"/>
      <c r="U104" s="105"/>
      <c r="V104" s="105"/>
      <c r="W104" s="105"/>
      <c r="X104" s="105"/>
      <c r="Y104" s="103"/>
      <c r="Z104" s="103"/>
      <c r="AA104" s="103"/>
      <c r="AB104" s="103"/>
      <c r="AC104" s="105"/>
      <c r="AD104" s="103"/>
      <c r="AE104" s="103"/>
      <c r="AG104" s="105"/>
      <c r="AH104" s="105"/>
      <c r="AI104" s="105"/>
      <c r="AJ104" s="105"/>
      <c r="AK104" s="105"/>
      <c r="AL104" s="103"/>
      <c r="AM104" s="103"/>
      <c r="AN104" s="103"/>
      <c r="AO104" s="103"/>
      <c r="AP104" s="105"/>
      <c r="AQ104" s="103"/>
      <c r="AR104" s="103"/>
      <c r="AT104" s="105"/>
      <c r="AU104" s="105"/>
      <c r="AV104" s="105"/>
      <c r="AW104" s="105"/>
      <c r="AX104" s="105"/>
      <c r="AY104" s="103"/>
      <c r="AZ104" s="103"/>
      <c r="BA104" s="103"/>
      <c r="BB104" s="103"/>
      <c r="BC104" s="105"/>
      <c r="BD104" s="103"/>
      <c r="BE104" s="103"/>
    </row>
    <row r="105" spans="3:57" s="102" customFormat="1" x14ac:dyDescent="0.2">
      <c r="C105" s="103"/>
      <c r="D105" s="104"/>
      <c r="E105" s="104"/>
      <c r="G105" s="105"/>
      <c r="H105" s="105"/>
      <c r="I105" s="105"/>
      <c r="J105" s="105"/>
      <c r="K105" s="105"/>
      <c r="L105" s="103"/>
      <c r="M105" s="103"/>
      <c r="N105" s="103"/>
      <c r="O105" s="103"/>
      <c r="P105" s="105"/>
      <c r="Q105" s="103"/>
      <c r="R105" s="103"/>
      <c r="T105" s="105"/>
      <c r="U105" s="105"/>
      <c r="V105" s="105"/>
      <c r="W105" s="105"/>
      <c r="X105" s="105"/>
      <c r="Y105" s="103"/>
      <c r="Z105" s="103"/>
      <c r="AA105" s="103"/>
      <c r="AB105" s="103"/>
      <c r="AC105" s="105"/>
      <c r="AD105" s="103"/>
      <c r="AE105" s="103"/>
      <c r="AG105" s="105"/>
      <c r="AH105" s="105"/>
      <c r="AI105" s="105"/>
      <c r="AJ105" s="105"/>
      <c r="AK105" s="105"/>
      <c r="AL105" s="103"/>
      <c r="AM105" s="103"/>
      <c r="AN105" s="103"/>
      <c r="AO105" s="103"/>
      <c r="AP105" s="105"/>
      <c r="AQ105" s="103"/>
      <c r="AR105" s="103"/>
      <c r="AT105" s="105"/>
      <c r="AU105" s="105"/>
      <c r="AV105" s="105"/>
      <c r="AW105" s="105"/>
      <c r="AX105" s="105"/>
      <c r="AY105" s="103"/>
      <c r="AZ105" s="103"/>
      <c r="BA105" s="103"/>
      <c r="BB105" s="103"/>
      <c r="BC105" s="105"/>
      <c r="BD105" s="103"/>
      <c r="BE105" s="103"/>
    </row>
    <row r="106" spans="3:57" s="102" customFormat="1" x14ac:dyDescent="0.2">
      <c r="C106" s="103"/>
      <c r="D106" s="104"/>
      <c r="E106" s="104"/>
      <c r="G106" s="105"/>
      <c r="H106" s="105"/>
      <c r="I106" s="105"/>
      <c r="J106" s="105"/>
      <c r="K106" s="105"/>
      <c r="L106" s="103"/>
      <c r="M106" s="103"/>
      <c r="N106" s="103"/>
      <c r="O106" s="103"/>
      <c r="P106" s="105"/>
      <c r="Q106" s="103"/>
      <c r="R106" s="103"/>
      <c r="T106" s="105"/>
      <c r="U106" s="105"/>
      <c r="V106" s="105"/>
      <c r="W106" s="105"/>
      <c r="X106" s="105"/>
      <c r="Y106" s="103"/>
      <c r="Z106" s="103"/>
      <c r="AA106" s="103"/>
      <c r="AB106" s="103"/>
      <c r="AC106" s="105"/>
      <c r="AD106" s="103"/>
      <c r="AE106" s="103"/>
      <c r="AG106" s="105"/>
      <c r="AH106" s="105"/>
      <c r="AI106" s="105"/>
      <c r="AJ106" s="105"/>
      <c r="AK106" s="105"/>
      <c r="AL106" s="103"/>
      <c r="AM106" s="103"/>
      <c r="AN106" s="103"/>
      <c r="AO106" s="103"/>
      <c r="AP106" s="105"/>
      <c r="AQ106" s="103"/>
      <c r="AR106" s="103"/>
      <c r="AT106" s="105"/>
      <c r="AU106" s="105"/>
      <c r="AV106" s="105"/>
      <c r="AW106" s="105"/>
      <c r="AX106" s="105"/>
      <c r="AY106" s="103"/>
      <c r="AZ106" s="103"/>
      <c r="BA106" s="103"/>
      <c r="BB106" s="103"/>
      <c r="BC106" s="105"/>
      <c r="BD106" s="103"/>
      <c r="BE106" s="103"/>
    </row>
    <row r="107" spans="3:57" s="102" customFormat="1" x14ac:dyDescent="0.2">
      <c r="C107" s="103"/>
      <c r="D107" s="104"/>
      <c r="E107" s="104"/>
      <c r="G107" s="105"/>
      <c r="H107" s="105"/>
      <c r="I107" s="105"/>
      <c r="J107" s="105"/>
      <c r="K107" s="105"/>
      <c r="L107" s="103"/>
      <c r="M107" s="103"/>
      <c r="N107" s="103"/>
      <c r="O107" s="103"/>
      <c r="P107" s="105"/>
      <c r="Q107" s="103"/>
      <c r="R107" s="103"/>
      <c r="T107" s="105"/>
      <c r="U107" s="105"/>
      <c r="V107" s="105"/>
      <c r="W107" s="105"/>
      <c r="X107" s="105"/>
      <c r="Y107" s="103"/>
      <c r="Z107" s="103"/>
      <c r="AA107" s="103"/>
      <c r="AB107" s="103"/>
      <c r="AC107" s="105"/>
      <c r="AD107" s="103"/>
      <c r="AE107" s="103"/>
      <c r="AG107" s="105"/>
      <c r="AH107" s="105"/>
      <c r="AI107" s="105"/>
      <c r="AJ107" s="105"/>
      <c r="AK107" s="105"/>
      <c r="AL107" s="103"/>
      <c r="AM107" s="103"/>
      <c r="AN107" s="103"/>
      <c r="AO107" s="103"/>
      <c r="AP107" s="105"/>
      <c r="AQ107" s="103"/>
      <c r="AR107" s="103"/>
      <c r="AT107" s="105"/>
      <c r="AU107" s="105"/>
      <c r="AV107" s="105"/>
      <c r="AW107" s="105"/>
      <c r="AX107" s="105"/>
      <c r="AY107" s="103"/>
      <c r="AZ107" s="103"/>
      <c r="BA107" s="103"/>
      <c r="BB107" s="103"/>
      <c r="BC107" s="105"/>
      <c r="BD107" s="103"/>
      <c r="BE107" s="103"/>
    </row>
    <row r="108" spans="3:57" s="102" customFormat="1" x14ac:dyDescent="0.2">
      <c r="C108" s="103"/>
      <c r="D108" s="104"/>
      <c r="E108" s="104"/>
      <c r="G108" s="105"/>
      <c r="H108" s="105"/>
      <c r="I108" s="105"/>
      <c r="J108" s="105"/>
      <c r="K108" s="105"/>
      <c r="L108" s="103"/>
      <c r="M108" s="103"/>
      <c r="N108" s="103"/>
      <c r="O108" s="103"/>
      <c r="P108" s="105"/>
      <c r="Q108" s="103"/>
      <c r="R108" s="103"/>
      <c r="T108" s="105"/>
      <c r="U108" s="105"/>
      <c r="V108" s="105"/>
      <c r="W108" s="105"/>
      <c r="X108" s="105"/>
      <c r="Y108" s="103"/>
      <c r="Z108" s="103"/>
      <c r="AA108" s="103"/>
      <c r="AB108" s="103"/>
      <c r="AC108" s="105"/>
      <c r="AD108" s="103"/>
      <c r="AE108" s="103"/>
      <c r="AG108" s="105"/>
      <c r="AH108" s="105"/>
      <c r="AI108" s="105"/>
      <c r="AJ108" s="105"/>
      <c r="AK108" s="105"/>
      <c r="AL108" s="103"/>
      <c r="AM108" s="103"/>
      <c r="AN108" s="103"/>
      <c r="AO108" s="103"/>
      <c r="AP108" s="105"/>
      <c r="AQ108" s="103"/>
      <c r="AR108" s="103"/>
      <c r="AT108" s="105"/>
      <c r="AU108" s="105"/>
      <c r="AV108" s="105"/>
      <c r="AW108" s="105"/>
      <c r="AX108" s="105"/>
      <c r="AY108" s="103"/>
      <c r="AZ108" s="103"/>
      <c r="BA108" s="103"/>
      <c r="BB108" s="103"/>
      <c r="BC108" s="105"/>
      <c r="BD108" s="103"/>
      <c r="BE108" s="103"/>
    </row>
    <row r="109" spans="3:57" s="102" customFormat="1" x14ac:dyDescent="0.2">
      <c r="C109" s="103"/>
      <c r="D109" s="104"/>
      <c r="E109" s="104"/>
      <c r="G109" s="105"/>
      <c r="H109" s="105"/>
      <c r="I109" s="105"/>
      <c r="J109" s="105"/>
      <c r="K109" s="105"/>
      <c r="L109" s="103"/>
      <c r="M109" s="103"/>
      <c r="N109" s="103"/>
      <c r="O109" s="103"/>
      <c r="P109" s="105"/>
      <c r="Q109" s="103"/>
      <c r="R109" s="103"/>
      <c r="T109" s="105"/>
      <c r="U109" s="105"/>
      <c r="V109" s="105"/>
      <c r="W109" s="105"/>
      <c r="X109" s="105"/>
      <c r="Y109" s="103"/>
      <c r="Z109" s="103"/>
      <c r="AA109" s="103"/>
      <c r="AB109" s="103"/>
      <c r="AC109" s="105"/>
      <c r="AD109" s="103"/>
      <c r="AE109" s="103"/>
      <c r="AG109" s="105"/>
      <c r="AH109" s="105"/>
      <c r="AI109" s="105"/>
      <c r="AJ109" s="105"/>
      <c r="AK109" s="105"/>
      <c r="AL109" s="103"/>
      <c r="AM109" s="103"/>
      <c r="AN109" s="103"/>
      <c r="AO109" s="103"/>
      <c r="AP109" s="105"/>
      <c r="AQ109" s="103"/>
      <c r="AR109" s="103"/>
      <c r="AT109" s="105"/>
      <c r="AU109" s="105"/>
      <c r="AV109" s="105"/>
      <c r="AW109" s="105"/>
      <c r="AX109" s="105"/>
      <c r="AY109" s="103"/>
      <c r="AZ109" s="103"/>
      <c r="BA109" s="103"/>
      <c r="BB109" s="103"/>
      <c r="BC109" s="105"/>
      <c r="BD109" s="103"/>
      <c r="BE109" s="103"/>
    </row>
    <row r="110" spans="3:57" s="102" customFormat="1" x14ac:dyDescent="0.2">
      <c r="C110" s="103"/>
      <c r="D110" s="104"/>
      <c r="E110" s="104"/>
      <c r="G110" s="105"/>
      <c r="H110" s="105"/>
      <c r="I110" s="105"/>
      <c r="J110" s="105"/>
      <c r="K110" s="105"/>
      <c r="L110" s="103"/>
      <c r="M110" s="103"/>
      <c r="N110" s="103"/>
      <c r="O110" s="103"/>
      <c r="P110" s="105"/>
      <c r="Q110" s="103"/>
      <c r="R110" s="103"/>
      <c r="T110" s="105"/>
      <c r="U110" s="105"/>
      <c r="V110" s="105"/>
      <c r="W110" s="105"/>
      <c r="X110" s="105"/>
      <c r="Y110" s="103"/>
      <c r="Z110" s="103"/>
      <c r="AA110" s="103"/>
      <c r="AB110" s="103"/>
      <c r="AC110" s="105"/>
      <c r="AD110" s="103"/>
      <c r="AE110" s="103"/>
      <c r="AG110" s="105"/>
      <c r="AH110" s="105"/>
      <c r="AI110" s="105"/>
      <c r="AJ110" s="105"/>
      <c r="AK110" s="105"/>
      <c r="AL110" s="103"/>
      <c r="AM110" s="103"/>
      <c r="AN110" s="103"/>
      <c r="AO110" s="103"/>
      <c r="AP110" s="105"/>
      <c r="AQ110" s="103"/>
      <c r="AR110" s="103"/>
      <c r="AT110" s="105"/>
      <c r="AU110" s="105"/>
      <c r="AV110" s="105"/>
      <c r="AW110" s="105"/>
      <c r="AX110" s="105"/>
      <c r="AY110" s="103"/>
      <c r="AZ110" s="103"/>
      <c r="BA110" s="103"/>
      <c r="BB110" s="103"/>
      <c r="BC110" s="105"/>
      <c r="BD110" s="103"/>
      <c r="BE110" s="103"/>
    </row>
    <row r="111" spans="3:57" s="102" customFormat="1" x14ac:dyDescent="0.2">
      <c r="C111" s="103"/>
      <c r="D111" s="104"/>
      <c r="E111" s="104"/>
      <c r="G111" s="105"/>
      <c r="H111" s="105"/>
      <c r="I111" s="105"/>
      <c r="J111" s="105"/>
      <c r="K111" s="105"/>
      <c r="L111" s="103"/>
      <c r="M111" s="103"/>
      <c r="N111" s="103"/>
      <c r="O111" s="103"/>
      <c r="P111" s="105"/>
      <c r="Q111" s="103"/>
      <c r="R111" s="103"/>
      <c r="T111" s="105"/>
      <c r="U111" s="105"/>
      <c r="V111" s="105"/>
      <c r="W111" s="105"/>
      <c r="X111" s="105"/>
      <c r="Y111" s="103"/>
      <c r="Z111" s="103"/>
      <c r="AA111" s="103"/>
      <c r="AB111" s="103"/>
      <c r="AC111" s="105"/>
      <c r="AD111" s="103"/>
      <c r="AE111" s="103"/>
      <c r="AG111" s="105"/>
      <c r="AH111" s="105"/>
      <c r="AI111" s="105"/>
      <c r="AJ111" s="105"/>
      <c r="AK111" s="105"/>
      <c r="AL111" s="103"/>
      <c r="AM111" s="103"/>
      <c r="AN111" s="103"/>
      <c r="AO111" s="103"/>
      <c r="AP111" s="105"/>
      <c r="AQ111" s="103"/>
      <c r="AR111" s="103"/>
      <c r="AT111" s="105"/>
      <c r="AU111" s="105"/>
      <c r="AV111" s="105"/>
      <c r="AW111" s="105"/>
      <c r="AX111" s="105"/>
      <c r="AY111" s="103"/>
      <c r="AZ111" s="103"/>
      <c r="BA111" s="103"/>
      <c r="BB111" s="103"/>
      <c r="BC111" s="105"/>
      <c r="BD111" s="103"/>
      <c r="BE111" s="103"/>
    </row>
    <row r="112" spans="3:57" s="102" customFormat="1" x14ac:dyDescent="0.2">
      <c r="C112" s="103"/>
      <c r="D112" s="104"/>
      <c r="E112" s="104"/>
      <c r="G112" s="105"/>
      <c r="H112" s="105"/>
      <c r="I112" s="105"/>
      <c r="J112" s="105"/>
      <c r="K112" s="105"/>
      <c r="L112" s="103"/>
      <c r="M112" s="103"/>
      <c r="N112" s="103"/>
      <c r="O112" s="103"/>
      <c r="P112" s="105"/>
      <c r="Q112" s="103"/>
      <c r="R112" s="103"/>
      <c r="T112" s="105"/>
      <c r="U112" s="105"/>
      <c r="V112" s="105"/>
      <c r="W112" s="105"/>
      <c r="X112" s="105"/>
      <c r="Y112" s="103"/>
      <c r="Z112" s="103"/>
      <c r="AA112" s="103"/>
      <c r="AB112" s="103"/>
      <c r="AC112" s="105"/>
      <c r="AD112" s="103"/>
      <c r="AE112" s="103"/>
      <c r="AG112" s="105"/>
      <c r="AH112" s="105"/>
      <c r="AI112" s="105"/>
      <c r="AJ112" s="105"/>
      <c r="AK112" s="105"/>
      <c r="AL112" s="103"/>
      <c r="AM112" s="103"/>
      <c r="AN112" s="103"/>
      <c r="AO112" s="103"/>
      <c r="AP112" s="105"/>
      <c r="AQ112" s="103"/>
      <c r="AR112" s="103"/>
      <c r="AT112" s="105"/>
      <c r="AU112" s="105"/>
      <c r="AV112" s="105"/>
      <c r="AW112" s="105"/>
      <c r="AX112" s="105"/>
      <c r="AY112" s="103"/>
      <c r="AZ112" s="103"/>
      <c r="BA112" s="103"/>
      <c r="BB112" s="103"/>
      <c r="BC112" s="105"/>
      <c r="BD112" s="103"/>
      <c r="BE112" s="103"/>
    </row>
    <row r="113" spans="3:57" s="102" customFormat="1" x14ac:dyDescent="0.2">
      <c r="C113" s="103"/>
      <c r="D113" s="104"/>
      <c r="E113" s="104"/>
      <c r="G113" s="105"/>
      <c r="H113" s="105"/>
      <c r="I113" s="105"/>
      <c r="J113" s="105"/>
      <c r="K113" s="105"/>
      <c r="L113" s="103"/>
      <c r="M113" s="103"/>
      <c r="N113" s="103"/>
      <c r="O113" s="103"/>
      <c r="P113" s="105"/>
      <c r="Q113" s="103"/>
      <c r="R113" s="103"/>
      <c r="T113" s="105"/>
      <c r="U113" s="105"/>
      <c r="V113" s="105"/>
      <c r="W113" s="105"/>
      <c r="X113" s="105"/>
      <c r="Y113" s="103"/>
      <c r="Z113" s="103"/>
      <c r="AA113" s="103"/>
      <c r="AB113" s="103"/>
      <c r="AC113" s="105"/>
      <c r="AD113" s="103"/>
      <c r="AE113" s="103"/>
      <c r="AG113" s="105"/>
      <c r="AH113" s="105"/>
      <c r="AI113" s="105"/>
      <c r="AJ113" s="105"/>
      <c r="AK113" s="105"/>
      <c r="AL113" s="103"/>
      <c r="AM113" s="103"/>
      <c r="AN113" s="103"/>
      <c r="AO113" s="103"/>
      <c r="AP113" s="105"/>
      <c r="AQ113" s="103"/>
      <c r="AR113" s="103"/>
      <c r="AT113" s="105"/>
      <c r="AU113" s="105"/>
      <c r="AV113" s="105"/>
      <c r="AW113" s="105"/>
      <c r="AX113" s="105"/>
      <c r="AY113" s="103"/>
      <c r="AZ113" s="103"/>
      <c r="BA113" s="103"/>
      <c r="BB113" s="103"/>
      <c r="BC113" s="105"/>
      <c r="BD113" s="103"/>
      <c r="BE113" s="103"/>
    </row>
    <row r="114" spans="3:57" s="102" customFormat="1" x14ac:dyDescent="0.2">
      <c r="C114" s="103"/>
      <c r="D114" s="104"/>
      <c r="E114" s="104"/>
      <c r="G114" s="105"/>
      <c r="H114" s="105"/>
      <c r="I114" s="105"/>
      <c r="J114" s="105"/>
      <c r="K114" s="105"/>
      <c r="L114" s="103"/>
      <c r="M114" s="103"/>
      <c r="N114" s="103"/>
      <c r="O114" s="103"/>
      <c r="P114" s="105"/>
      <c r="Q114" s="103"/>
      <c r="R114" s="103"/>
      <c r="T114" s="105"/>
      <c r="U114" s="105"/>
      <c r="V114" s="105"/>
      <c r="W114" s="105"/>
      <c r="X114" s="105"/>
      <c r="Y114" s="103"/>
      <c r="Z114" s="103"/>
      <c r="AA114" s="103"/>
      <c r="AB114" s="103"/>
      <c r="AC114" s="105"/>
      <c r="AD114" s="103"/>
      <c r="AE114" s="103"/>
      <c r="AG114" s="105"/>
      <c r="AH114" s="105"/>
      <c r="AI114" s="105"/>
      <c r="AJ114" s="105"/>
      <c r="AK114" s="105"/>
      <c r="AL114" s="103"/>
      <c r="AM114" s="103"/>
      <c r="AN114" s="103"/>
      <c r="AO114" s="103"/>
      <c r="AP114" s="105"/>
      <c r="AQ114" s="103"/>
      <c r="AR114" s="103"/>
      <c r="AT114" s="105"/>
      <c r="AU114" s="105"/>
      <c r="AV114" s="105"/>
      <c r="AW114" s="105"/>
      <c r="AX114" s="105"/>
      <c r="AY114" s="103"/>
      <c r="AZ114" s="103"/>
      <c r="BA114" s="103"/>
      <c r="BB114" s="103"/>
      <c r="BC114" s="105"/>
      <c r="BD114" s="103"/>
      <c r="BE114" s="103"/>
    </row>
    <row r="115" spans="3:57" s="102" customFormat="1" x14ac:dyDescent="0.2">
      <c r="C115" s="103"/>
      <c r="D115" s="104"/>
      <c r="E115" s="104"/>
      <c r="G115" s="105"/>
      <c r="H115" s="105"/>
      <c r="I115" s="105"/>
      <c r="J115" s="105"/>
      <c r="K115" s="105"/>
      <c r="L115" s="103"/>
      <c r="M115" s="103"/>
      <c r="N115" s="103"/>
      <c r="O115" s="103"/>
      <c r="P115" s="105"/>
      <c r="Q115" s="103"/>
      <c r="R115" s="103"/>
      <c r="T115" s="105"/>
      <c r="U115" s="105"/>
      <c r="V115" s="105"/>
      <c r="W115" s="105"/>
      <c r="X115" s="105"/>
      <c r="Y115" s="103"/>
      <c r="Z115" s="103"/>
      <c r="AA115" s="103"/>
      <c r="AB115" s="103"/>
      <c r="AC115" s="105"/>
      <c r="AD115" s="103"/>
      <c r="AE115" s="103"/>
      <c r="AG115" s="105"/>
      <c r="AH115" s="105"/>
      <c r="AI115" s="105"/>
      <c r="AJ115" s="105"/>
      <c r="AK115" s="105"/>
      <c r="AL115" s="103"/>
      <c r="AM115" s="103"/>
      <c r="AN115" s="103"/>
      <c r="AO115" s="103"/>
      <c r="AP115" s="105"/>
      <c r="AQ115" s="103"/>
      <c r="AR115" s="103"/>
      <c r="AT115" s="105"/>
      <c r="AU115" s="105"/>
      <c r="AV115" s="105"/>
      <c r="AW115" s="105"/>
      <c r="AX115" s="105"/>
      <c r="AY115" s="103"/>
      <c r="AZ115" s="103"/>
      <c r="BA115" s="103"/>
      <c r="BB115" s="103"/>
      <c r="BC115" s="105"/>
      <c r="BD115" s="103"/>
      <c r="BE115" s="103"/>
    </row>
    <row r="116" spans="3:57" s="102" customFormat="1" x14ac:dyDescent="0.2">
      <c r="C116" s="103"/>
      <c r="D116" s="104"/>
      <c r="E116" s="104"/>
      <c r="G116" s="105"/>
      <c r="H116" s="105"/>
      <c r="I116" s="105"/>
      <c r="J116" s="105"/>
      <c r="K116" s="105"/>
      <c r="L116" s="103"/>
      <c r="M116" s="103"/>
      <c r="N116" s="103"/>
      <c r="O116" s="103"/>
      <c r="P116" s="105"/>
      <c r="Q116" s="103"/>
      <c r="R116" s="103"/>
      <c r="T116" s="105"/>
      <c r="U116" s="105"/>
      <c r="V116" s="105"/>
      <c r="W116" s="105"/>
      <c r="X116" s="105"/>
      <c r="Y116" s="103"/>
      <c r="Z116" s="103"/>
      <c r="AA116" s="103"/>
      <c r="AB116" s="103"/>
      <c r="AC116" s="105"/>
      <c r="AD116" s="103"/>
      <c r="AE116" s="103"/>
      <c r="AG116" s="105"/>
      <c r="AH116" s="105"/>
      <c r="AI116" s="105"/>
      <c r="AJ116" s="105"/>
      <c r="AK116" s="105"/>
      <c r="AL116" s="103"/>
      <c r="AM116" s="103"/>
      <c r="AN116" s="103"/>
      <c r="AO116" s="103"/>
      <c r="AP116" s="105"/>
      <c r="AQ116" s="103"/>
      <c r="AR116" s="103"/>
      <c r="AT116" s="105"/>
      <c r="AU116" s="105"/>
      <c r="AV116" s="105"/>
      <c r="AW116" s="105"/>
      <c r="AX116" s="105"/>
      <c r="AY116" s="103"/>
      <c r="AZ116" s="103"/>
      <c r="BA116" s="103"/>
      <c r="BB116" s="103"/>
      <c r="BC116" s="105"/>
      <c r="BD116" s="103"/>
      <c r="BE116" s="103"/>
    </row>
    <row r="117" spans="3:57" s="102" customFormat="1" x14ac:dyDescent="0.2">
      <c r="C117" s="103"/>
      <c r="D117" s="104"/>
      <c r="E117" s="104"/>
      <c r="G117" s="105"/>
      <c r="H117" s="105"/>
      <c r="I117" s="105"/>
      <c r="J117" s="105"/>
      <c r="K117" s="105"/>
      <c r="L117" s="103"/>
      <c r="M117" s="103"/>
      <c r="N117" s="103"/>
      <c r="O117" s="103"/>
      <c r="P117" s="105"/>
      <c r="Q117" s="103"/>
      <c r="R117" s="103"/>
      <c r="T117" s="105"/>
      <c r="U117" s="105"/>
      <c r="V117" s="105"/>
      <c r="W117" s="105"/>
      <c r="X117" s="105"/>
      <c r="Y117" s="103"/>
      <c r="Z117" s="103"/>
      <c r="AA117" s="103"/>
      <c r="AB117" s="103"/>
      <c r="AC117" s="105"/>
      <c r="AD117" s="103"/>
      <c r="AE117" s="103"/>
      <c r="AG117" s="105"/>
      <c r="AH117" s="105"/>
      <c r="AI117" s="105"/>
      <c r="AJ117" s="105"/>
      <c r="AK117" s="105"/>
      <c r="AL117" s="103"/>
      <c r="AM117" s="103"/>
      <c r="AN117" s="103"/>
      <c r="AO117" s="103"/>
      <c r="AP117" s="105"/>
      <c r="AQ117" s="103"/>
      <c r="AR117" s="103"/>
      <c r="AT117" s="105"/>
      <c r="AU117" s="105"/>
      <c r="AV117" s="105"/>
      <c r="AW117" s="105"/>
      <c r="AX117" s="105"/>
      <c r="AY117" s="103"/>
      <c r="AZ117" s="103"/>
      <c r="BA117" s="103"/>
      <c r="BB117" s="103"/>
      <c r="BC117" s="105"/>
      <c r="BD117" s="103"/>
      <c r="BE117" s="103"/>
    </row>
    <row r="118" spans="3:57" s="102" customFormat="1" x14ac:dyDescent="0.2">
      <c r="C118" s="103"/>
      <c r="D118" s="104"/>
      <c r="E118" s="104"/>
      <c r="G118" s="105"/>
      <c r="H118" s="105"/>
      <c r="I118" s="105"/>
      <c r="J118" s="105"/>
      <c r="K118" s="105"/>
      <c r="L118" s="103"/>
      <c r="M118" s="103"/>
      <c r="N118" s="103"/>
      <c r="O118" s="103"/>
      <c r="P118" s="105"/>
      <c r="Q118" s="103"/>
      <c r="R118" s="103"/>
      <c r="T118" s="105"/>
      <c r="U118" s="105"/>
      <c r="V118" s="105"/>
      <c r="W118" s="105"/>
      <c r="X118" s="105"/>
      <c r="Y118" s="103"/>
      <c r="Z118" s="103"/>
      <c r="AA118" s="103"/>
      <c r="AB118" s="103"/>
      <c r="AC118" s="105"/>
      <c r="AD118" s="103"/>
      <c r="AE118" s="103"/>
      <c r="AG118" s="105"/>
      <c r="AH118" s="105"/>
      <c r="AI118" s="105"/>
      <c r="AJ118" s="105"/>
      <c r="AK118" s="105"/>
      <c r="AL118" s="103"/>
      <c r="AM118" s="103"/>
      <c r="AN118" s="103"/>
      <c r="AO118" s="103"/>
      <c r="AP118" s="105"/>
      <c r="AQ118" s="103"/>
      <c r="AR118" s="103"/>
      <c r="AT118" s="105"/>
      <c r="AU118" s="105"/>
      <c r="AV118" s="105"/>
      <c r="AW118" s="105"/>
      <c r="AX118" s="105"/>
      <c r="AY118" s="103"/>
      <c r="AZ118" s="103"/>
      <c r="BA118" s="103"/>
      <c r="BB118" s="103"/>
      <c r="BC118" s="105"/>
      <c r="BD118" s="103"/>
      <c r="BE118" s="103"/>
    </row>
    <row r="119" spans="3:57" s="102" customFormat="1" x14ac:dyDescent="0.2">
      <c r="C119" s="103"/>
      <c r="D119" s="104"/>
      <c r="E119" s="104"/>
      <c r="G119" s="105"/>
      <c r="H119" s="105"/>
      <c r="I119" s="105"/>
      <c r="J119" s="105"/>
      <c r="K119" s="105"/>
      <c r="L119" s="103"/>
      <c r="M119" s="103"/>
      <c r="N119" s="103"/>
      <c r="O119" s="103"/>
      <c r="P119" s="105"/>
      <c r="Q119" s="103"/>
      <c r="R119" s="103"/>
      <c r="T119" s="105"/>
      <c r="U119" s="105"/>
      <c r="V119" s="105"/>
      <c r="W119" s="105"/>
      <c r="X119" s="105"/>
      <c r="Y119" s="103"/>
      <c r="Z119" s="103"/>
      <c r="AA119" s="103"/>
      <c r="AB119" s="103"/>
      <c r="AC119" s="105"/>
      <c r="AD119" s="103"/>
      <c r="AE119" s="103"/>
      <c r="AG119" s="105"/>
      <c r="AH119" s="105"/>
      <c r="AI119" s="105"/>
      <c r="AJ119" s="105"/>
      <c r="AK119" s="105"/>
      <c r="AL119" s="103"/>
      <c r="AM119" s="103"/>
      <c r="AN119" s="103"/>
      <c r="AO119" s="103"/>
      <c r="AP119" s="105"/>
      <c r="AQ119" s="103"/>
      <c r="AR119" s="103"/>
      <c r="AT119" s="105"/>
      <c r="AU119" s="105"/>
      <c r="AV119" s="105"/>
      <c r="AW119" s="105"/>
      <c r="AX119" s="105"/>
      <c r="AY119" s="103"/>
      <c r="AZ119" s="103"/>
      <c r="BA119" s="103"/>
      <c r="BB119" s="103"/>
      <c r="BC119" s="105"/>
      <c r="BD119" s="103"/>
      <c r="BE119" s="103"/>
    </row>
    <row r="120" spans="3:57" s="102" customFormat="1" x14ac:dyDescent="0.2">
      <c r="C120" s="103"/>
      <c r="D120" s="104"/>
      <c r="E120" s="104"/>
      <c r="G120" s="105"/>
      <c r="H120" s="105"/>
      <c r="I120" s="105"/>
      <c r="J120" s="105"/>
      <c r="K120" s="105"/>
      <c r="L120" s="103"/>
      <c r="M120" s="103"/>
      <c r="N120" s="103"/>
      <c r="O120" s="103"/>
      <c r="P120" s="105"/>
      <c r="Q120" s="103"/>
      <c r="R120" s="103"/>
      <c r="T120" s="105"/>
      <c r="U120" s="105"/>
      <c r="V120" s="105"/>
      <c r="W120" s="105"/>
      <c r="X120" s="105"/>
      <c r="Y120" s="103"/>
      <c r="Z120" s="103"/>
      <c r="AA120" s="103"/>
      <c r="AB120" s="103"/>
      <c r="AC120" s="105"/>
      <c r="AD120" s="103"/>
      <c r="AE120" s="103"/>
      <c r="AG120" s="105"/>
      <c r="AH120" s="105"/>
      <c r="AI120" s="105"/>
      <c r="AJ120" s="105"/>
      <c r="AK120" s="105"/>
      <c r="AL120" s="103"/>
      <c r="AM120" s="103"/>
      <c r="AN120" s="103"/>
      <c r="AO120" s="103"/>
      <c r="AP120" s="105"/>
      <c r="AQ120" s="103"/>
      <c r="AR120" s="103"/>
      <c r="AT120" s="105"/>
      <c r="AU120" s="105"/>
      <c r="AV120" s="105"/>
      <c r="AW120" s="105"/>
      <c r="AX120" s="105"/>
      <c r="AY120" s="103"/>
      <c r="AZ120" s="103"/>
      <c r="BA120" s="103"/>
      <c r="BB120" s="103"/>
      <c r="BC120" s="105"/>
      <c r="BD120" s="103"/>
      <c r="BE120" s="103"/>
    </row>
    <row r="121" spans="3:57" s="102" customFormat="1" x14ac:dyDescent="0.2">
      <c r="C121" s="103"/>
      <c r="D121" s="104"/>
      <c r="E121" s="104"/>
      <c r="G121" s="105"/>
      <c r="H121" s="105"/>
      <c r="I121" s="105"/>
      <c r="J121" s="105"/>
      <c r="K121" s="105"/>
      <c r="L121" s="103"/>
      <c r="M121" s="103"/>
      <c r="N121" s="103"/>
      <c r="O121" s="103"/>
      <c r="P121" s="105"/>
      <c r="Q121" s="103"/>
      <c r="R121" s="103"/>
      <c r="T121" s="105"/>
      <c r="U121" s="105"/>
      <c r="V121" s="105"/>
      <c r="W121" s="105"/>
      <c r="X121" s="105"/>
      <c r="Y121" s="103"/>
      <c r="Z121" s="103"/>
      <c r="AA121" s="103"/>
      <c r="AB121" s="103"/>
      <c r="AC121" s="105"/>
      <c r="AD121" s="103"/>
      <c r="AE121" s="103"/>
      <c r="AG121" s="105"/>
      <c r="AH121" s="105"/>
      <c r="AI121" s="105"/>
      <c r="AJ121" s="105"/>
      <c r="AK121" s="105"/>
      <c r="AL121" s="103"/>
      <c r="AM121" s="103"/>
      <c r="AN121" s="103"/>
      <c r="AO121" s="103"/>
      <c r="AP121" s="105"/>
      <c r="AQ121" s="103"/>
      <c r="AR121" s="103"/>
      <c r="AT121" s="105"/>
      <c r="AU121" s="105"/>
      <c r="AV121" s="105"/>
      <c r="AW121" s="105"/>
      <c r="AX121" s="105"/>
      <c r="AY121" s="103"/>
      <c r="AZ121" s="103"/>
      <c r="BA121" s="103"/>
      <c r="BB121" s="103"/>
      <c r="BC121" s="105"/>
      <c r="BD121" s="103"/>
      <c r="BE121" s="103"/>
    </row>
    <row r="122" spans="3:57" s="102" customFormat="1" x14ac:dyDescent="0.2">
      <c r="C122" s="103"/>
      <c r="D122" s="104"/>
      <c r="E122" s="104"/>
      <c r="G122" s="105"/>
      <c r="H122" s="105"/>
      <c r="I122" s="105"/>
      <c r="J122" s="105"/>
      <c r="K122" s="105"/>
      <c r="L122" s="103"/>
      <c r="M122" s="103"/>
      <c r="N122" s="103"/>
      <c r="O122" s="103"/>
      <c r="P122" s="105"/>
      <c r="Q122" s="103"/>
      <c r="R122" s="103"/>
      <c r="T122" s="105"/>
      <c r="U122" s="105"/>
      <c r="V122" s="105"/>
      <c r="W122" s="105"/>
      <c r="X122" s="105"/>
      <c r="Y122" s="103"/>
      <c r="Z122" s="103"/>
      <c r="AA122" s="103"/>
      <c r="AB122" s="103"/>
      <c r="AC122" s="105"/>
      <c r="AD122" s="103"/>
      <c r="AE122" s="103"/>
      <c r="AG122" s="105"/>
      <c r="AH122" s="105"/>
      <c r="AI122" s="105"/>
      <c r="AJ122" s="105"/>
      <c r="AK122" s="105"/>
      <c r="AL122" s="103"/>
      <c r="AM122" s="103"/>
      <c r="AN122" s="103"/>
      <c r="AO122" s="103"/>
      <c r="AP122" s="105"/>
      <c r="AQ122" s="103"/>
      <c r="AR122" s="103"/>
      <c r="AT122" s="105"/>
      <c r="AU122" s="105"/>
      <c r="AV122" s="105"/>
      <c r="AW122" s="105"/>
      <c r="AX122" s="105"/>
      <c r="AY122" s="103"/>
      <c r="AZ122" s="103"/>
      <c r="BA122" s="103"/>
      <c r="BB122" s="103"/>
      <c r="BC122" s="105"/>
      <c r="BD122" s="103"/>
      <c r="BE122" s="103"/>
    </row>
    <row r="123" spans="3:57" s="102" customFormat="1" x14ac:dyDescent="0.2">
      <c r="C123" s="103"/>
      <c r="D123" s="104"/>
      <c r="E123" s="104"/>
      <c r="G123" s="105"/>
      <c r="H123" s="105"/>
      <c r="I123" s="105"/>
      <c r="J123" s="105"/>
      <c r="K123" s="105"/>
      <c r="L123" s="103"/>
      <c r="M123" s="103"/>
      <c r="N123" s="103"/>
      <c r="O123" s="103"/>
      <c r="P123" s="105"/>
      <c r="Q123" s="103"/>
      <c r="R123" s="103"/>
      <c r="T123" s="105"/>
      <c r="U123" s="105"/>
      <c r="V123" s="105"/>
      <c r="W123" s="105"/>
      <c r="X123" s="105"/>
      <c r="Y123" s="103"/>
      <c r="Z123" s="103"/>
      <c r="AA123" s="103"/>
      <c r="AB123" s="103"/>
      <c r="AC123" s="105"/>
      <c r="AD123" s="103"/>
      <c r="AE123" s="103"/>
      <c r="AG123" s="105"/>
      <c r="AH123" s="105"/>
      <c r="AI123" s="105"/>
      <c r="AJ123" s="105"/>
      <c r="AK123" s="105"/>
      <c r="AL123" s="103"/>
      <c r="AM123" s="103"/>
      <c r="AN123" s="103"/>
      <c r="AO123" s="103"/>
      <c r="AP123" s="105"/>
      <c r="AQ123" s="103"/>
      <c r="AR123" s="103"/>
      <c r="AT123" s="105"/>
      <c r="AU123" s="105"/>
      <c r="AV123" s="105"/>
      <c r="AW123" s="105"/>
      <c r="AX123" s="105"/>
      <c r="AY123" s="103"/>
      <c r="AZ123" s="103"/>
      <c r="BA123" s="103"/>
      <c r="BB123" s="103"/>
      <c r="BC123" s="105"/>
      <c r="BD123" s="103"/>
      <c r="BE123" s="103"/>
    </row>
    <row r="124" spans="3:57" s="102" customFormat="1" x14ac:dyDescent="0.2">
      <c r="C124" s="103"/>
      <c r="D124" s="104"/>
      <c r="E124" s="104"/>
      <c r="G124" s="105"/>
      <c r="H124" s="105"/>
      <c r="I124" s="105"/>
      <c r="J124" s="105"/>
      <c r="K124" s="105"/>
      <c r="L124" s="103"/>
      <c r="M124" s="103"/>
      <c r="N124" s="103"/>
      <c r="O124" s="103"/>
      <c r="P124" s="105"/>
      <c r="Q124" s="103"/>
      <c r="R124" s="103"/>
      <c r="T124" s="105"/>
      <c r="U124" s="105"/>
      <c r="V124" s="105"/>
      <c r="W124" s="105"/>
      <c r="X124" s="105"/>
      <c r="Y124" s="103"/>
      <c r="Z124" s="103"/>
      <c r="AA124" s="103"/>
      <c r="AB124" s="103"/>
      <c r="AC124" s="105"/>
      <c r="AD124" s="103"/>
      <c r="AE124" s="103"/>
      <c r="AG124" s="105"/>
      <c r="AH124" s="105"/>
      <c r="AI124" s="105"/>
      <c r="AJ124" s="105"/>
      <c r="AK124" s="105"/>
      <c r="AL124" s="103"/>
      <c r="AM124" s="103"/>
      <c r="AN124" s="103"/>
      <c r="AO124" s="103"/>
      <c r="AP124" s="105"/>
      <c r="AQ124" s="103"/>
      <c r="AR124" s="103"/>
      <c r="AT124" s="105"/>
      <c r="AU124" s="105"/>
      <c r="AV124" s="105"/>
      <c r="AW124" s="105"/>
      <c r="AX124" s="105"/>
      <c r="AY124" s="103"/>
      <c r="AZ124" s="103"/>
      <c r="BA124" s="103"/>
      <c r="BB124" s="103"/>
      <c r="BC124" s="105"/>
      <c r="BD124" s="103"/>
      <c r="BE124" s="103"/>
    </row>
    <row r="125" spans="3:57" s="102" customFormat="1" x14ac:dyDescent="0.2">
      <c r="C125" s="103"/>
      <c r="D125" s="104"/>
      <c r="E125" s="104"/>
      <c r="G125" s="105"/>
      <c r="H125" s="105"/>
      <c r="I125" s="105"/>
      <c r="J125" s="105"/>
      <c r="K125" s="105"/>
      <c r="L125" s="103"/>
      <c r="M125" s="103"/>
      <c r="N125" s="103"/>
      <c r="O125" s="103"/>
      <c r="P125" s="105"/>
      <c r="Q125" s="103"/>
      <c r="R125" s="103"/>
      <c r="T125" s="105"/>
      <c r="U125" s="105"/>
      <c r="V125" s="105"/>
      <c r="W125" s="105"/>
      <c r="X125" s="105"/>
      <c r="Y125" s="103"/>
      <c r="Z125" s="103"/>
      <c r="AA125" s="103"/>
      <c r="AB125" s="103"/>
      <c r="AC125" s="105"/>
      <c r="AD125" s="103"/>
      <c r="AE125" s="103"/>
      <c r="AG125" s="105"/>
      <c r="AH125" s="105"/>
      <c r="AI125" s="105"/>
      <c r="AJ125" s="105"/>
      <c r="AK125" s="105"/>
      <c r="AL125" s="103"/>
      <c r="AM125" s="103"/>
      <c r="AN125" s="103"/>
      <c r="AO125" s="103"/>
      <c r="AP125" s="105"/>
      <c r="AQ125" s="103"/>
      <c r="AR125" s="103"/>
      <c r="AT125" s="105"/>
      <c r="AU125" s="105"/>
      <c r="AV125" s="105"/>
      <c r="AW125" s="105"/>
      <c r="AX125" s="105"/>
      <c r="AY125" s="103"/>
      <c r="AZ125" s="103"/>
      <c r="BA125" s="103"/>
      <c r="BB125" s="103"/>
      <c r="BC125" s="105"/>
      <c r="BD125" s="103"/>
      <c r="BE125" s="103"/>
    </row>
    <row r="126" spans="3:57" s="102" customFormat="1" x14ac:dyDescent="0.2">
      <c r="C126" s="103"/>
      <c r="D126" s="104"/>
      <c r="E126" s="104"/>
      <c r="G126" s="105"/>
      <c r="H126" s="105"/>
      <c r="I126" s="105"/>
      <c r="J126" s="105"/>
      <c r="K126" s="105"/>
      <c r="L126" s="103"/>
      <c r="M126" s="103"/>
      <c r="N126" s="103"/>
      <c r="O126" s="103"/>
      <c r="P126" s="105"/>
      <c r="Q126" s="103"/>
      <c r="R126" s="103"/>
      <c r="T126" s="105"/>
      <c r="U126" s="105"/>
      <c r="V126" s="105"/>
      <c r="W126" s="105"/>
      <c r="X126" s="105"/>
      <c r="Y126" s="103"/>
      <c r="Z126" s="103"/>
      <c r="AA126" s="103"/>
      <c r="AB126" s="103"/>
      <c r="AC126" s="105"/>
      <c r="AD126" s="103"/>
      <c r="AE126" s="103"/>
      <c r="AG126" s="105"/>
      <c r="AH126" s="105"/>
      <c r="AI126" s="105"/>
      <c r="AJ126" s="105"/>
      <c r="AK126" s="105"/>
      <c r="AL126" s="103"/>
      <c r="AM126" s="103"/>
      <c r="AN126" s="103"/>
      <c r="AO126" s="103"/>
      <c r="AP126" s="105"/>
      <c r="AQ126" s="103"/>
      <c r="AR126" s="103"/>
      <c r="AT126" s="105"/>
      <c r="AU126" s="105"/>
      <c r="AV126" s="105"/>
      <c r="AW126" s="105"/>
      <c r="AX126" s="105"/>
      <c r="AY126" s="103"/>
      <c r="AZ126" s="103"/>
      <c r="BA126" s="103"/>
      <c r="BB126" s="103"/>
      <c r="BC126" s="105"/>
      <c r="BD126" s="103"/>
      <c r="BE126" s="103"/>
    </row>
    <row r="127" spans="3:57" s="102" customFormat="1" x14ac:dyDescent="0.2">
      <c r="C127" s="103"/>
      <c r="D127" s="104"/>
      <c r="E127" s="104"/>
      <c r="G127" s="105"/>
      <c r="H127" s="105"/>
      <c r="I127" s="105"/>
      <c r="J127" s="105"/>
      <c r="K127" s="105"/>
      <c r="L127" s="103"/>
      <c r="M127" s="103"/>
      <c r="N127" s="103"/>
      <c r="O127" s="103"/>
      <c r="P127" s="105"/>
      <c r="Q127" s="103"/>
      <c r="R127" s="103"/>
      <c r="T127" s="105"/>
      <c r="U127" s="105"/>
      <c r="V127" s="105"/>
      <c r="W127" s="105"/>
      <c r="X127" s="105"/>
      <c r="Y127" s="103"/>
      <c r="Z127" s="103"/>
      <c r="AA127" s="103"/>
      <c r="AB127" s="103"/>
      <c r="AC127" s="105"/>
      <c r="AD127" s="103"/>
      <c r="AE127" s="103"/>
      <c r="AG127" s="105"/>
      <c r="AH127" s="105"/>
      <c r="AI127" s="105"/>
      <c r="AJ127" s="105"/>
      <c r="AK127" s="105"/>
      <c r="AL127" s="103"/>
      <c r="AM127" s="103"/>
      <c r="AN127" s="103"/>
      <c r="AO127" s="103"/>
      <c r="AP127" s="105"/>
      <c r="AQ127" s="103"/>
      <c r="AR127" s="103"/>
      <c r="AT127" s="105"/>
      <c r="AU127" s="105"/>
      <c r="AV127" s="105"/>
      <c r="AW127" s="105"/>
      <c r="AX127" s="105"/>
      <c r="AY127" s="103"/>
      <c r="AZ127" s="103"/>
      <c r="BA127" s="103"/>
      <c r="BB127" s="103"/>
      <c r="BC127" s="105"/>
      <c r="BD127" s="103"/>
      <c r="BE127" s="103"/>
    </row>
    <row r="128" spans="3:57" s="102" customFormat="1" x14ac:dyDescent="0.2">
      <c r="C128" s="103"/>
      <c r="D128" s="104"/>
      <c r="E128" s="104"/>
      <c r="G128" s="105"/>
      <c r="H128" s="105"/>
      <c r="I128" s="105"/>
      <c r="J128" s="105"/>
      <c r="K128" s="105"/>
      <c r="L128" s="103"/>
      <c r="M128" s="103"/>
      <c r="N128" s="103"/>
      <c r="O128" s="103"/>
      <c r="P128" s="105"/>
      <c r="Q128" s="103"/>
      <c r="R128" s="103"/>
      <c r="T128" s="105"/>
      <c r="U128" s="105"/>
      <c r="V128" s="105"/>
      <c r="W128" s="105"/>
      <c r="X128" s="105"/>
      <c r="Y128" s="103"/>
      <c r="Z128" s="103"/>
      <c r="AA128" s="103"/>
      <c r="AB128" s="103"/>
      <c r="AC128" s="105"/>
      <c r="AD128" s="103"/>
      <c r="AE128" s="103"/>
      <c r="AG128" s="105"/>
      <c r="AH128" s="105"/>
      <c r="AI128" s="105"/>
      <c r="AJ128" s="105"/>
      <c r="AK128" s="105"/>
      <c r="AL128" s="103"/>
      <c r="AM128" s="103"/>
      <c r="AN128" s="103"/>
      <c r="AO128" s="103"/>
      <c r="AP128" s="105"/>
      <c r="AQ128" s="103"/>
      <c r="AR128" s="103"/>
      <c r="AT128" s="105"/>
      <c r="AU128" s="105"/>
      <c r="AV128" s="105"/>
      <c r="AW128" s="105"/>
      <c r="AX128" s="105"/>
      <c r="AY128" s="103"/>
      <c r="AZ128" s="103"/>
      <c r="BA128" s="103"/>
      <c r="BB128" s="103"/>
      <c r="BC128" s="105"/>
      <c r="BD128" s="103"/>
      <c r="BE128" s="103"/>
    </row>
    <row r="129" spans="3:57" s="102" customFormat="1" x14ac:dyDescent="0.2">
      <c r="C129" s="103"/>
      <c r="D129" s="104"/>
      <c r="E129" s="104"/>
      <c r="G129" s="105"/>
      <c r="H129" s="105"/>
      <c r="I129" s="105"/>
      <c r="J129" s="105"/>
      <c r="K129" s="105"/>
      <c r="L129" s="103"/>
      <c r="M129" s="103"/>
      <c r="N129" s="103"/>
      <c r="O129" s="103"/>
      <c r="P129" s="105"/>
      <c r="Q129" s="103"/>
      <c r="R129" s="103"/>
      <c r="T129" s="105"/>
      <c r="U129" s="105"/>
      <c r="V129" s="105"/>
      <c r="W129" s="105"/>
      <c r="X129" s="105"/>
      <c r="Y129" s="103"/>
      <c r="Z129" s="103"/>
      <c r="AA129" s="103"/>
      <c r="AB129" s="103"/>
      <c r="AC129" s="105"/>
      <c r="AD129" s="103"/>
      <c r="AE129" s="103"/>
      <c r="AG129" s="105"/>
      <c r="AH129" s="105"/>
      <c r="AI129" s="105"/>
      <c r="AJ129" s="105"/>
      <c r="AK129" s="105"/>
      <c r="AL129" s="103"/>
      <c r="AM129" s="103"/>
      <c r="AN129" s="103"/>
      <c r="AO129" s="103"/>
      <c r="AP129" s="105"/>
      <c r="AQ129" s="103"/>
      <c r="AR129" s="103"/>
      <c r="AT129" s="105"/>
      <c r="AU129" s="105"/>
      <c r="AV129" s="105"/>
      <c r="AW129" s="105"/>
      <c r="AX129" s="105"/>
      <c r="AY129" s="103"/>
      <c r="AZ129" s="103"/>
      <c r="BA129" s="103"/>
      <c r="BB129" s="103"/>
      <c r="BC129" s="105"/>
      <c r="BD129" s="103"/>
      <c r="BE129" s="103"/>
    </row>
    <row r="130" spans="3:57" s="102" customFormat="1" x14ac:dyDescent="0.2">
      <c r="C130" s="103"/>
      <c r="D130" s="104"/>
      <c r="E130" s="104"/>
      <c r="G130" s="105"/>
      <c r="H130" s="105"/>
      <c r="I130" s="105"/>
      <c r="J130" s="105"/>
      <c r="K130" s="105"/>
      <c r="L130" s="103"/>
      <c r="M130" s="103"/>
      <c r="N130" s="103"/>
      <c r="O130" s="103"/>
      <c r="P130" s="105"/>
      <c r="Q130" s="103"/>
      <c r="R130" s="103"/>
      <c r="T130" s="105"/>
      <c r="U130" s="105"/>
      <c r="V130" s="105"/>
      <c r="W130" s="105"/>
      <c r="X130" s="105"/>
      <c r="Y130" s="103"/>
      <c r="Z130" s="103"/>
      <c r="AA130" s="103"/>
      <c r="AB130" s="103"/>
      <c r="AC130" s="105"/>
      <c r="AD130" s="103"/>
      <c r="AE130" s="103"/>
      <c r="AG130" s="105"/>
      <c r="AH130" s="105"/>
      <c r="AI130" s="105"/>
      <c r="AJ130" s="105"/>
      <c r="AK130" s="105"/>
      <c r="AL130" s="103"/>
      <c r="AM130" s="103"/>
      <c r="AN130" s="103"/>
      <c r="AO130" s="103"/>
      <c r="AP130" s="105"/>
      <c r="AQ130" s="103"/>
      <c r="AR130" s="103"/>
      <c r="AT130" s="105"/>
      <c r="AU130" s="105"/>
      <c r="AV130" s="105"/>
      <c r="AW130" s="105"/>
      <c r="AX130" s="105"/>
      <c r="AY130" s="103"/>
      <c r="AZ130" s="103"/>
      <c r="BA130" s="103"/>
      <c r="BB130" s="103"/>
      <c r="BC130" s="105"/>
      <c r="BD130" s="103"/>
      <c r="BE130" s="103"/>
    </row>
    <row r="131" spans="3:57" s="102" customFormat="1" x14ac:dyDescent="0.2">
      <c r="C131" s="103"/>
      <c r="D131" s="104"/>
      <c r="E131" s="104"/>
      <c r="G131" s="105"/>
      <c r="H131" s="105"/>
      <c r="I131" s="105"/>
      <c r="J131" s="105"/>
      <c r="K131" s="105"/>
      <c r="L131" s="103"/>
      <c r="M131" s="103"/>
      <c r="N131" s="103"/>
      <c r="O131" s="103"/>
      <c r="P131" s="105"/>
      <c r="Q131" s="103"/>
      <c r="R131" s="103"/>
      <c r="T131" s="105"/>
      <c r="U131" s="105"/>
      <c r="V131" s="105"/>
      <c r="W131" s="105"/>
      <c r="X131" s="105"/>
      <c r="Y131" s="103"/>
      <c r="Z131" s="103"/>
      <c r="AA131" s="103"/>
      <c r="AB131" s="103"/>
      <c r="AC131" s="105"/>
      <c r="AD131" s="103"/>
      <c r="AE131" s="103"/>
      <c r="AG131" s="105"/>
      <c r="AH131" s="105"/>
      <c r="AI131" s="105"/>
      <c r="AJ131" s="105"/>
      <c r="AK131" s="105"/>
      <c r="AL131" s="103"/>
      <c r="AM131" s="103"/>
      <c r="AN131" s="103"/>
      <c r="AO131" s="103"/>
      <c r="AP131" s="105"/>
      <c r="AQ131" s="103"/>
      <c r="AR131" s="103"/>
      <c r="AT131" s="105"/>
      <c r="AU131" s="105"/>
      <c r="AV131" s="105"/>
      <c r="AW131" s="105"/>
      <c r="AX131" s="105"/>
      <c r="AY131" s="103"/>
      <c r="AZ131" s="103"/>
      <c r="BA131" s="103"/>
      <c r="BB131" s="103"/>
      <c r="BC131" s="105"/>
      <c r="BD131" s="103"/>
      <c r="BE131" s="103"/>
    </row>
    <row r="132" spans="3:57" s="102" customFormat="1" x14ac:dyDescent="0.2">
      <c r="C132" s="103"/>
      <c r="D132" s="104"/>
      <c r="E132" s="104"/>
      <c r="G132" s="105"/>
      <c r="H132" s="105"/>
      <c r="I132" s="105"/>
      <c r="J132" s="105"/>
      <c r="K132" s="105"/>
      <c r="L132" s="103"/>
      <c r="M132" s="103"/>
      <c r="N132" s="103"/>
      <c r="O132" s="103"/>
      <c r="P132" s="105"/>
      <c r="Q132" s="103"/>
      <c r="R132" s="103"/>
      <c r="T132" s="105"/>
      <c r="U132" s="105"/>
      <c r="V132" s="105"/>
      <c r="W132" s="105"/>
      <c r="X132" s="105"/>
      <c r="Y132" s="103"/>
      <c r="Z132" s="103"/>
      <c r="AA132" s="103"/>
      <c r="AB132" s="103"/>
      <c r="AC132" s="105"/>
      <c r="AD132" s="103"/>
      <c r="AE132" s="103"/>
      <c r="AG132" s="105"/>
      <c r="AH132" s="105"/>
      <c r="AI132" s="105"/>
      <c r="AJ132" s="105"/>
      <c r="AK132" s="105"/>
      <c r="AL132" s="103"/>
      <c r="AM132" s="103"/>
      <c r="AN132" s="103"/>
      <c r="AO132" s="103"/>
      <c r="AP132" s="105"/>
      <c r="AQ132" s="103"/>
      <c r="AR132" s="103"/>
      <c r="AT132" s="105"/>
      <c r="AU132" s="105"/>
      <c r="AV132" s="105"/>
      <c r="AW132" s="105"/>
      <c r="AX132" s="105"/>
      <c r="AY132" s="103"/>
      <c r="AZ132" s="103"/>
      <c r="BA132" s="103"/>
      <c r="BB132" s="103"/>
      <c r="BC132" s="105"/>
      <c r="BD132" s="103"/>
      <c r="BE132" s="103"/>
    </row>
    <row r="133" spans="3:57" s="102" customFormat="1" x14ac:dyDescent="0.2">
      <c r="C133" s="103"/>
      <c r="D133" s="104"/>
      <c r="E133" s="104"/>
      <c r="G133" s="105"/>
      <c r="H133" s="105"/>
      <c r="I133" s="105"/>
      <c r="J133" s="105"/>
      <c r="K133" s="105"/>
      <c r="L133" s="103"/>
      <c r="M133" s="103"/>
      <c r="N133" s="103"/>
      <c r="O133" s="103"/>
      <c r="P133" s="105"/>
      <c r="Q133" s="103"/>
      <c r="R133" s="103"/>
      <c r="T133" s="105"/>
      <c r="U133" s="105"/>
      <c r="V133" s="105"/>
      <c r="W133" s="105"/>
      <c r="X133" s="105"/>
      <c r="Y133" s="103"/>
      <c r="Z133" s="103"/>
      <c r="AA133" s="103"/>
      <c r="AB133" s="103"/>
      <c r="AC133" s="105"/>
      <c r="AD133" s="103"/>
      <c r="AE133" s="103"/>
      <c r="AG133" s="105"/>
      <c r="AH133" s="105"/>
      <c r="AI133" s="105"/>
      <c r="AJ133" s="105"/>
      <c r="AK133" s="105"/>
      <c r="AL133" s="103"/>
      <c r="AM133" s="103"/>
      <c r="AN133" s="103"/>
      <c r="AO133" s="103"/>
      <c r="AP133" s="105"/>
      <c r="AQ133" s="103"/>
      <c r="AR133" s="103"/>
      <c r="AT133" s="105"/>
      <c r="AU133" s="105"/>
      <c r="AV133" s="105"/>
      <c r="AW133" s="105"/>
      <c r="AX133" s="105"/>
      <c r="AY133" s="103"/>
      <c r="AZ133" s="103"/>
      <c r="BA133" s="103"/>
      <c r="BB133" s="103"/>
      <c r="BC133" s="105"/>
      <c r="BD133" s="103"/>
      <c r="BE133" s="103"/>
    </row>
    <row r="134" spans="3:57" s="102" customFormat="1" x14ac:dyDescent="0.2">
      <c r="C134" s="103"/>
      <c r="D134" s="104"/>
      <c r="E134" s="104"/>
      <c r="G134" s="105"/>
      <c r="H134" s="105"/>
      <c r="I134" s="105"/>
      <c r="J134" s="105"/>
      <c r="K134" s="105"/>
      <c r="L134" s="103"/>
      <c r="M134" s="103"/>
      <c r="N134" s="103"/>
      <c r="O134" s="103"/>
      <c r="P134" s="105"/>
      <c r="Q134" s="103"/>
      <c r="R134" s="103"/>
      <c r="T134" s="105"/>
      <c r="U134" s="105"/>
      <c r="V134" s="105"/>
      <c r="W134" s="105"/>
      <c r="X134" s="105"/>
      <c r="Y134" s="103"/>
      <c r="Z134" s="103"/>
      <c r="AA134" s="103"/>
      <c r="AB134" s="103"/>
      <c r="AC134" s="105"/>
      <c r="AD134" s="103"/>
      <c r="AE134" s="103"/>
      <c r="AG134" s="105"/>
      <c r="AH134" s="105"/>
      <c r="AI134" s="105"/>
      <c r="AJ134" s="105"/>
      <c r="AK134" s="105"/>
      <c r="AL134" s="103"/>
      <c r="AM134" s="103"/>
      <c r="AN134" s="103"/>
      <c r="AO134" s="103"/>
      <c r="AP134" s="105"/>
      <c r="AQ134" s="103"/>
      <c r="AR134" s="103"/>
      <c r="AT134" s="105"/>
      <c r="AU134" s="105"/>
      <c r="AV134" s="105"/>
      <c r="AW134" s="105"/>
      <c r="AX134" s="105"/>
      <c r="AY134" s="103"/>
      <c r="AZ134" s="103"/>
      <c r="BA134" s="103"/>
      <c r="BB134" s="103"/>
      <c r="BC134" s="105"/>
      <c r="BD134" s="103"/>
      <c r="BE134" s="103"/>
    </row>
    <row r="135" spans="3:57" s="102" customFormat="1" x14ac:dyDescent="0.2">
      <c r="C135" s="103"/>
      <c r="D135" s="104"/>
      <c r="E135" s="104"/>
      <c r="G135" s="105"/>
      <c r="H135" s="105"/>
      <c r="I135" s="105"/>
      <c r="J135" s="105"/>
      <c r="K135" s="105"/>
      <c r="L135" s="103"/>
      <c r="M135" s="103"/>
      <c r="N135" s="103"/>
      <c r="O135" s="103"/>
      <c r="P135" s="105"/>
      <c r="Q135" s="103"/>
      <c r="R135" s="103"/>
      <c r="T135" s="105"/>
      <c r="U135" s="105"/>
      <c r="V135" s="105"/>
      <c r="W135" s="105"/>
      <c r="X135" s="105"/>
      <c r="Y135" s="103"/>
      <c r="Z135" s="103"/>
      <c r="AA135" s="103"/>
      <c r="AB135" s="103"/>
      <c r="AC135" s="105"/>
      <c r="AD135" s="103"/>
      <c r="AE135" s="103"/>
      <c r="AG135" s="105"/>
      <c r="AH135" s="105"/>
      <c r="AI135" s="105"/>
      <c r="AJ135" s="105"/>
      <c r="AK135" s="105"/>
      <c r="AL135" s="103"/>
      <c r="AM135" s="103"/>
      <c r="AN135" s="103"/>
      <c r="AO135" s="103"/>
      <c r="AP135" s="105"/>
      <c r="AQ135" s="103"/>
      <c r="AR135" s="103"/>
      <c r="AT135" s="105"/>
      <c r="AU135" s="105"/>
      <c r="AV135" s="105"/>
      <c r="AW135" s="105"/>
      <c r="AX135" s="105"/>
      <c r="AY135" s="103"/>
      <c r="AZ135" s="103"/>
      <c r="BA135" s="103"/>
      <c r="BB135" s="103"/>
      <c r="BC135" s="105"/>
      <c r="BD135" s="103"/>
      <c r="BE135" s="103"/>
    </row>
    <row r="136" spans="3:57" s="102" customFormat="1" x14ac:dyDescent="0.2">
      <c r="C136" s="103"/>
      <c r="D136" s="104"/>
      <c r="E136" s="104"/>
      <c r="G136" s="105"/>
      <c r="H136" s="105"/>
      <c r="I136" s="105"/>
      <c r="J136" s="105"/>
      <c r="K136" s="105"/>
      <c r="L136" s="103"/>
      <c r="M136" s="103"/>
      <c r="N136" s="103"/>
      <c r="O136" s="103"/>
      <c r="P136" s="105"/>
      <c r="Q136" s="103"/>
      <c r="R136" s="103"/>
      <c r="T136" s="105"/>
      <c r="U136" s="105"/>
      <c r="V136" s="105"/>
      <c r="W136" s="105"/>
      <c r="X136" s="105"/>
      <c r="Y136" s="103"/>
      <c r="Z136" s="103"/>
      <c r="AA136" s="103"/>
      <c r="AB136" s="103"/>
      <c r="AC136" s="105"/>
      <c r="AD136" s="103"/>
      <c r="AE136" s="103"/>
      <c r="AG136" s="105"/>
      <c r="AH136" s="105"/>
      <c r="AI136" s="105"/>
      <c r="AJ136" s="105"/>
      <c r="AK136" s="105"/>
      <c r="AL136" s="103"/>
      <c r="AM136" s="103"/>
      <c r="AN136" s="103"/>
      <c r="AO136" s="103"/>
      <c r="AP136" s="105"/>
      <c r="AQ136" s="103"/>
      <c r="AR136" s="103"/>
      <c r="AT136" s="105"/>
      <c r="AU136" s="105"/>
      <c r="AV136" s="105"/>
      <c r="AW136" s="105"/>
      <c r="AX136" s="105"/>
      <c r="AY136" s="103"/>
      <c r="AZ136" s="103"/>
      <c r="BA136" s="103"/>
      <c r="BB136" s="103"/>
      <c r="BC136" s="105"/>
      <c r="BD136" s="103"/>
      <c r="BE136" s="103"/>
    </row>
    <row r="137" spans="3:57" s="102" customFormat="1" x14ac:dyDescent="0.2">
      <c r="C137" s="103"/>
      <c r="D137" s="104"/>
      <c r="E137" s="104"/>
      <c r="G137" s="105"/>
      <c r="H137" s="105"/>
      <c r="I137" s="105"/>
      <c r="J137" s="105"/>
      <c r="K137" s="105"/>
      <c r="L137" s="103"/>
      <c r="M137" s="103"/>
      <c r="N137" s="103"/>
      <c r="O137" s="103"/>
      <c r="P137" s="105"/>
      <c r="Q137" s="103"/>
      <c r="R137" s="103"/>
      <c r="T137" s="105"/>
      <c r="U137" s="105"/>
      <c r="V137" s="105"/>
      <c r="W137" s="105"/>
      <c r="X137" s="105"/>
      <c r="Y137" s="103"/>
      <c r="Z137" s="103"/>
      <c r="AA137" s="103"/>
      <c r="AB137" s="103"/>
      <c r="AC137" s="105"/>
      <c r="AD137" s="103"/>
      <c r="AE137" s="103"/>
      <c r="AG137" s="105"/>
      <c r="AH137" s="105"/>
      <c r="AI137" s="105"/>
      <c r="AJ137" s="105"/>
      <c r="AK137" s="105"/>
      <c r="AL137" s="103"/>
      <c r="AM137" s="103"/>
      <c r="AN137" s="103"/>
      <c r="AO137" s="103"/>
      <c r="AP137" s="105"/>
      <c r="AQ137" s="103"/>
      <c r="AR137" s="103"/>
      <c r="AT137" s="105"/>
      <c r="AU137" s="105"/>
      <c r="AV137" s="105"/>
      <c r="AW137" s="105"/>
      <c r="AX137" s="105"/>
      <c r="AY137" s="103"/>
      <c r="AZ137" s="103"/>
      <c r="BA137" s="103"/>
      <c r="BB137" s="103"/>
      <c r="BC137" s="105"/>
      <c r="BD137" s="103"/>
      <c r="BE137" s="103"/>
    </row>
    <row r="138" spans="3:57" s="102" customFormat="1" x14ac:dyDescent="0.2">
      <c r="C138" s="103"/>
      <c r="D138" s="104"/>
      <c r="E138" s="104"/>
      <c r="G138" s="105"/>
      <c r="H138" s="105"/>
      <c r="I138" s="105"/>
      <c r="J138" s="105"/>
      <c r="K138" s="105"/>
      <c r="L138" s="103"/>
      <c r="M138" s="103"/>
      <c r="N138" s="103"/>
      <c r="O138" s="103"/>
      <c r="P138" s="105"/>
      <c r="Q138" s="103"/>
      <c r="R138" s="103"/>
      <c r="T138" s="105"/>
      <c r="U138" s="105"/>
      <c r="V138" s="105"/>
      <c r="W138" s="105"/>
      <c r="X138" s="105"/>
      <c r="Y138" s="103"/>
      <c r="Z138" s="103"/>
      <c r="AA138" s="103"/>
      <c r="AB138" s="103"/>
      <c r="AC138" s="105"/>
      <c r="AD138" s="103"/>
      <c r="AE138" s="103"/>
      <c r="AG138" s="105"/>
      <c r="AH138" s="105"/>
      <c r="AI138" s="105"/>
      <c r="AJ138" s="105"/>
      <c r="AK138" s="105"/>
      <c r="AL138" s="103"/>
      <c r="AM138" s="103"/>
      <c r="AN138" s="103"/>
      <c r="AO138" s="103"/>
      <c r="AP138" s="105"/>
      <c r="AQ138" s="103"/>
      <c r="AR138" s="103"/>
      <c r="AT138" s="105"/>
      <c r="AU138" s="105"/>
      <c r="AV138" s="105"/>
      <c r="AW138" s="105"/>
      <c r="AX138" s="105"/>
      <c r="AY138" s="103"/>
      <c r="AZ138" s="103"/>
      <c r="BA138" s="103"/>
      <c r="BB138" s="103"/>
      <c r="BC138" s="105"/>
      <c r="BD138" s="103"/>
      <c r="BE138" s="103"/>
    </row>
    <row r="139" spans="3:57" s="102" customFormat="1" x14ac:dyDescent="0.2">
      <c r="C139" s="103"/>
      <c r="D139" s="104"/>
      <c r="E139" s="104"/>
      <c r="G139" s="105"/>
      <c r="H139" s="105"/>
      <c r="I139" s="105"/>
      <c r="J139" s="105"/>
      <c r="K139" s="105"/>
      <c r="L139" s="103"/>
      <c r="M139" s="103"/>
      <c r="N139" s="103"/>
      <c r="O139" s="103"/>
      <c r="P139" s="105"/>
      <c r="Q139" s="103"/>
      <c r="R139" s="103"/>
      <c r="T139" s="105"/>
      <c r="U139" s="105"/>
      <c r="V139" s="105"/>
      <c r="W139" s="105"/>
      <c r="X139" s="105"/>
      <c r="Y139" s="103"/>
      <c r="Z139" s="103"/>
      <c r="AA139" s="103"/>
      <c r="AB139" s="103"/>
      <c r="AC139" s="105"/>
      <c r="AD139" s="103"/>
      <c r="AE139" s="103"/>
      <c r="AG139" s="105"/>
      <c r="AH139" s="105"/>
      <c r="AI139" s="105"/>
      <c r="AJ139" s="105"/>
      <c r="AK139" s="105"/>
      <c r="AL139" s="103"/>
      <c r="AM139" s="103"/>
      <c r="AN139" s="103"/>
      <c r="AO139" s="103"/>
      <c r="AP139" s="105"/>
      <c r="AQ139" s="103"/>
      <c r="AR139" s="103"/>
      <c r="AT139" s="105"/>
      <c r="AU139" s="105"/>
      <c r="AV139" s="105"/>
      <c r="AW139" s="105"/>
      <c r="AX139" s="105"/>
      <c r="AY139" s="103"/>
      <c r="AZ139" s="103"/>
      <c r="BA139" s="103"/>
      <c r="BB139" s="103"/>
      <c r="BC139" s="105"/>
      <c r="BD139" s="103"/>
      <c r="BE139" s="103"/>
    </row>
    <row r="140" spans="3:57" s="102" customFormat="1" x14ac:dyDescent="0.2">
      <c r="C140" s="103"/>
      <c r="D140" s="104"/>
      <c r="E140" s="104"/>
      <c r="G140" s="105"/>
      <c r="H140" s="105"/>
      <c r="I140" s="105"/>
      <c r="J140" s="105"/>
      <c r="K140" s="105"/>
      <c r="L140" s="103"/>
      <c r="M140" s="103"/>
      <c r="N140" s="103"/>
      <c r="O140" s="103"/>
      <c r="P140" s="105"/>
      <c r="Q140" s="103"/>
      <c r="R140" s="103"/>
      <c r="T140" s="105"/>
      <c r="U140" s="105"/>
      <c r="V140" s="105"/>
      <c r="W140" s="105"/>
      <c r="X140" s="105"/>
      <c r="Y140" s="103"/>
      <c r="Z140" s="103"/>
      <c r="AA140" s="103"/>
      <c r="AB140" s="103"/>
      <c r="AC140" s="105"/>
      <c r="AD140" s="103"/>
      <c r="AE140" s="103"/>
      <c r="AG140" s="105"/>
      <c r="AH140" s="105"/>
      <c r="AI140" s="105"/>
      <c r="AJ140" s="105"/>
      <c r="AK140" s="105"/>
      <c r="AL140" s="103"/>
      <c r="AM140" s="103"/>
      <c r="AN140" s="103"/>
      <c r="AO140" s="103"/>
      <c r="AP140" s="105"/>
      <c r="AQ140" s="103"/>
      <c r="AR140" s="103"/>
      <c r="AT140" s="105"/>
      <c r="AU140" s="105"/>
      <c r="AV140" s="105"/>
      <c r="AW140" s="105"/>
      <c r="AX140" s="105"/>
      <c r="AY140" s="103"/>
      <c r="AZ140" s="103"/>
      <c r="BA140" s="103"/>
      <c r="BB140" s="103"/>
      <c r="BC140" s="105"/>
      <c r="BD140" s="103"/>
      <c r="BE140" s="103"/>
    </row>
    <row r="141" spans="3:57" s="102" customFormat="1" x14ac:dyDescent="0.2">
      <c r="C141" s="103"/>
      <c r="D141" s="104"/>
      <c r="E141" s="104"/>
      <c r="G141" s="105"/>
      <c r="H141" s="105"/>
      <c r="I141" s="105"/>
      <c r="J141" s="105"/>
      <c r="K141" s="105"/>
      <c r="L141" s="103"/>
      <c r="M141" s="103"/>
      <c r="N141" s="103"/>
      <c r="O141" s="103"/>
      <c r="P141" s="105"/>
      <c r="Q141" s="103"/>
      <c r="R141" s="103"/>
      <c r="T141" s="105"/>
      <c r="U141" s="105"/>
      <c r="V141" s="105"/>
      <c r="W141" s="105"/>
      <c r="X141" s="105"/>
      <c r="Y141" s="103"/>
      <c r="Z141" s="103"/>
      <c r="AA141" s="103"/>
      <c r="AB141" s="103"/>
      <c r="AC141" s="105"/>
      <c r="AD141" s="103"/>
      <c r="AE141" s="103"/>
      <c r="AG141" s="105"/>
      <c r="AH141" s="105"/>
      <c r="AI141" s="105"/>
      <c r="AJ141" s="105"/>
      <c r="AK141" s="105"/>
      <c r="AL141" s="103"/>
      <c r="AM141" s="103"/>
      <c r="AN141" s="103"/>
      <c r="AO141" s="103"/>
      <c r="AP141" s="105"/>
      <c r="AQ141" s="103"/>
      <c r="AR141" s="103"/>
      <c r="AT141" s="105"/>
      <c r="AU141" s="105"/>
      <c r="AV141" s="105"/>
      <c r="AW141" s="105"/>
      <c r="AX141" s="105"/>
      <c r="AY141" s="103"/>
      <c r="AZ141" s="103"/>
      <c r="BA141" s="103"/>
      <c r="BB141" s="103"/>
      <c r="BC141" s="105"/>
      <c r="BD141" s="103"/>
      <c r="BE141" s="103"/>
    </row>
    <row r="142" spans="3:57" s="102" customFormat="1" x14ac:dyDescent="0.2">
      <c r="C142" s="103"/>
      <c r="D142" s="104"/>
      <c r="E142" s="104"/>
      <c r="G142" s="105"/>
      <c r="H142" s="105"/>
      <c r="I142" s="105"/>
      <c r="J142" s="105"/>
      <c r="K142" s="105"/>
      <c r="L142" s="103"/>
      <c r="M142" s="103"/>
      <c r="N142" s="103"/>
      <c r="O142" s="103"/>
      <c r="P142" s="105"/>
      <c r="Q142" s="103"/>
      <c r="R142" s="103"/>
      <c r="T142" s="105"/>
      <c r="U142" s="105"/>
      <c r="V142" s="105"/>
      <c r="W142" s="105"/>
      <c r="X142" s="105"/>
      <c r="Y142" s="103"/>
      <c r="Z142" s="103"/>
      <c r="AA142" s="103"/>
      <c r="AB142" s="103"/>
      <c r="AC142" s="105"/>
      <c r="AD142" s="103"/>
      <c r="AE142" s="103"/>
      <c r="AG142" s="105"/>
      <c r="AH142" s="105"/>
      <c r="AI142" s="105"/>
      <c r="AJ142" s="105"/>
      <c r="AK142" s="105"/>
      <c r="AL142" s="103"/>
      <c r="AM142" s="103"/>
      <c r="AN142" s="103"/>
      <c r="AO142" s="103"/>
      <c r="AP142" s="105"/>
      <c r="AQ142" s="103"/>
      <c r="AR142" s="103"/>
      <c r="AT142" s="105"/>
      <c r="AU142" s="105"/>
      <c r="AV142" s="105"/>
      <c r="AW142" s="105"/>
      <c r="AX142" s="105"/>
      <c r="AY142" s="103"/>
      <c r="AZ142" s="103"/>
      <c r="BA142" s="103"/>
      <c r="BB142" s="103"/>
      <c r="BC142" s="105"/>
      <c r="BD142" s="103"/>
      <c r="BE142" s="103"/>
    </row>
    <row r="143" spans="3:57" s="102" customFormat="1" x14ac:dyDescent="0.2">
      <c r="C143" s="103"/>
      <c r="D143" s="104"/>
      <c r="E143" s="104"/>
      <c r="G143" s="105"/>
      <c r="H143" s="105"/>
      <c r="I143" s="105"/>
      <c r="J143" s="105"/>
      <c r="K143" s="105"/>
      <c r="L143" s="103"/>
      <c r="M143" s="103"/>
      <c r="N143" s="103"/>
      <c r="O143" s="103"/>
      <c r="P143" s="105"/>
      <c r="Q143" s="103"/>
      <c r="R143" s="103"/>
      <c r="T143" s="105"/>
      <c r="U143" s="105"/>
      <c r="V143" s="105"/>
      <c r="W143" s="105"/>
      <c r="X143" s="105"/>
      <c r="Y143" s="103"/>
      <c r="Z143" s="103"/>
      <c r="AA143" s="103"/>
      <c r="AB143" s="103"/>
      <c r="AC143" s="105"/>
      <c r="AD143" s="103"/>
      <c r="AE143" s="103"/>
      <c r="AG143" s="105"/>
      <c r="AH143" s="105"/>
      <c r="AI143" s="105"/>
      <c r="AJ143" s="105"/>
      <c r="AK143" s="105"/>
      <c r="AL143" s="103"/>
      <c r="AM143" s="103"/>
      <c r="AN143" s="103"/>
      <c r="AO143" s="103"/>
      <c r="AP143" s="105"/>
      <c r="AQ143" s="103"/>
      <c r="AR143" s="103"/>
      <c r="AT143" s="105"/>
      <c r="AU143" s="105"/>
      <c r="AV143" s="105"/>
      <c r="AW143" s="105"/>
      <c r="AX143" s="105"/>
      <c r="AY143" s="103"/>
      <c r="AZ143" s="103"/>
      <c r="BA143" s="103"/>
      <c r="BB143" s="103"/>
      <c r="BC143" s="105"/>
      <c r="BD143" s="103"/>
      <c r="BE143" s="103"/>
    </row>
    <row r="144" spans="3:57" s="102" customFormat="1" x14ac:dyDescent="0.2">
      <c r="C144" s="103"/>
      <c r="D144" s="104"/>
      <c r="E144" s="104"/>
      <c r="G144" s="105"/>
      <c r="H144" s="105"/>
      <c r="I144" s="105"/>
      <c r="J144" s="105"/>
      <c r="K144" s="105"/>
      <c r="L144" s="103"/>
      <c r="M144" s="103"/>
      <c r="N144" s="103"/>
      <c r="O144" s="103"/>
      <c r="P144" s="105"/>
      <c r="Q144" s="103"/>
      <c r="R144" s="103"/>
      <c r="T144" s="105"/>
      <c r="U144" s="105"/>
      <c r="V144" s="105"/>
      <c r="W144" s="105"/>
      <c r="X144" s="105"/>
      <c r="Y144" s="103"/>
      <c r="Z144" s="103"/>
      <c r="AA144" s="103"/>
      <c r="AB144" s="103"/>
      <c r="AC144" s="105"/>
      <c r="AD144" s="103"/>
      <c r="AE144" s="103"/>
      <c r="AG144" s="105"/>
      <c r="AH144" s="105"/>
      <c r="AI144" s="105"/>
      <c r="AJ144" s="105"/>
      <c r="AK144" s="105"/>
      <c r="AL144" s="103"/>
      <c r="AM144" s="103"/>
      <c r="AN144" s="103"/>
      <c r="AO144" s="103"/>
      <c r="AP144" s="105"/>
      <c r="AQ144" s="103"/>
      <c r="AR144" s="103"/>
      <c r="AT144" s="105"/>
      <c r="AU144" s="105"/>
      <c r="AV144" s="105"/>
      <c r="AW144" s="105"/>
      <c r="AX144" s="105"/>
      <c r="AY144" s="103"/>
      <c r="AZ144" s="103"/>
      <c r="BA144" s="103"/>
      <c r="BB144" s="103"/>
      <c r="BC144" s="105"/>
      <c r="BD144" s="103"/>
      <c r="BE144" s="103"/>
    </row>
    <row r="145" spans="3:57" s="102" customFormat="1" x14ac:dyDescent="0.2">
      <c r="C145" s="103"/>
      <c r="D145" s="104"/>
      <c r="E145" s="104"/>
      <c r="G145" s="105"/>
      <c r="H145" s="105"/>
      <c r="I145" s="105"/>
      <c r="J145" s="105"/>
      <c r="K145" s="105"/>
      <c r="L145" s="103"/>
      <c r="M145" s="103"/>
      <c r="N145" s="103"/>
      <c r="O145" s="103"/>
      <c r="P145" s="105"/>
      <c r="Q145" s="103"/>
      <c r="R145" s="103"/>
      <c r="T145" s="105"/>
      <c r="U145" s="105"/>
      <c r="V145" s="105"/>
      <c r="W145" s="105"/>
      <c r="X145" s="105"/>
      <c r="Y145" s="103"/>
      <c r="Z145" s="103"/>
      <c r="AA145" s="103"/>
      <c r="AB145" s="103"/>
      <c r="AC145" s="105"/>
      <c r="AD145" s="103"/>
      <c r="AE145" s="103"/>
      <c r="AG145" s="105"/>
      <c r="AH145" s="105"/>
      <c r="AI145" s="105"/>
      <c r="AJ145" s="105"/>
      <c r="AK145" s="105"/>
      <c r="AL145" s="103"/>
      <c r="AM145" s="103"/>
      <c r="AN145" s="103"/>
      <c r="AO145" s="103"/>
      <c r="AP145" s="105"/>
      <c r="AQ145" s="103"/>
      <c r="AR145" s="103"/>
      <c r="AT145" s="105"/>
      <c r="AU145" s="105"/>
      <c r="AV145" s="105"/>
      <c r="AW145" s="105"/>
      <c r="AX145" s="105"/>
      <c r="AY145" s="103"/>
      <c r="AZ145" s="103"/>
      <c r="BA145" s="103"/>
      <c r="BB145" s="103"/>
      <c r="BC145" s="105"/>
      <c r="BD145" s="103"/>
      <c r="BE145" s="103"/>
    </row>
    <row r="146" spans="3:57" s="102" customFormat="1" x14ac:dyDescent="0.2">
      <c r="C146" s="103"/>
      <c r="D146" s="104"/>
      <c r="E146" s="104"/>
      <c r="G146" s="105"/>
      <c r="H146" s="105"/>
      <c r="I146" s="105"/>
      <c r="J146" s="105"/>
      <c r="K146" s="105"/>
      <c r="L146" s="103"/>
      <c r="M146" s="103"/>
      <c r="N146" s="103"/>
      <c r="O146" s="103"/>
      <c r="P146" s="105"/>
      <c r="Q146" s="103"/>
      <c r="R146" s="103"/>
      <c r="T146" s="105"/>
      <c r="U146" s="105"/>
      <c r="V146" s="105"/>
      <c r="W146" s="105"/>
      <c r="X146" s="105"/>
      <c r="Y146" s="103"/>
      <c r="Z146" s="103"/>
      <c r="AA146" s="103"/>
      <c r="AB146" s="103"/>
      <c r="AC146" s="105"/>
      <c r="AD146" s="103"/>
      <c r="AE146" s="103"/>
      <c r="AG146" s="105"/>
      <c r="AH146" s="105"/>
      <c r="AI146" s="105"/>
      <c r="AJ146" s="105"/>
      <c r="AK146" s="105"/>
      <c r="AL146" s="103"/>
      <c r="AM146" s="103"/>
      <c r="AN146" s="103"/>
      <c r="AO146" s="103"/>
      <c r="AP146" s="105"/>
      <c r="AQ146" s="103"/>
      <c r="AR146" s="103"/>
      <c r="AT146" s="105"/>
      <c r="AU146" s="105"/>
      <c r="AV146" s="105"/>
      <c r="AW146" s="105"/>
      <c r="AX146" s="105"/>
      <c r="AY146" s="103"/>
      <c r="AZ146" s="103"/>
      <c r="BA146" s="103"/>
      <c r="BB146" s="103"/>
      <c r="BC146" s="105"/>
      <c r="BD146" s="103"/>
      <c r="BE146" s="103"/>
    </row>
    <row r="147" spans="3:57" s="102" customFormat="1" x14ac:dyDescent="0.2">
      <c r="C147" s="103"/>
      <c r="D147" s="104"/>
      <c r="E147" s="104"/>
      <c r="G147" s="105"/>
      <c r="H147" s="105"/>
      <c r="I147" s="105"/>
      <c r="J147" s="105"/>
      <c r="K147" s="105"/>
      <c r="L147" s="103"/>
      <c r="M147" s="103"/>
      <c r="N147" s="103"/>
      <c r="O147" s="103"/>
      <c r="P147" s="105"/>
      <c r="Q147" s="103"/>
      <c r="R147" s="103"/>
      <c r="T147" s="105"/>
      <c r="U147" s="105"/>
      <c r="V147" s="105"/>
      <c r="W147" s="105"/>
      <c r="X147" s="105"/>
      <c r="Y147" s="103"/>
      <c r="Z147" s="103"/>
      <c r="AA147" s="103"/>
      <c r="AB147" s="103"/>
      <c r="AC147" s="105"/>
      <c r="AD147" s="103"/>
      <c r="AE147" s="103"/>
      <c r="AG147" s="105"/>
      <c r="AH147" s="105"/>
      <c r="AI147" s="105"/>
      <c r="AJ147" s="105"/>
      <c r="AK147" s="105"/>
      <c r="AL147" s="103"/>
      <c r="AM147" s="103"/>
      <c r="AN147" s="103"/>
      <c r="AO147" s="103"/>
      <c r="AP147" s="105"/>
      <c r="AQ147" s="103"/>
      <c r="AR147" s="103"/>
      <c r="AT147" s="105"/>
      <c r="AU147" s="105"/>
      <c r="AV147" s="105"/>
      <c r="AW147" s="105"/>
      <c r="AX147" s="105"/>
      <c r="AY147" s="103"/>
      <c r="AZ147" s="103"/>
      <c r="BA147" s="103"/>
      <c r="BB147" s="103"/>
      <c r="BC147" s="105"/>
      <c r="BD147" s="103"/>
      <c r="BE147" s="103"/>
    </row>
    <row r="148" spans="3:57" s="102" customFormat="1" x14ac:dyDescent="0.2">
      <c r="C148" s="103"/>
      <c r="D148" s="104"/>
      <c r="E148" s="104"/>
      <c r="G148" s="105"/>
      <c r="H148" s="105"/>
      <c r="I148" s="105"/>
      <c r="J148" s="105"/>
      <c r="K148" s="105"/>
      <c r="L148" s="103"/>
      <c r="M148" s="103"/>
      <c r="N148" s="103"/>
      <c r="O148" s="103"/>
      <c r="P148" s="105"/>
      <c r="Q148" s="103"/>
      <c r="R148" s="103"/>
      <c r="T148" s="105"/>
      <c r="U148" s="105"/>
      <c r="V148" s="105"/>
      <c r="W148" s="105"/>
      <c r="X148" s="105"/>
      <c r="Y148" s="103"/>
      <c r="Z148" s="103"/>
      <c r="AA148" s="103"/>
      <c r="AB148" s="103"/>
      <c r="AC148" s="105"/>
      <c r="AD148" s="103"/>
      <c r="AE148" s="103"/>
      <c r="AG148" s="105"/>
      <c r="AH148" s="105"/>
      <c r="AI148" s="105"/>
      <c r="AJ148" s="105"/>
      <c r="AK148" s="105"/>
      <c r="AL148" s="103"/>
      <c r="AM148" s="103"/>
      <c r="AN148" s="103"/>
      <c r="AO148" s="103"/>
      <c r="AP148" s="105"/>
      <c r="AQ148" s="103"/>
      <c r="AR148" s="103"/>
      <c r="AT148" s="105"/>
      <c r="AU148" s="105"/>
      <c r="AV148" s="105"/>
      <c r="AW148" s="105"/>
      <c r="AX148" s="105"/>
      <c r="AY148" s="103"/>
      <c r="AZ148" s="103"/>
      <c r="BA148" s="103"/>
      <c r="BB148" s="103"/>
      <c r="BC148" s="105"/>
      <c r="BD148" s="103"/>
      <c r="BE148" s="103"/>
    </row>
    <row r="149" spans="3:57" s="102" customFormat="1" x14ac:dyDescent="0.2">
      <c r="C149" s="103"/>
      <c r="D149" s="104"/>
      <c r="E149" s="104"/>
      <c r="G149" s="105"/>
      <c r="H149" s="105"/>
      <c r="I149" s="105"/>
      <c r="J149" s="105"/>
      <c r="K149" s="105"/>
      <c r="L149" s="103"/>
      <c r="M149" s="103"/>
      <c r="N149" s="103"/>
      <c r="O149" s="103"/>
      <c r="P149" s="105"/>
      <c r="Q149" s="103"/>
      <c r="R149" s="103"/>
      <c r="T149" s="105"/>
      <c r="U149" s="105"/>
      <c r="V149" s="105"/>
      <c r="W149" s="105"/>
      <c r="X149" s="105"/>
      <c r="Y149" s="103"/>
      <c r="Z149" s="103"/>
      <c r="AA149" s="103"/>
      <c r="AB149" s="103"/>
      <c r="AC149" s="105"/>
      <c r="AD149" s="103"/>
      <c r="AE149" s="103"/>
      <c r="AG149" s="105"/>
      <c r="AH149" s="105"/>
      <c r="AI149" s="105"/>
      <c r="AJ149" s="105"/>
      <c r="AK149" s="105"/>
      <c r="AL149" s="103"/>
      <c r="AM149" s="103"/>
      <c r="AN149" s="103"/>
      <c r="AO149" s="103"/>
      <c r="AP149" s="105"/>
      <c r="AQ149" s="103"/>
      <c r="AR149" s="103"/>
      <c r="AT149" s="105"/>
      <c r="AU149" s="105"/>
      <c r="AV149" s="105"/>
      <c r="AW149" s="105"/>
      <c r="AX149" s="105"/>
      <c r="AY149" s="103"/>
      <c r="AZ149" s="103"/>
      <c r="BA149" s="103"/>
      <c r="BB149" s="103"/>
      <c r="BC149" s="105"/>
      <c r="BD149" s="103"/>
      <c r="BE149" s="103"/>
    </row>
    <row r="150" spans="3:57" s="102" customFormat="1" x14ac:dyDescent="0.2">
      <c r="C150" s="103"/>
      <c r="D150" s="104"/>
      <c r="E150" s="104"/>
      <c r="G150" s="105"/>
      <c r="H150" s="105"/>
      <c r="I150" s="105"/>
      <c r="J150" s="105"/>
      <c r="K150" s="105"/>
      <c r="L150" s="103"/>
      <c r="M150" s="103"/>
      <c r="N150" s="103"/>
      <c r="O150" s="103"/>
      <c r="P150" s="105"/>
      <c r="Q150" s="103"/>
      <c r="R150" s="103"/>
      <c r="T150" s="105"/>
      <c r="U150" s="105"/>
      <c r="V150" s="105"/>
      <c r="W150" s="105"/>
      <c r="X150" s="105"/>
      <c r="Y150" s="103"/>
      <c r="Z150" s="103"/>
      <c r="AA150" s="103"/>
      <c r="AB150" s="103"/>
      <c r="AC150" s="105"/>
      <c r="AD150" s="103"/>
      <c r="AE150" s="103"/>
      <c r="AG150" s="105"/>
      <c r="AH150" s="105"/>
      <c r="AI150" s="105"/>
      <c r="AJ150" s="105"/>
      <c r="AK150" s="105"/>
      <c r="AL150" s="103"/>
      <c r="AM150" s="103"/>
      <c r="AN150" s="103"/>
      <c r="AO150" s="103"/>
      <c r="AP150" s="105"/>
      <c r="AQ150" s="103"/>
      <c r="AR150" s="103"/>
      <c r="AT150" s="105"/>
      <c r="AU150" s="105"/>
      <c r="AV150" s="105"/>
      <c r="AW150" s="105"/>
      <c r="AX150" s="105"/>
      <c r="AY150" s="103"/>
      <c r="AZ150" s="103"/>
      <c r="BA150" s="103"/>
      <c r="BB150" s="103"/>
      <c r="BC150" s="105"/>
      <c r="BD150" s="103"/>
      <c r="BE150" s="103"/>
    </row>
    <row r="151" spans="3:57" s="102" customFormat="1" x14ac:dyDescent="0.2">
      <c r="C151" s="103"/>
      <c r="D151" s="104"/>
      <c r="E151" s="104"/>
      <c r="G151" s="105"/>
      <c r="H151" s="105"/>
      <c r="I151" s="105"/>
      <c r="J151" s="105"/>
      <c r="K151" s="105"/>
      <c r="L151" s="103"/>
      <c r="M151" s="103"/>
      <c r="N151" s="103"/>
      <c r="O151" s="103"/>
      <c r="P151" s="105"/>
      <c r="Q151" s="103"/>
      <c r="R151" s="103"/>
      <c r="T151" s="105"/>
      <c r="U151" s="105"/>
      <c r="V151" s="105"/>
      <c r="W151" s="105"/>
      <c r="X151" s="105"/>
      <c r="Y151" s="103"/>
      <c r="Z151" s="103"/>
      <c r="AA151" s="103"/>
      <c r="AB151" s="103"/>
      <c r="AC151" s="105"/>
      <c r="AD151" s="103"/>
      <c r="AE151" s="103"/>
      <c r="AG151" s="105"/>
      <c r="AH151" s="105"/>
      <c r="AI151" s="105"/>
      <c r="AJ151" s="105"/>
      <c r="AK151" s="105"/>
      <c r="AL151" s="103"/>
      <c r="AM151" s="103"/>
      <c r="AN151" s="103"/>
      <c r="AO151" s="103"/>
      <c r="AP151" s="105"/>
      <c r="AQ151" s="103"/>
      <c r="AR151" s="103"/>
      <c r="AT151" s="105"/>
      <c r="AU151" s="105"/>
      <c r="AV151" s="105"/>
      <c r="AW151" s="105"/>
      <c r="AX151" s="105"/>
      <c r="AY151" s="103"/>
      <c r="AZ151" s="103"/>
      <c r="BA151" s="103"/>
      <c r="BB151" s="103"/>
      <c r="BC151" s="105"/>
      <c r="BD151" s="103"/>
      <c r="BE151" s="103"/>
    </row>
    <row r="152" spans="3:57" s="102" customFormat="1" x14ac:dyDescent="0.2">
      <c r="C152" s="103"/>
      <c r="D152" s="104"/>
      <c r="E152" s="104"/>
      <c r="G152" s="105"/>
      <c r="H152" s="105"/>
      <c r="I152" s="105"/>
      <c r="J152" s="105"/>
      <c r="K152" s="105"/>
      <c r="L152" s="103"/>
      <c r="M152" s="103"/>
      <c r="N152" s="103"/>
      <c r="O152" s="103"/>
      <c r="P152" s="105"/>
      <c r="Q152" s="103"/>
      <c r="R152" s="103"/>
      <c r="T152" s="105"/>
      <c r="U152" s="105"/>
      <c r="V152" s="105"/>
      <c r="W152" s="105"/>
      <c r="X152" s="105"/>
      <c r="Y152" s="103"/>
      <c r="Z152" s="103"/>
      <c r="AA152" s="103"/>
      <c r="AB152" s="103"/>
      <c r="AC152" s="105"/>
      <c r="AD152" s="103"/>
      <c r="AE152" s="103"/>
      <c r="AG152" s="105"/>
      <c r="AH152" s="105"/>
      <c r="AI152" s="105"/>
      <c r="AJ152" s="105"/>
      <c r="AK152" s="105"/>
      <c r="AL152" s="103"/>
      <c r="AM152" s="103"/>
      <c r="AN152" s="103"/>
      <c r="AO152" s="103"/>
      <c r="AP152" s="105"/>
      <c r="AQ152" s="103"/>
      <c r="AR152" s="103"/>
      <c r="AT152" s="105"/>
      <c r="AU152" s="105"/>
      <c r="AV152" s="105"/>
      <c r="AW152" s="105"/>
      <c r="AX152" s="105"/>
      <c r="AY152" s="103"/>
      <c r="AZ152" s="103"/>
      <c r="BA152" s="103"/>
      <c r="BB152" s="103"/>
      <c r="BC152" s="105"/>
      <c r="BD152" s="103"/>
      <c r="BE152" s="103"/>
    </row>
    <row r="153" spans="3:57" s="102" customFormat="1" x14ac:dyDescent="0.2">
      <c r="C153" s="103"/>
      <c r="D153" s="104"/>
      <c r="E153" s="104"/>
      <c r="G153" s="105"/>
      <c r="H153" s="105"/>
      <c r="I153" s="105"/>
      <c r="J153" s="105"/>
      <c r="K153" s="105"/>
      <c r="L153" s="103"/>
      <c r="M153" s="103"/>
      <c r="N153" s="103"/>
      <c r="O153" s="103"/>
      <c r="P153" s="105"/>
      <c r="Q153" s="103"/>
      <c r="R153" s="103"/>
      <c r="T153" s="105"/>
      <c r="U153" s="105"/>
      <c r="V153" s="105"/>
      <c r="W153" s="105"/>
      <c r="X153" s="105"/>
      <c r="Y153" s="103"/>
      <c r="Z153" s="103"/>
      <c r="AA153" s="103"/>
      <c r="AB153" s="103"/>
      <c r="AC153" s="105"/>
      <c r="AD153" s="103"/>
      <c r="AE153" s="103"/>
      <c r="AG153" s="105"/>
      <c r="AH153" s="105"/>
      <c r="AI153" s="105"/>
      <c r="AJ153" s="105"/>
      <c r="AK153" s="105"/>
      <c r="AL153" s="103"/>
      <c r="AM153" s="103"/>
      <c r="AN153" s="103"/>
      <c r="AO153" s="103"/>
      <c r="AP153" s="105"/>
      <c r="AQ153" s="103"/>
      <c r="AR153" s="103"/>
      <c r="AT153" s="105"/>
      <c r="AU153" s="105"/>
      <c r="AV153" s="105"/>
      <c r="AW153" s="105"/>
      <c r="AX153" s="105"/>
      <c r="AY153" s="103"/>
      <c r="AZ153" s="103"/>
      <c r="BA153" s="103"/>
      <c r="BB153" s="103"/>
      <c r="BC153" s="105"/>
      <c r="BD153" s="103"/>
      <c r="BE153" s="103"/>
    </row>
    <row r="154" spans="3:57" s="102" customFormat="1" x14ac:dyDescent="0.2">
      <c r="C154" s="103"/>
      <c r="D154" s="104"/>
      <c r="E154" s="104"/>
      <c r="G154" s="105"/>
      <c r="H154" s="105"/>
      <c r="I154" s="105"/>
      <c r="J154" s="105"/>
      <c r="K154" s="105"/>
      <c r="L154" s="103"/>
      <c r="M154" s="103"/>
      <c r="N154" s="103"/>
      <c r="O154" s="103"/>
      <c r="P154" s="105"/>
      <c r="Q154" s="103"/>
      <c r="R154" s="103"/>
      <c r="T154" s="105"/>
      <c r="U154" s="105"/>
      <c r="V154" s="105"/>
      <c r="W154" s="105"/>
      <c r="X154" s="105"/>
      <c r="Y154" s="103"/>
      <c r="Z154" s="103"/>
      <c r="AA154" s="103"/>
      <c r="AB154" s="103"/>
      <c r="AC154" s="105"/>
      <c r="AD154" s="103"/>
      <c r="AE154" s="103"/>
      <c r="AG154" s="105"/>
      <c r="AH154" s="105"/>
      <c r="AI154" s="105"/>
      <c r="AJ154" s="105"/>
      <c r="AK154" s="105"/>
      <c r="AL154" s="103"/>
      <c r="AM154" s="103"/>
      <c r="AN154" s="103"/>
      <c r="AO154" s="103"/>
      <c r="AP154" s="105"/>
      <c r="AQ154" s="103"/>
      <c r="AR154" s="103"/>
      <c r="AT154" s="105"/>
      <c r="AU154" s="105"/>
      <c r="AV154" s="105"/>
      <c r="AW154" s="105"/>
      <c r="AX154" s="105"/>
      <c r="AY154" s="103"/>
      <c r="AZ154" s="103"/>
      <c r="BA154" s="103"/>
      <c r="BB154" s="103"/>
      <c r="BC154" s="105"/>
      <c r="BD154" s="103"/>
      <c r="BE154" s="103"/>
    </row>
    <row r="155" spans="3:57" s="102" customFormat="1" x14ac:dyDescent="0.2">
      <c r="C155" s="103"/>
      <c r="D155" s="104"/>
      <c r="E155" s="104"/>
      <c r="G155" s="105"/>
      <c r="H155" s="105"/>
      <c r="I155" s="105"/>
      <c r="J155" s="105"/>
      <c r="K155" s="105"/>
      <c r="L155" s="103"/>
      <c r="M155" s="103"/>
      <c r="N155" s="103"/>
      <c r="O155" s="103"/>
      <c r="P155" s="105"/>
      <c r="Q155" s="103"/>
      <c r="R155" s="103"/>
      <c r="T155" s="105"/>
      <c r="U155" s="105"/>
      <c r="V155" s="105"/>
      <c r="W155" s="105"/>
      <c r="X155" s="105"/>
      <c r="Y155" s="103"/>
      <c r="Z155" s="103"/>
      <c r="AA155" s="103"/>
      <c r="AB155" s="103"/>
      <c r="AC155" s="105"/>
      <c r="AD155" s="103"/>
      <c r="AE155" s="103"/>
      <c r="AG155" s="105"/>
      <c r="AH155" s="105"/>
      <c r="AI155" s="105"/>
      <c r="AJ155" s="105"/>
      <c r="AK155" s="105"/>
      <c r="AL155" s="103"/>
      <c r="AM155" s="103"/>
      <c r="AN155" s="103"/>
      <c r="AO155" s="103"/>
      <c r="AP155" s="105"/>
      <c r="AQ155" s="103"/>
      <c r="AR155" s="103"/>
      <c r="AT155" s="105"/>
      <c r="AU155" s="105"/>
      <c r="AV155" s="105"/>
      <c r="AW155" s="105"/>
      <c r="AX155" s="105"/>
      <c r="AY155" s="103"/>
      <c r="AZ155" s="103"/>
      <c r="BA155" s="103"/>
      <c r="BB155" s="103"/>
      <c r="BC155" s="105"/>
      <c r="BD155" s="103"/>
      <c r="BE155" s="103"/>
    </row>
    <row r="156" spans="3:57" s="102" customFormat="1" x14ac:dyDescent="0.2">
      <c r="C156" s="103"/>
      <c r="D156" s="104"/>
      <c r="E156" s="104"/>
      <c r="G156" s="105"/>
      <c r="H156" s="105"/>
      <c r="I156" s="105"/>
      <c r="J156" s="105"/>
      <c r="K156" s="105"/>
      <c r="L156" s="103"/>
      <c r="M156" s="103"/>
      <c r="N156" s="103"/>
      <c r="O156" s="103"/>
      <c r="P156" s="105"/>
      <c r="Q156" s="103"/>
      <c r="R156" s="103"/>
      <c r="T156" s="105"/>
      <c r="U156" s="105"/>
      <c r="V156" s="105"/>
      <c r="W156" s="105"/>
      <c r="X156" s="105"/>
      <c r="Y156" s="103"/>
      <c r="Z156" s="103"/>
      <c r="AA156" s="103"/>
      <c r="AB156" s="103"/>
      <c r="AC156" s="105"/>
      <c r="AD156" s="103"/>
      <c r="AE156" s="103"/>
      <c r="AG156" s="105"/>
      <c r="AH156" s="105"/>
      <c r="AI156" s="105"/>
      <c r="AJ156" s="105"/>
      <c r="AK156" s="105"/>
      <c r="AL156" s="103"/>
      <c r="AM156" s="103"/>
      <c r="AN156" s="103"/>
      <c r="AO156" s="103"/>
      <c r="AP156" s="105"/>
      <c r="AQ156" s="103"/>
      <c r="AR156" s="103"/>
      <c r="AT156" s="105"/>
      <c r="AU156" s="105"/>
      <c r="AV156" s="105"/>
      <c r="AW156" s="105"/>
      <c r="AX156" s="105"/>
      <c r="AY156" s="103"/>
      <c r="AZ156" s="103"/>
      <c r="BA156" s="103"/>
      <c r="BB156" s="103"/>
      <c r="BC156" s="105"/>
      <c r="BD156" s="103"/>
      <c r="BE156" s="103"/>
    </row>
    <row r="157" spans="3:57" s="102" customFormat="1" x14ac:dyDescent="0.2">
      <c r="C157" s="103"/>
      <c r="D157" s="104"/>
      <c r="E157" s="104"/>
      <c r="G157" s="105"/>
      <c r="H157" s="105"/>
      <c r="I157" s="105"/>
      <c r="J157" s="105"/>
      <c r="K157" s="105"/>
      <c r="L157" s="103"/>
      <c r="M157" s="103"/>
      <c r="N157" s="103"/>
      <c r="O157" s="103"/>
      <c r="P157" s="105"/>
      <c r="Q157" s="103"/>
      <c r="R157" s="103"/>
      <c r="T157" s="105"/>
      <c r="U157" s="105"/>
      <c r="V157" s="105"/>
      <c r="W157" s="105"/>
      <c r="X157" s="105"/>
      <c r="Y157" s="103"/>
      <c r="Z157" s="103"/>
      <c r="AA157" s="103"/>
      <c r="AB157" s="103"/>
      <c r="AC157" s="105"/>
      <c r="AD157" s="103"/>
      <c r="AE157" s="103"/>
      <c r="AG157" s="105"/>
      <c r="AH157" s="105"/>
      <c r="AI157" s="105"/>
      <c r="AJ157" s="105"/>
      <c r="AK157" s="105"/>
      <c r="AL157" s="103"/>
      <c r="AM157" s="103"/>
      <c r="AN157" s="103"/>
      <c r="AO157" s="103"/>
      <c r="AP157" s="105"/>
      <c r="AQ157" s="103"/>
      <c r="AR157" s="103"/>
      <c r="AT157" s="105"/>
      <c r="AU157" s="105"/>
      <c r="AV157" s="105"/>
      <c r="AW157" s="105"/>
      <c r="AX157" s="105"/>
      <c r="AY157" s="103"/>
      <c r="AZ157" s="103"/>
      <c r="BA157" s="103"/>
      <c r="BB157" s="103"/>
      <c r="BC157" s="105"/>
      <c r="BD157" s="103"/>
      <c r="BE157" s="103"/>
    </row>
    <row r="158" spans="3:57" s="102" customFormat="1" x14ac:dyDescent="0.2">
      <c r="C158" s="103"/>
      <c r="D158" s="104"/>
      <c r="E158" s="104"/>
      <c r="G158" s="105"/>
      <c r="H158" s="105"/>
      <c r="I158" s="105"/>
      <c r="J158" s="105"/>
      <c r="K158" s="105"/>
      <c r="L158" s="103"/>
      <c r="M158" s="103"/>
      <c r="N158" s="103"/>
      <c r="O158" s="103"/>
      <c r="P158" s="105"/>
      <c r="Q158" s="103"/>
      <c r="R158" s="103"/>
      <c r="T158" s="105"/>
      <c r="U158" s="105"/>
      <c r="V158" s="105"/>
      <c r="W158" s="105"/>
      <c r="X158" s="105"/>
      <c r="Y158" s="103"/>
      <c r="Z158" s="103"/>
      <c r="AA158" s="103"/>
      <c r="AB158" s="103"/>
      <c r="AC158" s="105"/>
      <c r="AD158" s="103"/>
      <c r="AE158" s="103"/>
      <c r="AG158" s="105"/>
      <c r="AH158" s="105"/>
      <c r="AI158" s="105"/>
      <c r="AJ158" s="105"/>
      <c r="AK158" s="105"/>
      <c r="AL158" s="103"/>
      <c r="AM158" s="103"/>
      <c r="AN158" s="103"/>
      <c r="AO158" s="103"/>
      <c r="AP158" s="105"/>
      <c r="AQ158" s="103"/>
      <c r="AR158" s="103"/>
      <c r="AT158" s="105"/>
      <c r="AU158" s="105"/>
      <c r="AV158" s="105"/>
      <c r="AW158" s="105"/>
      <c r="AX158" s="105"/>
      <c r="AY158" s="103"/>
      <c r="AZ158" s="103"/>
      <c r="BA158" s="103"/>
      <c r="BB158" s="103"/>
      <c r="BC158" s="105"/>
      <c r="BD158" s="103"/>
      <c r="BE158" s="103"/>
    </row>
    <row r="159" spans="3:57" s="102" customFormat="1" x14ac:dyDescent="0.2">
      <c r="C159" s="103"/>
      <c r="D159" s="104"/>
      <c r="E159" s="104"/>
      <c r="G159" s="105"/>
      <c r="H159" s="105"/>
      <c r="I159" s="105"/>
      <c r="J159" s="105"/>
      <c r="K159" s="105"/>
      <c r="L159" s="103"/>
      <c r="M159" s="103"/>
      <c r="N159" s="103"/>
      <c r="O159" s="103"/>
      <c r="P159" s="105"/>
      <c r="Q159" s="103"/>
      <c r="R159" s="103"/>
      <c r="T159" s="105"/>
      <c r="U159" s="105"/>
      <c r="V159" s="105"/>
      <c r="W159" s="105"/>
      <c r="X159" s="105"/>
      <c r="Y159" s="103"/>
      <c r="Z159" s="103"/>
      <c r="AA159" s="103"/>
      <c r="AB159" s="103"/>
      <c r="AC159" s="105"/>
      <c r="AD159" s="103"/>
      <c r="AE159" s="103"/>
      <c r="AG159" s="105"/>
      <c r="AH159" s="105"/>
      <c r="AI159" s="105"/>
      <c r="AJ159" s="105"/>
      <c r="AK159" s="105"/>
      <c r="AL159" s="103"/>
      <c r="AM159" s="103"/>
      <c r="AN159" s="103"/>
      <c r="AO159" s="103"/>
      <c r="AP159" s="105"/>
      <c r="AQ159" s="103"/>
      <c r="AR159" s="103"/>
      <c r="AT159" s="105"/>
      <c r="AU159" s="105"/>
      <c r="AV159" s="105"/>
      <c r="AW159" s="105"/>
      <c r="AX159" s="105"/>
      <c r="AY159" s="103"/>
      <c r="AZ159" s="103"/>
      <c r="BA159" s="103"/>
      <c r="BB159" s="103"/>
      <c r="BC159" s="105"/>
      <c r="BD159" s="103"/>
      <c r="BE159" s="103"/>
    </row>
    <row r="160" spans="3:57" s="102" customFormat="1" x14ac:dyDescent="0.2">
      <c r="C160" s="103"/>
      <c r="D160" s="104"/>
      <c r="E160" s="104"/>
      <c r="G160" s="105"/>
      <c r="H160" s="105"/>
      <c r="I160" s="105"/>
      <c r="J160" s="105"/>
      <c r="K160" s="105"/>
      <c r="L160" s="103"/>
      <c r="M160" s="103"/>
      <c r="N160" s="103"/>
      <c r="O160" s="103"/>
      <c r="P160" s="105"/>
      <c r="Q160" s="103"/>
      <c r="R160" s="103"/>
      <c r="T160" s="105"/>
      <c r="U160" s="105"/>
      <c r="V160" s="105"/>
      <c r="W160" s="105"/>
      <c r="X160" s="105"/>
      <c r="Y160" s="103"/>
      <c r="Z160" s="103"/>
      <c r="AA160" s="103"/>
      <c r="AB160" s="103"/>
      <c r="AC160" s="105"/>
      <c r="AD160" s="103"/>
      <c r="AE160" s="103"/>
      <c r="AG160" s="105"/>
      <c r="AH160" s="105"/>
      <c r="AI160" s="105"/>
      <c r="AJ160" s="105"/>
      <c r="AK160" s="105"/>
      <c r="AL160" s="103"/>
      <c r="AM160" s="103"/>
      <c r="AN160" s="103"/>
      <c r="AO160" s="103"/>
      <c r="AP160" s="105"/>
      <c r="AQ160" s="103"/>
      <c r="AR160" s="103"/>
      <c r="AT160" s="105"/>
      <c r="AU160" s="105"/>
      <c r="AV160" s="105"/>
      <c r="AW160" s="105"/>
      <c r="AX160" s="105"/>
      <c r="AY160" s="103"/>
      <c r="AZ160" s="103"/>
      <c r="BA160" s="103"/>
      <c r="BB160" s="103"/>
      <c r="BC160" s="105"/>
      <c r="BD160" s="103"/>
      <c r="BE160" s="103"/>
    </row>
    <row r="161" spans="1:68" s="102" customFormat="1" x14ac:dyDescent="0.2">
      <c r="C161" s="103"/>
      <c r="D161" s="104"/>
      <c r="E161" s="104"/>
      <c r="G161" s="105"/>
      <c r="H161" s="105"/>
      <c r="I161" s="105"/>
      <c r="J161" s="105"/>
      <c r="K161" s="105"/>
      <c r="L161" s="103"/>
      <c r="M161" s="103"/>
      <c r="N161" s="103"/>
      <c r="O161" s="103"/>
      <c r="P161" s="105"/>
      <c r="Q161" s="103"/>
      <c r="R161" s="103"/>
      <c r="T161" s="105"/>
      <c r="U161" s="105"/>
      <c r="V161" s="105"/>
      <c r="W161" s="105"/>
      <c r="X161" s="105"/>
      <c r="Y161" s="103"/>
      <c r="Z161" s="103"/>
      <c r="AA161" s="103"/>
      <c r="AB161" s="103"/>
      <c r="AC161" s="105"/>
      <c r="AD161" s="103"/>
      <c r="AE161" s="103"/>
      <c r="AG161" s="105"/>
      <c r="AH161" s="105"/>
      <c r="AI161" s="105"/>
      <c r="AJ161" s="105"/>
      <c r="AK161" s="105"/>
      <c r="AL161" s="103"/>
      <c r="AM161" s="103"/>
      <c r="AN161" s="103"/>
      <c r="AO161" s="103"/>
      <c r="AP161" s="105"/>
      <c r="AQ161" s="103"/>
      <c r="AR161" s="103"/>
      <c r="AT161" s="105"/>
      <c r="AU161" s="105"/>
      <c r="AV161" s="105"/>
      <c r="AW161" s="105"/>
      <c r="AX161" s="105"/>
      <c r="AY161" s="103"/>
      <c r="AZ161" s="103"/>
      <c r="BA161" s="103"/>
      <c r="BB161" s="103"/>
      <c r="BC161" s="105"/>
      <c r="BD161" s="103"/>
      <c r="BE161" s="103"/>
    </row>
    <row r="162" spans="1:68" s="102" customFormat="1" x14ac:dyDescent="0.2">
      <c r="C162" s="103"/>
      <c r="D162" s="104"/>
      <c r="E162" s="104"/>
      <c r="G162" s="105"/>
      <c r="H162" s="105"/>
      <c r="I162" s="105"/>
      <c r="J162" s="105"/>
      <c r="K162" s="105"/>
      <c r="L162" s="103"/>
      <c r="M162" s="103"/>
      <c r="N162" s="103"/>
      <c r="O162" s="103"/>
      <c r="P162" s="105"/>
      <c r="Q162" s="103"/>
      <c r="R162" s="103"/>
      <c r="T162" s="105"/>
      <c r="U162" s="105"/>
      <c r="V162" s="105"/>
      <c r="W162" s="105"/>
      <c r="X162" s="105"/>
      <c r="Y162" s="103"/>
      <c r="Z162" s="103"/>
      <c r="AA162" s="103"/>
      <c r="AB162" s="103"/>
      <c r="AC162" s="105"/>
      <c r="AD162" s="103"/>
      <c r="AE162" s="103"/>
      <c r="AG162" s="105"/>
      <c r="AH162" s="105"/>
      <c r="AI162" s="105"/>
      <c r="AJ162" s="105"/>
      <c r="AK162" s="105"/>
      <c r="AL162" s="103"/>
      <c r="AM162" s="103"/>
      <c r="AN162" s="103"/>
      <c r="AO162" s="103"/>
      <c r="AP162" s="105"/>
      <c r="AQ162" s="103"/>
      <c r="AR162" s="103"/>
      <c r="AT162" s="105"/>
      <c r="AU162" s="105"/>
      <c r="AV162" s="105"/>
      <c r="AW162" s="105"/>
      <c r="AX162" s="105"/>
      <c r="AY162" s="103"/>
      <c r="AZ162" s="103"/>
      <c r="BA162" s="103"/>
      <c r="BB162" s="103"/>
      <c r="BC162" s="105"/>
      <c r="BD162" s="103"/>
      <c r="BE162" s="103"/>
    </row>
    <row r="163" spans="1:68" s="102" customFormat="1" x14ac:dyDescent="0.2">
      <c r="C163" s="103"/>
      <c r="D163" s="104"/>
      <c r="E163" s="104"/>
      <c r="G163" s="105"/>
      <c r="H163" s="105"/>
      <c r="I163" s="105"/>
      <c r="J163" s="105"/>
      <c r="K163" s="105"/>
      <c r="L163" s="103"/>
      <c r="M163" s="103"/>
      <c r="N163" s="103"/>
      <c r="O163" s="103"/>
      <c r="P163" s="105"/>
      <c r="Q163" s="103"/>
      <c r="R163" s="103"/>
      <c r="T163" s="105"/>
      <c r="U163" s="105"/>
      <c r="V163" s="105"/>
      <c r="W163" s="105"/>
      <c r="X163" s="105"/>
      <c r="Y163" s="103"/>
      <c r="Z163" s="103"/>
      <c r="AA163" s="103"/>
      <c r="AB163" s="103"/>
      <c r="AC163" s="105"/>
      <c r="AD163" s="103"/>
      <c r="AE163" s="103"/>
      <c r="AG163" s="105"/>
      <c r="AH163" s="105"/>
      <c r="AI163" s="105"/>
      <c r="AJ163" s="105"/>
      <c r="AK163" s="105"/>
      <c r="AL163" s="103"/>
      <c r="AM163" s="103"/>
      <c r="AN163" s="103"/>
      <c r="AO163" s="103"/>
      <c r="AP163" s="105"/>
      <c r="AQ163" s="103"/>
      <c r="AR163" s="103"/>
      <c r="AT163" s="105"/>
      <c r="AU163" s="105"/>
      <c r="AV163" s="105"/>
      <c r="AW163" s="105"/>
      <c r="AX163" s="105"/>
      <c r="AY163" s="103"/>
      <c r="AZ163" s="103"/>
      <c r="BA163" s="103"/>
      <c r="BB163" s="103"/>
      <c r="BC163" s="105"/>
      <c r="BD163" s="103"/>
      <c r="BE163" s="103"/>
    </row>
    <row r="164" spans="1:68" s="102" customFormat="1" x14ac:dyDescent="0.2">
      <c r="C164" s="103"/>
      <c r="D164" s="104"/>
      <c r="E164" s="104"/>
      <c r="G164" s="105"/>
      <c r="H164" s="105"/>
      <c r="I164" s="105"/>
      <c r="J164" s="105"/>
      <c r="K164" s="105"/>
      <c r="L164" s="103"/>
      <c r="M164" s="103"/>
      <c r="N164" s="103"/>
      <c r="O164" s="103"/>
      <c r="P164" s="105"/>
      <c r="Q164" s="103"/>
      <c r="R164" s="103"/>
      <c r="T164" s="105"/>
      <c r="U164" s="105"/>
      <c r="V164" s="105"/>
      <c r="W164" s="105"/>
      <c r="X164" s="105"/>
      <c r="Y164" s="103"/>
      <c r="Z164" s="103"/>
      <c r="AA164" s="103"/>
      <c r="AB164" s="103"/>
      <c r="AC164" s="105"/>
      <c r="AD164" s="103"/>
      <c r="AE164" s="103"/>
      <c r="AG164" s="105"/>
      <c r="AH164" s="105"/>
      <c r="AI164" s="105"/>
      <c r="AJ164" s="105"/>
      <c r="AK164" s="105"/>
      <c r="AL164" s="103"/>
      <c r="AM164" s="103"/>
      <c r="AN164" s="103"/>
      <c r="AO164" s="103"/>
      <c r="AP164" s="105"/>
      <c r="AQ164" s="103"/>
      <c r="AR164" s="103"/>
      <c r="AT164" s="105"/>
      <c r="AU164" s="105"/>
      <c r="AV164" s="105"/>
      <c r="AW164" s="105"/>
      <c r="AX164" s="105"/>
      <c r="AY164" s="103"/>
      <c r="AZ164" s="103"/>
      <c r="BA164" s="103"/>
      <c r="BB164" s="103"/>
      <c r="BC164" s="105"/>
      <c r="BD164" s="103"/>
      <c r="BE164" s="103"/>
    </row>
    <row r="165" spans="1:68" s="102" customFormat="1" x14ac:dyDescent="0.2">
      <c r="C165" s="103"/>
      <c r="D165" s="104"/>
      <c r="E165" s="104"/>
      <c r="G165" s="105"/>
      <c r="H165" s="105"/>
      <c r="I165" s="105"/>
      <c r="J165" s="105"/>
      <c r="K165" s="105"/>
      <c r="L165" s="103"/>
      <c r="M165" s="103"/>
      <c r="N165" s="103"/>
      <c r="O165" s="103"/>
      <c r="P165" s="105"/>
      <c r="Q165" s="103"/>
      <c r="R165" s="103"/>
      <c r="T165" s="105"/>
      <c r="U165" s="105"/>
      <c r="V165" s="105"/>
      <c r="W165" s="105"/>
      <c r="X165" s="105"/>
      <c r="Y165" s="103"/>
      <c r="Z165" s="103"/>
      <c r="AA165" s="103"/>
      <c r="AB165" s="103"/>
      <c r="AC165" s="105"/>
      <c r="AD165" s="103"/>
      <c r="AE165" s="103"/>
      <c r="AG165" s="105"/>
      <c r="AH165" s="105"/>
      <c r="AI165" s="105"/>
      <c r="AJ165" s="105"/>
      <c r="AK165" s="105"/>
      <c r="AL165" s="103"/>
      <c r="AM165" s="103"/>
      <c r="AN165" s="103"/>
      <c r="AO165" s="103"/>
      <c r="AP165" s="105"/>
      <c r="AQ165" s="103"/>
      <c r="AR165" s="103"/>
      <c r="AT165" s="105"/>
      <c r="AU165" s="105"/>
      <c r="AV165" s="105"/>
      <c r="AW165" s="105"/>
      <c r="AX165" s="105"/>
      <c r="AY165" s="103"/>
      <c r="AZ165" s="103"/>
      <c r="BA165" s="103"/>
      <c r="BB165" s="103"/>
      <c r="BC165" s="105"/>
      <c r="BD165" s="103"/>
      <c r="BE165" s="103"/>
    </row>
    <row r="166" spans="1:68" s="102" customFormat="1" x14ac:dyDescent="0.2">
      <c r="C166" s="103"/>
      <c r="D166" s="104"/>
      <c r="E166" s="104"/>
      <c r="G166" s="105"/>
      <c r="H166" s="105"/>
      <c r="I166" s="105"/>
      <c r="J166" s="105"/>
      <c r="K166" s="105"/>
      <c r="L166" s="103"/>
      <c r="M166" s="103"/>
      <c r="N166" s="103"/>
      <c r="O166" s="103"/>
      <c r="P166" s="105"/>
      <c r="Q166" s="103"/>
      <c r="R166" s="103"/>
      <c r="T166" s="105"/>
      <c r="U166" s="105"/>
      <c r="V166" s="105"/>
      <c r="W166" s="105"/>
      <c r="X166" s="105"/>
      <c r="Y166" s="103"/>
      <c r="Z166" s="103"/>
      <c r="AA166" s="103"/>
      <c r="AB166" s="103"/>
      <c r="AC166" s="105"/>
      <c r="AD166" s="103"/>
      <c r="AE166" s="103"/>
      <c r="AG166" s="105"/>
      <c r="AH166" s="105"/>
      <c r="AI166" s="105"/>
      <c r="AJ166" s="105"/>
      <c r="AK166" s="105"/>
      <c r="AL166" s="103"/>
      <c r="AM166" s="103"/>
      <c r="AN166" s="103"/>
      <c r="AO166" s="103"/>
      <c r="AP166" s="105"/>
      <c r="AQ166" s="103"/>
      <c r="AR166" s="103"/>
      <c r="AT166" s="105"/>
      <c r="AU166" s="105"/>
      <c r="AV166" s="105"/>
      <c r="AW166" s="105"/>
      <c r="AX166" s="105"/>
      <c r="AY166" s="103"/>
      <c r="AZ166" s="103"/>
      <c r="BA166" s="103"/>
      <c r="BB166" s="103"/>
      <c r="BC166" s="105"/>
      <c r="BD166" s="103"/>
      <c r="BE166" s="103"/>
    </row>
    <row r="167" spans="1:68" s="102" customFormat="1" x14ac:dyDescent="0.2">
      <c r="C167" s="103"/>
      <c r="D167" s="104"/>
      <c r="E167" s="104"/>
      <c r="G167" s="105"/>
      <c r="H167" s="105"/>
      <c r="I167" s="105"/>
      <c r="J167" s="105"/>
      <c r="K167" s="105"/>
      <c r="L167" s="103"/>
      <c r="M167" s="103"/>
      <c r="N167" s="103"/>
      <c r="O167" s="103"/>
      <c r="P167" s="105"/>
      <c r="Q167" s="103"/>
      <c r="R167" s="103"/>
      <c r="T167" s="105"/>
      <c r="U167" s="105"/>
      <c r="V167" s="105"/>
      <c r="W167" s="105"/>
      <c r="X167" s="105"/>
      <c r="Y167" s="103"/>
      <c r="Z167" s="103"/>
      <c r="AA167" s="103"/>
      <c r="AB167" s="103"/>
      <c r="AC167" s="105"/>
      <c r="AD167" s="103"/>
      <c r="AE167" s="103"/>
      <c r="AG167" s="105"/>
      <c r="AH167" s="105"/>
      <c r="AI167" s="105"/>
      <c r="AJ167" s="105"/>
      <c r="AK167" s="105"/>
      <c r="AL167" s="103"/>
      <c r="AM167" s="103"/>
      <c r="AN167" s="103"/>
      <c r="AO167" s="103"/>
      <c r="AP167" s="105"/>
      <c r="AQ167" s="103"/>
      <c r="AR167" s="103"/>
      <c r="AT167" s="105"/>
      <c r="AU167" s="105"/>
      <c r="AV167" s="105"/>
      <c r="AW167" s="105"/>
      <c r="AX167" s="105"/>
      <c r="AY167" s="103"/>
      <c r="AZ167" s="103"/>
      <c r="BA167" s="103"/>
      <c r="BB167" s="103"/>
      <c r="BC167" s="105"/>
      <c r="BD167" s="103"/>
      <c r="BE167" s="103"/>
    </row>
    <row r="168" spans="1:68" s="102" customFormat="1" x14ac:dyDescent="0.2">
      <c r="C168" s="103"/>
      <c r="D168" s="104"/>
      <c r="E168" s="104"/>
      <c r="G168" s="105"/>
      <c r="H168" s="105"/>
      <c r="I168" s="105"/>
      <c r="J168" s="105"/>
      <c r="K168" s="105"/>
      <c r="L168" s="103"/>
      <c r="M168" s="103"/>
      <c r="N168" s="103"/>
      <c r="O168" s="103"/>
      <c r="P168" s="105"/>
      <c r="Q168" s="103"/>
      <c r="R168" s="103"/>
      <c r="T168" s="105"/>
      <c r="U168" s="105"/>
      <c r="V168" s="105"/>
      <c r="W168" s="105"/>
      <c r="X168" s="105"/>
      <c r="Y168" s="103"/>
      <c r="Z168" s="103"/>
      <c r="AA168" s="103"/>
      <c r="AB168" s="103"/>
      <c r="AC168" s="105"/>
      <c r="AD168" s="103"/>
      <c r="AE168" s="103"/>
      <c r="AG168" s="105"/>
      <c r="AH168" s="105"/>
      <c r="AI168" s="105"/>
      <c r="AJ168" s="105"/>
      <c r="AK168" s="105"/>
      <c r="AL168" s="103"/>
      <c r="AM168" s="103"/>
      <c r="AN168" s="103"/>
      <c r="AO168" s="103"/>
      <c r="AP168" s="105"/>
      <c r="AQ168" s="103"/>
      <c r="AR168" s="103"/>
      <c r="AT168" s="105"/>
      <c r="AU168" s="105"/>
      <c r="AV168" s="105"/>
      <c r="AW168" s="105"/>
      <c r="AX168" s="105"/>
      <c r="AY168" s="103"/>
      <c r="AZ168" s="103"/>
      <c r="BA168" s="103"/>
      <c r="BB168" s="103"/>
      <c r="BC168" s="105"/>
      <c r="BD168" s="103"/>
      <c r="BE168" s="103"/>
    </row>
    <row r="169" spans="1:68" s="102" customFormat="1" x14ac:dyDescent="0.2">
      <c r="C169" s="103"/>
      <c r="D169" s="104"/>
      <c r="E169" s="104"/>
      <c r="G169" s="105"/>
      <c r="H169" s="105"/>
      <c r="I169" s="105"/>
      <c r="J169" s="105"/>
      <c r="K169" s="105"/>
      <c r="L169" s="103"/>
      <c r="M169" s="103"/>
      <c r="N169" s="103"/>
      <c r="O169" s="103"/>
      <c r="P169" s="105"/>
      <c r="Q169" s="103"/>
      <c r="R169" s="103"/>
      <c r="T169" s="105"/>
      <c r="U169" s="105"/>
      <c r="V169" s="105"/>
      <c r="W169" s="105"/>
      <c r="X169" s="105"/>
      <c r="Y169" s="103"/>
      <c r="Z169" s="103"/>
      <c r="AA169" s="103"/>
      <c r="AB169" s="103"/>
      <c r="AC169" s="105"/>
      <c r="AD169" s="103"/>
      <c r="AE169" s="103"/>
      <c r="AG169" s="105"/>
      <c r="AH169" s="105"/>
      <c r="AI169" s="105"/>
      <c r="AJ169" s="105"/>
      <c r="AK169" s="105"/>
      <c r="AL169" s="103"/>
      <c r="AM169" s="103"/>
      <c r="AN169" s="103"/>
      <c r="AO169" s="103"/>
      <c r="AP169" s="105"/>
      <c r="AQ169" s="103"/>
      <c r="AR169" s="103"/>
      <c r="AT169" s="105"/>
      <c r="AU169" s="105"/>
      <c r="AV169" s="105"/>
      <c r="AW169" s="105"/>
      <c r="AX169" s="105"/>
      <c r="AY169" s="103"/>
      <c r="AZ169" s="103"/>
      <c r="BA169" s="103"/>
      <c r="BB169" s="103"/>
      <c r="BC169" s="105"/>
      <c r="BD169" s="103"/>
      <c r="BE169" s="103"/>
    </row>
    <row r="170" spans="1:68" s="102" customFormat="1" x14ac:dyDescent="0.2">
      <c r="C170" s="103"/>
      <c r="D170" s="104"/>
      <c r="E170" s="104"/>
      <c r="G170" s="105"/>
      <c r="H170" s="105"/>
      <c r="I170" s="105"/>
      <c r="J170" s="105"/>
      <c r="K170" s="105"/>
      <c r="L170" s="103"/>
      <c r="M170" s="103"/>
      <c r="N170" s="103"/>
      <c r="O170" s="103"/>
      <c r="P170" s="105"/>
      <c r="Q170" s="103"/>
      <c r="R170" s="103"/>
      <c r="T170" s="105"/>
      <c r="U170" s="105"/>
      <c r="V170" s="105"/>
      <c r="W170" s="105"/>
      <c r="X170" s="105"/>
      <c r="Y170" s="103"/>
      <c r="Z170" s="103"/>
      <c r="AA170" s="103"/>
      <c r="AB170" s="103"/>
      <c r="AC170" s="105"/>
      <c r="AD170" s="103"/>
      <c r="AE170" s="103"/>
      <c r="AG170" s="105"/>
      <c r="AH170" s="105"/>
      <c r="AI170" s="105"/>
      <c r="AJ170" s="105"/>
      <c r="AK170" s="105"/>
      <c r="AL170" s="103"/>
      <c r="AM170" s="103"/>
      <c r="AN170" s="103"/>
      <c r="AO170" s="103"/>
      <c r="AP170" s="105"/>
      <c r="AQ170" s="103"/>
      <c r="AR170" s="103"/>
      <c r="AT170" s="105"/>
      <c r="AU170" s="105"/>
      <c r="AV170" s="105"/>
      <c r="AW170" s="105"/>
      <c r="AX170" s="105"/>
      <c r="AY170" s="103"/>
      <c r="AZ170" s="103"/>
      <c r="BA170" s="103"/>
      <c r="BB170" s="103"/>
      <c r="BC170" s="105"/>
      <c r="BD170" s="103"/>
      <c r="BE170" s="103"/>
    </row>
    <row r="171" spans="1:68" s="102" customFormat="1" x14ac:dyDescent="0.2">
      <c r="C171" s="103"/>
      <c r="D171" s="104"/>
      <c r="E171" s="104"/>
      <c r="G171" s="105"/>
      <c r="H171" s="105"/>
      <c r="I171" s="105"/>
      <c r="J171" s="105"/>
      <c r="K171" s="105"/>
      <c r="L171" s="103"/>
      <c r="M171" s="103"/>
      <c r="N171" s="103"/>
      <c r="O171" s="103"/>
      <c r="P171" s="105"/>
      <c r="Q171" s="103"/>
      <c r="R171" s="103"/>
      <c r="T171" s="105"/>
      <c r="U171" s="105"/>
      <c r="V171" s="105"/>
      <c r="W171" s="105"/>
      <c r="X171" s="105"/>
      <c r="Y171" s="103"/>
      <c r="Z171" s="103"/>
      <c r="AA171" s="103"/>
      <c r="AB171" s="103"/>
      <c r="AC171" s="105"/>
      <c r="AD171" s="103"/>
      <c r="AE171" s="103"/>
      <c r="AG171" s="105"/>
      <c r="AH171" s="105"/>
      <c r="AI171" s="105"/>
      <c r="AJ171" s="105"/>
      <c r="AK171" s="105"/>
      <c r="AL171" s="103"/>
      <c r="AM171" s="103"/>
      <c r="AN171" s="103"/>
      <c r="AO171" s="103"/>
      <c r="AP171" s="105"/>
      <c r="AQ171" s="103"/>
      <c r="AR171" s="103"/>
      <c r="AT171" s="105"/>
      <c r="AU171" s="105"/>
      <c r="AV171" s="105"/>
      <c r="AW171" s="105"/>
      <c r="AX171" s="105"/>
      <c r="AY171" s="103"/>
      <c r="AZ171" s="103"/>
      <c r="BA171" s="103"/>
      <c r="BB171" s="103"/>
      <c r="BC171" s="105"/>
      <c r="BD171" s="103"/>
      <c r="BE171" s="103"/>
    </row>
    <row r="172" spans="1:68" s="102" customFormat="1" x14ac:dyDescent="0.2">
      <c r="C172" s="103"/>
      <c r="D172" s="104"/>
      <c r="E172" s="104"/>
      <c r="G172" s="105"/>
      <c r="H172" s="105"/>
      <c r="I172" s="105"/>
      <c r="J172" s="105"/>
      <c r="K172" s="105"/>
      <c r="L172" s="103"/>
      <c r="M172" s="103"/>
      <c r="N172" s="103"/>
      <c r="O172" s="103"/>
      <c r="P172" s="105"/>
      <c r="Q172" s="103"/>
      <c r="R172" s="103"/>
      <c r="T172" s="105"/>
      <c r="U172" s="105"/>
      <c r="V172" s="105"/>
      <c r="W172" s="105"/>
      <c r="X172" s="105"/>
      <c r="Y172" s="103"/>
      <c r="Z172" s="103"/>
      <c r="AA172" s="103"/>
      <c r="AB172" s="103"/>
      <c r="AC172" s="105"/>
      <c r="AD172" s="103"/>
      <c r="AE172" s="103"/>
      <c r="AG172" s="105"/>
      <c r="AH172" s="105"/>
      <c r="AI172" s="105"/>
      <c r="AJ172" s="105"/>
      <c r="AK172" s="105"/>
      <c r="AL172" s="103"/>
      <c r="AM172" s="103"/>
      <c r="AN172" s="103"/>
      <c r="AO172" s="103"/>
      <c r="AP172" s="105"/>
      <c r="AQ172" s="103"/>
      <c r="AR172" s="103"/>
      <c r="AT172" s="105"/>
      <c r="AU172" s="105"/>
      <c r="AV172" s="105"/>
      <c r="AW172" s="105"/>
      <c r="AX172" s="105"/>
      <c r="AY172" s="103"/>
      <c r="AZ172" s="103"/>
      <c r="BA172" s="103"/>
      <c r="BB172" s="103"/>
      <c r="BC172" s="105"/>
      <c r="BD172" s="103"/>
      <c r="BE172" s="103"/>
    </row>
    <row r="173" spans="1:68" s="102" customFormat="1" x14ac:dyDescent="0.2">
      <c r="C173" s="103"/>
      <c r="D173" s="104"/>
      <c r="E173" s="104"/>
      <c r="G173" s="105"/>
      <c r="H173" s="105"/>
      <c r="I173" s="105"/>
      <c r="J173" s="105"/>
      <c r="K173" s="105"/>
      <c r="L173" s="103"/>
      <c r="M173" s="103"/>
      <c r="N173" s="103"/>
      <c r="O173" s="103"/>
      <c r="P173" s="105"/>
      <c r="Q173" s="103"/>
      <c r="R173" s="103"/>
      <c r="T173" s="105"/>
      <c r="U173" s="105"/>
      <c r="V173" s="105"/>
      <c r="W173" s="105"/>
      <c r="X173" s="105"/>
      <c r="Y173" s="103"/>
      <c r="Z173" s="103"/>
      <c r="AA173" s="103"/>
      <c r="AB173" s="103"/>
      <c r="AC173" s="105"/>
      <c r="AD173" s="103"/>
      <c r="AE173" s="103"/>
      <c r="AG173" s="105"/>
      <c r="AH173" s="105"/>
      <c r="AI173" s="105"/>
      <c r="AJ173" s="105"/>
      <c r="AK173" s="105"/>
      <c r="AL173" s="103"/>
      <c r="AM173" s="103"/>
      <c r="AN173" s="103"/>
      <c r="AO173" s="103"/>
      <c r="AP173" s="105"/>
      <c r="AQ173" s="103"/>
      <c r="AR173" s="103"/>
      <c r="AT173" s="105"/>
      <c r="AU173" s="105"/>
      <c r="AV173" s="105"/>
      <c r="AW173" s="105"/>
      <c r="AX173" s="105"/>
      <c r="AY173" s="103"/>
      <c r="AZ173" s="103"/>
      <c r="BA173" s="103"/>
      <c r="BB173" s="103"/>
      <c r="BC173" s="105"/>
      <c r="BD173" s="103"/>
      <c r="BE173" s="103"/>
    </row>
    <row r="174" spans="1:68" s="102" customFormat="1" x14ac:dyDescent="0.2">
      <c r="C174" s="103"/>
      <c r="D174" s="104"/>
      <c r="E174" s="104"/>
      <c r="G174" s="105"/>
      <c r="H174" s="105"/>
      <c r="I174" s="105"/>
      <c r="J174" s="105"/>
      <c r="K174" s="105"/>
      <c r="L174" s="103"/>
      <c r="M174" s="103"/>
      <c r="N174" s="103"/>
      <c r="O174" s="103"/>
      <c r="P174" s="105"/>
      <c r="Q174" s="103"/>
      <c r="R174" s="103"/>
      <c r="T174" s="105"/>
      <c r="U174" s="105"/>
      <c r="V174" s="105"/>
      <c r="W174" s="105"/>
      <c r="X174" s="105"/>
      <c r="Y174" s="103"/>
      <c r="Z174" s="103"/>
      <c r="AA174" s="103"/>
      <c r="AB174" s="103"/>
      <c r="AC174" s="105"/>
      <c r="AD174" s="103"/>
      <c r="AE174" s="103"/>
      <c r="AG174" s="105"/>
      <c r="AH174" s="105"/>
      <c r="AI174" s="105"/>
      <c r="AJ174" s="105"/>
      <c r="AK174" s="105"/>
      <c r="AL174" s="103"/>
      <c r="AM174" s="103"/>
      <c r="AN174" s="103"/>
      <c r="AO174" s="103"/>
      <c r="AP174" s="105"/>
      <c r="AQ174" s="103"/>
      <c r="AR174" s="103"/>
      <c r="AT174" s="105"/>
      <c r="AU174" s="105"/>
      <c r="AV174" s="105"/>
      <c r="AW174" s="105"/>
      <c r="AX174" s="105"/>
      <c r="AY174" s="103"/>
      <c r="AZ174" s="103"/>
      <c r="BA174" s="103"/>
      <c r="BB174" s="103"/>
      <c r="BC174" s="105"/>
      <c r="BD174" s="103"/>
      <c r="BE174" s="103"/>
    </row>
    <row r="175" spans="1:68" s="102" customFormat="1" x14ac:dyDescent="0.2">
      <c r="C175" s="103"/>
      <c r="D175" s="104"/>
      <c r="E175" s="104"/>
      <c r="G175" s="105"/>
      <c r="H175" s="105"/>
      <c r="I175" s="105"/>
      <c r="J175" s="105"/>
      <c r="K175" s="105"/>
      <c r="L175" s="103"/>
      <c r="M175" s="103"/>
      <c r="N175" s="103"/>
      <c r="O175" s="103"/>
      <c r="P175" s="105"/>
      <c r="Q175" s="103"/>
      <c r="R175" s="103"/>
      <c r="T175" s="105"/>
      <c r="U175" s="105"/>
      <c r="V175" s="105"/>
      <c r="W175" s="105"/>
      <c r="X175" s="105"/>
      <c r="Y175" s="103"/>
      <c r="Z175" s="103"/>
      <c r="AA175" s="103"/>
      <c r="AB175" s="103"/>
      <c r="AC175" s="105"/>
      <c r="AD175" s="103"/>
      <c r="AE175" s="103"/>
      <c r="AG175" s="105"/>
      <c r="AH175" s="105"/>
      <c r="AI175" s="105"/>
      <c r="AJ175" s="105"/>
      <c r="AK175" s="105"/>
      <c r="AL175" s="103"/>
      <c r="AM175" s="103"/>
      <c r="AN175" s="103"/>
      <c r="AO175" s="103"/>
      <c r="AP175" s="105"/>
      <c r="AQ175" s="103"/>
      <c r="AR175" s="103"/>
      <c r="AT175" s="105"/>
      <c r="AU175" s="105"/>
      <c r="AV175" s="105"/>
      <c r="AW175" s="105"/>
      <c r="AX175" s="105"/>
      <c r="AY175" s="103"/>
      <c r="AZ175" s="103"/>
      <c r="BA175" s="103"/>
      <c r="BB175" s="103"/>
      <c r="BC175" s="105"/>
      <c r="BD175" s="103"/>
      <c r="BE175" s="103"/>
    </row>
    <row r="176" spans="1:68" s="109" customFormat="1" x14ac:dyDescent="0.2">
      <c r="A176" s="102"/>
      <c r="B176" s="102"/>
      <c r="C176" s="103"/>
      <c r="D176" s="104"/>
      <c r="E176" s="104"/>
      <c r="F176" s="102"/>
      <c r="G176" s="105"/>
      <c r="H176" s="105"/>
      <c r="I176" s="105"/>
      <c r="J176" s="105"/>
      <c r="K176" s="105"/>
      <c r="L176" s="103"/>
      <c r="M176" s="103"/>
      <c r="N176" s="103"/>
      <c r="O176" s="103"/>
      <c r="P176" s="105"/>
      <c r="Q176" s="103"/>
      <c r="R176" s="103"/>
      <c r="S176" s="102"/>
      <c r="T176" s="105"/>
      <c r="U176" s="105"/>
      <c r="V176" s="105"/>
      <c r="W176" s="105"/>
      <c r="X176" s="105"/>
      <c r="Y176" s="103"/>
      <c r="Z176" s="103"/>
      <c r="AA176" s="103"/>
      <c r="AB176" s="103"/>
      <c r="AC176" s="105"/>
      <c r="AD176" s="103"/>
      <c r="AE176" s="103"/>
      <c r="AF176" s="102"/>
      <c r="AG176" s="105"/>
      <c r="AH176" s="105"/>
      <c r="AI176" s="105"/>
      <c r="AJ176" s="105"/>
      <c r="AK176" s="105"/>
      <c r="AL176" s="103"/>
      <c r="AM176" s="103"/>
      <c r="AN176" s="103"/>
      <c r="AO176" s="103"/>
      <c r="AP176" s="105"/>
      <c r="AQ176" s="103"/>
      <c r="AR176" s="103"/>
      <c r="AS176" s="102"/>
      <c r="AT176" s="105"/>
      <c r="AU176" s="105"/>
      <c r="AV176" s="105"/>
      <c r="AW176" s="105"/>
      <c r="AX176" s="105"/>
      <c r="AY176" s="103"/>
      <c r="AZ176" s="103"/>
      <c r="BA176" s="103"/>
      <c r="BB176" s="103"/>
      <c r="BC176" s="105"/>
      <c r="BD176" s="103"/>
      <c r="BE176" s="103"/>
      <c r="BF176" s="102"/>
      <c r="BG176" s="102"/>
      <c r="BH176" s="102"/>
      <c r="BI176" s="102"/>
      <c r="BJ176" s="102"/>
      <c r="BK176" s="102"/>
      <c r="BL176" s="102"/>
      <c r="BM176" s="102"/>
      <c r="BN176" s="102"/>
      <c r="BO176" s="102"/>
      <c r="BP176" s="102"/>
    </row>
    <row r="1048532" spans="6:6" x14ac:dyDescent="0.2">
      <c r="F1048532" s="110"/>
    </row>
  </sheetData>
  <sheetProtection algorithmName="SHA-512" hashValue="1PEC69XsphGSM1QN0UmwnD9k4qFfzDgWIN6XutAPych/ceXX1jvM5vg2sAeUrpwVAVZYpQHnfGEo9hIX7NRyog==" saltValue="EFbtQPtKT+soYnukxgi5Iw==" spinCount="100000" sheet="1" objects="1" scenarios="1"/>
  <mergeCells count="30">
    <mergeCell ref="AK5:AK6"/>
    <mergeCell ref="AG3:AR3"/>
    <mergeCell ref="BE5:BE6"/>
    <mergeCell ref="AR5:AR6"/>
    <mergeCell ref="BC5:BC6"/>
    <mergeCell ref="AX5:AX6"/>
    <mergeCell ref="AP5:AP6"/>
    <mergeCell ref="AT3:BE3"/>
    <mergeCell ref="AY4:BB4"/>
    <mergeCell ref="AT4:AW4"/>
    <mergeCell ref="E1:P1"/>
    <mergeCell ref="E2:P2"/>
    <mergeCell ref="G3:R3"/>
    <mergeCell ref="D3:F3"/>
    <mergeCell ref="AL4:AO4"/>
    <mergeCell ref="AG4:AJ4"/>
    <mergeCell ref="D4:F4"/>
    <mergeCell ref="D5:F6"/>
    <mergeCell ref="C3:C7"/>
    <mergeCell ref="T3:AE3"/>
    <mergeCell ref="AC5:AC6"/>
    <mergeCell ref="AE5:AE6"/>
    <mergeCell ref="Y4:AB4"/>
    <mergeCell ref="T4:W4"/>
    <mergeCell ref="X5:X6"/>
    <mergeCell ref="L4:O4"/>
    <mergeCell ref="R5:R6"/>
    <mergeCell ref="G4:J4"/>
    <mergeCell ref="K5:K6"/>
    <mergeCell ref="P5:P6"/>
  </mergeCells>
  <phoneticPr fontId="3" type="noConversion"/>
  <conditionalFormatting sqref="G8:G57">
    <cfRule type="cellIs" dxfId="112" priority="53" operator="greaterThan">
      <formula>$G$6</formula>
    </cfRule>
  </conditionalFormatting>
  <conditionalFormatting sqref="G6:J6 L6:O6 Q6 T6:W6 Y6:AB6 AD6 AG6:AJ6 AL6:AO6 AQ6 AT6:AW6 AY6:BB6 BD6">
    <cfRule type="expression" dxfId="111" priority="4">
      <formula>AND(ISTEXT(G6),G6&lt;&gt;"")</formula>
    </cfRule>
  </conditionalFormatting>
  <conditionalFormatting sqref="G8:J57 L8:O57 Q8:Q57 T8:W57 Y8:AB57 AD8:AD57 AG8:AJ57 AL8:AO57 AQ8:AQ57 AT8:AW57 AY8:BB57 BD8:BD57">
    <cfRule type="expression" dxfId="110" priority="3">
      <formula>ISTEXT(G8)</formula>
    </cfRule>
  </conditionalFormatting>
  <conditionalFormatting sqref="H8:H57">
    <cfRule type="cellIs" dxfId="109" priority="52" operator="greaterThan">
      <formula>$H$6</formula>
    </cfRule>
  </conditionalFormatting>
  <conditionalFormatting sqref="I8:I57">
    <cfRule type="cellIs" dxfId="108" priority="51" operator="greaterThan">
      <formula>$I$6</formula>
    </cfRule>
  </conditionalFormatting>
  <conditionalFormatting sqref="J8:J57">
    <cfRule type="cellIs" dxfId="107" priority="50" operator="greaterThan">
      <formula>$J$6</formula>
    </cfRule>
  </conditionalFormatting>
  <conditionalFormatting sqref="L8:L57">
    <cfRule type="cellIs" dxfId="106" priority="49" operator="greaterThan">
      <formula>$L$6</formula>
    </cfRule>
  </conditionalFormatting>
  <conditionalFormatting sqref="M8:M57">
    <cfRule type="cellIs" dxfId="105" priority="48" operator="greaterThan">
      <formula>$M$6</formula>
    </cfRule>
  </conditionalFormatting>
  <conditionalFormatting sqref="M8:N32">
    <cfRule type="cellIs" dxfId="104" priority="1" operator="greaterThan">
      <formula>$L$6</formula>
    </cfRule>
  </conditionalFormatting>
  <conditionalFormatting sqref="N8:N57">
    <cfRule type="cellIs" dxfId="103" priority="47" operator="greaterThan">
      <formula>$N$6</formula>
    </cfRule>
  </conditionalFormatting>
  <conditionalFormatting sqref="O8:O57">
    <cfRule type="cellIs" dxfId="102" priority="46" operator="greaterThan">
      <formula>$O$6</formula>
    </cfRule>
  </conditionalFormatting>
  <conditionalFormatting sqref="Q8:Q57">
    <cfRule type="cellIs" dxfId="101" priority="45" operator="greaterThan">
      <formula>$Q$6</formula>
    </cfRule>
  </conditionalFormatting>
  <conditionalFormatting sqref="T8:T57">
    <cfRule type="cellIs" dxfId="100" priority="44" operator="greaterThan">
      <formula>$T$6</formula>
    </cfRule>
  </conditionalFormatting>
  <conditionalFormatting sqref="U8:U57">
    <cfRule type="cellIs" dxfId="99" priority="43" operator="greaterThan">
      <formula>$U$6</formula>
    </cfRule>
  </conditionalFormatting>
  <conditionalFormatting sqref="V8:V57">
    <cfRule type="cellIs" dxfId="98" priority="42" operator="greaterThan">
      <formula>$V$6</formula>
    </cfRule>
  </conditionalFormatting>
  <conditionalFormatting sqref="W8:W57">
    <cfRule type="cellIs" dxfId="97" priority="41" operator="greaterThan">
      <formula>$W$6</formula>
    </cfRule>
  </conditionalFormatting>
  <conditionalFormatting sqref="Y8:Y57">
    <cfRule type="cellIs" dxfId="96" priority="40" operator="greaterThan">
      <formula>$Y$6</formula>
    </cfRule>
  </conditionalFormatting>
  <conditionalFormatting sqref="Z8:Z57">
    <cfRule type="cellIs" dxfId="95" priority="39" operator="greaterThan">
      <formula>$Z$6</formula>
    </cfRule>
  </conditionalFormatting>
  <conditionalFormatting sqref="AA8:AA57">
    <cfRule type="cellIs" dxfId="94" priority="38" operator="greaterThan">
      <formula>$AA$6</formula>
    </cfRule>
  </conditionalFormatting>
  <conditionalFormatting sqref="AB8:AB57">
    <cfRule type="cellIs" dxfId="93" priority="37" operator="greaterThan">
      <formula>$AB$6</formula>
    </cfRule>
  </conditionalFormatting>
  <conditionalFormatting sqref="AD8:AD57">
    <cfRule type="cellIs" dxfId="92" priority="36" operator="greaterThan">
      <formula>$AD$6</formula>
    </cfRule>
  </conditionalFormatting>
  <conditionalFormatting sqref="AG8:AG57">
    <cfRule type="cellIs" dxfId="91" priority="35" operator="greaterThan">
      <formula>$AG$6</formula>
    </cfRule>
  </conditionalFormatting>
  <conditionalFormatting sqref="AH8:AH57">
    <cfRule type="cellIs" dxfId="90" priority="34" operator="greaterThan">
      <formula>$AH$6</formula>
    </cfRule>
  </conditionalFormatting>
  <conditionalFormatting sqref="AI8:AI57">
    <cfRule type="cellIs" dxfId="89" priority="33" operator="greaterThan">
      <formula>$AI$6</formula>
    </cfRule>
  </conditionalFormatting>
  <conditionalFormatting sqref="AJ8:AJ57">
    <cfRule type="cellIs" dxfId="88" priority="32" operator="greaterThan">
      <formula>$AJ$6</formula>
    </cfRule>
  </conditionalFormatting>
  <conditionalFormatting sqref="AL8:AL57">
    <cfRule type="cellIs" dxfId="87" priority="31" operator="greaterThan">
      <formula>$AL$6</formula>
    </cfRule>
  </conditionalFormatting>
  <conditionalFormatting sqref="AM8:AM57">
    <cfRule type="cellIs" dxfId="86" priority="30" operator="greaterThan">
      <formula>$AM$6</formula>
    </cfRule>
  </conditionalFormatting>
  <conditionalFormatting sqref="AN8:AN57">
    <cfRule type="cellIs" dxfId="85" priority="29" operator="greaterThan">
      <formula>$AN$6</formula>
    </cfRule>
  </conditionalFormatting>
  <conditionalFormatting sqref="AO8:AO57">
    <cfRule type="cellIs" dxfId="84" priority="28" operator="greaterThan">
      <formula>$AO$6</formula>
    </cfRule>
  </conditionalFormatting>
  <conditionalFormatting sqref="AQ8:AQ57">
    <cfRule type="cellIs" dxfId="83" priority="27" operator="greaterThan">
      <formula>$AQ$6</formula>
    </cfRule>
  </conditionalFormatting>
  <conditionalFormatting sqref="AT8:AT57">
    <cfRule type="cellIs" dxfId="82" priority="26" operator="greaterThan">
      <formula>$AT$6</formula>
    </cfRule>
  </conditionalFormatting>
  <conditionalFormatting sqref="AU8:AU57">
    <cfRule type="cellIs" dxfId="81" priority="25" operator="greaterThan">
      <formula>$AU$6</formula>
    </cfRule>
  </conditionalFormatting>
  <conditionalFormatting sqref="AV8:AV57">
    <cfRule type="cellIs" dxfId="80" priority="24" operator="greaterThan">
      <formula>$AV$6</formula>
    </cfRule>
  </conditionalFormatting>
  <conditionalFormatting sqref="AW8:AW57">
    <cfRule type="cellIs" dxfId="79" priority="23" operator="greaterThan">
      <formula>$AW$6</formula>
    </cfRule>
  </conditionalFormatting>
  <conditionalFormatting sqref="AY8:AY57">
    <cfRule type="cellIs" dxfId="78" priority="22" operator="greaterThan">
      <formula>$AY$6</formula>
    </cfRule>
  </conditionalFormatting>
  <conditionalFormatting sqref="AZ8:AZ57">
    <cfRule type="cellIs" dxfId="77" priority="21" operator="greaterThan">
      <formula>$AZ$6</formula>
    </cfRule>
  </conditionalFormatting>
  <conditionalFormatting sqref="BA8:BA57">
    <cfRule type="cellIs" dxfId="76" priority="20" operator="greaterThan">
      <formula>$BA$6</formula>
    </cfRule>
  </conditionalFormatting>
  <conditionalFormatting sqref="BB8:BB57">
    <cfRule type="cellIs" dxfId="75" priority="19" operator="greaterThan">
      <formula>$BB$6</formula>
    </cfRule>
  </conditionalFormatting>
  <conditionalFormatting sqref="BD8:BD57">
    <cfRule type="cellIs" dxfId="74" priority="18" operator="greaterThan">
      <formula>$BD$6</formula>
    </cfRule>
  </conditionalFormatting>
  <dataValidations count="36">
    <dataValidation type="decimal" allowBlank="1" showInputMessage="1" showErrorMessage="1" errorTitle="Invalid Entry" error="Data entered is greater/less than the number of items." sqref="L8:L57" xr:uid="{00000000-0002-0000-0100-000001000000}">
      <formula1>0</formula1>
      <formula2>$L$6</formula2>
    </dataValidation>
    <dataValidation type="decimal" allowBlank="1" showInputMessage="1" showErrorMessage="1" errorTitle="Invalid Entry" error="Data entered is greater/less than the number of items." sqref="M8:M57" xr:uid="{00000000-0002-0000-0100-000002000000}">
      <formula1>0</formula1>
      <formula2>$M$6</formula2>
    </dataValidation>
    <dataValidation type="decimal" allowBlank="1" showInputMessage="1" showErrorMessage="1" errorTitle="Invalid Entry" error="Data entered is greater/less than the number of items." sqref="Q8:Q57" xr:uid="{00000000-0002-0000-0100-000004000000}">
      <formula1>0</formula1>
      <formula2>$Q$6</formula2>
    </dataValidation>
    <dataValidation type="decimal" allowBlank="1" showInputMessage="1" showErrorMessage="1" errorTitle="Invalid Entry" error="Data entered is greater/less than the number of items." sqref="Y8:Y57" xr:uid="{00000000-0002-0000-0100-000015000000}">
      <formula1>0</formula1>
      <formula2>$Y$6</formula2>
    </dataValidation>
    <dataValidation type="decimal" allowBlank="1" showInputMessage="1" showErrorMessage="1" errorTitle="Invalid Entry" error="Data entered is greater/less than the number of items." sqref="Z8:Z57" xr:uid="{00000000-0002-0000-0100-000016000000}">
      <formula1>0</formula1>
      <formula2>$Z$6</formula2>
    </dataValidation>
    <dataValidation type="decimal" allowBlank="1" showInputMessage="1" showErrorMessage="1" errorTitle="Invalid Entry" error="Data entered is greater/less than the number of items." sqref="AB8:AB57" xr:uid="{00000000-0002-0000-0100-000017000000}">
      <formula1>0</formula1>
      <formula2>$AB$6</formula2>
    </dataValidation>
    <dataValidation type="decimal" allowBlank="1" showInputMessage="1" showErrorMessage="1" errorTitle="Invalid Entry" error="Data entered is greater/less than the number of items." sqref="AD8:AD57" xr:uid="{00000000-0002-0000-0100-000018000000}">
      <formula1>0</formula1>
      <formula2>$AD$6</formula2>
    </dataValidation>
    <dataValidation type="decimal" allowBlank="1" showInputMessage="1" showErrorMessage="1" errorTitle="Invalid Entry" error="Data entered is greater/less than the number of items." sqref="AL8:AL57" xr:uid="{00000000-0002-0000-0100-000028000000}">
      <formula1>0</formula1>
      <formula2>$AL$6</formula2>
    </dataValidation>
    <dataValidation type="decimal" allowBlank="1" showInputMessage="1" showErrorMessage="1" errorTitle="Invalid Entry" error="Data entered is greater/less than the number of items." sqref="AM8:AM57" xr:uid="{00000000-0002-0000-0100-000029000000}">
      <formula1>0</formula1>
      <formula2>$AM$6</formula2>
    </dataValidation>
    <dataValidation type="decimal" allowBlank="1" showInputMessage="1" showErrorMessage="1" errorTitle="Invalid Entry" error="Data entered is greater/less than the number of items." sqref="AO8:AO57" xr:uid="{00000000-0002-0000-0100-00002A000000}">
      <formula1>0</formula1>
      <formula2>$AO$6</formula2>
    </dataValidation>
    <dataValidation type="decimal" allowBlank="1" showInputMessage="1" showErrorMessage="1" errorTitle="Invalid Entry" error="Data entered is greater/less than the number of items." sqref="AQ8:AQ57" xr:uid="{00000000-0002-0000-0100-00002B000000}">
      <formula1>0</formula1>
      <formula2>$AQ$6</formula2>
    </dataValidation>
    <dataValidation type="decimal" allowBlank="1" showInputMessage="1" showErrorMessage="1" errorTitle="Invalid Entry" error="Data entered is greater/less than the number of items." sqref="AY8:AY57" xr:uid="{00000000-0002-0000-0100-00003C000000}">
      <formula1>0</formula1>
      <formula2>$AY$6</formula2>
    </dataValidation>
    <dataValidation type="decimal" allowBlank="1" showInputMessage="1" showErrorMessage="1" errorTitle="Invalid Entry" error="Data entered is greater/less than the number of items." sqref="AZ8:AZ57" xr:uid="{00000000-0002-0000-0100-00003D000000}">
      <formula1>0</formula1>
      <formula2>$AZ$6</formula2>
    </dataValidation>
    <dataValidation type="decimal" allowBlank="1" showInputMessage="1" showErrorMessage="1" errorTitle="Invalid Entry" error="Data entered is greater/less than the number of items." sqref="BB8:BB57" xr:uid="{00000000-0002-0000-0100-00003E000000}">
      <formula1>0</formula1>
      <formula2>$BB$6</formula2>
    </dataValidation>
    <dataValidation type="decimal" allowBlank="1" showInputMessage="1" showErrorMessage="1" errorTitle="Invalid Entry" error="Data entered is greater/less than the number of items." sqref="BD8:BD57" xr:uid="{00000000-0002-0000-0100-00003F000000}">
      <formula1>0</formula1>
      <formula2>$BD$6</formula2>
    </dataValidation>
    <dataValidation type="decimal" allowBlank="1" showInputMessage="1" showErrorMessage="1" errorTitle="Invalid Entry" error="Data entered is greater/less than the number of items." sqref="AT8:AT57" xr:uid="{00000000-0002-0000-0100-000050000000}">
      <formula1>0</formula1>
      <formula2>$AT$6</formula2>
    </dataValidation>
    <dataValidation type="decimal" allowBlank="1" showInputMessage="1" showErrorMessage="1" errorTitle="Invalid Entry" error="Data entered is greater/less than the number of items." sqref="AU8:AU57" xr:uid="{00000000-0002-0000-0100-000051000000}">
      <formula1>0</formula1>
      <formula2>$AU$6</formula2>
    </dataValidation>
    <dataValidation type="decimal" allowBlank="1" showInputMessage="1" showErrorMessage="1" errorTitle="Invalid Entry" error="Data entered is greater/less than the number of items." sqref="AV8:AV57" xr:uid="{00000000-0002-0000-0100-000052000000}">
      <formula1>0</formula1>
      <formula2>$AV$6</formula2>
    </dataValidation>
    <dataValidation type="decimal" allowBlank="1" showInputMessage="1" showErrorMessage="1" errorTitle="Invalid Entry" error="Data entered is greater/less than the number of items." sqref="AW8:AW57" xr:uid="{00000000-0002-0000-0100-000053000000}">
      <formula1>0</formula1>
      <formula2>$AW$6</formula2>
    </dataValidation>
    <dataValidation type="decimal" allowBlank="1" showInputMessage="1" showErrorMessage="1" errorTitle="Invalid Entry" error="Data entered is greater/less than the number of items." sqref="G8:G57" xr:uid="{00000000-0002-0000-0100-000054000000}">
      <formula1>0</formula1>
      <formula2>$G$6</formula2>
    </dataValidation>
    <dataValidation type="decimal" allowBlank="1" showInputMessage="1" showErrorMessage="1" errorTitle="Invalid Entry" error="Data entered is greater/less than the number of items." sqref="H8:H57" xr:uid="{00000000-0002-0000-0100-000055000000}">
      <formula1>0</formula1>
      <formula2>$H$6</formula2>
    </dataValidation>
    <dataValidation type="decimal" allowBlank="1" showInputMessage="1" showErrorMessage="1" errorTitle="Invalid Entry" error="Data entered is greater/less than the number of items." sqref="I8:I57" xr:uid="{00000000-0002-0000-0100-000056000000}">
      <formula1>0</formula1>
      <formula2>$I$6</formula2>
    </dataValidation>
    <dataValidation type="decimal" allowBlank="1" showInputMessage="1" showErrorMessage="1" errorTitle="Invalid Entry" error="Data entered is greater/less than the number of items." sqref="J8:J57" xr:uid="{00000000-0002-0000-0100-000057000000}">
      <formula1>0</formula1>
      <formula2>$J$6</formula2>
    </dataValidation>
    <dataValidation type="decimal" allowBlank="1" showInputMessage="1" showErrorMessage="1" errorTitle="Invalid Entry" error="Data entered is greater/less than the number of items." sqref="T8:T57" xr:uid="{00000000-0002-0000-0100-000058000000}">
      <formula1>0</formula1>
      <formula2>$T$6</formula2>
    </dataValidation>
    <dataValidation type="decimal" allowBlank="1" showInputMessage="1" showErrorMessage="1" errorTitle="Invalid Entry" error="Data entered is greater/less than the number of items." sqref="U8:U57" xr:uid="{00000000-0002-0000-0100-000059000000}">
      <formula1>0</formula1>
      <formula2>$U$6</formula2>
    </dataValidation>
    <dataValidation type="decimal" allowBlank="1" showInputMessage="1" showErrorMessage="1" errorTitle="Invalid Entry" error="Data entered is greater/less than the number of items." sqref="V8:V57" xr:uid="{00000000-0002-0000-0100-00005A000000}">
      <formula1>0</formula1>
      <formula2>$V$6</formula2>
    </dataValidation>
    <dataValidation type="decimal" allowBlank="1" showInputMessage="1" showErrorMessage="1" errorTitle="Invalid Entry" error="Data entered is greater/less than the number of items." sqref="W8:W57" xr:uid="{00000000-0002-0000-0100-00005B000000}">
      <formula1>0</formula1>
      <formula2>$W$6</formula2>
    </dataValidation>
    <dataValidation type="decimal" allowBlank="1" showInputMessage="1" showErrorMessage="1" errorTitle="Invalid Entry" error="Data entered is greater/less than the number of items." sqref="AG8:AG57" xr:uid="{00000000-0002-0000-0100-00005C000000}">
      <formula1>0</formula1>
      <formula2>$AG$6</formula2>
    </dataValidation>
    <dataValidation type="decimal" allowBlank="1" showInputMessage="1" showErrorMessage="1" errorTitle="Invalid Entry" error="Data entered is greater/less than the number of items." sqref="AH8:AH57" xr:uid="{00000000-0002-0000-0100-00005D000000}">
      <formula1>0</formula1>
      <formula2>$AH$6</formula2>
    </dataValidation>
    <dataValidation type="decimal" allowBlank="1" showInputMessage="1" showErrorMessage="1" errorTitle="Invalid Entry" error="Data entered is greater/less than the number of items." sqref="AI8:AI57" xr:uid="{00000000-0002-0000-0100-00005E000000}">
      <formula1>0</formula1>
      <formula2>$AI$6</formula2>
    </dataValidation>
    <dataValidation type="decimal" allowBlank="1" showInputMessage="1" showErrorMessage="1" errorTitle="Invalid Entry" error="Data entered is greater/less than the number of items." sqref="AJ8:AJ57" xr:uid="{00000000-0002-0000-0100-00005F000000}">
      <formula1>0</formula1>
      <formula2>$AJ$6</formula2>
    </dataValidation>
    <dataValidation type="decimal" allowBlank="1" showInputMessage="1" showErrorMessage="1" errorTitle="Invalid Entry" error="Data entered is greater/less than the number of items." sqref="N8:N57" xr:uid="{5271C4CC-7A01-4D46-B7E8-5DC35AC7C63F}">
      <formula1>0</formula1>
      <formula2>$N$6</formula2>
    </dataValidation>
    <dataValidation type="decimal" allowBlank="1" showInputMessage="1" showErrorMessage="1" errorTitle="Invalid Entry" error="Data entered is greater/less than the number of items." sqref="O8:O57" xr:uid="{9914B579-3D53-4258-9DFA-4E6142C0EB3F}">
      <formula1>0</formula1>
      <formula2>$O$6</formula2>
    </dataValidation>
    <dataValidation type="decimal" allowBlank="1" showInputMessage="1" showErrorMessage="1" errorTitle="Invalid Entry" error="Data entered is greater/less than the number of items." sqref="AA8:AA57" xr:uid="{5EC0AC5A-206B-4880-8199-111769391F71}">
      <formula1>0</formula1>
      <formula2>$AA$6</formula2>
    </dataValidation>
    <dataValidation type="decimal" allowBlank="1" showInputMessage="1" showErrorMessage="1" errorTitle="Invalid Entry" error="Data entered is greater/less than the number of items." sqref="AN8:AN57" xr:uid="{924D3B46-662E-4A70-9C4D-A667C74E1AAE}">
      <formula1>0</formula1>
      <formula2>$AN$6</formula2>
    </dataValidation>
    <dataValidation type="decimal" allowBlank="1" showInputMessage="1" showErrorMessage="1" errorTitle="Invalid Entry" error="Data entered is greater/less than the number of items." sqref="BA8:BA57" xr:uid="{9964D405-C229-4ED1-B512-0167A1F5E668}">
      <formula1>0</formula1>
      <formula2>$BA$6</formula2>
    </dataValidation>
  </dataValidations>
  <pageMargins left="0.14000000000000001" right="0.1" top="0.21" bottom="0.26" header="0.21" footer="0.3"/>
  <pageSetup scale="24" fitToHeight="0" orientation="landscape" horizontalDpi="300" verticalDpi="300"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T71"/>
  <sheetViews>
    <sheetView showGridLines="0" zoomScaleNormal="100" workbookViewId="0">
      <pane xSplit="6" ySplit="6" topLeftCell="G7" activePane="bottomRight" state="frozen"/>
      <selection pane="topRight" activeCell="G1" sqref="G1"/>
      <selection pane="bottomLeft" activeCell="A7" sqref="A7"/>
      <selection pane="bottomRight"/>
    </sheetView>
  </sheetViews>
  <sheetFormatPr defaultColWidth="9.140625" defaultRowHeight="12.75" x14ac:dyDescent="0.2"/>
  <cols>
    <col min="1" max="1" width="1.7109375" style="102" customWidth="1"/>
    <col min="2" max="2" width="2.7109375" style="102" customWidth="1"/>
    <col min="3" max="3" width="3.7109375" style="103" customWidth="1"/>
    <col min="4" max="4" width="11.7109375" style="104" customWidth="1"/>
    <col min="5" max="5" width="2.7109375" style="104" hidden="1" customWidth="1"/>
    <col min="6" max="6" width="50.7109375" style="102" customWidth="1"/>
    <col min="7" max="9" width="3" style="172" customWidth="1"/>
    <col min="10" max="21" width="3" style="159" customWidth="1"/>
    <col min="22" max="22" width="3.7109375" style="159" customWidth="1"/>
    <col min="23" max="23" width="1.7109375" style="159" customWidth="1"/>
    <col min="24" max="24" width="4.28515625" style="103" customWidth="1"/>
    <col min="25" max="25" width="5.7109375" style="103" customWidth="1"/>
    <col min="26" max="26" width="1.7109375" style="103" customWidth="1"/>
    <col min="27" max="34" width="4" style="103" customWidth="1"/>
    <col min="35" max="35" width="7.140625" style="173" bestFit="1" customWidth="1"/>
    <col min="36" max="36" width="1.7109375" style="103" customWidth="1"/>
    <col min="37" max="37" width="4.7109375" style="174" customWidth="1"/>
    <col min="38" max="38" width="5.7109375" style="175" customWidth="1"/>
    <col min="39" max="39" width="6.7109375" style="176" customWidth="1"/>
    <col min="40" max="41" width="6.7109375" style="164" customWidth="1"/>
    <col min="42" max="42" width="1.7109375" style="102" customWidth="1"/>
    <col min="43" max="44" width="8.7109375" style="102" customWidth="1"/>
    <col min="45" max="45" width="2.7109375" style="102" customWidth="1"/>
    <col min="46" max="46" width="1.7109375" style="102" customWidth="1"/>
    <col min="47" max="16384" width="9.140625" style="102"/>
  </cols>
  <sheetData>
    <row r="1" spans="1:46" ht="9.9499999999999993" customHeight="1" x14ac:dyDescent="0.2">
      <c r="A1" s="101"/>
      <c r="B1" s="101"/>
      <c r="C1" s="106"/>
      <c r="D1" s="107"/>
      <c r="E1" s="440"/>
      <c r="F1" s="440"/>
      <c r="G1" s="440"/>
      <c r="H1" s="440"/>
      <c r="I1" s="440"/>
      <c r="J1" s="440"/>
      <c r="K1" s="440"/>
      <c r="L1" s="440"/>
      <c r="M1" s="440"/>
      <c r="N1" s="440"/>
      <c r="O1" s="440"/>
      <c r="P1" s="440"/>
      <c r="Q1" s="440"/>
      <c r="R1" s="440"/>
      <c r="S1" s="440"/>
      <c r="T1" s="440"/>
      <c r="U1" s="440"/>
      <c r="V1" s="440"/>
      <c r="W1" s="440"/>
      <c r="X1" s="440"/>
      <c r="Y1" s="440"/>
      <c r="Z1" s="440"/>
      <c r="AA1" s="440"/>
      <c r="AB1" s="440"/>
      <c r="AC1" s="440"/>
      <c r="AD1" s="440"/>
      <c r="AE1" s="440"/>
      <c r="AF1" s="440"/>
      <c r="AG1" s="440"/>
      <c r="AH1" s="440"/>
      <c r="AI1" s="440"/>
      <c r="AJ1" s="440"/>
      <c r="AK1" s="208"/>
      <c r="AL1" s="169"/>
      <c r="AM1" s="169"/>
      <c r="AN1" s="171"/>
      <c r="AO1" s="171"/>
      <c r="AP1" s="101"/>
      <c r="AQ1" s="101"/>
      <c r="AR1" s="101"/>
      <c r="AS1" s="101"/>
      <c r="AT1" s="101"/>
    </row>
    <row r="2" spans="1:46" ht="15" customHeight="1" thickBot="1" x14ac:dyDescent="0.25">
      <c r="A2" s="101"/>
      <c r="E2" s="441"/>
      <c r="F2" s="441"/>
      <c r="G2" s="441"/>
      <c r="H2" s="441"/>
      <c r="I2" s="441"/>
      <c r="J2" s="441"/>
      <c r="K2" s="441"/>
      <c r="L2" s="441"/>
      <c r="M2" s="441"/>
      <c r="N2" s="441"/>
      <c r="O2" s="441"/>
      <c r="P2" s="441"/>
      <c r="Q2" s="441"/>
      <c r="R2" s="441"/>
      <c r="S2" s="441"/>
      <c r="T2" s="441"/>
      <c r="U2" s="441"/>
      <c r="V2" s="441"/>
      <c r="W2" s="441"/>
      <c r="X2" s="441"/>
      <c r="Y2" s="441"/>
      <c r="Z2" s="441"/>
      <c r="AA2" s="441"/>
      <c r="AB2" s="441"/>
      <c r="AC2" s="441"/>
      <c r="AD2" s="441"/>
      <c r="AE2" s="441"/>
      <c r="AF2" s="441"/>
      <c r="AG2" s="441"/>
      <c r="AH2" s="441"/>
      <c r="AI2" s="441"/>
      <c r="AJ2" s="441"/>
      <c r="AK2" s="209"/>
      <c r="AM2" s="175"/>
      <c r="AT2" s="101"/>
    </row>
    <row r="3" spans="1:46" ht="30" customHeight="1" x14ac:dyDescent="0.2">
      <c r="A3" s="101"/>
      <c r="C3" s="446"/>
      <c r="D3" s="448" t="str">
        <f>Settings!E8&amp;" - "&amp;Settings!P5</f>
        <v>Mathematics in the Modern World - BSHM1A</v>
      </c>
      <c r="E3" s="448"/>
      <c r="F3" s="448"/>
      <c r="G3" s="453" t="s">
        <v>86</v>
      </c>
      <c r="H3" s="453"/>
      <c r="I3" s="453"/>
      <c r="J3" s="453"/>
      <c r="K3" s="453"/>
      <c r="L3" s="453" t="s">
        <v>87</v>
      </c>
      <c r="M3" s="453"/>
      <c r="N3" s="453"/>
      <c r="O3" s="453"/>
      <c r="P3" s="453"/>
      <c r="Q3" s="453" t="s">
        <v>88</v>
      </c>
      <c r="R3" s="453"/>
      <c r="S3" s="453"/>
      <c r="T3" s="453"/>
      <c r="U3" s="453"/>
      <c r="V3" s="20"/>
      <c r="W3" s="210"/>
      <c r="X3" s="451" t="s">
        <v>89</v>
      </c>
      <c r="Y3" s="452"/>
      <c r="Z3" s="179"/>
      <c r="AA3" s="451" t="s">
        <v>66</v>
      </c>
      <c r="AB3" s="480"/>
      <c r="AC3" s="480"/>
      <c r="AD3" s="480"/>
      <c r="AE3" s="480"/>
      <c r="AF3" s="480"/>
      <c r="AG3" s="480"/>
      <c r="AH3" s="480"/>
      <c r="AI3" s="452"/>
      <c r="AJ3" s="179"/>
      <c r="AK3" s="481" t="s">
        <v>80</v>
      </c>
      <c r="AL3" s="482"/>
      <c r="AM3" s="478" t="s">
        <v>90</v>
      </c>
      <c r="AN3" s="475" t="s">
        <v>91</v>
      </c>
      <c r="AO3" s="467" t="s">
        <v>92</v>
      </c>
      <c r="AP3" s="189"/>
      <c r="AQ3" s="465" t="s">
        <v>93</v>
      </c>
      <c r="AR3" s="466"/>
      <c r="AT3" s="101"/>
    </row>
    <row r="4" spans="1:46" ht="15" customHeight="1" x14ac:dyDescent="0.2">
      <c r="A4" s="101"/>
      <c r="C4" s="447"/>
      <c r="D4" s="450" t="str">
        <f>IF(Settings!P4="","",Settings!P4)</f>
        <v>GEDC1005</v>
      </c>
      <c r="E4" s="450"/>
      <c r="F4" s="450"/>
      <c r="G4" s="26">
        <v>22</v>
      </c>
      <c r="H4" s="26">
        <v>23</v>
      </c>
      <c r="I4" s="26">
        <v>30</v>
      </c>
      <c r="J4" s="26"/>
      <c r="K4" s="26"/>
      <c r="L4" s="26">
        <v>5</v>
      </c>
      <c r="M4" s="26">
        <v>6</v>
      </c>
      <c r="N4" s="26">
        <v>12</v>
      </c>
      <c r="O4" s="26">
        <v>13</v>
      </c>
      <c r="P4" s="26"/>
      <c r="Q4" s="26"/>
      <c r="R4" s="26"/>
      <c r="S4" s="26"/>
      <c r="T4" s="26"/>
      <c r="U4" s="26"/>
      <c r="V4" s="454" t="s">
        <v>94</v>
      </c>
      <c r="W4" s="179"/>
      <c r="X4" s="470" t="s">
        <v>89</v>
      </c>
      <c r="Y4" s="471"/>
      <c r="Z4" s="179"/>
      <c r="AA4" s="455" t="s">
        <v>68</v>
      </c>
      <c r="AB4" s="456"/>
      <c r="AC4" s="456" t="s">
        <v>70</v>
      </c>
      <c r="AD4" s="456"/>
      <c r="AE4" s="456" t="s">
        <v>72</v>
      </c>
      <c r="AF4" s="456"/>
      <c r="AG4" s="456" t="s">
        <v>74</v>
      </c>
      <c r="AH4" s="456"/>
      <c r="AI4" s="459">
        <f>Settings!G34</f>
        <v>0.2</v>
      </c>
      <c r="AJ4" s="179"/>
      <c r="AK4" s="464">
        <f>Settings!I39</f>
        <v>70</v>
      </c>
      <c r="AL4" s="477">
        <f>Settings!G39</f>
        <v>0.5</v>
      </c>
      <c r="AM4" s="479"/>
      <c r="AN4" s="476"/>
      <c r="AO4" s="468"/>
      <c r="AP4" s="189"/>
      <c r="AQ4" s="211" t="s">
        <v>90</v>
      </c>
      <c r="AR4" s="212" t="s">
        <v>95</v>
      </c>
      <c r="AT4" s="101"/>
    </row>
    <row r="5" spans="1:46" ht="15" customHeight="1" x14ac:dyDescent="0.2">
      <c r="A5" s="101"/>
      <c r="C5" s="447"/>
      <c r="D5" s="450"/>
      <c r="E5" s="450"/>
      <c r="F5" s="450"/>
      <c r="G5" s="449" t="s">
        <v>96</v>
      </c>
      <c r="H5" s="449" t="s">
        <v>97</v>
      </c>
      <c r="I5" s="449" t="s">
        <v>97</v>
      </c>
      <c r="J5" s="449"/>
      <c r="K5" s="449"/>
      <c r="L5" s="449" t="s">
        <v>96</v>
      </c>
      <c r="M5" s="449" t="s">
        <v>97</v>
      </c>
      <c r="N5" s="449" t="s">
        <v>96</v>
      </c>
      <c r="O5" s="449" t="s">
        <v>97</v>
      </c>
      <c r="P5" s="449"/>
      <c r="Q5" s="449"/>
      <c r="R5" s="449"/>
      <c r="S5" s="449"/>
      <c r="T5" s="449"/>
      <c r="U5" s="449"/>
      <c r="V5" s="454"/>
      <c r="W5" s="179"/>
      <c r="X5" s="472">
        <f>Input!K7</f>
        <v>250</v>
      </c>
      <c r="Y5" s="474">
        <f>Input!K4</f>
        <v>0.3</v>
      </c>
      <c r="Z5" s="179"/>
      <c r="AA5" s="464">
        <f>IF(Input!L6&lt;&gt;"",Input!L6,"")</f>
        <v>100</v>
      </c>
      <c r="AB5" s="463"/>
      <c r="AC5" s="463">
        <f>IF(Input!M6&lt;&gt;"",Input!M6,"")</f>
        <v>100</v>
      </c>
      <c r="AD5" s="463"/>
      <c r="AE5" s="463">
        <f>IF(Input!N6&lt;&gt;"",Input!N6,"")</f>
        <v>100</v>
      </c>
      <c r="AF5" s="463"/>
      <c r="AG5" s="463" t="str">
        <f>IF(Input!O6&lt;&gt;"",Input!O6,"")</f>
        <v/>
      </c>
      <c r="AH5" s="463"/>
      <c r="AI5" s="459"/>
      <c r="AJ5" s="179"/>
      <c r="AK5" s="464"/>
      <c r="AL5" s="477"/>
      <c r="AM5" s="479"/>
      <c r="AN5" s="476"/>
      <c r="AO5" s="468"/>
      <c r="AP5" s="189"/>
      <c r="AQ5" s="190">
        <v>1</v>
      </c>
      <c r="AR5" s="191">
        <f t="shared" ref="AR5:AR16" si="0">COUNTIF($AN$7:$AN$56,AQ5)</f>
        <v>0</v>
      </c>
      <c r="AT5" s="101"/>
    </row>
    <row r="6" spans="1:46" s="103" customFormat="1" ht="15" customHeight="1" x14ac:dyDescent="0.2">
      <c r="A6" s="106"/>
      <c r="C6" s="447"/>
      <c r="D6" s="213" t="s">
        <v>84</v>
      </c>
      <c r="E6" s="214"/>
      <c r="F6" s="215" t="s">
        <v>85</v>
      </c>
      <c r="G6" s="449"/>
      <c r="H6" s="449"/>
      <c r="I6" s="449"/>
      <c r="J6" s="449"/>
      <c r="K6" s="449"/>
      <c r="L6" s="449"/>
      <c r="M6" s="449"/>
      <c r="N6" s="449"/>
      <c r="O6" s="449"/>
      <c r="P6" s="449"/>
      <c r="Q6" s="449"/>
      <c r="R6" s="449"/>
      <c r="S6" s="449"/>
      <c r="T6" s="449"/>
      <c r="U6" s="449"/>
      <c r="V6" s="454"/>
      <c r="W6" s="179"/>
      <c r="X6" s="473"/>
      <c r="Y6" s="474"/>
      <c r="Z6" s="179"/>
      <c r="AA6" s="457" t="str">
        <f>IF(Input!L7&lt;&gt;"",Input!L7,"")</f>
        <v/>
      </c>
      <c r="AB6" s="458"/>
      <c r="AC6" s="458" t="str">
        <f>IF(Input!M7&lt;&gt;"",Input!M7,"")</f>
        <v/>
      </c>
      <c r="AD6" s="458"/>
      <c r="AE6" s="458" t="str">
        <f>IF(Input!N7&lt;&gt;"",Input!N7,"")</f>
        <v/>
      </c>
      <c r="AF6" s="458"/>
      <c r="AG6" s="458" t="str">
        <f>IF(Input!O7&lt;&gt;"",Input!O7,"")</f>
        <v/>
      </c>
      <c r="AH6" s="458"/>
      <c r="AI6" s="216" t="s">
        <v>27</v>
      </c>
      <c r="AJ6" s="179"/>
      <c r="AK6" s="217">
        <f>IF(Settings!H39&lt;&gt;"",Settings!H39,"")</f>
        <v>46279</v>
      </c>
      <c r="AL6" s="218" t="s">
        <v>27</v>
      </c>
      <c r="AM6" s="479"/>
      <c r="AN6" s="476"/>
      <c r="AO6" s="469"/>
      <c r="AP6" s="219"/>
      <c r="AQ6" s="190">
        <v>1.25</v>
      </c>
      <c r="AR6" s="191">
        <f t="shared" si="0"/>
        <v>0</v>
      </c>
      <c r="AT6" s="106"/>
    </row>
    <row r="7" spans="1:46" ht="15" customHeight="1" x14ac:dyDescent="0.2">
      <c r="A7" s="101"/>
      <c r="C7" s="206">
        <v>1</v>
      </c>
      <c r="D7" s="215" t="str">
        <f>IF(Input!D8&lt;&gt;"",IF(F7&lt;&gt;"",Input!D8,""),"")</f>
        <v>02000500651</v>
      </c>
      <c r="E7" s="321"/>
      <c r="F7" s="322" t="str">
        <f>(IF(Input!F8&lt;&gt;"",Input!F8,""))</f>
        <v>ADAO,ANGELICA MAE BAAL</v>
      </c>
      <c r="G7" s="18"/>
      <c r="H7" s="18"/>
      <c r="I7" s="18">
        <v>1.5</v>
      </c>
      <c r="J7" s="18"/>
      <c r="K7" s="18"/>
      <c r="L7" s="18">
        <v>1.5</v>
      </c>
      <c r="M7" s="18"/>
      <c r="N7" s="18"/>
      <c r="O7" s="18">
        <v>1.5</v>
      </c>
      <c r="P7" s="18"/>
      <c r="Q7" s="18"/>
      <c r="R7" s="18"/>
      <c r="S7" s="18"/>
      <c r="T7" s="18"/>
      <c r="U7" s="18"/>
      <c r="V7" s="21"/>
      <c r="W7" s="177"/>
      <c r="X7" s="178">
        <f>Input!K8</f>
        <v>248</v>
      </c>
      <c r="Y7" s="329">
        <f t="shared" ref="Y7:Y56" si="1">IF(F7="", "", IF(X7="Error", "Error", IF($X$5=0, 0, IFERROR(((IF(X7="","",X7)/$X$5)*100)*$Y$5,0))))</f>
        <v>29.759999999999998</v>
      </c>
      <c r="Z7" s="179"/>
      <c r="AA7" s="180">
        <f>IF(F7&lt;&gt;"",IF(Input!L8&lt;&gt;"",Input!L8,""),"")</f>
        <v>100</v>
      </c>
      <c r="AB7" s="181">
        <f>IFERROR(IF($AA$5="","",IF(F7&lt;&gt;"",(Input!L8/Input!$L$6)*100,"")),"NA")</f>
        <v>100</v>
      </c>
      <c r="AC7" s="182">
        <f>IF(F7&lt;&gt;"",IF(Input!M8&lt;&gt;"",Input!M8,""),"")</f>
        <v>100</v>
      </c>
      <c r="AD7" s="181">
        <f>IFERROR(IF($AC$5="","",IF(F7&lt;&gt;"",(Input!M8/Input!$M$6)*100,"")),"NA")</f>
        <v>100</v>
      </c>
      <c r="AE7" s="183">
        <f>IF(F7&lt;&gt;"",IF(Input!N8&lt;&gt;"",Input!N8,""),"")</f>
        <v>100</v>
      </c>
      <c r="AF7" s="181">
        <f>IFERROR(IF($AE$5="","",IF(F7&lt;&gt;"",(Input!N8/Input!$N$6)*100,"")),"NA")</f>
        <v>100</v>
      </c>
      <c r="AG7" s="183" t="str">
        <f>IF(F7&lt;&gt;"",IF(Input!O8&lt;&gt;"",Input!O8,""),"")</f>
        <v/>
      </c>
      <c r="AH7" s="181" t="str">
        <f>IFERROR(IF($AG$5="","",IF(F7&lt;&gt;"",(Input!O8/Input!$O$6)*100,"")),"NA")</f>
        <v/>
      </c>
      <c r="AI7" s="327">
        <f>IF(Input!P8="Error","Error",IF(F7="","",IF($AA$5="",0,IF(F7&lt;&gt;"",IFERROR(AVERAGE(AB7,AD7,AF7,AH7)*$AI$4,0),""))))</f>
        <v>20</v>
      </c>
      <c r="AJ7" s="179"/>
      <c r="AK7" s="184">
        <f>IF(Input!Q8="","",IF(F7&lt;&gt;"",Input!Q8,""))</f>
        <v>30</v>
      </c>
      <c r="AL7" s="185">
        <f>IF(F7="", "",IF(Input!R8="Error", "Error",IF(ISNUMBER(Input!R8), Input!R8*$AL$4, "")))</f>
        <v>21.428571428571427</v>
      </c>
      <c r="AM7" s="186">
        <f>IF(V7="D","Drp",
IF(F7&lt;&gt;"",
IF(OR(Y7="Error",AI7="Error",AL7="Error"),"Error",
IF(Input!Q8="","-",ROUND(Y7+AI7+AL7,2))),""))</f>
        <v>71.19</v>
      </c>
      <c r="AN7" s="187">
        <f>IF(F7&lt;&gt;"",VLOOKUP(AM7,TRANSMUTATION!$A$2:$B$14,2),"")</f>
        <v>2.5</v>
      </c>
      <c r="AO7" s="188">
        <f>IF(AN7="Inc","",IF(F7&lt;&gt;"",IF(OR(AN7="Drp",AN7="-"),"",RANK(AM7,$AM$7:$AM$56)),""))</f>
        <v>16</v>
      </c>
      <c r="AP7" s="189"/>
      <c r="AQ7" s="190">
        <v>1.5</v>
      </c>
      <c r="AR7" s="191">
        <f t="shared" si="0"/>
        <v>5</v>
      </c>
      <c r="AT7" s="101"/>
    </row>
    <row r="8" spans="1:46" ht="15" customHeight="1" x14ac:dyDescent="0.2">
      <c r="A8" s="101"/>
      <c r="C8" s="206">
        <v>2</v>
      </c>
      <c r="D8" s="215" t="str">
        <f>IF(Input!D9&lt;&gt;"",IF(F8&lt;&gt;"",Input!D9,""),"")</f>
        <v>02000508012</v>
      </c>
      <c r="E8" s="321"/>
      <c r="F8" s="322" t="str">
        <f>(IF(Input!F9&lt;&gt;"",Input!F9,""))</f>
        <v>AMELANO,EUNICE MAE LUMBRE</v>
      </c>
      <c r="G8" s="18"/>
      <c r="H8" s="18"/>
      <c r="I8" s="18"/>
      <c r="J8" s="18"/>
      <c r="K8" s="18"/>
      <c r="L8" s="18"/>
      <c r="M8" s="18"/>
      <c r="N8" s="18"/>
      <c r="O8" s="18"/>
      <c r="P8" s="18"/>
      <c r="Q8" s="18"/>
      <c r="R8" s="18"/>
      <c r="S8" s="18"/>
      <c r="T8" s="18"/>
      <c r="U8" s="18"/>
      <c r="V8" s="21"/>
      <c r="W8" s="177"/>
      <c r="X8" s="178">
        <f>Input!K9</f>
        <v>243</v>
      </c>
      <c r="Y8" s="329">
        <f t="shared" si="1"/>
        <v>29.16</v>
      </c>
      <c r="Z8" s="179"/>
      <c r="AA8" s="180">
        <f>IF(F8&lt;&gt;"",IF(Input!L9&lt;&gt;"",Input!L9,""),"")</f>
        <v>98</v>
      </c>
      <c r="AB8" s="181">
        <f>IFERROR(IF($AA$5="","",IF(F8&lt;&gt;"",(Input!L9/Input!$L$6)*100,"")),"NA")</f>
        <v>98</v>
      </c>
      <c r="AC8" s="182">
        <f>IF(F8&lt;&gt;"",IF(Input!M9&lt;&gt;"",Input!M9,""),"")</f>
        <v>98</v>
      </c>
      <c r="AD8" s="181">
        <f>IFERROR(IF($AC$5="","",IF(F8&lt;&gt;"",(Input!M9/Input!$M$6)*100,"")),"NA")</f>
        <v>98</v>
      </c>
      <c r="AE8" s="183">
        <f>IF(F8&lt;&gt;"",IF(Input!N9&lt;&gt;"",Input!N9,""),"")</f>
        <v>98</v>
      </c>
      <c r="AF8" s="181">
        <f>IFERROR(IF($AE$5="","",IF(F8&lt;&gt;"",(Input!N9/Input!$N$6)*100,"")),"NA")</f>
        <v>98</v>
      </c>
      <c r="AG8" s="183" t="str">
        <f>IF(F8&lt;&gt;"",IF(Input!O9&lt;&gt;"",Input!O9,""),"")</f>
        <v/>
      </c>
      <c r="AH8" s="181" t="str">
        <f>IFERROR(IF($AG$5="","",IF(F8&lt;&gt;"",(Input!O9/Input!$O$6)*100,"")),"NA")</f>
        <v/>
      </c>
      <c r="AI8" s="327">
        <f>IF(Input!P9="Error","Error",IF(F8="","",IF($AA$5="",0,IF(F8&lt;&gt;"",IFERROR(AVERAGE(AB8,AD8,AF8,AH8)*$AI$4,0),""))))</f>
        <v>19.600000000000001</v>
      </c>
      <c r="AJ8" s="179"/>
      <c r="AK8" s="184">
        <f>IF(Input!Q9="","",IF(F8&lt;&gt;"",Input!Q9,""))</f>
        <v>58</v>
      </c>
      <c r="AL8" s="185">
        <f>IF(F8="", "",IF(Input!R9="Error", "Error",IF(ISNUMBER(Input!R9), Input!R9*$AL$4, "")))</f>
        <v>41.428571428571431</v>
      </c>
      <c r="AM8" s="186">
        <f>IF(V8="D","Drp",
IF(F8&lt;&gt;"",
IF(OR(Y8="Error",AI8="Error",AL8="Error"),"Error",
IF(Input!Q9="","-",ROUND(Y8+AI8+AL8,2))),""))</f>
        <v>90.19</v>
      </c>
      <c r="AN8" s="187">
        <f>IF(F8&lt;&gt;"",VLOOKUP(AM8,TRANSMUTATION!$A$2:$B$14,2),"")</f>
        <v>1.75</v>
      </c>
      <c r="AO8" s="188">
        <f t="shared" ref="AO8:AO56" si="2">IF(AN8="Inc","",IF(F8&lt;&gt;"",IF(OR(AN8="Drp",AN8="-"),"",RANK(AM8,$AM$7:$AM$56)),""))</f>
        <v>8</v>
      </c>
      <c r="AP8" s="189"/>
      <c r="AQ8" s="190">
        <v>1.75</v>
      </c>
      <c r="AR8" s="191">
        <f t="shared" si="0"/>
        <v>6</v>
      </c>
      <c r="AT8" s="101"/>
    </row>
    <row r="9" spans="1:46" ht="15" customHeight="1" x14ac:dyDescent="0.2">
      <c r="A9" s="101"/>
      <c r="C9" s="206">
        <v>3</v>
      </c>
      <c r="D9" s="215" t="str">
        <f>IF(Input!D10&lt;&gt;"",IF(F9&lt;&gt;"",Input!D10,""),"")</f>
        <v>02000510545</v>
      </c>
      <c r="E9" s="321"/>
      <c r="F9" s="322" t="str">
        <f>(IF(Input!F10&lt;&gt;"",Input!F10,""))</f>
        <v>ANDAYA,RICO BRON</v>
      </c>
      <c r="G9" s="18"/>
      <c r="H9" s="18"/>
      <c r="I9" s="18"/>
      <c r="J9" s="18"/>
      <c r="K9" s="18"/>
      <c r="L9" s="18"/>
      <c r="M9" s="18"/>
      <c r="N9" s="18"/>
      <c r="O9" s="18"/>
      <c r="P9" s="18"/>
      <c r="Q9" s="18"/>
      <c r="R9" s="18"/>
      <c r="S9" s="18"/>
      <c r="T9" s="18"/>
      <c r="U9" s="18"/>
      <c r="V9" s="21"/>
      <c r="W9" s="177"/>
      <c r="X9" s="178">
        <f>Input!K10</f>
        <v>248</v>
      </c>
      <c r="Y9" s="329">
        <f t="shared" si="1"/>
        <v>29.759999999999998</v>
      </c>
      <c r="Z9" s="179"/>
      <c r="AA9" s="180">
        <f>IF(F9&lt;&gt;"",IF(Input!L10&lt;&gt;"",Input!L10,""),"")</f>
        <v>100</v>
      </c>
      <c r="AB9" s="181">
        <f>IFERROR(IF($AA$5="","",IF(F9&lt;&gt;"",(Input!L10/Input!$L$6)*100,"")),"NA")</f>
        <v>100</v>
      </c>
      <c r="AC9" s="182">
        <f>IF(F9&lt;&gt;"",IF(Input!M10&lt;&gt;"",Input!M10,""),"")</f>
        <v>100</v>
      </c>
      <c r="AD9" s="181">
        <f>IFERROR(IF($AC$5="","",IF(F9&lt;&gt;"",(Input!M10/Input!$M$6)*100,"")),"NA")</f>
        <v>100</v>
      </c>
      <c r="AE9" s="183">
        <f>IF(F9&lt;&gt;"",IF(Input!N10&lt;&gt;"",Input!N10,""),"")</f>
        <v>100</v>
      </c>
      <c r="AF9" s="181">
        <f>IFERROR(IF($AE$5="","",IF(F9&lt;&gt;"",(Input!N10/Input!$N$6)*100,"")),"NA")</f>
        <v>100</v>
      </c>
      <c r="AG9" s="183" t="str">
        <f>IF(F9&lt;&gt;"",IF(Input!O10&lt;&gt;"",Input!O10,""),"")</f>
        <v/>
      </c>
      <c r="AH9" s="181" t="str">
        <f>IFERROR(IF($AG$5="","",IF(F9&lt;&gt;"",(Input!O10/Input!$O$6)*100,"")),"NA")</f>
        <v/>
      </c>
      <c r="AI9" s="327">
        <f>IF(Input!P10="Error","Error",IF(F9="","",IF($AA$5="",0,IF(F9&lt;&gt;"",IFERROR(AVERAGE(AB9,AD9,AF9,AH9)*$AI$4,0),""))))</f>
        <v>20</v>
      </c>
      <c r="AJ9" s="179"/>
      <c r="AK9" s="184">
        <f>IF(Input!Q10="","",IF(F9&lt;&gt;"",Input!Q10,""))</f>
        <v>46</v>
      </c>
      <c r="AL9" s="185">
        <f>IF(F9="", "",IF(Input!R10="Error", "Error",IF(ISNUMBER(Input!R10), Input!R10*$AL$4, "")))</f>
        <v>32.857142857142854</v>
      </c>
      <c r="AM9" s="186">
        <f>IF(V9="D","Drp",
IF(F9&lt;&gt;"",
IF(OR(Y9="Error",AI9="Error",AL9="Error"),"Error",
IF(Input!Q10="","-",ROUND(Y9+AI9+AL9,2))),""))</f>
        <v>82.62</v>
      </c>
      <c r="AN9" s="187">
        <f>IF(F9&lt;&gt;"",VLOOKUP(AM9,TRANSMUTATION!$A$2:$B$14,2),"")</f>
        <v>2</v>
      </c>
      <c r="AO9" s="188">
        <f t="shared" si="2"/>
        <v>14</v>
      </c>
      <c r="AP9" s="189"/>
      <c r="AQ9" s="190">
        <v>2</v>
      </c>
      <c r="AR9" s="191">
        <f t="shared" si="0"/>
        <v>3</v>
      </c>
      <c r="AT9" s="101"/>
    </row>
    <row r="10" spans="1:46" ht="15" customHeight="1" x14ac:dyDescent="0.2">
      <c r="A10" s="101"/>
      <c r="C10" s="206">
        <v>4</v>
      </c>
      <c r="D10" s="215" t="str">
        <f>IF(Input!D11&lt;&gt;"",IF(F10&lt;&gt;"",Input!D11,""),"")</f>
        <v>02000500688</v>
      </c>
      <c r="E10" s="321"/>
      <c r="F10" s="322" t="str">
        <f>(IF(Input!F11&lt;&gt;"",Input!F11,""))</f>
        <v>AREJOLA,JESSICA SELPO</v>
      </c>
      <c r="G10" s="18"/>
      <c r="H10" s="18"/>
      <c r="I10" s="18"/>
      <c r="J10" s="18"/>
      <c r="K10" s="18"/>
      <c r="L10" s="18"/>
      <c r="M10" s="18"/>
      <c r="N10" s="18"/>
      <c r="O10" s="18"/>
      <c r="P10" s="18"/>
      <c r="Q10" s="18"/>
      <c r="R10" s="18"/>
      <c r="S10" s="18"/>
      <c r="T10" s="18"/>
      <c r="U10" s="18"/>
      <c r="V10" s="21"/>
      <c r="W10" s="177"/>
      <c r="X10" s="178">
        <f>Input!K11</f>
        <v>248</v>
      </c>
      <c r="Y10" s="329">
        <f t="shared" si="1"/>
        <v>29.759999999999998</v>
      </c>
      <c r="Z10" s="179"/>
      <c r="AA10" s="180">
        <f>IF(F10&lt;&gt;"",IF(Input!L11&lt;&gt;"",Input!L11,""),"")</f>
        <v>100</v>
      </c>
      <c r="AB10" s="181">
        <f>IFERROR(IF($AA$5="","",IF(F10&lt;&gt;"",(Input!L11/Input!$L$6)*100,"")),"NA")</f>
        <v>100</v>
      </c>
      <c r="AC10" s="182">
        <f>IF(F10&lt;&gt;"",IF(Input!M11&lt;&gt;"",Input!M11,""),"")</f>
        <v>100</v>
      </c>
      <c r="AD10" s="181">
        <f>IFERROR(IF($AC$5="","",IF(F10&lt;&gt;"",(Input!M11/Input!$M$6)*100,"")),"NA")</f>
        <v>100</v>
      </c>
      <c r="AE10" s="183">
        <f>IF(F10&lt;&gt;"",IF(Input!N11&lt;&gt;"",Input!N11,""),"")</f>
        <v>100</v>
      </c>
      <c r="AF10" s="181">
        <f>IFERROR(IF($AE$5="","",IF(F10&lt;&gt;"",(Input!N11/Input!$N$6)*100,"")),"NA")</f>
        <v>100</v>
      </c>
      <c r="AG10" s="183" t="str">
        <f>IF(F10&lt;&gt;"",IF(Input!O11&lt;&gt;"",Input!O11,""),"")</f>
        <v/>
      </c>
      <c r="AH10" s="181" t="str">
        <f>IFERROR(IF($AG$5="","",IF(F10&lt;&gt;"",(Input!O11/Input!$O$6)*100,"")),"NA")</f>
        <v/>
      </c>
      <c r="AI10" s="327">
        <f>IF(Input!P11="Error","Error",IF(F10="","",IF($AA$5="",0,IF(F10&lt;&gt;"",IFERROR(AVERAGE(AB10,AD10,AF10,AH10)*$AI$4,0),""))))</f>
        <v>20</v>
      </c>
      <c r="AJ10" s="179"/>
      <c r="AK10" s="184">
        <f>IF(Input!Q11="","",IF(F10&lt;&gt;"",Input!Q11,""))</f>
        <v>24</v>
      </c>
      <c r="AL10" s="185">
        <f>IF(F10="", "",IF(Input!R11="Error", "Error",IF(ISNUMBER(Input!R11), Input!R11*$AL$4, "")))</f>
        <v>17.142857142857142</v>
      </c>
      <c r="AM10" s="186">
        <f>IF(V10="D","Drp",
IF(F10&lt;&gt;"",
IF(OR(Y10="Error",AI10="Error",AL10="Error"),"Error",
IF(Input!Q11="","-",ROUND(Y10+AI10+AL10,2))),""))</f>
        <v>66.900000000000006</v>
      </c>
      <c r="AN10" s="187">
        <f>IF(F10&lt;&gt;"",VLOOKUP(AM10,TRANSMUTATION!$A$2:$B$14,2),"")</f>
        <v>2.75</v>
      </c>
      <c r="AO10" s="188">
        <f t="shared" si="2"/>
        <v>17</v>
      </c>
      <c r="AP10" s="189"/>
      <c r="AQ10" s="190">
        <v>2.25</v>
      </c>
      <c r="AR10" s="191">
        <f t="shared" si="0"/>
        <v>1</v>
      </c>
      <c r="AT10" s="101"/>
    </row>
    <row r="11" spans="1:46" ht="15" customHeight="1" x14ac:dyDescent="0.2">
      <c r="A11" s="101"/>
      <c r="C11" s="206">
        <v>5</v>
      </c>
      <c r="D11" s="215" t="str">
        <f>IF(Input!D12&lt;&gt;"",IF(F11&lt;&gt;"",Input!D12,""),"")</f>
        <v>02000491309</v>
      </c>
      <c r="E11" s="321"/>
      <c r="F11" s="322" t="str">
        <f>(IF(Input!F12&lt;&gt;"",Input!F12,""))</f>
        <v>BAGAMASBAD,KYLA ANGELICA</v>
      </c>
      <c r="G11" s="18"/>
      <c r="H11" s="18"/>
      <c r="I11" s="18"/>
      <c r="J11" s="18"/>
      <c r="K11" s="18"/>
      <c r="L11" s="18"/>
      <c r="M11" s="18"/>
      <c r="N11" s="18"/>
      <c r="O11" s="18"/>
      <c r="P11" s="18"/>
      <c r="Q11" s="18"/>
      <c r="R11" s="18"/>
      <c r="S11" s="18"/>
      <c r="T11" s="18"/>
      <c r="U11" s="18"/>
      <c r="V11" s="21"/>
      <c r="W11" s="177"/>
      <c r="X11" s="178">
        <f>Input!K12</f>
        <v>248</v>
      </c>
      <c r="Y11" s="329">
        <f t="shared" si="1"/>
        <v>29.759999999999998</v>
      </c>
      <c r="Z11" s="179"/>
      <c r="AA11" s="180">
        <f>IF(F11&lt;&gt;"",IF(Input!L12&lt;&gt;"",Input!L12,""),"")</f>
        <v>100</v>
      </c>
      <c r="AB11" s="181">
        <f>IFERROR(IF($AA$5="","",IF(F11&lt;&gt;"",(Input!L12/Input!$L$6)*100,"")),"NA")</f>
        <v>100</v>
      </c>
      <c r="AC11" s="182">
        <f>IF(F11&lt;&gt;"",IF(Input!M12&lt;&gt;"",Input!M12,""),"")</f>
        <v>100</v>
      </c>
      <c r="AD11" s="181">
        <f>IFERROR(IF($AC$5="","",IF(F11&lt;&gt;"",(Input!M12/Input!$M$6)*100,"")),"NA")</f>
        <v>100</v>
      </c>
      <c r="AE11" s="183">
        <f>IF(F11&lt;&gt;"",IF(Input!N12&lt;&gt;"",Input!N12,""),"")</f>
        <v>100</v>
      </c>
      <c r="AF11" s="181">
        <f>IFERROR(IF($AE$5="","",IF(F11&lt;&gt;"",(Input!N12/Input!$N$6)*100,"")),"NA")</f>
        <v>100</v>
      </c>
      <c r="AG11" s="183" t="str">
        <f>IF(F11&lt;&gt;"",IF(Input!O12&lt;&gt;"",Input!O12,""),"")</f>
        <v/>
      </c>
      <c r="AH11" s="181" t="str">
        <f>IFERROR(IF($AG$5="","",IF(F11&lt;&gt;"",(Input!O12/Input!$O$6)*100,"")),"NA")</f>
        <v/>
      </c>
      <c r="AI11" s="327">
        <f>IF(Input!P12="Error","Error",IF(F11="","",IF($AA$5="",0,IF(F11&lt;&gt;"",IFERROR(AVERAGE(AB11,AD11,AF11,AH11)*$AI$4,0),""))))</f>
        <v>20</v>
      </c>
      <c r="AJ11" s="179"/>
      <c r="AK11" s="184">
        <f>IF(Input!Q12="","",IF(F11&lt;&gt;"",Input!Q12,""))</f>
        <v>54</v>
      </c>
      <c r="AL11" s="185">
        <f>IF(F11="", "",IF(Input!R12="Error", "Error",IF(ISNUMBER(Input!R12), Input!R12*$AL$4, "")))</f>
        <v>38.571428571428577</v>
      </c>
      <c r="AM11" s="186">
        <f>IF(V11="D","Drp",
IF(F11&lt;&gt;"",
IF(OR(Y11="Error",AI11="Error",AL11="Error"),"Error",
IF(Input!Q12="","-",ROUND(Y11+AI11+AL11,2))),""))</f>
        <v>88.33</v>
      </c>
      <c r="AN11" s="187">
        <f>IF(F11&lt;&gt;"",VLOOKUP(AM11,TRANSMUTATION!$A$2:$B$14,2),"")</f>
        <v>1.75</v>
      </c>
      <c r="AO11" s="188">
        <f t="shared" si="2"/>
        <v>10</v>
      </c>
      <c r="AP11" s="189"/>
      <c r="AQ11" s="190">
        <v>2.5</v>
      </c>
      <c r="AR11" s="191">
        <f t="shared" si="0"/>
        <v>1</v>
      </c>
      <c r="AT11" s="101"/>
    </row>
    <row r="12" spans="1:46" ht="15" customHeight="1" x14ac:dyDescent="0.2">
      <c r="A12" s="101"/>
      <c r="C12" s="206">
        <v>6</v>
      </c>
      <c r="D12" s="215" t="str">
        <f>IF(Input!D13&lt;&gt;"",IF(F12&lt;&gt;"",Input!D13,""),"")</f>
        <v>02000496750</v>
      </c>
      <c r="E12" s="321"/>
      <c r="F12" s="322" t="str">
        <f>(IF(Input!F13&lt;&gt;"",Input!F13,""))</f>
        <v>BALTE,LYZA MAE LOMA</v>
      </c>
      <c r="G12" s="18"/>
      <c r="H12" s="18"/>
      <c r="I12" s="18"/>
      <c r="J12" s="18"/>
      <c r="K12" s="18"/>
      <c r="L12" s="18"/>
      <c r="M12" s="18"/>
      <c r="N12" s="18"/>
      <c r="O12" s="18"/>
      <c r="P12" s="18"/>
      <c r="Q12" s="18"/>
      <c r="R12" s="18"/>
      <c r="S12" s="18"/>
      <c r="T12" s="18"/>
      <c r="U12" s="18"/>
      <c r="V12" s="21"/>
      <c r="W12" s="177"/>
      <c r="X12" s="178">
        <f>Input!K13</f>
        <v>227</v>
      </c>
      <c r="Y12" s="329">
        <f t="shared" si="1"/>
        <v>27.24</v>
      </c>
      <c r="Z12" s="179"/>
      <c r="AA12" s="180">
        <f>IF(F12&lt;&gt;"",IF(Input!L13&lt;&gt;"",Input!L13,""),"")</f>
        <v>98</v>
      </c>
      <c r="AB12" s="181">
        <f>IFERROR(IF($AA$5="","",IF(F12&lt;&gt;"",(Input!L13/Input!$L$6)*100,"")),"NA")</f>
        <v>98</v>
      </c>
      <c r="AC12" s="182">
        <f>IF(F12&lt;&gt;"",IF(Input!M13&lt;&gt;"",Input!M13,""),"")</f>
        <v>98</v>
      </c>
      <c r="AD12" s="181">
        <f>IFERROR(IF($AC$5="","",IF(F12&lt;&gt;"",(Input!M13/Input!$M$6)*100,"")),"NA")</f>
        <v>98</v>
      </c>
      <c r="AE12" s="183">
        <f>IF(F12&lt;&gt;"",IF(Input!N13&lt;&gt;"",Input!N13,""),"")</f>
        <v>98</v>
      </c>
      <c r="AF12" s="181">
        <f>IFERROR(IF($AE$5="","",IF(F12&lt;&gt;"",(Input!N13/Input!$N$6)*100,"")),"NA")</f>
        <v>98</v>
      </c>
      <c r="AG12" s="183" t="str">
        <f>IF(F12&lt;&gt;"",IF(Input!O13&lt;&gt;"",Input!O13,""),"")</f>
        <v/>
      </c>
      <c r="AH12" s="181" t="str">
        <f>IFERROR(IF($AG$5="","",IF(F12&lt;&gt;"",(Input!O13/Input!$O$6)*100,"")),"NA")</f>
        <v/>
      </c>
      <c r="AI12" s="327">
        <f>IF(Input!P13="Error","Error",IF(F12="","",IF($AA$5="",0,IF(F12&lt;&gt;"",IFERROR(AVERAGE(AB12,AD12,AF12,AH12)*$AI$4,0),""))))</f>
        <v>19.600000000000001</v>
      </c>
      <c r="AJ12" s="179"/>
      <c r="AK12" s="184">
        <f>IF(Input!Q13="","",IF(F12&lt;&gt;"",Input!Q13,""))</f>
        <v>64</v>
      </c>
      <c r="AL12" s="185">
        <f>IF(F12="", "",IF(Input!R13="Error", "Error",IF(ISNUMBER(Input!R13), Input!R13*$AL$4, "")))</f>
        <v>45.714285714285715</v>
      </c>
      <c r="AM12" s="186">
        <f>IF(V12="D","Drp",
IF(F12&lt;&gt;"",
IF(OR(Y12="Error",AI12="Error",AL12="Error"),"Error",
IF(Input!Q13="","-",ROUND(Y12+AI12+AL12,2))),""))</f>
        <v>92.55</v>
      </c>
      <c r="AN12" s="187">
        <f>IF(F12&lt;&gt;"",VLOOKUP(AM12,TRANSMUTATION!$A$2:$B$14,2),"")</f>
        <v>1.5</v>
      </c>
      <c r="AO12" s="188">
        <f>IF(AN12="Inc","",IF(F12&lt;&gt;"",IF(OR(AN12="Drp",AN12="-"),"",RANK(AM12,$AM$7:$AM$56)),""))</f>
        <v>5</v>
      </c>
      <c r="AP12" s="189"/>
      <c r="AQ12" s="190">
        <v>2.75</v>
      </c>
      <c r="AR12" s="191">
        <f t="shared" si="0"/>
        <v>2</v>
      </c>
      <c r="AT12" s="101"/>
    </row>
    <row r="13" spans="1:46" ht="15" customHeight="1" x14ac:dyDescent="0.2">
      <c r="A13" s="101"/>
      <c r="C13" s="206">
        <v>7</v>
      </c>
      <c r="D13" s="215" t="str">
        <f>IF(Input!D14&lt;&gt;"",IF(F13&lt;&gt;"",Input!D14,""),"")</f>
        <v>02000486779</v>
      </c>
      <c r="E13" s="321"/>
      <c r="F13" s="322" t="str">
        <f>(IF(Input!F14&lt;&gt;"",Input!F14,""))</f>
        <v>BUENAAGUA,AIRA ALANA AMPARADO</v>
      </c>
      <c r="G13" s="18"/>
      <c r="H13" s="18"/>
      <c r="I13" s="18"/>
      <c r="J13" s="18"/>
      <c r="K13" s="18"/>
      <c r="L13" s="18"/>
      <c r="M13" s="18"/>
      <c r="N13" s="18"/>
      <c r="O13" s="18"/>
      <c r="P13" s="18"/>
      <c r="Q13" s="18"/>
      <c r="R13" s="18"/>
      <c r="S13" s="18"/>
      <c r="T13" s="18"/>
      <c r="U13" s="18"/>
      <c r="V13" s="21"/>
      <c r="W13" s="177"/>
      <c r="X13" s="178">
        <f>Input!K14</f>
        <v>248</v>
      </c>
      <c r="Y13" s="329">
        <f t="shared" si="1"/>
        <v>29.759999999999998</v>
      </c>
      <c r="Z13" s="179"/>
      <c r="AA13" s="180">
        <f>IF(F13&lt;&gt;"",IF(Input!L14&lt;&gt;"",Input!L14,""),"")</f>
        <v>100</v>
      </c>
      <c r="AB13" s="181">
        <f>IFERROR(IF($AA$5="","",IF(F13&lt;&gt;"",(Input!L14/Input!$L$6)*100,"")),"NA")</f>
        <v>100</v>
      </c>
      <c r="AC13" s="182">
        <f>IF(F13&lt;&gt;"",IF(Input!M14&lt;&gt;"",Input!M14,""),"")</f>
        <v>100</v>
      </c>
      <c r="AD13" s="181">
        <f>IFERROR(IF($AC$5="","",IF(F13&lt;&gt;"",(Input!M14/Input!$M$6)*100,"")),"NA")</f>
        <v>100</v>
      </c>
      <c r="AE13" s="183">
        <f>IF(F13&lt;&gt;"",IF(Input!N14&lt;&gt;"",Input!N14,""),"")</f>
        <v>100</v>
      </c>
      <c r="AF13" s="181">
        <f>IFERROR(IF($AE$5="","",IF(F13&lt;&gt;"",(Input!N14/Input!$N$6)*100,"")),"NA")</f>
        <v>100</v>
      </c>
      <c r="AG13" s="183" t="str">
        <f>IF(F13&lt;&gt;"",IF(Input!O14&lt;&gt;"",Input!O14,""),"")</f>
        <v/>
      </c>
      <c r="AH13" s="181" t="str">
        <f>IFERROR(IF($AG$5="","",IF(F13&lt;&gt;"",(Input!O14/Input!$O$6)*100,"")),"NA")</f>
        <v/>
      </c>
      <c r="AI13" s="327">
        <f>IF(Input!P14="Error","Error",IF(F13="","",IF($AA$5="",0,IF(F13&lt;&gt;"",IFERROR(AVERAGE(AB13,AD13,AF13,AH13)*$AI$4,0),""))))</f>
        <v>20</v>
      </c>
      <c r="AJ13" s="179"/>
      <c r="AK13" s="184">
        <f>IF(Input!Q14="","",IF(F13&lt;&gt;"",Input!Q14,""))</f>
        <v>48</v>
      </c>
      <c r="AL13" s="185">
        <f>IF(F13="", "",IF(Input!R14="Error", "Error",IF(ISNUMBER(Input!R14), Input!R14*$AL$4, "")))</f>
        <v>34.285714285714285</v>
      </c>
      <c r="AM13" s="186">
        <f>IF(V13="D","Drp",
IF(F13&lt;&gt;"",
IF(OR(Y13="Error",AI13="Error",AL13="Error"),"Error",
IF(Input!Q14="","-",ROUND(Y13+AI13+AL13,2))),""))</f>
        <v>84.05</v>
      </c>
      <c r="AN13" s="187">
        <f>IF(F13&lt;&gt;"",VLOOKUP(AM13,TRANSMUTATION!$A$2:$B$14,2),"")</f>
        <v>2</v>
      </c>
      <c r="AO13" s="188">
        <f t="shared" si="2"/>
        <v>12</v>
      </c>
      <c r="AP13" s="189"/>
      <c r="AQ13" s="190">
        <v>3</v>
      </c>
      <c r="AR13" s="191">
        <f t="shared" si="0"/>
        <v>1</v>
      </c>
      <c r="AT13" s="101"/>
    </row>
    <row r="14" spans="1:46" ht="15" customHeight="1" x14ac:dyDescent="0.2">
      <c r="A14" s="101"/>
      <c r="C14" s="206">
        <v>8</v>
      </c>
      <c r="D14" s="215" t="str">
        <f>IF(Input!D15&lt;&gt;"",IF(F14&lt;&gt;"",Input!D15,""),"")</f>
        <v>02000483633</v>
      </c>
      <c r="E14" s="321"/>
      <c r="F14" s="322" t="str">
        <f>(IF(Input!F15&lt;&gt;"",Input!F15,""))</f>
        <v>BULAO,JANNA MAE CUSTODIO</v>
      </c>
      <c r="G14" s="18"/>
      <c r="H14" s="18"/>
      <c r="I14" s="18"/>
      <c r="J14" s="18"/>
      <c r="K14" s="18"/>
      <c r="L14" s="18"/>
      <c r="M14" s="18"/>
      <c r="N14" s="18"/>
      <c r="O14" s="18"/>
      <c r="P14" s="18"/>
      <c r="Q14" s="18"/>
      <c r="R14" s="18"/>
      <c r="S14" s="18"/>
      <c r="T14" s="18"/>
      <c r="U14" s="18"/>
      <c r="V14" s="21"/>
      <c r="W14" s="177"/>
      <c r="X14" s="178">
        <f>Input!K15</f>
        <v>227</v>
      </c>
      <c r="Y14" s="329">
        <f t="shared" si="1"/>
        <v>27.24</v>
      </c>
      <c r="Z14" s="179"/>
      <c r="AA14" s="180">
        <f>IF(F14&lt;&gt;"",IF(Input!L15&lt;&gt;"",Input!L15,""),"")</f>
        <v>90</v>
      </c>
      <c r="AB14" s="181">
        <f>IFERROR(IF($AA$5="","",IF(F14&lt;&gt;"",(Input!L15/Input!$L$6)*100,"")),"NA")</f>
        <v>90</v>
      </c>
      <c r="AC14" s="182">
        <f>IF(F14&lt;&gt;"",IF(Input!M15&lt;&gt;"",Input!M15,""),"")</f>
        <v>90</v>
      </c>
      <c r="AD14" s="181">
        <f>IFERROR(IF($AC$5="","",IF(F14&lt;&gt;"",(Input!M15/Input!$M$6)*100,"")),"NA")</f>
        <v>90</v>
      </c>
      <c r="AE14" s="183">
        <f>IF(F14&lt;&gt;"",IF(Input!N15&lt;&gt;"",Input!N15,""),"")</f>
        <v>90</v>
      </c>
      <c r="AF14" s="181">
        <f>IFERROR(IF($AE$5="","",IF(F14&lt;&gt;"",(Input!N15/Input!$N$6)*100,"")),"NA")</f>
        <v>90</v>
      </c>
      <c r="AG14" s="183" t="str">
        <f>IF(F14&lt;&gt;"",IF(Input!O15&lt;&gt;"",Input!O15,""),"")</f>
        <v/>
      </c>
      <c r="AH14" s="181" t="str">
        <f>IFERROR(IF($AG$5="","",IF(F14&lt;&gt;"",(Input!O15/Input!$O$6)*100,"")),"NA")</f>
        <v/>
      </c>
      <c r="AI14" s="327">
        <f>IF(Input!P15="Error","Error",IF(F14="","",IF($AA$5="",0,IF(F14&lt;&gt;"",IFERROR(AVERAGE(AB14,AD14,AF14,AH14)*$AI$4,0),""))))</f>
        <v>18</v>
      </c>
      <c r="AJ14" s="179"/>
      <c r="AK14" s="184">
        <f>IF(Input!Q15="","",IF(F14&lt;&gt;"",Input!Q15,""))</f>
        <v>68</v>
      </c>
      <c r="AL14" s="185">
        <f>IF(F14="", "",IF(Input!R15="Error", "Error",IF(ISNUMBER(Input!R15), Input!R15*$AL$4, "")))</f>
        <v>48.571428571428569</v>
      </c>
      <c r="AM14" s="186">
        <f>IF(V14="D","Drp",
IF(F14&lt;&gt;"",
IF(OR(Y14="Error",AI14="Error",AL14="Error"),"Error",
IF(Input!Q15="","-",ROUND(Y14+AI14+AL14,2))),""))</f>
        <v>93.81</v>
      </c>
      <c r="AN14" s="187">
        <f>IF(F14&lt;&gt;"",VLOOKUP(AM14,TRANSMUTATION!$A$2:$B$14,2),"")</f>
        <v>1.5</v>
      </c>
      <c r="AO14" s="188">
        <f t="shared" si="2"/>
        <v>1</v>
      </c>
      <c r="AP14" s="189"/>
      <c r="AQ14" s="190">
        <v>5</v>
      </c>
      <c r="AR14" s="191">
        <f t="shared" si="0"/>
        <v>6</v>
      </c>
      <c r="AT14" s="101"/>
    </row>
    <row r="15" spans="1:46" ht="15" customHeight="1" x14ac:dyDescent="0.2">
      <c r="A15" s="101"/>
      <c r="C15" s="206">
        <v>9</v>
      </c>
      <c r="D15" s="215" t="str">
        <f>IF(Input!D16&lt;&gt;"",IF(F15&lt;&gt;"",Input!D16,""),"")</f>
        <v>02000500732</v>
      </c>
      <c r="E15" s="321"/>
      <c r="F15" s="322" t="str">
        <f>(IF(Input!F16&lt;&gt;"",Input!F16,""))</f>
        <v>CLAUDIO,JAMES YUAN BURCE</v>
      </c>
      <c r="G15" s="18"/>
      <c r="H15" s="18"/>
      <c r="I15" s="18"/>
      <c r="J15" s="18"/>
      <c r="K15" s="18"/>
      <c r="L15" s="18"/>
      <c r="M15" s="18"/>
      <c r="N15" s="18"/>
      <c r="O15" s="18"/>
      <c r="P15" s="18"/>
      <c r="Q15" s="18"/>
      <c r="R15" s="18"/>
      <c r="S15" s="18"/>
      <c r="T15" s="18"/>
      <c r="U15" s="18"/>
      <c r="V15" s="21"/>
      <c r="W15" s="177"/>
      <c r="X15" s="178">
        <f>Input!K16</f>
        <v>237</v>
      </c>
      <c r="Y15" s="329">
        <f t="shared" si="1"/>
        <v>28.439999999999998</v>
      </c>
      <c r="Z15" s="179"/>
      <c r="AA15" s="180">
        <f>IF(F15&lt;&gt;"",IF(Input!L16&lt;&gt;"",Input!L16,""),"")</f>
        <v>92</v>
      </c>
      <c r="AB15" s="181">
        <f>IFERROR(IF($AA$5="","",IF(F15&lt;&gt;"",(Input!L16/Input!$L$6)*100,"")),"NA")</f>
        <v>92</v>
      </c>
      <c r="AC15" s="182">
        <f>IF(F15&lt;&gt;"",IF(Input!M16&lt;&gt;"",Input!M16,""),"")</f>
        <v>92</v>
      </c>
      <c r="AD15" s="181">
        <f>IFERROR(IF($AC$5="","",IF(F15&lt;&gt;"",(Input!M16/Input!$M$6)*100,"")),"NA")</f>
        <v>92</v>
      </c>
      <c r="AE15" s="183">
        <f>IF(F15&lt;&gt;"",IF(Input!N16&lt;&gt;"",Input!N16,""),"")</f>
        <v>92</v>
      </c>
      <c r="AF15" s="181">
        <f>IFERROR(IF($AE$5="","",IF(F15&lt;&gt;"",(Input!N16/Input!$N$6)*100,"")),"NA")</f>
        <v>92</v>
      </c>
      <c r="AG15" s="183" t="str">
        <f>IF(F15&lt;&gt;"",IF(Input!O16&lt;&gt;"",Input!O16,""),"")</f>
        <v/>
      </c>
      <c r="AH15" s="181" t="str">
        <f>IFERROR(IF($AG$5="","",IF(F15&lt;&gt;"",(Input!O16/Input!$O$6)*100,"")),"NA")</f>
        <v/>
      </c>
      <c r="AI15" s="327">
        <f>IF(Input!P16="Error","Error",IF(F15="","",IF($AA$5="",0,IF(F15&lt;&gt;"",IFERROR(AVERAGE(AB15,AD15,AF15,AH15)*$AI$4,0),""))))</f>
        <v>18.400000000000002</v>
      </c>
      <c r="AJ15" s="179"/>
      <c r="AK15" s="184">
        <f>IF(Input!Q16="","",IF(F15&lt;&gt;"",Input!Q16,""))</f>
        <v>62</v>
      </c>
      <c r="AL15" s="185">
        <f>IF(F15="", "",IF(Input!R16="Error", "Error",IF(ISNUMBER(Input!R16), Input!R16*$AL$4, "")))</f>
        <v>44.285714285714285</v>
      </c>
      <c r="AM15" s="186">
        <f>IF(V15="D","Drp",
IF(F15&lt;&gt;"",
IF(OR(Y15="Error",AI15="Error",AL15="Error"),"Error",
IF(Input!Q16="","-",ROUND(Y15+AI15+AL15,2))),""))</f>
        <v>91.13</v>
      </c>
      <c r="AN15" s="187">
        <f>IF(F15&lt;&gt;"",VLOOKUP(AM15,TRANSMUTATION!$A$2:$B$14,2),"")</f>
        <v>1.75</v>
      </c>
      <c r="AO15" s="188">
        <f t="shared" si="2"/>
        <v>7</v>
      </c>
      <c r="AP15" s="189"/>
      <c r="AQ15" s="190" t="s">
        <v>98</v>
      </c>
      <c r="AR15" s="191">
        <f t="shared" si="0"/>
        <v>0</v>
      </c>
      <c r="AT15" s="101"/>
    </row>
    <row r="16" spans="1:46" ht="15" customHeight="1" x14ac:dyDescent="0.2">
      <c r="A16" s="101"/>
      <c r="C16" s="206">
        <v>10</v>
      </c>
      <c r="D16" s="215" t="str">
        <f>IF(Input!D17&lt;&gt;"",IF(F16&lt;&gt;"",Input!D17,""),"")</f>
        <v>02000491156</v>
      </c>
      <c r="E16" s="321"/>
      <c r="F16" s="322" t="str">
        <f>(IF(Input!F17&lt;&gt;"",Input!F17,""))</f>
        <v>DACUBA,ANNEZA MAYE DANCIL</v>
      </c>
      <c r="G16" s="18"/>
      <c r="H16" s="18"/>
      <c r="I16" s="18"/>
      <c r="J16" s="18"/>
      <c r="K16" s="18"/>
      <c r="L16" s="18"/>
      <c r="M16" s="18"/>
      <c r="N16" s="18"/>
      <c r="O16" s="18"/>
      <c r="P16" s="18"/>
      <c r="Q16" s="18"/>
      <c r="R16" s="18"/>
      <c r="S16" s="18"/>
      <c r="T16" s="18"/>
      <c r="U16" s="18"/>
      <c r="V16" s="21"/>
      <c r="W16" s="177"/>
      <c r="X16" s="178">
        <f>Input!K17</f>
        <v>243</v>
      </c>
      <c r="Y16" s="329">
        <f t="shared" si="1"/>
        <v>29.16</v>
      </c>
      <c r="Z16" s="179"/>
      <c r="AA16" s="180">
        <f>IF(F16&lt;&gt;"",IF(Input!L17&lt;&gt;"",Input!L17,""),"")</f>
        <v>98</v>
      </c>
      <c r="AB16" s="181">
        <f>IFERROR(IF($AA$5="","",IF(F16&lt;&gt;"",(Input!L17/Input!$L$6)*100,"")),"NA")</f>
        <v>98</v>
      </c>
      <c r="AC16" s="182">
        <f>IF(F16&lt;&gt;"",IF(Input!M17&lt;&gt;"",Input!M17,""),"")</f>
        <v>98</v>
      </c>
      <c r="AD16" s="181">
        <f>IFERROR(IF($AC$5="","",IF(F16&lt;&gt;"",(Input!M17/Input!$M$6)*100,"")),"NA")</f>
        <v>98</v>
      </c>
      <c r="AE16" s="183">
        <f>IF(F16&lt;&gt;"",IF(Input!N17&lt;&gt;"",Input!N17,""),"")</f>
        <v>98</v>
      </c>
      <c r="AF16" s="181">
        <f>IFERROR(IF($AE$5="","",IF(F16&lt;&gt;"",(Input!N17/Input!$N$6)*100,"")),"NA")</f>
        <v>98</v>
      </c>
      <c r="AG16" s="183" t="str">
        <f>IF(F16&lt;&gt;"",IF(Input!O17&lt;&gt;"",Input!O17,""),"")</f>
        <v/>
      </c>
      <c r="AH16" s="181" t="str">
        <f>IFERROR(IF($AG$5="","",IF(F16&lt;&gt;"",(Input!O17/Input!$O$6)*100,"")),"NA")</f>
        <v/>
      </c>
      <c r="AI16" s="327">
        <f>IF(Input!P17="Error","Error",IF(F16="","",IF($AA$5="",0,IF(F16&lt;&gt;"",IFERROR(AVERAGE(AB16,AD16,AF16,AH16)*$AI$4,0),""))))</f>
        <v>19.600000000000001</v>
      </c>
      <c r="AJ16" s="179"/>
      <c r="AK16" s="184">
        <f>IF(Input!Q17="","",IF(F16&lt;&gt;"",Input!Q17,""))</f>
        <v>58</v>
      </c>
      <c r="AL16" s="185">
        <f>IF(F16="", "",IF(Input!R17="Error", "Error",IF(ISNUMBER(Input!R17), Input!R17*$AL$4, "")))</f>
        <v>41.428571428571431</v>
      </c>
      <c r="AM16" s="186">
        <f>IF(V16="D","Drp",
IF(F16&lt;&gt;"",
IF(OR(Y16="Error",AI16="Error",AL16="Error"),"Error",
IF(Input!Q17="","-",ROUND(Y16+AI16+AL16,2))),""))</f>
        <v>90.19</v>
      </c>
      <c r="AN16" s="187">
        <f>IF(F16&lt;&gt;"",VLOOKUP(AM16,TRANSMUTATION!$A$2:$B$14,2),"")</f>
        <v>1.75</v>
      </c>
      <c r="AO16" s="188">
        <f t="shared" si="2"/>
        <v>8</v>
      </c>
      <c r="AP16" s="189"/>
      <c r="AQ16" s="192" t="s">
        <v>99</v>
      </c>
      <c r="AR16" s="193">
        <f t="shared" si="0"/>
        <v>0</v>
      </c>
      <c r="AT16" s="101"/>
    </row>
    <row r="17" spans="1:46" ht="15" customHeight="1" thickBot="1" x14ac:dyDescent="0.25">
      <c r="A17" s="101"/>
      <c r="C17" s="206">
        <v>11</v>
      </c>
      <c r="D17" s="215" t="str">
        <f>IF(Input!D18&lt;&gt;"",IF(F17&lt;&gt;"",Input!D18,""),"")</f>
        <v>02000487748</v>
      </c>
      <c r="E17" s="321"/>
      <c r="F17" s="322" t="str">
        <f>(IF(Input!F18&lt;&gt;"",Input!F18,""))</f>
        <v>DESALISA,IVY ABANIL</v>
      </c>
      <c r="G17" s="18"/>
      <c r="H17" s="18"/>
      <c r="I17" s="18"/>
      <c r="J17" s="18"/>
      <c r="K17" s="18"/>
      <c r="L17" s="18"/>
      <c r="M17" s="18"/>
      <c r="N17" s="18"/>
      <c r="O17" s="18"/>
      <c r="P17" s="18"/>
      <c r="Q17" s="18"/>
      <c r="R17" s="18"/>
      <c r="S17" s="18"/>
      <c r="T17" s="18"/>
      <c r="U17" s="18"/>
      <c r="V17" s="21"/>
      <c r="W17" s="177"/>
      <c r="X17" s="178">
        <f>Input!K18</f>
        <v>237</v>
      </c>
      <c r="Y17" s="329">
        <f t="shared" si="1"/>
        <v>28.439999999999998</v>
      </c>
      <c r="Z17" s="179"/>
      <c r="AA17" s="180">
        <f>IF(F17&lt;&gt;"",IF(Input!L18&lt;&gt;"",Input!L18,""),"")</f>
        <v>98</v>
      </c>
      <c r="AB17" s="181">
        <f>IFERROR(IF($AA$5="","",IF(F17&lt;&gt;"",(Input!L18/Input!$L$6)*100,"")),"NA")</f>
        <v>98</v>
      </c>
      <c r="AC17" s="182">
        <f>IF(F17&lt;&gt;"",IF(Input!M18&lt;&gt;"",Input!M18,""),"")</f>
        <v>98</v>
      </c>
      <c r="AD17" s="181">
        <f>IFERROR(IF($AC$5="","",IF(F17&lt;&gt;"",(Input!M18/Input!$M$6)*100,"")),"NA")</f>
        <v>98</v>
      </c>
      <c r="AE17" s="183">
        <f>IF(F17&lt;&gt;"",IF(Input!N18&lt;&gt;"",Input!N18,""),"")</f>
        <v>98</v>
      </c>
      <c r="AF17" s="181">
        <f>IFERROR(IF($AE$5="","",IF(F17&lt;&gt;"",(Input!N18/Input!$N$6)*100,"")),"NA")</f>
        <v>98</v>
      </c>
      <c r="AG17" s="183" t="str">
        <f>IF(F17&lt;&gt;"",IF(Input!O18&lt;&gt;"",Input!O18,""),"")</f>
        <v/>
      </c>
      <c r="AH17" s="181" t="str">
        <f>IFERROR(IF($AG$5="","",IF(F17&lt;&gt;"",(Input!O18/Input!$O$6)*100,"")),"NA")</f>
        <v/>
      </c>
      <c r="AI17" s="327">
        <f>IF(Input!P18="Error","Error",IF(F17="","",IF($AA$5="",0,IF(F17&lt;&gt;"",IFERROR(AVERAGE(AB17,AD17,AF17,AH17)*$AI$4,0),""))))</f>
        <v>19.600000000000001</v>
      </c>
      <c r="AJ17" s="179"/>
      <c r="AK17" s="184">
        <f>IF(Input!Q18="","",IF(F17&lt;&gt;"",Input!Q18,""))</f>
        <v>0</v>
      </c>
      <c r="AL17" s="185">
        <f>IF(F17="", "",IF(Input!R18="Error", "Error",IF(ISNUMBER(Input!R18), Input!R18*$AL$4, "")))</f>
        <v>0</v>
      </c>
      <c r="AM17" s="186">
        <f>IF(V17="D","Drp",
IF(F17&lt;&gt;"",
IF(OR(Y17="Error",AI17="Error",AL17="Error"),"Error",
IF(Input!Q18="","-",ROUND(Y17+AI17+AL17,2))),""))</f>
        <v>48.04</v>
      </c>
      <c r="AN17" s="187">
        <f>IF(F17&lt;&gt;"",VLOOKUP(AM17,TRANSMUTATION!$A$2:$B$14,2),"")</f>
        <v>5</v>
      </c>
      <c r="AO17" s="188">
        <f t="shared" si="2"/>
        <v>23</v>
      </c>
      <c r="AP17" s="189"/>
      <c r="AQ17" s="194" t="s">
        <v>100</v>
      </c>
      <c r="AR17" s="195">
        <f>SUM(AR5:AR16)</f>
        <v>25</v>
      </c>
      <c r="AT17" s="101"/>
    </row>
    <row r="18" spans="1:46" ht="15" customHeight="1" x14ac:dyDescent="0.2">
      <c r="A18" s="101"/>
      <c r="C18" s="206">
        <v>12</v>
      </c>
      <c r="D18" s="215" t="str">
        <f>IF(Input!D19&lt;&gt;"",IF(F18&lt;&gt;"",Input!D19,""),"")</f>
        <v>02000504031</v>
      </c>
      <c r="E18" s="321"/>
      <c r="F18" s="322" t="str">
        <f>(IF(Input!F19&lt;&gt;"",Input!F19,""))</f>
        <v>DOMINGUEZ,ADJA</v>
      </c>
      <c r="G18" s="18"/>
      <c r="H18" s="18"/>
      <c r="I18" s="18"/>
      <c r="J18" s="18"/>
      <c r="K18" s="18"/>
      <c r="L18" s="18"/>
      <c r="M18" s="18"/>
      <c r="N18" s="18"/>
      <c r="O18" s="18"/>
      <c r="P18" s="18"/>
      <c r="Q18" s="18"/>
      <c r="R18" s="18"/>
      <c r="S18" s="18"/>
      <c r="T18" s="18"/>
      <c r="U18" s="18"/>
      <c r="V18" s="21"/>
      <c r="W18" s="177"/>
      <c r="X18" s="178">
        <f>Input!K19</f>
        <v>248</v>
      </c>
      <c r="Y18" s="329">
        <f t="shared" si="1"/>
        <v>29.759999999999998</v>
      </c>
      <c r="Z18" s="179"/>
      <c r="AA18" s="180">
        <f>IF(F18&lt;&gt;"",IF(Input!L19&lt;&gt;"",Input!L19,""),"")</f>
        <v>100</v>
      </c>
      <c r="AB18" s="181">
        <f>IFERROR(IF($AA$5="","",IF(F18&lt;&gt;"",(Input!L19/Input!$L$6)*100,"")),"NA")</f>
        <v>100</v>
      </c>
      <c r="AC18" s="182">
        <f>IF(F18&lt;&gt;"",IF(Input!M19&lt;&gt;"",Input!M19,""),"")</f>
        <v>100</v>
      </c>
      <c r="AD18" s="181">
        <f>IFERROR(IF($AC$5="","",IF(F18&lt;&gt;"",(Input!M19/Input!$M$6)*100,"")),"NA")</f>
        <v>100</v>
      </c>
      <c r="AE18" s="183">
        <f>IF(F18&lt;&gt;"",IF(Input!N19&lt;&gt;"",Input!N19,""),"")</f>
        <v>100</v>
      </c>
      <c r="AF18" s="181">
        <f>IFERROR(IF($AE$5="","",IF(F18&lt;&gt;"",(Input!N19/Input!$N$6)*100,"")),"NA")</f>
        <v>100</v>
      </c>
      <c r="AG18" s="183" t="str">
        <f>IF(F18&lt;&gt;"",IF(Input!O19&lt;&gt;"",Input!O19,""),"")</f>
        <v/>
      </c>
      <c r="AH18" s="181" t="str">
        <f>IFERROR(IF($AG$5="","",IF(F18&lt;&gt;"",(Input!O19/Input!$O$6)*100,"")),"NA")</f>
        <v/>
      </c>
      <c r="AI18" s="327">
        <f>IF(Input!P19="Error","Error",IF(F18="","",IF($AA$5="",0,IF(F18&lt;&gt;"",IFERROR(AVERAGE(AB18,AD18,AF18,AH18)*$AI$4,0),""))))</f>
        <v>20</v>
      </c>
      <c r="AJ18" s="179"/>
      <c r="AK18" s="184">
        <f>IF(Input!Q19="","",IF(F18&lt;&gt;"",Input!Q19,""))</f>
        <v>18</v>
      </c>
      <c r="AL18" s="185">
        <f>IF(F18="", "",IF(Input!R19="Error", "Error",IF(ISNUMBER(Input!R19), Input!R19*$AL$4, "")))</f>
        <v>12.857142857142856</v>
      </c>
      <c r="AM18" s="186">
        <f>IF(V18="D","Drp",
IF(F18&lt;&gt;"",
IF(OR(Y18="Error",AI18="Error",AL18="Error"),"Error",
IF(Input!Q19="","-",ROUND(Y18+AI18+AL18,2))),""))</f>
        <v>62.62</v>
      </c>
      <c r="AN18" s="187">
        <f>IF(F18&lt;&gt;"",VLOOKUP(AM18,TRANSMUTATION!$A$2:$B$14,2),"")</f>
        <v>3</v>
      </c>
      <c r="AO18" s="188">
        <f t="shared" si="2"/>
        <v>19</v>
      </c>
      <c r="AP18" s="189"/>
      <c r="AQ18" s="196"/>
      <c r="AR18" s="196"/>
      <c r="AT18" s="101"/>
    </row>
    <row r="19" spans="1:46" ht="15" customHeight="1" x14ac:dyDescent="0.2">
      <c r="A19" s="101"/>
      <c r="C19" s="206">
        <v>13</v>
      </c>
      <c r="D19" s="215" t="str">
        <f>IF(Input!D20&lt;&gt;"",IF(F19&lt;&gt;"",Input!D20,""),"")</f>
        <v>02000504595</v>
      </c>
      <c r="E19" s="321"/>
      <c r="F19" s="322" t="str">
        <f>(IF(Input!F20&lt;&gt;"",Input!F20,""))</f>
        <v>ELEGADO,RAQUEL JILLIAN BURCER</v>
      </c>
      <c r="G19" s="18"/>
      <c r="H19" s="18"/>
      <c r="I19" s="18"/>
      <c r="J19" s="18"/>
      <c r="K19" s="18"/>
      <c r="L19" s="18"/>
      <c r="M19" s="18"/>
      <c r="N19" s="18"/>
      <c r="O19" s="18"/>
      <c r="P19" s="18"/>
      <c r="Q19" s="18"/>
      <c r="R19" s="18"/>
      <c r="S19" s="18"/>
      <c r="T19" s="18"/>
      <c r="U19" s="18"/>
      <c r="V19" s="21"/>
      <c r="W19" s="177"/>
      <c r="X19" s="178">
        <f>Input!K20</f>
        <v>248</v>
      </c>
      <c r="Y19" s="329">
        <f t="shared" si="1"/>
        <v>29.759999999999998</v>
      </c>
      <c r="Z19" s="179"/>
      <c r="AA19" s="180">
        <f>IF(F19&lt;&gt;"",IF(Input!L20&lt;&gt;"",Input!L20,""),"")</f>
        <v>100</v>
      </c>
      <c r="AB19" s="181">
        <f>IFERROR(IF($AA$5="","",IF(F19&lt;&gt;"",(Input!L20/Input!$L$6)*100,"")),"NA")</f>
        <v>100</v>
      </c>
      <c r="AC19" s="182">
        <f>IF(F19&lt;&gt;"",IF(Input!M20&lt;&gt;"",Input!M20,""),"")</f>
        <v>100</v>
      </c>
      <c r="AD19" s="181">
        <f>IFERROR(IF($AC$5="","",IF(F19&lt;&gt;"",(Input!M20/Input!$M$6)*100,"")),"NA")</f>
        <v>100</v>
      </c>
      <c r="AE19" s="183">
        <f>IF(F19&lt;&gt;"",IF(Input!N20&lt;&gt;"",Input!N20,""),"")</f>
        <v>100</v>
      </c>
      <c r="AF19" s="181">
        <f>IFERROR(IF($AE$5="","",IF(F19&lt;&gt;"",(Input!N20/Input!$N$6)*100,"")),"NA")</f>
        <v>100</v>
      </c>
      <c r="AG19" s="183" t="str">
        <f>IF(F19&lt;&gt;"",IF(Input!O20&lt;&gt;"",Input!O20,""),"")</f>
        <v/>
      </c>
      <c r="AH19" s="181" t="str">
        <f>IFERROR(IF($AG$5="","",IF(F19&lt;&gt;"",(Input!O20/Input!$O$6)*100,"")),"NA")</f>
        <v/>
      </c>
      <c r="AI19" s="327">
        <f>IF(Input!P20="Error","Error",IF(F19="","",IF($AA$5="",0,IF(F19&lt;&gt;"",IFERROR(AVERAGE(AB19,AD19,AF19,AH19)*$AI$4,0),""))))</f>
        <v>20</v>
      </c>
      <c r="AJ19" s="179"/>
      <c r="AK19" s="184">
        <f>IF(Input!Q20="","",IF(F19&lt;&gt;"",Input!Q20,""))</f>
        <v>44</v>
      </c>
      <c r="AL19" s="185">
        <f>IF(F19="", "",IF(Input!R20="Error", "Error",IF(ISNUMBER(Input!R20), Input!R20*$AL$4, "")))</f>
        <v>31.428571428571427</v>
      </c>
      <c r="AM19" s="186">
        <f>IF(V19="D","Drp",
IF(F19&lt;&gt;"",
IF(OR(Y19="Error",AI19="Error",AL19="Error"),"Error",
IF(Input!Q20="","-",ROUND(Y19+AI19+AL19,2))),""))</f>
        <v>81.19</v>
      </c>
      <c r="AN19" s="187">
        <f>IF(F19&lt;&gt;"",VLOOKUP(AM19,TRANSMUTATION!$A$2:$B$14,2),"")</f>
        <v>2.25</v>
      </c>
      <c r="AO19" s="188">
        <f t="shared" si="2"/>
        <v>15</v>
      </c>
      <c r="AP19" s="189"/>
      <c r="AT19" s="101"/>
    </row>
    <row r="20" spans="1:46" ht="15" customHeight="1" x14ac:dyDescent="0.2">
      <c r="A20" s="101"/>
      <c r="C20" s="206">
        <v>14</v>
      </c>
      <c r="D20" s="215" t="str">
        <f>IF(Input!D21&lt;&gt;"",IF(F20&lt;&gt;"",Input!D21,""),"")</f>
        <v>02000493811</v>
      </c>
      <c r="E20" s="321"/>
      <c r="F20" s="322" t="str">
        <f>(IF(Input!F21&lt;&gt;"",Input!F21,""))</f>
        <v>FRANCE,KRISTEL CASSANDRA BASALLOTE</v>
      </c>
      <c r="G20" s="18"/>
      <c r="H20" s="18"/>
      <c r="I20" s="18"/>
      <c r="J20" s="18"/>
      <c r="K20" s="18"/>
      <c r="L20" s="18"/>
      <c r="M20" s="18"/>
      <c r="N20" s="18"/>
      <c r="O20" s="18"/>
      <c r="P20" s="18"/>
      <c r="Q20" s="18"/>
      <c r="R20" s="18"/>
      <c r="S20" s="18"/>
      <c r="T20" s="18"/>
      <c r="U20" s="18"/>
      <c r="V20" s="21"/>
      <c r="W20" s="177"/>
      <c r="X20" s="178">
        <f>Input!K21</f>
        <v>237</v>
      </c>
      <c r="Y20" s="329">
        <f t="shared" si="1"/>
        <v>28.439999999999998</v>
      </c>
      <c r="Z20" s="179"/>
      <c r="AA20" s="180">
        <f>IF(F20&lt;&gt;"",IF(Input!L21&lt;&gt;"",Input!L21,""),"")</f>
        <v>95</v>
      </c>
      <c r="AB20" s="181">
        <f>IFERROR(IF($AA$5="","",IF(F20&lt;&gt;"",(Input!L21/Input!$L$6)*100,"")),"NA")</f>
        <v>95</v>
      </c>
      <c r="AC20" s="182">
        <f>IF(F20&lt;&gt;"",IF(Input!M21&lt;&gt;"",Input!M21,""),"")</f>
        <v>95</v>
      </c>
      <c r="AD20" s="181">
        <f>IFERROR(IF($AC$5="","",IF(F20&lt;&gt;"",(Input!M21/Input!$M$6)*100,"")),"NA")</f>
        <v>95</v>
      </c>
      <c r="AE20" s="183">
        <f>IF(F20&lt;&gt;"",IF(Input!N21&lt;&gt;"",Input!N21,""),"")</f>
        <v>95</v>
      </c>
      <c r="AF20" s="181">
        <f>IFERROR(IF($AE$5="","",IF(F20&lt;&gt;"",(Input!N21/Input!$N$6)*100,"")),"NA")</f>
        <v>95</v>
      </c>
      <c r="AG20" s="183" t="str">
        <f>IF(F20&lt;&gt;"",IF(Input!O21&lt;&gt;"",Input!O21,""),"")</f>
        <v/>
      </c>
      <c r="AH20" s="181" t="str">
        <f>IFERROR(IF($AG$5="","",IF(F20&lt;&gt;"",(Input!O21/Input!$O$6)*100,"")),"NA")</f>
        <v/>
      </c>
      <c r="AI20" s="327">
        <f>IF(Input!P21="Error","Error",IF(F20="","",IF($AA$5="",0,IF(F20&lt;&gt;"",IFERROR(AVERAGE(AB20,AD20,AF20,AH20)*$AI$4,0),""))))</f>
        <v>19</v>
      </c>
      <c r="AJ20" s="179"/>
      <c r="AK20" s="184">
        <f>IF(Input!Q21="","",IF(F20&lt;&gt;"",Input!Q21,""))</f>
        <v>0</v>
      </c>
      <c r="AL20" s="185">
        <f>IF(F20="", "",IF(Input!R21="Error", "Error",IF(ISNUMBER(Input!R21), Input!R21*$AL$4, "")))</f>
        <v>0</v>
      </c>
      <c r="AM20" s="186">
        <f>IF(V20="D","Drp",
IF(F20&lt;&gt;"",
IF(OR(Y20="Error",AI20="Error",AL20="Error"),"Error",
IF(Input!Q21="","-",ROUND(Y20+AI20+AL20,2))),""))</f>
        <v>47.44</v>
      </c>
      <c r="AN20" s="187">
        <f>IF(F20&lt;&gt;"",VLOOKUP(AM20,TRANSMUTATION!$A$2:$B$14,2),"")</f>
        <v>5</v>
      </c>
      <c r="AO20" s="188">
        <f t="shared" si="2"/>
        <v>24</v>
      </c>
      <c r="AP20" s="189"/>
      <c r="AT20" s="101"/>
    </row>
    <row r="21" spans="1:46" ht="15" customHeight="1" x14ac:dyDescent="0.2">
      <c r="A21" s="101"/>
      <c r="C21" s="206">
        <v>15</v>
      </c>
      <c r="D21" s="215" t="str">
        <f>IF(Input!D22&lt;&gt;"",IF(F21&lt;&gt;"",Input!D22,""),"")</f>
        <v>02000501320</v>
      </c>
      <c r="E21" s="321"/>
      <c r="F21" s="322" t="str">
        <f>(IF(Input!F22&lt;&gt;"",Input!F22,""))</f>
        <v>LAMESERIA,DIVINA RUFFA ABRAHAM</v>
      </c>
      <c r="G21" s="18"/>
      <c r="H21" s="18"/>
      <c r="I21" s="18"/>
      <c r="J21" s="18"/>
      <c r="K21" s="18"/>
      <c r="L21" s="18"/>
      <c r="M21" s="18"/>
      <c r="N21" s="18"/>
      <c r="O21" s="18"/>
      <c r="P21" s="18"/>
      <c r="Q21" s="18"/>
      <c r="R21" s="18"/>
      <c r="S21" s="18"/>
      <c r="T21" s="18"/>
      <c r="U21" s="18"/>
      <c r="V21" s="21"/>
      <c r="W21" s="177"/>
      <c r="X21" s="178">
        <f>Input!K22</f>
        <v>248</v>
      </c>
      <c r="Y21" s="329">
        <f t="shared" si="1"/>
        <v>29.759999999999998</v>
      </c>
      <c r="Z21" s="179"/>
      <c r="AA21" s="180">
        <f>IF(F21&lt;&gt;"",IF(Input!L22&lt;&gt;"",Input!L22,""),"")</f>
        <v>100</v>
      </c>
      <c r="AB21" s="181">
        <f>IFERROR(IF($AA$5="","",IF(F21&lt;&gt;"",(Input!L22/Input!$L$6)*100,"")),"NA")</f>
        <v>100</v>
      </c>
      <c r="AC21" s="182">
        <f>IF(F21&lt;&gt;"",IF(Input!M22&lt;&gt;"",Input!M22,""),"")</f>
        <v>100</v>
      </c>
      <c r="AD21" s="181">
        <f>IFERROR(IF($AC$5="","",IF(F21&lt;&gt;"",(Input!M22/Input!$M$6)*100,"")),"NA")</f>
        <v>100</v>
      </c>
      <c r="AE21" s="183">
        <f>IF(F21&lt;&gt;"",IF(Input!N22&lt;&gt;"",Input!N22,""),"")</f>
        <v>100</v>
      </c>
      <c r="AF21" s="181">
        <f>IFERROR(IF($AE$5="","",IF(F21&lt;&gt;"",(Input!N22/Input!$N$6)*100,"")),"NA")</f>
        <v>100</v>
      </c>
      <c r="AG21" s="183" t="str">
        <f>IF(F21&lt;&gt;"",IF(Input!O22&lt;&gt;"",Input!O22,""),"")</f>
        <v/>
      </c>
      <c r="AH21" s="181" t="str">
        <f>IFERROR(IF($AG$5="","",IF(F21&lt;&gt;"",(Input!O22/Input!$O$6)*100,"")),"NA")</f>
        <v/>
      </c>
      <c r="AI21" s="327">
        <f>IF(Input!P22="Error","Error",IF(F21="","",IF($AA$5="",0,IF(F21&lt;&gt;"",IFERROR(AVERAGE(AB21,AD21,AF21,AH21)*$AI$4,0),""))))</f>
        <v>20</v>
      </c>
      <c r="AJ21" s="179"/>
      <c r="AK21" s="184">
        <f>IF(Input!Q22="","",IF(F21&lt;&gt;"",Input!Q22,""))</f>
        <v>48</v>
      </c>
      <c r="AL21" s="185">
        <f>IF(F21="", "",IF(Input!R22="Error", "Error",IF(ISNUMBER(Input!R22), Input!R22*$AL$4, "")))</f>
        <v>34.285714285714285</v>
      </c>
      <c r="AM21" s="186">
        <f>IF(V21="D","Drp",
IF(F21&lt;&gt;"",
IF(OR(Y21="Error",AI21="Error",AL21="Error"),"Error",
IF(Input!Q22="","-",ROUND(Y21+AI21+AL21,2))),""))</f>
        <v>84.05</v>
      </c>
      <c r="AN21" s="187">
        <f>IF(F21&lt;&gt;"",VLOOKUP(AM21,TRANSMUTATION!$A$2:$B$14,2),"")</f>
        <v>2</v>
      </c>
      <c r="AO21" s="188">
        <f t="shared" si="2"/>
        <v>12</v>
      </c>
      <c r="AP21" s="189"/>
      <c r="AT21" s="101"/>
    </row>
    <row r="22" spans="1:46" ht="15" customHeight="1" x14ac:dyDescent="0.2">
      <c r="A22" s="101"/>
      <c r="C22" s="206">
        <v>16</v>
      </c>
      <c r="D22" s="215" t="str">
        <f>IF(Input!D23&lt;&gt;"",IF(F22&lt;&gt;"",Input!D23,""),"")</f>
        <v>02000510843</v>
      </c>
      <c r="E22" s="321"/>
      <c r="F22" s="322" t="str">
        <f>(IF(Input!F23&lt;&gt;"",Input!F23,""))</f>
        <v>LAURENTE,WILFRED RUSSELL SAMBAJON</v>
      </c>
      <c r="G22" s="18"/>
      <c r="H22" s="18"/>
      <c r="I22" s="18"/>
      <c r="J22" s="18"/>
      <c r="K22" s="18"/>
      <c r="L22" s="18"/>
      <c r="M22" s="18"/>
      <c r="N22" s="18"/>
      <c r="O22" s="18"/>
      <c r="P22" s="18"/>
      <c r="Q22" s="18"/>
      <c r="R22" s="18"/>
      <c r="S22" s="18"/>
      <c r="T22" s="18"/>
      <c r="U22" s="18"/>
      <c r="V22" s="21"/>
      <c r="W22" s="177"/>
      <c r="X22" s="178">
        <f>Input!K23</f>
        <v>243</v>
      </c>
      <c r="Y22" s="329">
        <f t="shared" si="1"/>
        <v>29.16</v>
      </c>
      <c r="Z22" s="179"/>
      <c r="AA22" s="180">
        <f>IF(F22&lt;&gt;"",IF(Input!L23&lt;&gt;"",Input!L23,""),"")</f>
        <v>98</v>
      </c>
      <c r="AB22" s="181">
        <f>IFERROR(IF($AA$5="","",IF(F22&lt;&gt;"",(Input!L23/Input!$L$6)*100,"")),"NA")</f>
        <v>98</v>
      </c>
      <c r="AC22" s="182">
        <f>IF(F22&lt;&gt;"",IF(Input!M23&lt;&gt;"",Input!M23,""),"")</f>
        <v>98</v>
      </c>
      <c r="AD22" s="181">
        <f>IFERROR(IF($AC$5="","",IF(F22&lt;&gt;"",(Input!M23/Input!$M$6)*100,"")),"NA")</f>
        <v>98</v>
      </c>
      <c r="AE22" s="183">
        <f>IF(F22&lt;&gt;"",IF(Input!N23&lt;&gt;"",Input!N23,""),"")</f>
        <v>98</v>
      </c>
      <c r="AF22" s="181">
        <f>IFERROR(IF($AE$5="","",IF(F22&lt;&gt;"",(Input!N23/Input!$N$6)*100,"")),"NA")</f>
        <v>98</v>
      </c>
      <c r="AG22" s="183" t="str">
        <f>IF(F22&lt;&gt;"",IF(Input!O23&lt;&gt;"",Input!O23,""),"")</f>
        <v/>
      </c>
      <c r="AH22" s="181" t="str">
        <f>IFERROR(IF($AG$5="","",IF(F22&lt;&gt;"",(Input!O23/Input!$O$6)*100,"")),"NA")</f>
        <v/>
      </c>
      <c r="AI22" s="327">
        <f>IF(Input!P23="Error","Error",IF(F22="","",IF($AA$5="",0,IF(F22&lt;&gt;"",IFERROR(AVERAGE(AB22,AD22,AF22,AH22)*$AI$4,0),""))))</f>
        <v>19.600000000000001</v>
      </c>
      <c r="AJ22" s="179"/>
      <c r="AK22" s="184">
        <f>IF(Input!Q23="","",IF(F22&lt;&gt;"",Input!Q23,""))</f>
        <v>54</v>
      </c>
      <c r="AL22" s="185">
        <f>IF(F22="", "",IF(Input!R23="Error", "Error",IF(ISNUMBER(Input!R23), Input!R23*$AL$4, "")))</f>
        <v>38.571428571428577</v>
      </c>
      <c r="AM22" s="186">
        <f>IF(V22="D","Drp",
IF(F22&lt;&gt;"",
IF(OR(Y22="Error",AI22="Error",AL22="Error"),"Error",
IF(Input!Q23="","-",ROUND(Y22+AI22+AL22,2))),""))</f>
        <v>87.33</v>
      </c>
      <c r="AN22" s="187">
        <f>IF(F22&lt;&gt;"",VLOOKUP(AM22,TRANSMUTATION!$A$2:$B$14,2),"")</f>
        <v>1.75</v>
      </c>
      <c r="AO22" s="188">
        <f t="shared" si="2"/>
        <v>11</v>
      </c>
      <c r="AP22" s="189"/>
      <c r="AT22" s="101"/>
    </row>
    <row r="23" spans="1:46" ht="15" customHeight="1" x14ac:dyDescent="0.2">
      <c r="A23" s="101"/>
      <c r="C23" s="206">
        <v>17</v>
      </c>
      <c r="D23" s="215" t="str">
        <f>IF(Input!D24&lt;&gt;"",IF(F23&lt;&gt;"",Input!D24,""),"")</f>
        <v>02000484250</v>
      </c>
      <c r="E23" s="321"/>
      <c r="F23" s="322" t="str">
        <f>(IF(Input!F24&lt;&gt;"",Input!F24,""))</f>
        <v>LOYOLA,RAMIL JR. BARBARA</v>
      </c>
      <c r="G23" s="18"/>
      <c r="H23" s="18"/>
      <c r="I23" s="18"/>
      <c r="J23" s="18"/>
      <c r="K23" s="18"/>
      <c r="L23" s="18"/>
      <c r="M23" s="18"/>
      <c r="N23" s="18"/>
      <c r="O23" s="18"/>
      <c r="P23" s="18"/>
      <c r="Q23" s="18"/>
      <c r="R23" s="18"/>
      <c r="S23" s="18"/>
      <c r="T23" s="18"/>
      <c r="U23" s="18"/>
      <c r="V23" s="21"/>
      <c r="W23" s="177"/>
      <c r="X23" s="178">
        <f>Input!K24</f>
        <v>243</v>
      </c>
      <c r="Y23" s="329">
        <f t="shared" si="1"/>
        <v>29.16</v>
      </c>
      <c r="Z23" s="179"/>
      <c r="AA23" s="180">
        <f>IF(F23&lt;&gt;"",IF(Input!L24&lt;&gt;"",Input!L24,""),"")</f>
        <v>98</v>
      </c>
      <c r="AB23" s="181">
        <f>IFERROR(IF($AA$5="","",IF(F23&lt;&gt;"",(Input!L24/Input!$L$6)*100,"")),"NA")</f>
        <v>98</v>
      </c>
      <c r="AC23" s="182">
        <f>IF(F23&lt;&gt;"",IF(Input!M24&lt;&gt;"",Input!M24,""),"")</f>
        <v>98</v>
      </c>
      <c r="AD23" s="181">
        <f>IFERROR(IF($AC$5="","",IF(F23&lt;&gt;"",(Input!M24/Input!$M$6)*100,"")),"NA")</f>
        <v>98</v>
      </c>
      <c r="AE23" s="183">
        <f>IF(F23&lt;&gt;"",IF(Input!N24&lt;&gt;"",Input!N24,""),"")</f>
        <v>98</v>
      </c>
      <c r="AF23" s="181">
        <f>IFERROR(IF($AE$5="","",IF(F23&lt;&gt;"",(Input!N24/Input!$N$6)*100,"")),"NA")</f>
        <v>98</v>
      </c>
      <c r="AG23" s="183" t="str">
        <f>IF(F23&lt;&gt;"",IF(Input!O24&lt;&gt;"",Input!O24,""),"")</f>
        <v/>
      </c>
      <c r="AH23" s="181" t="str">
        <f>IFERROR(IF($AG$5="","",IF(F23&lt;&gt;"",(Input!O24/Input!$O$6)*100,"")),"NA")</f>
        <v/>
      </c>
      <c r="AI23" s="327">
        <f>IF(Input!P24="Error","Error",IF(F23="","",IF($AA$5="",0,IF(F23&lt;&gt;"",IFERROR(AVERAGE(AB23,AD23,AF23,AH23)*$AI$4,0),""))))</f>
        <v>19.600000000000001</v>
      </c>
      <c r="AJ23" s="179"/>
      <c r="AK23" s="184">
        <f>IF(Input!Q24="","",IF(F23&lt;&gt;"",Input!Q24,""))</f>
        <v>0</v>
      </c>
      <c r="AL23" s="185">
        <f>IF(F23="", "",IF(Input!R24="Error", "Error",IF(ISNUMBER(Input!R24), Input!R24*$AL$4, "")))</f>
        <v>0</v>
      </c>
      <c r="AM23" s="186">
        <f>IF(V23="D","Drp",
IF(F23&lt;&gt;"",
IF(OR(Y23="Error",AI23="Error",AL23="Error"),"Error",
IF(Input!Q24="","-",ROUND(Y23+AI23+AL23,2))),""))</f>
        <v>48.76</v>
      </c>
      <c r="AN23" s="187">
        <f>IF(F23&lt;&gt;"",VLOOKUP(AM23,TRANSMUTATION!$A$2:$B$14,2),"")</f>
        <v>5</v>
      </c>
      <c r="AO23" s="188">
        <f t="shared" si="2"/>
        <v>20</v>
      </c>
      <c r="AP23" s="189"/>
      <c r="AT23" s="101"/>
    </row>
    <row r="24" spans="1:46" ht="15" customHeight="1" x14ac:dyDescent="0.2">
      <c r="A24" s="101"/>
      <c r="C24" s="206">
        <v>18</v>
      </c>
      <c r="D24" s="215" t="str">
        <f>IF(Input!D25&lt;&gt;"",IF(F24&lt;&gt;"",Input!D25,""),"")</f>
        <v>02000388196</v>
      </c>
      <c r="E24" s="321"/>
      <c r="F24" s="322" t="str">
        <f>(IF(Input!F25&lt;&gt;"",Input!F25,""))</f>
        <v>MACALINDONG,IAN DANA</v>
      </c>
      <c r="G24" s="18"/>
      <c r="H24" s="18"/>
      <c r="I24" s="18"/>
      <c r="J24" s="18"/>
      <c r="K24" s="18"/>
      <c r="L24" s="18"/>
      <c r="M24" s="18"/>
      <c r="N24" s="18"/>
      <c r="O24" s="18"/>
      <c r="P24" s="18"/>
      <c r="Q24" s="18"/>
      <c r="R24" s="18"/>
      <c r="S24" s="18"/>
      <c r="T24" s="18"/>
      <c r="U24" s="18"/>
      <c r="V24" s="21"/>
      <c r="W24" s="177"/>
      <c r="X24" s="178">
        <f>Input!K25</f>
        <v>227</v>
      </c>
      <c r="Y24" s="329">
        <f t="shared" si="1"/>
        <v>27.24</v>
      </c>
      <c r="Z24" s="179"/>
      <c r="AA24" s="180">
        <f>IF(F24&lt;&gt;"",IF(Input!L25&lt;&gt;"",Input!L25,""),"")</f>
        <v>90</v>
      </c>
      <c r="AB24" s="181">
        <f>IFERROR(IF($AA$5="","",IF(F24&lt;&gt;"",(Input!L25/Input!$L$6)*100,"")),"NA")</f>
        <v>90</v>
      </c>
      <c r="AC24" s="182">
        <f>IF(F24&lt;&gt;"",IF(Input!M25&lt;&gt;"",Input!M25,""),"")</f>
        <v>90</v>
      </c>
      <c r="AD24" s="181">
        <f>IFERROR(IF($AC$5="","",IF(F24&lt;&gt;"",(Input!M25/Input!$M$6)*100,"")),"NA")</f>
        <v>90</v>
      </c>
      <c r="AE24" s="183">
        <f>IF(F24&lt;&gt;"",IF(Input!N25&lt;&gt;"",Input!N25,""),"")</f>
        <v>90</v>
      </c>
      <c r="AF24" s="181">
        <f>IFERROR(IF($AE$5="","",IF(F24&lt;&gt;"",(Input!N25/Input!$N$6)*100,"")),"NA")</f>
        <v>90</v>
      </c>
      <c r="AG24" s="183" t="str">
        <f>IF(F24&lt;&gt;"",IF(Input!O25&lt;&gt;"",Input!O25,""),"")</f>
        <v/>
      </c>
      <c r="AH24" s="181" t="str">
        <f>IFERROR(IF($AG$5="","",IF(F24&lt;&gt;"",(Input!O25/Input!$O$6)*100,"")),"NA")</f>
        <v/>
      </c>
      <c r="AI24" s="327">
        <f>IF(Input!P25="Error","Error",IF(F24="","",IF($AA$5="",0,IF(F24&lt;&gt;"",IFERROR(AVERAGE(AB24,AD24,AF24,AH24)*$AI$4,0),""))))</f>
        <v>18</v>
      </c>
      <c r="AJ24" s="179"/>
      <c r="AK24" s="184">
        <f>IF(Input!Q25="","",IF(F24&lt;&gt;"",Input!Q25,""))</f>
        <v>0</v>
      </c>
      <c r="AL24" s="185">
        <f>IF(F24="", "",IF(Input!R25="Error", "Error",IF(ISNUMBER(Input!R25), Input!R25*$AL$4, "")))</f>
        <v>0</v>
      </c>
      <c r="AM24" s="186">
        <f>IF(V24="D","Drp",
IF(F24&lt;&gt;"",
IF(OR(Y24="Error",AI24="Error",AL24="Error"),"Error",
IF(Input!Q25="","-",ROUND(Y24+AI24+AL24,2))),""))</f>
        <v>45.24</v>
      </c>
      <c r="AN24" s="187">
        <f>IF(F24&lt;&gt;"",VLOOKUP(AM24,TRANSMUTATION!$A$2:$B$14,2),"")</f>
        <v>5</v>
      </c>
      <c r="AO24" s="188">
        <f t="shared" si="2"/>
        <v>25</v>
      </c>
      <c r="AP24" s="189"/>
      <c r="AT24" s="101"/>
    </row>
    <row r="25" spans="1:46" ht="15" customHeight="1" x14ac:dyDescent="0.2">
      <c r="A25" s="101"/>
      <c r="C25" s="206">
        <v>19</v>
      </c>
      <c r="D25" s="215" t="str">
        <f>IF(Input!D26&lt;&gt;"",IF(F25&lt;&gt;"",Input!D26,""),"")</f>
        <v>02000491101</v>
      </c>
      <c r="E25" s="321"/>
      <c r="F25" s="322" t="str">
        <f>(IF(Input!F26&lt;&gt;"",Input!F26,""))</f>
        <v>MAHAYHAY,KAREN CAPILI</v>
      </c>
      <c r="G25" s="18"/>
      <c r="H25" s="18"/>
      <c r="I25" s="18"/>
      <c r="J25" s="18"/>
      <c r="K25" s="18"/>
      <c r="L25" s="18"/>
      <c r="M25" s="18"/>
      <c r="N25" s="18"/>
      <c r="O25" s="18"/>
      <c r="P25" s="18"/>
      <c r="Q25" s="18"/>
      <c r="R25" s="18"/>
      <c r="S25" s="18"/>
      <c r="T25" s="18"/>
      <c r="U25" s="18"/>
      <c r="V25" s="21"/>
      <c r="W25" s="177"/>
      <c r="X25" s="178">
        <f>Input!K26</f>
        <v>233</v>
      </c>
      <c r="Y25" s="329">
        <f t="shared" si="1"/>
        <v>27.96</v>
      </c>
      <c r="Z25" s="179"/>
      <c r="AA25" s="180">
        <f>IF(F25&lt;&gt;"",IF(Input!L26&lt;&gt;"",Input!L26,""),"")</f>
        <v>93</v>
      </c>
      <c r="AB25" s="181">
        <f>IFERROR(IF($AA$5="","",IF(F25&lt;&gt;"",(Input!L26/Input!$L$6)*100,"")),"NA")</f>
        <v>93</v>
      </c>
      <c r="AC25" s="182">
        <f>IF(F25&lt;&gt;"",IF(Input!M26&lt;&gt;"",Input!M26,""),"")</f>
        <v>93</v>
      </c>
      <c r="AD25" s="181">
        <f>IFERROR(IF($AC$5="","",IF(F25&lt;&gt;"",(Input!M26/Input!$M$6)*100,"")),"NA")</f>
        <v>93</v>
      </c>
      <c r="AE25" s="183">
        <f>IF(F25&lt;&gt;"",IF(Input!N26&lt;&gt;"",Input!N26,""),"")</f>
        <v>93</v>
      </c>
      <c r="AF25" s="181">
        <f>IFERROR(IF($AE$5="","",IF(F25&lt;&gt;"",(Input!N26/Input!$N$6)*100,"")),"NA")</f>
        <v>93</v>
      </c>
      <c r="AG25" s="183" t="str">
        <f>IF(F25&lt;&gt;"",IF(Input!O26&lt;&gt;"",Input!O26,""),"")</f>
        <v/>
      </c>
      <c r="AH25" s="181" t="str">
        <f>IFERROR(IF($AG$5="","",IF(F25&lt;&gt;"",(Input!O26/Input!$O$6)*100,"")),"NA")</f>
        <v/>
      </c>
      <c r="AI25" s="327">
        <f>IF(Input!P26="Error","Error",IF(F25="","",IF($AA$5="",0,IF(F25&lt;&gt;"",IFERROR(AVERAGE(AB25,AD25,AF25,AH25)*$AI$4,0),""))))</f>
        <v>18.600000000000001</v>
      </c>
      <c r="AJ25" s="179"/>
      <c r="AK25" s="184">
        <f>IF(Input!Q26="","",IF(F25&lt;&gt;"",Input!Q26,""))</f>
        <v>66</v>
      </c>
      <c r="AL25" s="185">
        <f>IF(F25="", "",IF(Input!R26="Error", "Error",IF(ISNUMBER(Input!R26), Input!R26*$AL$4, "")))</f>
        <v>47.142857142857139</v>
      </c>
      <c r="AM25" s="186">
        <f>IF(V25="D","Drp",
IF(F25&lt;&gt;"",
IF(OR(Y25="Error",AI25="Error",AL25="Error"),"Error",
IF(Input!Q26="","-",ROUND(Y25+AI25+AL25,2))),""))</f>
        <v>93.7</v>
      </c>
      <c r="AN25" s="187">
        <f>IF(F25&lt;&gt;"",VLOOKUP(AM25,TRANSMUTATION!$A$2:$B$14,2),"")</f>
        <v>1.5</v>
      </c>
      <c r="AO25" s="188">
        <f t="shared" si="2"/>
        <v>2</v>
      </c>
      <c r="AP25" s="189"/>
      <c r="AT25" s="101"/>
    </row>
    <row r="26" spans="1:46" ht="15" customHeight="1" x14ac:dyDescent="0.2">
      <c r="A26" s="101"/>
      <c r="C26" s="206">
        <v>20</v>
      </c>
      <c r="D26" s="215" t="str">
        <f>IF(Input!D27&lt;&gt;"",IF(F26&lt;&gt;"",Input!D27,""),"")</f>
        <v>02000510558</v>
      </c>
      <c r="E26" s="321"/>
      <c r="F26" s="322" t="str">
        <f>(IF(Input!F27&lt;&gt;"",Input!F27,""))</f>
        <v>MASMELA,MARK IVAN GERBOLINGON</v>
      </c>
      <c r="G26" s="18"/>
      <c r="H26" s="18"/>
      <c r="I26" s="18"/>
      <c r="J26" s="18"/>
      <c r="K26" s="18"/>
      <c r="L26" s="18"/>
      <c r="M26" s="18"/>
      <c r="N26" s="18"/>
      <c r="O26" s="18"/>
      <c r="P26" s="18"/>
      <c r="Q26" s="18"/>
      <c r="R26" s="18"/>
      <c r="S26" s="18"/>
      <c r="T26" s="18"/>
      <c r="U26" s="18"/>
      <c r="V26" s="21"/>
      <c r="W26" s="177"/>
      <c r="X26" s="178">
        <f>Input!K27</f>
        <v>243</v>
      </c>
      <c r="Y26" s="329">
        <f t="shared" si="1"/>
        <v>29.16</v>
      </c>
      <c r="Z26" s="179"/>
      <c r="AA26" s="180">
        <f>IF(F26&lt;&gt;"",IF(Input!L27&lt;&gt;"",Input!L27,""),"")</f>
        <v>98</v>
      </c>
      <c r="AB26" s="181">
        <f>IFERROR(IF($AA$5="","",IF(F26&lt;&gt;"",(Input!L27/Input!$L$6)*100,"")),"NA")</f>
        <v>98</v>
      </c>
      <c r="AC26" s="182">
        <f>IF(F26&lt;&gt;"",IF(Input!M27&lt;&gt;"",Input!M27,""),"")</f>
        <v>98</v>
      </c>
      <c r="AD26" s="181">
        <f>IFERROR(IF($AC$5="","",IF(F26&lt;&gt;"",(Input!M27/Input!$M$6)*100,"")),"NA")</f>
        <v>98</v>
      </c>
      <c r="AE26" s="183">
        <f>IF(F26&lt;&gt;"",IF(Input!N27&lt;&gt;"",Input!N27,""),"")</f>
        <v>98</v>
      </c>
      <c r="AF26" s="181">
        <f>IFERROR(IF($AE$5="","",IF(F26&lt;&gt;"",(Input!N27/Input!$N$6)*100,"")),"NA")</f>
        <v>98</v>
      </c>
      <c r="AG26" s="183" t="str">
        <f>IF(F26&lt;&gt;"",IF(Input!O27&lt;&gt;"",Input!O27,""),"")</f>
        <v/>
      </c>
      <c r="AH26" s="181" t="str">
        <f>IFERROR(IF($AG$5="","",IF(F26&lt;&gt;"",(Input!O27/Input!$O$6)*100,"")),"NA")</f>
        <v/>
      </c>
      <c r="AI26" s="327">
        <f>IF(Input!P27="Error","Error",IF(F26="","",IF($AA$5="",0,IF(F26&lt;&gt;"",IFERROR(AVERAGE(AB26,AD26,AF26,AH26)*$AI$4,0),""))))</f>
        <v>19.600000000000001</v>
      </c>
      <c r="AJ26" s="179"/>
      <c r="AK26" s="184">
        <f>IF(Input!Q27="","",IF(F26&lt;&gt;"",Input!Q27,""))</f>
        <v>0</v>
      </c>
      <c r="AL26" s="185">
        <f>IF(F26="", "",IF(Input!R27="Error", "Error",IF(ISNUMBER(Input!R27), Input!R27*$AL$4, "")))</f>
        <v>0</v>
      </c>
      <c r="AM26" s="186">
        <f>IF(V26="D","Drp",
IF(F26&lt;&gt;"",
IF(OR(Y26="Error",AI26="Error",AL26="Error"),"Error",
IF(Input!Q27="","-",ROUND(Y26+AI26+AL26,2))),""))</f>
        <v>48.76</v>
      </c>
      <c r="AN26" s="187">
        <f>IF(F26&lt;&gt;"",VLOOKUP(AM26,TRANSMUTATION!$A$2:$B$14,2),"")</f>
        <v>5</v>
      </c>
      <c r="AO26" s="188">
        <f t="shared" si="2"/>
        <v>20</v>
      </c>
      <c r="AP26" s="189"/>
      <c r="AT26" s="101"/>
    </row>
    <row r="27" spans="1:46" ht="15" customHeight="1" x14ac:dyDescent="0.2">
      <c r="A27" s="101"/>
      <c r="C27" s="206">
        <v>21</v>
      </c>
      <c r="D27" s="215" t="str">
        <f>IF(Input!D28&lt;&gt;"",IF(F27&lt;&gt;"",Input!D28,""),"")</f>
        <v>02000503091</v>
      </c>
      <c r="E27" s="321"/>
      <c r="F27" s="322" t="str">
        <f>(IF(Input!F28&lt;&gt;"",Input!F28,""))</f>
        <v>NOLLORA,ABEGAIL ALARCON</v>
      </c>
      <c r="G27" s="18"/>
      <c r="H27" s="18"/>
      <c r="I27" s="18"/>
      <c r="J27" s="18"/>
      <c r="K27" s="18"/>
      <c r="L27" s="18"/>
      <c r="M27" s="18"/>
      <c r="N27" s="18"/>
      <c r="O27" s="18"/>
      <c r="P27" s="18"/>
      <c r="Q27" s="18"/>
      <c r="R27" s="18"/>
      <c r="S27" s="18"/>
      <c r="T27" s="18"/>
      <c r="U27" s="18"/>
      <c r="V27" s="21"/>
      <c r="W27" s="177"/>
      <c r="X27" s="178">
        <f>Input!K28</f>
        <v>243</v>
      </c>
      <c r="Y27" s="329">
        <f t="shared" si="1"/>
        <v>29.16</v>
      </c>
      <c r="Z27" s="179"/>
      <c r="AA27" s="180">
        <f>IF(F27&lt;&gt;"",IF(Input!L28&lt;&gt;"",Input!L28,""),"")</f>
        <v>98</v>
      </c>
      <c r="AB27" s="181">
        <f>IFERROR(IF($AA$5="","",IF(F27&lt;&gt;"",(Input!L28/Input!$L$6)*100,"")),"NA")</f>
        <v>98</v>
      </c>
      <c r="AC27" s="182">
        <f>IF(F27&lt;&gt;"",IF(Input!M28&lt;&gt;"",Input!M28,""),"")</f>
        <v>98</v>
      </c>
      <c r="AD27" s="181">
        <f>IFERROR(IF($AC$5="","",IF(F27&lt;&gt;"",(Input!M28/Input!$M$6)*100,"")),"NA")</f>
        <v>98</v>
      </c>
      <c r="AE27" s="183">
        <f>IF(F27&lt;&gt;"",IF(Input!N28&lt;&gt;"",Input!N28,""),"")</f>
        <v>98</v>
      </c>
      <c r="AF27" s="181">
        <f>IFERROR(IF($AE$5="","",IF(F27&lt;&gt;"",(Input!N28/Input!$N$6)*100,"")),"NA")</f>
        <v>98</v>
      </c>
      <c r="AG27" s="183" t="str">
        <f>IF(F27&lt;&gt;"",IF(Input!O28&lt;&gt;"",Input!O28,""),"")</f>
        <v/>
      </c>
      <c r="AH27" s="181" t="str">
        <f>IFERROR(IF($AG$5="","",IF(F27&lt;&gt;"",(Input!O28/Input!$O$6)*100,"")),"NA")</f>
        <v/>
      </c>
      <c r="AI27" s="327">
        <f>IF(Input!P28="Error","Error",IF(F27="","",IF($AA$5="",0,IF(F27&lt;&gt;"",IFERROR(AVERAGE(AB27,AD27,AF27,AH27)*$AI$4,0),""))))</f>
        <v>19.600000000000001</v>
      </c>
      <c r="AJ27" s="179"/>
      <c r="AK27" s="184">
        <f>IF(Input!Q28="","",IF(F27&lt;&gt;"",Input!Q28,""))</f>
        <v>0</v>
      </c>
      <c r="AL27" s="185">
        <f>IF(F27="", "",IF(Input!R28="Error", "Error",IF(ISNUMBER(Input!R28), Input!R28*$AL$4, "")))</f>
        <v>0</v>
      </c>
      <c r="AM27" s="186">
        <f>IF(V27="D","Drp",
IF(F27&lt;&gt;"",
IF(OR(Y27="Error",AI27="Error",AL27="Error"),"Error",
IF(Input!Q28="","-",ROUND(Y27+AI27+AL27,2))),""))</f>
        <v>48.76</v>
      </c>
      <c r="AN27" s="187">
        <f>IF(F27&lt;&gt;"",VLOOKUP(AM27,TRANSMUTATION!$A$2:$B$14,2),"")</f>
        <v>5</v>
      </c>
      <c r="AO27" s="188">
        <f t="shared" si="2"/>
        <v>20</v>
      </c>
      <c r="AP27" s="189"/>
      <c r="AT27" s="101"/>
    </row>
    <row r="28" spans="1:46" ht="15" customHeight="1" x14ac:dyDescent="0.2">
      <c r="A28" s="101"/>
      <c r="C28" s="206">
        <v>22</v>
      </c>
      <c r="D28" s="215" t="str">
        <f>IF(Input!D29&lt;&gt;"",IF(F28&lt;&gt;"",Input!D29,""),"")</f>
        <v>02000510390</v>
      </c>
      <c r="E28" s="321"/>
      <c r="F28" s="322" t="str">
        <f>(IF(Input!F29&lt;&gt;"",Input!F29,""))</f>
        <v>QUIOM,JELSIE DIMASAYAO</v>
      </c>
      <c r="G28" s="18"/>
      <c r="H28" s="18"/>
      <c r="I28" s="18"/>
      <c r="J28" s="18"/>
      <c r="K28" s="18"/>
      <c r="L28" s="18"/>
      <c r="M28" s="18"/>
      <c r="N28" s="18"/>
      <c r="O28" s="18"/>
      <c r="P28" s="18"/>
      <c r="Q28" s="18"/>
      <c r="R28" s="18"/>
      <c r="S28" s="18"/>
      <c r="T28" s="18"/>
      <c r="U28" s="18"/>
      <c r="V28" s="21"/>
      <c r="W28" s="177"/>
      <c r="X28" s="178">
        <f>Input!K29</f>
        <v>248</v>
      </c>
      <c r="Y28" s="329">
        <f t="shared" si="1"/>
        <v>29.759999999999998</v>
      </c>
      <c r="Z28" s="179"/>
      <c r="AA28" s="180">
        <f>IF(F28&lt;&gt;"",IF(Input!L29&lt;&gt;"",Input!L29,""),"")</f>
        <v>100</v>
      </c>
      <c r="AB28" s="181">
        <f>IFERROR(IF($AA$5="","",IF(F28&lt;&gt;"",(Input!L29/Input!$L$6)*100,"")),"NA")</f>
        <v>100</v>
      </c>
      <c r="AC28" s="182">
        <f>IF(F28&lt;&gt;"",IF(Input!M29&lt;&gt;"",Input!M29,""),"")</f>
        <v>100</v>
      </c>
      <c r="AD28" s="181">
        <f>IFERROR(IF($AC$5="","",IF(F28&lt;&gt;"",(Input!M29/Input!$M$6)*100,"")),"NA")</f>
        <v>100</v>
      </c>
      <c r="AE28" s="183">
        <f>IF(F28&lt;&gt;"",IF(Input!N29&lt;&gt;"",Input!N29,""),"")</f>
        <v>100</v>
      </c>
      <c r="AF28" s="181">
        <f>IFERROR(IF($AE$5="","",IF(F28&lt;&gt;"",(Input!N29/Input!$N$6)*100,"")),"NA")</f>
        <v>100</v>
      </c>
      <c r="AG28" s="183" t="str">
        <f>IF(F28&lt;&gt;"",IF(Input!O29&lt;&gt;"",Input!O29,""),"")</f>
        <v/>
      </c>
      <c r="AH28" s="181" t="str">
        <f>IFERROR(IF($AG$5="","",IF(F28&lt;&gt;"",(Input!O29/Input!$O$6)*100,"")),"NA")</f>
        <v/>
      </c>
      <c r="AI28" s="327">
        <f>IF(Input!P29="Error","Error",IF(F28="","",IF($AA$5="",0,IF(F28&lt;&gt;"",IFERROR(AVERAGE(AB28,AD28,AF28,AH28)*$AI$4,0),""))))</f>
        <v>20</v>
      </c>
      <c r="AJ28" s="179"/>
      <c r="AK28" s="184">
        <f>IF(Input!Q29="","",IF(F28&lt;&gt;"",Input!Q29,""))</f>
        <v>24</v>
      </c>
      <c r="AL28" s="185">
        <f>IF(F28="", "",IF(Input!R29="Error", "Error",IF(ISNUMBER(Input!R29), Input!R29*$AL$4, "")))</f>
        <v>17.142857142857142</v>
      </c>
      <c r="AM28" s="186">
        <f>IF(V28="D","Drp",
IF(F28&lt;&gt;"",
IF(OR(Y28="Error",AI28="Error",AL28="Error"),"Error",
IF(Input!Q29="","-",ROUND(Y28+AI28+AL28,2))),""))</f>
        <v>66.900000000000006</v>
      </c>
      <c r="AN28" s="187">
        <f>IF(F28&lt;&gt;"",VLOOKUP(AM28,TRANSMUTATION!$A$2:$B$14,2),"")</f>
        <v>2.75</v>
      </c>
      <c r="AO28" s="188">
        <f t="shared" si="2"/>
        <v>17</v>
      </c>
      <c r="AP28" s="189"/>
      <c r="AT28" s="101"/>
    </row>
    <row r="29" spans="1:46" ht="15" customHeight="1" x14ac:dyDescent="0.2">
      <c r="A29" s="101"/>
      <c r="C29" s="206">
        <v>23</v>
      </c>
      <c r="D29" s="215" t="str">
        <f>IF(Input!D30&lt;&gt;"",IF(F29&lt;&gt;"",Input!D30,""),"")</f>
        <v>02000493122</v>
      </c>
      <c r="E29" s="321"/>
      <c r="F29" s="322" t="str">
        <f>(IF(Input!F30&lt;&gt;"",Input!F30,""))</f>
        <v>ROSENTO,MAE NATHALIE ORCENE</v>
      </c>
      <c r="G29" s="18"/>
      <c r="H29" s="18"/>
      <c r="I29" s="18"/>
      <c r="J29" s="18"/>
      <c r="K29" s="18"/>
      <c r="L29" s="18"/>
      <c r="M29" s="18"/>
      <c r="N29" s="18"/>
      <c r="O29" s="18"/>
      <c r="P29" s="18"/>
      <c r="Q29" s="18"/>
      <c r="R29" s="18"/>
      <c r="S29" s="18"/>
      <c r="T29" s="18"/>
      <c r="U29" s="18"/>
      <c r="V29" s="21"/>
      <c r="W29" s="177"/>
      <c r="X29" s="178">
        <f>Input!K30</f>
        <v>248</v>
      </c>
      <c r="Y29" s="329">
        <f t="shared" si="1"/>
        <v>29.759999999999998</v>
      </c>
      <c r="Z29" s="179"/>
      <c r="AA29" s="180">
        <f>IF(F29&lt;&gt;"",IF(Input!L30&lt;&gt;"",Input!L30,""),"")</f>
        <v>100</v>
      </c>
      <c r="AB29" s="181">
        <f>IFERROR(IF($AA$5="","",IF(F29&lt;&gt;"",(Input!L30/Input!$L$6)*100,"")),"NA")</f>
        <v>100</v>
      </c>
      <c r="AC29" s="182">
        <f>IF(F29&lt;&gt;"",IF(Input!M30&lt;&gt;"",Input!M30,""),"")</f>
        <v>100</v>
      </c>
      <c r="AD29" s="181">
        <f>IFERROR(IF($AC$5="","",IF(F29&lt;&gt;"",(Input!M30/Input!$M$6)*100,"")),"NA")</f>
        <v>100</v>
      </c>
      <c r="AE29" s="183">
        <f>IF(F29&lt;&gt;"",IF(Input!N30&lt;&gt;"",Input!N30,""),"")</f>
        <v>100</v>
      </c>
      <c r="AF29" s="181">
        <f>IFERROR(IF($AE$5="","",IF(F29&lt;&gt;"",(Input!N30/Input!$N$6)*100,"")),"NA")</f>
        <v>100</v>
      </c>
      <c r="AG29" s="183" t="str">
        <f>IF(F29&lt;&gt;"",IF(Input!O30&lt;&gt;"",Input!O30,""),"")</f>
        <v/>
      </c>
      <c r="AH29" s="181" t="str">
        <f>IFERROR(IF($AG$5="","",IF(F29&lt;&gt;"",(Input!O30/Input!$O$6)*100,"")),"NA")</f>
        <v/>
      </c>
      <c r="AI29" s="327">
        <f>IF(Input!P30="Error","Error",IF(F29="","",IF($AA$5="",0,IF(F29&lt;&gt;"",IFERROR(AVERAGE(AB29,AD29,AF29,AH29)*$AI$4,0),""))))</f>
        <v>20</v>
      </c>
      <c r="AJ29" s="179"/>
      <c r="AK29" s="184">
        <f>IF(Input!Q30="","",IF(F29&lt;&gt;"",Input!Q30,""))</f>
        <v>58</v>
      </c>
      <c r="AL29" s="185">
        <f>IF(F29="", "",IF(Input!R30="Error", "Error",IF(ISNUMBER(Input!R30), Input!R30*$AL$4, "")))</f>
        <v>41.428571428571431</v>
      </c>
      <c r="AM29" s="186">
        <f>IF(V29="D","Drp",
IF(F29&lt;&gt;"",
IF(OR(Y29="Error",AI29="Error",AL29="Error"),"Error",
IF(Input!Q30="","-",ROUND(Y29+AI29+AL29,2))),""))</f>
        <v>91.19</v>
      </c>
      <c r="AN29" s="187">
        <f>IF(F29&lt;&gt;"",VLOOKUP(AM29,TRANSMUTATION!$A$2:$B$14,2),"")</f>
        <v>1.75</v>
      </c>
      <c r="AO29" s="188">
        <f t="shared" si="2"/>
        <v>6</v>
      </c>
      <c r="AP29" s="189"/>
      <c r="AT29" s="101"/>
    </row>
    <row r="30" spans="1:46" ht="15" customHeight="1" x14ac:dyDescent="0.2">
      <c r="A30" s="101"/>
      <c r="C30" s="206">
        <v>24</v>
      </c>
      <c r="D30" s="215" t="str">
        <f>IF(Input!D31&lt;&gt;"",IF(F30&lt;&gt;"",Input!D31,""),"")</f>
        <v>02000508992</v>
      </c>
      <c r="E30" s="321"/>
      <c r="F30" s="322" t="str">
        <f>(IF(Input!F31&lt;&gt;"",Input!F31,""))</f>
        <v>UREÑA,KIMBERLY MANLAPAS</v>
      </c>
      <c r="G30" s="18"/>
      <c r="H30" s="18"/>
      <c r="I30" s="18"/>
      <c r="J30" s="18"/>
      <c r="K30" s="18"/>
      <c r="L30" s="18"/>
      <c r="M30" s="18"/>
      <c r="N30" s="18"/>
      <c r="O30" s="18"/>
      <c r="P30" s="18"/>
      <c r="Q30" s="18"/>
      <c r="R30" s="18"/>
      <c r="S30" s="18"/>
      <c r="T30" s="18"/>
      <c r="U30" s="18"/>
      <c r="V30" s="21"/>
      <c r="W30" s="177"/>
      <c r="X30" s="178">
        <f>Input!K31</f>
        <v>237</v>
      </c>
      <c r="Y30" s="329">
        <f t="shared" si="1"/>
        <v>28.439999999999998</v>
      </c>
      <c r="Z30" s="179"/>
      <c r="AA30" s="180">
        <f>IF(F30&lt;&gt;"",IF(Input!L31&lt;&gt;"",Input!L31,""),"")</f>
        <v>95</v>
      </c>
      <c r="AB30" s="181">
        <f>IFERROR(IF($AA$5="","",IF(F30&lt;&gt;"",(Input!L31/Input!$L$6)*100,"")),"NA")</f>
        <v>95</v>
      </c>
      <c r="AC30" s="182">
        <f>IF(F30&lt;&gt;"",IF(Input!M31&lt;&gt;"",Input!M31,""),"")</f>
        <v>95</v>
      </c>
      <c r="AD30" s="181">
        <f>IFERROR(IF($AC$5="","",IF(F30&lt;&gt;"",(Input!M31/Input!$M$6)*100,"")),"NA")</f>
        <v>95</v>
      </c>
      <c r="AE30" s="183">
        <f>IF(F30&lt;&gt;"",IF(Input!N31&lt;&gt;"",Input!N31,""),"")</f>
        <v>95</v>
      </c>
      <c r="AF30" s="181">
        <f>IFERROR(IF($AE$5="","",IF(F30&lt;&gt;"",(Input!N31/Input!$N$6)*100,"")),"NA")</f>
        <v>95</v>
      </c>
      <c r="AG30" s="183" t="str">
        <f>IF(F30&lt;&gt;"",IF(Input!O31&lt;&gt;"",Input!O31,""),"")</f>
        <v/>
      </c>
      <c r="AH30" s="181" t="str">
        <f>IFERROR(IF($AG$5="","",IF(F30&lt;&gt;"",(Input!O31/Input!$O$6)*100,"")),"NA")</f>
        <v/>
      </c>
      <c r="AI30" s="327">
        <f>IF(Input!P31="Error","Error",IF(F30="","",IF($AA$5="",0,IF(F30&lt;&gt;"",IFERROR(AVERAGE(AB30,AD30,AF30,AH30)*$AI$4,0),""))))</f>
        <v>19</v>
      </c>
      <c r="AJ30" s="179"/>
      <c r="AK30" s="184">
        <f>IF(Input!Q31="","",IF(F30&lt;&gt;"",Input!Q31,""))</f>
        <v>64</v>
      </c>
      <c r="AL30" s="185">
        <f>IF(F30="", "",IF(Input!R31="Error", "Error",IF(ISNUMBER(Input!R31), Input!R31*$AL$4, "")))</f>
        <v>45.714285714285715</v>
      </c>
      <c r="AM30" s="186">
        <f>IF(V30="D","Drp",
IF(F30&lt;&gt;"",
IF(OR(Y30="Error",AI30="Error",AL30="Error"),"Error",
IF(Input!Q31="","-",ROUND(Y30+AI30+AL30,2))),""))</f>
        <v>93.15</v>
      </c>
      <c r="AN30" s="187">
        <f>IF(F30&lt;&gt;"",VLOOKUP(AM30,TRANSMUTATION!$A$2:$B$14,2),"")</f>
        <v>1.5</v>
      </c>
      <c r="AO30" s="188">
        <f t="shared" si="2"/>
        <v>4</v>
      </c>
      <c r="AP30" s="189"/>
      <c r="AT30" s="101"/>
    </row>
    <row r="31" spans="1:46" ht="15" customHeight="1" x14ac:dyDescent="0.2">
      <c r="A31" s="101"/>
      <c r="C31" s="206">
        <v>25</v>
      </c>
      <c r="D31" s="215" t="str">
        <f>IF(Input!D32&lt;&gt;"",IF(F31&lt;&gt;"",Input!D32,""),"")</f>
        <v>02000510378</v>
      </c>
      <c r="E31" s="321"/>
      <c r="F31" s="322" t="str">
        <f>(IF(Input!F32&lt;&gt;"",Input!F32,""))</f>
        <v>YABUT,ALIYAH CLAIRE BIEN</v>
      </c>
      <c r="G31" s="18"/>
      <c r="H31" s="18"/>
      <c r="I31" s="18"/>
      <c r="J31" s="18"/>
      <c r="K31" s="18"/>
      <c r="L31" s="18"/>
      <c r="M31" s="18"/>
      <c r="N31" s="18"/>
      <c r="O31" s="18"/>
      <c r="P31" s="18"/>
      <c r="Q31" s="18"/>
      <c r="R31" s="18"/>
      <c r="S31" s="18"/>
      <c r="T31" s="18"/>
      <c r="U31" s="18"/>
      <c r="V31" s="21"/>
      <c r="W31" s="177"/>
      <c r="X31" s="178">
        <f>Input!K32</f>
        <v>239</v>
      </c>
      <c r="Y31" s="329">
        <f t="shared" si="1"/>
        <v>28.679999999999996</v>
      </c>
      <c r="Z31" s="179"/>
      <c r="AA31" s="180">
        <f>IF(F31&lt;&gt;"",IF(Input!L32&lt;&gt;"",Input!L32,""),"")</f>
        <v>95</v>
      </c>
      <c r="AB31" s="181">
        <f>IFERROR(IF($AA$5="","",IF(F31&lt;&gt;"",(Input!L32/Input!$L$6)*100,"")),"NA")</f>
        <v>95</v>
      </c>
      <c r="AC31" s="182">
        <f>IF(F31&lt;&gt;"",IF(Input!M32&lt;&gt;"",Input!M32,""),"")</f>
        <v>95</v>
      </c>
      <c r="AD31" s="181">
        <f>IFERROR(IF($AC$5="","",IF(F31&lt;&gt;"",(Input!M32/Input!$M$6)*100,"")),"NA")</f>
        <v>95</v>
      </c>
      <c r="AE31" s="183">
        <f>IF(F31&lt;&gt;"",IF(Input!N32&lt;&gt;"",Input!N32,""),"")</f>
        <v>95</v>
      </c>
      <c r="AF31" s="181">
        <f>IFERROR(IF($AE$5="","",IF(F31&lt;&gt;"",(Input!N32/Input!$N$6)*100,"")),"NA")</f>
        <v>95</v>
      </c>
      <c r="AG31" s="183" t="str">
        <f>IF(F31&lt;&gt;"",IF(Input!O32&lt;&gt;"",Input!O32,""),"")</f>
        <v/>
      </c>
      <c r="AH31" s="181" t="str">
        <f>IFERROR(IF($AG$5="","",IF(F31&lt;&gt;"",(Input!O32/Input!$O$6)*100,"")),"NA")</f>
        <v/>
      </c>
      <c r="AI31" s="327">
        <f>IF(Input!P32="Error","Error",IF(F31="","",IF($AA$5="",0,IF(F31&lt;&gt;"",IFERROR(AVERAGE(AB31,AD31,AF31,AH31)*$AI$4,0),""))))</f>
        <v>19</v>
      </c>
      <c r="AJ31" s="179"/>
      <c r="AK31" s="184">
        <f>IF(Input!Q32="","",IF(F31&lt;&gt;"",Input!Q32,""))</f>
        <v>64</v>
      </c>
      <c r="AL31" s="185">
        <f>IF(F31="", "",IF(Input!R32="Error", "Error",IF(ISNUMBER(Input!R32), Input!R32*$AL$4, "")))</f>
        <v>45.714285714285715</v>
      </c>
      <c r="AM31" s="186">
        <f>IF(V31="D","Drp",
IF(F31&lt;&gt;"",
IF(OR(Y31="Error",AI31="Error",AL31="Error"),"Error",
IF(Input!Q32="","-",ROUND(Y31+AI31+AL31,2))),""))</f>
        <v>93.39</v>
      </c>
      <c r="AN31" s="187">
        <f>IF(F31&lt;&gt;"",VLOOKUP(AM31,TRANSMUTATION!$A$2:$B$14,2),"")</f>
        <v>1.5</v>
      </c>
      <c r="AO31" s="188">
        <f t="shared" si="2"/>
        <v>3</v>
      </c>
      <c r="AP31" s="189"/>
      <c r="AT31" s="101"/>
    </row>
    <row r="32" spans="1:46" ht="15" customHeight="1" x14ac:dyDescent="0.2">
      <c r="A32" s="101"/>
      <c r="C32" s="206">
        <v>26</v>
      </c>
      <c r="D32" s="215" t="str">
        <f>IF(Input!D33&lt;&gt;"",IF(F32&lt;&gt;"",Input!D33,""),"")</f>
        <v/>
      </c>
      <c r="E32" s="321"/>
      <c r="F32" s="322" t="str">
        <f>(IF(Input!F33&lt;&gt;"",Input!F33,""))</f>
        <v/>
      </c>
      <c r="G32" s="18"/>
      <c r="H32" s="18"/>
      <c r="I32" s="18"/>
      <c r="J32" s="18"/>
      <c r="K32" s="18"/>
      <c r="L32" s="18"/>
      <c r="M32" s="18"/>
      <c r="N32" s="18"/>
      <c r="O32" s="18"/>
      <c r="P32" s="18"/>
      <c r="Q32" s="18"/>
      <c r="R32" s="18"/>
      <c r="S32" s="18"/>
      <c r="T32" s="18"/>
      <c r="U32" s="18"/>
      <c r="V32" s="21"/>
      <c r="W32" s="177"/>
      <c r="X32" s="178" t="str">
        <f>Input!K33</f>
        <v/>
      </c>
      <c r="Y32" s="329" t="str">
        <f t="shared" si="1"/>
        <v/>
      </c>
      <c r="Z32" s="179"/>
      <c r="AA32" s="180" t="str">
        <f>IF(F32&lt;&gt;"",IF(Input!L33&lt;&gt;"",Input!L33,""),"")</f>
        <v/>
      </c>
      <c r="AB32" s="181" t="str">
        <f>IFERROR(IF($AA$5="","",IF(F32&lt;&gt;"",(Input!L33/Input!$L$6)*100,"")),"NA")</f>
        <v/>
      </c>
      <c r="AC32" s="182" t="str">
        <f>IF(F32&lt;&gt;"",IF(Input!M33&lt;&gt;"",Input!M33,""),"")</f>
        <v/>
      </c>
      <c r="AD32" s="181" t="str">
        <f>IFERROR(IF($AC$5="","",IF(F32&lt;&gt;"",(Input!M33/Input!$M$6)*100,"")),"NA")</f>
        <v/>
      </c>
      <c r="AE32" s="183" t="str">
        <f>IF(F32&lt;&gt;"",IF(Input!N33&lt;&gt;"",Input!N33,""),"")</f>
        <v/>
      </c>
      <c r="AF32" s="181" t="str">
        <f>IFERROR(IF($AE$5="","",IF(F32&lt;&gt;"",(Input!N33/Input!$N$6)*100,"")),"NA")</f>
        <v/>
      </c>
      <c r="AG32" s="183" t="str">
        <f>IF(F32&lt;&gt;"",IF(Input!O33&lt;&gt;"",Input!O33,""),"")</f>
        <v/>
      </c>
      <c r="AH32" s="181" t="str">
        <f>IFERROR(IF($AG$5="","",IF(F32&lt;&gt;"",(Input!O33/Input!$O$6)*100,"")),"NA")</f>
        <v/>
      </c>
      <c r="AI32" s="327" t="str">
        <f>IF(Input!P33="Error","Error",IF(F32="","",IF($AA$5="",0,IF(F32&lt;&gt;"",IFERROR(AVERAGE(AB32,AD32,AF32,AH32)*$AI$4,0),""))))</f>
        <v/>
      </c>
      <c r="AJ32" s="179"/>
      <c r="AK32" s="184" t="str">
        <f>IF(Input!Q33="","",IF(F32&lt;&gt;"",Input!Q33,""))</f>
        <v/>
      </c>
      <c r="AL32" s="185" t="str">
        <f>IF(F32="", "",IF(Input!R33="Error", "Error",IF(ISNUMBER(Input!R33), Input!R33*$AL$4, "")))</f>
        <v/>
      </c>
      <c r="AM32" s="186" t="str">
        <f>IF(V32="D","Drp",
IF(F32&lt;&gt;"",
IF(OR(Y32="Error",AI32="Error",AL32="Error"),"Error",
IF(Input!Q33="","-",ROUND(Y32+AI32+AL32,2))),""))</f>
        <v/>
      </c>
      <c r="AN32" s="187" t="str">
        <f>IF(F32&lt;&gt;"",VLOOKUP(AM32,TRANSMUTATION!$A$2:$B$14,2),"")</f>
        <v/>
      </c>
      <c r="AO32" s="188" t="str">
        <f t="shared" si="2"/>
        <v/>
      </c>
      <c r="AP32" s="189"/>
      <c r="AT32" s="101"/>
    </row>
    <row r="33" spans="1:46" ht="15" customHeight="1" x14ac:dyDescent="0.2">
      <c r="A33" s="101"/>
      <c r="C33" s="206">
        <v>27</v>
      </c>
      <c r="D33" s="215" t="str">
        <f>IF(Input!D34&lt;&gt;"",IF(F33&lt;&gt;"",Input!D34,""),"")</f>
        <v/>
      </c>
      <c r="E33" s="321"/>
      <c r="F33" s="322" t="str">
        <f>(IF(Input!F34&lt;&gt;"",Input!F34,""))</f>
        <v/>
      </c>
      <c r="G33" s="18"/>
      <c r="H33" s="18"/>
      <c r="I33" s="18"/>
      <c r="J33" s="18"/>
      <c r="K33" s="18"/>
      <c r="L33" s="18"/>
      <c r="M33" s="18"/>
      <c r="N33" s="18"/>
      <c r="O33" s="18"/>
      <c r="P33" s="18"/>
      <c r="Q33" s="18"/>
      <c r="R33" s="18"/>
      <c r="S33" s="18"/>
      <c r="T33" s="18"/>
      <c r="U33" s="18"/>
      <c r="V33" s="21"/>
      <c r="W33" s="177"/>
      <c r="X33" s="178" t="str">
        <f>Input!K34</f>
        <v/>
      </c>
      <c r="Y33" s="329" t="str">
        <f t="shared" si="1"/>
        <v/>
      </c>
      <c r="Z33" s="179"/>
      <c r="AA33" s="180" t="str">
        <f>IF(F33&lt;&gt;"",IF(Input!L34&lt;&gt;"",Input!L34,""),"")</f>
        <v/>
      </c>
      <c r="AB33" s="181" t="str">
        <f>IFERROR(IF($AA$5="","",IF(F33&lt;&gt;"",(Input!L34/Input!$L$6)*100,"")),"NA")</f>
        <v/>
      </c>
      <c r="AC33" s="182" t="str">
        <f>IF(F33&lt;&gt;"",IF(Input!M34&lt;&gt;"",Input!M34,""),"")</f>
        <v/>
      </c>
      <c r="AD33" s="181" t="str">
        <f>IFERROR(IF($AC$5="","",IF(F33&lt;&gt;"",(Input!M34/Input!$M$6)*100,"")),"NA")</f>
        <v/>
      </c>
      <c r="AE33" s="183" t="str">
        <f>IF(F33&lt;&gt;"",IF(Input!N34&lt;&gt;"",Input!N34,""),"")</f>
        <v/>
      </c>
      <c r="AF33" s="181" t="str">
        <f>IFERROR(IF($AE$5="","",IF(F33&lt;&gt;"",(Input!N34/Input!$N$6)*100,"")),"NA")</f>
        <v/>
      </c>
      <c r="AG33" s="183" t="str">
        <f>IF(F33&lt;&gt;"",IF(Input!O34&lt;&gt;"",Input!O34,""),"")</f>
        <v/>
      </c>
      <c r="AH33" s="181" t="str">
        <f>IFERROR(IF($AG$5="","",IF(F33&lt;&gt;"",(Input!O34/Input!$O$6)*100,"")),"NA")</f>
        <v/>
      </c>
      <c r="AI33" s="327" t="str">
        <f>IF(Input!P34="Error","Error",IF(F33="","",IF($AA$5="",0,IF(F33&lt;&gt;"",IFERROR(AVERAGE(AB33,AD33,AF33,AH33)*$AI$4,0),""))))</f>
        <v/>
      </c>
      <c r="AJ33" s="179"/>
      <c r="AK33" s="184" t="str">
        <f>IF(Input!Q34="","",IF(F33&lt;&gt;"",Input!Q34,""))</f>
        <v/>
      </c>
      <c r="AL33" s="185" t="str">
        <f>IF(F33="", "",IF(Input!R34="Error", "Error",IF(ISNUMBER(Input!R34), Input!R34*$AL$4, "")))</f>
        <v/>
      </c>
      <c r="AM33" s="186" t="str">
        <f>IF(V33="D","Drp",
IF(F33&lt;&gt;"",
IF(OR(Y33="Error",AI33="Error",AL33="Error"),"Error",
IF(Input!Q34="","-",ROUND(Y33+AI33+AL33,2))),""))</f>
        <v/>
      </c>
      <c r="AN33" s="187" t="str">
        <f>IF(F33&lt;&gt;"",VLOOKUP(AM33,TRANSMUTATION!$A$2:$B$14,2),"")</f>
        <v/>
      </c>
      <c r="AO33" s="188" t="str">
        <f t="shared" si="2"/>
        <v/>
      </c>
      <c r="AP33" s="189"/>
      <c r="AT33" s="101"/>
    </row>
    <row r="34" spans="1:46" ht="15" customHeight="1" x14ac:dyDescent="0.2">
      <c r="A34" s="101"/>
      <c r="C34" s="206">
        <v>28</v>
      </c>
      <c r="D34" s="215" t="str">
        <f>IF(Input!D35&lt;&gt;"",IF(F34&lt;&gt;"",Input!D35,""),"")</f>
        <v/>
      </c>
      <c r="E34" s="321"/>
      <c r="F34" s="322" t="str">
        <f>(IF(Input!F35&lt;&gt;"",Input!F35,""))</f>
        <v/>
      </c>
      <c r="G34" s="18"/>
      <c r="H34" s="18"/>
      <c r="I34" s="18"/>
      <c r="J34" s="18"/>
      <c r="K34" s="18"/>
      <c r="L34" s="18"/>
      <c r="M34" s="18"/>
      <c r="N34" s="18"/>
      <c r="O34" s="18"/>
      <c r="P34" s="18"/>
      <c r="Q34" s="18"/>
      <c r="R34" s="18"/>
      <c r="S34" s="18"/>
      <c r="T34" s="18"/>
      <c r="U34" s="18"/>
      <c r="V34" s="21"/>
      <c r="W34" s="177"/>
      <c r="X34" s="178" t="str">
        <f>Input!K35</f>
        <v/>
      </c>
      <c r="Y34" s="329" t="str">
        <f t="shared" si="1"/>
        <v/>
      </c>
      <c r="Z34" s="179"/>
      <c r="AA34" s="180" t="str">
        <f>IF(F34&lt;&gt;"",IF(Input!L35&lt;&gt;"",Input!L35,""),"")</f>
        <v/>
      </c>
      <c r="AB34" s="181" t="str">
        <f>IFERROR(IF($AA$5="","",IF(F34&lt;&gt;"",(Input!L35/Input!$L$6)*100,"")),"NA")</f>
        <v/>
      </c>
      <c r="AC34" s="182" t="str">
        <f>IF(F34&lt;&gt;"",IF(Input!M35&lt;&gt;"",Input!M35,""),"")</f>
        <v/>
      </c>
      <c r="AD34" s="181" t="str">
        <f>IFERROR(IF($AC$5="","",IF(F34&lt;&gt;"",(Input!M35/Input!$M$6)*100,"")),"NA")</f>
        <v/>
      </c>
      <c r="AE34" s="183" t="str">
        <f>IF(F34&lt;&gt;"",IF(Input!N35&lt;&gt;"",Input!N35,""),"")</f>
        <v/>
      </c>
      <c r="AF34" s="181" t="str">
        <f>IFERROR(IF($AE$5="","",IF(F34&lt;&gt;"",(Input!N35/Input!$N$6)*100,"")),"NA")</f>
        <v/>
      </c>
      <c r="AG34" s="183" t="str">
        <f>IF(F34&lt;&gt;"",IF(Input!O35&lt;&gt;"",Input!O35,""),"")</f>
        <v/>
      </c>
      <c r="AH34" s="181" t="str">
        <f>IFERROR(IF($AG$5="","",IF(F34&lt;&gt;"",(Input!O35/Input!$O$6)*100,"")),"NA")</f>
        <v/>
      </c>
      <c r="AI34" s="327" t="str">
        <f>IF(Input!P35="Error","Error",IF(F34="","",IF($AA$5="",0,IF(F34&lt;&gt;"",IFERROR(AVERAGE(AB34,AD34,AF34,AH34)*$AI$4,0),""))))</f>
        <v/>
      </c>
      <c r="AJ34" s="179"/>
      <c r="AK34" s="184" t="str">
        <f>IF(Input!Q35="","",IF(F34&lt;&gt;"",Input!Q35,""))</f>
        <v/>
      </c>
      <c r="AL34" s="185" t="str">
        <f>IF(F34="", "",IF(Input!R35="Error", "Error",IF(ISNUMBER(Input!R35), Input!R35*$AL$4, "")))</f>
        <v/>
      </c>
      <c r="AM34" s="186" t="str">
        <f>IF(V34="D","Drp",
IF(F34&lt;&gt;"",
IF(OR(Y34="Error",AI34="Error",AL34="Error"),"Error",
IF(Input!Q35="","-",ROUND(Y34+AI34+AL34,2))),""))</f>
        <v/>
      </c>
      <c r="AN34" s="187" t="str">
        <f>IF(F34&lt;&gt;"",VLOOKUP(AM34,TRANSMUTATION!$A$2:$B$14,2),"")</f>
        <v/>
      </c>
      <c r="AO34" s="188" t="str">
        <f t="shared" si="2"/>
        <v/>
      </c>
      <c r="AP34" s="189"/>
      <c r="AT34" s="101"/>
    </row>
    <row r="35" spans="1:46" ht="15" customHeight="1" x14ac:dyDescent="0.2">
      <c r="A35" s="101"/>
      <c r="C35" s="206">
        <v>29</v>
      </c>
      <c r="D35" s="215" t="str">
        <f>IF(Input!D36&lt;&gt;"",IF(F35&lt;&gt;"",Input!D36,""),"")</f>
        <v/>
      </c>
      <c r="E35" s="321"/>
      <c r="F35" s="322" t="str">
        <f>(IF(Input!F36&lt;&gt;"",Input!F36,""))</f>
        <v/>
      </c>
      <c r="G35" s="18"/>
      <c r="H35" s="18"/>
      <c r="I35" s="18"/>
      <c r="J35" s="18"/>
      <c r="K35" s="18"/>
      <c r="L35" s="18"/>
      <c r="M35" s="18"/>
      <c r="N35" s="18"/>
      <c r="O35" s="18"/>
      <c r="P35" s="18"/>
      <c r="Q35" s="18"/>
      <c r="R35" s="18"/>
      <c r="S35" s="18"/>
      <c r="T35" s="18"/>
      <c r="U35" s="18"/>
      <c r="V35" s="21"/>
      <c r="W35" s="177"/>
      <c r="X35" s="178" t="str">
        <f>Input!K36</f>
        <v/>
      </c>
      <c r="Y35" s="329" t="str">
        <f t="shared" si="1"/>
        <v/>
      </c>
      <c r="Z35" s="179"/>
      <c r="AA35" s="180" t="str">
        <f>IF(F35&lt;&gt;"",IF(Input!L36&lt;&gt;"",Input!L36,""),"")</f>
        <v/>
      </c>
      <c r="AB35" s="181" t="str">
        <f>IFERROR(IF($AA$5="","",IF(F35&lt;&gt;"",(Input!L36/Input!$L$6)*100,"")),"NA")</f>
        <v/>
      </c>
      <c r="AC35" s="182" t="str">
        <f>IF(F35&lt;&gt;"",IF(Input!M36&lt;&gt;"",Input!M36,""),"")</f>
        <v/>
      </c>
      <c r="AD35" s="181" t="str">
        <f>IFERROR(IF($AC$5="","",IF(F35&lt;&gt;"",(Input!M36/Input!$M$6)*100,"")),"NA")</f>
        <v/>
      </c>
      <c r="AE35" s="183" t="str">
        <f>IF(F35&lt;&gt;"",IF(Input!N36&lt;&gt;"",Input!N36,""),"")</f>
        <v/>
      </c>
      <c r="AF35" s="181" t="str">
        <f>IFERROR(IF($AE$5="","",IF(F35&lt;&gt;"",(Input!N36/Input!$N$6)*100,"")),"NA")</f>
        <v/>
      </c>
      <c r="AG35" s="183" t="str">
        <f>IF(F35&lt;&gt;"",IF(Input!O36&lt;&gt;"",Input!O36,""),"")</f>
        <v/>
      </c>
      <c r="AH35" s="181" t="str">
        <f>IFERROR(IF($AG$5="","",IF(F35&lt;&gt;"",(Input!O36/Input!$O$6)*100,"")),"NA")</f>
        <v/>
      </c>
      <c r="AI35" s="327" t="str">
        <f>IF(Input!P36="Error","Error",IF(F35="","",IF($AA$5="",0,IF(F35&lt;&gt;"",IFERROR(AVERAGE(AB35,AD35,AF35,AH35)*$AI$4,0),""))))</f>
        <v/>
      </c>
      <c r="AJ35" s="179"/>
      <c r="AK35" s="184" t="str">
        <f>IF(Input!Q36="","",IF(F35&lt;&gt;"",Input!Q36,""))</f>
        <v/>
      </c>
      <c r="AL35" s="185" t="str">
        <f>IF(F35="", "",IF(Input!R36="Error", "Error",IF(ISNUMBER(Input!R36), Input!R36*$AL$4, "")))</f>
        <v/>
      </c>
      <c r="AM35" s="186" t="str">
        <f>IF(V35="D","Drp",
IF(F35&lt;&gt;"",
IF(OR(Y35="Error",AI35="Error",AL35="Error"),"Error",
IF(Input!Q36="","-",ROUND(Y35+AI35+AL35,2))),""))</f>
        <v/>
      </c>
      <c r="AN35" s="187" t="str">
        <f>IF(F35&lt;&gt;"",VLOOKUP(AM35,TRANSMUTATION!$A$2:$B$14,2),"")</f>
        <v/>
      </c>
      <c r="AO35" s="188" t="str">
        <f t="shared" si="2"/>
        <v/>
      </c>
      <c r="AP35" s="189"/>
      <c r="AT35" s="101"/>
    </row>
    <row r="36" spans="1:46" ht="15" customHeight="1" x14ac:dyDescent="0.2">
      <c r="A36" s="101"/>
      <c r="C36" s="206">
        <v>30</v>
      </c>
      <c r="D36" s="215" t="str">
        <f>IF(Input!D37&lt;&gt;"",IF(F36&lt;&gt;"",Input!D37,""),"")</f>
        <v/>
      </c>
      <c r="E36" s="321"/>
      <c r="F36" s="322" t="str">
        <f>(IF(Input!F37&lt;&gt;"",Input!F37,""))</f>
        <v/>
      </c>
      <c r="G36" s="18"/>
      <c r="H36" s="18"/>
      <c r="I36" s="18"/>
      <c r="J36" s="18"/>
      <c r="K36" s="18"/>
      <c r="L36" s="18"/>
      <c r="M36" s="18"/>
      <c r="N36" s="18"/>
      <c r="O36" s="18"/>
      <c r="P36" s="18"/>
      <c r="Q36" s="18"/>
      <c r="R36" s="18"/>
      <c r="S36" s="18"/>
      <c r="T36" s="18"/>
      <c r="U36" s="18"/>
      <c r="V36" s="21"/>
      <c r="W36" s="177"/>
      <c r="X36" s="178" t="str">
        <f>Input!K37</f>
        <v/>
      </c>
      <c r="Y36" s="329" t="str">
        <f t="shared" si="1"/>
        <v/>
      </c>
      <c r="Z36" s="179"/>
      <c r="AA36" s="180" t="str">
        <f>IF(F36&lt;&gt;"",IF(Input!L37&lt;&gt;"",Input!L37,""),"")</f>
        <v/>
      </c>
      <c r="AB36" s="181" t="str">
        <f>IFERROR(IF($AA$5="","",IF(F36&lt;&gt;"",(Input!L37/Input!$L$6)*100,"")),"NA")</f>
        <v/>
      </c>
      <c r="AC36" s="182" t="str">
        <f>IF(F36&lt;&gt;"",IF(Input!M37&lt;&gt;"",Input!M37,""),"")</f>
        <v/>
      </c>
      <c r="AD36" s="181" t="str">
        <f>IFERROR(IF($AC$5="","",IF(F36&lt;&gt;"",(Input!M37/Input!$M$6)*100,"")),"NA")</f>
        <v/>
      </c>
      <c r="AE36" s="183" t="str">
        <f>IF(F36&lt;&gt;"",IF(Input!N37&lt;&gt;"",Input!N37,""),"")</f>
        <v/>
      </c>
      <c r="AF36" s="181" t="str">
        <f>IFERROR(IF($AE$5="","",IF(F36&lt;&gt;"",(Input!N37/Input!$N$6)*100,"")),"NA")</f>
        <v/>
      </c>
      <c r="AG36" s="183" t="str">
        <f>IF(F36&lt;&gt;"",IF(Input!O37&lt;&gt;"",Input!O37,""),"")</f>
        <v/>
      </c>
      <c r="AH36" s="181" t="str">
        <f>IFERROR(IF($AG$5="","",IF(F36&lt;&gt;"",(Input!O37/Input!$O$6)*100,"")),"NA")</f>
        <v/>
      </c>
      <c r="AI36" s="327" t="str">
        <f>IF(Input!P37="Error","Error",IF(F36="","",IF($AA$5="",0,IF(F36&lt;&gt;"",IFERROR(AVERAGE(AB36,AD36,AF36,AH36)*$AI$4,0),""))))</f>
        <v/>
      </c>
      <c r="AJ36" s="179"/>
      <c r="AK36" s="184" t="str">
        <f>IF(Input!Q37="","",IF(F36&lt;&gt;"",Input!Q37,""))</f>
        <v/>
      </c>
      <c r="AL36" s="185" t="str">
        <f>IF(F36="", "",IF(Input!R37="Error", "Error",IF(ISNUMBER(Input!R37), Input!R37*$AL$4, "")))</f>
        <v/>
      </c>
      <c r="AM36" s="186" t="str">
        <f>IF(V36="D","Drp",
IF(F36&lt;&gt;"",
IF(OR(Y36="Error",AI36="Error",AL36="Error"),"Error",
IF(Input!Q37="","-",ROUND(Y36+AI36+AL36,2))),""))</f>
        <v/>
      </c>
      <c r="AN36" s="187" t="str">
        <f>IF(F36&lt;&gt;"",VLOOKUP(AM36,TRANSMUTATION!$A$2:$B$14,2),"")</f>
        <v/>
      </c>
      <c r="AO36" s="188" t="str">
        <f t="shared" si="2"/>
        <v/>
      </c>
      <c r="AP36" s="189"/>
      <c r="AT36" s="101"/>
    </row>
    <row r="37" spans="1:46" ht="15" customHeight="1" x14ac:dyDescent="0.2">
      <c r="A37" s="101"/>
      <c r="C37" s="206">
        <v>31</v>
      </c>
      <c r="D37" s="215" t="str">
        <f>IF(Input!D38&lt;&gt;"",IF(F37&lt;&gt;"",Input!D38,""),"")</f>
        <v/>
      </c>
      <c r="E37" s="321"/>
      <c r="F37" s="322" t="str">
        <f>(IF(Input!F38&lt;&gt;"",Input!F38,""))</f>
        <v/>
      </c>
      <c r="G37" s="18"/>
      <c r="H37" s="18"/>
      <c r="I37" s="18"/>
      <c r="J37" s="18"/>
      <c r="K37" s="18"/>
      <c r="L37" s="18"/>
      <c r="M37" s="18"/>
      <c r="N37" s="18"/>
      <c r="O37" s="18"/>
      <c r="P37" s="18"/>
      <c r="Q37" s="18"/>
      <c r="R37" s="18"/>
      <c r="S37" s="18"/>
      <c r="T37" s="18"/>
      <c r="U37" s="18"/>
      <c r="V37" s="21"/>
      <c r="W37" s="177"/>
      <c r="X37" s="178" t="str">
        <f>Input!K38</f>
        <v/>
      </c>
      <c r="Y37" s="329" t="str">
        <f t="shared" si="1"/>
        <v/>
      </c>
      <c r="Z37" s="179"/>
      <c r="AA37" s="180" t="str">
        <f>IF(F37&lt;&gt;"",IF(Input!L38&lt;&gt;"",Input!L38,""),"")</f>
        <v/>
      </c>
      <c r="AB37" s="181" t="str">
        <f>IFERROR(IF($AA$5="","",IF(F37&lt;&gt;"",(Input!L38/Input!$L$6)*100,"")),"NA")</f>
        <v/>
      </c>
      <c r="AC37" s="182" t="str">
        <f>IF(F37&lt;&gt;"",IF(Input!M38&lt;&gt;"",Input!M38,""),"")</f>
        <v/>
      </c>
      <c r="AD37" s="181" t="str">
        <f>IFERROR(IF($AC$5="","",IF(F37&lt;&gt;"",(Input!M38/Input!$M$6)*100,"")),"NA")</f>
        <v/>
      </c>
      <c r="AE37" s="183" t="str">
        <f>IF(F37&lt;&gt;"",IF(Input!N38&lt;&gt;"",Input!N38,""),"")</f>
        <v/>
      </c>
      <c r="AF37" s="181" t="str">
        <f>IFERROR(IF($AE$5="","",IF(F37&lt;&gt;"",(Input!N38/Input!$N$6)*100,"")),"NA")</f>
        <v/>
      </c>
      <c r="AG37" s="183" t="str">
        <f>IF(F37&lt;&gt;"",IF(Input!O38&lt;&gt;"",Input!O38,""),"")</f>
        <v/>
      </c>
      <c r="AH37" s="181" t="str">
        <f>IFERROR(IF($AG$5="","",IF(F37&lt;&gt;"",(Input!O38/Input!$O$6)*100,"")),"NA")</f>
        <v/>
      </c>
      <c r="AI37" s="327" t="str">
        <f>IF(Input!P38="Error","Error",IF(F37="","",IF($AA$5="",0,IF(F37&lt;&gt;"",IFERROR(AVERAGE(AB37,AD37,AF37,AH37)*$AI$4,0),""))))</f>
        <v/>
      </c>
      <c r="AJ37" s="179"/>
      <c r="AK37" s="184" t="str">
        <f>IF(Input!Q38="","",IF(F37&lt;&gt;"",Input!Q38,""))</f>
        <v/>
      </c>
      <c r="AL37" s="185" t="str">
        <f>IF(F37="", "",IF(Input!R38="Error", "Error",IF(ISNUMBER(Input!R38), Input!R38*$AL$4, "")))</f>
        <v/>
      </c>
      <c r="AM37" s="186" t="str">
        <f>IF(V37="D","Drp",
IF(F37&lt;&gt;"",
IF(OR(Y37="Error",AI37="Error",AL37="Error"),"Error",
IF(Input!Q38="","-",ROUND(Y37+AI37+AL37,2))),""))</f>
        <v/>
      </c>
      <c r="AN37" s="187" t="str">
        <f>IF(F37&lt;&gt;"",VLOOKUP(AM37,TRANSMUTATION!$A$2:$B$14,2),"")</f>
        <v/>
      </c>
      <c r="AO37" s="188" t="str">
        <f t="shared" si="2"/>
        <v/>
      </c>
      <c r="AP37" s="189"/>
      <c r="AT37" s="101"/>
    </row>
    <row r="38" spans="1:46" ht="15" customHeight="1" x14ac:dyDescent="0.2">
      <c r="A38" s="101"/>
      <c r="C38" s="206">
        <v>32</v>
      </c>
      <c r="D38" s="215" t="str">
        <f>IF(Input!D39&lt;&gt;"",IF(F38&lt;&gt;"",Input!D39,""),"")</f>
        <v/>
      </c>
      <c r="E38" s="321"/>
      <c r="F38" s="322" t="str">
        <f>(IF(Input!F39&lt;&gt;"",Input!F39,""))</f>
        <v/>
      </c>
      <c r="G38" s="18"/>
      <c r="H38" s="18"/>
      <c r="I38" s="18"/>
      <c r="J38" s="18"/>
      <c r="K38" s="18"/>
      <c r="L38" s="18"/>
      <c r="M38" s="18"/>
      <c r="N38" s="18"/>
      <c r="O38" s="18"/>
      <c r="P38" s="18"/>
      <c r="Q38" s="18"/>
      <c r="R38" s="18"/>
      <c r="S38" s="18"/>
      <c r="T38" s="18"/>
      <c r="U38" s="18"/>
      <c r="V38" s="21"/>
      <c r="W38" s="177"/>
      <c r="X38" s="178" t="str">
        <f>Input!K39</f>
        <v/>
      </c>
      <c r="Y38" s="329" t="str">
        <f t="shared" si="1"/>
        <v/>
      </c>
      <c r="Z38" s="179"/>
      <c r="AA38" s="180" t="str">
        <f>IF(F38&lt;&gt;"",IF(Input!L39&lt;&gt;"",Input!L39,""),"")</f>
        <v/>
      </c>
      <c r="AB38" s="181" t="str">
        <f>IFERROR(IF($AA$5="","",IF(F38&lt;&gt;"",(Input!L39/Input!$L$6)*100,"")),"NA")</f>
        <v/>
      </c>
      <c r="AC38" s="182" t="str">
        <f>IF(F38&lt;&gt;"",IF(Input!M39&lt;&gt;"",Input!M39,""),"")</f>
        <v/>
      </c>
      <c r="AD38" s="181" t="str">
        <f>IFERROR(IF($AC$5="","",IF(F38&lt;&gt;"",(Input!M39/Input!$M$6)*100,"")),"NA")</f>
        <v/>
      </c>
      <c r="AE38" s="183" t="str">
        <f>IF(F38&lt;&gt;"",IF(Input!N39&lt;&gt;"",Input!N39,""),"")</f>
        <v/>
      </c>
      <c r="AF38" s="181" t="str">
        <f>IFERROR(IF($AE$5="","",IF(F38&lt;&gt;"",(Input!N39/Input!$N$6)*100,"")),"NA")</f>
        <v/>
      </c>
      <c r="AG38" s="183" t="str">
        <f>IF(F38&lt;&gt;"",IF(Input!O39&lt;&gt;"",Input!O39,""),"")</f>
        <v/>
      </c>
      <c r="AH38" s="181" t="str">
        <f>IFERROR(IF($AG$5="","",IF(F38&lt;&gt;"",(Input!O39/Input!$O$6)*100,"")),"NA")</f>
        <v/>
      </c>
      <c r="AI38" s="327" t="str">
        <f>IF(Input!P39="Error","Error",IF(F38="","",IF($AA$5="",0,IF(F38&lt;&gt;"",IFERROR(AVERAGE(AB38,AD38,AF38,AH38)*$AI$4,0),""))))</f>
        <v/>
      </c>
      <c r="AJ38" s="179"/>
      <c r="AK38" s="184" t="str">
        <f>IF(Input!Q39="","",IF(F38&lt;&gt;"",Input!Q39,""))</f>
        <v/>
      </c>
      <c r="AL38" s="185" t="str">
        <f>IF(F38="", "",IF(Input!R39="Error", "Error",IF(ISNUMBER(Input!R39), Input!R39*$AL$4, "")))</f>
        <v/>
      </c>
      <c r="AM38" s="186" t="str">
        <f>IF(V38="D","Drp",
IF(F38&lt;&gt;"",
IF(OR(Y38="Error",AI38="Error",AL38="Error"),"Error",
IF(Input!Q39="","-",ROUND(Y38+AI38+AL38,2))),""))</f>
        <v/>
      </c>
      <c r="AN38" s="187" t="str">
        <f>IF(F38&lt;&gt;"",VLOOKUP(AM38,TRANSMUTATION!$A$2:$B$14,2),"")</f>
        <v/>
      </c>
      <c r="AO38" s="188" t="str">
        <f t="shared" si="2"/>
        <v/>
      </c>
      <c r="AP38" s="189"/>
      <c r="AT38" s="101"/>
    </row>
    <row r="39" spans="1:46" ht="15" customHeight="1" x14ac:dyDescent="0.2">
      <c r="A39" s="101"/>
      <c r="C39" s="206">
        <v>33</v>
      </c>
      <c r="D39" s="215" t="str">
        <f>IF(Input!D40&lt;&gt;"",IF(F39&lt;&gt;"",Input!D40,""),"")</f>
        <v/>
      </c>
      <c r="E39" s="321"/>
      <c r="F39" s="322" t="str">
        <f>(IF(Input!F40&lt;&gt;"",Input!F40,""))</f>
        <v/>
      </c>
      <c r="G39" s="18"/>
      <c r="H39" s="18"/>
      <c r="I39" s="18"/>
      <c r="J39" s="18"/>
      <c r="K39" s="18"/>
      <c r="L39" s="18"/>
      <c r="M39" s="18"/>
      <c r="N39" s="18"/>
      <c r="O39" s="18"/>
      <c r="P39" s="18"/>
      <c r="Q39" s="18"/>
      <c r="R39" s="18"/>
      <c r="S39" s="18"/>
      <c r="T39" s="18"/>
      <c r="U39" s="18"/>
      <c r="V39" s="21"/>
      <c r="W39" s="177"/>
      <c r="X39" s="178" t="str">
        <f>Input!K40</f>
        <v/>
      </c>
      <c r="Y39" s="329" t="str">
        <f t="shared" si="1"/>
        <v/>
      </c>
      <c r="Z39" s="179"/>
      <c r="AA39" s="180" t="str">
        <f>IF(F39&lt;&gt;"",IF(Input!L40&lt;&gt;"",Input!L40,""),"")</f>
        <v/>
      </c>
      <c r="AB39" s="181" t="str">
        <f>IFERROR(IF($AA$5="","",IF(F39&lt;&gt;"",(Input!L40/Input!$L$6)*100,"")),"NA")</f>
        <v/>
      </c>
      <c r="AC39" s="182" t="str">
        <f>IF(F39&lt;&gt;"",IF(Input!M40&lt;&gt;"",Input!M40,""),"")</f>
        <v/>
      </c>
      <c r="AD39" s="181" t="str">
        <f>IFERROR(IF($AC$5="","",IF(F39&lt;&gt;"",(Input!M40/Input!$M$6)*100,"")),"NA")</f>
        <v/>
      </c>
      <c r="AE39" s="183" t="str">
        <f>IF(F39&lt;&gt;"",IF(Input!N40&lt;&gt;"",Input!N40,""),"")</f>
        <v/>
      </c>
      <c r="AF39" s="181" t="str">
        <f>IFERROR(IF($AE$5="","",IF(F39&lt;&gt;"",(Input!N40/Input!$N$6)*100,"")),"NA")</f>
        <v/>
      </c>
      <c r="AG39" s="183" t="str">
        <f>IF(F39&lt;&gt;"",IF(Input!O40&lt;&gt;"",Input!O40,""),"")</f>
        <v/>
      </c>
      <c r="AH39" s="181" t="str">
        <f>IFERROR(IF($AG$5="","",IF(F39&lt;&gt;"",(Input!O40/Input!$O$6)*100,"")),"NA")</f>
        <v/>
      </c>
      <c r="AI39" s="327" t="str">
        <f>IF(Input!P40="Error","Error",IF(F39="","",IF($AA$5="",0,IF(F39&lt;&gt;"",IFERROR(AVERAGE(AB39,AD39,AF39,AH39)*$AI$4,0),""))))</f>
        <v/>
      </c>
      <c r="AJ39" s="179"/>
      <c r="AK39" s="184" t="str">
        <f>IF(Input!Q40="","",IF(F39&lt;&gt;"",Input!Q40,""))</f>
        <v/>
      </c>
      <c r="AL39" s="185" t="str">
        <f>IF(F39="", "",IF(Input!R40="Error", "Error",IF(ISNUMBER(Input!R40), Input!R40*$AL$4, "")))</f>
        <v/>
      </c>
      <c r="AM39" s="186" t="str">
        <f>IF(V39="D","Drp",
IF(F39&lt;&gt;"",
IF(OR(Y39="Error",AI39="Error",AL39="Error"),"Error",
IF(Input!Q40="","-",ROUND(Y39+AI39+AL39,2))),""))</f>
        <v/>
      </c>
      <c r="AN39" s="187" t="str">
        <f>IF(F39&lt;&gt;"",VLOOKUP(AM39,TRANSMUTATION!$A$2:$B$14,2),"")</f>
        <v/>
      </c>
      <c r="AO39" s="188" t="str">
        <f t="shared" si="2"/>
        <v/>
      </c>
      <c r="AP39" s="189"/>
      <c r="AT39" s="101"/>
    </row>
    <row r="40" spans="1:46" ht="15" customHeight="1" x14ac:dyDescent="0.2">
      <c r="A40" s="101"/>
      <c r="C40" s="206">
        <v>34</v>
      </c>
      <c r="D40" s="215" t="str">
        <f>IF(Input!D41&lt;&gt;"",IF(F40&lt;&gt;"",Input!D41,""),"")</f>
        <v/>
      </c>
      <c r="E40" s="321"/>
      <c r="F40" s="322" t="str">
        <f>(IF(Input!F41&lt;&gt;"",Input!F41,""))</f>
        <v/>
      </c>
      <c r="G40" s="18"/>
      <c r="H40" s="18"/>
      <c r="I40" s="18"/>
      <c r="J40" s="18"/>
      <c r="K40" s="18"/>
      <c r="L40" s="18"/>
      <c r="M40" s="18"/>
      <c r="N40" s="18"/>
      <c r="O40" s="18"/>
      <c r="P40" s="18"/>
      <c r="Q40" s="18"/>
      <c r="R40" s="18"/>
      <c r="S40" s="18"/>
      <c r="T40" s="18"/>
      <c r="U40" s="18"/>
      <c r="V40" s="21"/>
      <c r="W40" s="177"/>
      <c r="X40" s="178" t="str">
        <f>Input!K41</f>
        <v/>
      </c>
      <c r="Y40" s="329" t="str">
        <f t="shared" si="1"/>
        <v/>
      </c>
      <c r="Z40" s="179"/>
      <c r="AA40" s="180" t="str">
        <f>IF(F40&lt;&gt;"",IF(Input!L41&lt;&gt;"",Input!L41,""),"")</f>
        <v/>
      </c>
      <c r="AB40" s="181" t="str">
        <f>IFERROR(IF($AA$5="","",IF(F40&lt;&gt;"",(Input!L41/Input!$L$6)*100,"")),"NA")</f>
        <v/>
      </c>
      <c r="AC40" s="182" t="str">
        <f>IF(F40&lt;&gt;"",IF(Input!M41&lt;&gt;"",Input!M41,""),"")</f>
        <v/>
      </c>
      <c r="AD40" s="181" t="str">
        <f>IFERROR(IF($AC$5="","",IF(F40&lt;&gt;"",(Input!M41/Input!$M$6)*100,"")),"NA")</f>
        <v/>
      </c>
      <c r="AE40" s="183" t="str">
        <f>IF(F40&lt;&gt;"",IF(Input!N41&lt;&gt;"",Input!N41,""),"")</f>
        <v/>
      </c>
      <c r="AF40" s="181" t="str">
        <f>IFERROR(IF($AE$5="","",IF(F40&lt;&gt;"",(Input!N41/Input!$N$6)*100,"")),"NA")</f>
        <v/>
      </c>
      <c r="AG40" s="183" t="str">
        <f>IF(F40&lt;&gt;"",IF(Input!O41&lt;&gt;"",Input!O41,""),"")</f>
        <v/>
      </c>
      <c r="AH40" s="181" t="str">
        <f>IFERROR(IF($AG$5="","",IF(F40&lt;&gt;"",(Input!O41/Input!$O$6)*100,"")),"NA")</f>
        <v/>
      </c>
      <c r="AI40" s="327" t="str">
        <f>IF(Input!P41="Error","Error",IF(F40="","",IF($AA$5="",0,IF(F40&lt;&gt;"",IFERROR(AVERAGE(AB40,AD40,AF40,AH40)*$AI$4,0),""))))</f>
        <v/>
      </c>
      <c r="AJ40" s="179"/>
      <c r="AK40" s="184" t="str">
        <f>IF(Input!Q41="","",IF(F40&lt;&gt;"",Input!Q41,""))</f>
        <v/>
      </c>
      <c r="AL40" s="185" t="str">
        <f>IF(F40="", "",IF(Input!R41="Error", "Error",IF(ISNUMBER(Input!R41), Input!R41*$AL$4, "")))</f>
        <v/>
      </c>
      <c r="AM40" s="186" t="str">
        <f>IF(V40="D","Drp",
IF(F40&lt;&gt;"",
IF(OR(Y40="Error",AI40="Error",AL40="Error"),"Error",
IF(Input!Q41="","-",ROUND(Y40+AI40+AL40,2))),""))</f>
        <v/>
      </c>
      <c r="AN40" s="187" t="str">
        <f>IF(F40&lt;&gt;"",VLOOKUP(AM40,TRANSMUTATION!$A$2:$B$14,2),"")</f>
        <v/>
      </c>
      <c r="AO40" s="188" t="str">
        <f t="shared" si="2"/>
        <v/>
      </c>
      <c r="AP40" s="189"/>
      <c r="AT40" s="101"/>
    </row>
    <row r="41" spans="1:46" ht="15" customHeight="1" x14ac:dyDescent="0.2">
      <c r="A41" s="101"/>
      <c r="C41" s="206">
        <v>35</v>
      </c>
      <c r="D41" s="215" t="str">
        <f>IF(Input!D42&lt;&gt;"",IF(F41&lt;&gt;"",Input!D42,""),"")</f>
        <v/>
      </c>
      <c r="E41" s="321"/>
      <c r="F41" s="322" t="str">
        <f>(IF(Input!F42&lt;&gt;"",Input!F42,""))</f>
        <v/>
      </c>
      <c r="G41" s="18"/>
      <c r="H41" s="18"/>
      <c r="I41" s="18"/>
      <c r="J41" s="18"/>
      <c r="K41" s="18"/>
      <c r="L41" s="18"/>
      <c r="M41" s="18"/>
      <c r="N41" s="18"/>
      <c r="O41" s="18"/>
      <c r="P41" s="18"/>
      <c r="Q41" s="18"/>
      <c r="R41" s="18"/>
      <c r="S41" s="18"/>
      <c r="T41" s="18"/>
      <c r="U41" s="18"/>
      <c r="V41" s="21"/>
      <c r="W41" s="177"/>
      <c r="X41" s="178" t="str">
        <f>Input!K42</f>
        <v/>
      </c>
      <c r="Y41" s="329" t="str">
        <f t="shared" si="1"/>
        <v/>
      </c>
      <c r="Z41" s="179"/>
      <c r="AA41" s="180" t="str">
        <f>IF(F41&lt;&gt;"",IF(Input!L42&lt;&gt;"",Input!L42,""),"")</f>
        <v/>
      </c>
      <c r="AB41" s="181" t="str">
        <f>IFERROR(IF($AA$5="","",IF(F41&lt;&gt;"",(Input!L42/Input!$L$6)*100,"")),"NA")</f>
        <v/>
      </c>
      <c r="AC41" s="182" t="str">
        <f>IF(F41&lt;&gt;"",IF(Input!M42&lt;&gt;"",Input!M42,""),"")</f>
        <v/>
      </c>
      <c r="AD41" s="181" t="str">
        <f>IFERROR(IF($AC$5="","",IF(F41&lt;&gt;"",(Input!M42/Input!$M$6)*100,"")),"NA")</f>
        <v/>
      </c>
      <c r="AE41" s="183" t="str">
        <f>IF(F41&lt;&gt;"",IF(Input!N42&lt;&gt;"",Input!N42,""),"")</f>
        <v/>
      </c>
      <c r="AF41" s="181" t="str">
        <f>IFERROR(IF($AE$5="","",IF(F41&lt;&gt;"",(Input!N42/Input!$N$6)*100,"")),"NA")</f>
        <v/>
      </c>
      <c r="AG41" s="183" t="str">
        <f>IF(F41&lt;&gt;"",IF(Input!O42&lt;&gt;"",Input!O42,""),"")</f>
        <v/>
      </c>
      <c r="AH41" s="181" t="str">
        <f>IFERROR(IF($AG$5="","",IF(F41&lt;&gt;"",(Input!O42/Input!$O$6)*100,"")),"NA")</f>
        <v/>
      </c>
      <c r="AI41" s="327" t="str">
        <f>IF(Input!P42="Error","Error",IF(F41="","",IF($AA$5="",0,IF(F41&lt;&gt;"",IFERROR(AVERAGE(AB41,AD41,AF41,AH41)*$AI$4,0),""))))</f>
        <v/>
      </c>
      <c r="AJ41" s="179"/>
      <c r="AK41" s="184" t="str">
        <f>IF(Input!Q42="","",IF(F41&lt;&gt;"",Input!Q42,""))</f>
        <v/>
      </c>
      <c r="AL41" s="185" t="str">
        <f>IF(F41="", "",IF(Input!R42="Error", "Error",IF(ISNUMBER(Input!R42), Input!R42*$AL$4, "")))</f>
        <v/>
      </c>
      <c r="AM41" s="186" t="str">
        <f>IF(V41="D","Drp",
IF(F41&lt;&gt;"",
IF(OR(Y41="Error",AI41="Error",AL41="Error"),"Error",
IF(Input!Q42="","-",ROUND(Y41+AI41+AL41,2))),""))</f>
        <v/>
      </c>
      <c r="AN41" s="187" t="str">
        <f>IF(F41&lt;&gt;"",VLOOKUP(AM41,TRANSMUTATION!$A$2:$B$14,2),"")</f>
        <v/>
      </c>
      <c r="AO41" s="188" t="str">
        <f t="shared" si="2"/>
        <v/>
      </c>
      <c r="AP41" s="189"/>
      <c r="AT41" s="101"/>
    </row>
    <row r="42" spans="1:46" ht="15" customHeight="1" x14ac:dyDescent="0.2">
      <c r="A42" s="101"/>
      <c r="C42" s="206">
        <v>36</v>
      </c>
      <c r="D42" s="215" t="str">
        <f>IF(Input!D43&lt;&gt;"",IF(F42&lt;&gt;"",Input!D43,""),"")</f>
        <v/>
      </c>
      <c r="E42" s="321"/>
      <c r="F42" s="322" t="str">
        <f>(IF(Input!F43&lt;&gt;"",Input!F43,""))</f>
        <v/>
      </c>
      <c r="G42" s="18"/>
      <c r="H42" s="18"/>
      <c r="I42" s="18"/>
      <c r="J42" s="18"/>
      <c r="K42" s="18"/>
      <c r="L42" s="18"/>
      <c r="M42" s="18"/>
      <c r="N42" s="18"/>
      <c r="O42" s="18"/>
      <c r="P42" s="18"/>
      <c r="Q42" s="18"/>
      <c r="R42" s="18"/>
      <c r="S42" s="18"/>
      <c r="T42" s="18"/>
      <c r="U42" s="18"/>
      <c r="V42" s="21"/>
      <c r="W42" s="177"/>
      <c r="X42" s="178" t="str">
        <f>Input!K43</f>
        <v/>
      </c>
      <c r="Y42" s="329" t="str">
        <f t="shared" si="1"/>
        <v/>
      </c>
      <c r="Z42" s="179"/>
      <c r="AA42" s="180" t="str">
        <f>IF(F42&lt;&gt;"",IF(Input!L43&lt;&gt;"",Input!L43,""),"")</f>
        <v/>
      </c>
      <c r="AB42" s="181" t="str">
        <f>IFERROR(IF($AA$5="","",IF(F42&lt;&gt;"",(Input!L43/Input!$L$6)*100,"")),"NA")</f>
        <v/>
      </c>
      <c r="AC42" s="182" t="str">
        <f>IF(F42&lt;&gt;"",IF(Input!M43&lt;&gt;"",Input!M43,""),"")</f>
        <v/>
      </c>
      <c r="AD42" s="181" t="str">
        <f>IFERROR(IF($AC$5="","",IF(F42&lt;&gt;"",(Input!M43/Input!$M$6)*100,"")),"NA")</f>
        <v/>
      </c>
      <c r="AE42" s="183" t="str">
        <f>IF(F42&lt;&gt;"",IF(Input!N43&lt;&gt;"",Input!N43,""),"")</f>
        <v/>
      </c>
      <c r="AF42" s="181" t="str">
        <f>IFERROR(IF($AE$5="","",IF(F42&lt;&gt;"",(Input!N43/Input!$N$6)*100,"")),"NA")</f>
        <v/>
      </c>
      <c r="AG42" s="183" t="str">
        <f>IF(F42&lt;&gt;"",IF(Input!O43&lt;&gt;"",Input!O43,""),"")</f>
        <v/>
      </c>
      <c r="AH42" s="181" t="str">
        <f>IFERROR(IF($AG$5="","",IF(F42&lt;&gt;"",(Input!O43/Input!$O$6)*100,"")),"NA")</f>
        <v/>
      </c>
      <c r="AI42" s="327" t="str">
        <f>IF(Input!P43="Error","Error",IF(F42="","",IF($AA$5="",0,IF(F42&lt;&gt;"",IFERROR(AVERAGE(AB42,AD42,AF42,AH42)*$AI$4,0),""))))</f>
        <v/>
      </c>
      <c r="AJ42" s="179"/>
      <c r="AK42" s="184" t="str">
        <f>IF(Input!Q43="","",IF(F42&lt;&gt;"",Input!Q43,""))</f>
        <v/>
      </c>
      <c r="AL42" s="185" t="str">
        <f>IF(F42="", "",IF(Input!R43="Error", "Error",IF(ISNUMBER(Input!R43), Input!R43*$AL$4, "")))</f>
        <v/>
      </c>
      <c r="AM42" s="186" t="str">
        <f>IF(V42="D","Drp",
IF(F42&lt;&gt;"",
IF(OR(Y42="Error",AI42="Error",AL42="Error"),"Error",
IF(Input!Q43="","-",ROUND(Y42+AI42+AL42,2))),""))</f>
        <v/>
      </c>
      <c r="AN42" s="187" t="str">
        <f>IF(F42&lt;&gt;"",VLOOKUP(AM42,TRANSMUTATION!$A$2:$B$14,2),"")</f>
        <v/>
      </c>
      <c r="AO42" s="188" t="str">
        <f t="shared" si="2"/>
        <v/>
      </c>
      <c r="AP42" s="189"/>
      <c r="AT42" s="101"/>
    </row>
    <row r="43" spans="1:46" ht="15" customHeight="1" x14ac:dyDescent="0.2">
      <c r="A43" s="101"/>
      <c r="C43" s="206">
        <v>37</v>
      </c>
      <c r="D43" s="215" t="str">
        <f>IF(Input!D44&lt;&gt;"",IF(F43&lt;&gt;"",Input!D44,""),"")</f>
        <v/>
      </c>
      <c r="E43" s="321"/>
      <c r="F43" s="322" t="str">
        <f>(IF(Input!F44&lt;&gt;"",Input!F44,""))</f>
        <v/>
      </c>
      <c r="G43" s="18"/>
      <c r="H43" s="18"/>
      <c r="I43" s="18"/>
      <c r="J43" s="18"/>
      <c r="K43" s="18"/>
      <c r="L43" s="18"/>
      <c r="M43" s="18"/>
      <c r="N43" s="18"/>
      <c r="O43" s="18"/>
      <c r="P43" s="18"/>
      <c r="Q43" s="18"/>
      <c r="R43" s="18"/>
      <c r="S43" s="18"/>
      <c r="T43" s="18"/>
      <c r="U43" s="18"/>
      <c r="V43" s="21"/>
      <c r="W43" s="177"/>
      <c r="X43" s="178" t="str">
        <f>Input!K44</f>
        <v/>
      </c>
      <c r="Y43" s="329" t="str">
        <f t="shared" si="1"/>
        <v/>
      </c>
      <c r="Z43" s="179"/>
      <c r="AA43" s="180" t="str">
        <f>IF(F43&lt;&gt;"",IF(Input!L44&lt;&gt;"",Input!L44,""),"")</f>
        <v/>
      </c>
      <c r="AB43" s="181" t="str">
        <f>IFERROR(IF($AA$5="","",IF(F43&lt;&gt;"",(Input!L44/Input!$L$6)*100,"")),"NA")</f>
        <v/>
      </c>
      <c r="AC43" s="182" t="str">
        <f>IF(F43&lt;&gt;"",IF(Input!M44&lt;&gt;"",Input!M44,""),"")</f>
        <v/>
      </c>
      <c r="AD43" s="181" t="str">
        <f>IFERROR(IF($AC$5="","",IF(F43&lt;&gt;"",(Input!M44/Input!$M$6)*100,"")),"NA")</f>
        <v/>
      </c>
      <c r="AE43" s="183" t="str">
        <f>IF(F43&lt;&gt;"",IF(Input!N44&lt;&gt;"",Input!N44,""),"")</f>
        <v/>
      </c>
      <c r="AF43" s="181" t="str">
        <f>IFERROR(IF($AE$5="","",IF(F43&lt;&gt;"",(Input!N44/Input!$N$6)*100,"")),"NA")</f>
        <v/>
      </c>
      <c r="AG43" s="183" t="str">
        <f>IF(F43&lt;&gt;"",IF(Input!O44&lt;&gt;"",Input!O44,""),"")</f>
        <v/>
      </c>
      <c r="AH43" s="181" t="str">
        <f>IFERROR(IF($AG$5="","",IF(F43&lt;&gt;"",(Input!O44/Input!$O$6)*100,"")),"NA")</f>
        <v/>
      </c>
      <c r="AI43" s="327" t="str">
        <f>IF(Input!P44="Error","Error",IF(F43="","",IF($AA$5="",0,IF(F43&lt;&gt;"",IFERROR(AVERAGE(AB43,AD43,AF43,AH43)*$AI$4,0),""))))</f>
        <v/>
      </c>
      <c r="AJ43" s="179"/>
      <c r="AK43" s="184" t="str">
        <f>IF(Input!Q44="","",IF(F43&lt;&gt;"",Input!Q44,""))</f>
        <v/>
      </c>
      <c r="AL43" s="185" t="str">
        <f>IF(F43="", "",IF(Input!R44="Error", "Error",IF(ISNUMBER(Input!R44), Input!R44*$AL$4, "")))</f>
        <v/>
      </c>
      <c r="AM43" s="186" t="str">
        <f>IF(V43="D","Drp",
IF(F43&lt;&gt;"",
IF(OR(Y43="Error",AI43="Error",AL43="Error"),"Error",
IF(Input!Q44="","-",ROUND(Y43+AI43+AL43,2))),""))</f>
        <v/>
      </c>
      <c r="AN43" s="187" t="str">
        <f>IF(F43&lt;&gt;"",VLOOKUP(AM43,TRANSMUTATION!$A$2:$B$14,2),"")</f>
        <v/>
      </c>
      <c r="AO43" s="188" t="str">
        <f t="shared" si="2"/>
        <v/>
      </c>
      <c r="AP43" s="189"/>
      <c r="AT43" s="101"/>
    </row>
    <row r="44" spans="1:46" ht="15" customHeight="1" x14ac:dyDescent="0.2">
      <c r="A44" s="101"/>
      <c r="C44" s="206">
        <v>38</v>
      </c>
      <c r="D44" s="215" t="str">
        <f>IF(Input!D45&lt;&gt;"",IF(F44&lt;&gt;"",Input!D45,""),"")</f>
        <v/>
      </c>
      <c r="E44" s="321"/>
      <c r="F44" s="322" t="str">
        <f>(IF(Input!F45&lt;&gt;"",Input!F45,""))</f>
        <v/>
      </c>
      <c r="G44" s="18"/>
      <c r="H44" s="18"/>
      <c r="I44" s="18"/>
      <c r="J44" s="18"/>
      <c r="K44" s="18"/>
      <c r="L44" s="18"/>
      <c r="M44" s="18"/>
      <c r="N44" s="18"/>
      <c r="O44" s="18"/>
      <c r="P44" s="18"/>
      <c r="Q44" s="18"/>
      <c r="R44" s="18"/>
      <c r="S44" s="18"/>
      <c r="T44" s="18"/>
      <c r="U44" s="18"/>
      <c r="V44" s="21"/>
      <c r="W44" s="177"/>
      <c r="X44" s="178" t="str">
        <f>Input!K45</f>
        <v/>
      </c>
      <c r="Y44" s="329" t="str">
        <f t="shared" si="1"/>
        <v/>
      </c>
      <c r="Z44" s="179"/>
      <c r="AA44" s="180" t="str">
        <f>IF(F44&lt;&gt;"",IF(Input!L45&lt;&gt;"",Input!L45,""),"")</f>
        <v/>
      </c>
      <c r="AB44" s="181" t="str">
        <f>IFERROR(IF($AA$5="","",IF(F44&lt;&gt;"",(Input!L45/Input!$L$6)*100,"")),"NA")</f>
        <v/>
      </c>
      <c r="AC44" s="182" t="str">
        <f>IF(F44&lt;&gt;"",IF(Input!M45&lt;&gt;"",Input!M45,""),"")</f>
        <v/>
      </c>
      <c r="AD44" s="181" t="str">
        <f>IFERROR(IF($AC$5="","",IF(F44&lt;&gt;"",(Input!M45/Input!$M$6)*100,"")),"NA")</f>
        <v/>
      </c>
      <c r="AE44" s="183" t="str">
        <f>IF(F44&lt;&gt;"",IF(Input!N45&lt;&gt;"",Input!N45,""),"")</f>
        <v/>
      </c>
      <c r="AF44" s="181" t="str">
        <f>IFERROR(IF($AE$5="","",IF(F44&lt;&gt;"",(Input!N45/Input!$N$6)*100,"")),"NA")</f>
        <v/>
      </c>
      <c r="AG44" s="183" t="str">
        <f>IF(F44&lt;&gt;"",IF(Input!O45&lt;&gt;"",Input!O45,""),"")</f>
        <v/>
      </c>
      <c r="AH44" s="181" t="str">
        <f>IFERROR(IF($AG$5="","",IF(F44&lt;&gt;"",(Input!O45/Input!$O$6)*100,"")),"NA")</f>
        <v/>
      </c>
      <c r="AI44" s="327" t="str">
        <f>IF(Input!P45="Error","Error",IF(F44="","",IF($AA$5="",0,IF(F44&lt;&gt;"",IFERROR(AVERAGE(AB44,AD44,AF44,AH44)*$AI$4,0),""))))</f>
        <v/>
      </c>
      <c r="AJ44" s="179"/>
      <c r="AK44" s="184" t="str">
        <f>IF(Input!Q45="","",IF(F44&lt;&gt;"",Input!Q45,""))</f>
        <v/>
      </c>
      <c r="AL44" s="185" t="str">
        <f>IF(F44="", "",IF(Input!R45="Error", "Error",IF(ISNUMBER(Input!R45), Input!R45*$AL$4, "")))</f>
        <v/>
      </c>
      <c r="AM44" s="186" t="str">
        <f>IF(V44="D","Drp",
IF(F44&lt;&gt;"",
IF(OR(Y44="Error",AI44="Error",AL44="Error"),"Error",
IF(Input!Q45="","-",ROUND(Y44+AI44+AL44,2))),""))</f>
        <v/>
      </c>
      <c r="AN44" s="187" t="str">
        <f>IF(F44&lt;&gt;"",VLOOKUP(AM44,TRANSMUTATION!$A$2:$B$14,2),"")</f>
        <v/>
      </c>
      <c r="AO44" s="188" t="str">
        <f t="shared" si="2"/>
        <v/>
      </c>
      <c r="AP44" s="189"/>
      <c r="AT44" s="101"/>
    </row>
    <row r="45" spans="1:46" ht="15" customHeight="1" x14ac:dyDescent="0.2">
      <c r="A45" s="101"/>
      <c r="C45" s="206">
        <v>39</v>
      </c>
      <c r="D45" s="215" t="str">
        <f>IF(Input!D46&lt;&gt;"",IF(F45&lt;&gt;"",Input!D46,""),"")</f>
        <v/>
      </c>
      <c r="E45" s="321"/>
      <c r="F45" s="322" t="str">
        <f>(IF(Input!F46&lt;&gt;"",Input!F46,""))</f>
        <v/>
      </c>
      <c r="G45" s="18"/>
      <c r="H45" s="18"/>
      <c r="I45" s="18"/>
      <c r="J45" s="18"/>
      <c r="K45" s="18"/>
      <c r="L45" s="18"/>
      <c r="M45" s="18"/>
      <c r="N45" s="18"/>
      <c r="O45" s="18"/>
      <c r="P45" s="18"/>
      <c r="Q45" s="18"/>
      <c r="R45" s="18"/>
      <c r="S45" s="18"/>
      <c r="T45" s="18"/>
      <c r="U45" s="18"/>
      <c r="V45" s="21"/>
      <c r="W45" s="177"/>
      <c r="X45" s="178" t="str">
        <f>Input!K46</f>
        <v/>
      </c>
      <c r="Y45" s="329" t="str">
        <f t="shared" si="1"/>
        <v/>
      </c>
      <c r="Z45" s="179"/>
      <c r="AA45" s="180" t="str">
        <f>IF(F45&lt;&gt;"",IF(Input!L46&lt;&gt;"",Input!L46,""),"")</f>
        <v/>
      </c>
      <c r="AB45" s="181" t="str">
        <f>IFERROR(IF($AA$5="","",IF(F45&lt;&gt;"",(Input!L46/Input!$L$6)*100,"")),"NA")</f>
        <v/>
      </c>
      <c r="AC45" s="182" t="str">
        <f>IF(F45&lt;&gt;"",IF(Input!M46&lt;&gt;"",Input!M46,""),"")</f>
        <v/>
      </c>
      <c r="AD45" s="181" t="str">
        <f>IFERROR(IF($AC$5="","",IF(F45&lt;&gt;"",(Input!M46/Input!$M$6)*100,"")),"NA")</f>
        <v/>
      </c>
      <c r="AE45" s="183" t="str">
        <f>IF(F45&lt;&gt;"",IF(Input!N46&lt;&gt;"",Input!N46,""),"")</f>
        <v/>
      </c>
      <c r="AF45" s="181" t="str">
        <f>IFERROR(IF($AE$5="","",IF(F45&lt;&gt;"",(Input!N46/Input!$N$6)*100,"")),"NA")</f>
        <v/>
      </c>
      <c r="AG45" s="183" t="str">
        <f>IF(F45&lt;&gt;"",IF(Input!O46&lt;&gt;"",Input!O46,""),"")</f>
        <v/>
      </c>
      <c r="AH45" s="181" t="str">
        <f>IFERROR(IF($AG$5="","",IF(F45&lt;&gt;"",(Input!O46/Input!$O$6)*100,"")),"NA")</f>
        <v/>
      </c>
      <c r="AI45" s="327" t="str">
        <f>IF(Input!P46="Error","Error",IF(F45="","",IF($AA$5="",0,IF(F45&lt;&gt;"",IFERROR(AVERAGE(AB45,AD45,AF45,AH45)*$AI$4,0),""))))</f>
        <v/>
      </c>
      <c r="AJ45" s="179"/>
      <c r="AK45" s="184" t="str">
        <f>IF(Input!Q46="","",IF(F45&lt;&gt;"",Input!Q46,""))</f>
        <v/>
      </c>
      <c r="AL45" s="185" t="str">
        <f>IF(F45="", "",IF(Input!R46="Error", "Error",IF(ISNUMBER(Input!R46), Input!R46*$AL$4, "")))</f>
        <v/>
      </c>
      <c r="AM45" s="186" t="str">
        <f>IF(V45="D","Drp",
IF(F45&lt;&gt;"",
IF(OR(Y45="Error",AI45="Error",AL45="Error"),"Error",
IF(Input!Q46="","-",ROUND(Y45+AI45+AL45,2))),""))</f>
        <v/>
      </c>
      <c r="AN45" s="187" t="str">
        <f>IF(F45&lt;&gt;"",VLOOKUP(AM45,TRANSMUTATION!$A$2:$B$14,2),"")</f>
        <v/>
      </c>
      <c r="AO45" s="188" t="str">
        <f t="shared" si="2"/>
        <v/>
      </c>
      <c r="AP45" s="189"/>
      <c r="AT45" s="101"/>
    </row>
    <row r="46" spans="1:46" ht="15" customHeight="1" x14ac:dyDescent="0.2">
      <c r="A46" s="101"/>
      <c r="C46" s="206">
        <v>40</v>
      </c>
      <c r="D46" s="215" t="str">
        <f>IF(Input!D47&lt;&gt;"",IF(F46&lt;&gt;"",Input!D47,""),"")</f>
        <v/>
      </c>
      <c r="E46" s="321"/>
      <c r="F46" s="322" t="str">
        <f>(IF(Input!F47&lt;&gt;"",Input!F47,""))</f>
        <v/>
      </c>
      <c r="G46" s="18"/>
      <c r="H46" s="18"/>
      <c r="I46" s="18"/>
      <c r="J46" s="18"/>
      <c r="K46" s="18"/>
      <c r="L46" s="18"/>
      <c r="M46" s="18"/>
      <c r="N46" s="18"/>
      <c r="O46" s="18"/>
      <c r="P46" s="18"/>
      <c r="Q46" s="18"/>
      <c r="R46" s="18"/>
      <c r="S46" s="18"/>
      <c r="T46" s="18"/>
      <c r="U46" s="18"/>
      <c r="V46" s="21"/>
      <c r="W46" s="177"/>
      <c r="X46" s="178" t="str">
        <f>Input!K47</f>
        <v/>
      </c>
      <c r="Y46" s="329" t="str">
        <f t="shared" si="1"/>
        <v/>
      </c>
      <c r="Z46" s="179"/>
      <c r="AA46" s="180" t="str">
        <f>IF(F46&lt;&gt;"",IF(Input!L47&lt;&gt;"",Input!L47,""),"")</f>
        <v/>
      </c>
      <c r="AB46" s="181" t="str">
        <f>IFERROR(IF($AA$5="","",IF(F46&lt;&gt;"",(Input!L47/Input!$L$6)*100,"")),"NA")</f>
        <v/>
      </c>
      <c r="AC46" s="182" t="str">
        <f>IF(F46&lt;&gt;"",IF(Input!M47&lt;&gt;"",Input!M47,""),"")</f>
        <v/>
      </c>
      <c r="AD46" s="181" t="str">
        <f>IFERROR(IF($AC$5="","",IF(F46&lt;&gt;"",(Input!M47/Input!$M$6)*100,"")),"NA")</f>
        <v/>
      </c>
      <c r="AE46" s="183" t="str">
        <f>IF(F46&lt;&gt;"",IF(Input!N47&lt;&gt;"",Input!N47,""),"")</f>
        <v/>
      </c>
      <c r="AF46" s="181" t="str">
        <f>IFERROR(IF($AE$5="","",IF(F46&lt;&gt;"",(Input!N47/Input!$N$6)*100,"")),"NA")</f>
        <v/>
      </c>
      <c r="AG46" s="183" t="str">
        <f>IF(F46&lt;&gt;"",IF(Input!O47&lt;&gt;"",Input!O47,""),"")</f>
        <v/>
      </c>
      <c r="AH46" s="181" t="str">
        <f>IFERROR(IF($AG$5="","",IF(F46&lt;&gt;"",(Input!O47/Input!$O$6)*100,"")),"NA")</f>
        <v/>
      </c>
      <c r="AI46" s="327" t="str">
        <f>IF(Input!P47="Error","Error",IF(F46="","",IF($AA$5="",0,IF(F46&lt;&gt;"",IFERROR(AVERAGE(AB46,AD46,AF46,AH46)*$AI$4,0),""))))</f>
        <v/>
      </c>
      <c r="AJ46" s="179"/>
      <c r="AK46" s="184" t="str">
        <f>IF(Input!Q47="","",IF(F46&lt;&gt;"",Input!Q47,""))</f>
        <v/>
      </c>
      <c r="AL46" s="185" t="str">
        <f>IF(F46="", "",IF(Input!R47="Error", "Error",IF(ISNUMBER(Input!R47), Input!R47*$AL$4, "")))</f>
        <v/>
      </c>
      <c r="AM46" s="186" t="str">
        <f>IF(V46="D","Drp",
IF(F46&lt;&gt;"",
IF(OR(Y46="Error",AI46="Error",AL46="Error"),"Error",
IF(Input!Q47="","-",ROUND(Y46+AI46+AL46,2))),""))</f>
        <v/>
      </c>
      <c r="AN46" s="187" t="str">
        <f>IF(F46&lt;&gt;"",VLOOKUP(AM46,TRANSMUTATION!$A$2:$B$14,2),"")</f>
        <v/>
      </c>
      <c r="AO46" s="188" t="str">
        <f t="shared" si="2"/>
        <v/>
      </c>
      <c r="AP46" s="189"/>
      <c r="AT46" s="101"/>
    </row>
    <row r="47" spans="1:46" ht="15" customHeight="1" x14ac:dyDescent="0.2">
      <c r="A47" s="101"/>
      <c r="C47" s="206">
        <v>41</v>
      </c>
      <c r="D47" s="215" t="str">
        <f>IF(Input!D48&lt;&gt;"",IF(F47&lt;&gt;"",Input!D48,""),"")</f>
        <v/>
      </c>
      <c r="E47" s="321"/>
      <c r="F47" s="322" t="str">
        <f>(IF(Input!F48&lt;&gt;"",Input!F48,""))</f>
        <v/>
      </c>
      <c r="G47" s="18"/>
      <c r="H47" s="18"/>
      <c r="I47" s="18"/>
      <c r="J47" s="18"/>
      <c r="K47" s="18"/>
      <c r="L47" s="18"/>
      <c r="M47" s="18"/>
      <c r="N47" s="18"/>
      <c r="O47" s="18"/>
      <c r="P47" s="18"/>
      <c r="Q47" s="18"/>
      <c r="R47" s="18"/>
      <c r="S47" s="18"/>
      <c r="T47" s="18"/>
      <c r="U47" s="18"/>
      <c r="V47" s="21"/>
      <c r="W47" s="177"/>
      <c r="X47" s="178" t="str">
        <f>Input!K48</f>
        <v/>
      </c>
      <c r="Y47" s="329" t="str">
        <f t="shared" si="1"/>
        <v/>
      </c>
      <c r="Z47" s="179"/>
      <c r="AA47" s="180" t="str">
        <f>IF(F47&lt;&gt;"",IF(Input!L48&lt;&gt;"",Input!L48,""),"")</f>
        <v/>
      </c>
      <c r="AB47" s="181" t="str">
        <f>IFERROR(IF($AA$5="","",IF(F47&lt;&gt;"",(Input!L48/Input!$L$6)*100,"")),"NA")</f>
        <v/>
      </c>
      <c r="AC47" s="182" t="str">
        <f>IF(F47&lt;&gt;"",IF(Input!M48&lt;&gt;"",Input!M48,""),"")</f>
        <v/>
      </c>
      <c r="AD47" s="181" t="str">
        <f>IFERROR(IF($AC$5="","",IF(F47&lt;&gt;"",(Input!M48/Input!$M$6)*100,"")),"NA")</f>
        <v/>
      </c>
      <c r="AE47" s="183" t="str">
        <f>IF(F47&lt;&gt;"",IF(Input!N48&lt;&gt;"",Input!N48,""),"")</f>
        <v/>
      </c>
      <c r="AF47" s="181" t="str">
        <f>IFERROR(IF($AE$5="","",IF(F47&lt;&gt;"",(Input!N48/Input!$N$6)*100,"")),"NA")</f>
        <v/>
      </c>
      <c r="AG47" s="183" t="str">
        <f>IF(F47&lt;&gt;"",IF(Input!O48&lt;&gt;"",Input!O48,""),"")</f>
        <v/>
      </c>
      <c r="AH47" s="181" t="str">
        <f>IFERROR(IF($AG$5="","",IF(F47&lt;&gt;"",(Input!O48/Input!$O$6)*100,"")),"NA")</f>
        <v/>
      </c>
      <c r="AI47" s="327" t="str">
        <f>IF(Input!P48="Error","Error",IF(F47="","",IF($AA$5="",0,IF(F47&lt;&gt;"",IFERROR(AVERAGE(AB47,AD47,AF47,AH47)*$AI$4,0),""))))</f>
        <v/>
      </c>
      <c r="AJ47" s="179"/>
      <c r="AK47" s="184" t="str">
        <f>IF(Input!Q48="","",IF(F47&lt;&gt;"",Input!Q48,""))</f>
        <v/>
      </c>
      <c r="AL47" s="185" t="str">
        <f>IF(F47="", "",IF(Input!R48="Error", "Error",IF(ISNUMBER(Input!R48), Input!R48*$AL$4, "")))</f>
        <v/>
      </c>
      <c r="AM47" s="186" t="str">
        <f>IF(V47="D","Drp",
IF(F47&lt;&gt;"",
IF(OR(Y47="Error",AI47="Error",AL47="Error"),"Error",
IF(Input!Q48="","-",ROUND(Y47+AI47+AL47,2))),""))</f>
        <v/>
      </c>
      <c r="AN47" s="187" t="str">
        <f>IF(F47&lt;&gt;"",VLOOKUP(AM47,TRANSMUTATION!$A$2:$B$14,2),"")</f>
        <v/>
      </c>
      <c r="AO47" s="188" t="str">
        <f t="shared" si="2"/>
        <v/>
      </c>
      <c r="AP47" s="189"/>
      <c r="AT47" s="101"/>
    </row>
    <row r="48" spans="1:46" ht="15" customHeight="1" x14ac:dyDescent="0.2">
      <c r="A48" s="101"/>
      <c r="C48" s="206">
        <v>42</v>
      </c>
      <c r="D48" s="215" t="str">
        <f>IF(Input!D49&lt;&gt;"",IF(F48&lt;&gt;"",Input!D49,""),"")</f>
        <v/>
      </c>
      <c r="E48" s="321"/>
      <c r="F48" s="322" t="str">
        <f>(IF(Input!F49&lt;&gt;"",Input!F49,""))</f>
        <v/>
      </c>
      <c r="G48" s="18"/>
      <c r="H48" s="18"/>
      <c r="I48" s="18"/>
      <c r="J48" s="18"/>
      <c r="K48" s="18"/>
      <c r="L48" s="18"/>
      <c r="M48" s="18"/>
      <c r="N48" s="18"/>
      <c r="O48" s="18"/>
      <c r="P48" s="18"/>
      <c r="Q48" s="18"/>
      <c r="R48" s="18"/>
      <c r="S48" s="18"/>
      <c r="T48" s="18"/>
      <c r="U48" s="18"/>
      <c r="V48" s="21"/>
      <c r="W48" s="177"/>
      <c r="X48" s="178" t="str">
        <f>Input!K49</f>
        <v/>
      </c>
      <c r="Y48" s="329" t="str">
        <f t="shared" si="1"/>
        <v/>
      </c>
      <c r="Z48" s="179"/>
      <c r="AA48" s="180" t="str">
        <f>IF(F48&lt;&gt;"",IF(Input!L49&lt;&gt;"",Input!L49,""),"")</f>
        <v/>
      </c>
      <c r="AB48" s="181" t="str">
        <f>IFERROR(IF($AA$5="","",IF(F48&lt;&gt;"",(Input!L49/Input!$L$6)*100,"")),"NA")</f>
        <v/>
      </c>
      <c r="AC48" s="182" t="str">
        <f>IF(F48&lt;&gt;"",IF(Input!M49&lt;&gt;"",Input!M49,""),"")</f>
        <v/>
      </c>
      <c r="AD48" s="181" t="str">
        <f>IFERROR(IF($AC$5="","",IF(F48&lt;&gt;"",(Input!M49/Input!$M$6)*100,"")),"NA")</f>
        <v/>
      </c>
      <c r="AE48" s="183" t="str">
        <f>IF(F48&lt;&gt;"",IF(Input!N49&lt;&gt;"",Input!N49,""),"")</f>
        <v/>
      </c>
      <c r="AF48" s="181" t="str">
        <f>IFERROR(IF($AE$5="","",IF(F48&lt;&gt;"",(Input!N49/Input!$N$6)*100,"")),"NA")</f>
        <v/>
      </c>
      <c r="AG48" s="183" t="str">
        <f>IF(F48&lt;&gt;"",IF(Input!O49&lt;&gt;"",Input!O49,""),"")</f>
        <v/>
      </c>
      <c r="AH48" s="181" t="str">
        <f>IFERROR(IF($AG$5="","",IF(F48&lt;&gt;"",(Input!O49/Input!$O$6)*100,"")),"NA")</f>
        <v/>
      </c>
      <c r="AI48" s="327" t="str">
        <f>IF(Input!P49="Error","Error",IF(F48="","",IF($AA$5="",0,IF(F48&lt;&gt;"",IFERROR(AVERAGE(AB48,AD48,AF48,AH48)*$AI$4,0),""))))</f>
        <v/>
      </c>
      <c r="AJ48" s="179"/>
      <c r="AK48" s="184" t="str">
        <f>IF(Input!Q49="","",IF(F48&lt;&gt;"",Input!Q49,""))</f>
        <v/>
      </c>
      <c r="AL48" s="185" t="str">
        <f>IF(F48="", "",IF(Input!R49="Error", "Error",IF(ISNUMBER(Input!R49), Input!R49*$AL$4, "")))</f>
        <v/>
      </c>
      <c r="AM48" s="186" t="str">
        <f>IF(V48="D","Drp",
IF(F48&lt;&gt;"",
IF(OR(Y48="Error",AI48="Error",AL48="Error"),"Error",
IF(Input!Q49="","-",ROUND(Y48+AI48+AL48,2))),""))</f>
        <v/>
      </c>
      <c r="AN48" s="187" t="str">
        <f>IF(F48&lt;&gt;"",VLOOKUP(AM48,TRANSMUTATION!$A$2:$B$14,2),"")</f>
        <v/>
      </c>
      <c r="AO48" s="188" t="str">
        <f t="shared" si="2"/>
        <v/>
      </c>
      <c r="AP48" s="189"/>
      <c r="AT48" s="101"/>
    </row>
    <row r="49" spans="1:46" ht="15" customHeight="1" x14ac:dyDescent="0.2">
      <c r="A49" s="101"/>
      <c r="C49" s="206">
        <v>43</v>
      </c>
      <c r="D49" s="215" t="str">
        <f>IF(Input!D50&lt;&gt;"",IF(F49&lt;&gt;"",Input!D50,""),"")</f>
        <v/>
      </c>
      <c r="E49" s="321"/>
      <c r="F49" s="322" t="str">
        <f>(IF(Input!F50&lt;&gt;"",Input!F50,""))</f>
        <v/>
      </c>
      <c r="G49" s="18"/>
      <c r="H49" s="18"/>
      <c r="I49" s="18"/>
      <c r="J49" s="18"/>
      <c r="K49" s="18"/>
      <c r="L49" s="18"/>
      <c r="M49" s="18"/>
      <c r="N49" s="18"/>
      <c r="O49" s="18"/>
      <c r="P49" s="18"/>
      <c r="Q49" s="18"/>
      <c r="R49" s="18"/>
      <c r="S49" s="18"/>
      <c r="T49" s="18"/>
      <c r="U49" s="18"/>
      <c r="V49" s="21"/>
      <c r="W49" s="177"/>
      <c r="X49" s="178" t="str">
        <f>Input!K50</f>
        <v/>
      </c>
      <c r="Y49" s="329" t="str">
        <f t="shared" si="1"/>
        <v/>
      </c>
      <c r="Z49" s="179"/>
      <c r="AA49" s="180" t="str">
        <f>IF(F49&lt;&gt;"",IF(Input!L50&lt;&gt;"",Input!L50,""),"")</f>
        <v/>
      </c>
      <c r="AB49" s="181" t="str">
        <f>IFERROR(IF($AA$5="","",IF(F49&lt;&gt;"",(Input!L50/Input!$L$6)*100,"")),"NA")</f>
        <v/>
      </c>
      <c r="AC49" s="182" t="str">
        <f>IF(F49&lt;&gt;"",IF(Input!M50&lt;&gt;"",Input!M50,""),"")</f>
        <v/>
      </c>
      <c r="AD49" s="181" t="str">
        <f>IFERROR(IF($AC$5="","",IF(F49&lt;&gt;"",(Input!M50/Input!$M$6)*100,"")),"NA")</f>
        <v/>
      </c>
      <c r="AE49" s="183" t="str">
        <f>IF(F49&lt;&gt;"",IF(Input!N50&lt;&gt;"",Input!N50,""),"")</f>
        <v/>
      </c>
      <c r="AF49" s="181" t="str">
        <f>IFERROR(IF($AE$5="","",IF(F49&lt;&gt;"",(Input!N50/Input!$N$6)*100,"")),"NA")</f>
        <v/>
      </c>
      <c r="AG49" s="183" t="str">
        <f>IF(F49&lt;&gt;"",IF(Input!O50&lt;&gt;"",Input!O50,""),"")</f>
        <v/>
      </c>
      <c r="AH49" s="181" t="str">
        <f>IFERROR(IF($AG$5="","",IF(F49&lt;&gt;"",(Input!O50/Input!$O$6)*100,"")),"NA")</f>
        <v/>
      </c>
      <c r="AI49" s="327" t="str">
        <f>IF(Input!P50="Error","Error",IF(F49="","",IF($AA$5="",0,IF(F49&lt;&gt;"",IFERROR(AVERAGE(AB49,AD49,AF49,AH49)*$AI$4,0),""))))</f>
        <v/>
      </c>
      <c r="AJ49" s="179"/>
      <c r="AK49" s="184" t="str">
        <f>IF(Input!Q50="","",IF(F49&lt;&gt;"",Input!Q50,""))</f>
        <v/>
      </c>
      <c r="AL49" s="185" t="str">
        <f>IF(F49="", "",IF(Input!R50="Error", "Error",IF(ISNUMBER(Input!R50), Input!R50*$AL$4, "")))</f>
        <v/>
      </c>
      <c r="AM49" s="186" t="str">
        <f>IF(V49="D","Drp",
IF(F49&lt;&gt;"",
IF(OR(Y49="Error",AI49="Error",AL49="Error"),"Error",
IF(Input!Q50="","-",ROUND(Y49+AI49+AL49,2))),""))</f>
        <v/>
      </c>
      <c r="AN49" s="187" t="str">
        <f>IF(F49&lt;&gt;"",VLOOKUP(AM49,TRANSMUTATION!$A$2:$B$14,2),"")</f>
        <v/>
      </c>
      <c r="AO49" s="188" t="str">
        <f t="shared" si="2"/>
        <v/>
      </c>
      <c r="AP49" s="189"/>
      <c r="AT49" s="101"/>
    </row>
    <row r="50" spans="1:46" ht="15" customHeight="1" x14ac:dyDescent="0.2">
      <c r="A50" s="101"/>
      <c r="C50" s="206">
        <v>44</v>
      </c>
      <c r="D50" s="215" t="str">
        <f>IF(Input!D51&lt;&gt;"",IF(F50&lt;&gt;"",Input!D51,""),"")</f>
        <v/>
      </c>
      <c r="E50" s="321"/>
      <c r="F50" s="322" t="str">
        <f>(IF(Input!F51&lt;&gt;"",Input!F51,""))</f>
        <v/>
      </c>
      <c r="G50" s="18"/>
      <c r="H50" s="18"/>
      <c r="I50" s="18"/>
      <c r="J50" s="18"/>
      <c r="K50" s="18"/>
      <c r="L50" s="18"/>
      <c r="M50" s="18"/>
      <c r="N50" s="18"/>
      <c r="O50" s="18"/>
      <c r="P50" s="18"/>
      <c r="Q50" s="18"/>
      <c r="R50" s="18"/>
      <c r="S50" s="18"/>
      <c r="T50" s="18"/>
      <c r="U50" s="18"/>
      <c r="V50" s="21"/>
      <c r="W50" s="177"/>
      <c r="X50" s="178" t="str">
        <f>Input!K51</f>
        <v/>
      </c>
      <c r="Y50" s="329" t="str">
        <f t="shared" si="1"/>
        <v/>
      </c>
      <c r="Z50" s="179"/>
      <c r="AA50" s="180" t="str">
        <f>IF(F50&lt;&gt;"",IF(Input!L51&lt;&gt;"",Input!L51,""),"")</f>
        <v/>
      </c>
      <c r="AB50" s="181" t="str">
        <f>IFERROR(IF($AA$5="","",IF(F50&lt;&gt;"",(Input!L51/Input!$L$6)*100,"")),"NA")</f>
        <v/>
      </c>
      <c r="AC50" s="182" t="str">
        <f>IF(F50&lt;&gt;"",IF(Input!M51&lt;&gt;"",Input!M51,""),"")</f>
        <v/>
      </c>
      <c r="AD50" s="181" t="str">
        <f>IFERROR(IF($AC$5="","",IF(F50&lt;&gt;"",(Input!M51/Input!$M$6)*100,"")),"NA")</f>
        <v/>
      </c>
      <c r="AE50" s="183" t="str">
        <f>IF(F50&lt;&gt;"",IF(Input!N51&lt;&gt;"",Input!N51,""),"")</f>
        <v/>
      </c>
      <c r="AF50" s="181" t="str">
        <f>IFERROR(IF($AE$5="","",IF(F50&lt;&gt;"",(Input!N51/Input!$N$6)*100,"")),"NA")</f>
        <v/>
      </c>
      <c r="AG50" s="183" t="str">
        <f>IF(F50&lt;&gt;"",IF(Input!O51&lt;&gt;"",Input!O51,""),"")</f>
        <v/>
      </c>
      <c r="AH50" s="181" t="str">
        <f>IFERROR(IF($AG$5="","",IF(F50&lt;&gt;"",(Input!O51/Input!$O$6)*100,"")),"NA")</f>
        <v/>
      </c>
      <c r="AI50" s="327" t="str">
        <f>IF(Input!P51="Error","Error",IF(F50="","",IF($AA$5="",0,IF(F50&lt;&gt;"",IFERROR(AVERAGE(AB50,AD50,AF50,AH50)*$AI$4,0),""))))</f>
        <v/>
      </c>
      <c r="AJ50" s="179"/>
      <c r="AK50" s="184" t="str">
        <f>IF(Input!Q51="","",IF(F50&lt;&gt;"",Input!Q51,""))</f>
        <v/>
      </c>
      <c r="AL50" s="185" t="str">
        <f>IF(F50="", "",IF(Input!R51="Error", "Error",IF(ISNUMBER(Input!R51), Input!R51*$AL$4, "")))</f>
        <v/>
      </c>
      <c r="AM50" s="186" t="str">
        <f>IF(V50="D","Drp",
IF(F50&lt;&gt;"",
IF(OR(Y50="Error",AI50="Error",AL50="Error"),"Error",
IF(Input!Q51="","-",ROUND(Y50+AI50+AL50,2))),""))</f>
        <v/>
      </c>
      <c r="AN50" s="187" t="str">
        <f>IF(F50&lt;&gt;"",VLOOKUP(AM50,TRANSMUTATION!$A$2:$B$14,2),"")</f>
        <v/>
      </c>
      <c r="AO50" s="188" t="str">
        <f t="shared" si="2"/>
        <v/>
      </c>
      <c r="AP50" s="189"/>
      <c r="AT50" s="101"/>
    </row>
    <row r="51" spans="1:46" ht="15" customHeight="1" x14ac:dyDescent="0.2">
      <c r="A51" s="101"/>
      <c r="C51" s="206">
        <v>45</v>
      </c>
      <c r="D51" s="215" t="str">
        <f>IF(Input!D52&lt;&gt;"",IF(F51&lt;&gt;"",Input!D52,""),"")</f>
        <v/>
      </c>
      <c r="E51" s="321"/>
      <c r="F51" s="322" t="str">
        <f>(IF(Input!F52&lt;&gt;"",Input!F52,""))</f>
        <v/>
      </c>
      <c r="G51" s="18"/>
      <c r="H51" s="18"/>
      <c r="I51" s="18"/>
      <c r="J51" s="18"/>
      <c r="K51" s="18"/>
      <c r="L51" s="18"/>
      <c r="M51" s="18"/>
      <c r="N51" s="18"/>
      <c r="O51" s="18"/>
      <c r="P51" s="18"/>
      <c r="Q51" s="18"/>
      <c r="R51" s="18"/>
      <c r="S51" s="18"/>
      <c r="T51" s="18"/>
      <c r="U51" s="18"/>
      <c r="V51" s="21"/>
      <c r="W51" s="177"/>
      <c r="X51" s="178" t="str">
        <f>Input!K52</f>
        <v/>
      </c>
      <c r="Y51" s="329" t="str">
        <f t="shared" si="1"/>
        <v/>
      </c>
      <c r="Z51" s="179"/>
      <c r="AA51" s="180" t="str">
        <f>IF(F51&lt;&gt;"",IF(Input!L52&lt;&gt;"",Input!L52,""),"")</f>
        <v/>
      </c>
      <c r="AB51" s="181" t="str">
        <f>IFERROR(IF($AA$5="","",IF(F51&lt;&gt;"",(Input!L52/Input!$L$6)*100,"")),"NA")</f>
        <v/>
      </c>
      <c r="AC51" s="182" t="str">
        <f>IF(F51&lt;&gt;"",IF(Input!M52&lt;&gt;"",Input!M52,""),"")</f>
        <v/>
      </c>
      <c r="AD51" s="181" t="str">
        <f>IFERROR(IF($AC$5="","",IF(F51&lt;&gt;"",(Input!M52/Input!$M$6)*100,"")),"NA")</f>
        <v/>
      </c>
      <c r="AE51" s="183" t="str">
        <f>IF(F51&lt;&gt;"",IF(Input!N52&lt;&gt;"",Input!N52,""),"")</f>
        <v/>
      </c>
      <c r="AF51" s="181" t="str">
        <f>IFERROR(IF($AE$5="","",IF(F51&lt;&gt;"",(Input!N52/Input!$N$6)*100,"")),"NA")</f>
        <v/>
      </c>
      <c r="AG51" s="183" t="str">
        <f>IF(F51&lt;&gt;"",IF(Input!O52&lt;&gt;"",Input!O52,""),"")</f>
        <v/>
      </c>
      <c r="AH51" s="181" t="str">
        <f>IFERROR(IF($AG$5="","",IF(F51&lt;&gt;"",(Input!O52/Input!$O$6)*100,"")),"NA")</f>
        <v/>
      </c>
      <c r="AI51" s="327" t="str">
        <f>IF(Input!P52="Error","Error",IF(F51="","",IF($AA$5="",0,IF(F51&lt;&gt;"",IFERROR(AVERAGE(AB51,AD51,AF51,AH51)*$AI$4,0),""))))</f>
        <v/>
      </c>
      <c r="AJ51" s="179"/>
      <c r="AK51" s="184" t="str">
        <f>IF(Input!Q52="","",IF(F51&lt;&gt;"",Input!Q52,""))</f>
        <v/>
      </c>
      <c r="AL51" s="185" t="str">
        <f>IF(F51="", "",IF(Input!R52="Error", "Error",IF(ISNUMBER(Input!R52), Input!R52*$AL$4, "")))</f>
        <v/>
      </c>
      <c r="AM51" s="186" t="str">
        <f>IF(V51="D","Drp",
IF(F51&lt;&gt;"",
IF(OR(Y51="Error",AI51="Error",AL51="Error"),"Error",
IF(Input!Q52="","-",ROUND(Y51+AI51+AL51,2))),""))</f>
        <v/>
      </c>
      <c r="AN51" s="187" t="str">
        <f>IF(F51&lt;&gt;"",VLOOKUP(AM51,TRANSMUTATION!$A$2:$B$14,2),"")</f>
        <v/>
      </c>
      <c r="AO51" s="188" t="str">
        <f t="shared" si="2"/>
        <v/>
      </c>
      <c r="AP51" s="189"/>
      <c r="AT51" s="101"/>
    </row>
    <row r="52" spans="1:46" ht="15" customHeight="1" x14ac:dyDescent="0.2">
      <c r="A52" s="101"/>
      <c r="C52" s="206">
        <v>46</v>
      </c>
      <c r="D52" s="215" t="str">
        <f>IF(Input!D53&lt;&gt;"",IF(F52&lt;&gt;"",Input!D53,""),"")</f>
        <v/>
      </c>
      <c r="E52" s="321"/>
      <c r="F52" s="322" t="str">
        <f>(IF(Input!F53&lt;&gt;"",Input!F53,""))</f>
        <v/>
      </c>
      <c r="G52" s="18"/>
      <c r="H52" s="18"/>
      <c r="I52" s="18"/>
      <c r="J52" s="18"/>
      <c r="K52" s="18"/>
      <c r="L52" s="18"/>
      <c r="M52" s="18"/>
      <c r="N52" s="18"/>
      <c r="O52" s="18"/>
      <c r="P52" s="18"/>
      <c r="Q52" s="18"/>
      <c r="R52" s="18"/>
      <c r="S52" s="18"/>
      <c r="T52" s="18"/>
      <c r="U52" s="18"/>
      <c r="V52" s="21"/>
      <c r="W52" s="177"/>
      <c r="X52" s="178" t="str">
        <f>Input!K53</f>
        <v/>
      </c>
      <c r="Y52" s="329" t="str">
        <f t="shared" si="1"/>
        <v/>
      </c>
      <c r="Z52" s="179"/>
      <c r="AA52" s="180" t="str">
        <f>IF(F52&lt;&gt;"",IF(Input!L53&lt;&gt;"",Input!L53,""),"")</f>
        <v/>
      </c>
      <c r="AB52" s="181" t="str">
        <f>IFERROR(IF($AA$5="","",IF(F52&lt;&gt;"",(Input!L53/Input!$L$6)*100,"")),"NA")</f>
        <v/>
      </c>
      <c r="AC52" s="182" t="str">
        <f>IF(F52&lt;&gt;"",IF(Input!M53&lt;&gt;"",Input!M53,""),"")</f>
        <v/>
      </c>
      <c r="AD52" s="181" t="str">
        <f>IFERROR(IF($AC$5="","",IF(F52&lt;&gt;"",(Input!M53/Input!$M$6)*100,"")),"NA")</f>
        <v/>
      </c>
      <c r="AE52" s="183" t="str">
        <f>IF(F52&lt;&gt;"",IF(Input!N53&lt;&gt;"",Input!N53,""),"")</f>
        <v/>
      </c>
      <c r="AF52" s="181" t="str">
        <f>IFERROR(IF($AE$5="","",IF(F52&lt;&gt;"",(Input!N53/Input!$N$6)*100,"")),"NA")</f>
        <v/>
      </c>
      <c r="AG52" s="183" t="str">
        <f>IF(F52&lt;&gt;"",IF(Input!O53&lt;&gt;"",Input!O53,""),"")</f>
        <v/>
      </c>
      <c r="AH52" s="181" t="str">
        <f>IFERROR(IF($AG$5="","",IF(F52&lt;&gt;"",(Input!O53/Input!$O$6)*100,"")),"NA")</f>
        <v/>
      </c>
      <c r="AI52" s="327" t="str">
        <f>IF(Input!P53="Error","Error",IF(F52="","",IF($AA$5="",0,IF(F52&lt;&gt;"",IFERROR(AVERAGE(AB52,AD52,AF52,AH52)*$AI$4,0),""))))</f>
        <v/>
      </c>
      <c r="AJ52" s="179"/>
      <c r="AK52" s="184" t="str">
        <f>IF(Input!Q53="","",IF(F52&lt;&gt;"",Input!Q53,""))</f>
        <v/>
      </c>
      <c r="AL52" s="185" t="str">
        <f>IF(F52="", "",IF(Input!R53="Error", "Error",IF(ISNUMBER(Input!R53), Input!R53*$AL$4, "")))</f>
        <v/>
      </c>
      <c r="AM52" s="186" t="str">
        <f>IF(V52="D","Drp",
IF(F52&lt;&gt;"",
IF(OR(Y52="Error",AI52="Error",AL52="Error"),"Error",
IF(Input!Q53="","-",ROUND(Y52+AI52+AL52,2))),""))</f>
        <v/>
      </c>
      <c r="AN52" s="187" t="str">
        <f>IF(F52&lt;&gt;"",VLOOKUP(AM52,TRANSMUTATION!$A$2:$B$14,2),"")</f>
        <v/>
      </c>
      <c r="AO52" s="188" t="str">
        <f t="shared" si="2"/>
        <v/>
      </c>
      <c r="AP52" s="189"/>
      <c r="AT52" s="101"/>
    </row>
    <row r="53" spans="1:46" ht="15" customHeight="1" x14ac:dyDescent="0.2">
      <c r="A53" s="101"/>
      <c r="C53" s="206">
        <v>47</v>
      </c>
      <c r="D53" s="215" t="str">
        <f>IF(Input!D54&lt;&gt;"",IF(F53&lt;&gt;"",Input!D54,""),"")</f>
        <v/>
      </c>
      <c r="E53" s="321"/>
      <c r="F53" s="322" t="str">
        <f>(IF(Input!F54&lt;&gt;"",Input!F54,""))</f>
        <v/>
      </c>
      <c r="G53" s="18"/>
      <c r="H53" s="18"/>
      <c r="I53" s="18"/>
      <c r="J53" s="18"/>
      <c r="K53" s="18"/>
      <c r="L53" s="18"/>
      <c r="M53" s="18"/>
      <c r="N53" s="18"/>
      <c r="O53" s="18"/>
      <c r="P53" s="18"/>
      <c r="Q53" s="18"/>
      <c r="R53" s="18"/>
      <c r="S53" s="18"/>
      <c r="T53" s="18"/>
      <c r="U53" s="18"/>
      <c r="V53" s="21"/>
      <c r="W53" s="177"/>
      <c r="X53" s="178" t="str">
        <f>Input!K54</f>
        <v/>
      </c>
      <c r="Y53" s="329" t="str">
        <f t="shared" si="1"/>
        <v/>
      </c>
      <c r="Z53" s="179"/>
      <c r="AA53" s="180" t="str">
        <f>IF(F53&lt;&gt;"",IF(Input!L54&lt;&gt;"",Input!L54,""),"")</f>
        <v/>
      </c>
      <c r="AB53" s="181" t="str">
        <f>IFERROR(IF($AA$5="","",IF(F53&lt;&gt;"",(Input!L54/Input!$L$6)*100,"")),"NA")</f>
        <v/>
      </c>
      <c r="AC53" s="182" t="str">
        <f>IF(F53&lt;&gt;"",IF(Input!M54&lt;&gt;"",Input!M54,""),"")</f>
        <v/>
      </c>
      <c r="AD53" s="181" t="str">
        <f>IFERROR(IF($AC$5="","",IF(F53&lt;&gt;"",(Input!M54/Input!$M$6)*100,"")),"NA")</f>
        <v/>
      </c>
      <c r="AE53" s="183" t="str">
        <f>IF(F53&lt;&gt;"",IF(Input!N54&lt;&gt;"",Input!N54,""),"")</f>
        <v/>
      </c>
      <c r="AF53" s="181" t="str">
        <f>IFERROR(IF($AE$5="","",IF(F53&lt;&gt;"",(Input!N54/Input!$N$6)*100,"")),"NA")</f>
        <v/>
      </c>
      <c r="AG53" s="183" t="str">
        <f>IF(F53&lt;&gt;"",IF(Input!O54&lt;&gt;"",Input!O54,""),"")</f>
        <v/>
      </c>
      <c r="AH53" s="181" t="str">
        <f>IFERROR(IF($AG$5="","",IF(F53&lt;&gt;"",(Input!O54/Input!$O$6)*100,"")),"NA")</f>
        <v/>
      </c>
      <c r="AI53" s="327" t="str">
        <f>IF(Input!P54="Error","Error",IF(F53="","",IF($AA$5="",0,IF(F53&lt;&gt;"",IFERROR(AVERAGE(AB53,AD53,AF53,AH53)*$AI$4,0),""))))</f>
        <v/>
      </c>
      <c r="AJ53" s="179"/>
      <c r="AK53" s="184" t="str">
        <f>IF(Input!Q54="","",IF(F53&lt;&gt;"",Input!Q54,""))</f>
        <v/>
      </c>
      <c r="AL53" s="185" t="str">
        <f>IF(F53="", "",IF(Input!R54="Error", "Error",IF(ISNUMBER(Input!R54), Input!R54*$AL$4, "")))</f>
        <v/>
      </c>
      <c r="AM53" s="186" t="str">
        <f>IF(V53="D","Drp",
IF(F53&lt;&gt;"",
IF(OR(Y53="Error",AI53="Error",AL53="Error"),"Error",
IF(Input!Q54="","-",ROUND(Y53+AI53+AL53,2))),""))</f>
        <v/>
      </c>
      <c r="AN53" s="187" t="str">
        <f>IF(F53&lt;&gt;"",VLOOKUP(AM53,TRANSMUTATION!$A$2:$B$14,2),"")</f>
        <v/>
      </c>
      <c r="AO53" s="188" t="str">
        <f t="shared" si="2"/>
        <v/>
      </c>
      <c r="AP53" s="189"/>
      <c r="AT53" s="101"/>
    </row>
    <row r="54" spans="1:46" ht="15" customHeight="1" x14ac:dyDescent="0.2">
      <c r="A54" s="101"/>
      <c r="C54" s="206">
        <v>48</v>
      </c>
      <c r="D54" s="215" t="str">
        <f>IF(Input!D55&lt;&gt;"",IF(F54&lt;&gt;"",Input!D55,""),"")</f>
        <v/>
      </c>
      <c r="E54" s="321"/>
      <c r="F54" s="322" t="str">
        <f>(IF(Input!F55&lt;&gt;"",Input!F55,""))</f>
        <v/>
      </c>
      <c r="G54" s="18"/>
      <c r="H54" s="18"/>
      <c r="I54" s="18"/>
      <c r="J54" s="18"/>
      <c r="K54" s="18"/>
      <c r="L54" s="18"/>
      <c r="M54" s="18"/>
      <c r="N54" s="18"/>
      <c r="O54" s="18"/>
      <c r="P54" s="18"/>
      <c r="Q54" s="18"/>
      <c r="R54" s="18"/>
      <c r="S54" s="18"/>
      <c r="T54" s="18"/>
      <c r="U54" s="18"/>
      <c r="V54" s="21"/>
      <c r="W54" s="177"/>
      <c r="X54" s="178" t="str">
        <f>Input!K55</f>
        <v/>
      </c>
      <c r="Y54" s="329" t="str">
        <f t="shared" si="1"/>
        <v/>
      </c>
      <c r="Z54" s="179"/>
      <c r="AA54" s="180" t="str">
        <f>IF(F54&lt;&gt;"",IF(Input!L55&lt;&gt;"",Input!L55,""),"")</f>
        <v/>
      </c>
      <c r="AB54" s="181" t="str">
        <f>IFERROR(IF($AA$5="","",IF(F54&lt;&gt;"",(Input!L55/Input!$L$6)*100,"")),"NA")</f>
        <v/>
      </c>
      <c r="AC54" s="182" t="str">
        <f>IF(F54&lt;&gt;"",IF(Input!M55&lt;&gt;"",Input!M55,""),"")</f>
        <v/>
      </c>
      <c r="AD54" s="181" t="str">
        <f>IFERROR(IF($AC$5="","",IF(F54&lt;&gt;"",(Input!M55/Input!$M$6)*100,"")),"NA")</f>
        <v/>
      </c>
      <c r="AE54" s="183" t="str">
        <f>IF(F54&lt;&gt;"",IF(Input!N55&lt;&gt;"",Input!N55,""),"")</f>
        <v/>
      </c>
      <c r="AF54" s="181" t="str">
        <f>IFERROR(IF($AE$5="","",IF(F54&lt;&gt;"",(Input!N55/Input!$N$6)*100,"")),"NA")</f>
        <v/>
      </c>
      <c r="AG54" s="183" t="str">
        <f>IF(F54&lt;&gt;"",IF(Input!O55&lt;&gt;"",Input!O55,""),"")</f>
        <v/>
      </c>
      <c r="AH54" s="181" t="str">
        <f>IFERROR(IF($AG$5="","",IF(F54&lt;&gt;"",(Input!O55/Input!$O$6)*100,"")),"NA")</f>
        <v/>
      </c>
      <c r="AI54" s="327" t="str">
        <f>IF(Input!P55="Error","Error",IF(F54="","",IF($AA$5="",0,IF(F54&lt;&gt;"",IFERROR(AVERAGE(AB54,AD54,AF54,AH54)*$AI$4,0),""))))</f>
        <v/>
      </c>
      <c r="AJ54" s="179"/>
      <c r="AK54" s="184" t="str">
        <f>IF(Input!Q55="","",IF(F54&lt;&gt;"",Input!Q55,""))</f>
        <v/>
      </c>
      <c r="AL54" s="185" t="str">
        <f>IF(F54="", "",IF(Input!R55="Error", "Error",IF(ISNUMBER(Input!R55), Input!R55*$AL$4, "")))</f>
        <v/>
      </c>
      <c r="AM54" s="186" t="str">
        <f>IF(V54="D","Drp",
IF(F54&lt;&gt;"",
IF(OR(Y54="Error",AI54="Error",AL54="Error"),"Error",
IF(Input!Q55="","-",ROUND(Y54+AI54+AL54,2))),""))</f>
        <v/>
      </c>
      <c r="AN54" s="187" t="str">
        <f>IF(F54&lt;&gt;"",VLOOKUP(AM54,TRANSMUTATION!$A$2:$B$14,2),"")</f>
        <v/>
      </c>
      <c r="AO54" s="188" t="str">
        <f t="shared" si="2"/>
        <v/>
      </c>
      <c r="AP54" s="189"/>
      <c r="AT54" s="101"/>
    </row>
    <row r="55" spans="1:46" ht="15" customHeight="1" x14ac:dyDescent="0.2">
      <c r="A55" s="101"/>
      <c r="C55" s="206">
        <v>49</v>
      </c>
      <c r="D55" s="215" t="str">
        <f>IF(Input!D56&lt;&gt;"",IF(F55&lt;&gt;"",Input!D56,""),"")</f>
        <v/>
      </c>
      <c r="E55" s="321"/>
      <c r="F55" s="322" t="str">
        <f>(IF(Input!F56&lt;&gt;"",Input!F56,""))</f>
        <v/>
      </c>
      <c r="G55" s="18"/>
      <c r="H55" s="18"/>
      <c r="I55" s="18"/>
      <c r="J55" s="18"/>
      <c r="K55" s="18"/>
      <c r="L55" s="18"/>
      <c r="M55" s="18"/>
      <c r="N55" s="18"/>
      <c r="O55" s="18"/>
      <c r="P55" s="18"/>
      <c r="Q55" s="18"/>
      <c r="R55" s="18"/>
      <c r="S55" s="18"/>
      <c r="T55" s="18"/>
      <c r="U55" s="18"/>
      <c r="V55" s="21"/>
      <c r="W55" s="177"/>
      <c r="X55" s="178" t="str">
        <f>Input!K56</f>
        <v/>
      </c>
      <c r="Y55" s="329" t="str">
        <f t="shared" si="1"/>
        <v/>
      </c>
      <c r="Z55" s="179"/>
      <c r="AA55" s="180" t="str">
        <f>IF(F55&lt;&gt;"",IF(Input!L56&lt;&gt;"",Input!L56,""),"")</f>
        <v/>
      </c>
      <c r="AB55" s="181" t="str">
        <f>IFERROR(IF($AA$5="","",IF(F55&lt;&gt;"",(Input!L56/Input!$L$6)*100,"")),"NA")</f>
        <v/>
      </c>
      <c r="AC55" s="182" t="str">
        <f>IF(F55&lt;&gt;"",IF(Input!M56&lt;&gt;"",Input!M56,""),"")</f>
        <v/>
      </c>
      <c r="AD55" s="181" t="str">
        <f>IFERROR(IF($AC$5="","",IF(F55&lt;&gt;"",(Input!M56/Input!$M$6)*100,"")),"NA")</f>
        <v/>
      </c>
      <c r="AE55" s="183" t="str">
        <f>IF(F55&lt;&gt;"",IF(Input!N56&lt;&gt;"",Input!N56,""),"")</f>
        <v/>
      </c>
      <c r="AF55" s="181" t="str">
        <f>IFERROR(IF($AE$5="","",IF(F55&lt;&gt;"",(Input!N56/Input!$N$6)*100,"")),"NA")</f>
        <v/>
      </c>
      <c r="AG55" s="183" t="str">
        <f>IF(F55&lt;&gt;"",IF(Input!O56&lt;&gt;"",Input!O56,""),"")</f>
        <v/>
      </c>
      <c r="AH55" s="181" t="str">
        <f>IFERROR(IF($AG$5="","",IF(F55&lt;&gt;"",(Input!O56/Input!$O$6)*100,"")),"NA")</f>
        <v/>
      </c>
      <c r="AI55" s="327" t="str">
        <f>IF(Input!P56="Error","Error",IF(F55="","",IF($AA$5="",0,IF(F55&lt;&gt;"",IFERROR(AVERAGE(AB55,AD55,AF55,AH55)*$AI$4,0),""))))</f>
        <v/>
      </c>
      <c r="AJ55" s="179"/>
      <c r="AK55" s="184" t="str">
        <f>IF(Input!Q56="","",IF(F55&lt;&gt;"",Input!Q56,""))</f>
        <v/>
      </c>
      <c r="AL55" s="185" t="str">
        <f>IF(F55="", "",IF(Input!R56="Error", "Error",IF(ISNUMBER(Input!R56), Input!R56*$AL$4, "")))</f>
        <v/>
      </c>
      <c r="AM55" s="186" t="str">
        <f>IF(V55="D","Drp",
IF(F55&lt;&gt;"",
IF(OR(Y55="Error",AI55="Error",AL55="Error"),"Error",
IF(Input!Q56="","-",ROUND(Y55+AI55+AL55,2))),""))</f>
        <v/>
      </c>
      <c r="AN55" s="187" t="str">
        <f>IF(F55&lt;&gt;"",VLOOKUP(AM55,TRANSMUTATION!$A$2:$B$14,2),"")</f>
        <v/>
      </c>
      <c r="AO55" s="188" t="str">
        <f t="shared" si="2"/>
        <v/>
      </c>
      <c r="AP55" s="189"/>
      <c r="AT55" s="101"/>
    </row>
    <row r="56" spans="1:46" ht="15" customHeight="1" thickBot="1" x14ac:dyDescent="0.25">
      <c r="A56" s="101"/>
      <c r="C56" s="207">
        <v>50</v>
      </c>
      <c r="D56" s="323" t="str">
        <f>IF(Input!D57&lt;&gt;"",IF(F56&lt;&gt;"",Input!D57,""),"")</f>
        <v/>
      </c>
      <c r="E56" s="324"/>
      <c r="F56" s="325" t="str">
        <f>(IF(Input!F57&lt;&gt;"",Input!F57,""))</f>
        <v/>
      </c>
      <c r="G56" s="19"/>
      <c r="H56" s="19"/>
      <c r="I56" s="19"/>
      <c r="J56" s="19"/>
      <c r="K56" s="19"/>
      <c r="L56" s="19"/>
      <c r="M56" s="19"/>
      <c r="N56" s="19"/>
      <c r="O56" s="19"/>
      <c r="P56" s="19"/>
      <c r="Q56" s="19"/>
      <c r="R56" s="19"/>
      <c r="S56" s="19"/>
      <c r="T56" s="19"/>
      <c r="U56" s="19"/>
      <c r="V56" s="22"/>
      <c r="W56" s="177"/>
      <c r="X56" s="197" t="str">
        <f>Input!K57</f>
        <v/>
      </c>
      <c r="Y56" s="264" t="str">
        <f t="shared" si="1"/>
        <v/>
      </c>
      <c r="Z56" s="179"/>
      <c r="AA56" s="326" t="str">
        <f>IF(F56&lt;&gt;"",IF(Input!L57&lt;&gt;"",Input!L57,""),"")</f>
        <v/>
      </c>
      <c r="AB56" s="199" t="str">
        <f>IFERROR(IF($AA$5="","",IF(F56&lt;&gt;"",(Input!L57/Input!$L$6)*100,"")),"NA")</f>
        <v/>
      </c>
      <c r="AC56" s="200" t="str">
        <f>IF(F56&lt;&gt;"",IF(Input!M57&lt;&gt;"",Input!M57,""),"")</f>
        <v/>
      </c>
      <c r="AD56" s="199" t="str">
        <f>IFERROR(IF($AC$5="","",IF(F56&lt;&gt;"",(Input!M57/Input!$M$6)*100,"")),"NA")</f>
        <v/>
      </c>
      <c r="AE56" s="201" t="str">
        <f>IF(F56&lt;&gt;"",IF(Input!N57&lt;&gt;"",Input!N57,""),"")</f>
        <v/>
      </c>
      <c r="AF56" s="199" t="str">
        <f>IFERROR(IF($AE$5="","",IF(F56&lt;&gt;"",(Input!N57/Input!$N$6)*100,"")),"NA")</f>
        <v/>
      </c>
      <c r="AG56" s="201" t="str">
        <f>IF(F56&lt;&gt;"",IF(Input!O57&lt;&gt;"",Input!O57,""),"")</f>
        <v/>
      </c>
      <c r="AH56" s="199" t="str">
        <f>IFERROR(IF($AG$5="","",IF(F56&lt;&gt;"",(Input!O57/Input!$O$6)*100,"")),"NA")</f>
        <v/>
      </c>
      <c r="AI56" s="265" t="str">
        <f>IF(Input!P57="Error","Error",IF(F56="","",IF($AA$5="",0,IF(F56&lt;&gt;"",IFERROR(AVERAGE(AB56,AD56,AF56,AH56)*$AI$4,0),""))))</f>
        <v/>
      </c>
      <c r="AJ56" s="179"/>
      <c r="AK56" s="245" t="str">
        <f>IF(Input!Q57="","",IF(F56&lt;&gt;"",Input!Q57,""))</f>
        <v/>
      </c>
      <c r="AL56" s="203" t="str">
        <f>IF(F56="", "",IF(Input!R57="Error", "Error",IF(ISNUMBER(Input!R57), Input!R57*$AL$4, "")))</f>
        <v/>
      </c>
      <c r="AM56" s="266" t="str">
        <f>IF(V56="D","Drp",
IF(F56&lt;&gt;"",
IF(OR(Y56="Error",AI56="Error",AL56="Error"),"Error",
IF(Input!Q57="","-",ROUND(Y56+AI56+AL56,2))),""))</f>
        <v/>
      </c>
      <c r="AN56" s="204" t="str">
        <f>IF(F56&lt;&gt;"",VLOOKUP(AM56,TRANSMUTATION!$A$2:$B$14,2),"")</f>
        <v/>
      </c>
      <c r="AO56" s="205" t="str">
        <f t="shared" si="2"/>
        <v/>
      </c>
      <c r="AP56" s="189"/>
      <c r="AT56" s="101"/>
    </row>
    <row r="57" spans="1:46" s="103" customFormat="1" ht="21" hidden="1" customHeight="1" thickBot="1" x14ac:dyDescent="0.25">
      <c r="A57" s="106"/>
      <c r="B57" s="135"/>
      <c r="C57" s="136"/>
      <c r="D57" s="137"/>
      <c r="E57" s="137"/>
      <c r="F57" s="138"/>
      <c r="G57" s="139">
        <f t="shared" ref="G57:U57" si="3">COUNT(G7:G56)</f>
        <v>0</v>
      </c>
      <c r="H57" s="139">
        <f t="shared" si="3"/>
        <v>0</v>
      </c>
      <c r="I57" s="139">
        <f t="shared" si="3"/>
        <v>1</v>
      </c>
      <c r="J57" s="139">
        <f t="shared" si="3"/>
        <v>0</v>
      </c>
      <c r="K57" s="139">
        <f t="shared" si="3"/>
        <v>0</v>
      </c>
      <c r="L57" s="139">
        <f t="shared" si="3"/>
        <v>1</v>
      </c>
      <c r="M57" s="139">
        <f t="shared" si="3"/>
        <v>0</v>
      </c>
      <c r="N57" s="139">
        <f t="shared" si="3"/>
        <v>0</v>
      </c>
      <c r="O57" s="139">
        <f t="shared" si="3"/>
        <v>1</v>
      </c>
      <c r="P57" s="139">
        <f t="shared" si="3"/>
        <v>0</v>
      </c>
      <c r="Q57" s="139">
        <f t="shared" si="3"/>
        <v>0</v>
      </c>
      <c r="R57" s="139">
        <f t="shared" si="3"/>
        <v>0</v>
      </c>
      <c r="S57" s="139">
        <f t="shared" si="3"/>
        <v>0</v>
      </c>
      <c r="T57" s="139">
        <f t="shared" si="3"/>
        <v>0</v>
      </c>
      <c r="U57" s="140">
        <f t="shared" si="3"/>
        <v>0</v>
      </c>
      <c r="V57" s="141"/>
      <c r="W57" s="142"/>
      <c r="X57" s="136"/>
      <c r="Y57" s="143"/>
      <c r="AA57" s="462">
        <f>AVERAGE(AB7:AB56)</f>
        <v>97.36</v>
      </c>
      <c r="AB57" s="461"/>
      <c r="AC57" s="460"/>
      <c r="AD57" s="461"/>
      <c r="AE57" s="144" t="str">
        <f>IF(F57&lt;&gt;"",IF(Input!N58&lt;&gt;"",Input!N58,""),"")</f>
        <v/>
      </c>
      <c r="AF57" s="145" t="str">
        <f>IF($AE$5="","",IF(F57&lt;&gt;"",(Input!N58/Input!$N$6)*100,""))</f>
        <v/>
      </c>
      <c r="AG57" s="460"/>
      <c r="AH57" s="461"/>
      <c r="AI57" s="146"/>
      <c r="AJ57" s="135"/>
      <c r="AK57" s="147"/>
      <c r="AL57" s="148"/>
      <c r="AM57" s="149" t="str">
        <f>IF(V57="D", "Drp", IF(F57&lt;&gt;"", IF(Input!Q58="", "-", IF(OR(Y57="Error", AI57="Error", AL57="Error"), "Error", Y57+AI57+AL57)), ""))</f>
        <v/>
      </c>
      <c r="AN57" s="150"/>
      <c r="AO57" s="151"/>
      <c r="AP57" s="152"/>
      <c r="AQ57" s="152"/>
      <c r="AR57" s="152"/>
      <c r="AS57" s="153"/>
      <c r="AT57" s="106"/>
    </row>
    <row r="58" spans="1:46" ht="15" customHeight="1" x14ac:dyDescent="0.2">
      <c r="A58" s="101"/>
      <c r="C58" s="154"/>
      <c r="D58" s="155"/>
      <c r="E58" s="155"/>
      <c r="F58" s="156"/>
      <c r="G58" s="157"/>
      <c r="H58" s="157"/>
      <c r="I58" s="157"/>
      <c r="J58" s="158"/>
      <c r="K58" s="158"/>
      <c r="L58" s="158"/>
      <c r="M58" s="158"/>
      <c r="N58" s="158"/>
      <c r="O58" s="158"/>
      <c r="P58" s="158"/>
      <c r="Q58" s="158"/>
      <c r="R58" s="158"/>
      <c r="S58" s="158"/>
      <c r="T58" s="158"/>
      <c r="U58" s="158"/>
      <c r="V58" s="158"/>
      <c r="X58" s="154"/>
      <c r="Y58" s="154"/>
      <c r="AA58" s="154"/>
      <c r="AB58" s="154"/>
      <c r="AC58" s="154"/>
      <c r="AD58" s="154"/>
      <c r="AE58" s="154"/>
      <c r="AF58" s="154"/>
      <c r="AG58" s="154"/>
      <c r="AH58" s="154"/>
      <c r="AI58" s="160"/>
      <c r="AK58" s="161"/>
      <c r="AL58" s="162"/>
      <c r="AM58" s="163"/>
      <c r="AT58" s="101"/>
    </row>
    <row r="59" spans="1:46" ht="9.9499999999999993" customHeight="1" x14ac:dyDescent="0.2">
      <c r="A59" s="101"/>
      <c r="B59" s="101"/>
      <c r="C59" s="106"/>
      <c r="D59" s="107"/>
      <c r="E59" s="107"/>
      <c r="F59" s="101"/>
      <c r="G59" s="165"/>
      <c r="H59" s="165"/>
      <c r="I59" s="165"/>
      <c r="J59" s="166"/>
      <c r="K59" s="166"/>
      <c r="L59" s="166"/>
      <c r="M59" s="166"/>
      <c r="N59" s="166"/>
      <c r="O59" s="166"/>
      <c r="P59" s="166"/>
      <c r="Q59" s="166"/>
      <c r="R59" s="166"/>
      <c r="S59" s="166"/>
      <c r="T59" s="166"/>
      <c r="U59" s="166"/>
      <c r="V59" s="166"/>
      <c r="W59" s="166"/>
      <c r="X59" s="106"/>
      <c r="Y59" s="106"/>
      <c r="Z59" s="106"/>
      <c r="AA59" s="106"/>
      <c r="AB59" s="106"/>
      <c r="AC59" s="106"/>
      <c r="AD59" s="106"/>
      <c r="AE59" s="106"/>
      <c r="AF59" s="106"/>
      <c r="AG59" s="106"/>
      <c r="AH59" s="106"/>
      <c r="AI59" s="167"/>
      <c r="AJ59" s="106"/>
      <c r="AK59" s="168"/>
      <c r="AL59" s="169"/>
      <c r="AM59" s="170"/>
      <c r="AN59" s="171"/>
      <c r="AO59" s="171"/>
      <c r="AP59" s="101"/>
      <c r="AQ59" s="101"/>
      <c r="AR59" s="101"/>
      <c r="AS59" s="101"/>
      <c r="AT59" s="101"/>
    </row>
    <row r="71" spans="7:7" x14ac:dyDescent="0.2">
      <c r="G71" s="102"/>
    </row>
  </sheetData>
  <sheetProtection algorithmName="SHA-512" hashValue="7LOn1PpRqHLNJL7IS4YKQSdB4EWgj82h30J5ZFK7C41bWClpDU6sU/CskwhZAtnrJXkjoA0ji1ayP/R9FyKzDw==" saltValue="XgMSqg9DUPlTU2FFp8vO5Q==" spinCount="100000" sheet="1" objects="1" scenarios="1"/>
  <mergeCells count="52">
    <mergeCell ref="AQ3:AR3"/>
    <mergeCell ref="AO3:AO6"/>
    <mergeCell ref="X4:Y4"/>
    <mergeCell ref="X5:X6"/>
    <mergeCell ref="Y5:Y6"/>
    <mergeCell ref="AE4:AF4"/>
    <mergeCell ref="AE5:AF5"/>
    <mergeCell ref="AE6:AF6"/>
    <mergeCell ref="AN3:AN6"/>
    <mergeCell ref="AK4:AK5"/>
    <mergeCell ref="AL4:AL5"/>
    <mergeCell ref="AC4:AD4"/>
    <mergeCell ref="AM3:AM6"/>
    <mergeCell ref="AA3:AI3"/>
    <mergeCell ref="AK3:AL3"/>
    <mergeCell ref="AG6:AH6"/>
    <mergeCell ref="AA4:AB4"/>
    <mergeCell ref="AG4:AH4"/>
    <mergeCell ref="AA6:AB6"/>
    <mergeCell ref="AI4:AI5"/>
    <mergeCell ref="AG57:AH57"/>
    <mergeCell ref="AC6:AD6"/>
    <mergeCell ref="AA57:AB57"/>
    <mergeCell ref="AC57:AD57"/>
    <mergeCell ref="AG5:AH5"/>
    <mergeCell ref="AA5:AB5"/>
    <mergeCell ref="AC5:AD5"/>
    <mergeCell ref="V4:V6"/>
    <mergeCell ref="R5:R6"/>
    <mergeCell ref="U5:U6"/>
    <mergeCell ref="S5:S6"/>
    <mergeCell ref="T5:T6"/>
    <mergeCell ref="E1:AJ1"/>
    <mergeCell ref="E2:AJ2"/>
    <mergeCell ref="X3:Y3"/>
    <mergeCell ref="G3:K3"/>
    <mergeCell ref="L3:P3"/>
    <mergeCell ref="Q3:U3"/>
    <mergeCell ref="C3:C6"/>
    <mergeCell ref="D3:F3"/>
    <mergeCell ref="P5:P6"/>
    <mergeCell ref="Q5:Q6"/>
    <mergeCell ref="D4:F5"/>
    <mergeCell ref="H5:H6"/>
    <mergeCell ref="J5:J6"/>
    <mergeCell ref="N5:N6"/>
    <mergeCell ref="G5:G6"/>
    <mergeCell ref="K5:K6"/>
    <mergeCell ref="M5:M6"/>
    <mergeCell ref="I5:I6"/>
    <mergeCell ref="L5:L6"/>
    <mergeCell ref="O5:O6"/>
  </mergeCells>
  <phoneticPr fontId="4" type="noConversion"/>
  <conditionalFormatting sqref="G7:W56">
    <cfRule type="cellIs" dxfId="73" priority="2517" stopIfTrue="1" operator="lessThan">
      <formula>1</formula>
    </cfRule>
  </conditionalFormatting>
  <conditionalFormatting sqref="X7:X56">
    <cfRule type="expression" dxfId="72" priority="9">
      <formula>AND(X7&gt;$X$5,X7&lt;&gt;"")</formula>
    </cfRule>
  </conditionalFormatting>
  <conditionalFormatting sqref="AA7:AA56 AC7:AC56 AE7:AE56 AG7:AG56">
    <cfRule type="expression" dxfId="71" priority="6">
      <formula>AND(ISTEXT(AA7),AA7&lt;&gt;"")</formula>
    </cfRule>
  </conditionalFormatting>
  <conditionalFormatting sqref="AA7:AA56">
    <cfRule type="expression" dxfId="70" priority="13">
      <formula>AND(AA7&gt;$AA$5,AA7&lt;&gt;"")</formula>
    </cfRule>
  </conditionalFormatting>
  <conditionalFormatting sqref="AA5:AH5">
    <cfRule type="expression" dxfId="69" priority="5">
      <formula>AND(ISTEXT(AA5),AA5&lt;&gt;"")</formula>
    </cfRule>
  </conditionalFormatting>
  <conditionalFormatting sqref="AB1:AB6 AH1:AH6 AD4:AD6 AF4:AF6 AD1:AF3 AD57 AF57 AB57:AB1048576 AH57:AH1048576 AD58:AF1048576">
    <cfRule type="cellIs" dxfId="68" priority="66" stopIfTrue="1" operator="lessThan">
      <formula>75</formula>
    </cfRule>
  </conditionalFormatting>
  <conditionalFormatting sqref="AB7:AB56 AD7:AD56 AF7:AF56 AH7:AH56">
    <cfRule type="cellIs" dxfId="67" priority="1" operator="lessThan">
      <formula>75</formula>
    </cfRule>
  </conditionalFormatting>
  <conditionalFormatting sqref="AC7:AC56">
    <cfRule type="expression" dxfId="66" priority="12">
      <formula>AND(AC7&gt;$AC$5,AC7&lt;&gt;"")</formula>
    </cfRule>
  </conditionalFormatting>
  <conditionalFormatting sqref="AE7:AE56">
    <cfRule type="expression" dxfId="65" priority="11">
      <formula>AND(AE7&gt;$AE$5,AE7&lt;&gt;"")</formula>
    </cfRule>
  </conditionalFormatting>
  <conditionalFormatting sqref="AG7:AG56">
    <cfRule type="expression" dxfId="64" priority="10">
      <formula>AND(AG7&gt;$AG$5,AG7&lt;&gt;"")</formula>
    </cfRule>
  </conditionalFormatting>
  <conditionalFormatting sqref="AK4:AK5">
    <cfRule type="expression" dxfId="63" priority="2">
      <formula>AND(ISTEXT(AK4),AK4&lt;&gt;"")</formula>
    </cfRule>
  </conditionalFormatting>
  <conditionalFormatting sqref="AK7:AK56">
    <cfRule type="expression" dxfId="62" priority="3">
      <formula>AND(ISTEXT(AK7),AK7&lt;&gt;"")</formula>
    </cfRule>
    <cfRule type="expression" dxfId="61" priority="8">
      <formula>AND(AK7&gt;$AK$4,AK7&lt;&gt;"")</formula>
    </cfRule>
  </conditionalFormatting>
  <conditionalFormatting sqref="AN1:AO3 AN4:AN56 AN57:AO1048576">
    <cfRule type="cellIs" dxfId="60" priority="30" stopIfTrue="1" operator="lessThanOrEqual">
      <formula>1.75</formula>
    </cfRule>
    <cfRule type="cellIs" dxfId="59" priority="31" stopIfTrue="1" operator="equal">
      <formula>5</formula>
    </cfRule>
  </conditionalFormatting>
  <dataValidations disablePrompts="1" count="3">
    <dataValidation type="decimal" allowBlank="1" showInputMessage="1" showErrorMessage="1" errorTitle="Invalid Data" error="The data you entered is invalid!" sqref="I7:P7 P8:P56 J8:K56 Q7:Q56 S7:T56 M8:N56 G7:H56" xr:uid="{00000000-0002-0000-0200-000000000000}">
      <formula1>0</formula1>
      <formula2>3</formula2>
    </dataValidation>
    <dataValidation type="decimal" allowBlank="1" showInputMessage="1" showErrorMessage="1" sqref="R7:R56 U7:U56 L8:L56 O8:O56 I8:I56" xr:uid="{00000000-0002-0000-0200-000001000000}">
      <formula1>0</formula1>
      <formula2>3</formula2>
    </dataValidation>
    <dataValidation type="whole" allowBlank="1" showInputMessage="1" showErrorMessage="1" sqref="G4:U4" xr:uid="{74EFABCA-4946-4D86-AA9D-027005EEFFA8}">
      <formula1>0</formula1>
      <formula2>31</formula2>
    </dataValidation>
  </dataValidations>
  <pageMargins left="0.14000000000000001" right="0.11" top="0.17" bottom="0.38" header="0.17" footer="0.14000000000000001"/>
  <pageSetup scale="53" orientation="landscape" horizontalDpi="300" verticalDpi="300" r:id="rId1"/>
  <headerFooter alignWithMargins="0"/>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AT323"/>
  <sheetViews>
    <sheetView showGridLines="0" zoomScaleNormal="100" workbookViewId="0">
      <pane xSplit="6" ySplit="6" topLeftCell="H7" activePane="bottomRight" state="frozen"/>
      <selection pane="topRight" activeCell="G1" sqref="G1"/>
      <selection pane="bottomLeft" activeCell="A7" sqref="A7"/>
      <selection pane="bottomRight" activeCell="M16" sqref="M16"/>
    </sheetView>
  </sheetViews>
  <sheetFormatPr defaultColWidth="9.140625" defaultRowHeight="15.75" x14ac:dyDescent="0.2"/>
  <cols>
    <col min="1" max="1" width="1.7109375" style="102" customWidth="1"/>
    <col min="2" max="2" width="2.7109375" style="102" customWidth="1"/>
    <col min="3" max="3" width="3.7109375" style="234" customWidth="1"/>
    <col min="4" max="4" width="11.7109375" style="235" customWidth="1"/>
    <col min="5" max="5" width="2.7109375" style="235" hidden="1" customWidth="1"/>
    <col min="6" max="6" width="50.7109375" style="111" customWidth="1"/>
    <col min="7" max="9" width="3" style="236" customWidth="1"/>
    <col min="10" max="21" width="3" style="237" customWidth="1"/>
    <col min="22" max="22" width="3.7109375" style="237" customWidth="1"/>
    <col min="23" max="23" width="1.7109375" style="237" customWidth="1"/>
    <col min="24" max="24" width="4.28515625" style="234" customWidth="1"/>
    <col min="25" max="25" width="5.7109375" style="234" customWidth="1"/>
    <col min="26" max="26" width="1.7109375" style="234" customWidth="1"/>
    <col min="27" max="34" width="4" style="234" customWidth="1"/>
    <col min="35" max="35" width="7.140625" style="238" customWidth="1"/>
    <col min="36" max="36" width="1.7109375" style="234" customWidth="1"/>
    <col min="37" max="37" width="4.7109375" style="239" customWidth="1"/>
    <col min="38" max="38" width="5.7109375" style="240" customWidth="1"/>
    <col min="39" max="39" width="6.7109375" style="241" customWidth="1"/>
    <col min="40" max="40" width="6.7109375" style="164" customWidth="1"/>
    <col min="41" max="41" width="6.7109375" style="232" customWidth="1"/>
    <col min="42" max="42" width="1.7109375" style="111" customWidth="1"/>
    <col min="43" max="44" width="8.7109375" style="111" customWidth="1"/>
    <col min="45" max="45" width="2.7109375" style="242" customWidth="1"/>
    <col min="46" max="46" width="1.7109375" style="102" customWidth="1"/>
    <col min="47" max="16384" width="9.140625" style="102"/>
  </cols>
  <sheetData>
    <row r="1" spans="1:46" ht="9.9499999999999993" customHeight="1" x14ac:dyDescent="0.2">
      <c r="A1" s="101"/>
      <c r="B1" s="101"/>
      <c r="C1" s="106"/>
      <c r="D1" s="107"/>
      <c r="E1" s="489"/>
      <c r="F1" s="489"/>
      <c r="G1" s="489"/>
      <c r="H1" s="489"/>
      <c r="I1" s="489"/>
      <c r="J1" s="489"/>
      <c r="K1" s="489"/>
      <c r="L1" s="489"/>
      <c r="M1" s="489"/>
      <c r="N1" s="489"/>
      <c r="O1" s="489"/>
      <c r="P1" s="489"/>
      <c r="Q1" s="489"/>
      <c r="R1" s="489"/>
      <c r="S1" s="489"/>
      <c r="T1" s="489"/>
      <c r="U1" s="489"/>
      <c r="V1" s="489"/>
      <c r="W1" s="489"/>
      <c r="X1" s="489"/>
      <c r="Y1" s="489"/>
      <c r="Z1" s="489"/>
      <c r="AA1" s="489"/>
      <c r="AB1" s="489"/>
      <c r="AC1" s="489"/>
      <c r="AD1" s="489"/>
      <c r="AE1" s="489"/>
      <c r="AF1" s="489"/>
      <c r="AG1" s="489"/>
      <c r="AH1" s="489"/>
      <c r="AI1" s="489"/>
      <c r="AJ1" s="489"/>
      <c r="AK1" s="248"/>
      <c r="AL1" s="169"/>
      <c r="AM1" s="169"/>
      <c r="AN1" s="171"/>
      <c r="AO1" s="233"/>
      <c r="AP1" s="101"/>
      <c r="AQ1" s="101"/>
      <c r="AR1" s="101"/>
      <c r="AS1" s="101"/>
      <c r="AT1" s="101"/>
    </row>
    <row r="2" spans="1:46" ht="15" customHeight="1" thickBot="1" x14ac:dyDescent="0.25">
      <c r="A2" s="101"/>
      <c r="C2" s="103"/>
      <c r="D2" s="104"/>
      <c r="E2" s="441"/>
      <c r="F2" s="441"/>
      <c r="G2" s="441"/>
      <c r="H2" s="441"/>
      <c r="I2" s="441"/>
      <c r="J2" s="441"/>
      <c r="K2" s="441"/>
      <c r="L2" s="441"/>
      <c r="M2" s="441"/>
      <c r="N2" s="441"/>
      <c r="O2" s="441"/>
      <c r="P2" s="441"/>
      <c r="Q2" s="441"/>
      <c r="R2" s="441"/>
      <c r="S2" s="441"/>
      <c r="T2" s="441"/>
      <c r="U2" s="441"/>
      <c r="V2" s="441"/>
      <c r="W2" s="441"/>
      <c r="X2" s="441"/>
      <c r="Y2" s="441"/>
      <c r="Z2" s="441"/>
      <c r="AA2" s="441"/>
      <c r="AB2" s="441"/>
      <c r="AC2" s="441"/>
      <c r="AD2" s="441"/>
      <c r="AE2" s="441"/>
      <c r="AF2" s="441"/>
      <c r="AG2" s="441"/>
      <c r="AH2" s="441"/>
      <c r="AI2" s="441"/>
      <c r="AJ2" s="441"/>
      <c r="AK2" s="209"/>
      <c r="AL2" s="175"/>
      <c r="AM2" s="175"/>
      <c r="AP2" s="102"/>
      <c r="AQ2" s="102"/>
      <c r="AR2" s="102"/>
      <c r="AS2" s="102"/>
      <c r="AT2" s="101"/>
    </row>
    <row r="3" spans="1:46" ht="30" customHeight="1" x14ac:dyDescent="0.2">
      <c r="A3" s="101"/>
      <c r="C3" s="446"/>
      <c r="D3" s="448" t="str">
        <f>Settings!E8&amp;" - "&amp;Settings!P5</f>
        <v>Mathematics in the Modern World - BSHM1A</v>
      </c>
      <c r="E3" s="448"/>
      <c r="F3" s="448"/>
      <c r="G3" s="453" t="s">
        <v>170</v>
      </c>
      <c r="H3" s="453"/>
      <c r="I3" s="453"/>
      <c r="J3" s="453"/>
      <c r="K3" s="453"/>
      <c r="L3" s="453"/>
      <c r="M3" s="453"/>
      <c r="N3" s="453"/>
      <c r="O3" s="453"/>
      <c r="P3" s="453"/>
      <c r="Q3" s="453"/>
      <c r="R3" s="453"/>
      <c r="S3" s="453"/>
      <c r="T3" s="453"/>
      <c r="U3" s="453"/>
      <c r="V3" s="20"/>
      <c r="W3" s="210"/>
      <c r="X3" s="451" t="s">
        <v>89</v>
      </c>
      <c r="Y3" s="452"/>
      <c r="Z3" s="179"/>
      <c r="AA3" s="451" t="s">
        <v>66</v>
      </c>
      <c r="AB3" s="480"/>
      <c r="AC3" s="480"/>
      <c r="AD3" s="480"/>
      <c r="AE3" s="480"/>
      <c r="AF3" s="480"/>
      <c r="AG3" s="480"/>
      <c r="AH3" s="480"/>
      <c r="AI3" s="452"/>
      <c r="AJ3" s="179"/>
      <c r="AK3" s="488" t="s">
        <v>80</v>
      </c>
      <c r="AL3" s="482"/>
      <c r="AM3" s="478" t="s">
        <v>90</v>
      </c>
      <c r="AN3" s="475" t="s">
        <v>91</v>
      </c>
      <c r="AO3" s="486" t="s">
        <v>92</v>
      </c>
      <c r="AP3" s="102"/>
      <c r="AQ3" s="465" t="s">
        <v>93</v>
      </c>
      <c r="AR3" s="466"/>
      <c r="AS3" s="102"/>
      <c r="AT3" s="101"/>
    </row>
    <row r="4" spans="1:46" ht="15" customHeight="1" x14ac:dyDescent="0.2">
      <c r="A4" s="101"/>
      <c r="C4" s="447"/>
      <c r="D4" s="450" t="str">
        <f>IF(Settings!P4="","",Settings!P4)</f>
        <v>GEDC1005</v>
      </c>
      <c r="E4" s="450"/>
      <c r="F4" s="450"/>
      <c r="G4" s="26"/>
      <c r="H4" s="26"/>
      <c r="I4" s="26"/>
      <c r="J4" s="26">
        <v>24</v>
      </c>
      <c r="K4" s="26">
        <v>28</v>
      </c>
      <c r="L4" s="26">
        <v>1</v>
      </c>
      <c r="M4" s="26">
        <v>5</v>
      </c>
      <c r="N4" s="26"/>
      <c r="O4" s="26"/>
      <c r="P4" s="26"/>
      <c r="Q4" s="26"/>
      <c r="R4" s="26"/>
      <c r="S4" s="26"/>
      <c r="T4" s="26"/>
      <c r="U4" s="26"/>
      <c r="V4" s="454" t="s">
        <v>94</v>
      </c>
      <c r="W4" s="179"/>
      <c r="X4" s="470" t="s">
        <v>89</v>
      </c>
      <c r="Y4" s="471"/>
      <c r="Z4" s="179"/>
      <c r="AA4" s="455" t="s">
        <v>68</v>
      </c>
      <c r="AB4" s="456"/>
      <c r="AC4" s="456" t="s">
        <v>70</v>
      </c>
      <c r="AD4" s="456"/>
      <c r="AE4" s="456" t="s">
        <v>72</v>
      </c>
      <c r="AF4" s="456"/>
      <c r="AG4" s="456" t="s">
        <v>74</v>
      </c>
      <c r="AH4" s="456"/>
      <c r="AI4" s="459">
        <f>Input!AC4</f>
        <v>0.2</v>
      </c>
      <c r="AJ4" s="179"/>
      <c r="AK4" s="490">
        <f>Settings!M39</f>
        <v>70</v>
      </c>
      <c r="AL4" s="477">
        <f>Input!AE4</f>
        <v>0.5</v>
      </c>
      <c r="AM4" s="479"/>
      <c r="AN4" s="476"/>
      <c r="AO4" s="487"/>
      <c r="AP4" s="102"/>
      <c r="AQ4" s="211" t="s">
        <v>90</v>
      </c>
      <c r="AR4" s="212" t="s">
        <v>95</v>
      </c>
      <c r="AS4" s="102"/>
      <c r="AT4" s="101"/>
    </row>
    <row r="5" spans="1:46" ht="15" customHeight="1" x14ac:dyDescent="0.2">
      <c r="A5" s="101"/>
      <c r="C5" s="447"/>
      <c r="D5" s="450"/>
      <c r="E5" s="450"/>
      <c r="F5" s="450"/>
      <c r="G5" s="449"/>
      <c r="H5" s="449"/>
      <c r="I5" s="449"/>
      <c r="J5" s="449" t="s">
        <v>97</v>
      </c>
      <c r="K5" s="449" t="s">
        <v>171</v>
      </c>
      <c r="L5" s="449" t="s">
        <v>97</v>
      </c>
      <c r="M5" s="449" t="s">
        <v>171</v>
      </c>
      <c r="N5" s="449"/>
      <c r="O5" s="449"/>
      <c r="P5" s="449"/>
      <c r="Q5" s="449"/>
      <c r="R5" s="449"/>
      <c r="S5" s="449"/>
      <c r="T5" s="449"/>
      <c r="U5" s="449"/>
      <c r="V5" s="454"/>
      <c r="W5" s="179"/>
      <c r="X5" s="464">
        <f>Input!X7</f>
        <v>100</v>
      </c>
      <c r="Y5" s="474">
        <f>Input!X4</f>
        <v>0.3</v>
      </c>
      <c r="Z5" s="179"/>
      <c r="AA5" s="464">
        <f>IF(Input!Y6&lt;&gt;"",Input!Y6,"")</f>
        <v>10</v>
      </c>
      <c r="AB5" s="463"/>
      <c r="AC5" s="463">
        <f>IF(Input!Z6&lt;&gt;"",Input!Z6,"")</f>
        <v>20</v>
      </c>
      <c r="AD5" s="463"/>
      <c r="AE5" s="463">
        <f>IF(Input!AA6&lt;&gt;"",Input!AA6,"")</f>
        <v>35</v>
      </c>
      <c r="AF5" s="463"/>
      <c r="AG5" s="463" t="str">
        <f>IF(Input!AB6&lt;&gt;"",Input!AB6,"")</f>
        <v/>
      </c>
      <c r="AH5" s="463"/>
      <c r="AI5" s="459"/>
      <c r="AJ5" s="179"/>
      <c r="AK5" s="490"/>
      <c r="AL5" s="477"/>
      <c r="AM5" s="479"/>
      <c r="AN5" s="476"/>
      <c r="AO5" s="487"/>
      <c r="AP5" s="102"/>
      <c r="AQ5" s="190">
        <v>1</v>
      </c>
      <c r="AR5" s="191">
        <f t="shared" ref="AR5:AR16" si="0">COUNTIF($AN$7:$AN$56,AQ5)</f>
        <v>0</v>
      </c>
      <c r="AS5" s="102"/>
      <c r="AT5" s="101"/>
    </row>
    <row r="6" spans="1:46" s="103" customFormat="1" ht="15" customHeight="1" x14ac:dyDescent="0.2">
      <c r="A6" s="106"/>
      <c r="C6" s="447"/>
      <c r="D6" s="213" t="s">
        <v>84</v>
      </c>
      <c r="E6" s="214"/>
      <c r="F6" s="215" t="s">
        <v>85</v>
      </c>
      <c r="G6" s="449"/>
      <c r="H6" s="449"/>
      <c r="I6" s="449"/>
      <c r="J6" s="449"/>
      <c r="K6" s="449"/>
      <c r="L6" s="449"/>
      <c r="M6" s="449"/>
      <c r="N6" s="449"/>
      <c r="O6" s="449"/>
      <c r="P6" s="449"/>
      <c r="Q6" s="449"/>
      <c r="R6" s="449"/>
      <c r="S6" s="449"/>
      <c r="T6" s="449"/>
      <c r="U6" s="449"/>
      <c r="V6" s="454"/>
      <c r="W6" s="179"/>
      <c r="X6" s="464"/>
      <c r="Y6" s="474"/>
      <c r="Z6" s="179"/>
      <c r="AA6" s="457" t="str">
        <f>IF(Input!Y7&lt;&gt;"",Input!Y7,"")</f>
        <v/>
      </c>
      <c r="AB6" s="458"/>
      <c r="AC6" s="458" t="str">
        <f>IF(Input!Z7&lt;&gt;"",Input!Z7,"")</f>
        <v/>
      </c>
      <c r="AD6" s="458"/>
      <c r="AE6" s="458" t="str">
        <f>IF(Input!AA7&lt;&gt;"",Input!AA7,"")</f>
        <v/>
      </c>
      <c r="AF6" s="458"/>
      <c r="AG6" s="458" t="str">
        <f>IF(Input!AB7&lt;&gt;"",Input!AB7,"")</f>
        <v/>
      </c>
      <c r="AH6" s="458"/>
      <c r="AI6" s="216" t="s">
        <v>27</v>
      </c>
      <c r="AJ6" s="179"/>
      <c r="AK6" s="247" t="str">
        <f>IF(Settings!L39&lt;&gt;"",Settings!L39,"")</f>
        <v/>
      </c>
      <c r="AL6" s="218" t="s">
        <v>27</v>
      </c>
      <c r="AM6" s="479"/>
      <c r="AN6" s="476"/>
      <c r="AO6" s="487"/>
      <c r="AQ6" s="190">
        <v>1.25</v>
      </c>
      <c r="AR6" s="191">
        <f t="shared" si="0"/>
        <v>0</v>
      </c>
      <c r="AT6" s="106"/>
    </row>
    <row r="7" spans="1:46" ht="15" x14ac:dyDescent="0.2">
      <c r="A7" s="101"/>
      <c r="C7" s="206">
        <v>1</v>
      </c>
      <c r="D7" s="215" t="str">
        <f>IF(Input!D8&lt;&gt;"",IF(F7&lt;&gt;"",Input!D8,""),"")</f>
        <v>02000500651</v>
      </c>
      <c r="E7" s="321"/>
      <c r="F7" s="322" t="str">
        <f>(IF(Input!F8&lt;&gt;"",Input!F8,""))</f>
        <v>ADAO,ANGELICA MAE BAAL</v>
      </c>
      <c r="G7" s="18"/>
      <c r="H7" s="18"/>
      <c r="I7" s="18"/>
      <c r="J7" s="18">
        <v>1.5</v>
      </c>
      <c r="K7" s="18"/>
      <c r="L7" s="18"/>
      <c r="M7" s="18"/>
      <c r="N7" s="18"/>
      <c r="O7" s="18"/>
      <c r="P7" s="18"/>
      <c r="Q7" s="18"/>
      <c r="R7" s="18"/>
      <c r="S7" s="18"/>
      <c r="T7" s="18"/>
      <c r="U7" s="18"/>
      <c r="V7" s="21"/>
      <c r="W7" s="177"/>
      <c r="X7" s="178">
        <f>Input!X8</f>
        <v>100</v>
      </c>
      <c r="Y7" s="329">
        <f>IF(F7="", "", IF(X7="Error", "Error", IF($X$5=0, 0, IFERROR(((IF(X7="","",X7)/$X$5)*100)*$Y$5,0))))</f>
        <v>30</v>
      </c>
      <c r="Z7" s="179"/>
      <c r="AA7" s="180">
        <f>IF(F7&lt;&gt;"",IF(Input!Y8&lt;&gt;"",Input!Y8,""),"")</f>
        <v>5</v>
      </c>
      <c r="AB7" s="181">
        <f>IFERROR(IF($AA$5="","",IF(F7&lt;&gt;"",(Input!Y8/Input!$Y$6)*100,"")),"NA")</f>
        <v>50</v>
      </c>
      <c r="AC7" s="182">
        <f>IF(F7&lt;&gt;"",IF(Input!Z8&lt;&gt;"",Input!Z8,""),"")</f>
        <v>18</v>
      </c>
      <c r="AD7" s="181">
        <f>IFERROR(IF($AC$5="","",IF(F7&lt;&gt;"",(Input!Z8/Input!$Z$6)*100,"")),"NA")</f>
        <v>90</v>
      </c>
      <c r="AE7" s="182">
        <f>IF(F7&lt;&gt;"",IF(Input!AA8&lt;&gt;"",Input!AA8,""),"")</f>
        <v>15</v>
      </c>
      <c r="AF7" s="181">
        <f>IFERROR(IF($AE$5="","",IF(F7&lt;&gt;"",(Input!AA8/Input!$AA$6)*100,"")),"NA")</f>
        <v>42.857142857142854</v>
      </c>
      <c r="AG7" s="183" t="str">
        <f>IF(F7&lt;&gt;"",IF(Input!AB8&lt;&gt;"",Input!AB8,""),"")</f>
        <v/>
      </c>
      <c r="AH7" s="181" t="str">
        <f>IFERROR(IF($AG$5="","",IF(F7&lt;&gt;"",(Input!AB8/Input!$AB$6)*100,"")),"NA")</f>
        <v/>
      </c>
      <c r="AI7" s="327">
        <f>IF(Input!AC8="Error","Error",IF(F7="","",IF($AA$5="",0,IF(F7&lt;&gt;"",IFERROR(AVERAGE(AB7,AD7,AF7,AH7)*$AI$4,0),""))))</f>
        <v>12.190476190476192</v>
      </c>
      <c r="AJ7" s="179"/>
      <c r="AK7" s="243">
        <f>IF(Input!AD8="","",IF(F7&lt;&gt;"",Input!AD8,""))</f>
        <v>34</v>
      </c>
      <c r="AL7" s="185">
        <f>IF(F7="","",IF(Input!AE8="Error","Error",IF(ISNUMBER(Input!AE8),Input!AE8*$AL$4,"")))</f>
        <v>24.285714285714285</v>
      </c>
      <c r="AM7" s="332">
        <f>IF(V7="D","Drp",
IF(F7&lt;&gt;"",
IF(OR(Y7="Error",AI7="Error",AL7="Error"),"Error",
IF(Input!AD8="","-",ROUND(Y7+AI7+AL7,2))),""))</f>
        <v>66.48</v>
      </c>
      <c r="AN7" s="187">
        <f>IF(F7&lt;&gt;"",VLOOKUP(AM7,TRANSMUTATION!$A$2:$B$14,2),"")</f>
        <v>2.75</v>
      </c>
      <c r="AO7" s="244">
        <f t="shared" ref="AO7:AO38" si="1">IF(AN7="Inc","",IF(F7&lt;&gt;"",IF(OR(AN7="Drp",AN7="-"),"",RANK(AM7,$AM$7:$AM$56)),""))</f>
        <v>11</v>
      </c>
      <c r="AP7" s="102"/>
      <c r="AQ7" s="190">
        <v>1.5</v>
      </c>
      <c r="AR7" s="191">
        <f t="shared" si="0"/>
        <v>0</v>
      </c>
      <c r="AS7" s="102"/>
      <c r="AT7" s="101"/>
    </row>
    <row r="8" spans="1:46" ht="15" x14ac:dyDescent="0.2">
      <c r="A8" s="101"/>
      <c r="C8" s="206">
        <v>2</v>
      </c>
      <c r="D8" s="215" t="str">
        <f>IF(Input!D9&lt;&gt;"",IF(F8&lt;&gt;"",Input!D9,""),"")</f>
        <v>02000508012</v>
      </c>
      <c r="E8" s="321"/>
      <c r="F8" s="322" t="str">
        <f>(IF(Input!F9&lt;&gt;"",Input!F9,""))</f>
        <v>AMELANO,EUNICE MAE LUMBRE</v>
      </c>
      <c r="G8" s="18"/>
      <c r="H8" s="18"/>
      <c r="I8" s="18"/>
      <c r="J8" s="18">
        <v>1.5</v>
      </c>
      <c r="K8" s="18"/>
      <c r="L8" s="18"/>
      <c r="M8" s="18"/>
      <c r="N8" s="18"/>
      <c r="O8" s="18"/>
      <c r="P8" s="18"/>
      <c r="Q8" s="18"/>
      <c r="R8" s="18"/>
      <c r="S8" s="18"/>
      <c r="T8" s="18"/>
      <c r="U8" s="18"/>
      <c r="V8" s="21"/>
      <c r="W8" s="177"/>
      <c r="X8" s="178">
        <f>Input!X9</f>
        <v>100</v>
      </c>
      <c r="Y8" s="329">
        <f t="shared" ref="Y8:Y56" si="2">IF(F8="", "", IF(X8="Error", "Error", IF($X$5=0, 0, IFERROR(((IF(X8="","",X8)/$X$5)*100)*$Y$5,0))))</f>
        <v>30</v>
      </c>
      <c r="Z8" s="179"/>
      <c r="AA8" s="180">
        <f>IF(F8&lt;&gt;"",IF(Input!Y9&lt;&gt;"",Input!Y9,""),"")</f>
        <v>8</v>
      </c>
      <c r="AB8" s="181">
        <f>IFERROR(IF($AA$5="","",IF(F8&lt;&gt;"",(Input!Y9/Input!$Y$6)*100,"")),"NA")</f>
        <v>80</v>
      </c>
      <c r="AC8" s="182">
        <f>IF(F8&lt;&gt;"",IF(Input!Z9&lt;&gt;"",Input!Z9,""),"")</f>
        <v>18</v>
      </c>
      <c r="AD8" s="181">
        <f>IFERROR(IF($AC$5="","",IF(F8&lt;&gt;"",(Input!Z9/Input!$Z$6)*100,"")),"NA")</f>
        <v>90</v>
      </c>
      <c r="AE8" s="182">
        <f>IF(F8&lt;&gt;"",IF(Input!AA9&lt;&gt;"",Input!AA9,""),"")</f>
        <v>26</v>
      </c>
      <c r="AF8" s="181">
        <f>IFERROR(IF($AE$5="","",IF(F8&lt;&gt;"",(Input!AA9/Input!$AA$6)*100,"")),"NA")</f>
        <v>74.285714285714292</v>
      </c>
      <c r="AG8" s="183" t="str">
        <f>IF(F8&lt;&gt;"",IF(Input!AB9&lt;&gt;"",Input!AB9,""),"")</f>
        <v/>
      </c>
      <c r="AH8" s="181" t="str">
        <f>IFERROR(IF($AG$5="","",IF(F8&lt;&gt;"",(Input!AB9/Input!$AB$6)*100,"")),"NA")</f>
        <v/>
      </c>
      <c r="AI8" s="327">
        <f>IF(Input!AC9="Error","Error",IF(F8="","",IF($AA$5="",0,IF(F8&lt;&gt;"",IFERROR(AVERAGE(AB8,AD8,AF8,AH8)*$AI$4,0),""))))</f>
        <v>16.285714285714288</v>
      </c>
      <c r="AJ8" s="179"/>
      <c r="AK8" s="243">
        <f>IF(Input!AD9="","",IF(F8&lt;&gt;"",Input!AD9,""))</f>
        <v>48</v>
      </c>
      <c r="AL8" s="185">
        <f>IF(F8="","",IF(Input!AE9="Error","Error",IF(ISNUMBER(Input!AE9),Input!AE9*$AL$4,"")))</f>
        <v>34.285714285714285</v>
      </c>
      <c r="AM8" s="332">
        <f>IF(V8="D","Drp",
IF(F8&lt;&gt;"",
IF(OR(Y8="Error",AI8="Error",AL8="Error"),"Error",
IF(Input!AD9="","-",ROUND(Y8+AI8+AL8,2))),""))</f>
        <v>80.569999999999993</v>
      </c>
      <c r="AN8" s="187">
        <f>IF(F8&lt;&gt;"",VLOOKUP(AM8,TRANSMUTATION!$A$2:$B$14,2),"")</f>
        <v>2.25</v>
      </c>
      <c r="AO8" s="244">
        <f t="shared" si="1"/>
        <v>5</v>
      </c>
      <c r="AP8" s="189"/>
      <c r="AQ8" s="190">
        <v>1.75</v>
      </c>
      <c r="AR8" s="191">
        <f t="shared" si="0"/>
        <v>2</v>
      </c>
      <c r="AS8" s="102"/>
      <c r="AT8" s="101"/>
    </row>
    <row r="9" spans="1:46" ht="15" x14ac:dyDescent="0.2">
      <c r="A9" s="101"/>
      <c r="C9" s="206">
        <v>3</v>
      </c>
      <c r="D9" s="215" t="str">
        <f>IF(Input!D10&lt;&gt;"",IF(F9&lt;&gt;"",Input!D10,""),"")</f>
        <v>02000510545</v>
      </c>
      <c r="E9" s="321"/>
      <c r="F9" s="322" t="str">
        <f>(IF(Input!F10&lt;&gt;"",Input!F10,""))</f>
        <v>ANDAYA,RICO BRON</v>
      </c>
      <c r="G9" s="18"/>
      <c r="H9" s="18"/>
      <c r="I9" s="18"/>
      <c r="J9" s="18"/>
      <c r="K9" s="18"/>
      <c r="L9" s="18"/>
      <c r="M9" s="18"/>
      <c r="N9" s="18"/>
      <c r="O9" s="18"/>
      <c r="P9" s="18"/>
      <c r="Q9" s="18"/>
      <c r="R9" s="18"/>
      <c r="S9" s="18"/>
      <c r="T9" s="18"/>
      <c r="U9" s="18"/>
      <c r="V9" s="21"/>
      <c r="W9" s="177"/>
      <c r="X9" s="178">
        <f>Input!X10</f>
        <v>95</v>
      </c>
      <c r="Y9" s="329">
        <f t="shared" si="2"/>
        <v>28.5</v>
      </c>
      <c r="Z9" s="179"/>
      <c r="AA9" s="180">
        <f>IF(F9&lt;&gt;"",IF(Input!Y10&lt;&gt;"",Input!Y10,""),"")</f>
        <v>0</v>
      </c>
      <c r="AB9" s="181">
        <f>IFERROR(IF($AA$5="","",IF(F9&lt;&gt;"",(Input!Y10/Input!$Y$6)*100,"")),"NA")</f>
        <v>0</v>
      </c>
      <c r="AC9" s="182">
        <f>IF(F9&lt;&gt;"",IF(Input!Z10&lt;&gt;"",Input!Z10,""),"")</f>
        <v>19</v>
      </c>
      <c r="AD9" s="181">
        <f>IFERROR(IF($AC$5="","",IF(F9&lt;&gt;"",(Input!Z10/Input!$Z$6)*100,"")),"NA")</f>
        <v>95</v>
      </c>
      <c r="AE9" s="182">
        <f>IF(F9&lt;&gt;"",IF(Input!AA10&lt;&gt;"",Input!AA10,""),"")</f>
        <v>14</v>
      </c>
      <c r="AF9" s="181">
        <f>IFERROR(IF($AE$5="","",IF(F9&lt;&gt;"",(Input!AA10/Input!$AA$6)*100,"")),"NA")</f>
        <v>40</v>
      </c>
      <c r="AG9" s="183" t="str">
        <f>IF(F9&lt;&gt;"",IF(Input!AB10&lt;&gt;"",Input!AB10,""),"")</f>
        <v/>
      </c>
      <c r="AH9" s="181" t="str">
        <f>IFERROR(IF($AG$5="","",IF(F9&lt;&gt;"",(Input!AB10/Input!$AB$6)*100,"")),"NA")</f>
        <v/>
      </c>
      <c r="AI9" s="327">
        <f>IF(Input!AC10="Error","Error",IF(F9="","",IF($AA$5="",0,IF(F9&lt;&gt;"",IFERROR(AVERAGE(AB9,AD9,AF9,AH9)*$AI$4,0),""))))</f>
        <v>9</v>
      </c>
      <c r="AJ9" s="179"/>
      <c r="AK9" s="243">
        <f>IF(Input!AD10="","",IF(F9&lt;&gt;"",Input!AD10,""))</f>
        <v>44</v>
      </c>
      <c r="AL9" s="185">
        <f>IF(F9="","",IF(Input!AE10="Error","Error",IF(ISNUMBER(Input!AE10),Input!AE10*$AL$4,"")))</f>
        <v>31.428571428571427</v>
      </c>
      <c r="AM9" s="332">
        <f>IF(V9="D","Drp",
IF(F9&lt;&gt;"",
IF(OR(Y9="Error",AI9="Error",AL9="Error"),"Error",
IF(Input!AD10="","-",ROUND(Y9+AI9+AL9,2))),""))</f>
        <v>68.930000000000007</v>
      </c>
      <c r="AN9" s="187">
        <f>IF(F9&lt;&gt;"",VLOOKUP(AM9,TRANSMUTATION!$A$2:$B$14,2),"")</f>
        <v>2.75</v>
      </c>
      <c r="AO9" s="244">
        <f t="shared" si="1"/>
        <v>9</v>
      </c>
      <c r="AP9" s="189"/>
      <c r="AQ9" s="190">
        <v>2</v>
      </c>
      <c r="AR9" s="191">
        <f t="shared" si="0"/>
        <v>1</v>
      </c>
      <c r="AS9" s="102"/>
      <c r="AT9" s="101"/>
    </row>
    <row r="10" spans="1:46" ht="15" x14ac:dyDescent="0.2">
      <c r="A10" s="101"/>
      <c r="C10" s="206">
        <v>4</v>
      </c>
      <c r="D10" s="215" t="str">
        <f>IF(Input!D11&lt;&gt;"",IF(F10&lt;&gt;"",Input!D11,""),"")</f>
        <v>02000500688</v>
      </c>
      <c r="E10" s="321"/>
      <c r="F10" s="322" t="str">
        <f>(IF(Input!F11&lt;&gt;"",Input!F11,""))</f>
        <v>AREJOLA,JESSICA SELPO</v>
      </c>
      <c r="G10" s="18"/>
      <c r="H10" s="18"/>
      <c r="I10" s="18"/>
      <c r="J10" s="18">
        <v>1.5</v>
      </c>
      <c r="K10" s="18"/>
      <c r="L10" s="18"/>
      <c r="M10" s="18"/>
      <c r="N10" s="18"/>
      <c r="O10" s="18"/>
      <c r="P10" s="18"/>
      <c r="Q10" s="18"/>
      <c r="R10" s="18"/>
      <c r="S10" s="18"/>
      <c r="T10" s="18"/>
      <c r="U10" s="18"/>
      <c r="V10" s="21"/>
      <c r="W10" s="177"/>
      <c r="X10" s="178">
        <f>Input!X11</f>
        <v>50</v>
      </c>
      <c r="Y10" s="329">
        <f t="shared" si="2"/>
        <v>15</v>
      </c>
      <c r="Z10" s="179"/>
      <c r="AA10" s="180">
        <f>IF(F10&lt;&gt;"",IF(Input!Y11&lt;&gt;"",Input!Y11,""),"")</f>
        <v>4</v>
      </c>
      <c r="AB10" s="181">
        <f>IFERROR(IF($AA$5="","",IF(F10&lt;&gt;"",(Input!Y11/Input!$Y$6)*100,"")),"NA")</f>
        <v>40</v>
      </c>
      <c r="AC10" s="182">
        <f>IF(F10&lt;&gt;"",IF(Input!Z11&lt;&gt;"",Input!Z11,""),"")</f>
        <v>0</v>
      </c>
      <c r="AD10" s="181">
        <f>IFERROR(IF($AC$5="","",IF(F10&lt;&gt;"",(Input!Z11/Input!$Z$6)*100,"")),"NA")</f>
        <v>0</v>
      </c>
      <c r="AE10" s="182">
        <f>IF(F10&lt;&gt;"",IF(Input!AA11&lt;&gt;"",Input!AA11,""),"")</f>
        <v>9</v>
      </c>
      <c r="AF10" s="181">
        <f>IFERROR(IF($AE$5="","",IF(F10&lt;&gt;"",(Input!AA11/Input!$AA$6)*100,"")),"NA")</f>
        <v>25.714285714285712</v>
      </c>
      <c r="AG10" s="183" t="str">
        <f>IF(F10&lt;&gt;"",IF(Input!AB11&lt;&gt;"",Input!AB11,""),"")</f>
        <v/>
      </c>
      <c r="AH10" s="181" t="str">
        <f>IFERROR(IF($AG$5="","",IF(F10&lt;&gt;"",(Input!AB11/Input!$AB$6)*100,"")),"NA")</f>
        <v/>
      </c>
      <c r="AI10" s="327">
        <f>IF(Input!AC11="Error","Error",IF(F10="","",IF($AA$5="",0,IF(F10&lt;&gt;"",IFERROR(AVERAGE(AB10,AD10,AF10,AH10)*$AI$4,0),""))))</f>
        <v>4.3809523809523805</v>
      </c>
      <c r="AJ10" s="179"/>
      <c r="AK10" s="243">
        <f>IF(Input!AD11="","",IF(F10&lt;&gt;"",Input!AD11,""))</f>
        <v>20</v>
      </c>
      <c r="AL10" s="185">
        <f>IF(F10="","",IF(Input!AE11="Error","Error",IF(ISNUMBER(Input!AE11),Input!AE11*$AL$4,"")))</f>
        <v>14.285714285714285</v>
      </c>
      <c r="AM10" s="332">
        <f>IF(V10="D","Drp",
IF(F10&lt;&gt;"",
IF(OR(Y10="Error",AI10="Error",AL10="Error"),"Error",
IF(Input!AD11="","-",ROUND(Y10+AI10+AL10,2))),""))</f>
        <v>33.67</v>
      </c>
      <c r="AN10" s="187">
        <f>IF(F10&lt;&gt;"",VLOOKUP(AM10,TRANSMUTATION!$A$2:$B$14,2),"")</f>
        <v>5</v>
      </c>
      <c r="AO10" s="244">
        <f t="shared" si="1"/>
        <v>20</v>
      </c>
      <c r="AP10" s="189"/>
      <c r="AQ10" s="190">
        <v>2.25</v>
      </c>
      <c r="AR10" s="191">
        <f t="shared" si="0"/>
        <v>3</v>
      </c>
      <c r="AS10" s="102"/>
      <c r="AT10" s="101"/>
    </row>
    <row r="11" spans="1:46" ht="15" x14ac:dyDescent="0.2">
      <c r="A11" s="101"/>
      <c r="C11" s="206">
        <v>5</v>
      </c>
      <c r="D11" s="215" t="str">
        <f>IF(Input!D12&lt;&gt;"",IF(F11&lt;&gt;"",Input!D12,""),"")</f>
        <v>02000491309</v>
      </c>
      <c r="E11" s="321"/>
      <c r="F11" s="322" t="str">
        <f>(IF(Input!F12&lt;&gt;"",Input!F12,""))</f>
        <v>BAGAMASBAD,KYLA ANGELICA</v>
      </c>
      <c r="G11" s="18"/>
      <c r="H11" s="18"/>
      <c r="I11" s="18"/>
      <c r="J11" s="18">
        <v>1.5</v>
      </c>
      <c r="K11" s="18"/>
      <c r="L11" s="18"/>
      <c r="M11" s="18"/>
      <c r="N11" s="18"/>
      <c r="O11" s="18"/>
      <c r="P11" s="18"/>
      <c r="Q11" s="18"/>
      <c r="R11" s="18"/>
      <c r="S11" s="18"/>
      <c r="T11" s="18"/>
      <c r="U11" s="18"/>
      <c r="V11" s="21"/>
      <c r="W11" s="177"/>
      <c r="X11" s="178">
        <f>Input!X12</f>
        <v>93</v>
      </c>
      <c r="Y11" s="329">
        <f t="shared" si="2"/>
        <v>27.9</v>
      </c>
      <c r="Z11" s="179"/>
      <c r="AA11" s="180">
        <f>IF(F11&lt;&gt;"",IF(Input!Y12&lt;&gt;"",Input!Y12,""),"")</f>
        <v>0</v>
      </c>
      <c r="AB11" s="181">
        <f>IFERROR(IF($AA$5="","",IF(F11&lt;&gt;"",(Input!Y12/Input!$Y$6)*100,"")),"NA")</f>
        <v>0</v>
      </c>
      <c r="AC11" s="182">
        <f>IF(F11&lt;&gt;"",IF(Input!Z12&lt;&gt;"",Input!Z12,""),"")</f>
        <v>20</v>
      </c>
      <c r="AD11" s="181">
        <f>IFERROR(IF($AC$5="","",IF(F11&lt;&gt;"",(Input!Z12/Input!$Z$6)*100,"")),"NA")</f>
        <v>100</v>
      </c>
      <c r="AE11" s="182">
        <f>IF(F11&lt;&gt;"",IF(Input!AA12&lt;&gt;"",Input!AA12,""),"")</f>
        <v>17</v>
      </c>
      <c r="AF11" s="181">
        <f>IFERROR(IF($AE$5="","",IF(F11&lt;&gt;"",(Input!AA12/Input!$AA$6)*100,"")),"NA")</f>
        <v>48.571428571428569</v>
      </c>
      <c r="AG11" s="183" t="str">
        <f>IF(F11&lt;&gt;"",IF(Input!AB12&lt;&gt;"",Input!AB12,""),"")</f>
        <v/>
      </c>
      <c r="AH11" s="181" t="str">
        <f>IFERROR(IF($AG$5="","",IF(F11&lt;&gt;"",(Input!AB12/Input!$AB$6)*100,"")),"NA")</f>
        <v/>
      </c>
      <c r="AI11" s="327">
        <f>IF(Input!AC12="Error","Error",IF(F11="","",IF($AA$5="",0,IF(F11&lt;&gt;"",IFERROR(AVERAGE(AB11,AD11,AF11,AH11)*$AI$4,0),""))))</f>
        <v>9.9047619047619051</v>
      </c>
      <c r="AJ11" s="179"/>
      <c r="AK11" s="243">
        <f>IF(Input!AD12="","",IF(F11&lt;&gt;"",Input!AD12,""))</f>
        <v>44</v>
      </c>
      <c r="AL11" s="185">
        <f>IF(F11="","",IF(Input!AE12="Error","Error",IF(ISNUMBER(Input!AE12),Input!AE12*$AL$4,"")))</f>
        <v>31.428571428571427</v>
      </c>
      <c r="AM11" s="332">
        <f>IF(V11="D","Drp",
IF(F11&lt;&gt;"",
IF(OR(Y11="Error",AI11="Error",AL11="Error"),"Error",
IF(Input!AD12="","-",ROUND(Y11+AI11+AL11,2))),""))</f>
        <v>69.23</v>
      </c>
      <c r="AN11" s="187">
        <f>IF(F11&lt;&gt;"",VLOOKUP(AM11,TRANSMUTATION!$A$2:$B$14,2),"")</f>
        <v>2.75</v>
      </c>
      <c r="AO11" s="244">
        <f t="shared" si="1"/>
        <v>8</v>
      </c>
      <c r="AP11" s="189"/>
      <c r="AQ11" s="190">
        <v>2.5</v>
      </c>
      <c r="AR11" s="191">
        <f t="shared" si="0"/>
        <v>1</v>
      </c>
      <c r="AS11" s="102"/>
      <c r="AT11" s="101"/>
    </row>
    <row r="12" spans="1:46" ht="15" x14ac:dyDescent="0.2">
      <c r="A12" s="101"/>
      <c r="C12" s="206">
        <v>6</v>
      </c>
      <c r="D12" s="215" t="str">
        <f>IF(Input!D13&lt;&gt;"",IF(F12&lt;&gt;"",Input!D13,""),"")</f>
        <v>02000496750</v>
      </c>
      <c r="E12" s="321"/>
      <c r="F12" s="322" t="str">
        <f>(IF(Input!F13&lt;&gt;"",Input!F13,""))</f>
        <v>BALTE,LYZA MAE LOMA</v>
      </c>
      <c r="G12" s="18"/>
      <c r="H12" s="18"/>
      <c r="I12" s="18"/>
      <c r="J12" s="18">
        <v>1.5</v>
      </c>
      <c r="K12" s="18"/>
      <c r="L12" s="18"/>
      <c r="M12" s="18"/>
      <c r="N12" s="18"/>
      <c r="O12" s="18"/>
      <c r="P12" s="18"/>
      <c r="Q12" s="18"/>
      <c r="R12" s="18"/>
      <c r="S12" s="18"/>
      <c r="T12" s="18"/>
      <c r="U12" s="18"/>
      <c r="V12" s="21"/>
      <c r="W12" s="177"/>
      <c r="X12" s="178">
        <f>Input!X13</f>
        <v>100</v>
      </c>
      <c r="Y12" s="329">
        <f t="shared" si="2"/>
        <v>30</v>
      </c>
      <c r="Z12" s="179"/>
      <c r="AA12" s="180">
        <f>IF(F12&lt;&gt;"",IF(Input!Y13&lt;&gt;"",Input!Y13,""),"")</f>
        <v>2</v>
      </c>
      <c r="AB12" s="181">
        <f>IFERROR(IF($AA$5="","",IF(F12&lt;&gt;"",(Input!Y13/Input!$Y$6)*100,"")),"NA")</f>
        <v>20</v>
      </c>
      <c r="AC12" s="182">
        <f>IF(F12&lt;&gt;"",IF(Input!Z13&lt;&gt;"",Input!Z13,""),"")</f>
        <v>8</v>
      </c>
      <c r="AD12" s="181">
        <f>IFERROR(IF($AC$5="","",IF(F12&lt;&gt;"",(Input!Z13/Input!$Z$6)*100,"")),"NA")</f>
        <v>40</v>
      </c>
      <c r="AE12" s="182">
        <f>IF(F12&lt;&gt;"",IF(Input!AA13&lt;&gt;"",Input!AA13,""),"")</f>
        <v>17</v>
      </c>
      <c r="AF12" s="181">
        <f>IFERROR(IF($AE$5="","",IF(F12&lt;&gt;"",(Input!AA13/Input!$AA$6)*100,"")),"NA")</f>
        <v>48.571428571428569</v>
      </c>
      <c r="AG12" s="183" t="str">
        <f>IF(F12&lt;&gt;"",IF(Input!AB13&lt;&gt;"",Input!AB13,""),"")</f>
        <v/>
      </c>
      <c r="AH12" s="181" t="str">
        <f>IFERROR(IF($AG$5="","",IF(F12&lt;&gt;"",(Input!AB13/Input!$AB$6)*100,"")),"NA")</f>
        <v/>
      </c>
      <c r="AI12" s="327">
        <f>IF(Input!AC13="Error","Error",IF(F12="","",IF($AA$5="",0,IF(F12&lt;&gt;"",IFERROR(AVERAGE(AB12,AD12,AF12,AH12)*$AI$4,0),""))))</f>
        <v>7.2380952380952381</v>
      </c>
      <c r="AJ12" s="179"/>
      <c r="AK12" s="243">
        <f>IF(Input!AD13="","",IF(F12&lt;&gt;"",Input!AD13,""))</f>
        <v>44</v>
      </c>
      <c r="AL12" s="185">
        <f>IF(F12="","",IF(Input!AE13="Error","Error",IF(ISNUMBER(Input!AE13),Input!AE13*$AL$4,"")))</f>
        <v>31.428571428571427</v>
      </c>
      <c r="AM12" s="332">
        <f>IF(V12="D","Drp",
IF(F12&lt;&gt;"",
IF(OR(Y12="Error",AI12="Error",AL12="Error"),"Error",
IF(Input!AD13="","-",ROUND(Y12+AI12+AL12,2))),""))</f>
        <v>68.67</v>
      </c>
      <c r="AN12" s="187">
        <f>IF(F12&lt;&gt;"",VLOOKUP(AM12,TRANSMUTATION!$A$2:$B$14,2),"")</f>
        <v>2.75</v>
      </c>
      <c r="AO12" s="244">
        <f t="shared" si="1"/>
        <v>10</v>
      </c>
      <c r="AP12" s="189"/>
      <c r="AQ12" s="190">
        <v>2.75</v>
      </c>
      <c r="AR12" s="191">
        <f t="shared" si="0"/>
        <v>7</v>
      </c>
      <c r="AS12" s="102"/>
      <c r="AT12" s="101"/>
    </row>
    <row r="13" spans="1:46" ht="15" x14ac:dyDescent="0.2">
      <c r="A13" s="101"/>
      <c r="C13" s="206">
        <v>7</v>
      </c>
      <c r="D13" s="215" t="str">
        <f>IF(Input!D14&lt;&gt;"",IF(F13&lt;&gt;"",Input!D14,""),"")</f>
        <v>02000486779</v>
      </c>
      <c r="E13" s="321"/>
      <c r="F13" s="322" t="str">
        <f>(IF(Input!F14&lt;&gt;"",Input!F14,""))</f>
        <v>BUENAAGUA,AIRA ALANA AMPARADO</v>
      </c>
      <c r="G13" s="18"/>
      <c r="H13" s="18"/>
      <c r="I13" s="18"/>
      <c r="J13" s="18">
        <v>1.5</v>
      </c>
      <c r="K13" s="18"/>
      <c r="L13" s="18"/>
      <c r="M13" s="18"/>
      <c r="N13" s="18"/>
      <c r="O13" s="18"/>
      <c r="P13" s="18"/>
      <c r="Q13" s="18"/>
      <c r="R13" s="18"/>
      <c r="S13" s="18"/>
      <c r="T13" s="18"/>
      <c r="U13" s="18"/>
      <c r="V13" s="21"/>
      <c r="W13" s="177"/>
      <c r="X13" s="178">
        <f>Input!X14</f>
        <v>95</v>
      </c>
      <c r="Y13" s="329">
        <f t="shared" si="2"/>
        <v>28.5</v>
      </c>
      <c r="Z13" s="179"/>
      <c r="AA13" s="180">
        <f>IF(F13&lt;&gt;"",IF(Input!Y14&lt;&gt;"",Input!Y14,""),"")</f>
        <v>10</v>
      </c>
      <c r="AB13" s="181">
        <f>IFERROR(IF($AA$5="","",IF(F13&lt;&gt;"",(Input!Y14/Input!$Y$6)*100,"")),"NA")</f>
        <v>100</v>
      </c>
      <c r="AC13" s="182">
        <f>IF(F13&lt;&gt;"",IF(Input!Z14&lt;&gt;"",Input!Z14,""),"")</f>
        <v>0</v>
      </c>
      <c r="AD13" s="181">
        <f>IFERROR(IF($AC$5="","",IF(F13&lt;&gt;"",(Input!Z14/Input!$Z$6)*100,"")),"NA")</f>
        <v>0</v>
      </c>
      <c r="AE13" s="182">
        <f>IF(F13&lt;&gt;"",IF(Input!AA14&lt;&gt;"",Input!AA14,""),"")</f>
        <v>16</v>
      </c>
      <c r="AF13" s="181">
        <f>IFERROR(IF($AE$5="","",IF(F13&lt;&gt;"",(Input!AA14/Input!$AA$6)*100,"")),"NA")</f>
        <v>45.714285714285715</v>
      </c>
      <c r="AG13" s="183" t="str">
        <f>IF(F13&lt;&gt;"",IF(Input!AB14&lt;&gt;"",Input!AB14,""),"")</f>
        <v/>
      </c>
      <c r="AH13" s="181" t="str">
        <f>IFERROR(IF($AG$5="","",IF(F13&lt;&gt;"",(Input!AB14/Input!$AB$6)*100,"")),"NA")</f>
        <v/>
      </c>
      <c r="AI13" s="327">
        <f>IF(Input!AC14="Error","Error",IF(F13="","",IF($AA$5="",0,IF(F13&lt;&gt;"",IFERROR(AVERAGE(AB13,AD13,AF13,AH13)*$AI$4,0),""))))</f>
        <v>9.7142857142857153</v>
      </c>
      <c r="AJ13" s="179"/>
      <c r="AK13" s="243">
        <f>IF(Input!AD14="","",IF(F13&lt;&gt;"",Input!AD14,""))</f>
        <v>28</v>
      </c>
      <c r="AL13" s="185">
        <f>IF(F13="","",IF(Input!AE14="Error","Error",IF(ISNUMBER(Input!AE14),Input!AE14*$AL$4,"")))</f>
        <v>20</v>
      </c>
      <c r="AM13" s="332">
        <f>IF(V13="D","Drp",
IF(F13&lt;&gt;"",
IF(OR(Y13="Error",AI13="Error",AL13="Error"),"Error",
IF(Input!AD14="","-",ROUND(Y13+AI13+AL13,2))),""))</f>
        <v>58.21</v>
      </c>
      <c r="AN13" s="187">
        <f>IF(F13&lt;&gt;"",VLOOKUP(AM13,TRANSMUTATION!$A$2:$B$14,2),"")</f>
        <v>5</v>
      </c>
      <c r="AO13" s="244">
        <f t="shared" si="1"/>
        <v>18</v>
      </c>
      <c r="AP13" s="189"/>
      <c r="AQ13" s="190">
        <v>3</v>
      </c>
      <c r="AR13" s="191">
        <f t="shared" si="0"/>
        <v>2</v>
      </c>
      <c r="AS13" s="102"/>
      <c r="AT13" s="101"/>
    </row>
    <row r="14" spans="1:46" ht="15" x14ac:dyDescent="0.2">
      <c r="A14" s="101"/>
      <c r="C14" s="206">
        <v>8</v>
      </c>
      <c r="D14" s="215" t="str">
        <f>IF(Input!D15&lt;&gt;"",IF(F14&lt;&gt;"",Input!D15,""),"")</f>
        <v>02000483633</v>
      </c>
      <c r="E14" s="321"/>
      <c r="F14" s="322" t="str">
        <f>(IF(Input!F15&lt;&gt;"",Input!F15,""))</f>
        <v>BULAO,JANNA MAE CUSTODIO</v>
      </c>
      <c r="G14" s="18"/>
      <c r="H14" s="18"/>
      <c r="I14" s="18"/>
      <c r="J14" s="18">
        <v>1.5</v>
      </c>
      <c r="K14" s="18"/>
      <c r="L14" s="18"/>
      <c r="M14" s="18"/>
      <c r="N14" s="18"/>
      <c r="O14" s="18"/>
      <c r="P14" s="18"/>
      <c r="Q14" s="18"/>
      <c r="R14" s="18"/>
      <c r="S14" s="18"/>
      <c r="T14" s="18"/>
      <c r="U14" s="18"/>
      <c r="V14" s="21"/>
      <c r="W14" s="177"/>
      <c r="X14" s="178">
        <f>Input!X15</f>
        <v>100</v>
      </c>
      <c r="Y14" s="329">
        <f t="shared" si="2"/>
        <v>30</v>
      </c>
      <c r="Z14" s="179"/>
      <c r="AA14" s="180">
        <f>IF(F14&lt;&gt;"",IF(Input!Y15&lt;&gt;"",Input!Y15,""),"")</f>
        <v>10</v>
      </c>
      <c r="AB14" s="181">
        <f>IFERROR(IF($AA$5="","",IF(F14&lt;&gt;"",(Input!Y15/Input!$Y$6)*100,"")),"NA")</f>
        <v>100</v>
      </c>
      <c r="AC14" s="182">
        <f>IF(F14&lt;&gt;"",IF(Input!Z15&lt;&gt;"",Input!Z15,""),"")</f>
        <v>15</v>
      </c>
      <c r="AD14" s="181">
        <f>IFERROR(IF($AC$5="","",IF(F14&lt;&gt;"",(Input!Z15/Input!$Z$6)*100,"")),"NA")</f>
        <v>75</v>
      </c>
      <c r="AE14" s="182">
        <f>IF(F14&lt;&gt;"",IF(Input!AA15&lt;&gt;"",Input!AA15,""),"")</f>
        <v>23</v>
      </c>
      <c r="AF14" s="181">
        <f>IFERROR(IF($AE$5="","",IF(F14&lt;&gt;"",(Input!AA15/Input!$AA$6)*100,"")),"NA")</f>
        <v>65.714285714285708</v>
      </c>
      <c r="AG14" s="183" t="str">
        <f>IF(F14&lt;&gt;"",IF(Input!AB15&lt;&gt;"",Input!AB15,""),"")</f>
        <v/>
      </c>
      <c r="AH14" s="181" t="str">
        <f>IFERROR(IF($AG$5="","",IF(F14&lt;&gt;"",(Input!AB15/Input!$AB$6)*100,"")),"NA")</f>
        <v/>
      </c>
      <c r="AI14" s="327">
        <f>IF(Input!AC15="Error","Error",IF(F14="","",IF($AA$5="",0,IF(F14&lt;&gt;"",IFERROR(AVERAGE(AB14,AD14,AF14,AH14)*$AI$4,0),""))))</f>
        <v>16.047619047619047</v>
      </c>
      <c r="AJ14" s="179"/>
      <c r="AK14" s="243">
        <f>IF(Input!AD15="","",IF(F14&lt;&gt;"",Input!AD15,""))</f>
        <v>62</v>
      </c>
      <c r="AL14" s="185">
        <f>IF(F14="","",IF(Input!AE15="Error","Error",IF(ISNUMBER(Input!AE15),Input!AE15*$AL$4,"")))</f>
        <v>44.285714285714285</v>
      </c>
      <c r="AM14" s="332">
        <f>IF(V14="D","Drp",
IF(F14&lt;&gt;"",
IF(OR(Y14="Error",AI14="Error",AL14="Error"),"Error",
IF(Input!AD15="","-",ROUND(Y14+AI14+AL14,2))),""))</f>
        <v>90.33</v>
      </c>
      <c r="AN14" s="187">
        <f>IF(F14&lt;&gt;"",VLOOKUP(AM14,TRANSMUTATION!$A$2:$B$14,2),"")</f>
        <v>1.75</v>
      </c>
      <c r="AO14" s="244">
        <f t="shared" si="1"/>
        <v>2</v>
      </c>
      <c r="AP14" s="189"/>
      <c r="AQ14" s="190">
        <v>5</v>
      </c>
      <c r="AR14" s="191">
        <f t="shared" si="0"/>
        <v>5</v>
      </c>
      <c r="AS14" s="102"/>
      <c r="AT14" s="101"/>
    </row>
    <row r="15" spans="1:46" ht="15" x14ac:dyDescent="0.2">
      <c r="A15" s="101"/>
      <c r="C15" s="206">
        <v>9</v>
      </c>
      <c r="D15" s="215" t="str">
        <f>IF(Input!D16&lt;&gt;"",IF(F15&lt;&gt;"",Input!D16,""),"")</f>
        <v>02000500732</v>
      </c>
      <c r="E15" s="321"/>
      <c r="F15" s="322" t="str">
        <f>(IF(Input!F16&lt;&gt;"",Input!F16,""))</f>
        <v>CLAUDIO,JAMES YUAN BURCE</v>
      </c>
      <c r="G15" s="18"/>
      <c r="H15" s="18"/>
      <c r="I15" s="18"/>
      <c r="J15" s="18">
        <v>1.5</v>
      </c>
      <c r="K15" s="18"/>
      <c r="L15" s="18"/>
      <c r="M15" s="18"/>
      <c r="N15" s="18"/>
      <c r="O15" s="18"/>
      <c r="P15" s="18"/>
      <c r="Q15" s="18"/>
      <c r="R15" s="18"/>
      <c r="S15" s="18"/>
      <c r="T15" s="18"/>
      <c r="U15" s="18"/>
      <c r="V15" s="21"/>
      <c r="W15" s="177"/>
      <c r="X15" s="178">
        <f>Input!X16</f>
        <v>95</v>
      </c>
      <c r="Y15" s="329">
        <f t="shared" si="2"/>
        <v>28.5</v>
      </c>
      <c r="Z15" s="179"/>
      <c r="AA15" s="180">
        <f>IF(F15&lt;&gt;"",IF(Input!Y16&lt;&gt;"",Input!Y16,""),"")</f>
        <v>9</v>
      </c>
      <c r="AB15" s="181">
        <f>IFERROR(IF($AA$5="","",IF(F15&lt;&gt;"",(Input!Y16/Input!$Y$6)*100,"")),"NA")</f>
        <v>90</v>
      </c>
      <c r="AC15" s="182">
        <f>IF(F15&lt;&gt;"",IF(Input!Z16&lt;&gt;"",Input!Z16,""),"")</f>
        <v>14</v>
      </c>
      <c r="AD15" s="181">
        <f>IFERROR(IF($AC$5="","",IF(F15&lt;&gt;"",(Input!Z16/Input!$Z$6)*100,"")),"NA")</f>
        <v>70</v>
      </c>
      <c r="AE15" s="182">
        <f>IF(F15&lt;&gt;"",IF(Input!AA16&lt;&gt;"",Input!AA16,""),"")</f>
        <v>24</v>
      </c>
      <c r="AF15" s="181">
        <f>IFERROR(IF($AE$5="","",IF(F15&lt;&gt;"",(Input!AA16/Input!$AA$6)*100,"")),"NA")</f>
        <v>68.571428571428569</v>
      </c>
      <c r="AG15" s="183" t="str">
        <f>IF(F15&lt;&gt;"",IF(Input!AB16&lt;&gt;"",Input!AB16,""),"")</f>
        <v/>
      </c>
      <c r="AH15" s="181" t="str">
        <f>IFERROR(IF($AG$5="","",IF(F15&lt;&gt;"",(Input!AB16/Input!$AB$6)*100,"")),"NA")</f>
        <v/>
      </c>
      <c r="AI15" s="327">
        <f>IF(Input!AC16="Error","Error",IF(F15="","",IF($AA$5="",0,IF(F15&lt;&gt;"",IFERROR(AVERAGE(AB15,AD15,AF15,AH15)*$AI$4,0),""))))</f>
        <v>15.238095238095239</v>
      </c>
      <c r="AJ15" s="179"/>
      <c r="AK15" s="243">
        <f>IF(Input!AD16="","",IF(F15&lt;&gt;"",Input!AD16,""))</f>
        <v>66</v>
      </c>
      <c r="AL15" s="185">
        <f>IF(F15="","",IF(Input!AE16="Error","Error",IF(ISNUMBER(Input!AE16),Input!AE16*$AL$4,"")))</f>
        <v>47.142857142857139</v>
      </c>
      <c r="AM15" s="332">
        <f>IF(V15="D","Drp",
IF(F15&lt;&gt;"",
IF(OR(Y15="Error",AI15="Error",AL15="Error"),"Error",
IF(Input!AD16="","-",ROUND(Y15+AI15+AL15,2))),""))</f>
        <v>90.88</v>
      </c>
      <c r="AN15" s="187">
        <f>IF(F15&lt;&gt;"",VLOOKUP(AM15,TRANSMUTATION!$A$2:$B$14,2),"")</f>
        <v>1.75</v>
      </c>
      <c r="AO15" s="244">
        <f t="shared" si="1"/>
        <v>1</v>
      </c>
      <c r="AP15" s="189"/>
      <c r="AQ15" s="190" t="s">
        <v>98</v>
      </c>
      <c r="AR15" s="191">
        <f t="shared" si="0"/>
        <v>0</v>
      </c>
      <c r="AS15" s="102"/>
      <c r="AT15" s="101"/>
    </row>
    <row r="16" spans="1:46" ht="15" x14ac:dyDescent="0.2">
      <c r="A16" s="101"/>
      <c r="C16" s="206">
        <v>10</v>
      </c>
      <c r="D16" s="215" t="str">
        <f>IF(Input!D17&lt;&gt;"",IF(F16&lt;&gt;"",Input!D17,""),"")</f>
        <v>02000491156</v>
      </c>
      <c r="E16" s="321"/>
      <c r="F16" s="322" t="str">
        <f>(IF(Input!F17&lt;&gt;"",Input!F17,""))</f>
        <v>DACUBA,ANNEZA MAYE DANCIL</v>
      </c>
      <c r="G16" s="18"/>
      <c r="H16" s="18"/>
      <c r="I16" s="18"/>
      <c r="J16" s="18">
        <v>1.5</v>
      </c>
      <c r="K16" s="18"/>
      <c r="L16" s="18"/>
      <c r="M16" s="18"/>
      <c r="N16" s="18"/>
      <c r="O16" s="18"/>
      <c r="P16" s="18"/>
      <c r="Q16" s="18"/>
      <c r="R16" s="18"/>
      <c r="S16" s="18"/>
      <c r="T16" s="18"/>
      <c r="U16" s="18"/>
      <c r="V16" s="21"/>
      <c r="W16" s="177"/>
      <c r="X16" s="178">
        <f>Input!X17</f>
        <v>50</v>
      </c>
      <c r="Y16" s="329">
        <f t="shared" si="2"/>
        <v>15</v>
      </c>
      <c r="Z16" s="179"/>
      <c r="AA16" s="180">
        <f>IF(F16&lt;&gt;"",IF(Input!Y17&lt;&gt;"",Input!Y17,""),"")</f>
        <v>0</v>
      </c>
      <c r="AB16" s="181">
        <f>IFERROR(IF($AA$5="","",IF(F16&lt;&gt;"",(Input!Y17/Input!$Y$6)*100,"")),"NA")</f>
        <v>0</v>
      </c>
      <c r="AC16" s="182">
        <f>IF(F16&lt;&gt;"",IF(Input!Z17&lt;&gt;"",Input!Z17,""),"")</f>
        <v>0</v>
      </c>
      <c r="AD16" s="181">
        <f>IFERROR(IF($AC$5="","",IF(F16&lt;&gt;"",(Input!Z17/Input!$Z$6)*100,"")),"NA")</f>
        <v>0</v>
      </c>
      <c r="AE16" s="182">
        <f>IF(F16&lt;&gt;"",IF(Input!AA17&lt;&gt;"",Input!AA17,""),"")</f>
        <v>19</v>
      </c>
      <c r="AF16" s="181">
        <f>IFERROR(IF($AE$5="","",IF(F16&lt;&gt;"",(Input!AA17/Input!$AA$6)*100,"")),"NA")</f>
        <v>54.285714285714285</v>
      </c>
      <c r="AG16" s="183" t="str">
        <f>IF(F16&lt;&gt;"",IF(Input!AB17&lt;&gt;"",Input!AB17,""),"")</f>
        <v/>
      </c>
      <c r="AH16" s="181" t="str">
        <f>IFERROR(IF($AG$5="","",IF(F16&lt;&gt;"",(Input!AB17/Input!$AB$6)*100,"")),"NA")</f>
        <v/>
      </c>
      <c r="AI16" s="327">
        <f>IF(Input!AC17="Error","Error",IF(F16="","",IF($AA$5="",0,IF(F16&lt;&gt;"",IFERROR(AVERAGE(AB16,AD16,AF16,AH16)*$AI$4,0),""))))</f>
        <v>3.6190476190476191</v>
      </c>
      <c r="AJ16" s="179"/>
      <c r="AK16" s="243">
        <f>IF(Input!AD17="","",IF(F16&lt;&gt;"",Input!AD17,""))</f>
        <v>32</v>
      </c>
      <c r="AL16" s="185">
        <f>IF(F16="","",IF(Input!AE17="Error","Error",IF(ISNUMBER(Input!AE17),Input!AE17*$AL$4,"")))</f>
        <v>22.857142857142858</v>
      </c>
      <c r="AM16" s="332">
        <f>IF(V16="D","Drp",
IF(F16&lt;&gt;"",
IF(OR(Y16="Error",AI16="Error",AL16="Error"),"Error",
IF(Input!AD17="","-",ROUND(Y16+AI16+AL16,2))),""))</f>
        <v>41.48</v>
      </c>
      <c r="AN16" s="187">
        <f>IF(F16&lt;&gt;"",VLOOKUP(AM16,TRANSMUTATION!$A$2:$B$14,2),"")</f>
        <v>5</v>
      </c>
      <c r="AO16" s="244">
        <f t="shared" si="1"/>
        <v>19</v>
      </c>
      <c r="AP16" s="189"/>
      <c r="AQ16" s="192" t="s">
        <v>99</v>
      </c>
      <c r="AR16" s="193">
        <f t="shared" si="0"/>
        <v>4</v>
      </c>
      <c r="AS16" s="102"/>
      <c r="AT16" s="101"/>
    </row>
    <row r="17" spans="1:46" ht="15" customHeight="1" thickBot="1" x14ac:dyDescent="0.25">
      <c r="A17" s="101"/>
      <c r="C17" s="206">
        <v>11</v>
      </c>
      <c r="D17" s="215" t="str">
        <f>IF(Input!D18&lt;&gt;"",IF(F17&lt;&gt;"",Input!D18,""),"")</f>
        <v>02000487748</v>
      </c>
      <c r="E17" s="321"/>
      <c r="F17" s="322" t="str">
        <f>(IF(Input!F18&lt;&gt;"",Input!F18,""))</f>
        <v>DESALISA,IVY ABANIL</v>
      </c>
      <c r="G17" s="18"/>
      <c r="H17" s="18"/>
      <c r="I17" s="18"/>
      <c r="J17" s="18"/>
      <c r="K17" s="18"/>
      <c r="L17" s="18"/>
      <c r="M17" s="18"/>
      <c r="N17" s="18"/>
      <c r="O17" s="18"/>
      <c r="P17" s="18"/>
      <c r="Q17" s="18"/>
      <c r="R17" s="18"/>
      <c r="S17" s="18"/>
      <c r="T17" s="18"/>
      <c r="U17" s="18"/>
      <c r="V17" s="21"/>
      <c r="W17" s="177"/>
      <c r="X17" s="178">
        <f>Input!X18</f>
        <v>50</v>
      </c>
      <c r="Y17" s="329">
        <f t="shared" si="2"/>
        <v>15</v>
      </c>
      <c r="Z17" s="179"/>
      <c r="AA17" s="180">
        <f>IF(F17&lt;&gt;"",IF(Input!Y18&lt;&gt;"",Input!Y18,""),"")</f>
        <v>0</v>
      </c>
      <c r="AB17" s="181">
        <f>IFERROR(IF($AA$5="","",IF(F17&lt;&gt;"",(Input!Y18/Input!$Y$6)*100,"")),"NA")</f>
        <v>0</v>
      </c>
      <c r="AC17" s="182">
        <f>IF(F17&lt;&gt;"",IF(Input!Z18&lt;&gt;"",Input!Z18,""),"")</f>
        <v>0</v>
      </c>
      <c r="AD17" s="181">
        <f>IFERROR(IF($AC$5="","",IF(F17&lt;&gt;"",(Input!Z18/Input!$Z$6)*100,"")),"NA")</f>
        <v>0</v>
      </c>
      <c r="AE17" s="182">
        <f>IF(F17&lt;&gt;"",IF(Input!AA18&lt;&gt;"",Input!AA18,""),"")</f>
        <v>14</v>
      </c>
      <c r="AF17" s="181">
        <f>IFERROR(IF($AE$5="","",IF(F17&lt;&gt;"",(Input!AA18/Input!$AA$6)*100,"")),"NA")</f>
        <v>40</v>
      </c>
      <c r="AG17" s="183" t="str">
        <f>IF(F17&lt;&gt;"",IF(Input!AB18&lt;&gt;"",Input!AB18,""),"")</f>
        <v/>
      </c>
      <c r="AH17" s="181" t="str">
        <f>IFERROR(IF($AG$5="","",IF(F17&lt;&gt;"",(Input!AB18/Input!$AB$6)*100,"")),"NA")</f>
        <v/>
      </c>
      <c r="AI17" s="327">
        <f>IF(Input!AC18="Error","Error",IF(F17="","",IF($AA$5="",0,IF(F17&lt;&gt;"",IFERROR(AVERAGE(AB17,AD17,AF17,AH17)*$AI$4,0),""))))</f>
        <v>2.666666666666667</v>
      </c>
      <c r="AJ17" s="179"/>
      <c r="AK17" s="243" t="str">
        <f>IF(Input!AD18="","",IF(F17&lt;&gt;"",Input!AD18,""))</f>
        <v/>
      </c>
      <c r="AL17" s="185" t="str">
        <f>IF(F17="","",IF(Input!AE18="Error","Error",IF(ISNUMBER(Input!AE18),Input!AE18*$AL$4,"")))</f>
        <v/>
      </c>
      <c r="AM17" s="332" t="str">
        <f>IF(V17="D","Drp",
IF(F17&lt;&gt;"",
IF(OR(Y17="Error",AI17="Error",AL17="Error"),"Error",
IF(Input!AD18="","-",ROUND(Y17+AI17+AL17,2))),""))</f>
        <v>-</v>
      </c>
      <c r="AN17" s="187" t="str">
        <f>IF(F17&lt;&gt;"",VLOOKUP(AM17,TRANSMUTATION!$A$2:$B$14,2),"")</f>
        <v>INC</v>
      </c>
      <c r="AO17" s="244" t="str">
        <f t="shared" si="1"/>
        <v/>
      </c>
      <c r="AP17" s="189"/>
      <c r="AQ17" s="194" t="s">
        <v>100</v>
      </c>
      <c r="AR17" s="195">
        <f>SUM(AR5:AR16)</f>
        <v>25</v>
      </c>
      <c r="AS17" s="102"/>
      <c r="AT17" s="101"/>
    </row>
    <row r="18" spans="1:46" ht="15" x14ac:dyDescent="0.2">
      <c r="A18" s="101"/>
      <c r="C18" s="206">
        <v>12</v>
      </c>
      <c r="D18" s="215" t="str">
        <f>IF(Input!D19&lt;&gt;"",IF(F18&lt;&gt;"",Input!D19,""),"")</f>
        <v>02000504031</v>
      </c>
      <c r="E18" s="321"/>
      <c r="F18" s="322" t="str">
        <f>(IF(Input!F19&lt;&gt;"",Input!F19,""))</f>
        <v>DOMINGUEZ,ADJA</v>
      </c>
      <c r="G18" s="18"/>
      <c r="H18" s="18"/>
      <c r="I18" s="18"/>
      <c r="J18" s="18"/>
      <c r="K18" s="18"/>
      <c r="L18" s="18"/>
      <c r="M18" s="18"/>
      <c r="N18" s="18"/>
      <c r="O18" s="18"/>
      <c r="P18" s="18"/>
      <c r="Q18" s="18"/>
      <c r="R18" s="18"/>
      <c r="S18" s="18"/>
      <c r="T18" s="18"/>
      <c r="U18" s="18"/>
      <c r="V18" s="21"/>
      <c r="W18" s="177"/>
      <c r="X18" s="178">
        <f>Input!X19</f>
        <v>50</v>
      </c>
      <c r="Y18" s="329">
        <f t="shared" si="2"/>
        <v>15</v>
      </c>
      <c r="Z18" s="179"/>
      <c r="AA18" s="180">
        <f>IF(F18&lt;&gt;"",IF(Input!Y19&lt;&gt;"",Input!Y19,""),"")</f>
        <v>0</v>
      </c>
      <c r="AB18" s="181">
        <f>IFERROR(IF($AA$5="","",IF(F18&lt;&gt;"",(Input!Y19/Input!$Y$6)*100,"")),"NA")</f>
        <v>0</v>
      </c>
      <c r="AC18" s="182">
        <f>IF(F18&lt;&gt;"",IF(Input!Z19&lt;&gt;"",Input!Z19,""),"")</f>
        <v>0</v>
      </c>
      <c r="AD18" s="181">
        <f>IFERROR(IF($AC$5="","",IF(F18&lt;&gt;"",(Input!Z19/Input!$Z$6)*100,"")),"NA")</f>
        <v>0</v>
      </c>
      <c r="AE18" s="182">
        <f>IF(F18&lt;&gt;"",IF(Input!AA19&lt;&gt;"",Input!AA19,""),"")</f>
        <v>14</v>
      </c>
      <c r="AF18" s="181">
        <f>IFERROR(IF($AE$5="","",IF(F18&lt;&gt;"",(Input!AA19/Input!$AA$6)*100,"")),"NA")</f>
        <v>40</v>
      </c>
      <c r="AG18" s="183" t="str">
        <f>IF(F18&lt;&gt;"",IF(Input!AB19&lt;&gt;"",Input!AB19,""),"")</f>
        <v/>
      </c>
      <c r="AH18" s="181" t="str">
        <f>IFERROR(IF($AG$5="","",IF(F18&lt;&gt;"",(Input!AB19/Input!$AB$6)*100,"")),"NA")</f>
        <v/>
      </c>
      <c r="AI18" s="327">
        <f>IF(Input!AC19="Error","Error",IF(F18="","",IF($AA$5="",0,IF(F18&lt;&gt;"",IFERROR(AVERAGE(AB18,AD18,AF18,AH18)*$AI$4,0),""))))</f>
        <v>2.666666666666667</v>
      </c>
      <c r="AJ18" s="179"/>
      <c r="AK18" s="243">
        <f>IF(Input!AD19="","",IF(F18&lt;&gt;"",Input!AD19,""))</f>
        <v>20</v>
      </c>
      <c r="AL18" s="185">
        <f>IF(F18="","",IF(Input!AE19="Error","Error",IF(ISNUMBER(Input!AE19),Input!AE19*$AL$4,"")))</f>
        <v>14.285714285714285</v>
      </c>
      <c r="AM18" s="332">
        <f>IF(V18="D","Drp",
IF(F18&lt;&gt;"",
IF(OR(Y18="Error",AI18="Error",AL18="Error"),"Error",
IF(Input!AD19="","-",ROUND(Y18+AI18+AL18,2))),""))</f>
        <v>31.95</v>
      </c>
      <c r="AN18" s="187">
        <f>IF(F18&lt;&gt;"",VLOOKUP(AM18,TRANSMUTATION!$A$2:$B$14,2),"")</f>
        <v>5</v>
      </c>
      <c r="AO18" s="244">
        <f t="shared" si="1"/>
        <v>21</v>
      </c>
      <c r="AP18" s="189"/>
      <c r="AQ18" s="102"/>
      <c r="AR18" s="102"/>
      <c r="AS18" s="102"/>
      <c r="AT18" s="101"/>
    </row>
    <row r="19" spans="1:46" ht="15" x14ac:dyDescent="0.2">
      <c r="A19" s="101"/>
      <c r="C19" s="206">
        <v>13</v>
      </c>
      <c r="D19" s="215" t="str">
        <f>IF(Input!D20&lt;&gt;"",IF(F19&lt;&gt;"",Input!D20,""),"")</f>
        <v>02000504595</v>
      </c>
      <c r="E19" s="321"/>
      <c r="F19" s="322" t="str">
        <f>(IF(Input!F20&lt;&gt;"",Input!F20,""))</f>
        <v>ELEGADO,RAQUEL JILLIAN BURCER</v>
      </c>
      <c r="G19" s="18"/>
      <c r="H19" s="18"/>
      <c r="I19" s="18"/>
      <c r="J19" s="18">
        <v>1.5</v>
      </c>
      <c r="K19" s="18"/>
      <c r="L19" s="18"/>
      <c r="M19" s="18"/>
      <c r="N19" s="18"/>
      <c r="O19" s="18"/>
      <c r="P19" s="18"/>
      <c r="Q19" s="18"/>
      <c r="R19" s="18"/>
      <c r="S19" s="18"/>
      <c r="T19" s="18"/>
      <c r="U19" s="18"/>
      <c r="V19" s="21"/>
      <c r="W19" s="177"/>
      <c r="X19" s="178">
        <f>Input!X20</f>
        <v>98</v>
      </c>
      <c r="Y19" s="329">
        <f t="shared" si="2"/>
        <v>29.4</v>
      </c>
      <c r="Z19" s="179"/>
      <c r="AA19" s="180">
        <f>IF(F19&lt;&gt;"",IF(Input!Y20&lt;&gt;"",Input!Y20,""),"")</f>
        <v>10</v>
      </c>
      <c r="AB19" s="181">
        <f>IFERROR(IF($AA$5="","",IF(F19&lt;&gt;"",(Input!Y20/Input!$Y$6)*100,"")),"NA")</f>
        <v>100</v>
      </c>
      <c r="AC19" s="182">
        <f>IF(F19&lt;&gt;"",IF(Input!Z20&lt;&gt;"",Input!Z20,""),"")</f>
        <v>0</v>
      </c>
      <c r="AD19" s="181">
        <f>IFERROR(IF($AC$5="","",IF(F19&lt;&gt;"",(Input!Z20/Input!$Z$6)*100,"")),"NA")</f>
        <v>0</v>
      </c>
      <c r="AE19" s="182">
        <f>IF(F19&lt;&gt;"",IF(Input!AA20&lt;&gt;"",Input!AA20,""),"")</f>
        <v>14</v>
      </c>
      <c r="AF19" s="181">
        <f>IFERROR(IF($AE$5="","",IF(F19&lt;&gt;"",(Input!AA20/Input!$AA$6)*100,"")),"NA")</f>
        <v>40</v>
      </c>
      <c r="AG19" s="183" t="str">
        <f>IF(F19&lt;&gt;"",IF(Input!AB20&lt;&gt;"",Input!AB20,""),"")</f>
        <v/>
      </c>
      <c r="AH19" s="181" t="str">
        <f>IFERROR(IF($AG$5="","",IF(F19&lt;&gt;"",(Input!AB20/Input!$AB$6)*100,"")),"NA")</f>
        <v/>
      </c>
      <c r="AI19" s="327">
        <f>IF(Input!AC20="Error","Error",IF(F19="","",IF($AA$5="",0,IF(F19&lt;&gt;"",IFERROR(AVERAGE(AB19,AD19,AF19,AH19)*$AI$4,0),""))))</f>
        <v>9.3333333333333339</v>
      </c>
      <c r="AJ19" s="179"/>
      <c r="AK19" s="243">
        <f>IF(Input!AD20="","",IF(F19&lt;&gt;"",Input!AD20,""))</f>
        <v>38</v>
      </c>
      <c r="AL19" s="185">
        <f>IF(F19="","",IF(Input!AE20="Error","Error",IF(ISNUMBER(Input!AE20),Input!AE20*$AL$4,"")))</f>
        <v>27.142857142857142</v>
      </c>
      <c r="AM19" s="332">
        <f>IF(V19="D","Drp",
IF(F19&lt;&gt;"",
IF(OR(Y19="Error",AI19="Error",AL19="Error"),"Error",
IF(Input!AD20="","-",ROUND(Y19+AI19+AL19,2))),""))</f>
        <v>65.88</v>
      </c>
      <c r="AN19" s="187">
        <f>IF(F19&lt;&gt;"",VLOOKUP(AM19,TRANSMUTATION!$A$2:$B$14,2),"")</f>
        <v>2.75</v>
      </c>
      <c r="AO19" s="244">
        <f t="shared" si="1"/>
        <v>14</v>
      </c>
      <c r="AP19" s="189"/>
      <c r="AQ19" s="102"/>
      <c r="AR19" s="102"/>
      <c r="AS19" s="102"/>
      <c r="AT19" s="101"/>
    </row>
    <row r="20" spans="1:46" ht="15" x14ac:dyDescent="0.2">
      <c r="A20" s="101"/>
      <c r="C20" s="206">
        <v>14</v>
      </c>
      <c r="D20" s="215" t="str">
        <f>IF(Input!D21&lt;&gt;"",IF(F20&lt;&gt;"",Input!D21,""),"")</f>
        <v>02000493811</v>
      </c>
      <c r="E20" s="321"/>
      <c r="F20" s="322" t="str">
        <f>(IF(Input!F21&lt;&gt;"",Input!F21,""))</f>
        <v>FRANCE,KRISTEL CASSANDRA BASALLOTE</v>
      </c>
      <c r="G20" s="18"/>
      <c r="H20" s="18"/>
      <c r="I20" s="18"/>
      <c r="J20" s="18"/>
      <c r="K20" s="18"/>
      <c r="L20" s="18"/>
      <c r="M20" s="18"/>
      <c r="N20" s="18"/>
      <c r="O20" s="18"/>
      <c r="P20" s="18"/>
      <c r="Q20" s="18"/>
      <c r="R20" s="18"/>
      <c r="S20" s="18"/>
      <c r="T20" s="18"/>
      <c r="U20" s="18"/>
      <c r="V20" s="21"/>
      <c r="W20" s="177"/>
      <c r="X20" s="178">
        <f>Input!X21</f>
        <v>50</v>
      </c>
      <c r="Y20" s="329">
        <f t="shared" si="2"/>
        <v>15</v>
      </c>
      <c r="Z20" s="179"/>
      <c r="AA20" s="180">
        <f>IF(F20&lt;&gt;"",IF(Input!Y21&lt;&gt;"",Input!Y21,""),"")</f>
        <v>7</v>
      </c>
      <c r="AB20" s="181">
        <f>IFERROR(IF($AA$5="","",IF(F20&lt;&gt;"",(Input!Y21/Input!$Y$6)*100,"")),"NA")</f>
        <v>70</v>
      </c>
      <c r="AC20" s="182">
        <f>IF(F20&lt;&gt;"",IF(Input!Z21&lt;&gt;"",Input!Z21,""),"")</f>
        <v>5</v>
      </c>
      <c r="AD20" s="181">
        <f>IFERROR(IF($AC$5="","",IF(F20&lt;&gt;"",(Input!Z21/Input!$Z$6)*100,"")),"NA")</f>
        <v>25</v>
      </c>
      <c r="AE20" s="182">
        <f>IF(F20&lt;&gt;"",IF(Input!AA21&lt;&gt;"",Input!AA21,""),"")</f>
        <v>10</v>
      </c>
      <c r="AF20" s="181">
        <f>IFERROR(IF($AE$5="","",IF(F20&lt;&gt;"",(Input!AA21/Input!$AA$6)*100,"")),"NA")</f>
        <v>28.571428571428569</v>
      </c>
      <c r="AG20" s="183" t="str">
        <f>IF(F20&lt;&gt;"",IF(Input!AB21&lt;&gt;"",Input!AB21,""),"")</f>
        <v/>
      </c>
      <c r="AH20" s="181" t="str">
        <f>IFERROR(IF($AG$5="","",IF(F20&lt;&gt;"",(Input!AB21/Input!$AB$6)*100,"")),"NA")</f>
        <v/>
      </c>
      <c r="AI20" s="327">
        <f>IF(Input!AC21="Error","Error",IF(F20="","",IF($AA$5="",0,IF(F20&lt;&gt;"",IFERROR(AVERAGE(AB20,AD20,AF20,AH20)*$AI$4,0),""))))</f>
        <v>8.238095238095239</v>
      </c>
      <c r="AJ20" s="179"/>
      <c r="AK20" s="243" t="str">
        <f>IF(Input!AD21="","",IF(F20&lt;&gt;"",Input!AD21,""))</f>
        <v/>
      </c>
      <c r="AL20" s="185" t="str">
        <f>IF(F20="","",IF(Input!AE21="Error","Error",IF(ISNUMBER(Input!AE21),Input!AE21*$AL$4,"")))</f>
        <v/>
      </c>
      <c r="AM20" s="332" t="str">
        <f>IF(V20="D","Drp",
IF(F20&lt;&gt;"",
IF(OR(Y20="Error",AI20="Error",AL20="Error"),"Error",
IF(Input!AD21="","-",ROUND(Y20+AI20+AL20,2))),""))</f>
        <v>-</v>
      </c>
      <c r="AN20" s="187" t="str">
        <f>IF(F20&lt;&gt;"",VLOOKUP(AM20,TRANSMUTATION!$A$2:$B$14,2),"")</f>
        <v>INC</v>
      </c>
      <c r="AO20" s="244" t="str">
        <f t="shared" si="1"/>
        <v/>
      </c>
      <c r="AP20" s="189"/>
      <c r="AQ20" s="102"/>
      <c r="AR20" s="102"/>
      <c r="AS20" s="102"/>
      <c r="AT20" s="101"/>
    </row>
    <row r="21" spans="1:46" ht="15" x14ac:dyDescent="0.2">
      <c r="A21" s="101"/>
      <c r="C21" s="206">
        <v>15</v>
      </c>
      <c r="D21" s="215" t="str">
        <f>IF(Input!D22&lt;&gt;"",IF(F21&lt;&gt;"",Input!D22,""),"")</f>
        <v>02000501320</v>
      </c>
      <c r="E21" s="321"/>
      <c r="F21" s="322" t="str">
        <f>(IF(Input!F22&lt;&gt;"",Input!F22,""))</f>
        <v>LAMESERIA,DIVINA RUFFA ABRAHAM</v>
      </c>
      <c r="G21" s="18"/>
      <c r="H21" s="18"/>
      <c r="I21" s="18"/>
      <c r="J21" s="18">
        <v>1.5</v>
      </c>
      <c r="K21" s="18"/>
      <c r="L21" s="18"/>
      <c r="M21" s="18"/>
      <c r="N21" s="18"/>
      <c r="O21" s="18"/>
      <c r="P21" s="18"/>
      <c r="Q21" s="18"/>
      <c r="R21" s="18"/>
      <c r="S21" s="18"/>
      <c r="T21" s="18"/>
      <c r="U21" s="18"/>
      <c r="V21" s="21"/>
      <c r="W21" s="177"/>
      <c r="X21" s="178">
        <f>Input!X22</f>
        <v>50</v>
      </c>
      <c r="Y21" s="329">
        <f t="shared" si="2"/>
        <v>15</v>
      </c>
      <c r="Z21" s="179"/>
      <c r="AA21" s="180">
        <f>IF(F21&lt;&gt;"",IF(Input!Y22&lt;&gt;"",Input!Y22,""),"")</f>
        <v>0</v>
      </c>
      <c r="AB21" s="181">
        <f>IFERROR(IF($AA$5="","",IF(F21&lt;&gt;"",(Input!Y22/Input!$Y$6)*100,"")),"NA")</f>
        <v>0</v>
      </c>
      <c r="AC21" s="182">
        <f>IF(F21&lt;&gt;"",IF(Input!Z22&lt;&gt;"",Input!Z22,""),"")</f>
        <v>0</v>
      </c>
      <c r="AD21" s="181">
        <f>IFERROR(IF($AC$5="","",IF(F21&lt;&gt;"",(Input!Z22/Input!$Z$6)*100,"")),"NA")</f>
        <v>0</v>
      </c>
      <c r="AE21" s="182">
        <f>IF(F21&lt;&gt;"",IF(Input!AA22&lt;&gt;"",Input!AA22,""),"")</f>
        <v>28</v>
      </c>
      <c r="AF21" s="181">
        <f>IFERROR(IF($AE$5="","",IF(F21&lt;&gt;"",(Input!AA22/Input!$AA$6)*100,"")),"NA")</f>
        <v>80</v>
      </c>
      <c r="AG21" s="183" t="str">
        <f>IF(F21&lt;&gt;"",IF(Input!AB22&lt;&gt;"",Input!AB22,""),"")</f>
        <v/>
      </c>
      <c r="AH21" s="181" t="str">
        <f>IFERROR(IF($AG$5="","",IF(F21&lt;&gt;"",(Input!AB22/Input!$AB$6)*100,"")),"NA")</f>
        <v/>
      </c>
      <c r="AI21" s="327">
        <f>IF(Input!AC22="Error","Error",IF(F21="","",IF($AA$5="",0,IF(F21&lt;&gt;"",IFERROR(AVERAGE(AB21,AD21,AF21,AH21)*$AI$4,0),""))))</f>
        <v>5.3333333333333339</v>
      </c>
      <c r="AJ21" s="179"/>
      <c r="AK21" s="243">
        <f>IF(Input!AD22="","",IF(F21&lt;&gt;"",Input!AD22,""))</f>
        <v>64</v>
      </c>
      <c r="AL21" s="185">
        <f>IF(F21="","",IF(Input!AE22="Error","Error",IF(ISNUMBER(Input!AE22),Input!AE22*$AL$4,"")))</f>
        <v>45.714285714285715</v>
      </c>
      <c r="AM21" s="332">
        <f>IF(V21="D","Drp",
IF(F21&lt;&gt;"",
IF(OR(Y21="Error",AI21="Error",AL21="Error"),"Error",
IF(Input!AD22="","-",ROUND(Y21+AI21+AL21,2))),""))</f>
        <v>66.05</v>
      </c>
      <c r="AN21" s="187">
        <f>IF(F21&lt;&gt;"",VLOOKUP(AM21,TRANSMUTATION!$A$2:$B$14,2),"")</f>
        <v>2.75</v>
      </c>
      <c r="AO21" s="244">
        <f t="shared" si="1"/>
        <v>13</v>
      </c>
      <c r="AP21" s="189"/>
      <c r="AQ21" s="102"/>
      <c r="AR21" s="102"/>
      <c r="AS21" s="102"/>
      <c r="AT21" s="101"/>
    </row>
    <row r="22" spans="1:46" ht="15" x14ac:dyDescent="0.2">
      <c r="A22" s="101"/>
      <c r="C22" s="206">
        <v>16</v>
      </c>
      <c r="D22" s="215" t="str">
        <f>IF(Input!D23&lt;&gt;"",IF(F22&lt;&gt;"",Input!D23,""),"")</f>
        <v>02000510843</v>
      </c>
      <c r="E22" s="321"/>
      <c r="F22" s="322" t="str">
        <f>(IF(Input!F23&lt;&gt;"",Input!F23,""))</f>
        <v>LAURENTE,WILFRED RUSSELL SAMBAJON</v>
      </c>
      <c r="G22" s="18"/>
      <c r="H22" s="18"/>
      <c r="I22" s="18"/>
      <c r="J22" s="18"/>
      <c r="K22" s="18"/>
      <c r="L22" s="18"/>
      <c r="M22" s="18"/>
      <c r="N22" s="18"/>
      <c r="O22" s="18"/>
      <c r="P22" s="18"/>
      <c r="Q22" s="18"/>
      <c r="R22" s="18"/>
      <c r="S22" s="18"/>
      <c r="T22" s="18"/>
      <c r="U22" s="18"/>
      <c r="V22" s="21"/>
      <c r="W22" s="177"/>
      <c r="X22" s="178">
        <f>Input!X23</f>
        <v>50</v>
      </c>
      <c r="Y22" s="329">
        <f t="shared" si="2"/>
        <v>15</v>
      </c>
      <c r="Z22" s="179"/>
      <c r="AA22" s="180">
        <f>IF(F22&lt;&gt;"",IF(Input!Y23&lt;&gt;"",Input!Y23,""),"")</f>
        <v>6</v>
      </c>
      <c r="AB22" s="181">
        <f>IFERROR(IF($AA$5="","",IF(F22&lt;&gt;"",(Input!Y23/Input!$Y$6)*100,"")),"NA")</f>
        <v>60</v>
      </c>
      <c r="AC22" s="182">
        <f>IF(F22&lt;&gt;"",IF(Input!Z23&lt;&gt;"",Input!Z23,""),"")</f>
        <v>0</v>
      </c>
      <c r="AD22" s="181">
        <f>IFERROR(IF($AC$5="","",IF(F22&lt;&gt;"",(Input!Z23/Input!$Z$6)*100,"")),"NA")</f>
        <v>0</v>
      </c>
      <c r="AE22" s="182">
        <f>IF(F22&lt;&gt;"",IF(Input!AA23&lt;&gt;"",Input!AA23,""),"")</f>
        <v>21</v>
      </c>
      <c r="AF22" s="181">
        <f>IFERROR(IF($AE$5="","",IF(F22&lt;&gt;"",(Input!AA23/Input!$AA$6)*100,"")),"NA")</f>
        <v>60</v>
      </c>
      <c r="AG22" s="183" t="str">
        <f>IF(F22&lt;&gt;"",IF(Input!AB23&lt;&gt;"",Input!AB23,""),"")</f>
        <v/>
      </c>
      <c r="AH22" s="181" t="str">
        <f>IFERROR(IF($AG$5="","",IF(F22&lt;&gt;"",(Input!AB23/Input!$AB$6)*100,"")),"NA")</f>
        <v/>
      </c>
      <c r="AI22" s="327">
        <f>IF(Input!AC23="Error","Error",IF(F22="","",IF($AA$5="",0,IF(F22&lt;&gt;"",IFERROR(AVERAGE(AB22,AD22,AF22,AH22)*$AI$4,0),""))))</f>
        <v>8</v>
      </c>
      <c r="AJ22" s="179"/>
      <c r="AK22" s="243" t="str">
        <f>IF(Input!AD23="","",IF(F22&lt;&gt;"",Input!AD23,""))</f>
        <v/>
      </c>
      <c r="AL22" s="185" t="str">
        <f>IF(F22="","",IF(Input!AE23="Error","Error",IF(ISNUMBER(Input!AE23),Input!AE23*$AL$4,"")))</f>
        <v/>
      </c>
      <c r="AM22" s="332" t="str">
        <f>IF(V22="D","Drp",
IF(F22&lt;&gt;"",
IF(OR(Y22="Error",AI22="Error",AL22="Error"),"Error",
IF(Input!AD23="","-",ROUND(Y22+AI22+AL22,2))),""))</f>
        <v>-</v>
      </c>
      <c r="AN22" s="187" t="str">
        <f>IF(F22&lt;&gt;"",VLOOKUP(AM22,TRANSMUTATION!$A$2:$B$14,2),"")</f>
        <v>INC</v>
      </c>
      <c r="AO22" s="244" t="str">
        <f t="shared" si="1"/>
        <v/>
      </c>
      <c r="AP22" s="189"/>
      <c r="AQ22" s="102"/>
      <c r="AR22" s="102"/>
      <c r="AS22" s="102"/>
      <c r="AT22" s="101"/>
    </row>
    <row r="23" spans="1:46" ht="15" x14ac:dyDescent="0.2">
      <c r="A23" s="101"/>
      <c r="C23" s="206">
        <v>17</v>
      </c>
      <c r="D23" s="215" t="str">
        <f>IF(Input!D24&lt;&gt;"",IF(F23&lt;&gt;"",Input!D24,""),"")</f>
        <v>02000484250</v>
      </c>
      <c r="E23" s="321"/>
      <c r="F23" s="322" t="str">
        <f>(IF(Input!F24&lt;&gt;"",Input!F24,""))</f>
        <v>LOYOLA,RAMIL JR. BARBARA</v>
      </c>
      <c r="G23" s="18"/>
      <c r="H23" s="18"/>
      <c r="I23" s="18"/>
      <c r="J23" s="18"/>
      <c r="K23" s="18"/>
      <c r="L23" s="18"/>
      <c r="M23" s="18"/>
      <c r="N23" s="18"/>
      <c r="O23" s="18"/>
      <c r="P23" s="18"/>
      <c r="Q23" s="18"/>
      <c r="R23" s="18"/>
      <c r="S23" s="18"/>
      <c r="T23" s="18"/>
      <c r="U23" s="18"/>
      <c r="V23" s="21"/>
      <c r="W23" s="177"/>
      <c r="X23" s="178">
        <f>Input!X24</f>
        <v>98</v>
      </c>
      <c r="Y23" s="329">
        <f t="shared" si="2"/>
        <v>29.4</v>
      </c>
      <c r="Z23" s="179"/>
      <c r="AA23" s="180">
        <f>IF(F23&lt;&gt;"",IF(Input!Y24&lt;&gt;"",Input!Y24,""),"")</f>
        <v>4</v>
      </c>
      <c r="AB23" s="181">
        <f>IFERROR(IF($AA$5="","",IF(F23&lt;&gt;"",(Input!Y24/Input!$Y$6)*100,"")),"NA")</f>
        <v>40</v>
      </c>
      <c r="AC23" s="182">
        <f>IF(F23&lt;&gt;"",IF(Input!Z24&lt;&gt;"",Input!Z24,""),"")</f>
        <v>13</v>
      </c>
      <c r="AD23" s="181">
        <f>IFERROR(IF($AC$5="","",IF(F23&lt;&gt;"",(Input!Z24/Input!$Z$6)*100,"")),"NA")</f>
        <v>65</v>
      </c>
      <c r="AE23" s="182">
        <f>IF(F23&lt;&gt;"",IF(Input!AA24&lt;&gt;"",Input!AA24,""),"")</f>
        <v>14</v>
      </c>
      <c r="AF23" s="181">
        <f>IFERROR(IF($AE$5="","",IF(F23&lt;&gt;"",(Input!AA24/Input!$AA$6)*100,"")),"NA")</f>
        <v>40</v>
      </c>
      <c r="AG23" s="183" t="str">
        <f>IF(F23&lt;&gt;"",IF(Input!AB24&lt;&gt;"",Input!AB24,""),"")</f>
        <v/>
      </c>
      <c r="AH23" s="181" t="str">
        <f>IFERROR(IF($AG$5="","",IF(F23&lt;&gt;"",(Input!AB24/Input!$AB$6)*100,"")),"NA")</f>
        <v/>
      </c>
      <c r="AI23" s="327">
        <f>IF(Input!AC24="Error","Error",IF(F23="","",IF($AA$5="",0,IF(F23&lt;&gt;"",IFERROR(AVERAGE(AB23,AD23,AF23,AH23)*$AI$4,0),""))))</f>
        <v>9.6666666666666679</v>
      </c>
      <c r="AJ23" s="179"/>
      <c r="AK23" s="243">
        <f>IF(Input!AD24="","",IF(F23&lt;&gt;"",Input!AD24,""))</f>
        <v>38</v>
      </c>
      <c r="AL23" s="185">
        <f>IF(F23="","",IF(Input!AE24="Error","Error",IF(ISNUMBER(Input!AE24),Input!AE24*$AL$4,"")))</f>
        <v>27.142857142857142</v>
      </c>
      <c r="AM23" s="332">
        <f>IF(V23="D","Drp",
IF(F23&lt;&gt;"",
IF(OR(Y23="Error",AI23="Error",AL23="Error"),"Error",
IF(Input!AD24="","-",ROUND(Y23+AI23+AL23,2))),""))</f>
        <v>66.209999999999994</v>
      </c>
      <c r="AN23" s="187">
        <f>IF(F23&lt;&gt;"",VLOOKUP(AM23,TRANSMUTATION!$A$2:$B$14,2),"")</f>
        <v>2.75</v>
      </c>
      <c r="AO23" s="244">
        <f t="shared" si="1"/>
        <v>12</v>
      </c>
      <c r="AP23" s="189"/>
      <c r="AQ23" s="102"/>
      <c r="AR23" s="102"/>
      <c r="AS23" s="102"/>
      <c r="AT23" s="101"/>
    </row>
    <row r="24" spans="1:46" ht="15" x14ac:dyDescent="0.2">
      <c r="A24" s="101"/>
      <c r="C24" s="206">
        <v>18</v>
      </c>
      <c r="D24" s="215" t="str">
        <f>IF(Input!D25&lt;&gt;"",IF(F24&lt;&gt;"",Input!D25,""),"")</f>
        <v>02000388196</v>
      </c>
      <c r="E24" s="321"/>
      <c r="F24" s="322" t="str">
        <f>(IF(Input!F25&lt;&gt;"",Input!F25,""))</f>
        <v>MACALINDONG,IAN DANA</v>
      </c>
      <c r="G24" s="18"/>
      <c r="H24" s="18"/>
      <c r="I24" s="18"/>
      <c r="J24" s="18"/>
      <c r="K24" s="18"/>
      <c r="L24" s="18"/>
      <c r="M24" s="18"/>
      <c r="N24" s="18"/>
      <c r="O24" s="18"/>
      <c r="P24" s="18"/>
      <c r="Q24" s="18"/>
      <c r="R24" s="18"/>
      <c r="S24" s="18"/>
      <c r="T24" s="18"/>
      <c r="U24" s="18"/>
      <c r="V24" s="21"/>
      <c r="W24" s="177"/>
      <c r="X24" s="178">
        <f>Input!X25</f>
        <v>50</v>
      </c>
      <c r="Y24" s="329">
        <f t="shared" si="2"/>
        <v>15</v>
      </c>
      <c r="Z24" s="179"/>
      <c r="AA24" s="180">
        <f>IF(F24&lt;&gt;"",IF(Input!Y25&lt;&gt;"",Input!Y25,""),"")</f>
        <v>0</v>
      </c>
      <c r="AB24" s="181">
        <f>IFERROR(IF($AA$5="","",IF(F24&lt;&gt;"",(Input!Y25/Input!$Y$6)*100,"")),"NA")</f>
        <v>0</v>
      </c>
      <c r="AC24" s="182">
        <f>IF(F24&lt;&gt;"",IF(Input!Z25&lt;&gt;"",Input!Z25,""),"")</f>
        <v>0</v>
      </c>
      <c r="AD24" s="181">
        <f>IFERROR(IF($AC$5="","",IF(F24&lt;&gt;"",(Input!Z25/Input!$Z$6)*100,"")),"NA")</f>
        <v>0</v>
      </c>
      <c r="AE24" s="182" t="str">
        <f>IF(F24&lt;&gt;"",IF(Input!AA25&lt;&gt;"",Input!AA25,""),"")</f>
        <v/>
      </c>
      <c r="AF24" s="181">
        <f>IFERROR(IF($AE$5="","",IF(F24&lt;&gt;"",(Input!AA25/Input!$AA$6)*100,"")),"NA")</f>
        <v>0</v>
      </c>
      <c r="AG24" s="183" t="str">
        <f>IF(F24&lt;&gt;"",IF(Input!AB25&lt;&gt;"",Input!AB25,""),"")</f>
        <v/>
      </c>
      <c r="AH24" s="181" t="str">
        <f>IFERROR(IF($AG$5="","",IF(F24&lt;&gt;"",(Input!AB25/Input!$AB$6)*100,"")),"NA")</f>
        <v/>
      </c>
      <c r="AI24" s="327">
        <f>IF(Input!AC25="Error","Error",IF(F24="","",IF($AA$5="",0,IF(F24&lt;&gt;"",IFERROR(AVERAGE(AB24,AD24,AF24,AH24)*$AI$4,0),""))))</f>
        <v>0</v>
      </c>
      <c r="AJ24" s="179"/>
      <c r="AK24" s="243" t="str">
        <f>IF(Input!AD25="","",IF(F24&lt;&gt;"",Input!AD25,""))</f>
        <v/>
      </c>
      <c r="AL24" s="185" t="str">
        <f>IF(F24="","",IF(Input!AE25="Error","Error",IF(ISNUMBER(Input!AE25),Input!AE25*$AL$4,"")))</f>
        <v/>
      </c>
      <c r="AM24" s="332" t="str">
        <f>IF(V24="D","Drp",
IF(F24&lt;&gt;"",
IF(OR(Y24="Error",AI24="Error",AL24="Error"),"Error",
IF(Input!AD25="","-",ROUND(Y24+AI24+AL24,2))),""))</f>
        <v>-</v>
      </c>
      <c r="AN24" s="187" t="str">
        <f>IF(F24&lt;&gt;"",VLOOKUP(AM24,TRANSMUTATION!$A$2:$B$14,2),"")</f>
        <v>INC</v>
      </c>
      <c r="AO24" s="244" t="str">
        <f t="shared" si="1"/>
        <v/>
      </c>
      <c r="AP24" s="189"/>
      <c r="AQ24" s="102"/>
      <c r="AR24" s="102"/>
      <c r="AS24" s="102"/>
      <c r="AT24" s="101"/>
    </row>
    <row r="25" spans="1:46" ht="15" x14ac:dyDescent="0.2">
      <c r="A25" s="101"/>
      <c r="C25" s="206">
        <v>19</v>
      </c>
      <c r="D25" s="215" t="str">
        <f>IF(Input!D26&lt;&gt;"",IF(F25&lt;&gt;"",Input!D26,""),"")</f>
        <v>02000491101</v>
      </c>
      <c r="E25" s="321"/>
      <c r="F25" s="322" t="str">
        <f>(IF(Input!F26&lt;&gt;"",Input!F26,""))</f>
        <v>MAHAYHAY,KAREN CAPILI</v>
      </c>
      <c r="G25" s="18"/>
      <c r="H25" s="18"/>
      <c r="I25" s="18"/>
      <c r="J25" s="18">
        <v>1.5</v>
      </c>
      <c r="K25" s="18"/>
      <c r="L25" s="18"/>
      <c r="M25" s="18"/>
      <c r="N25" s="18"/>
      <c r="O25" s="18"/>
      <c r="P25" s="18"/>
      <c r="Q25" s="18"/>
      <c r="R25" s="18"/>
      <c r="S25" s="18"/>
      <c r="T25" s="18"/>
      <c r="U25" s="18"/>
      <c r="V25" s="21"/>
      <c r="W25" s="177"/>
      <c r="X25" s="178">
        <f>Input!X26</f>
        <v>100</v>
      </c>
      <c r="Y25" s="329">
        <f t="shared" si="2"/>
        <v>30</v>
      </c>
      <c r="Z25" s="179"/>
      <c r="AA25" s="180">
        <f>IF(F25&lt;&gt;"",IF(Input!Y26&lt;&gt;"",Input!Y26,""),"")</f>
        <v>3</v>
      </c>
      <c r="AB25" s="181">
        <f>IFERROR(IF($AA$5="","",IF(F25&lt;&gt;"",(Input!Y26/Input!$Y$6)*100,"")),"NA")</f>
        <v>30</v>
      </c>
      <c r="AC25" s="182">
        <f>IF(F25&lt;&gt;"",IF(Input!Z26&lt;&gt;"",Input!Z26,""),"")</f>
        <v>13</v>
      </c>
      <c r="AD25" s="181">
        <f>IFERROR(IF($AC$5="","",IF(F25&lt;&gt;"",(Input!Z26/Input!$Z$6)*100,"")),"NA")</f>
        <v>65</v>
      </c>
      <c r="AE25" s="182">
        <f>IF(F25&lt;&gt;"",IF(Input!AA26&lt;&gt;"",Input!AA26,""),"")</f>
        <v>23</v>
      </c>
      <c r="AF25" s="181">
        <f>IFERROR(IF($AE$5="","",IF(F25&lt;&gt;"",(Input!AA26/Input!$AA$6)*100,"")),"NA")</f>
        <v>65.714285714285708</v>
      </c>
      <c r="AG25" s="183" t="str">
        <f>IF(F25&lt;&gt;"",IF(Input!AB26&lt;&gt;"",Input!AB26,""),"")</f>
        <v/>
      </c>
      <c r="AH25" s="181" t="str">
        <f>IFERROR(IF($AG$5="","",IF(F25&lt;&gt;"",(Input!AB26/Input!$AB$6)*100,"")),"NA")</f>
        <v/>
      </c>
      <c r="AI25" s="327">
        <f>IF(Input!AC26="Error","Error",IF(F25="","",IF($AA$5="",0,IF(F25&lt;&gt;"",IFERROR(AVERAGE(AB25,AD25,AF25,AH25)*$AI$4,0),""))))</f>
        <v>10.714285714285715</v>
      </c>
      <c r="AJ25" s="179"/>
      <c r="AK25" s="243">
        <f>IF(Input!AD26="","",IF(F25&lt;&gt;"",Input!AD26,""))</f>
        <v>58</v>
      </c>
      <c r="AL25" s="185">
        <f>IF(F25="","",IF(Input!AE26="Error","Error",IF(ISNUMBER(Input!AE26),Input!AE26*$AL$4,"")))</f>
        <v>41.428571428571431</v>
      </c>
      <c r="AM25" s="332">
        <f>IF(V25="D","Drp",
IF(F25&lt;&gt;"",
IF(OR(Y25="Error",AI25="Error",AL25="Error"),"Error",
IF(Input!AD26="","-",ROUND(Y25+AI25+AL25,2))),""))</f>
        <v>82.14</v>
      </c>
      <c r="AN25" s="187">
        <f>IF(F25&lt;&gt;"",VLOOKUP(AM25,TRANSMUTATION!$A$2:$B$14,2),"")</f>
        <v>2</v>
      </c>
      <c r="AO25" s="244">
        <f t="shared" si="1"/>
        <v>3</v>
      </c>
      <c r="AP25" s="189"/>
      <c r="AQ25" s="102"/>
      <c r="AR25" s="102"/>
      <c r="AS25" s="102"/>
      <c r="AT25" s="101"/>
    </row>
    <row r="26" spans="1:46" ht="15" x14ac:dyDescent="0.2">
      <c r="A26" s="101"/>
      <c r="C26" s="206">
        <v>20</v>
      </c>
      <c r="D26" s="215" t="str">
        <f>IF(Input!D27&lt;&gt;"",IF(F26&lt;&gt;"",Input!D27,""),"")</f>
        <v>02000510558</v>
      </c>
      <c r="E26" s="321"/>
      <c r="F26" s="322" t="str">
        <f>(IF(Input!F27&lt;&gt;"",Input!F27,""))</f>
        <v>MASMELA,MARK IVAN GERBOLINGON</v>
      </c>
      <c r="G26" s="18"/>
      <c r="H26" s="18"/>
      <c r="I26" s="18"/>
      <c r="J26" s="18"/>
      <c r="K26" s="18"/>
      <c r="L26" s="18"/>
      <c r="M26" s="18"/>
      <c r="N26" s="18"/>
      <c r="O26" s="18"/>
      <c r="P26" s="18"/>
      <c r="Q26" s="18"/>
      <c r="R26" s="18"/>
      <c r="S26" s="18"/>
      <c r="T26" s="18"/>
      <c r="U26" s="18"/>
      <c r="V26" s="21"/>
      <c r="W26" s="177"/>
      <c r="X26" s="178">
        <f>Input!X27</f>
        <v>100</v>
      </c>
      <c r="Y26" s="329">
        <f t="shared" si="2"/>
        <v>30</v>
      </c>
      <c r="Z26" s="179"/>
      <c r="AA26" s="180">
        <f>IF(F26&lt;&gt;"",IF(Input!Y27&lt;&gt;"",Input!Y27,""),"")</f>
        <v>8</v>
      </c>
      <c r="AB26" s="181">
        <f>IFERROR(IF($AA$5="","",IF(F26&lt;&gt;"",(Input!Y27/Input!$Y$6)*100,"")),"NA")</f>
        <v>80</v>
      </c>
      <c r="AC26" s="182">
        <f>IF(F26&lt;&gt;"",IF(Input!Z27&lt;&gt;"",Input!Z27,""),"")</f>
        <v>15</v>
      </c>
      <c r="AD26" s="181">
        <f>IFERROR(IF($AC$5="","",IF(F26&lt;&gt;"",(Input!Z27/Input!$Z$6)*100,"")),"NA")</f>
        <v>75</v>
      </c>
      <c r="AE26" s="182">
        <f>IF(F26&lt;&gt;"",IF(Input!AA27&lt;&gt;"",Input!AA27,""),"")</f>
        <v>21</v>
      </c>
      <c r="AF26" s="181">
        <f>IFERROR(IF($AE$5="","",IF(F26&lt;&gt;"",(Input!AA27/Input!$AA$6)*100,"")),"NA")</f>
        <v>60</v>
      </c>
      <c r="AG26" s="183" t="str">
        <f>IF(F26&lt;&gt;"",IF(Input!AB27&lt;&gt;"",Input!AB27,""),"")</f>
        <v/>
      </c>
      <c r="AH26" s="181" t="str">
        <f>IFERROR(IF($AG$5="","",IF(F26&lt;&gt;"",(Input!AB27/Input!$AB$6)*100,"")),"NA")</f>
        <v/>
      </c>
      <c r="AI26" s="327">
        <f>IF(Input!AC27="Error","Error",IF(F26="","",IF($AA$5="",0,IF(F26&lt;&gt;"",IFERROR(AVERAGE(AB26,AD26,AF26,AH26)*$AI$4,0),""))))</f>
        <v>14.333333333333336</v>
      </c>
      <c r="AJ26" s="179"/>
      <c r="AK26" s="243">
        <f>IF(Input!AD27="","",IF(F26&lt;&gt;"",Input!AD27,""))</f>
        <v>50</v>
      </c>
      <c r="AL26" s="185">
        <f>IF(F26="","",IF(Input!AE27="Error","Error",IF(ISNUMBER(Input!AE27),Input!AE27*$AL$4,"")))</f>
        <v>35.714285714285715</v>
      </c>
      <c r="AM26" s="332">
        <f>IF(V26="D","Drp",
IF(F26&lt;&gt;"",
IF(OR(Y26="Error",AI26="Error",AL26="Error"),"Error",
IF(Input!AD27="","-",ROUND(Y26+AI26+AL26,2))),""))</f>
        <v>80.05</v>
      </c>
      <c r="AN26" s="187">
        <f>IF(F26&lt;&gt;"",VLOOKUP(AM26,TRANSMUTATION!$A$2:$B$14,2),"")</f>
        <v>2.25</v>
      </c>
      <c r="AO26" s="244">
        <f t="shared" si="1"/>
        <v>6</v>
      </c>
      <c r="AP26" s="189"/>
      <c r="AQ26" s="102"/>
      <c r="AR26" s="102"/>
      <c r="AS26" s="102"/>
      <c r="AT26" s="101"/>
    </row>
    <row r="27" spans="1:46" ht="15" x14ac:dyDescent="0.2">
      <c r="A27" s="101"/>
      <c r="C27" s="206">
        <v>21</v>
      </c>
      <c r="D27" s="215" t="str">
        <f>IF(Input!D28&lt;&gt;"",IF(F27&lt;&gt;"",Input!D28,""),"")</f>
        <v>02000503091</v>
      </c>
      <c r="E27" s="321"/>
      <c r="F27" s="322" t="str">
        <f>(IF(Input!F28&lt;&gt;"",Input!F28,""))</f>
        <v>NOLLORA,ABEGAIL ALARCON</v>
      </c>
      <c r="G27" s="18"/>
      <c r="H27" s="18"/>
      <c r="I27" s="18"/>
      <c r="J27" s="18"/>
      <c r="K27" s="18"/>
      <c r="L27" s="18"/>
      <c r="M27" s="18"/>
      <c r="N27" s="18"/>
      <c r="O27" s="18"/>
      <c r="P27" s="18"/>
      <c r="Q27" s="18"/>
      <c r="R27" s="18"/>
      <c r="S27" s="18"/>
      <c r="T27" s="18"/>
      <c r="U27" s="18"/>
      <c r="V27" s="21"/>
      <c r="W27" s="177"/>
      <c r="X27" s="178">
        <f>Input!X28</f>
        <v>50</v>
      </c>
      <c r="Y27" s="329">
        <f t="shared" si="2"/>
        <v>15</v>
      </c>
      <c r="Z27" s="179"/>
      <c r="AA27" s="180">
        <f>IF(F27&lt;&gt;"",IF(Input!Y28&lt;&gt;"",Input!Y28,""),"")</f>
        <v>9</v>
      </c>
      <c r="AB27" s="181">
        <f>IFERROR(IF($AA$5="","",IF(F27&lt;&gt;"",(Input!Y28/Input!$Y$6)*100,"")),"NA")</f>
        <v>90</v>
      </c>
      <c r="AC27" s="182">
        <f>IF(F27&lt;&gt;"",IF(Input!Z28&lt;&gt;"",Input!Z28,""),"")</f>
        <v>5</v>
      </c>
      <c r="AD27" s="181">
        <f>IFERROR(IF($AC$5="","",IF(F27&lt;&gt;"",(Input!Z28/Input!$Z$6)*100,"")),"NA")</f>
        <v>25</v>
      </c>
      <c r="AE27" s="182" t="str">
        <f>IF(F27&lt;&gt;"",IF(Input!AA28&lt;&gt;"",Input!AA28,""),"")</f>
        <v/>
      </c>
      <c r="AF27" s="181">
        <f>IFERROR(IF($AE$5="","",IF(F27&lt;&gt;"",(Input!AA28/Input!$AA$6)*100,"")),"NA")</f>
        <v>0</v>
      </c>
      <c r="AG27" s="183" t="str">
        <f>IF(F27&lt;&gt;"",IF(Input!AB28&lt;&gt;"",Input!AB28,""),"")</f>
        <v/>
      </c>
      <c r="AH27" s="181" t="str">
        <f>IFERROR(IF($AG$5="","",IF(F27&lt;&gt;"",(Input!AB28/Input!$AB$6)*100,"")),"NA")</f>
        <v/>
      </c>
      <c r="AI27" s="327">
        <f>IF(Input!AC28="Error","Error",IF(F27="","",IF($AA$5="",0,IF(F27&lt;&gt;"",IFERROR(AVERAGE(AB27,AD27,AF27,AH27)*$AI$4,0),""))))</f>
        <v>7.6666666666666679</v>
      </c>
      <c r="AJ27" s="179"/>
      <c r="AK27" s="243">
        <f>IF(Input!AD28="","",IF(F27&lt;&gt;"",Input!AD28,""))</f>
        <v>50</v>
      </c>
      <c r="AL27" s="185">
        <f>IF(F27="","",IF(Input!AE28="Error","Error",IF(ISNUMBER(Input!AE28),Input!AE28*$AL$4,"")))</f>
        <v>35.714285714285715</v>
      </c>
      <c r="AM27" s="332">
        <f>IF(V27="D","Drp",
IF(F27&lt;&gt;"",
IF(OR(Y27="Error",AI27="Error",AL27="Error"),"Error",
IF(Input!AD28="","-",ROUND(Y27+AI27+AL27,2))),""))</f>
        <v>58.38</v>
      </c>
      <c r="AN27" s="187">
        <f>IF(F27&lt;&gt;"",VLOOKUP(AM27,TRANSMUTATION!$A$2:$B$14,2),"")</f>
        <v>5</v>
      </c>
      <c r="AO27" s="244">
        <f t="shared" si="1"/>
        <v>17</v>
      </c>
      <c r="AP27" s="189"/>
      <c r="AQ27" s="102"/>
      <c r="AR27" s="102"/>
      <c r="AS27" s="102"/>
      <c r="AT27" s="101"/>
    </row>
    <row r="28" spans="1:46" ht="15" x14ac:dyDescent="0.2">
      <c r="A28" s="101"/>
      <c r="C28" s="206">
        <v>22</v>
      </c>
      <c r="D28" s="215" t="str">
        <f>IF(Input!D29&lt;&gt;"",IF(F28&lt;&gt;"",Input!D29,""),"")</f>
        <v>02000510390</v>
      </c>
      <c r="E28" s="321"/>
      <c r="F28" s="322" t="str">
        <f>(IF(Input!F29&lt;&gt;"",Input!F29,""))</f>
        <v>QUIOM,JELSIE DIMASAYAO</v>
      </c>
      <c r="G28" s="18"/>
      <c r="H28" s="18"/>
      <c r="I28" s="18"/>
      <c r="J28" s="18">
        <v>1.5</v>
      </c>
      <c r="K28" s="18"/>
      <c r="L28" s="18"/>
      <c r="M28" s="18"/>
      <c r="N28" s="18"/>
      <c r="O28" s="18"/>
      <c r="P28" s="18"/>
      <c r="Q28" s="18"/>
      <c r="R28" s="18"/>
      <c r="S28" s="18"/>
      <c r="T28" s="18"/>
      <c r="U28" s="18"/>
      <c r="V28" s="21"/>
      <c r="W28" s="177"/>
      <c r="X28" s="178">
        <f>Input!X29</f>
        <v>95</v>
      </c>
      <c r="Y28" s="329">
        <f t="shared" si="2"/>
        <v>28.5</v>
      </c>
      <c r="Z28" s="179"/>
      <c r="AA28" s="180">
        <f>IF(F28&lt;&gt;"",IF(Input!Y29&lt;&gt;"",Input!Y29,""),"")</f>
        <v>8</v>
      </c>
      <c r="AB28" s="181">
        <f>IFERROR(IF($AA$5="","",IF(F28&lt;&gt;"",(Input!Y29/Input!$Y$6)*100,"")),"NA")</f>
        <v>80</v>
      </c>
      <c r="AC28" s="182">
        <f>IF(F28&lt;&gt;"",IF(Input!Z29&lt;&gt;"",Input!Z29,""),"")</f>
        <v>18</v>
      </c>
      <c r="AD28" s="181">
        <f>IFERROR(IF($AC$5="","",IF(F28&lt;&gt;"",(Input!Z29/Input!$Z$6)*100,"")),"NA")</f>
        <v>90</v>
      </c>
      <c r="AE28" s="182">
        <f>IF(F28&lt;&gt;"",IF(Input!AA29&lt;&gt;"",Input!AA29,""),"")</f>
        <v>11</v>
      </c>
      <c r="AF28" s="181">
        <f>IFERROR(IF($AE$5="","",IF(F28&lt;&gt;"",(Input!AA29/Input!$AA$6)*100,"")),"NA")</f>
        <v>31.428571428571427</v>
      </c>
      <c r="AG28" s="183" t="str">
        <f>IF(F28&lt;&gt;"",IF(Input!AB29&lt;&gt;"",Input!AB29,""),"")</f>
        <v/>
      </c>
      <c r="AH28" s="181" t="str">
        <f>IFERROR(IF($AG$5="","",IF(F28&lt;&gt;"",(Input!AB29/Input!$AB$6)*100,"")),"NA")</f>
        <v/>
      </c>
      <c r="AI28" s="327">
        <f>IF(Input!AC29="Error","Error",IF(F28="","",IF($AA$5="",0,IF(F28&lt;&gt;"",IFERROR(AVERAGE(AB28,AD28,AF28,AH28)*$AI$4,0),""))))</f>
        <v>13.428571428571429</v>
      </c>
      <c r="AJ28" s="179"/>
      <c r="AK28" s="243">
        <f>IF(Input!AD29="","",IF(F28&lt;&gt;"",Input!AD29,""))</f>
        <v>30</v>
      </c>
      <c r="AL28" s="185">
        <f>IF(F28="","",IF(Input!AE29="Error","Error",IF(ISNUMBER(Input!AE29),Input!AE29*$AL$4,"")))</f>
        <v>21.428571428571427</v>
      </c>
      <c r="AM28" s="332">
        <f>IF(V28="D","Drp",
IF(F28&lt;&gt;"",
IF(OR(Y28="Error",AI28="Error",AL28="Error"),"Error",
IF(Input!AD29="","-",ROUND(Y28+AI28+AL28,2))),""))</f>
        <v>63.36</v>
      </c>
      <c r="AN28" s="187">
        <f>IF(F28&lt;&gt;"",VLOOKUP(AM28,TRANSMUTATION!$A$2:$B$14,2),"")</f>
        <v>3</v>
      </c>
      <c r="AO28" s="244">
        <f t="shared" si="1"/>
        <v>16</v>
      </c>
      <c r="AP28" s="189"/>
      <c r="AQ28" s="102"/>
      <c r="AR28" s="102"/>
      <c r="AS28" s="102"/>
      <c r="AT28" s="101"/>
    </row>
    <row r="29" spans="1:46" ht="15" x14ac:dyDescent="0.2">
      <c r="A29" s="101"/>
      <c r="C29" s="206">
        <v>23</v>
      </c>
      <c r="D29" s="215" t="str">
        <f>IF(Input!D30&lt;&gt;"",IF(F29&lt;&gt;"",Input!D30,""),"")</f>
        <v>02000493122</v>
      </c>
      <c r="E29" s="321"/>
      <c r="F29" s="322" t="str">
        <f>(IF(Input!F30&lt;&gt;"",Input!F30,""))</f>
        <v>ROSENTO,MAE NATHALIE ORCENE</v>
      </c>
      <c r="G29" s="18"/>
      <c r="H29" s="18"/>
      <c r="I29" s="18"/>
      <c r="J29" s="18">
        <v>1.5</v>
      </c>
      <c r="K29" s="18"/>
      <c r="L29" s="18"/>
      <c r="M29" s="18"/>
      <c r="N29" s="18"/>
      <c r="O29" s="18"/>
      <c r="P29" s="18"/>
      <c r="Q29" s="18"/>
      <c r="R29" s="18"/>
      <c r="S29" s="18"/>
      <c r="T29" s="18"/>
      <c r="U29" s="18"/>
      <c r="V29" s="21"/>
      <c r="W29" s="177"/>
      <c r="X29" s="178">
        <f>Input!X30</f>
        <v>100</v>
      </c>
      <c r="Y29" s="329">
        <f t="shared" si="2"/>
        <v>30</v>
      </c>
      <c r="Z29" s="179"/>
      <c r="AA29" s="180">
        <f>IF(F29&lt;&gt;"",IF(Input!Y30&lt;&gt;"",Input!Y30,""),"")</f>
        <v>0</v>
      </c>
      <c r="AB29" s="181">
        <f>IFERROR(IF($AA$5="","",IF(F29&lt;&gt;"",(Input!Y30/Input!$Y$6)*100,"")),"NA")</f>
        <v>0</v>
      </c>
      <c r="AC29" s="182">
        <f>IF(F29&lt;&gt;"",IF(Input!Z30&lt;&gt;"",Input!Z30,""),"")</f>
        <v>16</v>
      </c>
      <c r="AD29" s="181">
        <f>IFERROR(IF($AC$5="","",IF(F29&lt;&gt;"",(Input!Z30/Input!$Z$6)*100,"")),"NA")</f>
        <v>80</v>
      </c>
      <c r="AE29" s="182" t="str">
        <f>IF(F29&lt;&gt;"",IF(Input!AA30&lt;&gt;"",Input!AA30,""),"")</f>
        <v/>
      </c>
      <c r="AF29" s="181">
        <f>IFERROR(IF($AE$5="","",IF(F29&lt;&gt;"",(Input!AA30/Input!$AA$6)*100,"")),"NA")</f>
        <v>0</v>
      </c>
      <c r="AG29" s="183" t="str">
        <f>IF(F29&lt;&gt;"",IF(Input!AB30&lt;&gt;"",Input!AB30,""),"")</f>
        <v/>
      </c>
      <c r="AH29" s="181" t="str">
        <f>IFERROR(IF($AG$5="","",IF(F29&lt;&gt;"",(Input!AB30/Input!$AB$6)*100,"")),"NA")</f>
        <v/>
      </c>
      <c r="AI29" s="327">
        <f>IF(Input!AC30="Error","Error",IF(F29="","",IF($AA$5="",0,IF(F29&lt;&gt;"",IFERROR(AVERAGE(AB29,AD29,AF29,AH29)*$AI$4,0),""))))</f>
        <v>5.3333333333333339</v>
      </c>
      <c r="AJ29" s="179"/>
      <c r="AK29" s="243">
        <f>IF(Input!AD30="","",IF(F29&lt;&gt;"",Input!AD30,""))</f>
        <v>64</v>
      </c>
      <c r="AL29" s="185">
        <f>IF(F29="","",IF(Input!AE30="Error","Error",IF(ISNUMBER(Input!AE30),Input!AE30*$AL$4,"")))</f>
        <v>45.714285714285715</v>
      </c>
      <c r="AM29" s="332">
        <f>IF(V29="D","Drp",
IF(F29&lt;&gt;"",
IF(OR(Y29="Error",AI29="Error",AL29="Error"),"Error",
IF(Input!AD30="","-",ROUND(Y29+AI29+AL29,2))),""))</f>
        <v>81.05</v>
      </c>
      <c r="AN29" s="187">
        <f>IF(F29&lt;&gt;"",VLOOKUP(AM29,TRANSMUTATION!$A$2:$B$14,2),"")</f>
        <v>2.25</v>
      </c>
      <c r="AO29" s="244">
        <f t="shared" si="1"/>
        <v>4</v>
      </c>
      <c r="AP29" s="189"/>
      <c r="AQ29" s="102"/>
      <c r="AR29" s="102"/>
      <c r="AS29" s="102"/>
      <c r="AT29" s="101"/>
    </row>
    <row r="30" spans="1:46" ht="15" x14ac:dyDescent="0.2">
      <c r="A30" s="101"/>
      <c r="C30" s="206">
        <v>24</v>
      </c>
      <c r="D30" s="215" t="str">
        <f>IF(Input!D31&lt;&gt;"",IF(F30&lt;&gt;"",Input!D31,""),"")</f>
        <v>02000508992</v>
      </c>
      <c r="E30" s="321"/>
      <c r="F30" s="322" t="str">
        <f>(IF(Input!F31&lt;&gt;"",Input!F31,""))</f>
        <v>UREÑA,KIMBERLY MANLAPAS</v>
      </c>
      <c r="G30" s="18"/>
      <c r="H30" s="18"/>
      <c r="I30" s="18"/>
      <c r="J30" s="18"/>
      <c r="K30" s="18"/>
      <c r="L30" s="18"/>
      <c r="M30" s="18"/>
      <c r="N30" s="18"/>
      <c r="O30" s="18"/>
      <c r="P30" s="18"/>
      <c r="Q30" s="18"/>
      <c r="R30" s="18"/>
      <c r="S30" s="18"/>
      <c r="T30" s="18"/>
      <c r="U30" s="18"/>
      <c r="V30" s="21"/>
      <c r="W30" s="177"/>
      <c r="X30" s="178">
        <f>Input!X31</f>
        <v>50</v>
      </c>
      <c r="Y30" s="329">
        <f t="shared" si="2"/>
        <v>15</v>
      </c>
      <c r="Z30" s="179"/>
      <c r="AA30" s="180">
        <f>IF(F30&lt;&gt;"",IF(Input!Y31&lt;&gt;"",Input!Y31,""),"")</f>
        <v>2</v>
      </c>
      <c r="AB30" s="181">
        <f>IFERROR(IF($AA$5="","",IF(F30&lt;&gt;"",(Input!Y31/Input!$Y$6)*100,"")),"NA")</f>
        <v>20</v>
      </c>
      <c r="AC30" s="182">
        <f>IF(F30&lt;&gt;"",IF(Input!Z31&lt;&gt;"",Input!Z31,""),"")</f>
        <v>18</v>
      </c>
      <c r="AD30" s="181">
        <f>IFERROR(IF($AC$5="","",IF(F30&lt;&gt;"",(Input!Z31/Input!$Z$6)*100,"")),"NA")</f>
        <v>90</v>
      </c>
      <c r="AE30" s="182">
        <f>IF(F30&lt;&gt;"",IF(Input!AA31&lt;&gt;"",Input!AA31,""),"")</f>
        <v>15</v>
      </c>
      <c r="AF30" s="181">
        <f>IFERROR(IF($AE$5="","",IF(F30&lt;&gt;"",(Input!AA31/Input!$AA$6)*100,"")),"NA")</f>
        <v>42.857142857142854</v>
      </c>
      <c r="AG30" s="183" t="str">
        <f>IF(F30&lt;&gt;"",IF(Input!AB31&lt;&gt;"",Input!AB31,""),"")</f>
        <v/>
      </c>
      <c r="AH30" s="181" t="str">
        <f>IFERROR(IF($AG$5="","",IF(F30&lt;&gt;"",(Input!AB31/Input!$AB$6)*100,"")),"NA")</f>
        <v/>
      </c>
      <c r="AI30" s="327">
        <f>IF(Input!AC31="Error","Error",IF(F30="","",IF($AA$5="",0,IF(F30&lt;&gt;"",IFERROR(AVERAGE(AB30,AD30,AF30,AH30)*$AI$4,0),""))))</f>
        <v>10.190476190476192</v>
      </c>
      <c r="AJ30" s="179"/>
      <c r="AK30" s="243">
        <f>IF(Input!AD31="","",IF(F30&lt;&gt;"",Input!AD31,""))</f>
        <v>54</v>
      </c>
      <c r="AL30" s="185">
        <f>IF(F30="","",IF(Input!AE31="Error","Error",IF(ISNUMBER(Input!AE31),Input!AE31*$AL$4,"")))</f>
        <v>38.571428571428577</v>
      </c>
      <c r="AM30" s="332">
        <f>IF(V30="D","Drp",
IF(F30&lt;&gt;"",
IF(OR(Y30="Error",AI30="Error",AL30="Error"),"Error",
IF(Input!AD31="","-",ROUND(Y30+AI30+AL30,2))),""))</f>
        <v>63.76</v>
      </c>
      <c r="AN30" s="187">
        <f>IF(F30&lt;&gt;"",VLOOKUP(AM30,TRANSMUTATION!$A$2:$B$14,2),"")</f>
        <v>3</v>
      </c>
      <c r="AO30" s="244">
        <f t="shared" si="1"/>
        <v>15</v>
      </c>
      <c r="AP30" s="189"/>
      <c r="AQ30" s="102"/>
      <c r="AR30" s="102"/>
      <c r="AS30" s="102"/>
      <c r="AT30" s="101"/>
    </row>
    <row r="31" spans="1:46" ht="15" x14ac:dyDescent="0.2">
      <c r="A31" s="101"/>
      <c r="C31" s="206">
        <v>25</v>
      </c>
      <c r="D31" s="215" t="str">
        <f>IF(Input!D32&lt;&gt;"",IF(F31&lt;&gt;"",Input!D32,""),"")</f>
        <v>02000510378</v>
      </c>
      <c r="E31" s="321"/>
      <c r="F31" s="322" t="str">
        <f>(IF(Input!F32&lt;&gt;"",Input!F32,""))</f>
        <v>YABUT,ALIYAH CLAIRE BIEN</v>
      </c>
      <c r="G31" s="18"/>
      <c r="H31" s="18"/>
      <c r="I31" s="18"/>
      <c r="J31" s="18">
        <v>1.5</v>
      </c>
      <c r="K31" s="18"/>
      <c r="L31" s="18"/>
      <c r="M31" s="18"/>
      <c r="N31" s="18"/>
      <c r="O31" s="18"/>
      <c r="P31" s="18"/>
      <c r="Q31" s="18"/>
      <c r="R31" s="18"/>
      <c r="S31" s="18"/>
      <c r="T31" s="18"/>
      <c r="U31" s="18"/>
      <c r="V31" s="21"/>
      <c r="W31" s="177"/>
      <c r="X31" s="178">
        <f>Input!X32</f>
        <v>98</v>
      </c>
      <c r="Y31" s="329">
        <f t="shared" si="2"/>
        <v>29.4</v>
      </c>
      <c r="Z31" s="179"/>
      <c r="AA31" s="180">
        <f>IF(F31&lt;&gt;"",IF(Input!Y32&lt;&gt;"",Input!Y32,""),"")</f>
        <v>9</v>
      </c>
      <c r="AB31" s="181">
        <f>IFERROR(IF($AA$5="","",IF(F31&lt;&gt;"",(Input!Y32/Input!$Y$6)*100,"")),"NA")</f>
        <v>90</v>
      </c>
      <c r="AC31" s="182" t="str">
        <f>IF(F31&lt;&gt;"",IF(Input!Z32&lt;&gt;"",Input!Z32,""),"")</f>
        <v/>
      </c>
      <c r="AD31" s="181">
        <f>IFERROR(IF($AC$5="","",IF(F31&lt;&gt;"",(Input!Z32/Input!$Z$6)*100,"")),"NA")</f>
        <v>0</v>
      </c>
      <c r="AE31" s="182">
        <f>IF(F31&lt;&gt;"",IF(Input!AA32&lt;&gt;"",Input!AA32,""),"")</f>
        <v>18</v>
      </c>
      <c r="AF31" s="181">
        <f>IFERROR(IF($AE$5="","",IF(F31&lt;&gt;"",(Input!AA32/Input!$AA$6)*100,"")),"NA")</f>
        <v>51.428571428571423</v>
      </c>
      <c r="AG31" s="183" t="str">
        <f>IF(F31&lt;&gt;"",IF(Input!AB32&lt;&gt;"",Input!AB32,""),"")</f>
        <v/>
      </c>
      <c r="AH31" s="181" t="str">
        <f>IFERROR(IF($AG$5="","",IF(F31&lt;&gt;"",(Input!AB32/Input!$AB$6)*100,"")),"NA")</f>
        <v/>
      </c>
      <c r="AI31" s="327">
        <f>IF(Input!AC32="Error","Error",IF(F31="","",IF($AA$5="",0,IF(F31&lt;&gt;"",IFERROR(AVERAGE(AB31,AD31,AF31,AH31)*$AI$4,0),""))))</f>
        <v>9.4285714285714288</v>
      </c>
      <c r="AJ31" s="179"/>
      <c r="AK31" s="243">
        <f>IF(Input!AD32="","",IF(F31&lt;&gt;"",Input!AD32,""))</f>
        <v>46</v>
      </c>
      <c r="AL31" s="185">
        <f>IF(F31="","",IF(Input!AE32="Error","Error",IF(ISNUMBER(Input!AE32),Input!AE32*$AL$4,"")))</f>
        <v>32.857142857142854</v>
      </c>
      <c r="AM31" s="332">
        <f>IF(V31="D","Drp",
IF(F31&lt;&gt;"",
IF(OR(Y31="Error",AI31="Error",AL31="Error"),"Error",
IF(Input!AD32="","-",ROUND(Y31+AI31+AL31,2))),""))</f>
        <v>71.69</v>
      </c>
      <c r="AN31" s="187">
        <f>IF(F31&lt;&gt;"",VLOOKUP(AM31,TRANSMUTATION!$A$2:$B$14,2),"")</f>
        <v>2.5</v>
      </c>
      <c r="AO31" s="244">
        <f t="shared" si="1"/>
        <v>7</v>
      </c>
      <c r="AP31" s="189"/>
      <c r="AQ31" s="102"/>
      <c r="AR31" s="102"/>
      <c r="AS31" s="102"/>
      <c r="AT31" s="101"/>
    </row>
    <row r="32" spans="1:46" ht="15" x14ac:dyDescent="0.2">
      <c r="A32" s="101"/>
      <c r="C32" s="206">
        <v>26</v>
      </c>
      <c r="D32" s="215" t="str">
        <f>IF(Input!D33&lt;&gt;"",IF(F32&lt;&gt;"",Input!D33,""),"")</f>
        <v/>
      </c>
      <c r="E32" s="321"/>
      <c r="F32" s="322" t="str">
        <f>(IF(Input!F33&lt;&gt;"",Input!F33,""))</f>
        <v/>
      </c>
      <c r="G32" s="18"/>
      <c r="H32" s="18"/>
      <c r="I32" s="18"/>
      <c r="J32" s="18"/>
      <c r="K32" s="18"/>
      <c r="L32" s="18"/>
      <c r="M32" s="18"/>
      <c r="N32" s="18"/>
      <c r="O32" s="18"/>
      <c r="P32" s="18"/>
      <c r="Q32" s="18"/>
      <c r="R32" s="18"/>
      <c r="S32" s="18"/>
      <c r="T32" s="18"/>
      <c r="U32" s="18"/>
      <c r="V32" s="21"/>
      <c r="W32" s="177"/>
      <c r="X32" s="178" t="str">
        <f>Input!X33</f>
        <v/>
      </c>
      <c r="Y32" s="329" t="str">
        <f t="shared" si="2"/>
        <v/>
      </c>
      <c r="Z32" s="179"/>
      <c r="AA32" s="180" t="str">
        <f>IF(F32&lt;&gt;"",IF(Input!Y33&lt;&gt;"",Input!Y33,""),"")</f>
        <v/>
      </c>
      <c r="AB32" s="181" t="str">
        <f>IFERROR(IF($AA$5="","",IF(F32&lt;&gt;"",(Input!Y33/Input!$Y$6)*100,"")),"NA")</f>
        <v/>
      </c>
      <c r="AC32" s="182" t="str">
        <f>IF(F32&lt;&gt;"",IF(Input!Z33&lt;&gt;"",Input!Z33,""),"")</f>
        <v/>
      </c>
      <c r="AD32" s="181" t="str">
        <f>IFERROR(IF($AC$5="","",IF(F32&lt;&gt;"",(Input!Z33/Input!$Z$6)*100,"")),"NA")</f>
        <v/>
      </c>
      <c r="AE32" s="182" t="str">
        <f>IF(F32&lt;&gt;"",IF(Input!AA33&lt;&gt;"",Input!AA33,""),"")</f>
        <v/>
      </c>
      <c r="AF32" s="181" t="str">
        <f>IFERROR(IF($AE$5="","",IF(F32&lt;&gt;"",(Input!AA33/Input!$AA$6)*100,"")),"NA")</f>
        <v/>
      </c>
      <c r="AG32" s="183" t="str">
        <f>IF(F32&lt;&gt;"",IF(Input!AB33&lt;&gt;"",Input!AB33,""),"")</f>
        <v/>
      </c>
      <c r="AH32" s="181" t="str">
        <f>IFERROR(IF($AG$5="","",IF(F32&lt;&gt;"",(Input!AB33/Input!$AB$6)*100,"")),"NA")</f>
        <v/>
      </c>
      <c r="AI32" s="327" t="str">
        <f>IF(Input!AC33="Error","Error",IF(F32="","",IF($AA$5="",0,IF(F32&lt;&gt;"",IFERROR(AVERAGE(AB32,AD32,AF32,AH32)*$AI$4,0),""))))</f>
        <v/>
      </c>
      <c r="AJ32" s="179"/>
      <c r="AK32" s="243" t="str">
        <f>IF(Input!AD33="","",IF(F32&lt;&gt;"",Input!AD33,""))</f>
        <v/>
      </c>
      <c r="AL32" s="185" t="str">
        <f>IF(F32="","",IF(Input!AE33="Error","Error",IF(ISNUMBER(Input!AE33),Input!AE33*$AL$4,"")))</f>
        <v/>
      </c>
      <c r="AM32" s="332" t="str">
        <f>IF(V32="D","Drp",
IF(F32&lt;&gt;"",
IF(OR(Y32="Error",AI32="Error",AL32="Error"),"Error",
IF(Input!AD33="","-",ROUND(Y32+AI32+AL32,2))),""))</f>
        <v/>
      </c>
      <c r="AN32" s="187" t="str">
        <f>IF(F32&lt;&gt;"",VLOOKUP(AM32,TRANSMUTATION!$A$2:$B$14,2),"")</f>
        <v/>
      </c>
      <c r="AO32" s="244" t="str">
        <f t="shared" si="1"/>
        <v/>
      </c>
      <c r="AP32" s="189"/>
      <c r="AQ32" s="102"/>
      <c r="AR32" s="102"/>
      <c r="AS32" s="102"/>
      <c r="AT32" s="101"/>
    </row>
    <row r="33" spans="1:46" ht="15" x14ac:dyDescent="0.2">
      <c r="A33" s="101"/>
      <c r="C33" s="206">
        <v>27</v>
      </c>
      <c r="D33" s="215" t="str">
        <f>IF(Input!D34&lt;&gt;"",IF(F33&lt;&gt;"",Input!D34,""),"")</f>
        <v/>
      </c>
      <c r="E33" s="321"/>
      <c r="F33" s="322" t="str">
        <f>(IF(Input!F34&lt;&gt;"",Input!F34,""))</f>
        <v/>
      </c>
      <c r="G33" s="18"/>
      <c r="H33" s="18"/>
      <c r="I33" s="18"/>
      <c r="J33" s="18"/>
      <c r="K33" s="18"/>
      <c r="L33" s="18"/>
      <c r="M33" s="18"/>
      <c r="N33" s="18"/>
      <c r="O33" s="18"/>
      <c r="P33" s="18"/>
      <c r="Q33" s="18"/>
      <c r="R33" s="18"/>
      <c r="S33" s="18"/>
      <c r="T33" s="18"/>
      <c r="U33" s="18"/>
      <c r="V33" s="21"/>
      <c r="W33" s="177"/>
      <c r="X33" s="178" t="str">
        <f>Input!X34</f>
        <v/>
      </c>
      <c r="Y33" s="329" t="str">
        <f t="shared" si="2"/>
        <v/>
      </c>
      <c r="Z33" s="179"/>
      <c r="AA33" s="180" t="str">
        <f>IF(F33&lt;&gt;"",IF(Input!Y34&lt;&gt;"",Input!Y34,""),"")</f>
        <v/>
      </c>
      <c r="AB33" s="181" t="str">
        <f>IFERROR(IF($AA$5="","",IF(F33&lt;&gt;"",(Input!Y34/Input!$Y$6)*100,"")),"NA")</f>
        <v/>
      </c>
      <c r="AC33" s="182" t="str">
        <f>IF(F33&lt;&gt;"",IF(Input!Z34&lt;&gt;"",Input!Z34,""),"")</f>
        <v/>
      </c>
      <c r="AD33" s="181" t="str">
        <f>IFERROR(IF($AC$5="","",IF(F33&lt;&gt;"",(Input!Z34/Input!$Z$6)*100,"")),"NA")</f>
        <v/>
      </c>
      <c r="AE33" s="182" t="str">
        <f>IF(F33&lt;&gt;"",IF(Input!AA34&lt;&gt;"",Input!AA34,""),"")</f>
        <v/>
      </c>
      <c r="AF33" s="181" t="str">
        <f>IFERROR(IF($AE$5="","",IF(F33&lt;&gt;"",(Input!AA34/Input!$AA$6)*100,"")),"NA")</f>
        <v/>
      </c>
      <c r="AG33" s="183" t="str">
        <f>IF(F33&lt;&gt;"",IF(Input!AB34&lt;&gt;"",Input!AB34,""),"")</f>
        <v/>
      </c>
      <c r="AH33" s="181" t="str">
        <f>IFERROR(IF($AG$5="","",IF(F33&lt;&gt;"",(Input!AB34/Input!$AB$6)*100,"")),"NA")</f>
        <v/>
      </c>
      <c r="AI33" s="327" t="str">
        <f>IF(Input!AC34="Error","Error",IF(F33="","",IF($AA$5="",0,IF(F33&lt;&gt;"",IFERROR(AVERAGE(AB33,AD33,AF33,AH33)*$AI$4,0),""))))</f>
        <v/>
      </c>
      <c r="AJ33" s="179"/>
      <c r="AK33" s="243" t="str">
        <f>IF(Input!AD34="","",IF(F33&lt;&gt;"",Input!AD34,""))</f>
        <v/>
      </c>
      <c r="AL33" s="185" t="str">
        <f>IF(F33="","",IF(Input!AE34="Error","Error",IF(ISNUMBER(Input!AE34),Input!AE34*$AL$4,"")))</f>
        <v/>
      </c>
      <c r="AM33" s="332" t="str">
        <f>IF(V33="D","Drp",
IF(F33&lt;&gt;"",
IF(OR(Y33="Error",AI33="Error",AL33="Error"),"Error",
IF(Input!AD34="","-",ROUND(Y33+AI33+AL33,2))),""))</f>
        <v/>
      </c>
      <c r="AN33" s="187" t="str">
        <f>IF(F33&lt;&gt;"",VLOOKUP(AM33,TRANSMUTATION!$A$2:$B$14,2),"")</f>
        <v/>
      </c>
      <c r="AO33" s="244" t="str">
        <f t="shared" si="1"/>
        <v/>
      </c>
      <c r="AP33" s="189"/>
      <c r="AQ33" s="102"/>
      <c r="AR33" s="102"/>
      <c r="AS33" s="102"/>
      <c r="AT33" s="101"/>
    </row>
    <row r="34" spans="1:46" ht="15" x14ac:dyDescent="0.2">
      <c r="A34" s="101"/>
      <c r="C34" s="206">
        <v>28</v>
      </c>
      <c r="D34" s="215" t="str">
        <f>IF(Input!D35&lt;&gt;"",IF(F34&lt;&gt;"",Input!D35,""),"")</f>
        <v/>
      </c>
      <c r="E34" s="321"/>
      <c r="F34" s="322" t="str">
        <f>(IF(Input!F35&lt;&gt;"",Input!F35,""))</f>
        <v/>
      </c>
      <c r="G34" s="18"/>
      <c r="H34" s="18"/>
      <c r="I34" s="18"/>
      <c r="J34" s="18"/>
      <c r="K34" s="18"/>
      <c r="L34" s="18"/>
      <c r="M34" s="18"/>
      <c r="N34" s="18"/>
      <c r="O34" s="18"/>
      <c r="P34" s="18"/>
      <c r="Q34" s="18"/>
      <c r="R34" s="18"/>
      <c r="S34" s="18"/>
      <c r="T34" s="18"/>
      <c r="U34" s="18"/>
      <c r="V34" s="21"/>
      <c r="W34" s="177"/>
      <c r="X34" s="178" t="str">
        <f>Input!X35</f>
        <v/>
      </c>
      <c r="Y34" s="329" t="str">
        <f t="shared" si="2"/>
        <v/>
      </c>
      <c r="Z34" s="179"/>
      <c r="AA34" s="180" t="str">
        <f>IF(F34&lt;&gt;"",IF(Input!Y35&lt;&gt;"",Input!Y35,""),"")</f>
        <v/>
      </c>
      <c r="AB34" s="181" t="str">
        <f>IFERROR(IF($AA$5="","",IF(F34&lt;&gt;"",(Input!Y35/Input!$Y$6)*100,"")),"NA")</f>
        <v/>
      </c>
      <c r="AC34" s="182" t="str">
        <f>IF(F34&lt;&gt;"",IF(Input!Z35&lt;&gt;"",Input!Z35,""),"")</f>
        <v/>
      </c>
      <c r="AD34" s="181" t="str">
        <f>IFERROR(IF($AC$5="","",IF(F34&lt;&gt;"",(Input!Z35/Input!$Z$6)*100,"")),"NA")</f>
        <v/>
      </c>
      <c r="AE34" s="182" t="str">
        <f>IF(F34&lt;&gt;"",IF(Input!AA35&lt;&gt;"",Input!AA35,""),"")</f>
        <v/>
      </c>
      <c r="AF34" s="181" t="str">
        <f>IFERROR(IF($AE$5="","",IF(F34&lt;&gt;"",(Input!AA35/Input!$AA$6)*100,"")),"NA")</f>
        <v/>
      </c>
      <c r="AG34" s="183" t="str">
        <f>IF(F34&lt;&gt;"",IF(Input!AB35&lt;&gt;"",Input!AB35,""),"")</f>
        <v/>
      </c>
      <c r="AH34" s="181" t="str">
        <f>IFERROR(IF($AG$5="","",IF(F34&lt;&gt;"",(Input!AB35/Input!$AB$6)*100,"")),"NA")</f>
        <v/>
      </c>
      <c r="AI34" s="327" t="str">
        <f>IF(Input!AC35="Error","Error",IF(F34="","",IF($AA$5="",0,IF(F34&lt;&gt;"",IFERROR(AVERAGE(AB34,AD34,AF34,AH34)*$AI$4,0),""))))</f>
        <v/>
      </c>
      <c r="AJ34" s="179"/>
      <c r="AK34" s="243" t="str">
        <f>IF(Input!AD35="","",IF(F34&lt;&gt;"",Input!AD35,""))</f>
        <v/>
      </c>
      <c r="AL34" s="185" t="str">
        <f>IF(F34="","",IF(Input!AE35="Error","Error",IF(ISNUMBER(Input!AE35),Input!AE35*$AL$4,"")))</f>
        <v/>
      </c>
      <c r="AM34" s="332" t="str">
        <f>IF(V34="D","Drp",
IF(F34&lt;&gt;"",
IF(OR(Y34="Error",AI34="Error",AL34="Error"),"Error",
IF(Input!AD35="","-",ROUND(Y34+AI34+AL34,2))),""))</f>
        <v/>
      </c>
      <c r="AN34" s="187" t="str">
        <f>IF(F34&lt;&gt;"",VLOOKUP(AM34,TRANSMUTATION!$A$2:$B$14,2),"")</f>
        <v/>
      </c>
      <c r="AO34" s="244" t="str">
        <f t="shared" si="1"/>
        <v/>
      </c>
      <c r="AP34" s="189"/>
      <c r="AQ34" s="102"/>
      <c r="AR34" s="102"/>
      <c r="AS34" s="102"/>
      <c r="AT34" s="101"/>
    </row>
    <row r="35" spans="1:46" ht="15" x14ac:dyDescent="0.2">
      <c r="A35" s="101"/>
      <c r="C35" s="206">
        <v>29</v>
      </c>
      <c r="D35" s="215" t="str">
        <f>IF(Input!D36&lt;&gt;"",IF(F35&lt;&gt;"",Input!D36,""),"")</f>
        <v/>
      </c>
      <c r="E35" s="321"/>
      <c r="F35" s="322" t="str">
        <f>(IF(Input!F36&lt;&gt;"",Input!F36,""))</f>
        <v/>
      </c>
      <c r="G35" s="18"/>
      <c r="H35" s="18"/>
      <c r="I35" s="18"/>
      <c r="J35" s="18"/>
      <c r="K35" s="18"/>
      <c r="L35" s="18"/>
      <c r="M35" s="18"/>
      <c r="N35" s="18"/>
      <c r="O35" s="18"/>
      <c r="P35" s="18"/>
      <c r="Q35" s="18"/>
      <c r="R35" s="18"/>
      <c r="S35" s="18"/>
      <c r="T35" s="18"/>
      <c r="U35" s="18"/>
      <c r="V35" s="21"/>
      <c r="W35" s="177"/>
      <c r="X35" s="178" t="str">
        <f>Input!X36</f>
        <v/>
      </c>
      <c r="Y35" s="329" t="str">
        <f t="shared" si="2"/>
        <v/>
      </c>
      <c r="Z35" s="179"/>
      <c r="AA35" s="180" t="str">
        <f>IF(F35&lt;&gt;"",IF(Input!Y36&lt;&gt;"",Input!Y36,""),"")</f>
        <v/>
      </c>
      <c r="AB35" s="181" t="str">
        <f>IFERROR(IF($AA$5="","",IF(F35&lt;&gt;"",(Input!Y36/Input!$Y$6)*100,"")),"NA")</f>
        <v/>
      </c>
      <c r="AC35" s="182" t="str">
        <f>IF(F35&lt;&gt;"",IF(Input!Z36&lt;&gt;"",Input!Z36,""),"")</f>
        <v/>
      </c>
      <c r="AD35" s="181" t="str">
        <f>IFERROR(IF($AC$5="","",IF(F35&lt;&gt;"",(Input!Z36/Input!$Z$6)*100,"")),"NA")</f>
        <v/>
      </c>
      <c r="AE35" s="182" t="str">
        <f>IF(F35&lt;&gt;"",IF(Input!AA36&lt;&gt;"",Input!AA36,""),"")</f>
        <v/>
      </c>
      <c r="AF35" s="181" t="str">
        <f>IFERROR(IF($AE$5="","",IF(F35&lt;&gt;"",(Input!AA36/Input!$AA$6)*100,"")),"NA")</f>
        <v/>
      </c>
      <c r="AG35" s="183" t="str">
        <f>IF(F35&lt;&gt;"",IF(Input!AB36&lt;&gt;"",Input!AB36,""),"")</f>
        <v/>
      </c>
      <c r="AH35" s="181" t="str">
        <f>IFERROR(IF($AG$5="","",IF(F35&lt;&gt;"",(Input!AB36/Input!$AB$6)*100,"")),"NA")</f>
        <v/>
      </c>
      <c r="AI35" s="327" t="str">
        <f>IF(Input!AC36="Error","Error",IF(F35="","",IF($AA$5="",0,IF(F35&lt;&gt;"",IFERROR(AVERAGE(AB35,AD35,AF35,AH35)*$AI$4,0),""))))</f>
        <v/>
      </c>
      <c r="AJ35" s="179"/>
      <c r="AK35" s="243" t="str">
        <f>IF(Input!AD36="","",IF(F35&lt;&gt;"",Input!AD36,""))</f>
        <v/>
      </c>
      <c r="AL35" s="185" t="str">
        <f>IF(F35="","",IF(Input!AE36="Error","Error",IF(ISNUMBER(Input!AE36),Input!AE36*$AL$4,"")))</f>
        <v/>
      </c>
      <c r="AM35" s="332" t="str">
        <f>IF(V35="D","Drp",
IF(F35&lt;&gt;"",
IF(OR(Y35="Error",AI35="Error",AL35="Error"),"Error",
IF(Input!AD36="","-",ROUND(Y35+AI35+AL35,2))),""))</f>
        <v/>
      </c>
      <c r="AN35" s="187" t="str">
        <f>IF(F35&lt;&gt;"",VLOOKUP(AM35,TRANSMUTATION!$A$2:$B$14,2),"")</f>
        <v/>
      </c>
      <c r="AO35" s="244" t="str">
        <f t="shared" si="1"/>
        <v/>
      </c>
      <c r="AP35" s="189"/>
      <c r="AQ35" s="102"/>
      <c r="AR35" s="102"/>
      <c r="AS35" s="102"/>
      <c r="AT35" s="101"/>
    </row>
    <row r="36" spans="1:46" ht="15" x14ac:dyDescent="0.2">
      <c r="A36" s="101"/>
      <c r="C36" s="206">
        <v>30</v>
      </c>
      <c r="D36" s="215" t="str">
        <f>IF(Input!D37&lt;&gt;"",IF(F36&lt;&gt;"",Input!D37,""),"")</f>
        <v/>
      </c>
      <c r="E36" s="321"/>
      <c r="F36" s="322" t="str">
        <f>(IF(Input!F37&lt;&gt;"",Input!F37,""))</f>
        <v/>
      </c>
      <c r="G36" s="18"/>
      <c r="H36" s="18"/>
      <c r="I36" s="18"/>
      <c r="J36" s="18"/>
      <c r="K36" s="18"/>
      <c r="L36" s="18"/>
      <c r="M36" s="18"/>
      <c r="N36" s="18"/>
      <c r="O36" s="18"/>
      <c r="P36" s="18"/>
      <c r="Q36" s="18"/>
      <c r="R36" s="18"/>
      <c r="S36" s="18"/>
      <c r="T36" s="18"/>
      <c r="U36" s="18"/>
      <c r="V36" s="21"/>
      <c r="W36" s="177"/>
      <c r="X36" s="178" t="str">
        <f>Input!X37</f>
        <v/>
      </c>
      <c r="Y36" s="329" t="str">
        <f t="shared" si="2"/>
        <v/>
      </c>
      <c r="Z36" s="179"/>
      <c r="AA36" s="180" t="str">
        <f>IF(F36&lt;&gt;"",IF(Input!Y37&lt;&gt;"",Input!Y37,""),"")</f>
        <v/>
      </c>
      <c r="AB36" s="181" t="str">
        <f>IFERROR(IF($AA$5="","",IF(F36&lt;&gt;"",(Input!Y37/Input!$Y$6)*100,"")),"NA")</f>
        <v/>
      </c>
      <c r="AC36" s="182" t="str">
        <f>IF(F36&lt;&gt;"",IF(Input!Z37&lt;&gt;"",Input!Z37,""),"")</f>
        <v/>
      </c>
      <c r="AD36" s="181" t="str">
        <f>IFERROR(IF($AC$5="","",IF(F36&lt;&gt;"",(Input!Z37/Input!$Z$6)*100,"")),"NA")</f>
        <v/>
      </c>
      <c r="AE36" s="182" t="str">
        <f>IF(F36&lt;&gt;"",IF(Input!AA37&lt;&gt;"",Input!AA37,""),"")</f>
        <v/>
      </c>
      <c r="AF36" s="181" t="str">
        <f>IFERROR(IF($AE$5="","",IF(F36&lt;&gt;"",(Input!AA37/Input!$AA$6)*100,"")),"NA")</f>
        <v/>
      </c>
      <c r="AG36" s="183" t="str">
        <f>IF(F36&lt;&gt;"",IF(Input!AB37&lt;&gt;"",Input!AB37,""),"")</f>
        <v/>
      </c>
      <c r="AH36" s="181" t="str">
        <f>IFERROR(IF($AG$5="","",IF(F36&lt;&gt;"",(Input!AB37/Input!$AB$6)*100,"")),"NA")</f>
        <v/>
      </c>
      <c r="AI36" s="327" t="str">
        <f>IF(Input!AC37="Error","Error",IF(F36="","",IF($AA$5="",0,IF(F36&lt;&gt;"",IFERROR(AVERAGE(AB36,AD36,AF36,AH36)*$AI$4,0),""))))</f>
        <v/>
      </c>
      <c r="AJ36" s="179"/>
      <c r="AK36" s="243" t="str">
        <f>IF(Input!AD37="","",IF(F36&lt;&gt;"",Input!AD37,""))</f>
        <v/>
      </c>
      <c r="AL36" s="185" t="str">
        <f>IF(F36="","",IF(Input!AE37="Error","Error",IF(ISNUMBER(Input!AE37),Input!AE37*$AL$4,"")))</f>
        <v/>
      </c>
      <c r="AM36" s="332" t="str">
        <f>IF(V36="D","Drp",
IF(F36&lt;&gt;"",
IF(OR(Y36="Error",AI36="Error",AL36="Error"),"Error",
IF(Input!AD37="","-",ROUND(Y36+AI36+AL36,2))),""))</f>
        <v/>
      </c>
      <c r="AN36" s="187" t="str">
        <f>IF(F36&lt;&gt;"",VLOOKUP(AM36,TRANSMUTATION!$A$2:$B$14,2),"")</f>
        <v/>
      </c>
      <c r="AO36" s="244" t="str">
        <f t="shared" si="1"/>
        <v/>
      </c>
      <c r="AP36" s="189"/>
      <c r="AQ36" s="102"/>
      <c r="AR36" s="102"/>
      <c r="AS36" s="102"/>
      <c r="AT36" s="101"/>
    </row>
    <row r="37" spans="1:46" ht="15" x14ac:dyDescent="0.2">
      <c r="A37" s="101"/>
      <c r="C37" s="206">
        <v>31</v>
      </c>
      <c r="D37" s="215" t="str">
        <f>IF(Input!D38&lt;&gt;"",IF(F37&lt;&gt;"",Input!D38,""),"")</f>
        <v/>
      </c>
      <c r="E37" s="321"/>
      <c r="F37" s="322" t="str">
        <f>(IF(Input!F38&lt;&gt;"",Input!F38,""))</f>
        <v/>
      </c>
      <c r="G37" s="18"/>
      <c r="H37" s="18"/>
      <c r="I37" s="18"/>
      <c r="J37" s="18"/>
      <c r="K37" s="18"/>
      <c r="L37" s="18"/>
      <c r="M37" s="18"/>
      <c r="N37" s="18"/>
      <c r="O37" s="18"/>
      <c r="P37" s="18"/>
      <c r="Q37" s="18"/>
      <c r="R37" s="18"/>
      <c r="S37" s="18"/>
      <c r="T37" s="18"/>
      <c r="U37" s="18"/>
      <c r="V37" s="21"/>
      <c r="W37" s="177"/>
      <c r="X37" s="178" t="str">
        <f>Input!X38</f>
        <v/>
      </c>
      <c r="Y37" s="329" t="str">
        <f t="shared" si="2"/>
        <v/>
      </c>
      <c r="Z37" s="179"/>
      <c r="AA37" s="180" t="str">
        <f>IF(F37&lt;&gt;"",IF(Input!Y38&lt;&gt;"",Input!Y38,""),"")</f>
        <v/>
      </c>
      <c r="AB37" s="181" t="str">
        <f>IFERROR(IF($AA$5="","",IF(F37&lt;&gt;"",(Input!Y38/Input!$Y$6)*100,"")),"NA")</f>
        <v/>
      </c>
      <c r="AC37" s="182" t="str">
        <f>IF(F37&lt;&gt;"",IF(Input!Z38&lt;&gt;"",Input!Z38,""),"")</f>
        <v/>
      </c>
      <c r="AD37" s="181" t="str">
        <f>IFERROR(IF($AC$5="","",IF(F37&lt;&gt;"",(Input!Z38/Input!$Z$6)*100,"")),"NA")</f>
        <v/>
      </c>
      <c r="AE37" s="182" t="str">
        <f>IF(F37&lt;&gt;"",IF(Input!AA38&lt;&gt;"",Input!AA38,""),"")</f>
        <v/>
      </c>
      <c r="AF37" s="181" t="str">
        <f>IFERROR(IF($AE$5="","",IF(F37&lt;&gt;"",(Input!AA38/Input!$AA$6)*100,"")),"NA")</f>
        <v/>
      </c>
      <c r="AG37" s="183" t="str">
        <f>IF(F37&lt;&gt;"",IF(Input!AB38&lt;&gt;"",Input!AB38,""),"")</f>
        <v/>
      </c>
      <c r="AH37" s="181" t="str">
        <f>IFERROR(IF($AG$5="","",IF(F37&lt;&gt;"",(Input!AB38/Input!$AB$6)*100,"")),"NA")</f>
        <v/>
      </c>
      <c r="AI37" s="327" t="str">
        <f>IF(Input!AC38="Error","Error",IF(F37="","",IF($AA$5="",0,IF(F37&lt;&gt;"",IFERROR(AVERAGE(AB37,AD37,AF37,AH37)*$AI$4,0),""))))</f>
        <v/>
      </c>
      <c r="AJ37" s="179"/>
      <c r="AK37" s="243" t="str">
        <f>IF(Input!AD38="","",IF(F37&lt;&gt;"",Input!AD38,""))</f>
        <v/>
      </c>
      <c r="AL37" s="185" t="str">
        <f>IF(F37="","",IF(Input!AE38="Error","Error",IF(ISNUMBER(Input!AE38),Input!AE38*$AL$4,"")))</f>
        <v/>
      </c>
      <c r="AM37" s="332" t="str">
        <f>IF(V37="D","Drp",
IF(F37&lt;&gt;"",
IF(OR(Y37="Error",AI37="Error",AL37="Error"),"Error",
IF(Input!AD38="","-",ROUND(Y37+AI37+AL37,2))),""))</f>
        <v/>
      </c>
      <c r="AN37" s="187" t="str">
        <f>IF(F37&lt;&gt;"",VLOOKUP(AM37,TRANSMUTATION!$A$2:$B$14,2),"")</f>
        <v/>
      </c>
      <c r="AO37" s="244" t="str">
        <f t="shared" si="1"/>
        <v/>
      </c>
      <c r="AP37" s="189"/>
      <c r="AQ37" s="102"/>
      <c r="AR37" s="102"/>
      <c r="AS37" s="102"/>
      <c r="AT37" s="101"/>
    </row>
    <row r="38" spans="1:46" ht="15" x14ac:dyDescent="0.2">
      <c r="A38" s="101"/>
      <c r="C38" s="206">
        <v>32</v>
      </c>
      <c r="D38" s="215" t="str">
        <f>IF(Input!D39&lt;&gt;"",IF(F38&lt;&gt;"",Input!D39,""),"")</f>
        <v/>
      </c>
      <c r="E38" s="321"/>
      <c r="F38" s="322" t="str">
        <f>(IF(Input!F39&lt;&gt;"",Input!F39,""))</f>
        <v/>
      </c>
      <c r="G38" s="18"/>
      <c r="H38" s="18"/>
      <c r="I38" s="18"/>
      <c r="J38" s="18"/>
      <c r="K38" s="18"/>
      <c r="L38" s="18"/>
      <c r="M38" s="18"/>
      <c r="N38" s="18"/>
      <c r="O38" s="18"/>
      <c r="P38" s="18"/>
      <c r="Q38" s="18"/>
      <c r="R38" s="18"/>
      <c r="S38" s="18"/>
      <c r="T38" s="18"/>
      <c r="U38" s="18"/>
      <c r="V38" s="21"/>
      <c r="W38" s="177"/>
      <c r="X38" s="178" t="str">
        <f>Input!X39</f>
        <v/>
      </c>
      <c r="Y38" s="329" t="str">
        <f t="shared" si="2"/>
        <v/>
      </c>
      <c r="Z38" s="179"/>
      <c r="AA38" s="180" t="str">
        <f>IF(F38&lt;&gt;"",IF(Input!Y39&lt;&gt;"",Input!Y39,""),"")</f>
        <v/>
      </c>
      <c r="AB38" s="181" t="str">
        <f>IFERROR(IF($AA$5="","",IF(F38&lt;&gt;"",(Input!Y39/Input!$Y$6)*100,"")),"NA")</f>
        <v/>
      </c>
      <c r="AC38" s="182" t="str">
        <f>IF(F38&lt;&gt;"",IF(Input!Z39&lt;&gt;"",Input!Z39,""),"")</f>
        <v/>
      </c>
      <c r="AD38" s="181" t="str">
        <f>IFERROR(IF($AC$5="","",IF(F38&lt;&gt;"",(Input!Z39/Input!$Z$6)*100,"")),"NA")</f>
        <v/>
      </c>
      <c r="AE38" s="182" t="str">
        <f>IF(F38&lt;&gt;"",IF(Input!AA39&lt;&gt;"",Input!AA39,""),"")</f>
        <v/>
      </c>
      <c r="AF38" s="181" t="str">
        <f>IFERROR(IF($AE$5="","",IF(F38&lt;&gt;"",(Input!AA39/Input!$AA$6)*100,"")),"NA")</f>
        <v/>
      </c>
      <c r="AG38" s="183" t="str">
        <f>IF(F38&lt;&gt;"",IF(Input!AB39&lt;&gt;"",Input!AB39,""),"")</f>
        <v/>
      </c>
      <c r="AH38" s="181" t="str">
        <f>IFERROR(IF($AG$5="","",IF(F38&lt;&gt;"",(Input!AB39/Input!$AB$6)*100,"")),"NA")</f>
        <v/>
      </c>
      <c r="AI38" s="327" t="str">
        <f>IF(Input!AC39="Error","Error",IF(F38="","",IF($AA$5="",0,IF(F38&lt;&gt;"",IFERROR(AVERAGE(AB38,AD38,AF38,AH38)*$AI$4,0),""))))</f>
        <v/>
      </c>
      <c r="AJ38" s="179"/>
      <c r="AK38" s="243" t="str">
        <f>IF(Input!AD39="","",IF(F38&lt;&gt;"",Input!AD39,""))</f>
        <v/>
      </c>
      <c r="AL38" s="185" t="str">
        <f>IF(F38="","",IF(Input!AE39="Error","Error",IF(ISNUMBER(Input!AE39),Input!AE39*$AL$4,"")))</f>
        <v/>
      </c>
      <c r="AM38" s="332" t="str">
        <f>IF(V38="D","Drp",
IF(F38&lt;&gt;"",
IF(OR(Y38="Error",AI38="Error",AL38="Error"),"Error",
IF(Input!AD39="","-",ROUND(Y38+AI38+AL38,2))),""))</f>
        <v/>
      </c>
      <c r="AN38" s="187" t="str">
        <f>IF(F38&lt;&gt;"",VLOOKUP(AM38,TRANSMUTATION!$A$2:$B$14,2),"")</f>
        <v/>
      </c>
      <c r="AO38" s="244" t="str">
        <f t="shared" si="1"/>
        <v/>
      </c>
      <c r="AP38" s="189"/>
      <c r="AQ38" s="102"/>
      <c r="AR38" s="102"/>
      <c r="AS38" s="102"/>
      <c r="AT38" s="101"/>
    </row>
    <row r="39" spans="1:46" ht="15" x14ac:dyDescent="0.2">
      <c r="A39" s="101"/>
      <c r="C39" s="206">
        <v>33</v>
      </c>
      <c r="D39" s="215" t="str">
        <f>IF(Input!D40&lt;&gt;"",IF(F39&lt;&gt;"",Input!D40,""),"")</f>
        <v/>
      </c>
      <c r="E39" s="321"/>
      <c r="F39" s="322" t="str">
        <f>(IF(Input!F40&lt;&gt;"",Input!F40,""))</f>
        <v/>
      </c>
      <c r="G39" s="18"/>
      <c r="H39" s="18"/>
      <c r="I39" s="18"/>
      <c r="J39" s="18"/>
      <c r="K39" s="18"/>
      <c r="L39" s="18"/>
      <c r="M39" s="18"/>
      <c r="N39" s="18"/>
      <c r="O39" s="18"/>
      <c r="P39" s="18"/>
      <c r="Q39" s="18"/>
      <c r="R39" s="18"/>
      <c r="S39" s="18"/>
      <c r="T39" s="18"/>
      <c r="U39" s="18"/>
      <c r="V39" s="21"/>
      <c r="W39" s="177"/>
      <c r="X39" s="178" t="str">
        <f>Input!X40</f>
        <v/>
      </c>
      <c r="Y39" s="329" t="str">
        <f t="shared" si="2"/>
        <v/>
      </c>
      <c r="Z39" s="179"/>
      <c r="AA39" s="180" t="str">
        <f>IF(F39&lt;&gt;"",IF(Input!Y40&lt;&gt;"",Input!Y40,""),"")</f>
        <v/>
      </c>
      <c r="AB39" s="181" t="str">
        <f>IFERROR(IF($AA$5="","",IF(F39&lt;&gt;"",(Input!Y40/Input!$Y$6)*100,"")),"NA")</f>
        <v/>
      </c>
      <c r="AC39" s="182" t="str">
        <f>IF(F39&lt;&gt;"",IF(Input!Z40&lt;&gt;"",Input!Z40,""),"")</f>
        <v/>
      </c>
      <c r="AD39" s="181" t="str">
        <f>IFERROR(IF($AC$5="","",IF(F39&lt;&gt;"",(Input!Z40/Input!$Z$6)*100,"")),"NA")</f>
        <v/>
      </c>
      <c r="AE39" s="182" t="str">
        <f>IF(F39&lt;&gt;"",IF(Input!AA40&lt;&gt;"",Input!AA40,""),"")</f>
        <v/>
      </c>
      <c r="AF39" s="181" t="str">
        <f>IFERROR(IF($AE$5="","",IF(F39&lt;&gt;"",(Input!AA40/Input!$AA$6)*100,"")),"NA")</f>
        <v/>
      </c>
      <c r="AG39" s="183" t="str">
        <f>IF(F39&lt;&gt;"",IF(Input!AB40&lt;&gt;"",Input!AB40,""),"")</f>
        <v/>
      </c>
      <c r="AH39" s="181" t="str">
        <f>IFERROR(IF($AG$5="","",IF(F39&lt;&gt;"",(Input!AB40/Input!$AB$6)*100,"")),"NA")</f>
        <v/>
      </c>
      <c r="AI39" s="327" t="str">
        <f>IF(Input!AC40="Error","Error",IF(F39="","",IF($AA$5="",0,IF(F39&lt;&gt;"",IFERROR(AVERAGE(AB39,AD39,AF39,AH39)*$AI$4,0),""))))</f>
        <v/>
      </c>
      <c r="AJ39" s="179"/>
      <c r="AK39" s="243" t="str">
        <f>IF(Input!AD40="","",IF(F39&lt;&gt;"",Input!AD40,""))</f>
        <v/>
      </c>
      <c r="AL39" s="185" t="str">
        <f>IF(F39="","",IF(Input!AE40="Error","Error",IF(ISNUMBER(Input!AE40),Input!AE40*$AL$4,"")))</f>
        <v/>
      </c>
      <c r="AM39" s="332" t="str">
        <f>IF(V39="D","Drp",
IF(F39&lt;&gt;"",
IF(OR(Y39="Error",AI39="Error",AL39="Error"),"Error",
IF(Input!AD40="","-",ROUND(Y39+AI39+AL39,2))),""))</f>
        <v/>
      </c>
      <c r="AN39" s="187" t="str">
        <f>IF(F39&lt;&gt;"",VLOOKUP(AM39,TRANSMUTATION!$A$2:$B$14,2),"")</f>
        <v/>
      </c>
      <c r="AO39" s="244" t="str">
        <f t="shared" ref="AO39:AO56" si="3">IF(AN39="Inc","",IF(F39&lt;&gt;"",IF(OR(AN39="Drp",AN39="-"),"",RANK(AM39,$AM$7:$AM$56)),""))</f>
        <v/>
      </c>
      <c r="AP39" s="189"/>
      <c r="AQ39" s="102"/>
      <c r="AR39" s="102"/>
      <c r="AS39" s="102"/>
      <c r="AT39" s="101"/>
    </row>
    <row r="40" spans="1:46" ht="15" x14ac:dyDescent="0.2">
      <c r="A40" s="101"/>
      <c r="C40" s="206">
        <v>34</v>
      </c>
      <c r="D40" s="215" t="str">
        <f>IF(Input!D41&lt;&gt;"",IF(F40&lt;&gt;"",Input!D41,""),"")</f>
        <v/>
      </c>
      <c r="E40" s="321"/>
      <c r="F40" s="322" t="str">
        <f>(IF(Input!F41&lt;&gt;"",Input!F41,""))</f>
        <v/>
      </c>
      <c r="G40" s="18"/>
      <c r="H40" s="18"/>
      <c r="I40" s="18"/>
      <c r="J40" s="18"/>
      <c r="K40" s="18"/>
      <c r="L40" s="18"/>
      <c r="M40" s="18"/>
      <c r="N40" s="18"/>
      <c r="O40" s="18"/>
      <c r="P40" s="18"/>
      <c r="Q40" s="18"/>
      <c r="R40" s="18"/>
      <c r="S40" s="18"/>
      <c r="T40" s="18"/>
      <c r="U40" s="18"/>
      <c r="V40" s="21"/>
      <c r="W40" s="177"/>
      <c r="X40" s="178" t="str">
        <f>Input!X41</f>
        <v/>
      </c>
      <c r="Y40" s="329" t="str">
        <f t="shared" si="2"/>
        <v/>
      </c>
      <c r="Z40" s="179"/>
      <c r="AA40" s="180" t="str">
        <f>IF(F40&lt;&gt;"",IF(Input!Y41&lt;&gt;"",Input!Y41,""),"")</f>
        <v/>
      </c>
      <c r="AB40" s="181" t="str">
        <f>IFERROR(IF($AA$5="","",IF(F40&lt;&gt;"",(Input!Y41/Input!$Y$6)*100,"")),"NA")</f>
        <v/>
      </c>
      <c r="AC40" s="182" t="str">
        <f>IF(F40&lt;&gt;"",IF(Input!Z41&lt;&gt;"",Input!Z41,""),"")</f>
        <v/>
      </c>
      <c r="AD40" s="181" t="str">
        <f>IFERROR(IF($AC$5="","",IF(F40&lt;&gt;"",(Input!Z41/Input!$Z$6)*100,"")),"NA")</f>
        <v/>
      </c>
      <c r="AE40" s="182" t="str">
        <f>IF(F40&lt;&gt;"",IF(Input!AA41&lt;&gt;"",Input!AA41,""),"")</f>
        <v/>
      </c>
      <c r="AF40" s="181" t="str">
        <f>IFERROR(IF($AE$5="","",IF(F40&lt;&gt;"",(Input!AA41/Input!$AA$6)*100,"")),"NA")</f>
        <v/>
      </c>
      <c r="AG40" s="183" t="str">
        <f>IF(F40&lt;&gt;"",IF(Input!AB41&lt;&gt;"",Input!AB41,""),"")</f>
        <v/>
      </c>
      <c r="AH40" s="181" t="str">
        <f>IFERROR(IF($AG$5="","",IF(F40&lt;&gt;"",(Input!AB41/Input!$AB$6)*100,"")),"NA")</f>
        <v/>
      </c>
      <c r="AI40" s="327" t="str">
        <f>IF(Input!AC41="Error","Error",IF(F40="","",IF($AA$5="",0,IF(F40&lt;&gt;"",IFERROR(AVERAGE(AB40,AD40,AF40,AH40)*$AI$4,0),""))))</f>
        <v/>
      </c>
      <c r="AJ40" s="179"/>
      <c r="AK40" s="243" t="str">
        <f>IF(Input!AD41="","",IF(F40&lt;&gt;"",Input!AD41,""))</f>
        <v/>
      </c>
      <c r="AL40" s="185" t="str">
        <f>IF(F40="","",IF(Input!AE41="Error","Error",IF(ISNUMBER(Input!AE41),Input!AE41*$AL$4,"")))</f>
        <v/>
      </c>
      <c r="AM40" s="332" t="str">
        <f>IF(V40="D","Drp",
IF(F40&lt;&gt;"",
IF(OR(Y40="Error",AI40="Error",AL40="Error"),"Error",
IF(Input!AD41="","-",ROUND(Y40+AI40+AL40,2))),""))</f>
        <v/>
      </c>
      <c r="AN40" s="187" t="str">
        <f>IF(F40&lt;&gt;"",VLOOKUP(AM40,TRANSMUTATION!$A$2:$B$14,2),"")</f>
        <v/>
      </c>
      <c r="AO40" s="244" t="str">
        <f t="shared" si="3"/>
        <v/>
      </c>
      <c r="AP40" s="189"/>
      <c r="AQ40" s="102"/>
      <c r="AR40" s="102"/>
      <c r="AS40" s="102"/>
      <c r="AT40" s="101"/>
    </row>
    <row r="41" spans="1:46" ht="15" x14ac:dyDescent="0.2">
      <c r="A41" s="101"/>
      <c r="C41" s="206">
        <v>35</v>
      </c>
      <c r="D41" s="215" t="str">
        <f>IF(Input!D42&lt;&gt;"",IF(F41&lt;&gt;"",Input!D42,""),"")</f>
        <v/>
      </c>
      <c r="E41" s="321"/>
      <c r="F41" s="322" t="str">
        <f>(IF(Input!F42&lt;&gt;"",Input!F42,""))</f>
        <v/>
      </c>
      <c r="G41" s="18"/>
      <c r="H41" s="18"/>
      <c r="I41" s="18"/>
      <c r="J41" s="18"/>
      <c r="K41" s="18"/>
      <c r="L41" s="18"/>
      <c r="M41" s="18"/>
      <c r="N41" s="18"/>
      <c r="O41" s="18"/>
      <c r="P41" s="18"/>
      <c r="Q41" s="18"/>
      <c r="R41" s="18"/>
      <c r="S41" s="18"/>
      <c r="T41" s="18"/>
      <c r="U41" s="18"/>
      <c r="V41" s="21"/>
      <c r="W41" s="177"/>
      <c r="X41" s="178" t="str">
        <f>Input!X42</f>
        <v/>
      </c>
      <c r="Y41" s="329" t="str">
        <f t="shared" si="2"/>
        <v/>
      </c>
      <c r="Z41" s="179"/>
      <c r="AA41" s="180" t="str">
        <f>IF(F41&lt;&gt;"",IF(Input!Y42&lt;&gt;"",Input!Y42,""),"")</f>
        <v/>
      </c>
      <c r="AB41" s="181" t="str">
        <f>IFERROR(IF($AA$5="","",IF(F41&lt;&gt;"",(Input!Y42/Input!$Y$6)*100,"")),"NA")</f>
        <v/>
      </c>
      <c r="AC41" s="182" t="str">
        <f>IF(F41&lt;&gt;"",IF(Input!Z42&lt;&gt;"",Input!Z42,""),"")</f>
        <v/>
      </c>
      <c r="AD41" s="181" t="str">
        <f>IFERROR(IF($AC$5="","",IF(F41&lt;&gt;"",(Input!Z42/Input!$Z$6)*100,"")),"NA")</f>
        <v/>
      </c>
      <c r="AE41" s="182" t="str">
        <f>IF(F41&lt;&gt;"",IF(Input!AA42&lt;&gt;"",Input!AA42,""),"")</f>
        <v/>
      </c>
      <c r="AF41" s="181" t="str">
        <f>IFERROR(IF($AE$5="","",IF(F41&lt;&gt;"",(Input!AA42/Input!$AA$6)*100,"")),"NA")</f>
        <v/>
      </c>
      <c r="AG41" s="183" t="str">
        <f>IF(F41&lt;&gt;"",IF(Input!AB42&lt;&gt;"",Input!AB42,""),"")</f>
        <v/>
      </c>
      <c r="AH41" s="181" t="str">
        <f>IFERROR(IF($AG$5="","",IF(F41&lt;&gt;"",(Input!AB42/Input!$AB$6)*100,"")),"NA")</f>
        <v/>
      </c>
      <c r="AI41" s="327" t="str">
        <f>IF(Input!AC42="Error","Error",IF(F41="","",IF($AA$5="",0,IF(F41&lt;&gt;"",IFERROR(AVERAGE(AB41,AD41,AF41,AH41)*$AI$4,0),""))))</f>
        <v/>
      </c>
      <c r="AJ41" s="179"/>
      <c r="AK41" s="243" t="str">
        <f>IF(Input!AD42="","",IF(F41&lt;&gt;"",Input!AD42,""))</f>
        <v/>
      </c>
      <c r="AL41" s="185" t="str">
        <f>IF(F41="","",IF(Input!AE42="Error","Error",IF(ISNUMBER(Input!AE42),Input!AE42*$AL$4,"")))</f>
        <v/>
      </c>
      <c r="AM41" s="332" t="str">
        <f>IF(V41="D","Drp",
IF(F41&lt;&gt;"",
IF(OR(Y41="Error",AI41="Error",AL41="Error"),"Error",
IF(Input!AD42="","-",ROUND(Y41+AI41+AL41,2))),""))</f>
        <v/>
      </c>
      <c r="AN41" s="187" t="str">
        <f>IF(F41&lt;&gt;"",VLOOKUP(AM41,TRANSMUTATION!$A$2:$B$14,2),"")</f>
        <v/>
      </c>
      <c r="AO41" s="244" t="str">
        <f t="shared" si="3"/>
        <v/>
      </c>
      <c r="AP41" s="189"/>
      <c r="AQ41" s="102"/>
      <c r="AR41" s="102"/>
      <c r="AS41" s="102"/>
      <c r="AT41" s="101"/>
    </row>
    <row r="42" spans="1:46" ht="15" x14ac:dyDescent="0.2">
      <c r="A42" s="101"/>
      <c r="C42" s="206">
        <v>36</v>
      </c>
      <c r="D42" s="215" t="str">
        <f>IF(Input!D43&lt;&gt;"",IF(F42&lt;&gt;"",Input!D43,""),"")</f>
        <v/>
      </c>
      <c r="E42" s="321"/>
      <c r="F42" s="322" t="str">
        <f>(IF(Input!F43&lt;&gt;"",Input!F43,""))</f>
        <v/>
      </c>
      <c r="G42" s="18"/>
      <c r="H42" s="18"/>
      <c r="I42" s="18"/>
      <c r="J42" s="18"/>
      <c r="K42" s="18"/>
      <c r="L42" s="18"/>
      <c r="M42" s="18"/>
      <c r="N42" s="18"/>
      <c r="O42" s="18"/>
      <c r="P42" s="18"/>
      <c r="Q42" s="18"/>
      <c r="R42" s="18"/>
      <c r="S42" s="18"/>
      <c r="T42" s="18"/>
      <c r="U42" s="18"/>
      <c r="V42" s="21"/>
      <c r="W42" s="177"/>
      <c r="X42" s="178" t="str">
        <f>Input!X43</f>
        <v/>
      </c>
      <c r="Y42" s="329" t="str">
        <f t="shared" si="2"/>
        <v/>
      </c>
      <c r="Z42" s="179"/>
      <c r="AA42" s="180" t="str">
        <f>IF(F42&lt;&gt;"",IF(Input!Y43&lt;&gt;"",Input!Y43,""),"")</f>
        <v/>
      </c>
      <c r="AB42" s="181" t="str">
        <f>IFERROR(IF($AA$5="","",IF(F42&lt;&gt;"",(Input!Y43/Input!$Y$6)*100,"")),"NA")</f>
        <v/>
      </c>
      <c r="AC42" s="182" t="str">
        <f>IF(F42&lt;&gt;"",IF(Input!Z43&lt;&gt;"",Input!Z43,""),"")</f>
        <v/>
      </c>
      <c r="AD42" s="181" t="str">
        <f>IFERROR(IF($AC$5="","",IF(F42&lt;&gt;"",(Input!Z43/Input!$Z$6)*100,"")),"NA")</f>
        <v/>
      </c>
      <c r="AE42" s="182" t="str">
        <f>IF(F42&lt;&gt;"",IF(Input!AA43&lt;&gt;"",Input!AA43,""),"")</f>
        <v/>
      </c>
      <c r="AF42" s="181" t="str">
        <f>IFERROR(IF($AE$5="","",IF(F42&lt;&gt;"",(Input!AA43/Input!$AA$6)*100,"")),"NA")</f>
        <v/>
      </c>
      <c r="AG42" s="183" t="str">
        <f>IF(F42&lt;&gt;"",IF(Input!AB43&lt;&gt;"",Input!AB43,""),"")</f>
        <v/>
      </c>
      <c r="AH42" s="181" t="str">
        <f>IFERROR(IF($AG$5="","",IF(F42&lt;&gt;"",(Input!AB43/Input!$AB$6)*100,"")),"NA")</f>
        <v/>
      </c>
      <c r="AI42" s="327" t="str">
        <f>IF(Input!AC43="Error","Error",IF(F42="","",IF($AA$5="",0,IF(F42&lt;&gt;"",IFERROR(AVERAGE(AB42,AD42,AF42,AH42)*$AI$4,0),""))))</f>
        <v/>
      </c>
      <c r="AJ42" s="179"/>
      <c r="AK42" s="243" t="str">
        <f>IF(Input!AD43="","",IF(F42&lt;&gt;"",Input!AD43,""))</f>
        <v/>
      </c>
      <c r="AL42" s="185" t="str">
        <f>IF(F42="","",IF(Input!AE43="Error","Error",IF(ISNUMBER(Input!AE43),Input!AE43*$AL$4,"")))</f>
        <v/>
      </c>
      <c r="AM42" s="332" t="str">
        <f>IF(V42="D","Drp",
IF(F42&lt;&gt;"",
IF(OR(Y42="Error",AI42="Error",AL42="Error"),"Error",
IF(Input!AD43="","-",ROUND(Y42+AI42+AL42,2))),""))</f>
        <v/>
      </c>
      <c r="AN42" s="187" t="str">
        <f>IF(F42&lt;&gt;"",VLOOKUP(AM42,TRANSMUTATION!$A$2:$B$14,2),"")</f>
        <v/>
      </c>
      <c r="AO42" s="244" t="str">
        <f t="shared" si="3"/>
        <v/>
      </c>
      <c r="AP42" s="189"/>
      <c r="AQ42" s="102"/>
      <c r="AR42" s="102"/>
      <c r="AS42" s="102"/>
      <c r="AT42" s="101"/>
    </row>
    <row r="43" spans="1:46" ht="15" customHeight="1" x14ac:dyDescent="0.2">
      <c r="A43" s="101"/>
      <c r="C43" s="206">
        <v>37</v>
      </c>
      <c r="D43" s="215" t="str">
        <f>IF(Input!D44&lt;&gt;"",IF(F43&lt;&gt;"",Input!D44,""),"")</f>
        <v/>
      </c>
      <c r="E43" s="321"/>
      <c r="F43" s="322" t="str">
        <f>(IF(Input!F44&lt;&gt;"",Input!F44,""))</f>
        <v/>
      </c>
      <c r="G43" s="18"/>
      <c r="H43" s="18"/>
      <c r="I43" s="18"/>
      <c r="J43" s="18"/>
      <c r="K43" s="18"/>
      <c r="L43" s="18"/>
      <c r="M43" s="18"/>
      <c r="N43" s="18"/>
      <c r="O43" s="18"/>
      <c r="P43" s="18"/>
      <c r="Q43" s="18"/>
      <c r="R43" s="18"/>
      <c r="S43" s="18"/>
      <c r="T43" s="18"/>
      <c r="U43" s="18"/>
      <c r="V43" s="21"/>
      <c r="W43" s="177"/>
      <c r="X43" s="178" t="str">
        <f>Input!X44</f>
        <v/>
      </c>
      <c r="Y43" s="329" t="str">
        <f t="shared" si="2"/>
        <v/>
      </c>
      <c r="Z43" s="179"/>
      <c r="AA43" s="180" t="str">
        <f>IF(F43&lt;&gt;"",IF(Input!Y44&lt;&gt;"",Input!Y44,""),"")</f>
        <v/>
      </c>
      <c r="AB43" s="181" t="str">
        <f>IFERROR(IF($AA$5="","",IF(F43&lt;&gt;"",(Input!Y44/Input!$Y$6)*100,"")),"NA")</f>
        <v/>
      </c>
      <c r="AC43" s="182" t="str">
        <f>IF(F43&lt;&gt;"",IF(Input!Z44&lt;&gt;"",Input!Z44,""),"")</f>
        <v/>
      </c>
      <c r="AD43" s="181" t="str">
        <f>IFERROR(IF($AC$5="","",IF(F43&lt;&gt;"",(Input!Z44/Input!$Z$6)*100,"")),"NA")</f>
        <v/>
      </c>
      <c r="AE43" s="182" t="str">
        <f>IF(F43&lt;&gt;"",IF(Input!AA44&lt;&gt;"",Input!AA44,""),"")</f>
        <v/>
      </c>
      <c r="AF43" s="181" t="str">
        <f>IFERROR(IF($AE$5="","",IF(F43&lt;&gt;"",(Input!AA44/Input!$AA$6)*100,"")),"NA")</f>
        <v/>
      </c>
      <c r="AG43" s="183" t="str">
        <f>IF(F43&lt;&gt;"",IF(Input!AB44&lt;&gt;"",Input!AB44,""),"")</f>
        <v/>
      </c>
      <c r="AH43" s="181" t="str">
        <f>IFERROR(IF($AG$5="","",IF(F43&lt;&gt;"",(Input!AB44/Input!$AB$6)*100,"")),"NA")</f>
        <v/>
      </c>
      <c r="AI43" s="327" t="str">
        <f>IF(Input!AC44="Error","Error",IF(F43="","",IF($AA$5="",0,IF(F43&lt;&gt;"",IFERROR(AVERAGE(AB43,AD43,AF43,AH43)*$AI$4,0),""))))</f>
        <v/>
      </c>
      <c r="AJ43" s="179"/>
      <c r="AK43" s="243" t="str">
        <f>IF(Input!AD44="","",IF(F43&lt;&gt;"",Input!AD44,""))</f>
        <v/>
      </c>
      <c r="AL43" s="185" t="str">
        <f>IF(F43="","",IF(Input!AE44="Error","Error",IF(ISNUMBER(Input!AE44),Input!AE44*$AL$4,"")))</f>
        <v/>
      </c>
      <c r="AM43" s="332" t="str">
        <f>IF(V43="D","Drp",
IF(F43&lt;&gt;"",
IF(OR(Y43="Error",AI43="Error",AL43="Error"),"Error",
IF(Input!AD44="","-",ROUND(Y43+AI43+AL43,2))),""))</f>
        <v/>
      </c>
      <c r="AN43" s="187" t="str">
        <f>IF(F43&lt;&gt;"",VLOOKUP(AM43,TRANSMUTATION!$A$2:$B$14,2),"")</f>
        <v/>
      </c>
      <c r="AO43" s="244" t="str">
        <f t="shared" si="3"/>
        <v/>
      </c>
      <c r="AP43" s="189"/>
      <c r="AQ43" s="102"/>
      <c r="AR43" s="102"/>
      <c r="AS43" s="102"/>
      <c r="AT43" s="101"/>
    </row>
    <row r="44" spans="1:46" ht="15" customHeight="1" x14ac:dyDescent="0.2">
      <c r="A44" s="101"/>
      <c r="C44" s="206">
        <v>38</v>
      </c>
      <c r="D44" s="215" t="str">
        <f>IF(Input!D45&lt;&gt;"",IF(F44&lt;&gt;"",Input!D45,""),"")</f>
        <v/>
      </c>
      <c r="E44" s="321"/>
      <c r="F44" s="322" t="str">
        <f>(IF(Input!F45&lt;&gt;"",Input!F45,""))</f>
        <v/>
      </c>
      <c r="G44" s="18"/>
      <c r="H44" s="18"/>
      <c r="I44" s="18"/>
      <c r="J44" s="18"/>
      <c r="K44" s="18"/>
      <c r="L44" s="18"/>
      <c r="M44" s="18"/>
      <c r="N44" s="18"/>
      <c r="O44" s="18"/>
      <c r="P44" s="18"/>
      <c r="Q44" s="18"/>
      <c r="R44" s="18"/>
      <c r="S44" s="18"/>
      <c r="T44" s="18"/>
      <c r="U44" s="18"/>
      <c r="V44" s="21"/>
      <c r="W44" s="177"/>
      <c r="X44" s="178" t="str">
        <f>Input!X45</f>
        <v/>
      </c>
      <c r="Y44" s="329" t="str">
        <f t="shared" si="2"/>
        <v/>
      </c>
      <c r="Z44" s="179"/>
      <c r="AA44" s="180" t="str">
        <f>IF(F44&lt;&gt;"",IF(Input!Y45&lt;&gt;"",Input!Y45,""),"")</f>
        <v/>
      </c>
      <c r="AB44" s="181" t="str">
        <f>IFERROR(IF($AA$5="","",IF(F44&lt;&gt;"",(Input!Y45/Input!$Y$6)*100,"")),"NA")</f>
        <v/>
      </c>
      <c r="AC44" s="182" t="str">
        <f>IF(F44&lt;&gt;"",IF(Input!Z45&lt;&gt;"",Input!Z45,""),"")</f>
        <v/>
      </c>
      <c r="AD44" s="181" t="str">
        <f>IFERROR(IF($AC$5="","",IF(F44&lt;&gt;"",(Input!Z45/Input!$Z$6)*100,"")),"NA")</f>
        <v/>
      </c>
      <c r="AE44" s="182" t="str">
        <f>IF(F44&lt;&gt;"",IF(Input!AA45&lt;&gt;"",Input!AA45,""),"")</f>
        <v/>
      </c>
      <c r="AF44" s="181" t="str">
        <f>IFERROR(IF($AE$5="","",IF(F44&lt;&gt;"",(Input!AA45/Input!$AA$6)*100,"")),"NA")</f>
        <v/>
      </c>
      <c r="AG44" s="183" t="str">
        <f>IF(F44&lt;&gt;"",IF(Input!AB45&lt;&gt;"",Input!AB45,""),"")</f>
        <v/>
      </c>
      <c r="AH44" s="181" t="str">
        <f>IFERROR(IF($AG$5="","",IF(F44&lt;&gt;"",(Input!AB45/Input!$AB$6)*100,"")),"NA")</f>
        <v/>
      </c>
      <c r="AI44" s="327" t="str">
        <f>IF(Input!AC45="Error","Error",IF(F44="","",IF($AA$5="",0,IF(F44&lt;&gt;"",IFERROR(AVERAGE(AB44,AD44,AF44,AH44)*$AI$4,0),""))))</f>
        <v/>
      </c>
      <c r="AJ44" s="179"/>
      <c r="AK44" s="243" t="str">
        <f>IF(Input!AD45="","",IF(F44&lt;&gt;"",Input!AD45,""))</f>
        <v/>
      </c>
      <c r="AL44" s="185" t="str">
        <f>IF(F44="","",IF(Input!AE45="Error","Error",IF(ISNUMBER(Input!AE45),Input!AE45*$AL$4,"")))</f>
        <v/>
      </c>
      <c r="AM44" s="332" t="str">
        <f>IF(V44="D","Drp",
IF(F44&lt;&gt;"",
IF(OR(Y44="Error",AI44="Error",AL44="Error"),"Error",
IF(Input!AD45="","-",ROUND(Y44+AI44+AL44,2))),""))</f>
        <v/>
      </c>
      <c r="AN44" s="187" t="str">
        <f>IF(F44&lt;&gt;"",VLOOKUP(AM44,TRANSMUTATION!$A$2:$B$14,2),"")</f>
        <v/>
      </c>
      <c r="AO44" s="244" t="str">
        <f t="shared" si="3"/>
        <v/>
      </c>
      <c r="AP44" s="189"/>
      <c r="AQ44" s="102"/>
      <c r="AR44" s="102"/>
      <c r="AS44" s="102"/>
      <c r="AT44" s="101"/>
    </row>
    <row r="45" spans="1:46" ht="15" customHeight="1" x14ac:dyDescent="0.2">
      <c r="A45" s="101"/>
      <c r="C45" s="206">
        <v>39</v>
      </c>
      <c r="D45" s="215" t="str">
        <f>IF(Input!D46&lt;&gt;"",IF(F45&lt;&gt;"",Input!D46,""),"")</f>
        <v/>
      </c>
      <c r="E45" s="321"/>
      <c r="F45" s="322" t="str">
        <f>(IF(Input!F46&lt;&gt;"",Input!F46,""))</f>
        <v/>
      </c>
      <c r="G45" s="18"/>
      <c r="H45" s="18"/>
      <c r="I45" s="18"/>
      <c r="J45" s="18"/>
      <c r="K45" s="18"/>
      <c r="L45" s="18"/>
      <c r="M45" s="18"/>
      <c r="N45" s="18"/>
      <c r="O45" s="18"/>
      <c r="P45" s="18"/>
      <c r="Q45" s="18"/>
      <c r="R45" s="18"/>
      <c r="S45" s="18"/>
      <c r="T45" s="18"/>
      <c r="U45" s="18"/>
      <c r="V45" s="21"/>
      <c r="W45" s="177"/>
      <c r="X45" s="178" t="str">
        <f>Input!X46</f>
        <v/>
      </c>
      <c r="Y45" s="329" t="str">
        <f t="shared" si="2"/>
        <v/>
      </c>
      <c r="Z45" s="179"/>
      <c r="AA45" s="180" t="str">
        <f>IF(F45&lt;&gt;"",IF(Input!Y46&lt;&gt;"",Input!Y46,""),"")</f>
        <v/>
      </c>
      <c r="AB45" s="181" t="str">
        <f>IFERROR(IF($AA$5="","",IF(F45&lt;&gt;"",(Input!Y46/Input!$Y$6)*100,"")),"NA")</f>
        <v/>
      </c>
      <c r="AC45" s="182" t="str">
        <f>IF(F45&lt;&gt;"",IF(Input!Z46&lt;&gt;"",Input!Z46,""),"")</f>
        <v/>
      </c>
      <c r="AD45" s="181" t="str">
        <f>IFERROR(IF($AC$5="","",IF(F45&lt;&gt;"",(Input!Z46/Input!$Z$6)*100,"")),"NA")</f>
        <v/>
      </c>
      <c r="AE45" s="182" t="str">
        <f>IF(F45&lt;&gt;"",IF(Input!AA46&lt;&gt;"",Input!AA46,""),"")</f>
        <v/>
      </c>
      <c r="AF45" s="181" t="str">
        <f>IFERROR(IF($AE$5="","",IF(F45&lt;&gt;"",(Input!AA46/Input!$AA$6)*100,"")),"NA")</f>
        <v/>
      </c>
      <c r="AG45" s="183" t="str">
        <f>IF(F45&lt;&gt;"",IF(Input!AB46&lt;&gt;"",Input!AB46,""),"")</f>
        <v/>
      </c>
      <c r="AH45" s="181" t="str">
        <f>IFERROR(IF($AG$5="","",IF(F45&lt;&gt;"",(Input!AB46/Input!$AB$6)*100,"")),"NA")</f>
        <v/>
      </c>
      <c r="AI45" s="327" t="str">
        <f>IF(Input!AC46="Error","Error",IF(F45="","",IF($AA$5="",0,IF(F45&lt;&gt;"",IFERROR(AVERAGE(AB45,AD45,AF45,AH45)*$AI$4,0),""))))</f>
        <v/>
      </c>
      <c r="AJ45" s="179"/>
      <c r="AK45" s="243" t="str">
        <f>IF(Input!AD46="","",IF(F45&lt;&gt;"",Input!AD46,""))</f>
        <v/>
      </c>
      <c r="AL45" s="185" t="str">
        <f>IF(F45="","",IF(Input!AE46="Error","Error",IF(ISNUMBER(Input!AE46),Input!AE46*$AL$4,"")))</f>
        <v/>
      </c>
      <c r="AM45" s="332" t="str">
        <f>IF(V45="D","Drp",
IF(F45&lt;&gt;"",
IF(OR(Y45="Error",AI45="Error",AL45="Error"),"Error",
IF(Input!AD46="","-",ROUND(Y45+AI45+AL45,2))),""))</f>
        <v/>
      </c>
      <c r="AN45" s="187" t="str">
        <f>IF(F45&lt;&gt;"",VLOOKUP(AM45,TRANSMUTATION!$A$2:$B$14,2),"")</f>
        <v/>
      </c>
      <c r="AO45" s="244" t="str">
        <f t="shared" si="3"/>
        <v/>
      </c>
      <c r="AP45" s="189"/>
      <c r="AQ45" s="102"/>
      <c r="AR45" s="102"/>
      <c r="AS45" s="102"/>
      <c r="AT45" s="101"/>
    </row>
    <row r="46" spans="1:46" ht="15" customHeight="1" x14ac:dyDescent="0.2">
      <c r="A46" s="101"/>
      <c r="C46" s="206">
        <v>40</v>
      </c>
      <c r="D46" s="215" t="str">
        <f>IF(Input!D47&lt;&gt;"",IF(F46&lt;&gt;"",Input!D47,""),"")</f>
        <v/>
      </c>
      <c r="E46" s="321"/>
      <c r="F46" s="322" t="str">
        <f>(IF(Input!F47&lt;&gt;"",Input!F47,""))</f>
        <v/>
      </c>
      <c r="G46" s="18"/>
      <c r="H46" s="18"/>
      <c r="I46" s="18"/>
      <c r="J46" s="18"/>
      <c r="K46" s="18"/>
      <c r="L46" s="18"/>
      <c r="M46" s="18"/>
      <c r="N46" s="18"/>
      <c r="O46" s="18"/>
      <c r="P46" s="18"/>
      <c r="Q46" s="18"/>
      <c r="R46" s="18"/>
      <c r="S46" s="18"/>
      <c r="T46" s="18"/>
      <c r="U46" s="18"/>
      <c r="V46" s="21"/>
      <c r="W46" s="177"/>
      <c r="X46" s="178" t="str">
        <f>Input!X47</f>
        <v/>
      </c>
      <c r="Y46" s="329" t="str">
        <f t="shared" si="2"/>
        <v/>
      </c>
      <c r="Z46" s="179"/>
      <c r="AA46" s="180" t="str">
        <f>IF(F46&lt;&gt;"",IF(Input!Y47&lt;&gt;"",Input!Y47,""),"")</f>
        <v/>
      </c>
      <c r="AB46" s="181" t="str">
        <f>IFERROR(IF($AA$5="","",IF(F46&lt;&gt;"",(Input!Y47/Input!$Y$6)*100,"")),"NA")</f>
        <v/>
      </c>
      <c r="AC46" s="182" t="str">
        <f>IF(F46&lt;&gt;"",IF(Input!Z47&lt;&gt;"",Input!Z47,""),"")</f>
        <v/>
      </c>
      <c r="AD46" s="181" t="str">
        <f>IFERROR(IF($AC$5="","",IF(F46&lt;&gt;"",(Input!Z47/Input!$Z$6)*100,"")),"NA")</f>
        <v/>
      </c>
      <c r="AE46" s="182" t="str">
        <f>IF(F46&lt;&gt;"",IF(Input!AA47&lt;&gt;"",Input!AA47,""),"")</f>
        <v/>
      </c>
      <c r="AF46" s="181" t="str">
        <f>IFERROR(IF($AE$5="","",IF(F46&lt;&gt;"",(Input!AA47/Input!$AA$6)*100,"")),"NA")</f>
        <v/>
      </c>
      <c r="AG46" s="183" t="str">
        <f>IF(F46&lt;&gt;"",IF(Input!AB47&lt;&gt;"",Input!AB47,""),"")</f>
        <v/>
      </c>
      <c r="AH46" s="181" t="str">
        <f>IFERROR(IF($AG$5="","",IF(F46&lt;&gt;"",(Input!AB47/Input!$AB$6)*100,"")),"NA")</f>
        <v/>
      </c>
      <c r="AI46" s="327" t="str">
        <f>IF(Input!AC47="Error","Error",IF(F46="","",IF($AA$5="",0,IF(F46&lt;&gt;"",IFERROR(AVERAGE(AB46,AD46,AF46,AH46)*$AI$4,0),""))))</f>
        <v/>
      </c>
      <c r="AJ46" s="179"/>
      <c r="AK46" s="243" t="str">
        <f>IF(Input!AD47="","",IF(F46&lt;&gt;"",Input!AD47,""))</f>
        <v/>
      </c>
      <c r="AL46" s="185" t="str">
        <f>IF(F46="","",IF(Input!AE47="Error","Error",IF(ISNUMBER(Input!AE47),Input!AE47*$AL$4,"")))</f>
        <v/>
      </c>
      <c r="AM46" s="332" t="str">
        <f>IF(V46="D","Drp",
IF(F46&lt;&gt;"",
IF(OR(Y46="Error",AI46="Error",AL46="Error"),"Error",
IF(Input!AD47="","-",ROUND(Y46+AI46+AL46,2))),""))</f>
        <v/>
      </c>
      <c r="AN46" s="187" t="str">
        <f>IF(F46&lt;&gt;"",VLOOKUP(AM46,TRANSMUTATION!$A$2:$B$14,2),"")</f>
        <v/>
      </c>
      <c r="AO46" s="244" t="str">
        <f t="shared" si="3"/>
        <v/>
      </c>
      <c r="AP46" s="189"/>
      <c r="AQ46" s="102"/>
      <c r="AR46" s="102"/>
      <c r="AS46" s="102"/>
      <c r="AT46" s="101"/>
    </row>
    <row r="47" spans="1:46" ht="15" customHeight="1" x14ac:dyDescent="0.2">
      <c r="A47" s="101"/>
      <c r="C47" s="206">
        <v>41</v>
      </c>
      <c r="D47" s="215" t="str">
        <f>IF(Input!D48&lt;&gt;"",IF(F47&lt;&gt;"",Input!D48,""),"")</f>
        <v/>
      </c>
      <c r="E47" s="321"/>
      <c r="F47" s="322" t="str">
        <f>(IF(Input!F48&lt;&gt;"",Input!F48,""))</f>
        <v/>
      </c>
      <c r="G47" s="18"/>
      <c r="H47" s="18"/>
      <c r="I47" s="18"/>
      <c r="J47" s="18"/>
      <c r="K47" s="18"/>
      <c r="L47" s="18"/>
      <c r="M47" s="18"/>
      <c r="N47" s="18"/>
      <c r="O47" s="18"/>
      <c r="P47" s="18"/>
      <c r="Q47" s="18"/>
      <c r="R47" s="18"/>
      <c r="S47" s="18"/>
      <c r="T47" s="18"/>
      <c r="U47" s="18"/>
      <c r="V47" s="21"/>
      <c r="W47" s="177"/>
      <c r="X47" s="178" t="str">
        <f>Input!X48</f>
        <v/>
      </c>
      <c r="Y47" s="329" t="str">
        <f t="shared" si="2"/>
        <v/>
      </c>
      <c r="Z47" s="179"/>
      <c r="AA47" s="180" t="str">
        <f>IF(F47&lt;&gt;"",IF(Input!Y48&lt;&gt;"",Input!Y48,""),"")</f>
        <v/>
      </c>
      <c r="AB47" s="181" t="str">
        <f>IFERROR(IF($AA$5="","",IF(F47&lt;&gt;"",(Input!Y48/Input!$Y$6)*100,"")),"NA")</f>
        <v/>
      </c>
      <c r="AC47" s="182" t="str">
        <f>IF(F47&lt;&gt;"",IF(Input!Z48&lt;&gt;"",Input!Z48,""),"")</f>
        <v/>
      </c>
      <c r="AD47" s="181" t="str">
        <f>IFERROR(IF($AC$5="","",IF(F47&lt;&gt;"",(Input!Z48/Input!$Z$6)*100,"")),"NA")</f>
        <v/>
      </c>
      <c r="AE47" s="182" t="str">
        <f>IF(F47&lt;&gt;"",IF(Input!AA48&lt;&gt;"",Input!AA48,""),"")</f>
        <v/>
      </c>
      <c r="AF47" s="181" t="str">
        <f>IFERROR(IF($AE$5="","",IF(F47&lt;&gt;"",(Input!AA48/Input!$AA$6)*100,"")),"NA")</f>
        <v/>
      </c>
      <c r="AG47" s="183" t="str">
        <f>IF(F47&lt;&gt;"",IF(Input!AB48&lt;&gt;"",Input!AB48,""),"")</f>
        <v/>
      </c>
      <c r="AH47" s="181" t="str">
        <f>IFERROR(IF($AG$5="","",IF(F47&lt;&gt;"",(Input!AB48/Input!$AB$6)*100,"")),"NA")</f>
        <v/>
      </c>
      <c r="AI47" s="327" t="str">
        <f>IF(Input!AC48="Error","Error",IF(F47="","",IF($AA$5="",0,IF(F47&lt;&gt;"",IFERROR(AVERAGE(AB47,AD47,AF47,AH47)*$AI$4,0),""))))</f>
        <v/>
      </c>
      <c r="AJ47" s="179"/>
      <c r="AK47" s="243" t="str">
        <f>IF(Input!AD48="","",IF(F47&lt;&gt;"",Input!AD48,""))</f>
        <v/>
      </c>
      <c r="AL47" s="185" t="str">
        <f>IF(F47="","",IF(Input!AE48="Error","Error",IF(ISNUMBER(Input!AE48),Input!AE48*$AL$4,"")))</f>
        <v/>
      </c>
      <c r="AM47" s="332" t="str">
        <f>IF(V47="D","Drp",
IF(F47&lt;&gt;"",
IF(OR(Y47="Error",AI47="Error",AL47="Error"),"Error",
IF(Input!AD48="","-",ROUND(Y47+AI47+AL47,2))),""))</f>
        <v/>
      </c>
      <c r="AN47" s="187" t="str">
        <f>IF(F47&lt;&gt;"",VLOOKUP(AM47,TRANSMUTATION!$A$2:$B$14,2),"")</f>
        <v/>
      </c>
      <c r="AO47" s="244" t="str">
        <f t="shared" si="3"/>
        <v/>
      </c>
      <c r="AP47" s="189"/>
      <c r="AQ47" s="102"/>
      <c r="AR47" s="102"/>
      <c r="AS47" s="102"/>
      <c r="AT47" s="101"/>
    </row>
    <row r="48" spans="1:46" ht="15" customHeight="1" x14ac:dyDescent="0.2">
      <c r="A48" s="101"/>
      <c r="C48" s="206">
        <v>42</v>
      </c>
      <c r="D48" s="215" t="str">
        <f>IF(Input!D49&lt;&gt;"",IF(F48&lt;&gt;"",Input!D49,""),"")</f>
        <v/>
      </c>
      <c r="E48" s="321"/>
      <c r="F48" s="322" t="str">
        <f>(IF(Input!F49&lt;&gt;"",Input!F49,""))</f>
        <v/>
      </c>
      <c r="G48" s="18"/>
      <c r="H48" s="18"/>
      <c r="I48" s="18"/>
      <c r="J48" s="18"/>
      <c r="K48" s="18"/>
      <c r="L48" s="18"/>
      <c r="M48" s="18"/>
      <c r="N48" s="18"/>
      <c r="O48" s="18"/>
      <c r="P48" s="18"/>
      <c r="Q48" s="18"/>
      <c r="R48" s="18"/>
      <c r="S48" s="18"/>
      <c r="T48" s="18"/>
      <c r="U48" s="18"/>
      <c r="V48" s="21"/>
      <c r="W48" s="177"/>
      <c r="X48" s="178" t="str">
        <f>Input!X49</f>
        <v/>
      </c>
      <c r="Y48" s="329" t="str">
        <f t="shared" si="2"/>
        <v/>
      </c>
      <c r="Z48" s="179"/>
      <c r="AA48" s="180" t="str">
        <f>IF(F48&lt;&gt;"",IF(Input!Y49&lt;&gt;"",Input!Y49,""),"")</f>
        <v/>
      </c>
      <c r="AB48" s="181" t="str">
        <f>IFERROR(IF($AA$5="","",IF(F48&lt;&gt;"",(Input!Y49/Input!$Y$6)*100,"")),"NA")</f>
        <v/>
      </c>
      <c r="AC48" s="182" t="str">
        <f>IF(F48&lt;&gt;"",IF(Input!Z49&lt;&gt;"",Input!Z49,""),"")</f>
        <v/>
      </c>
      <c r="AD48" s="181" t="str">
        <f>IFERROR(IF($AC$5="","",IF(F48&lt;&gt;"",(Input!Z49/Input!$Z$6)*100,"")),"NA")</f>
        <v/>
      </c>
      <c r="AE48" s="182" t="str">
        <f>IF(F48&lt;&gt;"",IF(Input!AA49&lt;&gt;"",Input!AA49,""),"")</f>
        <v/>
      </c>
      <c r="AF48" s="181" t="str">
        <f>IFERROR(IF($AE$5="","",IF(F48&lt;&gt;"",(Input!AA49/Input!$AA$6)*100,"")),"NA")</f>
        <v/>
      </c>
      <c r="AG48" s="183" t="str">
        <f>IF(F48&lt;&gt;"",IF(Input!AB49&lt;&gt;"",Input!AB49,""),"")</f>
        <v/>
      </c>
      <c r="AH48" s="181" t="str">
        <f>IFERROR(IF($AG$5="","",IF(F48&lt;&gt;"",(Input!AB49/Input!$AB$6)*100,"")),"NA")</f>
        <v/>
      </c>
      <c r="AI48" s="327" t="str">
        <f>IF(Input!AC49="Error","Error",IF(F48="","",IF($AA$5="",0,IF(F48&lt;&gt;"",IFERROR(AVERAGE(AB48,AD48,AF48,AH48)*$AI$4,0),""))))</f>
        <v/>
      </c>
      <c r="AJ48" s="179"/>
      <c r="AK48" s="243" t="str">
        <f>IF(Input!AD49="","",IF(F48&lt;&gt;"",Input!AD49,""))</f>
        <v/>
      </c>
      <c r="AL48" s="185" t="str">
        <f>IF(F48="","",IF(Input!AE49="Error","Error",IF(ISNUMBER(Input!AE49),Input!AE49*$AL$4,"")))</f>
        <v/>
      </c>
      <c r="AM48" s="332" t="str">
        <f>IF(V48="D","Drp",
IF(F48&lt;&gt;"",
IF(OR(Y48="Error",AI48="Error",AL48="Error"),"Error",
IF(Input!AD49="","-",ROUND(Y48+AI48+AL48,2))),""))</f>
        <v/>
      </c>
      <c r="AN48" s="187" t="str">
        <f>IF(F48&lt;&gt;"",VLOOKUP(AM48,TRANSMUTATION!$A$2:$B$14,2),"")</f>
        <v/>
      </c>
      <c r="AO48" s="244" t="str">
        <f t="shared" si="3"/>
        <v/>
      </c>
      <c r="AP48" s="189"/>
      <c r="AQ48" s="102"/>
      <c r="AR48" s="102"/>
      <c r="AS48" s="102"/>
      <c r="AT48" s="101"/>
    </row>
    <row r="49" spans="1:46" ht="15" customHeight="1" x14ac:dyDescent="0.2">
      <c r="A49" s="101"/>
      <c r="C49" s="206">
        <v>43</v>
      </c>
      <c r="D49" s="215" t="str">
        <f>IF(Input!D50&lt;&gt;"",IF(F49&lt;&gt;"",Input!D50,""),"")</f>
        <v/>
      </c>
      <c r="E49" s="321"/>
      <c r="F49" s="322" t="str">
        <f>(IF(Input!F50&lt;&gt;"",Input!F50,""))</f>
        <v/>
      </c>
      <c r="G49" s="18"/>
      <c r="H49" s="18"/>
      <c r="I49" s="18"/>
      <c r="J49" s="18"/>
      <c r="K49" s="18"/>
      <c r="L49" s="18"/>
      <c r="M49" s="18"/>
      <c r="N49" s="18"/>
      <c r="O49" s="18"/>
      <c r="P49" s="18"/>
      <c r="Q49" s="18"/>
      <c r="R49" s="18"/>
      <c r="S49" s="18"/>
      <c r="T49" s="18"/>
      <c r="U49" s="18"/>
      <c r="V49" s="21"/>
      <c r="W49" s="177"/>
      <c r="X49" s="178" t="str">
        <f>Input!X50</f>
        <v/>
      </c>
      <c r="Y49" s="329" t="str">
        <f t="shared" si="2"/>
        <v/>
      </c>
      <c r="Z49" s="179"/>
      <c r="AA49" s="180" t="str">
        <f>IF(F49&lt;&gt;"",IF(Input!Y50&lt;&gt;"",Input!Y50,""),"")</f>
        <v/>
      </c>
      <c r="AB49" s="181" t="str">
        <f>IFERROR(IF($AA$5="","",IF(F49&lt;&gt;"",(Input!Y50/Input!$Y$6)*100,"")),"NA")</f>
        <v/>
      </c>
      <c r="AC49" s="182" t="str">
        <f>IF(F49&lt;&gt;"",IF(Input!Z50&lt;&gt;"",Input!Z50,""),"")</f>
        <v/>
      </c>
      <c r="AD49" s="181" t="str">
        <f>IFERROR(IF($AC$5="","",IF(F49&lt;&gt;"",(Input!Z50/Input!$Z$6)*100,"")),"NA")</f>
        <v/>
      </c>
      <c r="AE49" s="182" t="str">
        <f>IF(F49&lt;&gt;"",IF(Input!AA50&lt;&gt;"",Input!AA50,""),"")</f>
        <v/>
      </c>
      <c r="AF49" s="181" t="str">
        <f>IFERROR(IF($AE$5="","",IF(F49&lt;&gt;"",(Input!AA50/Input!$AA$6)*100,"")),"NA")</f>
        <v/>
      </c>
      <c r="AG49" s="183" t="str">
        <f>IF(F49&lt;&gt;"",IF(Input!AB50&lt;&gt;"",Input!AB50,""),"")</f>
        <v/>
      </c>
      <c r="AH49" s="181" t="str">
        <f>IFERROR(IF($AG$5="","",IF(F49&lt;&gt;"",(Input!AB50/Input!$AB$6)*100,"")),"NA")</f>
        <v/>
      </c>
      <c r="AI49" s="327" t="str">
        <f>IF(Input!AC50="Error","Error",IF(F49="","",IF($AA$5="",0,IF(F49&lt;&gt;"",IFERROR(AVERAGE(AB49,AD49,AF49,AH49)*$AI$4,0),""))))</f>
        <v/>
      </c>
      <c r="AJ49" s="179"/>
      <c r="AK49" s="243" t="str">
        <f>IF(Input!AD50="","",IF(F49&lt;&gt;"",Input!AD50,""))</f>
        <v/>
      </c>
      <c r="AL49" s="185" t="str">
        <f>IF(F49="","",IF(Input!AE50="Error","Error",IF(ISNUMBER(Input!AE50),Input!AE50*$AL$4,"")))</f>
        <v/>
      </c>
      <c r="AM49" s="332" t="str">
        <f>IF(V49="D","Drp",
IF(F49&lt;&gt;"",
IF(OR(Y49="Error",AI49="Error",AL49="Error"),"Error",
IF(Input!AD50="","-",ROUND(Y49+AI49+AL49,2))),""))</f>
        <v/>
      </c>
      <c r="AN49" s="187" t="str">
        <f>IF(F49&lt;&gt;"",VLOOKUP(AM49,TRANSMUTATION!$A$2:$B$14,2),"")</f>
        <v/>
      </c>
      <c r="AO49" s="244" t="str">
        <f t="shared" si="3"/>
        <v/>
      </c>
      <c r="AP49" s="189"/>
      <c r="AQ49" s="102"/>
      <c r="AR49" s="102"/>
      <c r="AS49" s="102"/>
      <c r="AT49" s="101"/>
    </row>
    <row r="50" spans="1:46" ht="15" customHeight="1" x14ac:dyDescent="0.2">
      <c r="A50" s="101"/>
      <c r="C50" s="206">
        <v>44</v>
      </c>
      <c r="D50" s="215" t="str">
        <f>IF(Input!D51&lt;&gt;"",IF(F50&lt;&gt;"",Input!D51,""),"")</f>
        <v/>
      </c>
      <c r="E50" s="321"/>
      <c r="F50" s="322" t="str">
        <f>(IF(Input!F51&lt;&gt;"",Input!F51,""))</f>
        <v/>
      </c>
      <c r="G50" s="18"/>
      <c r="H50" s="18"/>
      <c r="I50" s="18"/>
      <c r="J50" s="18"/>
      <c r="K50" s="18"/>
      <c r="L50" s="18"/>
      <c r="M50" s="18"/>
      <c r="N50" s="18"/>
      <c r="O50" s="18"/>
      <c r="P50" s="18"/>
      <c r="Q50" s="18"/>
      <c r="R50" s="18"/>
      <c r="S50" s="18"/>
      <c r="T50" s="18"/>
      <c r="U50" s="18"/>
      <c r="V50" s="21"/>
      <c r="W50" s="177"/>
      <c r="X50" s="178" t="str">
        <f>Input!X51</f>
        <v/>
      </c>
      <c r="Y50" s="329" t="str">
        <f t="shared" si="2"/>
        <v/>
      </c>
      <c r="Z50" s="179"/>
      <c r="AA50" s="180" t="str">
        <f>IF(F50&lt;&gt;"",IF(Input!Y51&lt;&gt;"",Input!Y51,""),"")</f>
        <v/>
      </c>
      <c r="AB50" s="181" t="str">
        <f>IFERROR(IF($AA$5="","",IF(F50&lt;&gt;"",(Input!Y51/Input!$Y$6)*100,"")),"NA")</f>
        <v/>
      </c>
      <c r="AC50" s="182" t="str">
        <f>IF(F50&lt;&gt;"",IF(Input!Z51&lt;&gt;"",Input!Z51,""),"")</f>
        <v/>
      </c>
      <c r="AD50" s="181" t="str">
        <f>IFERROR(IF($AC$5="","",IF(F50&lt;&gt;"",(Input!Z51/Input!$Z$6)*100,"")),"NA")</f>
        <v/>
      </c>
      <c r="AE50" s="182" t="str">
        <f>IF(F50&lt;&gt;"",IF(Input!AA51&lt;&gt;"",Input!AA51,""),"")</f>
        <v/>
      </c>
      <c r="AF50" s="181" t="str">
        <f>IFERROR(IF($AE$5="","",IF(F50&lt;&gt;"",(Input!AA51/Input!$AA$6)*100,"")),"NA")</f>
        <v/>
      </c>
      <c r="AG50" s="183" t="str">
        <f>IF(F50&lt;&gt;"",IF(Input!AB51&lt;&gt;"",Input!AB51,""),"")</f>
        <v/>
      </c>
      <c r="AH50" s="181" t="str">
        <f>IFERROR(IF($AG$5="","",IF(F50&lt;&gt;"",(Input!AB51/Input!$AB$6)*100,"")),"NA")</f>
        <v/>
      </c>
      <c r="AI50" s="327" t="str">
        <f>IF(Input!AC51="Error","Error",IF(F50="","",IF($AA$5="",0,IF(F50&lt;&gt;"",IFERROR(AVERAGE(AB50,AD50,AF50,AH50)*$AI$4,0),""))))</f>
        <v/>
      </c>
      <c r="AJ50" s="179"/>
      <c r="AK50" s="243" t="str">
        <f>IF(Input!AD51="","",IF(F50&lt;&gt;"",Input!AD51,""))</f>
        <v/>
      </c>
      <c r="AL50" s="185" t="str">
        <f>IF(F50="","",IF(Input!AE51="Error","Error",IF(ISNUMBER(Input!AE51),Input!AE51*$AL$4,"")))</f>
        <v/>
      </c>
      <c r="AM50" s="332" t="str">
        <f>IF(V50="D","Drp",
IF(F50&lt;&gt;"",
IF(OR(Y50="Error",AI50="Error",AL50="Error"),"Error",
IF(Input!AD51="","-",ROUND(Y50+AI50+AL50,2))),""))</f>
        <v/>
      </c>
      <c r="AN50" s="187" t="str">
        <f>IF(F50&lt;&gt;"",VLOOKUP(AM50,TRANSMUTATION!$A$2:$B$14,2),"")</f>
        <v/>
      </c>
      <c r="AO50" s="244" t="str">
        <f t="shared" si="3"/>
        <v/>
      </c>
      <c r="AP50" s="189"/>
      <c r="AQ50" s="102"/>
      <c r="AR50" s="102"/>
      <c r="AS50" s="102"/>
      <c r="AT50" s="101"/>
    </row>
    <row r="51" spans="1:46" ht="15" customHeight="1" x14ac:dyDescent="0.2">
      <c r="A51" s="101"/>
      <c r="C51" s="206">
        <v>45</v>
      </c>
      <c r="D51" s="215" t="str">
        <f>IF(Input!D52&lt;&gt;"",IF(F51&lt;&gt;"",Input!D52,""),"")</f>
        <v/>
      </c>
      <c r="E51" s="321"/>
      <c r="F51" s="322" t="str">
        <f>(IF(Input!F52&lt;&gt;"",Input!F52,""))</f>
        <v/>
      </c>
      <c r="G51" s="18"/>
      <c r="H51" s="18"/>
      <c r="I51" s="18"/>
      <c r="J51" s="18"/>
      <c r="K51" s="18"/>
      <c r="L51" s="18"/>
      <c r="M51" s="18"/>
      <c r="N51" s="18"/>
      <c r="O51" s="18"/>
      <c r="P51" s="18"/>
      <c r="Q51" s="18"/>
      <c r="R51" s="18"/>
      <c r="S51" s="18"/>
      <c r="T51" s="18"/>
      <c r="U51" s="18"/>
      <c r="V51" s="21"/>
      <c r="W51" s="177"/>
      <c r="X51" s="178" t="str">
        <f>Input!X52</f>
        <v/>
      </c>
      <c r="Y51" s="329" t="str">
        <f t="shared" si="2"/>
        <v/>
      </c>
      <c r="Z51" s="179"/>
      <c r="AA51" s="180" t="str">
        <f>IF(F51&lt;&gt;"",IF(Input!Y52&lt;&gt;"",Input!Y52,""),"")</f>
        <v/>
      </c>
      <c r="AB51" s="181" t="str">
        <f>IFERROR(IF($AA$5="","",IF(F51&lt;&gt;"",(Input!Y52/Input!$Y$6)*100,"")),"NA")</f>
        <v/>
      </c>
      <c r="AC51" s="182" t="str">
        <f>IF(F51&lt;&gt;"",IF(Input!Z52&lt;&gt;"",Input!Z52,""),"")</f>
        <v/>
      </c>
      <c r="AD51" s="181" t="str">
        <f>IFERROR(IF($AC$5="","",IF(F51&lt;&gt;"",(Input!Z52/Input!$Z$6)*100,"")),"NA")</f>
        <v/>
      </c>
      <c r="AE51" s="182" t="str">
        <f>IF(F51&lt;&gt;"",IF(Input!AA52&lt;&gt;"",Input!AA52,""),"")</f>
        <v/>
      </c>
      <c r="AF51" s="181" t="str">
        <f>IFERROR(IF($AE$5="","",IF(F51&lt;&gt;"",(Input!AA52/Input!$AA$6)*100,"")),"NA")</f>
        <v/>
      </c>
      <c r="AG51" s="183" t="str">
        <f>IF(F51&lt;&gt;"",IF(Input!AB52&lt;&gt;"",Input!AB52,""),"")</f>
        <v/>
      </c>
      <c r="AH51" s="181" t="str">
        <f>IFERROR(IF($AG$5="","",IF(F51&lt;&gt;"",(Input!AB52/Input!$AB$6)*100,"")),"NA")</f>
        <v/>
      </c>
      <c r="AI51" s="327" t="str">
        <f>IF(Input!AC52="Error","Error",IF(F51="","",IF($AA$5="",0,IF(F51&lt;&gt;"",IFERROR(AVERAGE(AB51,AD51,AF51,AH51)*$AI$4,0),""))))</f>
        <v/>
      </c>
      <c r="AJ51" s="179"/>
      <c r="AK51" s="243" t="str">
        <f>IF(Input!AD52="","",IF(F51&lt;&gt;"",Input!AD52,""))</f>
        <v/>
      </c>
      <c r="AL51" s="185" t="str">
        <f>IF(F51="","",IF(Input!AE52="Error","Error",IF(ISNUMBER(Input!AE52),Input!AE52*$AL$4,"")))</f>
        <v/>
      </c>
      <c r="AM51" s="332" t="str">
        <f>IF(V51="D","Drp",
IF(F51&lt;&gt;"",
IF(OR(Y51="Error",AI51="Error",AL51="Error"),"Error",
IF(Input!AD52="","-",ROUND(Y51+AI51+AL51,2))),""))</f>
        <v/>
      </c>
      <c r="AN51" s="187" t="str">
        <f>IF(F51&lt;&gt;"",VLOOKUP(AM51,TRANSMUTATION!$A$2:$B$14,2),"")</f>
        <v/>
      </c>
      <c r="AO51" s="244" t="str">
        <f t="shared" si="3"/>
        <v/>
      </c>
      <c r="AP51" s="189"/>
      <c r="AQ51" s="102"/>
      <c r="AR51" s="102"/>
      <c r="AS51" s="102"/>
      <c r="AT51" s="101"/>
    </row>
    <row r="52" spans="1:46" ht="15" customHeight="1" x14ac:dyDescent="0.2">
      <c r="A52" s="101"/>
      <c r="C52" s="206">
        <v>46</v>
      </c>
      <c r="D52" s="215" t="str">
        <f>IF(Input!D53&lt;&gt;"",IF(F52&lt;&gt;"",Input!D53,""),"")</f>
        <v/>
      </c>
      <c r="E52" s="321"/>
      <c r="F52" s="322" t="str">
        <f>(IF(Input!F53&lt;&gt;"",Input!F53,""))</f>
        <v/>
      </c>
      <c r="G52" s="18"/>
      <c r="H52" s="18"/>
      <c r="I52" s="18"/>
      <c r="J52" s="18"/>
      <c r="K52" s="18"/>
      <c r="L52" s="18"/>
      <c r="M52" s="18"/>
      <c r="N52" s="18"/>
      <c r="O52" s="18"/>
      <c r="P52" s="18"/>
      <c r="Q52" s="18"/>
      <c r="R52" s="18"/>
      <c r="S52" s="18"/>
      <c r="T52" s="18"/>
      <c r="U52" s="18"/>
      <c r="V52" s="21"/>
      <c r="W52" s="177"/>
      <c r="X52" s="178" t="str">
        <f>Input!X53</f>
        <v/>
      </c>
      <c r="Y52" s="329" t="str">
        <f t="shared" si="2"/>
        <v/>
      </c>
      <c r="Z52" s="179"/>
      <c r="AA52" s="180" t="str">
        <f>IF(F52&lt;&gt;"",IF(Input!Y53&lt;&gt;"",Input!Y53,""),"")</f>
        <v/>
      </c>
      <c r="AB52" s="181" t="str">
        <f>IFERROR(IF($AA$5="","",IF(F52&lt;&gt;"",(Input!Y53/Input!$Y$6)*100,"")),"NA")</f>
        <v/>
      </c>
      <c r="AC52" s="182" t="str">
        <f>IF(F52&lt;&gt;"",IF(Input!Z53&lt;&gt;"",Input!Z53,""),"")</f>
        <v/>
      </c>
      <c r="AD52" s="181" t="str">
        <f>IFERROR(IF($AC$5="","",IF(F52&lt;&gt;"",(Input!Z53/Input!$Z$6)*100,"")),"NA")</f>
        <v/>
      </c>
      <c r="AE52" s="182" t="str">
        <f>IF(F52&lt;&gt;"",IF(Input!AA53&lt;&gt;"",Input!AA53,""),"")</f>
        <v/>
      </c>
      <c r="AF52" s="181" t="str">
        <f>IFERROR(IF($AE$5="","",IF(F52&lt;&gt;"",(Input!AA53/Input!$AA$6)*100,"")),"NA")</f>
        <v/>
      </c>
      <c r="AG52" s="183" t="str">
        <f>IF(F52&lt;&gt;"",IF(Input!AB53&lt;&gt;"",Input!AB53,""),"")</f>
        <v/>
      </c>
      <c r="AH52" s="181" t="str">
        <f>IFERROR(IF($AG$5="","",IF(F52&lt;&gt;"",(Input!AB53/Input!$AB$6)*100,"")),"NA")</f>
        <v/>
      </c>
      <c r="AI52" s="327" t="str">
        <f>IF(Input!AC53="Error","Error",IF(F52="","",IF($AA$5="",0,IF(F52&lt;&gt;"",IFERROR(AVERAGE(AB52,AD52,AF52,AH52)*$AI$4,0),""))))</f>
        <v/>
      </c>
      <c r="AJ52" s="179"/>
      <c r="AK52" s="243" t="str">
        <f>IF(Input!AD53="","",IF(F52&lt;&gt;"",Input!AD53,""))</f>
        <v/>
      </c>
      <c r="AL52" s="185" t="str">
        <f>IF(F52="","",IF(Input!AE53="Error","Error",IF(ISNUMBER(Input!AE53),Input!AE53*$AL$4,"")))</f>
        <v/>
      </c>
      <c r="AM52" s="332" t="str">
        <f>IF(V52="D","Drp",
IF(F52&lt;&gt;"",
IF(OR(Y52="Error",AI52="Error",AL52="Error"),"Error",
IF(Input!AD53="","-",ROUND(Y52+AI52+AL52,2))),""))</f>
        <v/>
      </c>
      <c r="AN52" s="187" t="str">
        <f>IF(F52&lt;&gt;"",VLOOKUP(AM52,TRANSMUTATION!$A$2:$B$14,2),"")</f>
        <v/>
      </c>
      <c r="AO52" s="244" t="str">
        <f t="shared" si="3"/>
        <v/>
      </c>
      <c r="AP52" s="189"/>
      <c r="AQ52" s="102"/>
      <c r="AR52" s="102"/>
      <c r="AS52" s="102"/>
      <c r="AT52" s="101"/>
    </row>
    <row r="53" spans="1:46" ht="15" customHeight="1" x14ac:dyDescent="0.2">
      <c r="A53" s="101"/>
      <c r="C53" s="206">
        <v>47</v>
      </c>
      <c r="D53" s="215" t="str">
        <f>IF(Input!D54&lt;&gt;"",IF(F53&lt;&gt;"",Input!D54,""),"")</f>
        <v/>
      </c>
      <c r="E53" s="321"/>
      <c r="F53" s="322" t="str">
        <f>(IF(Input!F54&lt;&gt;"",Input!F54,""))</f>
        <v/>
      </c>
      <c r="G53" s="18"/>
      <c r="H53" s="18"/>
      <c r="I53" s="18"/>
      <c r="J53" s="18"/>
      <c r="K53" s="18"/>
      <c r="L53" s="18"/>
      <c r="M53" s="18"/>
      <c r="N53" s="18"/>
      <c r="O53" s="18"/>
      <c r="P53" s="18"/>
      <c r="Q53" s="18"/>
      <c r="R53" s="18"/>
      <c r="S53" s="18"/>
      <c r="T53" s="18"/>
      <c r="U53" s="18"/>
      <c r="V53" s="21"/>
      <c r="W53" s="177"/>
      <c r="X53" s="178" t="str">
        <f>Input!X54</f>
        <v/>
      </c>
      <c r="Y53" s="329" t="str">
        <f t="shared" si="2"/>
        <v/>
      </c>
      <c r="Z53" s="179"/>
      <c r="AA53" s="180" t="str">
        <f>IF(F53&lt;&gt;"",IF(Input!Y54&lt;&gt;"",Input!Y54,""),"")</f>
        <v/>
      </c>
      <c r="AB53" s="181" t="str">
        <f>IFERROR(IF($AA$5="","",IF(F53&lt;&gt;"",(Input!Y54/Input!$Y$6)*100,"")),"NA")</f>
        <v/>
      </c>
      <c r="AC53" s="182" t="str">
        <f>IF(F53&lt;&gt;"",IF(Input!Z54&lt;&gt;"",Input!Z54,""),"")</f>
        <v/>
      </c>
      <c r="AD53" s="181" t="str">
        <f>IFERROR(IF($AC$5="","",IF(F53&lt;&gt;"",(Input!Z54/Input!$Z$6)*100,"")),"NA")</f>
        <v/>
      </c>
      <c r="AE53" s="182" t="str">
        <f>IF(F53&lt;&gt;"",IF(Input!AA54&lt;&gt;"",Input!AA54,""),"")</f>
        <v/>
      </c>
      <c r="AF53" s="181" t="str">
        <f>IFERROR(IF($AE$5="","",IF(F53&lt;&gt;"",(Input!AA54/Input!$AA$6)*100,"")),"NA")</f>
        <v/>
      </c>
      <c r="AG53" s="183" t="str">
        <f>IF(F53&lt;&gt;"",IF(Input!AB54&lt;&gt;"",Input!AB54,""),"")</f>
        <v/>
      </c>
      <c r="AH53" s="181" t="str">
        <f>IFERROR(IF($AG$5="","",IF(F53&lt;&gt;"",(Input!AB54/Input!$AB$6)*100,"")),"NA")</f>
        <v/>
      </c>
      <c r="AI53" s="327" t="str">
        <f>IF(Input!AC54="Error","Error",IF(F53="","",IF($AA$5="",0,IF(F53&lt;&gt;"",IFERROR(AVERAGE(AB53,AD53,AF53,AH53)*$AI$4,0),""))))</f>
        <v/>
      </c>
      <c r="AJ53" s="179"/>
      <c r="AK53" s="243" t="str">
        <f>IF(Input!AD54="","",IF(F53&lt;&gt;"",Input!AD54,""))</f>
        <v/>
      </c>
      <c r="AL53" s="185" t="str">
        <f>IF(F53="","",IF(Input!AE54="Error","Error",IF(ISNUMBER(Input!AE54),Input!AE54*$AL$4,"")))</f>
        <v/>
      </c>
      <c r="AM53" s="332" t="str">
        <f>IF(V53="D","Drp",
IF(F53&lt;&gt;"",
IF(OR(Y53="Error",AI53="Error",AL53="Error"),"Error",
IF(Input!AD54="","-",ROUND(Y53+AI53+AL53,2))),""))</f>
        <v/>
      </c>
      <c r="AN53" s="187" t="str">
        <f>IF(F53&lt;&gt;"",VLOOKUP(AM53,TRANSMUTATION!$A$2:$B$14,2),"")</f>
        <v/>
      </c>
      <c r="AO53" s="244" t="str">
        <f t="shared" si="3"/>
        <v/>
      </c>
      <c r="AP53" s="189"/>
      <c r="AQ53" s="102"/>
      <c r="AR53" s="102"/>
      <c r="AS53" s="102"/>
      <c r="AT53" s="101"/>
    </row>
    <row r="54" spans="1:46" ht="15" customHeight="1" x14ac:dyDescent="0.2">
      <c r="A54" s="101"/>
      <c r="C54" s="206">
        <v>48</v>
      </c>
      <c r="D54" s="215" t="str">
        <f>IF(Input!D55&lt;&gt;"",IF(F54&lt;&gt;"",Input!D55,""),"")</f>
        <v/>
      </c>
      <c r="E54" s="321"/>
      <c r="F54" s="322" t="str">
        <f>(IF(Input!F55&lt;&gt;"",Input!F55,""))</f>
        <v/>
      </c>
      <c r="G54" s="18"/>
      <c r="H54" s="18"/>
      <c r="I54" s="18"/>
      <c r="J54" s="18"/>
      <c r="K54" s="18"/>
      <c r="L54" s="18"/>
      <c r="M54" s="18"/>
      <c r="N54" s="18"/>
      <c r="O54" s="18"/>
      <c r="P54" s="18"/>
      <c r="Q54" s="18"/>
      <c r="R54" s="18"/>
      <c r="S54" s="18"/>
      <c r="T54" s="18"/>
      <c r="U54" s="18"/>
      <c r="V54" s="21"/>
      <c r="W54" s="177"/>
      <c r="X54" s="178" t="str">
        <f>Input!X55</f>
        <v/>
      </c>
      <c r="Y54" s="329" t="str">
        <f t="shared" si="2"/>
        <v/>
      </c>
      <c r="Z54" s="179"/>
      <c r="AA54" s="180" t="str">
        <f>IF(F54&lt;&gt;"",IF(Input!Y55&lt;&gt;"",Input!Y55,""),"")</f>
        <v/>
      </c>
      <c r="AB54" s="181" t="str">
        <f>IFERROR(IF($AA$5="","",IF(F54&lt;&gt;"",(Input!Y55/Input!$Y$6)*100,"")),"NA")</f>
        <v/>
      </c>
      <c r="AC54" s="182" t="str">
        <f>IF(F54&lt;&gt;"",IF(Input!Z55&lt;&gt;"",Input!Z55,""),"")</f>
        <v/>
      </c>
      <c r="AD54" s="181" t="str">
        <f>IFERROR(IF($AC$5="","",IF(F54&lt;&gt;"",(Input!Z55/Input!$Z$6)*100,"")),"NA")</f>
        <v/>
      </c>
      <c r="AE54" s="182" t="str">
        <f>IF(F54&lt;&gt;"",IF(Input!AA55&lt;&gt;"",Input!AA55,""),"")</f>
        <v/>
      </c>
      <c r="AF54" s="181" t="str">
        <f>IFERROR(IF($AE$5="","",IF(F54&lt;&gt;"",(Input!AA55/Input!$AA$6)*100,"")),"NA")</f>
        <v/>
      </c>
      <c r="AG54" s="183" t="str">
        <f>IF(F54&lt;&gt;"",IF(Input!AB55&lt;&gt;"",Input!AB55,""),"")</f>
        <v/>
      </c>
      <c r="AH54" s="181" t="str">
        <f>IFERROR(IF($AG$5="","",IF(F54&lt;&gt;"",(Input!AB55/Input!$AB$6)*100,"")),"NA")</f>
        <v/>
      </c>
      <c r="AI54" s="327" t="str">
        <f>IF(Input!AC55="Error","Error",IF(F54="","",IF($AA$5="",0,IF(F54&lt;&gt;"",IFERROR(AVERAGE(AB54,AD54,AF54,AH54)*$AI$4,0),""))))</f>
        <v/>
      </c>
      <c r="AJ54" s="179"/>
      <c r="AK54" s="243" t="str">
        <f>IF(Input!AD55="","",IF(F54&lt;&gt;"",Input!AD55,""))</f>
        <v/>
      </c>
      <c r="AL54" s="185" t="str">
        <f>IF(F54="","",IF(Input!AE55="Error","Error",IF(ISNUMBER(Input!AE55),Input!AE55*$AL$4,"")))</f>
        <v/>
      </c>
      <c r="AM54" s="332" t="str">
        <f>IF(V54="D","Drp",
IF(F54&lt;&gt;"",
IF(OR(Y54="Error",AI54="Error",AL54="Error"),"Error",
IF(Input!AD55="","-",ROUND(Y54+AI54+AL54,2))),""))</f>
        <v/>
      </c>
      <c r="AN54" s="187" t="str">
        <f>IF(F54&lt;&gt;"",VLOOKUP(AM54,TRANSMUTATION!$A$2:$B$14,2),"")</f>
        <v/>
      </c>
      <c r="AO54" s="244" t="str">
        <f t="shared" si="3"/>
        <v/>
      </c>
      <c r="AP54" s="189"/>
      <c r="AQ54" s="102"/>
      <c r="AR54" s="102"/>
      <c r="AS54" s="102"/>
      <c r="AT54" s="101"/>
    </row>
    <row r="55" spans="1:46" ht="15" customHeight="1" x14ac:dyDescent="0.2">
      <c r="A55" s="101"/>
      <c r="C55" s="206">
        <v>49</v>
      </c>
      <c r="D55" s="215" t="str">
        <f>IF(Input!D56&lt;&gt;"",IF(F55&lt;&gt;"",Input!D56,""),"")</f>
        <v/>
      </c>
      <c r="E55" s="321"/>
      <c r="F55" s="322" t="str">
        <f>(IF(Input!F56&lt;&gt;"",Input!F56,""))</f>
        <v/>
      </c>
      <c r="G55" s="18"/>
      <c r="H55" s="18"/>
      <c r="I55" s="18"/>
      <c r="J55" s="18"/>
      <c r="K55" s="18"/>
      <c r="L55" s="18"/>
      <c r="M55" s="18"/>
      <c r="N55" s="18"/>
      <c r="O55" s="18"/>
      <c r="P55" s="18"/>
      <c r="Q55" s="18"/>
      <c r="R55" s="18"/>
      <c r="S55" s="18"/>
      <c r="T55" s="18"/>
      <c r="U55" s="18"/>
      <c r="V55" s="21"/>
      <c r="W55" s="177"/>
      <c r="X55" s="178" t="str">
        <f>Input!X56</f>
        <v/>
      </c>
      <c r="Y55" s="329" t="str">
        <f t="shared" si="2"/>
        <v/>
      </c>
      <c r="Z55" s="179"/>
      <c r="AA55" s="180" t="str">
        <f>IF(F55&lt;&gt;"",IF(Input!Y56&lt;&gt;"",Input!Y56,""),"")</f>
        <v/>
      </c>
      <c r="AB55" s="181" t="str">
        <f>IFERROR(IF($AA$5="","",IF(F55&lt;&gt;"",(Input!Y56/Input!$Y$6)*100,"")),"NA")</f>
        <v/>
      </c>
      <c r="AC55" s="182" t="str">
        <f>IF(F55&lt;&gt;"",IF(Input!Z56&lt;&gt;"",Input!Z56,""),"")</f>
        <v/>
      </c>
      <c r="AD55" s="181" t="str">
        <f>IFERROR(IF($AC$5="","",IF(F55&lt;&gt;"",(Input!Z56/Input!$Z$6)*100,"")),"NA")</f>
        <v/>
      </c>
      <c r="AE55" s="182" t="str">
        <f>IF(F55&lt;&gt;"",IF(Input!AA56&lt;&gt;"",Input!AA56,""),"")</f>
        <v/>
      </c>
      <c r="AF55" s="181" t="str">
        <f>IFERROR(IF($AE$5="","",IF(F55&lt;&gt;"",(Input!AA56/Input!$AA$6)*100,"")),"NA")</f>
        <v/>
      </c>
      <c r="AG55" s="183" t="str">
        <f>IF(F55&lt;&gt;"",IF(Input!AB56&lt;&gt;"",Input!AB56,""),"")</f>
        <v/>
      </c>
      <c r="AH55" s="181" t="str">
        <f>IFERROR(IF($AG$5="","",IF(F55&lt;&gt;"",(Input!AB56/Input!$AB$6)*100,"")),"NA")</f>
        <v/>
      </c>
      <c r="AI55" s="327" t="str">
        <f>IF(Input!AC56="Error","Error",IF(F55="","",IF($AA$5="",0,IF(F55&lt;&gt;"",IFERROR(AVERAGE(AB55,AD55,AF55,AH55)*$AI$4,0),""))))</f>
        <v/>
      </c>
      <c r="AJ55" s="179"/>
      <c r="AK55" s="243" t="str">
        <f>IF(Input!AD56="","",IF(F55&lt;&gt;"",Input!AD56,""))</f>
        <v/>
      </c>
      <c r="AL55" s="185" t="str">
        <f>IF(F55="","",IF(Input!AE56="Error","Error",IF(ISNUMBER(Input!AE56),Input!AE56*$AL$4,"")))</f>
        <v/>
      </c>
      <c r="AM55" s="332" t="str">
        <f>IF(V55="D","Drp",
IF(F55&lt;&gt;"",
IF(OR(Y55="Error",AI55="Error",AL55="Error"),"Error",
IF(Input!AD56="","-",ROUND(Y55+AI55+AL55,2))),""))</f>
        <v/>
      </c>
      <c r="AN55" s="187" t="str">
        <f>IF(F55&lt;&gt;"",VLOOKUP(AM55,TRANSMUTATION!$A$2:$B$14,2),"")</f>
        <v/>
      </c>
      <c r="AO55" s="244" t="str">
        <f t="shared" si="3"/>
        <v/>
      </c>
      <c r="AP55" s="189"/>
      <c r="AQ55" s="102"/>
      <c r="AR55" s="102"/>
      <c r="AS55" s="102"/>
      <c r="AT55" s="101"/>
    </row>
    <row r="56" spans="1:46" ht="15" customHeight="1" thickBot="1" x14ac:dyDescent="0.25">
      <c r="A56" s="101"/>
      <c r="C56" s="207">
        <v>50</v>
      </c>
      <c r="D56" s="323" t="str">
        <f>IF(Input!D57&lt;&gt;"",IF(F56&lt;&gt;"",Input!D57,""),"")</f>
        <v/>
      </c>
      <c r="E56" s="324"/>
      <c r="F56" s="325" t="str">
        <f>(IF(Input!F57&lt;&gt;"",Input!F57,""))</f>
        <v/>
      </c>
      <c r="G56" s="19"/>
      <c r="H56" s="19"/>
      <c r="I56" s="19"/>
      <c r="J56" s="19"/>
      <c r="K56" s="19"/>
      <c r="L56" s="19"/>
      <c r="M56" s="19"/>
      <c r="N56" s="19"/>
      <c r="O56" s="19"/>
      <c r="P56" s="19"/>
      <c r="Q56" s="19"/>
      <c r="R56" s="19"/>
      <c r="S56" s="19"/>
      <c r="T56" s="19"/>
      <c r="U56" s="19"/>
      <c r="V56" s="22"/>
      <c r="W56" s="177"/>
      <c r="X56" s="197" t="str">
        <f>Input!X57</f>
        <v/>
      </c>
      <c r="Y56" s="264" t="str">
        <f t="shared" si="2"/>
        <v/>
      </c>
      <c r="Z56" s="179"/>
      <c r="AA56" s="198" t="str">
        <f>IF(F56&lt;&gt;"",IF(Input!Y57&lt;&gt;"",Input!Y57,""),"")</f>
        <v/>
      </c>
      <c r="AB56" s="199" t="str">
        <f>IFERROR(IF($AA$5="","",IF(F56&lt;&gt;"",(Input!Y57/Input!$Y$6)*100,"")),"NA")</f>
        <v/>
      </c>
      <c r="AC56" s="200" t="str">
        <f>IF(F56&lt;&gt;"",IF(Input!Z57&lt;&gt;"",Input!Z57,""),"")</f>
        <v/>
      </c>
      <c r="AD56" s="199" t="str">
        <f>IFERROR(IF($AC$5="","",IF(F56&lt;&gt;"",(Input!Z57/Input!$Z$6)*100,"")),"NA")</f>
        <v/>
      </c>
      <c r="AE56" s="200" t="str">
        <f>IF(F56&lt;&gt;"",IF(Input!AA57&lt;&gt;"",Input!AA57,""),"")</f>
        <v/>
      </c>
      <c r="AF56" s="199" t="str">
        <f>IFERROR(IF($AE$5="","",IF(F56&lt;&gt;"",(Input!AA57/Input!$AA$6)*100,"")),"NA")</f>
        <v/>
      </c>
      <c r="AG56" s="201" t="str">
        <f>IF(F56&lt;&gt;"",IF(Input!AB57&lt;&gt;"",Input!AB57,""),"")</f>
        <v/>
      </c>
      <c r="AH56" s="199" t="str">
        <f>IFERROR(IF($AG$5="","",IF(F56&lt;&gt;"",(Input!AB57/Input!$AB$6)*100,"")),"NA")</f>
        <v/>
      </c>
      <c r="AI56" s="265" t="str">
        <f>IF(Input!AC57="Error","Error",IF(F56="","",IF($AA$5="",0,IF(F56&lt;&gt;"",IFERROR(AVERAGE(AB56,AD56,AF56,AH56)*$AI$4,0),""))))</f>
        <v/>
      </c>
      <c r="AJ56" s="179"/>
      <c r="AK56" s="245" t="str">
        <f>IF(Input!AD57="","",IF(F56&lt;&gt;"",Input!AD57,""))</f>
        <v/>
      </c>
      <c r="AL56" s="203" t="str">
        <f>IF(F56="","",IF(Input!AE57="Error","Error",IF(ISNUMBER(Input!AE57),Input!AE57*$AL$4,"")))</f>
        <v/>
      </c>
      <c r="AM56" s="266" t="str">
        <f>IF(V56="D","Drp",
IF(F56&lt;&gt;"",
IF(OR(Y56="Error",AI56="Error",AL56="Error"),"Error",
IF(Input!AD57="","-",ROUND(Y56+AI56+AL56,2))),""))</f>
        <v/>
      </c>
      <c r="AN56" s="204" t="str">
        <f>IF(F56&lt;&gt;"",VLOOKUP(AM56,TRANSMUTATION!$A$2:$B$14,2),"")</f>
        <v/>
      </c>
      <c r="AO56" s="246" t="str">
        <f t="shared" si="3"/>
        <v/>
      </c>
      <c r="AP56" s="189"/>
      <c r="AQ56" s="102"/>
      <c r="AR56" s="102"/>
      <c r="AS56" s="102"/>
      <c r="AT56" s="101"/>
    </row>
    <row r="57" spans="1:46" s="103" customFormat="1" ht="21" hidden="1" customHeight="1" x14ac:dyDescent="0.2">
      <c r="A57" s="106"/>
      <c r="C57" s="220"/>
      <c r="D57" s="221"/>
      <c r="E57" s="221"/>
      <c r="F57" s="152"/>
      <c r="G57" s="222">
        <f t="shared" ref="G57:U57" si="4">COUNT(G7:G56)</f>
        <v>0</v>
      </c>
      <c r="H57" s="222">
        <f t="shared" si="4"/>
        <v>0</v>
      </c>
      <c r="I57" s="222">
        <f t="shared" si="4"/>
        <v>0</v>
      </c>
      <c r="J57" s="222">
        <f t="shared" si="4"/>
        <v>15</v>
      </c>
      <c r="K57" s="222">
        <f t="shared" si="4"/>
        <v>0</v>
      </c>
      <c r="L57" s="222">
        <f t="shared" si="4"/>
        <v>0</v>
      </c>
      <c r="M57" s="222">
        <f t="shared" si="4"/>
        <v>0</v>
      </c>
      <c r="N57" s="222">
        <f t="shared" si="4"/>
        <v>0</v>
      </c>
      <c r="O57" s="222">
        <f t="shared" si="4"/>
        <v>0</v>
      </c>
      <c r="P57" s="222">
        <f t="shared" si="4"/>
        <v>0</v>
      </c>
      <c r="Q57" s="222">
        <f t="shared" si="4"/>
        <v>0</v>
      </c>
      <c r="R57" s="222">
        <f t="shared" si="4"/>
        <v>0</v>
      </c>
      <c r="S57" s="222">
        <f t="shared" si="4"/>
        <v>0</v>
      </c>
      <c r="T57" s="222">
        <f t="shared" si="4"/>
        <v>0</v>
      </c>
      <c r="U57" s="222">
        <f t="shared" si="4"/>
        <v>0</v>
      </c>
      <c r="V57" s="223"/>
      <c r="W57" s="224"/>
      <c r="X57" s="220"/>
      <c r="Y57" s="225" t="str">
        <f t="shared" ref="Y57" si="5">IF(F57="", "", IF(X57="Error", "Error", IF($X$5=0, 0, (X57/$X$5*100)*$Y$5)))</f>
        <v/>
      </c>
      <c r="AA57" s="485">
        <f>AVERAGE(AB7:AB56)</f>
        <v>45.6</v>
      </c>
      <c r="AB57" s="484"/>
      <c r="AC57" s="483"/>
      <c r="AD57" s="484"/>
      <c r="AE57" s="226" t="str">
        <f>IF(F57&lt;&gt;"",IF(Input!AA58&lt;&gt;"",Input!AA58,""),"")</f>
        <v/>
      </c>
      <c r="AF57" s="145" t="str">
        <f>IF($AE$5="","",IF(F57&lt;&gt;"",(Input!AA58/Input!$AA$6)*100,""))</f>
        <v/>
      </c>
      <c r="AG57" s="483"/>
      <c r="AH57" s="484"/>
      <c r="AI57" s="227" t="str">
        <f>IF($AA$5="", "", IF(Input!AC58="Error", "Error", IF(F57&lt;&gt;"", AVERAGE(AB57,AD57,AF57,AH57)*$AI$4, "")))</f>
        <v/>
      </c>
      <c r="AJ57" s="135"/>
      <c r="AK57" s="228"/>
      <c r="AL57" s="229"/>
      <c r="AM57" s="230"/>
      <c r="AN57" s="231"/>
      <c r="AO57" s="231"/>
      <c r="AP57" s="152"/>
      <c r="AQ57" s="152"/>
      <c r="AR57" s="152"/>
      <c r="AS57" s="153"/>
      <c r="AT57" s="106"/>
    </row>
    <row r="58" spans="1:46" ht="15" customHeight="1" x14ac:dyDescent="0.2">
      <c r="A58" s="101"/>
      <c r="C58" s="103"/>
      <c r="D58" s="104"/>
      <c r="E58" s="104"/>
      <c r="F58" s="102"/>
      <c r="G58" s="172"/>
      <c r="H58" s="172"/>
      <c r="I58" s="172"/>
      <c r="J58" s="159"/>
      <c r="K58" s="159"/>
      <c r="L58" s="159"/>
      <c r="M58" s="159"/>
      <c r="N58" s="159"/>
      <c r="O58" s="159"/>
      <c r="P58" s="159"/>
      <c r="Q58" s="159"/>
      <c r="R58" s="159"/>
      <c r="S58" s="159"/>
      <c r="T58" s="159"/>
      <c r="U58" s="159"/>
      <c r="V58" s="159"/>
      <c r="W58" s="159"/>
      <c r="X58" s="103"/>
      <c r="Y58" s="103"/>
      <c r="Z58" s="103"/>
      <c r="AA58" s="103"/>
      <c r="AB58" s="103"/>
      <c r="AC58" s="103"/>
      <c r="AD58" s="103"/>
      <c r="AE58" s="103"/>
      <c r="AF58" s="103"/>
      <c r="AG58" s="103"/>
      <c r="AH58" s="103"/>
      <c r="AI58" s="173"/>
      <c r="AJ58" s="103"/>
      <c r="AK58" s="174"/>
      <c r="AL58" s="175"/>
      <c r="AM58" s="176"/>
      <c r="AP58" s="102"/>
      <c r="AQ58" s="102"/>
      <c r="AR58" s="102"/>
      <c r="AS58" s="102"/>
      <c r="AT58" s="101"/>
    </row>
    <row r="59" spans="1:46" ht="9.9499999999999993" customHeight="1" x14ac:dyDescent="0.2">
      <c r="A59" s="101"/>
      <c r="B59" s="101"/>
      <c r="C59" s="106"/>
      <c r="D59" s="107"/>
      <c r="E59" s="107"/>
      <c r="F59" s="101"/>
      <c r="G59" s="165"/>
      <c r="H59" s="165"/>
      <c r="I59" s="165"/>
      <c r="J59" s="166"/>
      <c r="K59" s="166"/>
      <c r="L59" s="166"/>
      <c r="M59" s="166"/>
      <c r="N59" s="166"/>
      <c r="O59" s="166"/>
      <c r="P59" s="166"/>
      <c r="Q59" s="166"/>
      <c r="R59" s="166"/>
      <c r="S59" s="166"/>
      <c r="T59" s="166"/>
      <c r="U59" s="166"/>
      <c r="V59" s="166"/>
      <c r="W59" s="166"/>
      <c r="X59" s="106"/>
      <c r="Y59" s="106"/>
      <c r="Z59" s="106"/>
      <c r="AA59" s="106"/>
      <c r="AB59" s="106"/>
      <c r="AC59" s="106"/>
      <c r="AD59" s="106"/>
      <c r="AE59" s="106"/>
      <c r="AF59" s="106"/>
      <c r="AG59" s="106"/>
      <c r="AH59" s="106"/>
      <c r="AI59" s="167"/>
      <c r="AJ59" s="106"/>
      <c r="AK59" s="168"/>
      <c r="AL59" s="169"/>
      <c r="AM59" s="170"/>
      <c r="AN59" s="171"/>
      <c r="AO59" s="233"/>
      <c r="AP59" s="101"/>
      <c r="AQ59" s="101"/>
      <c r="AR59" s="101"/>
      <c r="AS59" s="101"/>
      <c r="AT59" s="101"/>
    </row>
    <row r="60" spans="1:46" x14ac:dyDescent="0.2">
      <c r="C60" s="103"/>
      <c r="D60" s="104"/>
      <c r="E60" s="104"/>
      <c r="F60" s="102"/>
      <c r="G60" s="172"/>
      <c r="H60" s="172"/>
      <c r="I60" s="172"/>
      <c r="J60" s="159"/>
      <c r="K60" s="159"/>
      <c r="L60" s="159"/>
      <c r="M60" s="159"/>
      <c r="N60" s="159"/>
      <c r="O60" s="159"/>
      <c r="P60" s="159"/>
      <c r="Q60" s="159"/>
      <c r="R60" s="159"/>
      <c r="S60" s="159"/>
      <c r="T60" s="159"/>
      <c r="U60" s="159"/>
      <c r="V60" s="159"/>
      <c r="W60" s="159"/>
      <c r="X60" s="103"/>
      <c r="Y60" s="103"/>
      <c r="Z60" s="103"/>
      <c r="AA60" s="103"/>
      <c r="AB60" s="103"/>
      <c r="AC60" s="103"/>
      <c r="AD60" s="103"/>
      <c r="AE60" s="103"/>
      <c r="AF60" s="103"/>
      <c r="AG60" s="103"/>
      <c r="AH60" s="103"/>
      <c r="AI60" s="173"/>
      <c r="AJ60" s="103"/>
      <c r="AK60" s="174"/>
      <c r="AL60" s="175"/>
      <c r="AM60" s="176"/>
      <c r="AP60" s="102"/>
      <c r="AQ60" s="102"/>
      <c r="AR60" s="102"/>
      <c r="AS60" s="102"/>
    </row>
    <row r="61" spans="1:46" x14ac:dyDescent="0.2">
      <c r="C61" s="103"/>
      <c r="D61" s="104"/>
      <c r="E61" s="104"/>
      <c r="F61" s="102"/>
      <c r="G61" s="172"/>
      <c r="H61" s="172"/>
      <c r="I61" s="172"/>
      <c r="J61" s="159"/>
      <c r="K61" s="159"/>
      <c r="L61" s="159"/>
      <c r="M61" s="159"/>
      <c r="N61" s="159"/>
      <c r="O61" s="159"/>
      <c r="P61" s="159"/>
      <c r="Q61" s="159"/>
      <c r="R61" s="159"/>
      <c r="S61" s="159"/>
      <c r="T61" s="159"/>
      <c r="U61" s="159"/>
      <c r="V61" s="159"/>
      <c r="W61" s="159"/>
      <c r="X61" s="103"/>
      <c r="Y61" s="103"/>
      <c r="Z61" s="103"/>
      <c r="AA61" s="103"/>
      <c r="AB61" s="103"/>
      <c r="AC61" s="103"/>
      <c r="AD61" s="103"/>
      <c r="AE61" s="103"/>
      <c r="AF61" s="103"/>
      <c r="AG61" s="103"/>
      <c r="AH61" s="103"/>
      <c r="AI61" s="173"/>
      <c r="AJ61" s="103"/>
      <c r="AK61" s="174"/>
      <c r="AL61" s="175"/>
      <c r="AM61" s="176"/>
      <c r="AP61" s="102"/>
      <c r="AQ61" s="102"/>
      <c r="AR61" s="102"/>
      <c r="AS61" s="102"/>
    </row>
    <row r="62" spans="1:46" x14ac:dyDescent="0.2">
      <c r="C62" s="103"/>
      <c r="D62" s="104"/>
      <c r="E62" s="104"/>
      <c r="F62" s="102"/>
      <c r="G62" s="172"/>
      <c r="H62" s="172"/>
      <c r="I62" s="172"/>
      <c r="J62" s="159"/>
      <c r="K62" s="159"/>
      <c r="L62" s="159"/>
      <c r="M62" s="159"/>
      <c r="N62" s="159"/>
      <c r="O62" s="159"/>
      <c r="P62" s="159"/>
      <c r="Q62" s="159"/>
      <c r="R62" s="159"/>
      <c r="S62" s="159"/>
      <c r="T62" s="159"/>
      <c r="U62" s="159"/>
      <c r="V62" s="159"/>
      <c r="W62" s="159"/>
      <c r="X62" s="103"/>
      <c r="Y62" s="103"/>
      <c r="Z62" s="103"/>
      <c r="AA62" s="103"/>
      <c r="AB62" s="103"/>
      <c r="AC62" s="103"/>
      <c r="AD62" s="103"/>
      <c r="AE62" s="103"/>
      <c r="AF62" s="103"/>
      <c r="AG62" s="103"/>
      <c r="AH62" s="103"/>
      <c r="AI62" s="173"/>
      <c r="AJ62" s="103"/>
      <c r="AK62" s="174"/>
      <c r="AL62" s="175"/>
      <c r="AM62" s="176"/>
      <c r="AP62" s="102"/>
      <c r="AQ62" s="102"/>
      <c r="AR62" s="102"/>
      <c r="AS62" s="102"/>
    </row>
    <row r="63" spans="1:46" x14ac:dyDescent="0.2">
      <c r="C63" s="103"/>
      <c r="D63" s="104"/>
      <c r="E63" s="104"/>
      <c r="F63" s="102"/>
      <c r="G63" s="172"/>
      <c r="H63" s="172"/>
      <c r="I63" s="172"/>
      <c r="J63" s="159"/>
      <c r="K63" s="159"/>
      <c r="L63" s="159"/>
      <c r="M63" s="159"/>
      <c r="N63" s="159"/>
      <c r="O63" s="159"/>
      <c r="P63" s="159"/>
      <c r="Q63" s="159"/>
      <c r="R63" s="159"/>
      <c r="S63" s="159"/>
      <c r="T63" s="159"/>
      <c r="U63" s="159"/>
      <c r="V63" s="159"/>
      <c r="W63" s="159"/>
      <c r="X63" s="103"/>
      <c r="Y63" s="103"/>
      <c r="Z63" s="103"/>
      <c r="AA63" s="103"/>
      <c r="AB63" s="103"/>
      <c r="AC63" s="103"/>
      <c r="AD63" s="103"/>
      <c r="AE63" s="103"/>
      <c r="AF63" s="103"/>
      <c r="AG63" s="103"/>
      <c r="AH63" s="103"/>
      <c r="AI63" s="173"/>
      <c r="AJ63" s="103"/>
      <c r="AK63" s="174"/>
      <c r="AL63" s="175"/>
      <c r="AM63" s="176"/>
      <c r="AP63" s="102"/>
      <c r="AQ63" s="102"/>
      <c r="AR63" s="102"/>
      <c r="AS63" s="102"/>
    </row>
    <row r="64" spans="1:46" x14ac:dyDescent="0.2">
      <c r="C64" s="103"/>
      <c r="D64" s="104"/>
      <c r="E64" s="104"/>
      <c r="F64" s="102"/>
      <c r="G64" s="172"/>
      <c r="H64" s="172"/>
      <c r="I64" s="172"/>
      <c r="J64" s="159"/>
      <c r="K64" s="159"/>
      <c r="L64" s="159"/>
      <c r="M64" s="159"/>
      <c r="N64" s="159"/>
      <c r="O64" s="159"/>
      <c r="P64" s="159"/>
      <c r="Q64" s="159"/>
      <c r="R64" s="159"/>
      <c r="S64" s="159"/>
      <c r="T64" s="159"/>
      <c r="U64" s="159"/>
      <c r="V64" s="159"/>
      <c r="W64" s="159"/>
      <c r="X64" s="103"/>
      <c r="Y64" s="103"/>
      <c r="Z64" s="103"/>
      <c r="AA64" s="103"/>
      <c r="AB64" s="103"/>
      <c r="AC64" s="103"/>
      <c r="AD64" s="103"/>
      <c r="AE64" s="103"/>
      <c r="AF64" s="103"/>
      <c r="AG64" s="103"/>
      <c r="AH64" s="103"/>
      <c r="AI64" s="173"/>
      <c r="AJ64" s="103"/>
      <c r="AK64" s="174"/>
      <c r="AL64" s="175"/>
      <c r="AM64" s="176"/>
      <c r="AP64" s="102"/>
      <c r="AQ64" s="102"/>
      <c r="AR64" s="102"/>
      <c r="AS64" s="102"/>
    </row>
    <row r="65" spans="3:45" x14ac:dyDescent="0.2">
      <c r="C65" s="103"/>
      <c r="D65" s="104"/>
      <c r="E65" s="104"/>
      <c r="F65" s="102"/>
      <c r="G65" s="172"/>
      <c r="H65" s="172"/>
      <c r="I65" s="172"/>
      <c r="J65" s="159"/>
      <c r="K65" s="159"/>
      <c r="L65" s="159"/>
      <c r="M65" s="159"/>
      <c r="N65" s="159"/>
      <c r="O65" s="159"/>
      <c r="P65" s="159"/>
      <c r="Q65" s="159"/>
      <c r="R65" s="159"/>
      <c r="S65" s="159"/>
      <c r="T65" s="159"/>
      <c r="U65" s="159"/>
      <c r="V65" s="159"/>
      <c r="W65" s="159"/>
      <c r="X65" s="103"/>
      <c r="Y65" s="103"/>
      <c r="Z65" s="103"/>
      <c r="AA65" s="103"/>
      <c r="AB65" s="103"/>
      <c r="AC65" s="103"/>
      <c r="AD65" s="103"/>
      <c r="AE65" s="103"/>
      <c r="AF65" s="103"/>
      <c r="AG65" s="103"/>
      <c r="AH65" s="103"/>
      <c r="AI65" s="173"/>
      <c r="AJ65" s="103"/>
      <c r="AK65" s="174"/>
      <c r="AL65" s="175"/>
      <c r="AM65" s="176"/>
      <c r="AP65" s="102"/>
      <c r="AQ65" s="102"/>
      <c r="AR65" s="102"/>
      <c r="AS65" s="102"/>
    </row>
    <row r="66" spans="3:45" x14ac:dyDescent="0.2">
      <c r="C66" s="103"/>
      <c r="D66" s="104"/>
      <c r="E66" s="104"/>
      <c r="F66" s="102"/>
      <c r="G66" s="172"/>
      <c r="H66" s="172"/>
      <c r="I66" s="172"/>
      <c r="J66" s="159"/>
      <c r="K66" s="159"/>
      <c r="L66" s="159"/>
      <c r="M66" s="159"/>
      <c r="N66" s="159"/>
      <c r="O66" s="159"/>
      <c r="P66" s="159"/>
      <c r="Q66" s="159"/>
      <c r="R66" s="159"/>
      <c r="S66" s="159"/>
      <c r="T66" s="159"/>
      <c r="U66" s="159"/>
      <c r="V66" s="159"/>
      <c r="W66" s="159"/>
      <c r="X66" s="103"/>
      <c r="Y66" s="103"/>
      <c r="Z66" s="103"/>
      <c r="AA66" s="103"/>
      <c r="AB66" s="103"/>
      <c r="AC66" s="103"/>
      <c r="AD66" s="103"/>
      <c r="AE66" s="103"/>
      <c r="AF66" s="103"/>
      <c r="AG66" s="103"/>
      <c r="AH66" s="103"/>
      <c r="AI66" s="173"/>
      <c r="AJ66" s="103"/>
      <c r="AK66" s="174"/>
      <c r="AL66" s="175"/>
      <c r="AM66" s="176"/>
      <c r="AP66" s="102"/>
      <c r="AQ66" s="102"/>
      <c r="AR66" s="102"/>
      <c r="AS66" s="102"/>
    </row>
    <row r="67" spans="3:45" x14ac:dyDescent="0.2">
      <c r="C67" s="103"/>
      <c r="D67" s="104"/>
      <c r="E67" s="104"/>
      <c r="F67" s="102"/>
      <c r="G67" s="172"/>
      <c r="H67" s="172"/>
      <c r="I67" s="172"/>
      <c r="J67" s="159"/>
      <c r="K67" s="159"/>
      <c r="L67" s="159"/>
      <c r="M67" s="159"/>
      <c r="N67" s="159"/>
      <c r="O67" s="159"/>
      <c r="P67" s="159"/>
      <c r="Q67" s="159"/>
      <c r="R67" s="159"/>
      <c r="S67" s="159"/>
      <c r="T67" s="159"/>
      <c r="U67" s="159"/>
      <c r="V67" s="159"/>
      <c r="W67" s="159"/>
      <c r="X67" s="103"/>
      <c r="Y67" s="103"/>
      <c r="Z67" s="103"/>
      <c r="AA67" s="103"/>
      <c r="AB67" s="103"/>
      <c r="AC67" s="103"/>
      <c r="AD67" s="103"/>
      <c r="AE67" s="103"/>
      <c r="AF67" s="103"/>
      <c r="AG67" s="103"/>
      <c r="AH67" s="103"/>
      <c r="AI67" s="173"/>
      <c r="AJ67" s="103"/>
      <c r="AK67" s="174"/>
      <c r="AL67" s="175"/>
      <c r="AM67" s="176"/>
      <c r="AP67" s="102"/>
      <c r="AQ67" s="102"/>
      <c r="AR67" s="102"/>
      <c r="AS67" s="102"/>
    </row>
    <row r="68" spans="3:45" x14ac:dyDescent="0.2">
      <c r="C68" s="103"/>
      <c r="D68" s="104"/>
      <c r="E68" s="104"/>
      <c r="F68" s="102"/>
      <c r="G68" s="172"/>
      <c r="H68" s="172"/>
      <c r="I68" s="172"/>
      <c r="J68" s="159"/>
      <c r="K68" s="159"/>
      <c r="L68" s="159"/>
      <c r="M68" s="159"/>
      <c r="N68" s="159"/>
      <c r="O68" s="159"/>
      <c r="P68" s="159"/>
      <c r="Q68" s="159"/>
      <c r="R68" s="159"/>
      <c r="S68" s="159"/>
      <c r="T68" s="159"/>
      <c r="U68" s="159"/>
      <c r="V68" s="159"/>
      <c r="W68" s="159"/>
      <c r="X68" s="103"/>
      <c r="Y68" s="103"/>
      <c r="Z68" s="103"/>
      <c r="AA68" s="103"/>
      <c r="AB68" s="103"/>
      <c r="AC68" s="103"/>
      <c r="AD68" s="103"/>
      <c r="AE68" s="103"/>
      <c r="AF68" s="103"/>
      <c r="AG68" s="103"/>
      <c r="AH68" s="103"/>
      <c r="AI68" s="173"/>
      <c r="AJ68" s="103"/>
      <c r="AK68" s="174"/>
      <c r="AL68" s="175"/>
      <c r="AM68" s="176"/>
      <c r="AP68" s="102"/>
      <c r="AQ68" s="102"/>
      <c r="AR68" s="102"/>
      <c r="AS68" s="102"/>
    </row>
    <row r="69" spans="3:45" x14ac:dyDescent="0.2">
      <c r="C69" s="103"/>
      <c r="D69" s="104"/>
      <c r="E69" s="104"/>
      <c r="F69" s="102"/>
      <c r="G69" s="172"/>
      <c r="H69" s="172"/>
      <c r="I69" s="172"/>
      <c r="J69" s="159"/>
      <c r="K69" s="159"/>
      <c r="L69" s="159"/>
      <c r="M69" s="159"/>
      <c r="N69" s="159"/>
      <c r="O69" s="159"/>
      <c r="P69" s="159"/>
      <c r="Q69" s="159"/>
      <c r="R69" s="159"/>
      <c r="S69" s="159"/>
      <c r="T69" s="159"/>
      <c r="U69" s="159"/>
      <c r="V69" s="159"/>
      <c r="W69" s="159"/>
      <c r="X69" s="103"/>
      <c r="Y69" s="103"/>
      <c r="Z69" s="103"/>
      <c r="AA69" s="103"/>
      <c r="AB69" s="103"/>
      <c r="AC69" s="103"/>
      <c r="AD69" s="103"/>
      <c r="AE69" s="103"/>
      <c r="AF69" s="103"/>
      <c r="AG69" s="103"/>
      <c r="AH69" s="103"/>
      <c r="AI69" s="173"/>
      <c r="AJ69" s="103"/>
      <c r="AK69" s="174"/>
      <c r="AL69" s="175"/>
      <c r="AM69" s="176"/>
      <c r="AP69" s="102"/>
      <c r="AQ69" s="102"/>
      <c r="AR69" s="102"/>
      <c r="AS69" s="102"/>
    </row>
    <row r="70" spans="3:45" x14ac:dyDescent="0.2">
      <c r="C70" s="103"/>
      <c r="D70" s="104"/>
      <c r="E70" s="104"/>
      <c r="F70" s="102"/>
      <c r="G70" s="172"/>
      <c r="H70" s="172"/>
      <c r="I70" s="172"/>
      <c r="J70" s="159"/>
      <c r="K70" s="159"/>
      <c r="L70" s="159"/>
      <c r="M70" s="159"/>
      <c r="N70" s="159"/>
      <c r="O70" s="159"/>
      <c r="P70" s="159"/>
      <c r="Q70" s="159"/>
      <c r="R70" s="159"/>
      <c r="S70" s="159"/>
      <c r="T70" s="159"/>
      <c r="U70" s="159"/>
      <c r="V70" s="159"/>
      <c r="W70" s="159"/>
      <c r="X70" s="103"/>
      <c r="Y70" s="103"/>
      <c r="Z70" s="103"/>
      <c r="AA70" s="103"/>
      <c r="AB70" s="103"/>
      <c r="AC70" s="103"/>
      <c r="AD70" s="103"/>
      <c r="AE70" s="103"/>
      <c r="AF70" s="103"/>
      <c r="AG70" s="103"/>
      <c r="AH70" s="103"/>
      <c r="AI70" s="173"/>
      <c r="AJ70" s="103"/>
      <c r="AK70" s="174"/>
      <c r="AL70" s="175"/>
      <c r="AM70" s="176"/>
      <c r="AP70" s="102"/>
      <c r="AQ70" s="102"/>
      <c r="AR70" s="102"/>
      <c r="AS70" s="102"/>
    </row>
    <row r="71" spans="3:45" x14ac:dyDescent="0.2">
      <c r="C71" s="103"/>
      <c r="D71" s="104"/>
      <c r="E71" s="104"/>
      <c r="F71" s="102"/>
      <c r="G71" s="172"/>
      <c r="H71" s="172"/>
      <c r="I71" s="172"/>
      <c r="J71" s="159"/>
      <c r="K71" s="159"/>
      <c r="L71" s="159"/>
      <c r="M71" s="159"/>
      <c r="N71" s="159"/>
      <c r="O71" s="159"/>
      <c r="P71" s="159"/>
      <c r="Q71" s="159"/>
      <c r="R71" s="159"/>
      <c r="S71" s="159"/>
      <c r="T71" s="159"/>
      <c r="U71" s="159"/>
      <c r="V71" s="159"/>
      <c r="W71" s="159"/>
      <c r="X71" s="103"/>
      <c r="Y71" s="103"/>
      <c r="Z71" s="103"/>
      <c r="AA71" s="103"/>
      <c r="AB71" s="103"/>
      <c r="AC71" s="103"/>
      <c r="AD71" s="103"/>
      <c r="AE71" s="103"/>
      <c r="AF71" s="103"/>
      <c r="AG71" s="103"/>
      <c r="AH71" s="103"/>
      <c r="AI71" s="173"/>
      <c r="AJ71" s="103"/>
      <c r="AK71" s="174"/>
      <c r="AL71" s="175"/>
      <c r="AM71" s="176"/>
      <c r="AP71" s="102"/>
      <c r="AQ71" s="102"/>
      <c r="AR71" s="102"/>
      <c r="AS71" s="102"/>
    </row>
    <row r="72" spans="3:45" x14ac:dyDescent="0.2">
      <c r="C72" s="103"/>
      <c r="D72" s="104"/>
      <c r="E72" s="104"/>
      <c r="F72" s="102"/>
      <c r="G72" s="172"/>
      <c r="H72" s="172"/>
      <c r="I72" s="172"/>
      <c r="J72" s="159"/>
      <c r="K72" s="159"/>
      <c r="L72" s="159"/>
      <c r="M72" s="159"/>
      <c r="N72" s="159"/>
      <c r="O72" s="159"/>
      <c r="P72" s="159"/>
      <c r="Q72" s="159"/>
      <c r="R72" s="159"/>
      <c r="S72" s="159"/>
      <c r="T72" s="159"/>
      <c r="U72" s="159"/>
      <c r="V72" s="159"/>
      <c r="W72" s="159"/>
      <c r="X72" s="103"/>
      <c r="Y72" s="103"/>
      <c r="Z72" s="103"/>
      <c r="AA72" s="103"/>
      <c r="AB72" s="103"/>
      <c r="AC72" s="103"/>
      <c r="AD72" s="103"/>
      <c r="AE72" s="103"/>
      <c r="AF72" s="103"/>
      <c r="AG72" s="103"/>
      <c r="AH72" s="103"/>
      <c r="AI72" s="173"/>
      <c r="AJ72" s="103"/>
      <c r="AK72" s="174"/>
      <c r="AL72" s="175"/>
      <c r="AM72" s="176"/>
      <c r="AP72" s="102"/>
      <c r="AQ72" s="102"/>
      <c r="AR72" s="102"/>
      <c r="AS72" s="102"/>
    </row>
    <row r="73" spans="3:45" x14ac:dyDescent="0.2">
      <c r="C73" s="103"/>
      <c r="D73" s="104"/>
      <c r="E73" s="104"/>
      <c r="F73" s="102"/>
      <c r="G73" s="172"/>
      <c r="H73" s="172"/>
      <c r="I73" s="172"/>
      <c r="J73" s="159"/>
      <c r="K73" s="159"/>
      <c r="L73" s="159"/>
      <c r="M73" s="159"/>
      <c r="N73" s="159"/>
      <c r="O73" s="159"/>
      <c r="P73" s="159"/>
      <c r="Q73" s="159"/>
      <c r="R73" s="159"/>
      <c r="S73" s="159"/>
      <c r="T73" s="159"/>
      <c r="U73" s="159"/>
      <c r="V73" s="159"/>
      <c r="W73" s="159"/>
      <c r="X73" s="103"/>
      <c r="Y73" s="103"/>
      <c r="Z73" s="103"/>
      <c r="AA73" s="103"/>
      <c r="AB73" s="103"/>
      <c r="AC73" s="103"/>
      <c r="AD73" s="103"/>
      <c r="AE73" s="103"/>
      <c r="AF73" s="103"/>
      <c r="AG73" s="103"/>
      <c r="AH73" s="103"/>
      <c r="AI73" s="173"/>
      <c r="AJ73" s="103"/>
      <c r="AK73" s="174"/>
      <c r="AL73" s="175"/>
      <c r="AM73" s="176"/>
      <c r="AP73" s="102"/>
      <c r="AQ73" s="102"/>
      <c r="AR73" s="102"/>
      <c r="AS73" s="102"/>
    </row>
    <row r="74" spans="3:45" x14ac:dyDescent="0.2">
      <c r="C74" s="103"/>
      <c r="D74" s="104"/>
      <c r="E74" s="104"/>
      <c r="F74" s="102"/>
      <c r="G74" s="172"/>
      <c r="H74" s="172"/>
      <c r="I74" s="172"/>
      <c r="J74" s="159"/>
      <c r="K74" s="159"/>
      <c r="L74" s="159"/>
      <c r="M74" s="159"/>
      <c r="N74" s="159"/>
      <c r="O74" s="159"/>
      <c r="P74" s="159"/>
      <c r="Q74" s="159"/>
      <c r="R74" s="159"/>
      <c r="S74" s="159"/>
      <c r="T74" s="159"/>
      <c r="U74" s="159"/>
      <c r="V74" s="159"/>
      <c r="W74" s="159"/>
      <c r="X74" s="103"/>
      <c r="Y74" s="103"/>
      <c r="Z74" s="103"/>
      <c r="AA74" s="103"/>
      <c r="AB74" s="103"/>
      <c r="AC74" s="103"/>
      <c r="AD74" s="103"/>
      <c r="AE74" s="103"/>
      <c r="AF74" s="103"/>
      <c r="AG74" s="103"/>
      <c r="AH74" s="103"/>
      <c r="AI74" s="173"/>
      <c r="AJ74" s="103"/>
      <c r="AK74" s="174"/>
      <c r="AL74" s="175"/>
      <c r="AM74" s="176"/>
      <c r="AP74" s="102"/>
      <c r="AQ74" s="102"/>
      <c r="AR74" s="102"/>
      <c r="AS74" s="102"/>
    </row>
    <row r="75" spans="3:45" x14ac:dyDescent="0.2">
      <c r="C75" s="103"/>
      <c r="D75" s="104"/>
      <c r="E75" s="104"/>
      <c r="F75" s="102"/>
      <c r="G75" s="172"/>
      <c r="H75" s="172"/>
      <c r="I75" s="172"/>
      <c r="J75" s="159"/>
      <c r="K75" s="159"/>
      <c r="L75" s="159"/>
      <c r="M75" s="159"/>
      <c r="N75" s="159"/>
      <c r="O75" s="159"/>
      <c r="P75" s="159"/>
      <c r="Q75" s="159"/>
      <c r="R75" s="159"/>
      <c r="S75" s="159"/>
      <c r="T75" s="159"/>
      <c r="U75" s="159"/>
      <c r="V75" s="159"/>
      <c r="W75" s="159"/>
      <c r="X75" s="103"/>
      <c r="Y75" s="103"/>
      <c r="Z75" s="103"/>
      <c r="AA75" s="103"/>
      <c r="AB75" s="103"/>
      <c r="AC75" s="103"/>
      <c r="AD75" s="103"/>
      <c r="AE75" s="103"/>
      <c r="AF75" s="103"/>
      <c r="AG75" s="103"/>
      <c r="AH75" s="103"/>
      <c r="AI75" s="173"/>
      <c r="AJ75" s="103"/>
      <c r="AK75" s="174"/>
      <c r="AL75" s="175"/>
      <c r="AM75" s="176"/>
      <c r="AP75" s="102"/>
      <c r="AQ75" s="102"/>
      <c r="AR75" s="102"/>
      <c r="AS75" s="102"/>
    </row>
    <row r="76" spans="3:45" x14ac:dyDescent="0.2">
      <c r="C76" s="103"/>
      <c r="D76" s="104"/>
      <c r="E76" s="104"/>
      <c r="F76" s="102"/>
      <c r="G76" s="172"/>
      <c r="H76" s="172"/>
      <c r="I76" s="172"/>
      <c r="J76" s="159"/>
      <c r="K76" s="159"/>
      <c r="L76" s="159"/>
      <c r="M76" s="159"/>
      <c r="N76" s="159"/>
      <c r="O76" s="159"/>
      <c r="P76" s="159"/>
      <c r="Q76" s="159"/>
      <c r="R76" s="159"/>
      <c r="S76" s="159"/>
      <c r="T76" s="159"/>
      <c r="U76" s="159"/>
      <c r="V76" s="159"/>
      <c r="W76" s="159"/>
      <c r="X76" s="103"/>
      <c r="Y76" s="103"/>
      <c r="Z76" s="103"/>
      <c r="AA76" s="103"/>
      <c r="AB76" s="103"/>
      <c r="AC76" s="103"/>
      <c r="AD76" s="103"/>
      <c r="AE76" s="103"/>
      <c r="AF76" s="103"/>
      <c r="AG76" s="103"/>
      <c r="AH76" s="103"/>
      <c r="AI76" s="173"/>
      <c r="AJ76" s="103"/>
      <c r="AK76" s="174"/>
      <c r="AL76" s="175"/>
      <c r="AM76" s="176"/>
      <c r="AP76" s="102"/>
      <c r="AQ76" s="102"/>
      <c r="AR76" s="102"/>
      <c r="AS76" s="102"/>
    </row>
    <row r="77" spans="3:45" x14ac:dyDescent="0.2">
      <c r="C77" s="103"/>
      <c r="D77" s="104"/>
      <c r="E77" s="104"/>
      <c r="F77" s="102"/>
      <c r="G77" s="172"/>
      <c r="H77" s="172"/>
      <c r="I77" s="172"/>
      <c r="J77" s="159"/>
      <c r="K77" s="159"/>
      <c r="L77" s="159"/>
      <c r="M77" s="159"/>
      <c r="N77" s="159"/>
      <c r="O77" s="159"/>
      <c r="P77" s="159"/>
      <c r="Q77" s="159"/>
      <c r="R77" s="159"/>
      <c r="S77" s="159"/>
      <c r="T77" s="159"/>
      <c r="U77" s="159"/>
      <c r="V77" s="159"/>
      <c r="W77" s="159"/>
      <c r="X77" s="103"/>
      <c r="Y77" s="103"/>
      <c r="Z77" s="103"/>
      <c r="AA77" s="103"/>
      <c r="AB77" s="103"/>
      <c r="AC77" s="103"/>
      <c r="AD77" s="103"/>
      <c r="AE77" s="103"/>
      <c r="AF77" s="103"/>
      <c r="AG77" s="103"/>
      <c r="AH77" s="103"/>
      <c r="AI77" s="173"/>
      <c r="AJ77" s="103"/>
      <c r="AK77" s="174"/>
      <c r="AL77" s="175"/>
      <c r="AM77" s="176"/>
      <c r="AP77" s="102"/>
      <c r="AQ77" s="102"/>
      <c r="AR77" s="102"/>
      <c r="AS77" s="102"/>
    </row>
    <row r="78" spans="3:45" x14ac:dyDescent="0.2">
      <c r="C78" s="103"/>
      <c r="D78" s="104"/>
      <c r="E78" s="104"/>
      <c r="F78" s="102"/>
      <c r="G78" s="172"/>
      <c r="H78" s="172"/>
      <c r="I78" s="172"/>
      <c r="J78" s="159"/>
      <c r="K78" s="159"/>
      <c r="L78" s="159"/>
      <c r="M78" s="159"/>
      <c r="N78" s="159"/>
      <c r="O78" s="159"/>
      <c r="P78" s="159"/>
      <c r="Q78" s="159"/>
      <c r="R78" s="159"/>
      <c r="S78" s="159"/>
      <c r="T78" s="159"/>
      <c r="U78" s="159"/>
      <c r="V78" s="159"/>
      <c r="W78" s="159"/>
      <c r="X78" s="103"/>
      <c r="Y78" s="103"/>
      <c r="Z78" s="103"/>
      <c r="AA78" s="103"/>
      <c r="AB78" s="103"/>
      <c r="AC78" s="103"/>
      <c r="AD78" s="103"/>
      <c r="AE78" s="103"/>
      <c r="AF78" s="103"/>
      <c r="AG78" s="103"/>
      <c r="AH78" s="103"/>
      <c r="AI78" s="173"/>
      <c r="AJ78" s="103"/>
      <c r="AK78" s="174"/>
      <c r="AL78" s="175"/>
      <c r="AM78" s="176"/>
      <c r="AP78" s="102"/>
      <c r="AQ78" s="102"/>
      <c r="AR78" s="102"/>
      <c r="AS78" s="102"/>
    </row>
    <row r="79" spans="3:45" x14ac:dyDescent="0.2">
      <c r="C79" s="103"/>
      <c r="D79" s="104"/>
      <c r="E79" s="104"/>
      <c r="F79" s="102"/>
      <c r="G79" s="172"/>
      <c r="H79" s="172"/>
      <c r="I79" s="172"/>
      <c r="J79" s="159"/>
      <c r="K79" s="159"/>
      <c r="L79" s="159"/>
      <c r="M79" s="159"/>
      <c r="N79" s="159"/>
      <c r="O79" s="159"/>
      <c r="P79" s="159"/>
      <c r="Q79" s="159"/>
      <c r="R79" s="159"/>
      <c r="S79" s="159"/>
      <c r="T79" s="159"/>
      <c r="U79" s="159"/>
      <c r="V79" s="159"/>
      <c r="W79" s="159"/>
      <c r="X79" s="103"/>
      <c r="Y79" s="103"/>
      <c r="Z79" s="103"/>
      <c r="AA79" s="103"/>
      <c r="AB79" s="103"/>
      <c r="AC79" s="103"/>
      <c r="AD79" s="103"/>
      <c r="AE79" s="103"/>
      <c r="AF79" s="103"/>
      <c r="AG79" s="103"/>
      <c r="AH79" s="103"/>
      <c r="AI79" s="173"/>
      <c r="AJ79" s="103"/>
      <c r="AK79" s="174"/>
      <c r="AL79" s="175"/>
      <c r="AM79" s="176"/>
      <c r="AP79" s="102"/>
      <c r="AQ79" s="102"/>
      <c r="AR79" s="102"/>
      <c r="AS79" s="102"/>
    </row>
    <row r="80" spans="3:45" x14ac:dyDescent="0.2">
      <c r="C80" s="103"/>
      <c r="D80" s="104"/>
      <c r="E80" s="104"/>
      <c r="F80" s="102"/>
      <c r="G80" s="172"/>
      <c r="H80" s="172"/>
      <c r="I80" s="172"/>
      <c r="J80" s="159"/>
      <c r="K80" s="159"/>
      <c r="L80" s="159"/>
      <c r="M80" s="159"/>
      <c r="N80" s="159"/>
      <c r="O80" s="159"/>
      <c r="P80" s="159"/>
      <c r="Q80" s="159"/>
      <c r="R80" s="159"/>
      <c r="S80" s="159"/>
      <c r="T80" s="159"/>
      <c r="U80" s="159"/>
      <c r="V80" s="159"/>
      <c r="W80" s="159"/>
      <c r="X80" s="103"/>
      <c r="Y80" s="103"/>
      <c r="Z80" s="103"/>
      <c r="AA80" s="103"/>
      <c r="AB80" s="103"/>
      <c r="AC80" s="103"/>
      <c r="AD80" s="103"/>
      <c r="AE80" s="103"/>
      <c r="AF80" s="103"/>
      <c r="AG80" s="103"/>
      <c r="AH80" s="103"/>
      <c r="AI80" s="173"/>
      <c r="AJ80" s="103"/>
      <c r="AK80" s="174"/>
      <c r="AL80" s="175"/>
      <c r="AM80" s="176"/>
      <c r="AP80" s="102"/>
      <c r="AQ80" s="102"/>
      <c r="AR80" s="102"/>
      <c r="AS80" s="102"/>
    </row>
    <row r="81" spans="3:45" x14ac:dyDescent="0.2">
      <c r="C81" s="103"/>
      <c r="D81" s="104"/>
      <c r="E81" s="104"/>
      <c r="F81" s="102"/>
      <c r="G81" s="172"/>
      <c r="H81" s="172"/>
      <c r="I81" s="172"/>
      <c r="J81" s="159"/>
      <c r="K81" s="159"/>
      <c r="L81" s="159"/>
      <c r="M81" s="159"/>
      <c r="N81" s="159"/>
      <c r="O81" s="159"/>
      <c r="P81" s="159"/>
      <c r="Q81" s="159"/>
      <c r="R81" s="159"/>
      <c r="S81" s="159"/>
      <c r="T81" s="159"/>
      <c r="U81" s="159"/>
      <c r="V81" s="159"/>
      <c r="W81" s="159"/>
      <c r="X81" s="103"/>
      <c r="Y81" s="103"/>
      <c r="Z81" s="103"/>
      <c r="AA81" s="103"/>
      <c r="AB81" s="103"/>
      <c r="AC81" s="103"/>
      <c r="AD81" s="103"/>
      <c r="AE81" s="103"/>
      <c r="AF81" s="103"/>
      <c r="AG81" s="103"/>
      <c r="AH81" s="103"/>
      <c r="AI81" s="173"/>
      <c r="AJ81" s="103"/>
      <c r="AK81" s="174"/>
      <c r="AL81" s="175"/>
      <c r="AM81" s="176"/>
      <c r="AP81" s="102"/>
      <c r="AQ81" s="102"/>
      <c r="AR81" s="102"/>
      <c r="AS81" s="102"/>
    </row>
    <row r="82" spans="3:45" x14ac:dyDescent="0.2">
      <c r="C82" s="103"/>
      <c r="D82" s="104"/>
      <c r="E82" s="104"/>
      <c r="F82" s="102"/>
      <c r="G82" s="172"/>
      <c r="H82" s="172"/>
      <c r="I82" s="172"/>
      <c r="J82" s="159"/>
      <c r="K82" s="159"/>
      <c r="L82" s="159"/>
      <c r="M82" s="159"/>
      <c r="N82" s="159"/>
      <c r="O82" s="159"/>
      <c r="P82" s="159"/>
      <c r="Q82" s="159"/>
      <c r="R82" s="159"/>
      <c r="S82" s="159"/>
      <c r="T82" s="159"/>
      <c r="U82" s="159"/>
      <c r="V82" s="159"/>
      <c r="W82" s="159"/>
      <c r="X82" s="103"/>
      <c r="Y82" s="103"/>
      <c r="Z82" s="103"/>
      <c r="AA82" s="103"/>
      <c r="AB82" s="103"/>
      <c r="AC82" s="103"/>
      <c r="AD82" s="103"/>
      <c r="AE82" s="103"/>
      <c r="AF82" s="103"/>
      <c r="AG82" s="103"/>
      <c r="AH82" s="103"/>
      <c r="AI82" s="173"/>
      <c r="AJ82" s="103"/>
      <c r="AK82" s="174"/>
      <c r="AL82" s="175"/>
      <c r="AM82" s="176"/>
      <c r="AP82" s="102"/>
      <c r="AQ82" s="102"/>
      <c r="AR82" s="102"/>
      <c r="AS82" s="102"/>
    </row>
    <row r="83" spans="3:45" x14ac:dyDescent="0.2">
      <c r="C83" s="103"/>
      <c r="D83" s="104"/>
      <c r="E83" s="104"/>
      <c r="F83" s="102"/>
      <c r="G83" s="172"/>
      <c r="H83" s="172"/>
      <c r="I83" s="172"/>
      <c r="J83" s="159"/>
      <c r="K83" s="159"/>
      <c r="L83" s="159"/>
      <c r="M83" s="159"/>
      <c r="N83" s="159"/>
      <c r="O83" s="159"/>
      <c r="P83" s="159"/>
      <c r="Q83" s="159"/>
      <c r="R83" s="159"/>
      <c r="S83" s="159"/>
      <c r="T83" s="159"/>
      <c r="U83" s="159"/>
      <c r="V83" s="159"/>
      <c r="W83" s="159"/>
      <c r="X83" s="103"/>
      <c r="Y83" s="103"/>
      <c r="Z83" s="103"/>
      <c r="AA83" s="103"/>
      <c r="AB83" s="103"/>
      <c r="AC83" s="103"/>
      <c r="AD83" s="103"/>
      <c r="AE83" s="103"/>
      <c r="AF83" s="103"/>
      <c r="AG83" s="103"/>
      <c r="AH83" s="103"/>
      <c r="AI83" s="173"/>
      <c r="AJ83" s="103"/>
      <c r="AK83" s="174"/>
      <c r="AL83" s="175"/>
      <c r="AM83" s="176"/>
      <c r="AP83" s="102"/>
      <c r="AQ83" s="102"/>
      <c r="AR83" s="102"/>
      <c r="AS83" s="102"/>
    </row>
    <row r="84" spans="3:45" x14ac:dyDescent="0.2">
      <c r="C84" s="103"/>
      <c r="D84" s="104"/>
      <c r="E84" s="104"/>
      <c r="F84" s="102"/>
      <c r="G84" s="172"/>
      <c r="H84" s="172"/>
      <c r="I84" s="172"/>
      <c r="J84" s="159"/>
      <c r="K84" s="159"/>
      <c r="L84" s="159"/>
      <c r="M84" s="159"/>
      <c r="N84" s="159"/>
      <c r="O84" s="159"/>
      <c r="P84" s="159"/>
      <c r="Q84" s="159"/>
      <c r="R84" s="159"/>
      <c r="S84" s="159"/>
      <c r="T84" s="159"/>
      <c r="U84" s="159"/>
      <c r="V84" s="159"/>
      <c r="W84" s="159"/>
      <c r="X84" s="103"/>
      <c r="Y84" s="103"/>
      <c r="Z84" s="103"/>
      <c r="AA84" s="103"/>
      <c r="AB84" s="103"/>
      <c r="AC84" s="103"/>
      <c r="AD84" s="103"/>
      <c r="AE84" s="103"/>
      <c r="AF84" s="103"/>
      <c r="AG84" s="103"/>
      <c r="AH84" s="103"/>
      <c r="AI84" s="173"/>
      <c r="AJ84" s="103"/>
      <c r="AK84" s="174"/>
      <c r="AL84" s="175"/>
      <c r="AM84" s="176"/>
      <c r="AP84" s="102"/>
      <c r="AQ84" s="102"/>
      <c r="AR84" s="102"/>
      <c r="AS84" s="102"/>
    </row>
    <row r="85" spans="3:45" x14ac:dyDescent="0.2">
      <c r="C85" s="103"/>
      <c r="D85" s="104"/>
      <c r="E85" s="104"/>
      <c r="F85" s="102"/>
      <c r="G85" s="172"/>
      <c r="H85" s="172"/>
      <c r="I85" s="172"/>
      <c r="J85" s="159"/>
      <c r="K85" s="159"/>
      <c r="L85" s="159"/>
      <c r="M85" s="159"/>
      <c r="N85" s="159"/>
      <c r="O85" s="159"/>
      <c r="P85" s="159"/>
      <c r="Q85" s="159"/>
      <c r="R85" s="159"/>
      <c r="S85" s="159"/>
      <c r="T85" s="159"/>
      <c r="U85" s="159"/>
      <c r="V85" s="159"/>
      <c r="W85" s="159"/>
      <c r="X85" s="103"/>
      <c r="Y85" s="103"/>
      <c r="Z85" s="103"/>
      <c r="AA85" s="103"/>
      <c r="AB85" s="103"/>
      <c r="AC85" s="103"/>
      <c r="AD85" s="103"/>
      <c r="AE85" s="103"/>
      <c r="AF85" s="103"/>
      <c r="AG85" s="103"/>
      <c r="AH85" s="103"/>
      <c r="AI85" s="173"/>
      <c r="AJ85" s="103"/>
      <c r="AK85" s="174"/>
      <c r="AL85" s="175"/>
      <c r="AM85" s="176"/>
      <c r="AP85" s="102"/>
      <c r="AQ85" s="102"/>
      <c r="AR85" s="102"/>
      <c r="AS85" s="102"/>
    </row>
    <row r="86" spans="3:45" x14ac:dyDescent="0.2">
      <c r="C86" s="103"/>
      <c r="D86" s="104"/>
      <c r="E86" s="104"/>
      <c r="F86" s="102"/>
      <c r="G86" s="172"/>
      <c r="H86" s="172"/>
      <c r="I86" s="172"/>
      <c r="J86" s="159"/>
      <c r="K86" s="159"/>
      <c r="L86" s="159"/>
      <c r="M86" s="159"/>
      <c r="N86" s="159"/>
      <c r="O86" s="159"/>
      <c r="P86" s="159"/>
      <c r="Q86" s="159"/>
      <c r="R86" s="159"/>
      <c r="S86" s="159"/>
      <c r="T86" s="159"/>
      <c r="U86" s="159"/>
      <c r="V86" s="159"/>
      <c r="W86" s="159"/>
      <c r="X86" s="103"/>
      <c r="Y86" s="103"/>
      <c r="Z86" s="103"/>
      <c r="AA86" s="103"/>
      <c r="AB86" s="103"/>
      <c r="AC86" s="103"/>
      <c r="AD86" s="103"/>
      <c r="AE86" s="103"/>
      <c r="AF86" s="103"/>
      <c r="AG86" s="103"/>
      <c r="AH86" s="103"/>
      <c r="AI86" s="173"/>
      <c r="AJ86" s="103"/>
      <c r="AK86" s="174"/>
      <c r="AL86" s="175"/>
      <c r="AM86" s="176"/>
      <c r="AP86" s="102"/>
      <c r="AQ86" s="102"/>
      <c r="AR86" s="102"/>
      <c r="AS86" s="102"/>
    </row>
    <row r="87" spans="3:45" x14ac:dyDescent="0.2">
      <c r="C87" s="103"/>
      <c r="D87" s="104"/>
      <c r="E87" s="104"/>
      <c r="F87" s="102"/>
      <c r="G87" s="172"/>
      <c r="H87" s="172"/>
      <c r="I87" s="172"/>
      <c r="J87" s="159"/>
      <c r="K87" s="159"/>
      <c r="L87" s="159"/>
      <c r="M87" s="159"/>
      <c r="N87" s="159"/>
      <c r="O87" s="159"/>
      <c r="P87" s="159"/>
      <c r="Q87" s="159"/>
      <c r="R87" s="159"/>
      <c r="S87" s="159"/>
      <c r="T87" s="159"/>
      <c r="U87" s="159"/>
      <c r="V87" s="159"/>
      <c r="W87" s="159"/>
      <c r="X87" s="103"/>
      <c r="Y87" s="103"/>
      <c r="Z87" s="103"/>
      <c r="AA87" s="103"/>
      <c r="AB87" s="103"/>
      <c r="AC87" s="103"/>
      <c r="AD87" s="103"/>
      <c r="AE87" s="103"/>
      <c r="AF87" s="103"/>
      <c r="AG87" s="103"/>
      <c r="AH87" s="103"/>
      <c r="AI87" s="173"/>
      <c r="AJ87" s="103"/>
      <c r="AK87" s="174"/>
      <c r="AL87" s="175"/>
      <c r="AM87" s="176"/>
      <c r="AP87" s="102"/>
      <c r="AQ87" s="102"/>
      <c r="AR87" s="102"/>
      <c r="AS87" s="102"/>
    </row>
    <row r="88" spans="3:45" x14ac:dyDescent="0.2">
      <c r="C88" s="103"/>
      <c r="D88" s="104"/>
      <c r="E88" s="104"/>
      <c r="F88" s="102"/>
      <c r="G88" s="172"/>
      <c r="H88" s="172"/>
      <c r="I88" s="172"/>
      <c r="J88" s="159"/>
      <c r="K88" s="159"/>
      <c r="L88" s="159"/>
      <c r="M88" s="159"/>
      <c r="N88" s="159"/>
      <c r="O88" s="159"/>
      <c r="P88" s="159"/>
      <c r="Q88" s="159"/>
      <c r="R88" s="159"/>
      <c r="S88" s="159"/>
      <c r="T88" s="159"/>
      <c r="U88" s="159"/>
      <c r="V88" s="159"/>
      <c r="W88" s="159"/>
      <c r="X88" s="103"/>
      <c r="Y88" s="103"/>
      <c r="Z88" s="103"/>
      <c r="AA88" s="103"/>
      <c r="AB88" s="103"/>
      <c r="AC88" s="103"/>
      <c r="AD88" s="103"/>
      <c r="AE88" s="103"/>
      <c r="AF88" s="103"/>
      <c r="AG88" s="103"/>
      <c r="AH88" s="103"/>
      <c r="AI88" s="173"/>
      <c r="AJ88" s="103"/>
      <c r="AK88" s="174"/>
      <c r="AL88" s="175"/>
      <c r="AM88" s="176"/>
      <c r="AP88" s="102"/>
      <c r="AQ88" s="102"/>
      <c r="AR88" s="102"/>
      <c r="AS88" s="102"/>
    </row>
    <row r="89" spans="3:45" x14ac:dyDescent="0.2">
      <c r="C89" s="103"/>
      <c r="D89" s="104"/>
      <c r="E89" s="104"/>
      <c r="F89" s="102"/>
      <c r="G89" s="172"/>
      <c r="H89" s="172"/>
      <c r="I89" s="172"/>
      <c r="J89" s="159"/>
      <c r="K89" s="159"/>
      <c r="L89" s="159"/>
      <c r="M89" s="159"/>
      <c r="N89" s="159"/>
      <c r="O89" s="159"/>
      <c r="P89" s="159"/>
      <c r="Q89" s="159"/>
      <c r="R89" s="159"/>
      <c r="S89" s="159"/>
      <c r="T89" s="159"/>
      <c r="U89" s="159"/>
      <c r="V89" s="159"/>
      <c r="W89" s="159"/>
      <c r="X89" s="103"/>
      <c r="Y89" s="103"/>
      <c r="Z89" s="103"/>
      <c r="AA89" s="103"/>
      <c r="AB89" s="103"/>
      <c r="AC89" s="103"/>
      <c r="AD89" s="103"/>
      <c r="AE89" s="103"/>
      <c r="AF89" s="103"/>
      <c r="AG89" s="103"/>
      <c r="AH89" s="103"/>
      <c r="AI89" s="173"/>
      <c r="AJ89" s="103"/>
      <c r="AK89" s="174"/>
      <c r="AL89" s="175"/>
      <c r="AM89" s="176"/>
      <c r="AP89" s="102"/>
      <c r="AQ89" s="102"/>
      <c r="AR89" s="102"/>
      <c r="AS89" s="102"/>
    </row>
    <row r="90" spans="3:45" x14ac:dyDescent="0.2">
      <c r="C90" s="103"/>
      <c r="D90" s="104"/>
      <c r="E90" s="104"/>
      <c r="F90" s="102"/>
      <c r="G90" s="172"/>
      <c r="H90" s="172"/>
      <c r="I90" s="172"/>
      <c r="J90" s="159"/>
      <c r="K90" s="159"/>
      <c r="L90" s="159"/>
      <c r="M90" s="159"/>
      <c r="N90" s="159"/>
      <c r="O90" s="159"/>
      <c r="P90" s="159"/>
      <c r="Q90" s="159"/>
      <c r="R90" s="159"/>
      <c r="S90" s="159"/>
      <c r="T90" s="159"/>
      <c r="U90" s="159"/>
      <c r="V90" s="159"/>
      <c r="W90" s="159"/>
      <c r="X90" s="103"/>
      <c r="Y90" s="103"/>
      <c r="Z90" s="103"/>
      <c r="AA90" s="103"/>
      <c r="AB90" s="103"/>
      <c r="AC90" s="103"/>
      <c r="AD90" s="103"/>
      <c r="AE90" s="103"/>
      <c r="AF90" s="103"/>
      <c r="AG90" s="103"/>
      <c r="AH90" s="103"/>
      <c r="AI90" s="173"/>
      <c r="AJ90" s="103"/>
      <c r="AK90" s="174"/>
      <c r="AL90" s="175"/>
      <c r="AM90" s="176"/>
      <c r="AP90" s="102"/>
      <c r="AQ90" s="102"/>
      <c r="AR90" s="102"/>
      <c r="AS90" s="102"/>
    </row>
    <row r="91" spans="3:45" x14ac:dyDescent="0.2">
      <c r="C91" s="103"/>
      <c r="D91" s="104"/>
      <c r="E91" s="104"/>
      <c r="F91" s="102"/>
      <c r="G91" s="172"/>
      <c r="H91" s="172"/>
      <c r="I91" s="172"/>
      <c r="J91" s="159"/>
      <c r="K91" s="159"/>
      <c r="L91" s="159"/>
      <c r="M91" s="159"/>
      <c r="N91" s="159"/>
      <c r="O91" s="159"/>
      <c r="P91" s="159"/>
      <c r="Q91" s="159"/>
      <c r="R91" s="159"/>
      <c r="S91" s="159"/>
      <c r="T91" s="159"/>
      <c r="U91" s="159"/>
      <c r="V91" s="159"/>
      <c r="W91" s="159"/>
      <c r="X91" s="103"/>
      <c r="Y91" s="103"/>
      <c r="Z91" s="103"/>
      <c r="AA91" s="103"/>
      <c r="AB91" s="103"/>
      <c r="AC91" s="103"/>
      <c r="AD91" s="103"/>
      <c r="AE91" s="103"/>
      <c r="AF91" s="103"/>
      <c r="AG91" s="103"/>
      <c r="AH91" s="103"/>
      <c r="AI91" s="173"/>
      <c r="AJ91" s="103"/>
      <c r="AK91" s="174"/>
      <c r="AL91" s="175"/>
      <c r="AM91" s="176"/>
      <c r="AP91" s="102"/>
      <c r="AQ91" s="102"/>
      <c r="AR91" s="102"/>
      <c r="AS91" s="102"/>
    </row>
    <row r="92" spans="3:45" x14ac:dyDescent="0.2">
      <c r="C92" s="103"/>
      <c r="D92" s="104"/>
      <c r="E92" s="104"/>
      <c r="F92" s="102"/>
      <c r="G92" s="172"/>
      <c r="H92" s="172"/>
      <c r="I92" s="172"/>
      <c r="J92" s="159"/>
      <c r="K92" s="159"/>
      <c r="L92" s="159"/>
      <c r="M92" s="159"/>
      <c r="N92" s="159"/>
      <c r="O92" s="159"/>
      <c r="P92" s="159"/>
      <c r="Q92" s="159"/>
      <c r="R92" s="159"/>
      <c r="S92" s="159"/>
      <c r="T92" s="159"/>
      <c r="U92" s="159"/>
      <c r="V92" s="159"/>
      <c r="W92" s="159"/>
      <c r="X92" s="103"/>
      <c r="Y92" s="103"/>
      <c r="Z92" s="103"/>
      <c r="AA92" s="103"/>
      <c r="AB92" s="103"/>
      <c r="AC92" s="103"/>
      <c r="AD92" s="103"/>
      <c r="AE92" s="103"/>
      <c r="AF92" s="103"/>
      <c r="AG92" s="103"/>
      <c r="AH92" s="103"/>
      <c r="AI92" s="173"/>
      <c r="AJ92" s="103"/>
      <c r="AK92" s="174"/>
      <c r="AL92" s="175"/>
      <c r="AM92" s="176"/>
      <c r="AP92" s="102"/>
      <c r="AQ92" s="102"/>
      <c r="AR92" s="102"/>
      <c r="AS92" s="102"/>
    </row>
    <row r="93" spans="3:45" x14ac:dyDescent="0.2">
      <c r="C93" s="103"/>
      <c r="D93" s="104"/>
      <c r="E93" s="104"/>
      <c r="F93" s="102"/>
      <c r="G93" s="172"/>
      <c r="H93" s="172"/>
      <c r="I93" s="172"/>
      <c r="J93" s="159"/>
      <c r="K93" s="159"/>
      <c r="L93" s="159"/>
      <c r="M93" s="159"/>
      <c r="N93" s="159"/>
      <c r="O93" s="159"/>
      <c r="P93" s="159"/>
      <c r="Q93" s="159"/>
      <c r="R93" s="159"/>
      <c r="S93" s="159"/>
      <c r="T93" s="159"/>
      <c r="U93" s="159"/>
      <c r="V93" s="159"/>
      <c r="W93" s="159"/>
      <c r="X93" s="103"/>
      <c r="Y93" s="103"/>
      <c r="Z93" s="103"/>
      <c r="AA93" s="103"/>
      <c r="AB93" s="103"/>
      <c r="AC93" s="103"/>
      <c r="AD93" s="103"/>
      <c r="AE93" s="103"/>
      <c r="AF93" s="103"/>
      <c r="AG93" s="103"/>
      <c r="AH93" s="103"/>
      <c r="AI93" s="173"/>
      <c r="AJ93" s="103"/>
      <c r="AK93" s="174"/>
      <c r="AL93" s="175"/>
      <c r="AM93" s="176"/>
      <c r="AP93" s="102"/>
      <c r="AQ93" s="102"/>
      <c r="AR93" s="102"/>
      <c r="AS93" s="102"/>
    </row>
    <row r="94" spans="3:45" x14ac:dyDescent="0.2">
      <c r="C94" s="103"/>
      <c r="D94" s="104"/>
      <c r="E94" s="104"/>
      <c r="F94" s="102"/>
      <c r="G94" s="172"/>
      <c r="H94" s="172"/>
      <c r="I94" s="172"/>
      <c r="J94" s="159"/>
      <c r="K94" s="159"/>
      <c r="L94" s="159"/>
      <c r="M94" s="159"/>
      <c r="N94" s="159"/>
      <c r="O94" s="159"/>
      <c r="P94" s="159"/>
      <c r="Q94" s="159"/>
      <c r="R94" s="159"/>
      <c r="S94" s="159"/>
      <c r="T94" s="159"/>
      <c r="U94" s="159"/>
      <c r="V94" s="159"/>
      <c r="W94" s="159"/>
      <c r="X94" s="103"/>
      <c r="Y94" s="103"/>
      <c r="Z94" s="103"/>
      <c r="AA94" s="103"/>
      <c r="AB94" s="103"/>
      <c r="AC94" s="103"/>
      <c r="AD94" s="103"/>
      <c r="AE94" s="103"/>
      <c r="AF94" s="103"/>
      <c r="AG94" s="103"/>
      <c r="AH94" s="103"/>
      <c r="AI94" s="173"/>
      <c r="AJ94" s="103"/>
      <c r="AK94" s="174"/>
      <c r="AL94" s="175"/>
      <c r="AM94" s="176"/>
      <c r="AP94" s="102"/>
      <c r="AQ94" s="102"/>
      <c r="AR94" s="102"/>
      <c r="AS94" s="102"/>
    </row>
    <row r="95" spans="3:45" x14ac:dyDescent="0.2">
      <c r="C95" s="103"/>
      <c r="D95" s="104"/>
      <c r="E95" s="104"/>
      <c r="F95" s="102"/>
      <c r="G95" s="172"/>
      <c r="H95" s="172"/>
      <c r="I95" s="172"/>
      <c r="J95" s="159"/>
      <c r="K95" s="159"/>
      <c r="L95" s="159"/>
      <c r="M95" s="159"/>
      <c r="N95" s="159"/>
      <c r="O95" s="159"/>
      <c r="P95" s="159"/>
      <c r="Q95" s="159"/>
      <c r="R95" s="159"/>
      <c r="S95" s="159"/>
      <c r="T95" s="159"/>
      <c r="U95" s="159"/>
      <c r="V95" s="159"/>
      <c r="W95" s="159"/>
      <c r="X95" s="103"/>
      <c r="Y95" s="103"/>
      <c r="Z95" s="103"/>
      <c r="AA95" s="103"/>
      <c r="AB95" s="103"/>
      <c r="AC95" s="103"/>
      <c r="AD95" s="103"/>
      <c r="AE95" s="103"/>
      <c r="AF95" s="103"/>
      <c r="AG95" s="103"/>
      <c r="AH95" s="103"/>
      <c r="AI95" s="173"/>
      <c r="AJ95" s="103"/>
      <c r="AK95" s="174"/>
      <c r="AL95" s="175"/>
      <c r="AM95" s="176"/>
      <c r="AP95" s="102"/>
      <c r="AQ95" s="102"/>
      <c r="AR95" s="102"/>
      <c r="AS95" s="102"/>
    </row>
    <row r="96" spans="3:45" x14ac:dyDescent="0.2">
      <c r="C96" s="103"/>
      <c r="D96" s="104"/>
      <c r="E96" s="104"/>
      <c r="F96" s="102"/>
      <c r="G96" s="172"/>
      <c r="H96" s="172"/>
      <c r="I96" s="172"/>
      <c r="J96" s="159"/>
      <c r="K96" s="159"/>
      <c r="L96" s="159"/>
      <c r="M96" s="159"/>
      <c r="N96" s="159"/>
      <c r="O96" s="159"/>
      <c r="P96" s="159"/>
      <c r="Q96" s="159"/>
      <c r="R96" s="159"/>
      <c r="S96" s="159"/>
      <c r="T96" s="159"/>
      <c r="U96" s="159"/>
      <c r="V96" s="159"/>
      <c r="W96" s="159"/>
      <c r="X96" s="103"/>
      <c r="Y96" s="103"/>
      <c r="Z96" s="103"/>
      <c r="AA96" s="103"/>
      <c r="AB96" s="103"/>
      <c r="AC96" s="103"/>
      <c r="AD96" s="103"/>
      <c r="AE96" s="103"/>
      <c r="AF96" s="103"/>
      <c r="AG96" s="103"/>
      <c r="AH96" s="103"/>
      <c r="AI96" s="173"/>
      <c r="AJ96" s="103"/>
      <c r="AK96" s="174"/>
      <c r="AL96" s="175"/>
      <c r="AM96" s="176"/>
      <c r="AP96" s="102"/>
      <c r="AQ96" s="102"/>
      <c r="AR96" s="102"/>
      <c r="AS96" s="102"/>
    </row>
    <row r="97" spans="3:45" x14ac:dyDescent="0.2">
      <c r="C97" s="103"/>
      <c r="D97" s="104"/>
      <c r="E97" s="104"/>
      <c r="F97" s="102"/>
      <c r="G97" s="172"/>
      <c r="H97" s="172"/>
      <c r="I97" s="172"/>
      <c r="J97" s="159"/>
      <c r="K97" s="159"/>
      <c r="L97" s="159"/>
      <c r="M97" s="159"/>
      <c r="N97" s="159"/>
      <c r="O97" s="159"/>
      <c r="P97" s="159"/>
      <c r="Q97" s="159"/>
      <c r="R97" s="159"/>
      <c r="S97" s="159"/>
      <c r="T97" s="159"/>
      <c r="U97" s="159"/>
      <c r="V97" s="159"/>
      <c r="W97" s="159"/>
      <c r="X97" s="103"/>
      <c r="Y97" s="103"/>
      <c r="Z97" s="103"/>
      <c r="AA97" s="103"/>
      <c r="AB97" s="103"/>
      <c r="AC97" s="103"/>
      <c r="AD97" s="103"/>
      <c r="AE97" s="103"/>
      <c r="AF97" s="103"/>
      <c r="AG97" s="103"/>
      <c r="AH97" s="103"/>
      <c r="AI97" s="173"/>
      <c r="AJ97" s="103"/>
      <c r="AK97" s="174"/>
      <c r="AL97" s="175"/>
      <c r="AM97" s="176"/>
      <c r="AP97" s="102"/>
      <c r="AQ97" s="102"/>
      <c r="AR97" s="102"/>
      <c r="AS97" s="102"/>
    </row>
    <row r="98" spans="3:45" x14ac:dyDescent="0.2">
      <c r="C98" s="103"/>
      <c r="D98" s="104"/>
      <c r="E98" s="104"/>
      <c r="F98" s="102"/>
      <c r="G98" s="172"/>
      <c r="H98" s="172"/>
      <c r="I98" s="172"/>
      <c r="J98" s="159"/>
      <c r="K98" s="159"/>
      <c r="L98" s="159"/>
      <c r="M98" s="159"/>
      <c r="N98" s="159"/>
      <c r="O98" s="159"/>
      <c r="P98" s="159"/>
      <c r="Q98" s="159"/>
      <c r="R98" s="159"/>
      <c r="S98" s="159"/>
      <c r="T98" s="159"/>
      <c r="U98" s="159"/>
      <c r="V98" s="159"/>
      <c r="W98" s="159"/>
      <c r="X98" s="103"/>
      <c r="Y98" s="103"/>
      <c r="Z98" s="103"/>
      <c r="AA98" s="103"/>
      <c r="AB98" s="103"/>
      <c r="AC98" s="103"/>
      <c r="AD98" s="103"/>
      <c r="AE98" s="103"/>
      <c r="AF98" s="103"/>
      <c r="AG98" s="103"/>
      <c r="AH98" s="103"/>
      <c r="AI98" s="173"/>
      <c r="AJ98" s="103"/>
      <c r="AK98" s="174"/>
      <c r="AL98" s="175"/>
      <c r="AM98" s="176"/>
      <c r="AP98" s="102"/>
      <c r="AQ98" s="102"/>
      <c r="AR98" s="102"/>
      <c r="AS98" s="102"/>
    </row>
    <row r="99" spans="3:45" x14ac:dyDescent="0.2">
      <c r="C99" s="103"/>
      <c r="D99" s="104"/>
      <c r="E99" s="104"/>
      <c r="F99" s="102"/>
      <c r="G99" s="172"/>
      <c r="H99" s="172"/>
      <c r="I99" s="172"/>
      <c r="J99" s="159"/>
      <c r="K99" s="159"/>
      <c r="L99" s="159"/>
      <c r="M99" s="159"/>
      <c r="N99" s="159"/>
      <c r="O99" s="159"/>
      <c r="P99" s="159"/>
      <c r="Q99" s="159"/>
      <c r="R99" s="159"/>
      <c r="S99" s="159"/>
      <c r="T99" s="159"/>
      <c r="U99" s="159"/>
      <c r="V99" s="159"/>
      <c r="W99" s="159"/>
      <c r="X99" s="103"/>
      <c r="Y99" s="103"/>
      <c r="Z99" s="103"/>
      <c r="AA99" s="103"/>
      <c r="AB99" s="103"/>
      <c r="AC99" s="103"/>
      <c r="AD99" s="103"/>
      <c r="AE99" s="103"/>
      <c r="AF99" s="103"/>
      <c r="AG99" s="103"/>
      <c r="AH99" s="103"/>
      <c r="AI99" s="173"/>
      <c r="AJ99" s="103"/>
      <c r="AK99" s="174"/>
      <c r="AL99" s="175"/>
      <c r="AM99" s="176"/>
      <c r="AP99" s="102"/>
      <c r="AQ99" s="102"/>
      <c r="AR99" s="102"/>
      <c r="AS99" s="102"/>
    </row>
    <row r="100" spans="3:45" x14ac:dyDescent="0.2">
      <c r="C100" s="103"/>
      <c r="D100" s="104"/>
      <c r="E100" s="104"/>
      <c r="F100" s="102"/>
      <c r="G100" s="172"/>
      <c r="H100" s="172"/>
      <c r="I100" s="172"/>
      <c r="J100" s="159"/>
      <c r="K100" s="159"/>
      <c r="L100" s="159"/>
      <c r="M100" s="159"/>
      <c r="N100" s="159"/>
      <c r="O100" s="159"/>
      <c r="P100" s="159"/>
      <c r="Q100" s="159"/>
      <c r="R100" s="159"/>
      <c r="S100" s="159"/>
      <c r="T100" s="159"/>
      <c r="U100" s="159"/>
      <c r="V100" s="159"/>
      <c r="W100" s="159"/>
      <c r="X100" s="103"/>
      <c r="Y100" s="103"/>
      <c r="Z100" s="103"/>
      <c r="AA100" s="103"/>
      <c r="AB100" s="103"/>
      <c r="AC100" s="103"/>
      <c r="AD100" s="103"/>
      <c r="AE100" s="103"/>
      <c r="AF100" s="103"/>
      <c r="AG100" s="103"/>
      <c r="AH100" s="103"/>
      <c r="AI100" s="173"/>
      <c r="AJ100" s="103"/>
      <c r="AK100" s="174"/>
      <c r="AL100" s="175"/>
      <c r="AM100" s="176"/>
      <c r="AP100" s="102"/>
      <c r="AQ100" s="102"/>
      <c r="AR100" s="102"/>
      <c r="AS100" s="102"/>
    </row>
    <row r="101" spans="3:45" x14ac:dyDescent="0.2">
      <c r="C101" s="103"/>
      <c r="D101" s="104"/>
      <c r="E101" s="104"/>
      <c r="F101" s="102"/>
      <c r="G101" s="172"/>
      <c r="H101" s="172"/>
      <c r="I101" s="172"/>
      <c r="J101" s="159"/>
      <c r="K101" s="159"/>
      <c r="L101" s="159"/>
      <c r="M101" s="159"/>
      <c r="N101" s="159"/>
      <c r="O101" s="159"/>
      <c r="P101" s="159"/>
      <c r="Q101" s="159"/>
      <c r="R101" s="159"/>
      <c r="S101" s="159"/>
      <c r="T101" s="159"/>
      <c r="U101" s="159"/>
      <c r="V101" s="159"/>
      <c r="W101" s="159"/>
      <c r="X101" s="103"/>
      <c r="Y101" s="103"/>
      <c r="Z101" s="103"/>
      <c r="AA101" s="103"/>
      <c r="AB101" s="103"/>
      <c r="AC101" s="103"/>
      <c r="AD101" s="103"/>
      <c r="AE101" s="103"/>
      <c r="AF101" s="103"/>
      <c r="AG101" s="103"/>
      <c r="AH101" s="103"/>
      <c r="AI101" s="173"/>
      <c r="AJ101" s="103"/>
      <c r="AK101" s="174"/>
      <c r="AL101" s="175"/>
      <c r="AM101" s="176"/>
      <c r="AP101" s="102"/>
      <c r="AQ101" s="102"/>
      <c r="AR101" s="102"/>
      <c r="AS101" s="102"/>
    </row>
    <row r="102" spans="3:45" x14ac:dyDescent="0.2">
      <c r="C102" s="103"/>
      <c r="D102" s="104"/>
      <c r="E102" s="104"/>
      <c r="F102" s="102"/>
      <c r="G102" s="172"/>
      <c r="H102" s="172"/>
      <c r="I102" s="172"/>
      <c r="J102" s="159"/>
      <c r="K102" s="159"/>
      <c r="L102" s="159"/>
      <c r="M102" s="159"/>
      <c r="N102" s="159"/>
      <c r="O102" s="159"/>
      <c r="P102" s="159"/>
      <c r="Q102" s="159"/>
      <c r="R102" s="159"/>
      <c r="S102" s="159"/>
      <c r="T102" s="159"/>
      <c r="U102" s="159"/>
      <c r="V102" s="159"/>
      <c r="W102" s="159"/>
      <c r="X102" s="103"/>
      <c r="Y102" s="103"/>
      <c r="Z102" s="103"/>
      <c r="AA102" s="103"/>
      <c r="AB102" s="103"/>
      <c r="AC102" s="103"/>
      <c r="AD102" s="103"/>
      <c r="AE102" s="103"/>
      <c r="AF102" s="103"/>
      <c r="AG102" s="103"/>
      <c r="AH102" s="103"/>
      <c r="AI102" s="173"/>
      <c r="AJ102" s="103"/>
      <c r="AK102" s="174"/>
      <c r="AL102" s="175"/>
      <c r="AM102" s="176"/>
      <c r="AP102" s="102"/>
      <c r="AQ102" s="102"/>
      <c r="AR102" s="102"/>
      <c r="AS102" s="102"/>
    </row>
    <row r="103" spans="3:45" x14ac:dyDescent="0.2">
      <c r="C103" s="103"/>
      <c r="D103" s="104"/>
      <c r="E103" s="104"/>
      <c r="F103" s="102"/>
      <c r="G103" s="172"/>
      <c r="H103" s="172"/>
      <c r="I103" s="172"/>
      <c r="J103" s="159"/>
      <c r="K103" s="159"/>
      <c r="L103" s="159"/>
      <c r="M103" s="159"/>
      <c r="N103" s="159"/>
      <c r="O103" s="159"/>
      <c r="P103" s="159"/>
      <c r="Q103" s="159"/>
      <c r="R103" s="159"/>
      <c r="S103" s="159"/>
      <c r="T103" s="159"/>
      <c r="U103" s="159"/>
      <c r="V103" s="159"/>
      <c r="W103" s="159"/>
      <c r="X103" s="103"/>
      <c r="Y103" s="103"/>
      <c r="Z103" s="103"/>
      <c r="AA103" s="103"/>
      <c r="AB103" s="103"/>
      <c r="AC103" s="103"/>
      <c r="AD103" s="103"/>
      <c r="AE103" s="103"/>
      <c r="AF103" s="103"/>
      <c r="AG103" s="103"/>
      <c r="AH103" s="103"/>
      <c r="AI103" s="173"/>
      <c r="AJ103" s="103"/>
      <c r="AK103" s="174"/>
      <c r="AL103" s="175"/>
      <c r="AM103" s="176"/>
      <c r="AP103" s="102"/>
      <c r="AQ103" s="102"/>
      <c r="AR103" s="102"/>
      <c r="AS103" s="102"/>
    </row>
    <row r="104" spans="3:45" x14ac:dyDescent="0.2">
      <c r="C104" s="103"/>
      <c r="D104" s="104"/>
      <c r="E104" s="104"/>
      <c r="F104" s="102"/>
      <c r="G104" s="172"/>
      <c r="H104" s="172"/>
      <c r="I104" s="172"/>
      <c r="J104" s="159"/>
      <c r="K104" s="159"/>
      <c r="L104" s="159"/>
      <c r="M104" s="159"/>
      <c r="N104" s="159"/>
      <c r="O104" s="159"/>
      <c r="P104" s="159"/>
      <c r="Q104" s="159"/>
      <c r="R104" s="159"/>
      <c r="S104" s="159"/>
      <c r="T104" s="159"/>
      <c r="U104" s="159"/>
      <c r="V104" s="159"/>
      <c r="W104" s="159"/>
      <c r="X104" s="103"/>
      <c r="Y104" s="103"/>
      <c r="Z104" s="103"/>
      <c r="AA104" s="103"/>
      <c r="AB104" s="103"/>
      <c r="AC104" s="103"/>
      <c r="AD104" s="103"/>
      <c r="AE104" s="103"/>
      <c r="AF104" s="103"/>
      <c r="AG104" s="103"/>
      <c r="AH104" s="103"/>
      <c r="AI104" s="173"/>
      <c r="AJ104" s="103"/>
      <c r="AK104" s="174"/>
      <c r="AL104" s="175"/>
      <c r="AM104" s="176"/>
      <c r="AP104" s="102"/>
      <c r="AQ104" s="102"/>
      <c r="AR104" s="102"/>
      <c r="AS104" s="102"/>
    </row>
    <row r="105" spans="3:45" x14ac:dyDescent="0.2">
      <c r="C105" s="103"/>
      <c r="D105" s="104"/>
      <c r="E105" s="104"/>
      <c r="F105" s="102"/>
      <c r="G105" s="172"/>
      <c r="H105" s="172"/>
      <c r="I105" s="172"/>
      <c r="J105" s="159"/>
      <c r="K105" s="159"/>
      <c r="L105" s="159"/>
      <c r="M105" s="159"/>
      <c r="N105" s="159"/>
      <c r="O105" s="159"/>
      <c r="P105" s="159"/>
      <c r="Q105" s="159"/>
      <c r="R105" s="159"/>
      <c r="S105" s="159"/>
      <c r="T105" s="159"/>
      <c r="U105" s="159"/>
      <c r="V105" s="159"/>
      <c r="W105" s="159"/>
      <c r="X105" s="103"/>
      <c r="Y105" s="103"/>
      <c r="Z105" s="103"/>
      <c r="AA105" s="103"/>
      <c r="AB105" s="103"/>
      <c r="AC105" s="103"/>
      <c r="AD105" s="103"/>
      <c r="AE105" s="103"/>
      <c r="AF105" s="103"/>
      <c r="AG105" s="103"/>
      <c r="AH105" s="103"/>
      <c r="AI105" s="173"/>
      <c r="AJ105" s="103"/>
      <c r="AK105" s="174"/>
      <c r="AL105" s="175"/>
      <c r="AM105" s="176"/>
      <c r="AP105" s="102"/>
      <c r="AQ105" s="102"/>
      <c r="AR105" s="102"/>
      <c r="AS105" s="102"/>
    </row>
    <row r="106" spans="3:45" x14ac:dyDescent="0.2">
      <c r="C106" s="103"/>
      <c r="D106" s="104"/>
      <c r="E106" s="104"/>
      <c r="F106" s="102"/>
      <c r="G106" s="172"/>
      <c r="H106" s="172"/>
      <c r="I106" s="172"/>
      <c r="J106" s="159"/>
      <c r="K106" s="159"/>
      <c r="L106" s="159"/>
      <c r="M106" s="159"/>
      <c r="N106" s="159"/>
      <c r="O106" s="159"/>
      <c r="P106" s="159"/>
      <c r="Q106" s="159"/>
      <c r="R106" s="159"/>
      <c r="S106" s="159"/>
      <c r="T106" s="159"/>
      <c r="U106" s="159"/>
      <c r="V106" s="159"/>
      <c r="W106" s="159"/>
      <c r="X106" s="103"/>
      <c r="Y106" s="103"/>
      <c r="Z106" s="103"/>
      <c r="AA106" s="103"/>
      <c r="AB106" s="103"/>
      <c r="AC106" s="103"/>
      <c r="AD106" s="103"/>
      <c r="AE106" s="103"/>
      <c r="AF106" s="103"/>
      <c r="AG106" s="103"/>
      <c r="AH106" s="103"/>
      <c r="AI106" s="173"/>
      <c r="AJ106" s="103"/>
      <c r="AK106" s="174"/>
      <c r="AL106" s="175"/>
      <c r="AM106" s="176"/>
      <c r="AP106" s="102"/>
      <c r="AQ106" s="102"/>
      <c r="AR106" s="102"/>
      <c r="AS106" s="102"/>
    </row>
    <row r="107" spans="3:45" x14ac:dyDescent="0.2">
      <c r="C107" s="103"/>
      <c r="D107" s="104"/>
      <c r="E107" s="104"/>
      <c r="F107" s="102"/>
      <c r="G107" s="172"/>
      <c r="H107" s="172"/>
      <c r="I107" s="172"/>
      <c r="J107" s="159"/>
      <c r="K107" s="159"/>
      <c r="L107" s="159"/>
      <c r="M107" s="159"/>
      <c r="N107" s="159"/>
      <c r="O107" s="159"/>
      <c r="P107" s="159"/>
      <c r="Q107" s="159"/>
      <c r="R107" s="159"/>
      <c r="S107" s="159"/>
      <c r="T107" s="159"/>
      <c r="U107" s="159"/>
      <c r="V107" s="159"/>
      <c r="W107" s="159"/>
      <c r="X107" s="103"/>
      <c r="Y107" s="103"/>
      <c r="Z107" s="103"/>
      <c r="AA107" s="103"/>
      <c r="AB107" s="103"/>
      <c r="AC107" s="103"/>
      <c r="AD107" s="103"/>
      <c r="AE107" s="103"/>
      <c r="AF107" s="103"/>
      <c r="AG107" s="103"/>
      <c r="AH107" s="103"/>
      <c r="AI107" s="173"/>
      <c r="AJ107" s="103"/>
      <c r="AK107" s="174"/>
      <c r="AL107" s="175"/>
      <c r="AM107" s="176"/>
      <c r="AP107" s="102"/>
      <c r="AQ107" s="102"/>
      <c r="AR107" s="102"/>
      <c r="AS107" s="102"/>
    </row>
    <row r="108" spans="3:45" x14ac:dyDescent="0.2">
      <c r="C108" s="103"/>
      <c r="D108" s="104"/>
      <c r="E108" s="104"/>
      <c r="F108" s="102"/>
      <c r="G108" s="172"/>
      <c r="H108" s="172"/>
      <c r="I108" s="172"/>
      <c r="J108" s="159"/>
      <c r="K108" s="159"/>
      <c r="L108" s="159"/>
      <c r="M108" s="159"/>
      <c r="N108" s="159"/>
      <c r="O108" s="159"/>
      <c r="P108" s="159"/>
      <c r="Q108" s="159"/>
      <c r="R108" s="159"/>
      <c r="S108" s="159"/>
      <c r="T108" s="159"/>
      <c r="U108" s="159"/>
      <c r="V108" s="159"/>
      <c r="W108" s="159"/>
      <c r="X108" s="103"/>
      <c r="Y108" s="103"/>
      <c r="Z108" s="103"/>
      <c r="AA108" s="103"/>
      <c r="AB108" s="103"/>
      <c r="AC108" s="103"/>
      <c r="AD108" s="103"/>
      <c r="AE108" s="103"/>
      <c r="AF108" s="103"/>
      <c r="AG108" s="103"/>
      <c r="AH108" s="103"/>
      <c r="AI108" s="173"/>
      <c r="AJ108" s="103"/>
      <c r="AK108" s="174"/>
      <c r="AL108" s="175"/>
      <c r="AM108" s="176"/>
      <c r="AP108" s="102"/>
      <c r="AQ108" s="102"/>
      <c r="AR108" s="102"/>
      <c r="AS108" s="102"/>
    </row>
    <row r="109" spans="3:45" x14ac:dyDescent="0.2">
      <c r="C109" s="103"/>
      <c r="D109" s="104"/>
      <c r="E109" s="104"/>
      <c r="F109" s="102"/>
      <c r="G109" s="172"/>
      <c r="H109" s="172"/>
      <c r="I109" s="172"/>
      <c r="J109" s="159"/>
      <c r="K109" s="159"/>
      <c r="L109" s="159"/>
      <c r="M109" s="159"/>
      <c r="N109" s="159"/>
      <c r="O109" s="159"/>
      <c r="P109" s="159"/>
      <c r="Q109" s="159"/>
      <c r="R109" s="159"/>
      <c r="S109" s="159"/>
      <c r="T109" s="159"/>
      <c r="U109" s="159"/>
      <c r="V109" s="159"/>
      <c r="W109" s="159"/>
      <c r="X109" s="103"/>
      <c r="Y109" s="103"/>
      <c r="Z109" s="103"/>
      <c r="AA109" s="103"/>
      <c r="AB109" s="103"/>
      <c r="AC109" s="103"/>
      <c r="AD109" s="103"/>
      <c r="AE109" s="103"/>
      <c r="AF109" s="103"/>
      <c r="AG109" s="103"/>
      <c r="AH109" s="103"/>
      <c r="AI109" s="173"/>
      <c r="AJ109" s="103"/>
      <c r="AK109" s="174"/>
      <c r="AL109" s="175"/>
      <c r="AM109" s="176"/>
      <c r="AP109" s="102"/>
      <c r="AQ109" s="102"/>
      <c r="AR109" s="102"/>
      <c r="AS109" s="102"/>
    </row>
    <row r="110" spans="3:45" x14ac:dyDescent="0.2">
      <c r="C110" s="103"/>
      <c r="D110" s="104"/>
      <c r="E110" s="104"/>
      <c r="F110" s="102"/>
      <c r="G110" s="172"/>
      <c r="H110" s="172"/>
      <c r="I110" s="172"/>
      <c r="J110" s="159"/>
      <c r="K110" s="159"/>
      <c r="L110" s="159"/>
      <c r="M110" s="159"/>
      <c r="N110" s="159"/>
      <c r="O110" s="159"/>
      <c r="P110" s="159"/>
      <c r="Q110" s="159"/>
      <c r="R110" s="159"/>
      <c r="S110" s="159"/>
      <c r="T110" s="159"/>
      <c r="U110" s="159"/>
      <c r="V110" s="159"/>
      <c r="W110" s="159"/>
      <c r="X110" s="103"/>
      <c r="Y110" s="103"/>
      <c r="Z110" s="103"/>
      <c r="AA110" s="103"/>
      <c r="AB110" s="103"/>
      <c r="AC110" s="103"/>
      <c r="AD110" s="103"/>
      <c r="AE110" s="103"/>
      <c r="AF110" s="103"/>
      <c r="AG110" s="103"/>
      <c r="AH110" s="103"/>
      <c r="AI110" s="173"/>
      <c r="AJ110" s="103"/>
      <c r="AK110" s="174"/>
      <c r="AL110" s="175"/>
      <c r="AM110" s="176"/>
      <c r="AP110" s="102"/>
      <c r="AQ110" s="102"/>
      <c r="AR110" s="102"/>
      <c r="AS110" s="102"/>
    </row>
    <row r="111" spans="3:45" x14ac:dyDescent="0.2">
      <c r="C111" s="103"/>
      <c r="D111" s="104"/>
      <c r="E111" s="104"/>
      <c r="F111" s="102"/>
      <c r="G111" s="172"/>
      <c r="H111" s="172"/>
      <c r="I111" s="172"/>
      <c r="J111" s="159"/>
      <c r="K111" s="159"/>
      <c r="L111" s="159"/>
      <c r="M111" s="159"/>
      <c r="N111" s="159"/>
      <c r="O111" s="159"/>
      <c r="P111" s="159"/>
      <c r="Q111" s="159"/>
      <c r="R111" s="159"/>
      <c r="S111" s="159"/>
      <c r="T111" s="159"/>
      <c r="U111" s="159"/>
      <c r="V111" s="159"/>
      <c r="W111" s="159"/>
      <c r="X111" s="103"/>
      <c r="Y111" s="103"/>
      <c r="Z111" s="103"/>
      <c r="AA111" s="103"/>
      <c r="AB111" s="103"/>
      <c r="AC111" s="103"/>
      <c r="AD111" s="103"/>
      <c r="AE111" s="103"/>
      <c r="AF111" s="103"/>
      <c r="AG111" s="103"/>
      <c r="AH111" s="103"/>
      <c r="AI111" s="173"/>
      <c r="AJ111" s="103"/>
      <c r="AK111" s="174"/>
      <c r="AL111" s="175"/>
      <c r="AM111" s="176"/>
      <c r="AP111" s="102"/>
      <c r="AQ111" s="102"/>
      <c r="AR111" s="102"/>
      <c r="AS111" s="102"/>
    </row>
    <row r="112" spans="3:45" x14ac:dyDescent="0.2">
      <c r="C112" s="103"/>
      <c r="D112" s="104"/>
      <c r="E112" s="104"/>
      <c r="F112" s="102"/>
      <c r="G112" s="172"/>
      <c r="H112" s="172"/>
      <c r="I112" s="172"/>
      <c r="J112" s="159"/>
      <c r="K112" s="159"/>
      <c r="L112" s="159"/>
      <c r="M112" s="159"/>
      <c r="N112" s="159"/>
      <c r="O112" s="159"/>
      <c r="P112" s="159"/>
      <c r="Q112" s="159"/>
      <c r="R112" s="159"/>
      <c r="S112" s="159"/>
      <c r="T112" s="159"/>
      <c r="U112" s="159"/>
      <c r="V112" s="159"/>
      <c r="W112" s="159"/>
      <c r="X112" s="103"/>
      <c r="Y112" s="103"/>
      <c r="Z112" s="103"/>
      <c r="AA112" s="103"/>
      <c r="AB112" s="103"/>
      <c r="AC112" s="103"/>
      <c r="AD112" s="103"/>
      <c r="AE112" s="103"/>
      <c r="AF112" s="103"/>
      <c r="AG112" s="103"/>
      <c r="AH112" s="103"/>
      <c r="AI112" s="173"/>
      <c r="AJ112" s="103"/>
      <c r="AK112" s="174"/>
      <c r="AL112" s="175"/>
      <c r="AM112" s="176"/>
      <c r="AP112" s="102"/>
      <c r="AQ112" s="102"/>
      <c r="AR112" s="102"/>
      <c r="AS112" s="102"/>
    </row>
    <row r="113" spans="3:45" x14ac:dyDescent="0.2">
      <c r="C113" s="103"/>
      <c r="D113" s="104"/>
      <c r="E113" s="104"/>
      <c r="F113" s="102"/>
      <c r="G113" s="172"/>
      <c r="H113" s="172"/>
      <c r="I113" s="172"/>
      <c r="J113" s="159"/>
      <c r="K113" s="159"/>
      <c r="L113" s="159"/>
      <c r="M113" s="159"/>
      <c r="N113" s="159"/>
      <c r="O113" s="159"/>
      <c r="P113" s="159"/>
      <c r="Q113" s="159"/>
      <c r="R113" s="159"/>
      <c r="S113" s="159"/>
      <c r="T113" s="159"/>
      <c r="U113" s="159"/>
      <c r="V113" s="159"/>
      <c r="W113" s="159"/>
      <c r="X113" s="103"/>
      <c r="Y113" s="103"/>
      <c r="Z113" s="103"/>
      <c r="AA113" s="103"/>
      <c r="AB113" s="103"/>
      <c r="AC113" s="103"/>
      <c r="AD113" s="103"/>
      <c r="AE113" s="103"/>
      <c r="AF113" s="103"/>
      <c r="AG113" s="103"/>
      <c r="AH113" s="103"/>
      <c r="AI113" s="173"/>
      <c r="AJ113" s="103"/>
      <c r="AK113" s="174"/>
      <c r="AL113" s="175"/>
      <c r="AM113" s="176"/>
      <c r="AP113" s="102"/>
      <c r="AQ113" s="102"/>
      <c r="AR113" s="102"/>
      <c r="AS113" s="102"/>
    </row>
    <row r="114" spans="3:45" x14ac:dyDescent="0.2">
      <c r="C114" s="103"/>
      <c r="D114" s="104"/>
      <c r="E114" s="104"/>
      <c r="F114" s="102"/>
      <c r="G114" s="172"/>
      <c r="H114" s="172"/>
      <c r="I114" s="172"/>
      <c r="J114" s="159"/>
      <c r="K114" s="159"/>
      <c r="L114" s="159"/>
      <c r="M114" s="159"/>
      <c r="N114" s="159"/>
      <c r="O114" s="159"/>
      <c r="P114" s="159"/>
      <c r="Q114" s="159"/>
      <c r="R114" s="159"/>
      <c r="S114" s="159"/>
      <c r="T114" s="159"/>
      <c r="U114" s="159"/>
      <c r="V114" s="159"/>
      <c r="W114" s="159"/>
      <c r="X114" s="103"/>
      <c r="Y114" s="103"/>
      <c r="Z114" s="103"/>
      <c r="AA114" s="103"/>
      <c r="AB114" s="103"/>
      <c r="AC114" s="103"/>
      <c r="AD114" s="103"/>
      <c r="AE114" s="103"/>
      <c r="AF114" s="103"/>
      <c r="AG114" s="103"/>
      <c r="AH114" s="103"/>
      <c r="AI114" s="173"/>
      <c r="AJ114" s="103"/>
      <c r="AK114" s="174"/>
      <c r="AL114" s="175"/>
      <c r="AM114" s="176"/>
      <c r="AP114" s="102"/>
      <c r="AQ114" s="102"/>
      <c r="AR114" s="102"/>
      <c r="AS114" s="102"/>
    </row>
    <row r="115" spans="3:45" x14ac:dyDescent="0.2">
      <c r="C115" s="103"/>
      <c r="D115" s="104"/>
      <c r="E115" s="104"/>
      <c r="F115" s="102"/>
      <c r="G115" s="172"/>
      <c r="H115" s="172"/>
      <c r="I115" s="172"/>
      <c r="J115" s="159"/>
      <c r="K115" s="159"/>
      <c r="L115" s="159"/>
      <c r="M115" s="159"/>
      <c r="N115" s="159"/>
      <c r="O115" s="159"/>
      <c r="P115" s="159"/>
      <c r="Q115" s="159"/>
      <c r="R115" s="159"/>
      <c r="S115" s="159"/>
      <c r="T115" s="159"/>
      <c r="U115" s="159"/>
      <c r="V115" s="159"/>
      <c r="W115" s="159"/>
      <c r="X115" s="103"/>
      <c r="Y115" s="103"/>
      <c r="Z115" s="103"/>
      <c r="AA115" s="103"/>
      <c r="AB115" s="103"/>
      <c r="AC115" s="103"/>
      <c r="AD115" s="103"/>
      <c r="AE115" s="103"/>
      <c r="AF115" s="103"/>
      <c r="AG115" s="103"/>
      <c r="AH115" s="103"/>
      <c r="AI115" s="173"/>
      <c r="AJ115" s="103"/>
      <c r="AK115" s="174"/>
      <c r="AL115" s="175"/>
      <c r="AM115" s="176"/>
      <c r="AP115" s="102"/>
      <c r="AQ115" s="102"/>
      <c r="AR115" s="102"/>
      <c r="AS115" s="102"/>
    </row>
    <row r="116" spans="3:45" x14ac:dyDescent="0.2">
      <c r="C116" s="103"/>
      <c r="D116" s="104"/>
      <c r="E116" s="104"/>
      <c r="F116" s="102"/>
      <c r="G116" s="172"/>
      <c r="H116" s="172"/>
      <c r="I116" s="172"/>
      <c r="J116" s="159"/>
      <c r="K116" s="159"/>
      <c r="L116" s="159"/>
      <c r="M116" s="159"/>
      <c r="N116" s="159"/>
      <c r="O116" s="159"/>
      <c r="P116" s="159"/>
      <c r="Q116" s="159"/>
      <c r="R116" s="159"/>
      <c r="S116" s="159"/>
      <c r="T116" s="159"/>
      <c r="U116" s="159"/>
      <c r="V116" s="159"/>
      <c r="W116" s="159"/>
      <c r="X116" s="103"/>
      <c r="Y116" s="103"/>
      <c r="Z116" s="103"/>
      <c r="AA116" s="103"/>
      <c r="AB116" s="103"/>
      <c r="AC116" s="103"/>
      <c r="AD116" s="103"/>
      <c r="AE116" s="103"/>
      <c r="AF116" s="103"/>
      <c r="AG116" s="103"/>
      <c r="AH116" s="103"/>
      <c r="AI116" s="173"/>
      <c r="AJ116" s="103"/>
      <c r="AK116" s="174"/>
      <c r="AL116" s="175"/>
      <c r="AM116" s="176"/>
      <c r="AP116" s="102"/>
      <c r="AQ116" s="102"/>
      <c r="AR116" s="102"/>
      <c r="AS116" s="102"/>
    </row>
    <row r="117" spans="3:45" x14ac:dyDescent="0.2">
      <c r="C117" s="103"/>
      <c r="D117" s="104"/>
      <c r="E117" s="104"/>
      <c r="F117" s="102"/>
      <c r="G117" s="172"/>
      <c r="H117" s="172"/>
      <c r="I117" s="172"/>
      <c r="J117" s="159"/>
      <c r="K117" s="159"/>
      <c r="L117" s="159"/>
      <c r="M117" s="159"/>
      <c r="N117" s="159"/>
      <c r="O117" s="159"/>
      <c r="P117" s="159"/>
      <c r="Q117" s="159"/>
      <c r="R117" s="159"/>
      <c r="S117" s="159"/>
      <c r="T117" s="159"/>
      <c r="U117" s="159"/>
      <c r="V117" s="159"/>
      <c r="W117" s="159"/>
      <c r="X117" s="103"/>
      <c r="Y117" s="103"/>
      <c r="Z117" s="103"/>
      <c r="AA117" s="103"/>
      <c r="AB117" s="103"/>
      <c r="AC117" s="103"/>
      <c r="AD117" s="103"/>
      <c r="AE117" s="103"/>
      <c r="AF117" s="103"/>
      <c r="AG117" s="103"/>
      <c r="AH117" s="103"/>
      <c r="AI117" s="173"/>
      <c r="AJ117" s="103"/>
      <c r="AK117" s="174"/>
      <c r="AL117" s="175"/>
      <c r="AM117" s="176"/>
      <c r="AP117" s="102"/>
      <c r="AQ117" s="102"/>
      <c r="AR117" s="102"/>
      <c r="AS117" s="102"/>
    </row>
    <row r="118" spans="3:45" x14ac:dyDescent="0.2">
      <c r="C118" s="103"/>
      <c r="D118" s="104"/>
      <c r="E118" s="104"/>
      <c r="F118" s="102"/>
      <c r="G118" s="172"/>
      <c r="H118" s="172"/>
      <c r="I118" s="172"/>
      <c r="J118" s="159"/>
      <c r="K118" s="159"/>
      <c r="L118" s="159"/>
      <c r="M118" s="159"/>
      <c r="N118" s="159"/>
      <c r="O118" s="159"/>
      <c r="P118" s="159"/>
      <c r="Q118" s="159"/>
      <c r="R118" s="159"/>
      <c r="S118" s="159"/>
      <c r="T118" s="159"/>
      <c r="U118" s="159"/>
      <c r="V118" s="159"/>
      <c r="W118" s="159"/>
      <c r="X118" s="103"/>
      <c r="Y118" s="103"/>
      <c r="Z118" s="103"/>
      <c r="AA118" s="103"/>
      <c r="AB118" s="103"/>
      <c r="AC118" s="103"/>
      <c r="AD118" s="103"/>
      <c r="AE118" s="103"/>
      <c r="AF118" s="103"/>
      <c r="AG118" s="103"/>
      <c r="AH118" s="103"/>
      <c r="AI118" s="173"/>
      <c r="AJ118" s="103"/>
      <c r="AK118" s="174"/>
      <c r="AL118" s="175"/>
      <c r="AM118" s="176"/>
      <c r="AP118" s="102"/>
      <c r="AQ118" s="102"/>
      <c r="AR118" s="102"/>
      <c r="AS118" s="102"/>
    </row>
    <row r="119" spans="3:45" x14ac:dyDescent="0.2">
      <c r="C119" s="103"/>
      <c r="D119" s="104"/>
      <c r="E119" s="104"/>
      <c r="F119" s="102"/>
      <c r="G119" s="172"/>
      <c r="H119" s="172"/>
      <c r="I119" s="172"/>
      <c r="J119" s="159"/>
      <c r="K119" s="159"/>
      <c r="L119" s="159"/>
      <c r="M119" s="159"/>
      <c r="N119" s="159"/>
      <c r="O119" s="159"/>
      <c r="P119" s="159"/>
      <c r="Q119" s="159"/>
      <c r="R119" s="159"/>
      <c r="S119" s="159"/>
      <c r="T119" s="159"/>
      <c r="U119" s="159"/>
      <c r="V119" s="159"/>
      <c r="W119" s="159"/>
      <c r="X119" s="103"/>
      <c r="Y119" s="103"/>
      <c r="Z119" s="103"/>
      <c r="AA119" s="103"/>
      <c r="AB119" s="103"/>
      <c r="AC119" s="103"/>
      <c r="AD119" s="103"/>
      <c r="AE119" s="103"/>
      <c r="AF119" s="103"/>
      <c r="AG119" s="103"/>
      <c r="AH119" s="103"/>
      <c r="AI119" s="173"/>
      <c r="AJ119" s="103"/>
      <c r="AK119" s="174"/>
      <c r="AL119" s="175"/>
      <c r="AM119" s="176"/>
      <c r="AP119" s="102"/>
      <c r="AQ119" s="102"/>
      <c r="AR119" s="102"/>
      <c r="AS119" s="102"/>
    </row>
    <row r="120" spans="3:45" x14ac:dyDescent="0.2">
      <c r="C120" s="103"/>
      <c r="D120" s="104"/>
      <c r="E120" s="104"/>
      <c r="F120" s="102"/>
      <c r="G120" s="172"/>
      <c r="H120" s="172"/>
      <c r="I120" s="172"/>
      <c r="J120" s="159"/>
      <c r="K120" s="159"/>
      <c r="L120" s="159"/>
      <c r="M120" s="159"/>
      <c r="N120" s="159"/>
      <c r="O120" s="159"/>
      <c r="P120" s="159"/>
      <c r="Q120" s="159"/>
      <c r="R120" s="159"/>
      <c r="S120" s="159"/>
      <c r="T120" s="159"/>
      <c r="U120" s="159"/>
      <c r="V120" s="159"/>
      <c r="W120" s="159"/>
      <c r="X120" s="103"/>
      <c r="Y120" s="103"/>
      <c r="Z120" s="103"/>
      <c r="AA120" s="103"/>
      <c r="AB120" s="103"/>
      <c r="AC120" s="103"/>
      <c r="AD120" s="103"/>
      <c r="AE120" s="103"/>
      <c r="AF120" s="103"/>
      <c r="AG120" s="103"/>
      <c r="AH120" s="103"/>
      <c r="AI120" s="173"/>
      <c r="AJ120" s="103"/>
      <c r="AK120" s="174"/>
      <c r="AL120" s="175"/>
      <c r="AM120" s="176"/>
      <c r="AP120" s="102"/>
      <c r="AQ120" s="102"/>
      <c r="AR120" s="102"/>
      <c r="AS120" s="102"/>
    </row>
    <row r="121" spans="3:45" x14ac:dyDescent="0.2">
      <c r="C121" s="103"/>
      <c r="D121" s="104"/>
      <c r="E121" s="104"/>
      <c r="F121" s="102"/>
      <c r="G121" s="172"/>
      <c r="H121" s="172"/>
      <c r="I121" s="172"/>
      <c r="J121" s="159"/>
      <c r="K121" s="159"/>
      <c r="L121" s="159"/>
      <c r="M121" s="159"/>
      <c r="N121" s="159"/>
      <c r="O121" s="159"/>
      <c r="P121" s="159"/>
      <c r="Q121" s="159"/>
      <c r="R121" s="159"/>
      <c r="S121" s="159"/>
      <c r="T121" s="159"/>
      <c r="U121" s="159"/>
      <c r="V121" s="159"/>
      <c r="W121" s="159"/>
      <c r="X121" s="103"/>
      <c r="Y121" s="103"/>
      <c r="Z121" s="103"/>
      <c r="AA121" s="103"/>
      <c r="AB121" s="103"/>
      <c r="AC121" s="103"/>
      <c r="AD121" s="103"/>
      <c r="AE121" s="103"/>
      <c r="AF121" s="103"/>
      <c r="AG121" s="103"/>
      <c r="AH121" s="103"/>
      <c r="AI121" s="173"/>
      <c r="AJ121" s="103"/>
      <c r="AK121" s="174"/>
      <c r="AL121" s="175"/>
      <c r="AM121" s="176"/>
      <c r="AP121" s="102"/>
      <c r="AQ121" s="102"/>
      <c r="AR121" s="102"/>
      <c r="AS121" s="102"/>
    </row>
    <row r="122" spans="3:45" x14ac:dyDescent="0.2">
      <c r="C122" s="103"/>
      <c r="D122" s="104"/>
      <c r="E122" s="104"/>
      <c r="F122" s="102"/>
      <c r="G122" s="172"/>
      <c r="H122" s="172"/>
      <c r="I122" s="172"/>
      <c r="J122" s="159"/>
      <c r="K122" s="159"/>
      <c r="L122" s="159"/>
      <c r="M122" s="159"/>
      <c r="N122" s="159"/>
      <c r="O122" s="159"/>
      <c r="P122" s="159"/>
      <c r="Q122" s="159"/>
      <c r="R122" s="159"/>
      <c r="S122" s="159"/>
      <c r="T122" s="159"/>
      <c r="U122" s="159"/>
      <c r="V122" s="159"/>
      <c r="W122" s="159"/>
      <c r="X122" s="103"/>
      <c r="Y122" s="103"/>
      <c r="Z122" s="103"/>
      <c r="AA122" s="103"/>
      <c r="AB122" s="103"/>
      <c r="AC122" s="103"/>
      <c r="AD122" s="103"/>
      <c r="AE122" s="103"/>
      <c r="AF122" s="103"/>
      <c r="AG122" s="103"/>
      <c r="AH122" s="103"/>
      <c r="AI122" s="173"/>
      <c r="AJ122" s="103"/>
      <c r="AK122" s="174"/>
      <c r="AL122" s="175"/>
      <c r="AM122" s="176"/>
      <c r="AP122" s="102"/>
      <c r="AQ122" s="102"/>
      <c r="AR122" s="102"/>
      <c r="AS122" s="102"/>
    </row>
    <row r="123" spans="3:45" x14ac:dyDescent="0.2">
      <c r="C123" s="103"/>
      <c r="D123" s="104"/>
      <c r="E123" s="104"/>
      <c r="F123" s="102"/>
      <c r="G123" s="172"/>
      <c r="H123" s="172"/>
      <c r="I123" s="172"/>
      <c r="J123" s="159"/>
      <c r="K123" s="159"/>
      <c r="L123" s="159"/>
      <c r="M123" s="159"/>
      <c r="N123" s="159"/>
      <c r="O123" s="159"/>
      <c r="P123" s="159"/>
      <c r="Q123" s="159"/>
      <c r="R123" s="159"/>
      <c r="S123" s="159"/>
      <c r="T123" s="159"/>
      <c r="U123" s="159"/>
      <c r="V123" s="159"/>
      <c r="W123" s="159"/>
      <c r="X123" s="103"/>
      <c r="Y123" s="103"/>
      <c r="Z123" s="103"/>
      <c r="AA123" s="103"/>
      <c r="AB123" s="103"/>
      <c r="AC123" s="103"/>
      <c r="AD123" s="103"/>
      <c r="AE123" s="103"/>
      <c r="AF123" s="103"/>
      <c r="AG123" s="103"/>
      <c r="AH123" s="103"/>
      <c r="AI123" s="173"/>
      <c r="AJ123" s="103"/>
      <c r="AK123" s="174"/>
      <c r="AL123" s="175"/>
      <c r="AM123" s="176"/>
      <c r="AP123" s="102"/>
      <c r="AQ123" s="102"/>
      <c r="AR123" s="102"/>
      <c r="AS123" s="102"/>
    </row>
    <row r="124" spans="3:45" x14ac:dyDescent="0.2">
      <c r="C124" s="103"/>
      <c r="D124" s="104"/>
      <c r="E124" s="104"/>
      <c r="F124" s="102"/>
      <c r="G124" s="172"/>
      <c r="H124" s="172"/>
      <c r="I124" s="172"/>
      <c r="J124" s="159"/>
      <c r="K124" s="159"/>
      <c r="L124" s="159"/>
      <c r="M124" s="159"/>
      <c r="N124" s="159"/>
      <c r="O124" s="159"/>
      <c r="P124" s="159"/>
      <c r="Q124" s="159"/>
      <c r="R124" s="159"/>
      <c r="S124" s="159"/>
      <c r="T124" s="159"/>
      <c r="U124" s="159"/>
      <c r="V124" s="159"/>
      <c r="W124" s="159"/>
      <c r="X124" s="103"/>
      <c r="Y124" s="103"/>
      <c r="Z124" s="103"/>
      <c r="AA124" s="103"/>
      <c r="AB124" s="103"/>
      <c r="AC124" s="103"/>
      <c r="AD124" s="103"/>
      <c r="AE124" s="103"/>
      <c r="AF124" s="103"/>
      <c r="AG124" s="103"/>
      <c r="AH124" s="103"/>
      <c r="AI124" s="173"/>
      <c r="AJ124" s="103"/>
      <c r="AK124" s="174"/>
      <c r="AL124" s="175"/>
      <c r="AM124" s="176"/>
      <c r="AP124" s="102"/>
      <c r="AQ124" s="102"/>
      <c r="AR124" s="102"/>
      <c r="AS124" s="102"/>
    </row>
    <row r="125" spans="3:45" x14ac:dyDescent="0.2">
      <c r="C125" s="103"/>
      <c r="D125" s="104"/>
      <c r="E125" s="104"/>
      <c r="F125" s="102"/>
      <c r="G125" s="172"/>
      <c r="H125" s="172"/>
      <c r="I125" s="172"/>
      <c r="J125" s="159"/>
      <c r="K125" s="159"/>
      <c r="L125" s="159"/>
      <c r="M125" s="159"/>
      <c r="N125" s="159"/>
      <c r="O125" s="159"/>
      <c r="P125" s="159"/>
      <c r="Q125" s="159"/>
      <c r="R125" s="159"/>
      <c r="S125" s="159"/>
      <c r="T125" s="159"/>
      <c r="U125" s="159"/>
      <c r="V125" s="159"/>
      <c r="W125" s="159"/>
      <c r="X125" s="103"/>
      <c r="Y125" s="103"/>
      <c r="Z125" s="103"/>
      <c r="AA125" s="103"/>
      <c r="AB125" s="103"/>
      <c r="AC125" s="103"/>
      <c r="AD125" s="103"/>
      <c r="AE125" s="103"/>
      <c r="AF125" s="103"/>
      <c r="AG125" s="103"/>
      <c r="AH125" s="103"/>
      <c r="AI125" s="173"/>
      <c r="AJ125" s="103"/>
      <c r="AK125" s="174"/>
      <c r="AL125" s="175"/>
      <c r="AM125" s="176"/>
      <c r="AP125" s="102"/>
      <c r="AQ125" s="102"/>
      <c r="AR125" s="102"/>
      <c r="AS125" s="102"/>
    </row>
    <row r="126" spans="3:45" x14ac:dyDescent="0.2">
      <c r="C126" s="103"/>
      <c r="D126" s="104"/>
      <c r="E126" s="104"/>
      <c r="F126" s="102"/>
      <c r="G126" s="172"/>
      <c r="H126" s="172"/>
      <c r="I126" s="172"/>
      <c r="J126" s="159"/>
      <c r="K126" s="159"/>
      <c r="L126" s="159"/>
      <c r="M126" s="159"/>
      <c r="N126" s="159"/>
      <c r="O126" s="159"/>
      <c r="P126" s="159"/>
      <c r="Q126" s="159"/>
      <c r="R126" s="159"/>
      <c r="S126" s="159"/>
      <c r="T126" s="159"/>
      <c r="U126" s="159"/>
      <c r="V126" s="159"/>
      <c r="W126" s="159"/>
      <c r="X126" s="103"/>
      <c r="Y126" s="103"/>
      <c r="Z126" s="103"/>
      <c r="AA126" s="103"/>
      <c r="AB126" s="103"/>
      <c r="AC126" s="103"/>
      <c r="AD126" s="103"/>
      <c r="AE126" s="103"/>
      <c r="AF126" s="103"/>
      <c r="AG126" s="103"/>
      <c r="AH126" s="103"/>
      <c r="AI126" s="173"/>
      <c r="AJ126" s="103"/>
      <c r="AK126" s="174"/>
      <c r="AL126" s="175"/>
      <c r="AM126" s="176"/>
      <c r="AP126" s="102"/>
      <c r="AQ126" s="102"/>
      <c r="AR126" s="102"/>
      <c r="AS126" s="102"/>
    </row>
    <row r="127" spans="3:45" x14ac:dyDescent="0.2">
      <c r="C127" s="103"/>
      <c r="D127" s="104"/>
      <c r="E127" s="104"/>
      <c r="F127" s="102"/>
      <c r="G127" s="172"/>
      <c r="H127" s="172"/>
      <c r="I127" s="172"/>
      <c r="J127" s="159"/>
      <c r="K127" s="159"/>
      <c r="L127" s="159"/>
      <c r="M127" s="159"/>
      <c r="N127" s="159"/>
      <c r="O127" s="159"/>
      <c r="P127" s="159"/>
      <c r="Q127" s="159"/>
      <c r="R127" s="159"/>
      <c r="S127" s="159"/>
      <c r="T127" s="159"/>
      <c r="U127" s="159"/>
      <c r="V127" s="159"/>
      <c r="W127" s="159"/>
      <c r="X127" s="103"/>
      <c r="Y127" s="103"/>
      <c r="Z127" s="103"/>
      <c r="AA127" s="103"/>
      <c r="AB127" s="103"/>
      <c r="AC127" s="103"/>
      <c r="AD127" s="103"/>
      <c r="AE127" s="103"/>
      <c r="AF127" s="103"/>
      <c r="AG127" s="103"/>
      <c r="AH127" s="103"/>
      <c r="AI127" s="173"/>
      <c r="AJ127" s="103"/>
      <c r="AK127" s="174"/>
      <c r="AL127" s="175"/>
      <c r="AM127" s="176"/>
      <c r="AP127" s="102"/>
      <c r="AQ127" s="102"/>
      <c r="AR127" s="102"/>
      <c r="AS127" s="102"/>
    </row>
    <row r="128" spans="3:45" x14ac:dyDescent="0.2">
      <c r="C128" s="103"/>
      <c r="D128" s="104"/>
      <c r="E128" s="104"/>
      <c r="F128" s="102"/>
      <c r="G128" s="172"/>
      <c r="H128" s="172"/>
      <c r="I128" s="172"/>
      <c r="J128" s="159"/>
      <c r="K128" s="159"/>
      <c r="L128" s="159"/>
      <c r="M128" s="159"/>
      <c r="N128" s="159"/>
      <c r="O128" s="159"/>
      <c r="P128" s="159"/>
      <c r="Q128" s="159"/>
      <c r="R128" s="159"/>
      <c r="S128" s="159"/>
      <c r="T128" s="159"/>
      <c r="U128" s="159"/>
      <c r="V128" s="159"/>
      <c r="W128" s="159"/>
      <c r="X128" s="103"/>
      <c r="Y128" s="103"/>
      <c r="Z128" s="103"/>
      <c r="AA128" s="103"/>
      <c r="AB128" s="103"/>
      <c r="AC128" s="103"/>
      <c r="AD128" s="103"/>
      <c r="AE128" s="103"/>
      <c r="AF128" s="103"/>
      <c r="AG128" s="103"/>
      <c r="AH128" s="103"/>
      <c r="AI128" s="173"/>
      <c r="AJ128" s="103"/>
      <c r="AK128" s="174"/>
      <c r="AL128" s="175"/>
      <c r="AM128" s="176"/>
      <c r="AP128" s="102"/>
      <c r="AQ128" s="102"/>
      <c r="AR128" s="102"/>
      <c r="AS128" s="102"/>
    </row>
    <row r="129" spans="3:45" x14ac:dyDescent="0.2">
      <c r="C129" s="103"/>
      <c r="D129" s="104"/>
      <c r="E129" s="104"/>
      <c r="F129" s="102"/>
      <c r="G129" s="172"/>
      <c r="H129" s="172"/>
      <c r="I129" s="172"/>
      <c r="J129" s="159"/>
      <c r="K129" s="159"/>
      <c r="L129" s="159"/>
      <c r="M129" s="159"/>
      <c r="N129" s="159"/>
      <c r="O129" s="159"/>
      <c r="P129" s="159"/>
      <c r="Q129" s="159"/>
      <c r="R129" s="159"/>
      <c r="S129" s="159"/>
      <c r="T129" s="159"/>
      <c r="U129" s="159"/>
      <c r="V129" s="159"/>
      <c r="W129" s="159"/>
      <c r="X129" s="103"/>
      <c r="Y129" s="103"/>
      <c r="Z129" s="103"/>
      <c r="AA129" s="103"/>
      <c r="AB129" s="103"/>
      <c r="AC129" s="103"/>
      <c r="AD129" s="103"/>
      <c r="AE129" s="103"/>
      <c r="AF129" s="103"/>
      <c r="AG129" s="103"/>
      <c r="AH129" s="103"/>
      <c r="AI129" s="173"/>
      <c r="AJ129" s="103"/>
      <c r="AK129" s="174"/>
      <c r="AL129" s="175"/>
      <c r="AM129" s="176"/>
      <c r="AP129" s="102"/>
      <c r="AQ129" s="102"/>
      <c r="AR129" s="102"/>
      <c r="AS129" s="102"/>
    </row>
    <row r="130" spans="3:45" x14ac:dyDescent="0.2">
      <c r="C130" s="103"/>
      <c r="D130" s="104"/>
      <c r="E130" s="104"/>
      <c r="F130" s="102"/>
      <c r="G130" s="172"/>
      <c r="H130" s="172"/>
      <c r="I130" s="172"/>
      <c r="J130" s="159"/>
      <c r="K130" s="159"/>
      <c r="L130" s="159"/>
      <c r="M130" s="159"/>
      <c r="N130" s="159"/>
      <c r="O130" s="159"/>
      <c r="P130" s="159"/>
      <c r="Q130" s="159"/>
      <c r="R130" s="159"/>
      <c r="S130" s="159"/>
      <c r="T130" s="159"/>
      <c r="U130" s="159"/>
      <c r="V130" s="159"/>
      <c r="W130" s="159"/>
      <c r="X130" s="103"/>
      <c r="Y130" s="103"/>
      <c r="Z130" s="103"/>
      <c r="AA130" s="103"/>
      <c r="AB130" s="103"/>
      <c r="AC130" s="103"/>
      <c r="AD130" s="103"/>
      <c r="AE130" s="103"/>
      <c r="AF130" s="103"/>
      <c r="AG130" s="103"/>
      <c r="AH130" s="103"/>
      <c r="AI130" s="173"/>
      <c r="AJ130" s="103"/>
      <c r="AK130" s="174"/>
      <c r="AL130" s="175"/>
      <c r="AM130" s="176"/>
      <c r="AP130" s="102"/>
      <c r="AQ130" s="102"/>
      <c r="AR130" s="102"/>
      <c r="AS130" s="102"/>
    </row>
    <row r="131" spans="3:45" x14ac:dyDescent="0.2">
      <c r="C131" s="103"/>
      <c r="D131" s="104"/>
      <c r="E131" s="104"/>
      <c r="F131" s="102"/>
      <c r="G131" s="172"/>
      <c r="H131" s="172"/>
      <c r="I131" s="172"/>
      <c r="J131" s="159"/>
      <c r="K131" s="159"/>
      <c r="L131" s="159"/>
      <c r="M131" s="159"/>
      <c r="N131" s="159"/>
      <c r="O131" s="159"/>
      <c r="P131" s="159"/>
      <c r="Q131" s="159"/>
      <c r="R131" s="159"/>
      <c r="S131" s="159"/>
      <c r="T131" s="159"/>
      <c r="U131" s="159"/>
      <c r="V131" s="159"/>
      <c r="W131" s="159"/>
      <c r="X131" s="103"/>
      <c r="Y131" s="103"/>
      <c r="Z131" s="103"/>
      <c r="AA131" s="103"/>
      <c r="AB131" s="103"/>
      <c r="AC131" s="103"/>
      <c r="AD131" s="103"/>
      <c r="AE131" s="103"/>
      <c r="AF131" s="103"/>
      <c r="AG131" s="103"/>
      <c r="AH131" s="103"/>
      <c r="AI131" s="173"/>
      <c r="AJ131" s="103"/>
      <c r="AK131" s="174"/>
      <c r="AL131" s="175"/>
      <c r="AM131" s="176"/>
      <c r="AP131" s="102"/>
      <c r="AQ131" s="102"/>
      <c r="AR131" s="102"/>
      <c r="AS131" s="102"/>
    </row>
    <row r="132" spans="3:45" x14ac:dyDescent="0.2">
      <c r="C132" s="103"/>
      <c r="D132" s="104"/>
      <c r="E132" s="104"/>
      <c r="F132" s="102"/>
      <c r="G132" s="172"/>
      <c r="H132" s="172"/>
      <c r="I132" s="172"/>
      <c r="J132" s="159"/>
      <c r="K132" s="159"/>
      <c r="L132" s="159"/>
      <c r="M132" s="159"/>
      <c r="N132" s="159"/>
      <c r="O132" s="159"/>
      <c r="P132" s="159"/>
      <c r="Q132" s="159"/>
      <c r="R132" s="159"/>
      <c r="S132" s="159"/>
      <c r="T132" s="159"/>
      <c r="U132" s="159"/>
      <c r="V132" s="159"/>
      <c r="W132" s="159"/>
      <c r="X132" s="103"/>
      <c r="Y132" s="103"/>
      <c r="Z132" s="103"/>
      <c r="AA132" s="103"/>
      <c r="AB132" s="103"/>
      <c r="AC132" s="103"/>
      <c r="AD132" s="103"/>
      <c r="AE132" s="103"/>
      <c r="AF132" s="103"/>
      <c r="AG132" s="103"/>
      <c r="AH132" s="103"/>
      <c r="AI132" s="173"/>
      <c r="AJ132" s="103"/>
      <c r="AK132" s="174"/>
      <c r="AL132" s="175"/>
      <c r="AM132" s="176"/>
      <c r="AP132" s="102"/>
      <c r="AQ132" s="102"/>
      <c r="AR132" s="102"/>
      <c r="AS132" s="102"/>
    </row>
    <row r="133" spans="3:45" x14ac:dyDescent="0.2">
      <c r="C133" s="103"/>
      <c r="D133" s="104"/>
      <c r="E133" s="104"/>
      <c r="F133" s="102"/>
      <c r="G133" s="172"/>
      <c r="H133" s="172"/>
      <c r="I133" s="172"/>
      <c r="J133" s="159"/>
      <c r="K133" s="159"/>
      <c r="L133" s="159"/>
      <c r="M133" s="159"/>
      <c r="N133" s="159"/>
      <c r="O133" s="159"/>
      <c r="P133" s="159"/>
      <c r="Q133" s="159"/>
      <c r="R133" s="159"/>
      <c r="S133" s="159"/>
      <c r="T133" s="159"/>
      <c r="U133" s="159"/>
      <c r="V133" s="159"/>
      <c r="W133" s="159"/>
      <c r="X133" s="103"/>
      <c r="Y133" s="103"/>
      <c r="Z133" s="103"/>
      <c r="AA133" s="103"/>
      <c r="AB133" s="103"/>
      <c r="AC133" s="103"/>
      <c r="AD133" s="103"/>
      <c r="AE133" s="103"/>
      <c r="AF133" s="103"/>
      <c r="AG133" s="103"/>
      <c r="AH133" s="103"/>
      <c r="AI133" s="173"/>
      <c r="AJ133" s="103"/>
      <c r="AK133" s="174"/>
      <c r="AL133" s="175"/>
      <c r="AM133" s="176"/>
      <c r="AP133" s="102"/>
      <c r="AQ133" s="102"/>
      <c r="AR133" s="102"/>
      <c r="AS133" s="102"/>
    </row>
    <row r="134" spans="3:45" x14ac:dyDescent="0.2">
      <c r="C134" s="103"/>
      <c r="D134" s="104"/>
      <c r="E134" s="104"/>
      <c r="F134" s="102"/>
      <c r="G134" s="172"/>
      <c r="H134" s="172"/>
      <c r="I134" s="172"/>
      <c r="J134" s="159"/>
      <c r="K134" s="159"/>
      <c r="L134" s="159"/>
      <c r="M134" s="159"/>
      <c r="N134" s="159"/>
      <c r="O134" s="159"/>
      <c r="P134" s="159"/>
      <c r="Q134" s="159"/>
      <c r="R134" s="159"/>
      <c r="S134" s="159"/>
      <c r="T134" s="159"/>
      <c r="U134" s="159"/>
      <c r="V134" s="159"/>
      <c r="W134" s="159"/>
      <c r="X134" s="103"/>
      <c r="Y134" s="103"/>
      <c r="Z134" s="103"/>
      <c r="AA134" s="103"/>
      <c r="AB134" s="103"/>
      <c r="AC134" s="103"/>
      <c r="AD134" s="103"/>
      <c r="AE134" s="103"/>
      <c r="AF134" s="103"/>
      <c r="AG134" s="103"/>
      <c r="AH134" s="103"/>
      <c r="AI134" s="173"/>
      <c r="AJ134" s="103"/>
      <c r="AK134" s="174"/>
      <c r="AL134" s="175"/>
      <c r="AM134" s="176"/>
      <c r="AP134" s="102"/>
      <c r="AQ134" s="102"/>
      <c r="AR134" s="102"/>
      <c r="AS134" s="102"/>
    </row>
    <row r="135" spans="3:45" x14ac:dyDescent="0.2">
      <c r="C135" s="103"/>
      <c r="D135" s="104"/>
      <c r="E135" s="104"/>
      <c r="F135" s="102"/>
      <c r="G135" s="172"/>
      <c r="H135" s="172"/>
      <c r="I135" s="172"/>
      <c r="J135" s="159"/>
      <c r="K135" s="159"/>
      <c r="L135" s="159"/>
      <c r="M135" s="159"/>
      <c r="N135" s="159"/>
      <c r="O135" s="159"/>
      <c r="P135" s="159"/>
      <c r="Q135" s="159"/>
      <c r="R135" s="159"/>
      <c r="S135" s="159"/>
      <c r="T135" s="159"/>
      <c r="U135" s="159"/>
      <c r="V135" s="159"/>
      <c r="W135" s="159"/>
      <c r="X135" s="103"/>
      <c r="Y135" s="103"/>
      <c r="Z135" s="103"/>
      <c r="AA135" s="103"/>
      <c r="AB135" s="103"/>
      <c r="AC135" s="103"/>
      <c r="AD135" s="103"/>
      <c r="AE135" s="103"/>
      <c r="AF135" s="103"/>
      <c r="AG135" s="103"/>
      <c r="AH135" s="103"/>
      <c r="AI135" s="173"/>
      <c r="AJ135" s="103"/>
      <c r="AK135" s="174"/>
      <c r="AL135" s="175"/>
      <c r="AM135" s="176"/>
      <c r="AP135" s="102"/>
      <c r="AQ135" s="102"/>
      <c r="AR135" s="102"/>
      <c r="AS135" s="102"/>
    </row>
    <row r="136" spans="3:45" x14ac:dyDescent="0.2">
      <c r="C136" s="103"/>
      <c r="D136" s="104"/>
      <c r="E136" s="104"/>
      <c r="F136" s="102"/>
      <c r="G136" s="172"/>
      <c r="H136" s="172"/>
      <c r="I136" s="172"/>
      <c r="J136" s="159"/>
      <c r="K136" s="159"/>
      <c r="L136" s="159"/>
      <c r="M136" s="159"/>
      <c r="N136" s="159"/>
      <c r="O136" s="159"/>
      <c r="P136" s="159"/>
      <c r="Q136" s="159"/>
      <c r="R136" s="159"/>
      <c r="S136" s="159"/>
      <c r="T136" s="159"/>
      <c r="U136" s="159"/>
      <c r="V136" s="159"/>
      <c r="W136" s="159"/>
      <c r="X136" s="103"/>
      <c r="Y136" s="103"/>
      <c r="Z136" s="103"/>
      <c r="AA136" s="103"/>
      <c r="AB136" s="103"/>
      <c r="AC136" s="103"/>
      <c r="AD136" s="103"/>
      <c r="AE136" s="103"/>
      <c r="AF136" s="103"/>
      <c r="AG136" s="103"/>
      <c r="AH136" s="103"/>
      <c r="AI136" s="173"/>
      <c r="AJ136" s="103"/>
      <c r="AK136" s="174"/>
      <c r="AL136" s="175"/>
      <c r="AM136" s="176"/>
      <c r="AP136" s="102"/>
      <c r="AQ136" s="102"/>
      <c r="AR136" s="102"/>
      <c r="AS136" s="102"/>
    </row>
    <row r="137" spans="3:45" x14ac:dyDescent="0.2">
      <c r="C137" s="103"/>
      <c r="D137" s="104"/>
      <c r="E137" s="104"/>
      <c r="F137" s="102"/>
      <c r="G137" s="172"/>
      <c r="H137" s="172"/>
      <c r="I137" s="172"/>
      <c r="J137" s="159"/>
      <c r="K137" s="159"/>
      <c r="L137" s="159"/>
      <c r="M137" s="159"/>
      <c r="N137" s="159"/>
      <c r="O137" s="159"/>
      <c r="P137" s="159"/>
      <c r="Q137" s="159"/>
      <c r="R137" s="159"/>
      <c r="S137" s="159"/>
      <c r="T137" s="159"/>
      <c r="U137" s="159"/>
      <c r="V137" s="159"/>
      <c r="W137" s="159"/>
      <c r="X137" s="103"/>
      <c r="Y137" s="103"/>
      <c r="Z137" s="103"/>
      <c r="AA137" s="103"/>
      <c r="AB137" s="103"/>
      <c r="AC137" s="103"/>
      <c r="AD137" s="103"/>
      <c r="AE137" s="103"/>
      <c r="AF137" s="103"/>
      <c r="AG137" s="103"/>
      <c r="AH137" s="103"/>
      <c r="AI137" s="173"/>
      <c r="AJ137" s="103"/>
      <c r="AK137" s="174"/>
      <c r="AL137" s="175"/>
      <c r="AM137" s="176"/>
      <c r="AP137" s="102"/>
      <c r="AQ137" s="102"/>
      <c r="AR137" s="102"/>
      <c r="AS137" s="102"/>
    </row>
    <row r="138" spans="3:45" x14ac:dyDescent="0.2">
      <c r="C138" s="103"/>
      <c r="D138" s="104"/>
      <c r="E138" s="104"/>
      <c r="F138" s="102"/>
      <c r="G138" s="172"/>
      <c r="H138" s="172"/>
      <c r="I138" s="172"/>
      <c r="J138" s="159"/>
      <c r="K138" s="159"/>
      <c r="L138" s="159"/>
      <c r="M138" s="159"/>
      <c r="N138" s="159"/>
      <c r="O138" s="159"/>
      <c r="P138" s="159"/>
      <c r="Q138" s="159"/>
      <c r="R138" s="159"/>
      <c r="S138" s="159"/>
      <c r="T138" s="159"/>
      <c r="U138" s="159"/>
      <c r="V138" s="159"/>
      <c r="W138" s="159"/>
      <c r="X138" s="103"/>
      <c r="Y138" s="103"/>
      <c r="Z138" s="103"/>
      <c r="AA138" s="103"/>
      <c r="AB138" s="103"/>
      <c r="AC138" s="103"/>
      <c r="AD138" s="103"/>
      <c r="AE138" s="103"/>
      <c r="AF138" s="103"/>
      <c r="AG138" s="103"/>
      <c r="AH138" s="103"/>
      <c r="AI138" s="173"/>
      <c r="AJ138" s="103"/>
      <c r="AK138" s="174"/>
      <c r="AL138" s="175"/>
      <c r="AM138" s="176"/>
      <c r="AP138" s="102"/>
      <c r="AQ138" s="102"/>
      <c r="AR138" s="102"/>
      <c r="AS138" s="102"/>
    </row>
    <row r="139" spans="3:45" x14ac:dyDescent="0.2">
      <c r="C139" s="103"/>
      <c r="D139" s="104"/>
      <c r="E139" s="104"/>
      <c r="F139" s="102"/>
      <c r="G139" s="172"/>
      <c r="H139" s="172"/>
      <c r="I139" s="172"/>
      <c r="J139" s="159"/>
      <c r="K139" s="159"/>
      <c r="L139" s="159"/>
      <c r="M139" s="159"/>
      <c r="N139" s="159"/>
      <c r="O139" s="159"/>
      <c r="P139" s="159"/>
      <c r="Q139" s="159"/>
      <c r="R139" s="159"/>
      <c r="S139" s="159"/>
      <c r="T139" s="159"/>
      <c r="U139" s="159"/>
      <c r="V139" s="159"/>
      <c r="W139" s="159"/>
      <c r="X139" s="103"/>
      <c r="Y139" s="103"/>
      <c r="Z139" s="103"/>
      <c r="AA139" s="103"/>
      <c r="AB139" s="103"/>
      <c r="AC139" s="103"/>
      <c r="AD139" s="103"/>
      <c r="AE139" s="103"/>
      <c r="AF139" s="103"/>
      <c r="AG139" s="103"/>
      <c r="AH139" s="103"/>
      <c r="AI139" s="173"/>
      <c r="AJ139" s="103"/>
      <c r="AK139" s="174"/>
      <c r="AL139" s="175"/>
      <c r="AM139" s="176"/>
      <c r="AP139" s="102"/>
      <c r="AQ139" s="102"/>
      <c r="AR139" s="102"/>
      <c r="AS139" s="102"/>
    </row>
    <row r="140" spans="3:45" x14ac:dyDescent="0.2">
      <c r="C140" s="103"/>
      <c r="D140" s="104"/>
      <c r="E140" s="104"/>
      <c r="F140" s="102"/>
      <c r="G140" s="172"/>
      <c r="H140" s="172"/>
      <c r="I140" s="172"/>
      <c r="J140" s="159"/>
      <c r="K140" s="159"/>
      <c r="L140" s="159"/>
      <c r="M140" s="159"/>
      <c r="N140" s="159"/>
      <c r="O140" s="159"/>
      <c r="P140" s="159"/>
      <c r="Q140" s="159"/>
      <c r="R140" s="159"/>
      <c r="S140" s="159"/>
      <c r="T140" s="159"/>
      <c r="U140" s="159"/>
      <c r="V140" s="159"/>
      <c r="W140" s="159"/>
      <c r="X140" s="103"/>
      <c r="Y140" s="103"/>
      <c r="Z140" s="103"/>
      <c r="AA140" s="103"/>
      <c r="AB140" s="103"/>
      <c r="AC140" s="103"/>
      <c r="AD140" s="103"/>
      <c r="AE140" s="103"/>
      <c r="AF140" s="103"/>
      <c r="AG140" s="103"/>
      <c r="AH140" s="103"/>
      <c r="AI140" s="173"/>
      <c r="AJ140" s="103"/>
      <c r="AK140" s="174"/>
      <c r="AL140" s="175"/>
      <c r="AM140" s="176"/>
      <c r="AP140" s="102"/>
      <c r="AQ140" s="102"/>
      <c r="AR140" s="102"/>
      <c r="AS140" s="102"/>
    </row>
    <row r="141" spans="3:45" x14ac:dyDescent="0.2">
      <c r="C141" s="103"/>
      <c r="D141" s="104"/>
      <c r="E141" s="104"/>
      <c r="F141" s="102"/>
      <c r="G141" s="172"/>
      <c r="H141" s="172"/>
      <c r="I141" s="172"/>
      <c r="J141" s="159"/>
      <c r="K141" s="159"/>
      <c r="L141" s="159"/>
      <c r="M141" s="159"/>
      <c r="N141" s="159"/>
      <c r="O141" s="159"/>
      <c r="P141" s="159"/>
      <c r="Q141" s="159"/>
      <c r="R141" s="159"/>
      <c r="S141" s="159"/>
      <c r="T141" s="159"/>
      <c r="U141" s="159"/>
      <c r="V141" s="159"/>
      <c r="W141" s="159"/>
      <c r="X141" s="103"/>
      <c r="Y141" s="103"/>
      <c r="Z141" s="103"/>
      <c r="AA141" s="103"/>
      <c r="AB141" s="103"/>
      <c r="AC141" s="103"/>
      <c r="AD141" s="103"/>
      <c r="AE141" s="103"/>
      <c r="AF141" s="103"/>
      <c r="AG141" s="103"/>
      <c r="AH141" s="103"/>
      <c r="AI141" s="173"/>
      <c r="AJ141" s="103"/>
      <c r="AK141" s="174"/>
      <c r="AL141" s="175"/>
      <c r="AM141" s="176"/>
      <c r="AP141" s="102"/>
      <c r="AQ141" s="102"/>
      <c r="AR141" s="102"/>
      <c r="AS141" s="102"/>
    </row>
    <row r="142" spans="3:45" x14ac:dyDescent="0.2">
      <c r="C142" s="103"/>
      <c r="D142" s="104"/>
      <c r="E142" s="104"/>
      <c r="F142" s="102"/>
      <c r="G142" s="172"/>
      <c r="H142" s="172"/>
      <c r="I142" s="172"/>
      <c r="J142" s="159"/>
      <c r="K142" s="159"/>
      <c r="L142" s="159"/>
      <c r="M142" s="159"/>
      <c r="N142" s="159"/>
      <c r="O142" s="159"/>
      <c r="P142" s="159"/>
      <c r="Q142" s="159"/>
      <c r="R142" s="159"/>
      <c r="S142" s="159"/>
      <c r="T142" s="159"/>
      <c r="U142" s="159"/>
      <c r="V142" s="159"/>
      <c r="W142" s="159"/>
      <c r="X142" s="103"/>
      <c r="Y142" s="103"/>
      <c r="Z142" s="103"/>
      <c r="AA142" s="103"/>
      <c r="AB142" s="103"/>
      <c r="AC142" s="103"/>
      <c r="AD142" s="103"/>
      <c r="AE142" s="103"/>
      <c r="AF142" s="103"/>
      <c r="AG142" s="103"/>
      <c r="AH142" s="103"/>
      <c r="AI142" s="173"/>
      <c r="AJ142" s="103"/>
      <c r="AK142" s="174"/>
      <c r="AL142" s="175"/>
      <c r="AM142" s="176"/>
      <c r="AP142" s="102"/>
      <c r="AQ142" s="102"/>
      <c r="AR142" s="102"/>
      <c r="AS142" s="102"/>
    </row>
    <row r="143" spans="3:45" x14ac:dyDescent="0.2">
      <c r="C143" s="103"/>
      <c r="D143" s="104"/>
      <c r="E143" s="104"/>
      <c r="F143" s="102"/>
      <c r="G143" s="172"/>
      <c r="H143" s="172"/>
      <c r="I143" s="172"/>
      <c r="J143" s="159"/>
      <c r="K143" s="159"/>
      <c r="L143" s="159"/>
      <c r="M143" s="159"/>
      <c r="N143" s="159"/>
      <c r="O143" s="159"/>
      <c r="P143" s="159"/>
      <c r="Q143" s="159"/>
      <c r="R143" s="159"/>
      <c r="S143" s="159"/>
      <c r="T143" s="159"/>
      <c r="U143" s="159"/>
      <c r="V143" s="159"/>
      <c r="W143" s="159"/>
      <c r="X143" s="103"/>
      <c r="Y143" s="103"/>
      <c r="Z143" s="103"/>
      <c r="AA143" s="103"/>
      <c r="AB143" s="103"/>
      <c r="AC143" s="103"/>
      <c r="AD143" s="103"/>
      <c r="AE143" s="103"/>
      <c r="AF143" s="103"/>
      <c r="AG143" s="103"/>
      <c r="AH143" s="103"/>
      <c r="AI143" s="173"/>
      <c r="AJ143" s="103"/>
      <c r="AK143" s="174"/>
      <c r="AL143" s="175"/>
      <c r="AM143" s="176"/>
      <c r="AP143" s="102"/>
      <c r="AQ143" s="102"/>
      <c r="AR143" s="102"/>
      <c r="AS143" s="102"/>
    </row>
    <row r="144" spans="3:45" x14ac:dyDescent="0.2">
      <c r="C144" s="103"/>
      <c r="D144" s="104"/>
      <c r="E144" s="104"/>
      <c r="F144" s="102"/>
      <c r="G144" s="172"/>
      <c r="H144" s="172"/>
      <c r="I144" s="172"/>
      <c r="J144" s="159"/>
      <c r="K144" s="159"/>
      <c r="L144" s="159"/>
      <c r="M144" s="159"/>
      <c r="N144" s="159"/>
      <c r="O144" s="159"/>
      <c r="P144" s="159"/>
      <c r="Q144" s="159"/>
      <c r="R144" s="159"/>
      <c r="S144" s="159"/>
      <c r="T144" s="159"/>
      <c r="U144" s="159"/>
      <c r="V144" s="159"/>
      <c r="W144" s="159"/>
      <c r="X144" s="103"/>
      <c r="Y144" s="103"/>
      <c r="Z144" s="103"/>
      <c r="AA144" s="103"/>
      <c r="AB144" s="103"/>
      <c r="AC144" s="103"/>
      <c r="AD144" s="103"/>
      <c r="AE144" s="103"/>
      <c r="AF144" s="103"/>
      <c r="AG144" s="103"/>
      <c r="AH144" s="103"/>
      <c r="AI144" s="173"/>
      <c r="AJ144" s="103"/>
      <c r="AK144" s="174"/>
      <c r="AL144" s="175"/>
      <c r="AM144" s="176"/>
      <c r="AP144" s="102"/>
      <c r="AQ144" s="102"/>
      <c r="AR144" s="102"/>
      <c r="AS144" s="102"/>
    </row>
    <row r="145" spans="3:45" x14ac:dyDescent="0.2">
      <c r="C145" s="103"/>
      <c r="D145" s="104"/>
      <c r="E145" s="104"/>
      <c r="F145" s="102"/>
      <c r="G145" s="172"/>
      <c r="H145" s="172"/>
      <c r="I145" s="172"/>
      <c r="J145" s="159"/>
      <c r="K145" s="159"/>
      <c r="L145" s="159"/>
      <c r="M145" s="159"/>
      <c r="N145" s="159"/>
      <c r="O145" s="159"/>
      <c r="P145" s="159"/>
      <c r="Q145" s="159"/>
      <c r="R145" s="159"/>
      <c r="S145" s="159"/>
      <c r="T145" s="159"/>
      <c r="U145" s="159"/>
      <c r="V145" s="159"/>
      <c r="W145" s="159"/>
      <c r="X145" s="103"/>
      <c r="Y145" s="103"/>
      <c r="Z145" s="103"/>
      <c r="AA145" s="103"/>
      <c r="AB145" s="103"/>
      <c r="AC145" s="103"/>
      <c r="AD145" s="103"/>
      <c r="AE145" s="103"/>
      <c r="AF145" s="103"/>
      <c r="AG145" s="103"/>
      <c r="AH145" s="103"/>
      <c r="AI145" s="173"/>
      <c r="AJ145" s="103"/>
      <c r="AK145" s="174"/>
      <c r="AL145" s="175"/>
      <c r="AM145" s="176"/>
      <c r="AP145" s="102"/>
      <c r="AQ145" s="102"/>
      <c r="AR145" s="102"/>
      <c r="AS145" s="102"/>
    </row>
    <row r="146" spans="3:45" x14ac:dyDescent="0.2">
      <c r="C146" s="103"/>
      <c r="D146" s="104"/>
      <c r="E146" s="104"/>
      <c r="F146" s="102"/>
      <c r="G146" s="172"/>
      <c r="H146" s="172"/>
      <c r="I146" s="172"/>
      <c r="J146" s="159"/>
      <c r="K146" s="159"/>
      <c r="L146" s="159"/>
      <c r="M146" s="159"/>
      <c r="N146" s="159"/>
      <c r="O146" s="159"/>
      <c r="P146" s="159"/>
      <c r="Q146" s="159"/>
      <c r="R146" s="159"/>
      <c r="S146" s="159"/>
      <c r="T146" s="159"/>
      <c r="U146" s="159"/>
      <c r="V146" s="159"/>
      <c r="W146" s="159"/>
      <c r="X146" s="103"/>
      <c r="Y146" s="103"/>
      <c r="Z146" s="103"/>
      <c r="AA146" s="103"/>
      <c r="AB146" s="103"/>
      <c r="AC146" s="103"/>
      <c r="AD146" s="103"/>
      <c r="AE146" s="103"/>
      <c r="AF146" s="103"/>
      <c r="AG146" s="103"/>
      <c r="AH146" s="103"/>
      <c r="AI146" s="173"/>
      <c r="AJ146" s="103"/>
      <c r="AK146" s="174"/>
      <c r="AL146" s="175"/>
      <c r="AM146" s="176"/>
      <c r="AP146" s="102"/>
      <c r="AQ146" s="102"/>
      <c r="AR146" s="102"/>
      <c r="AS146" s="102"/>
    </row>
    <row r="147" spans="3:45" x14ac:dyDescent="0.2">
      <c r="C147" s="103"/>
      <c r="D147" s="104"/>
      <c r="E147" s="104"/>
      <c r="F147" s="102"/>
      <c r="G147" s="172"/>
      <c r="H147" s="172"/>
      <c r="I147" s="172"/>
      <c r="J147" s="159"/>
      <c r="K147" s="159"/>
      <c r="L147" s="159"/>
      <c r="M147" s="159"/>
      <c r="N147" s="159"/>
      <c r="O147" s="159"/>
      <c r="P147" s="159"/>
      <c r="Q147" s="159"/>
      <c r="R147" s="159"/>
      <c r="S147" s="159"/>
      <c r="T147" s="159"/>
      <c r="U147" s="159"/>
      <c r="V147" s="159"/>
      <c r="W147" s="159"/>
      <c r="X147" s="103"/>
      <c r="Y147" s="103"/>
      <c r="Z147" s="103"/>
      <c r="AA147" s="103"/>
      <c r="AB147" s="103"/>
      <c r="AC147" s="103"/>
      <c r="AD147" s="103"/>
      <c r="AE147" s="103"/>
      <c r="AF147" s="103"/>
      <c r="AG147" s="103"/>
      <c r="AH147" s="103"/>
      <c r="AI147" s="173"/>
      <c r="AJ147" s="103"/>
      <c r="AK147" s="174"/>
      <c r="AL147" s="175"/>
      <c r="AM147" s="176"/>
      <c r="AP147" s="102"/>
      <c r="AQ147" s="102"/>
      <c r="AR147" s="102"/>
      <c r="AS147" s="102"/>
    </row>
    <row r="148" spans="3:45" x14ac:dyDescent="0.2">
      <c r="C148" s="103"/>
      <c r="D148" s="104"/>
      <c r="E148" s="104"/>
      <c r="F148" s="102"/>
      <c r="G148" s="172"/>
      <c r="H148" s="172"/>
      <c r="I148" s="172"/>
      <c r="J148" s="159"/>
      <c r="K148" s="159"/>
      <c r="L148" s="159"/>
      <c r="M148" s="159"/>
      <c r="N148" s="159"/>
      <c r="O148" s="159"/>
      <c r="P148" s="159"/>
      <c r="Q148" s="159"/>
      <c r="R148" s="159"/>
      <c r="S148" s="159"/>
      <c r="T148" s="159"/>
      <c r="U148" s="159"/>
      <c r="V148" s="159"/>
      <c r="W148" s="159"/>
      <c r="X148" s="103"/>
      <c r="Y148" s="103"/>
      <c r="Z148" s="103"/>
      <c r="AA148" s="103"/>
      <c r="AB148" s="103"/>
      <c r="AC148" s="103"/>
      <c r="AD148" s="103"/>
      <c r="AE148" s="103"/>
      <c r="AF148" s="103"/>
      <c r="AG148" s="103"/>
      <c r="AH148" s="103"/>
      <c r="AI148" s="173"/>
      <c r="AJ148" s="103"/>
      <c r="AK148" s="174"/>
      <c r="AL148" s="175"/>
      <c r="AM148" s="176"/>
      <c r="AP148" s="102"/>
      <c r="AQ148" s="102"/>
      <c r="AR148" s="102"/>
      <c r="AS148" s="102"/>
    </row>
    <row r="149" spans="3:45" x14ac:dyDescent="0.2">
      <c r="C149" s="103"/>
      <c r="D149" s="104"/>
      <c r="E149" s="104"/>
      <c r="F149" s="102"/>
      <c r="G149" s="172"/>
      <c r="H149" s="172"/>
      <c r="I149" s="172"/>
      <c r="J149" s="159"/>
      <c r="K149" s="159"/>
      <c r="L149" s="159"/>
      <c r="M149" s="159"/>
      <c r="N149" s="159"/>
      <c r="O149" s="159"/>
      <c r="P149" s="159"/>
      <c r="Q149" s="159"/>
      <c r="R149" s="159"/>
      <c r="S149" s="159"/>
      <c r="T149" s="159"/>
      <c r="U149" s="159"/>
      <c r="V149" s="159"/>
      <c r="W149" s="159"/>
      <c r="X149" s="103"/>
      <c r="Y149" s="103"/>
      <c r="Z149" s="103"/>
      <c r="AA149" s="103"/>
      <c r="AB149" s="103"/>
      <c r="AC149" s="103"/>
      <c r="AD149" s="103"/>
      <c r="AE149" s="103"/>
      <c r="AF149" s="103"/>
      <c r="AG149" s="103"/>
      <c r="AH149" s="103"/>
      <c r="AI149" s="173"/>
      <c r="AJ149" s="103"/>
      <c r="AK149" s="174"/>
      <c r="AL149" s="175"/>
      <c r="AM149" s="176"/>
      <c r="AP149" s="102"/>
      <c r="AQ149" s="102"/>
      <c r="AR149" s="102"/>
      <c r="AS149" s="102"/>
    </row>
    <row r="150" spans="3:45" x14ac:dyDescent="0.2">
      <c r="C150" s="103"/>
      <c r="D150" s="104"/>
      <c r="E150" s="104"/>
      <c r="F150" s="102"/>
      <c r="G150" s="172"/>
      <c r="H150" s="172"/>
      <c r="I150" s="172"/>
      <c r="J150" s="159"/>
      <c r="K150" s="159"/>
      <c r="L150" s="159"/>
      <c r="M150" s="159"/>
      <c r="N150" s="159"/>
      <c r="O150" s="159"/>
      <c r="P150" s="159"/>
      <c r="Q150" s="159"/>
      <c r="R150" s="159"/>
      <c r="S150" s="159"/>
      <c r="T150" s="159"/>
      <c r="U150" s="159"/>
      <c r="V150" s="159"/>
      <c r="W150" s="159"/>
      <c r="X150" s="103"/>
      <c r="Y150" s="103"/>
      <c r="Z150" s="103"/>
      <c r="AA150" s="103"/>
      <c r="AB150" s="103"/>
      <c r="AC150" s="103"/>
      <c r="AD150" s="103"/>
      <c r="AE150" s="103"/>
      <c r="AF150" s="103"/>
      <c r="AG150" s="103"/>
      <c r="AH150" s="103"/>
      <c r="AI150" s="173"/>
      <c r="AJ150" s="103"/>
      <c r="AK150" s="174"/>
      <c r="AL150" s="175"/>
      <c r="AM150" s="176"/>
      <c r="AP150" s="102"/>
      <c r="AQ150" s="102"/>
      <c r="AR150" s="102"/>
      <c r="AS150" s="102"/>
    </row>
    <row r="151" spans="3:45" x14ac:dyDescent="0.2">
      <c r="C151" s="103"/>
      <c r="D151" s="104"/>
      <c r="E151" s="104"/>
      <c r="F151" s="102"/>
      <c r="G151" s="172"/>
      <c r="H151" s="172"/>
      <c r="I151" s="172"/>
      <c r="J151" s="159"/>
      <c r="K151" s="159"/>
      <c r="L151" s="159"/>
      <c r="M151" s="159"/>
      <c r="N151" s="159"/>
      <c r="O151" s="159"/>
      <c r="P151" s="159"/>
      <c r="Q151" s="159"/>
      <c r="R151" s="159"/>
      <c r="S151" s="159"/>
      <c r="T151" s="159"/>
      <c r="U151" s="159"/>
      <c r="V151" s="159"/>
      <c r="W151" s="159"/>
      <c r="X151" s="103"/>
      <c r="Y151" s="103"/>
      <c r="Z151" s="103"/>
      <c r="AA151" s="103"/>
      <c r="AB151" s="103"/>
      <c r="AC151" s="103"/>
      <c r="AD151" s="103"/>
      <c r="AE151" s="103"/>
      <c r="AF151" s="103"/>
      <c r="AG151" s="103"/>
      <c r="AH151" s="103"/>
      <c r="AI151" s="173"/>
      <c r="AJ151" s="103"/>
      <c r="AK151" s="174"/>
      <c r="AL151" s="175"/>
      <c r="AM151" s="176"/>
      <c r="AP151" s="102"/>
      <c r="AQ151" s="102"/>
      <c r="AR151" s="102"/>
      <c r="AS151" s="102"/>
    </row>
    <row r="152" spans="3:45" x14ac:dyDescent="0.2">
      <c r="C152" s="103"/>
      <c r="D152" s="104"/>
      <c r="E152" s="104"/>
      <c r="F152" s="102"/>
      <c r="G152" s="172"/>
      <c r="H152" s="172"/>
      <c r="I152" s="172"/>
      <c r="J152" s="159"/>
      <c r="K152" s="159"/>
      <c r="L152" s="159"/>
      <c r="M152" s="159"/>
      <c r="N152" s="159"/>
      <c r="O152" s="159"/>
      <c r="P152" s="159"/>
      <c r="Q152" s="159"/>
      <c r="R152" s="159"/>
      <c r="S152" s="159"/>
      <c r="T152" s="159"/>
      <c r="U152" s="159"/>
      <c r="V152" s="159"/>
      <c r="W152" s="159"/>
      <c r="X152" s="103"/>
      <c r="Y152" s="103"/>
      <c r="Z152" s="103"/>
      <c r="AA152" s="103"/>
      <c r="AB152" s="103"/>
      <c r="AC152" s="103"/>
      <c r="AD152" s="103"/>
      <c r="AE152" s="103"/>
      <c r="AF152" s="103"/>
      <c r="AG152" s="103"/>
      <c r="AH152" s="103"/>
      <c r="AI152" s="173"/>
      <c r="AJ152" s="103"/>
      <c r="AK152" s="174"/>
      <c r="AL152" s="175"/>
      <c r="AM152" s="176"/>
      <c r="AP152" s="102"/>
      <c r="AQ152" s="102"/>
      <c r="AR152" s="102"/>
      <c r="AS152" s="102"/>
    </row>
    <row r="153" spans="3:45" x14ac:dyDescent="0.2">
      <c r="C153" s="103"/>
      <c r="D153" s="104"/>
      <c r="E153" s="104"/>
      <c r="F153" s="102"/>
      <c r="G153" s="172"/>
      <c r="H153" s="172"/>
      <c r="I153" s="172"/>
      <c r="J153" s="159"/>
      <c r="K153" s="159"/>
      <c r="L153" s="159"/>
      <c r="M153" s="159"/>
      <c r="N153" s="159"/>
      <c r="O153" s="159"/>
      <c r="P153" s="159"/>
      <c r="Q153" s="159"/>
      <c r="R153" s="159"/>
      <c r="S153" s="159"/>
      <c r="T153" s="159"/>
      <c r="U153" s="159"/>
      <c r="V153" s="159"/>
      <c r="W153" s="159"/>
      <c r="X153" s="103"/>
      <c r="Y153" s="103"/>
      <c r="Z153" s="103"/>
      <c r="AA153" s="103"/>
      <c r="AB153" s="103"/>
      <c r="AC153" s="103"/>
      <c r="AD153" s="103"/>
      <c r="AE153" s="103"/>
      <c r="AF153" s="103"/>
      <c r="AG153" s="103"/>
      <c r="AH153" s="103"/>
      <c r="AI153" s="173"/>
      <c r="AJ153" s="103"/>
      <c r="AK153" s="174"/>
      <c r="AL153" s="175"/>
      <c r="AM153" s="176"/>
      <c r="AP153" s="102"/>
      <c r="AQ153" s="102"/>
      <c r="AR153" s="102"/>
      <c r="AS153" s="102"/>
    </row>
    <row r="154" spans="3:45" x14ac:dyDescent="0.2">
      <c r="C154" s="103"/>
      <c r="D154" s="104"/>
      <c r="E154" s="104"/>
      <c r="F154" s="102"/>
      <c r="G154" s="172"/>
      <c r="H154" s="172"/>
      <c r="I154" s="172"/>
      <c r="J154" s="159"/>
      <c r="K154" s="159"/>
      <c r="L154" s="159"/>
      <c r="M154" s="159"/>
      <c r="N154" s="159"/>
      <c r="O154" s="159"/>
      <c r="P154" s="159"/>
      <c r="Q154" s="159"/>
      <c r="R154" s="159"/>
      <c r="S154" s="159"/>
      <c r="T154" s="159"/>
      <c r="U154" s="159"/>
      <c r="V154" s="159"/>
      <c r="W154" s="159"/>
      <c r="X154" s="103"/>
      <c r="Y154" s="103"/>
      <c r="Z154" s="103"/>
      <c r="AA154" s="103"/>
      <c r="AB154" s="103"/>
      <c r="AC154" s="103"/>
      <c r="AD154" s="103"/>
      <c r="AE154" s="103"/>
      <c r="AF154" s="103"/>
      <c r="AG154" s="103"/>
      <c r="AH154" s="103"/>
      <c r="AI154" s="173"/>
      <c r="AJ154" s="103"/>
      <c r="AK154" s="174"/>
      <c r="AL154" s="175"/>
      <c r="AM154" s="176"/>
      <c r="AP154" s="102"/>
      <c r="AQ154" s="102"/>
      <c r="AR154" s="102"/>
      <c r="AS154" s="102"/>
    </row>
    <row r="155" spans="3:45" x14ac:dyDescent="0.2">
      <c r="C155" s="103"/>
      <c r="D155" s="104"/>
      <c r="E155" s="104"/>
      <c r="F155" s="102"/>
      <c r="G155" s="172"/>
      <c r="H155" s="172"/>
      <c r="I155" s="172"/>
      <c r="J155" s="159"/>
      <c r="K155" s="159"/>
      <c r="L155" s="159"/>
      <c r="M155" s="159"/>
      <c r="N155" s="159"/>
      <c r="O155" s="159"/>
      <c r="P155" s="159"/>
      <c r="Q155" s="159"/>
      <c r="R155" s="159"/>
      <c r="S155" s="159"/>
      <c r="T155" s="159"/>
      <c r="U155" s="159"/>
      <c r="V155" s="159"/>
      <c r="W155" s="159"/>
      <c r="X155" s="103"/>
      <c r="Y155" s="103"/>
      <c r="Z155" s="103"/>
      <c r="AA155" s="103"/>
      <c r="AB155" s="103"/>
      <c r="AC155" s="103"/>
      <c r="AD155" s="103"/>
      <c r="AE155" s="103"/>
      <c r="AF155" s="103"/>
      <c r="AG155" s="103"/>
      <c r="AH155" s="103"/>
      <c r="AI155" s="173"/>
      <c r="AJ155" s="103"/>
      <c r="AK155" s="174"/>
      <c r="AL155" s="175"/>
      <c r="AM155" s="176"/>
      <c r="AP155" s="102"/>
      <c r="AQ155" s="102"/>
      <c r="AR155" s="102"/>
      <c r="AS155" s="102"/>
    </row>
    <row r="156" spans="3:45" x14ac:dyDescent="0.2">
      <c r="C156" s="103"/>
      <c r="D156" s="104"/>
      <c r="E156" s="104"/>
      <c r="F156" s="102"/>
      <c r="G156" s="172"/>
      <c r="H156" s="172"/>
      <c r="I156" s="172"/>
      <c r="J156" s="159"/>
      <c r="K156" s="159"/>
      <c r="L156" s="159"/>
      <c r="M156" s="159"/>
      <c r="N156" s="159"/>
      <c r="O156" s="159"/>
      <c r="P156" s="159"/>
      <c r="Q156" s="159"/>
      <c r="R156" s="159"/>
      <c r="S156" s="159"/>
      <c r="T156" s="159"/>
      <c r="U156" s="159"/>
      <c r="V156" s="159"/>
      <c r="W156" s="159"/>
      <c r="X156" s="103"/>
      <c r="Y156" s="103"/>
      <c r="Z156" s="103"/>
      <c r="AA156" s="103"/>
      <c r="AB156" s="103"/>
      <c r="AC156" s="103"/>
      <c r="AD156" s="103"/>
      <c r="AE156" s="103"/>
      <c r="AF156" s="103"/>
      <c r="AG156" s="103"/>
      <c r="AH156" s="103"/>
      <c r="AI156" s="173"/>
      <c r="AJ156" s="103"/>
      <c r="AK156" s="174"/>
      <c r="AL156" s="175"/>
      <c r="AM156" s="176"/>
      <c r="AP156" s="102"/>
      <c r="AQ156" s="102"/>
      <c r="AR156" s="102"/>
      <c r="AS156" s="102"/>
    </row>
    <row r="157" spans="3:45" x14ac:dyDescent="0.2">
      <c r="C157" s="103"/>
      <c r="D157" s="104"/>
      <c r="E157" s="104"/>
      <c r="F157" s="102"/>
      <c r="G157" s="172"/>
      <c r="H157" s="172"/>
      <c r="I157" s="172"/>
      <c r="J157" s="159"/>
      <c r="K157" s="159"/>
      <c r="L157" s="159"/>
      <c r="M157" s="159"/>
      <c r="N157" s="159"/>
      <c r="O157" s="159"/>
      <c r="P157" s="159"/>
      <c r="Q157" s="159"/>
      <c r="R157" s="159"/>
      <c r="S157" s="159"/>
      <c r="T157" s="159"/>
      <c r="U157" s="159"/>
      <c r="V157" s="159"/>
      <c r="W157" s="159"/>
      <c r="X157" s="103"/>
      <c r="Y157" s="103"/>
      <c r="Z157" s="103"/>
      <c r="AA157" s="103"/>
      <c r="AB157" s="103"/>
      <c r="AC157" s="103"/>
      <c r="AD157" s="103"/>
      <c r="AE157" s="103"/>
      <c r="AF157" s="103"/>
      <c r="AG157" s="103"/>
      <c r="AH157" s="103"/>
      <c r="AI157" s="173"/>
      <c r="AJ157" s="103"/>
      <c r="AK157" s="174"/>
      <c r="AL157" s="175"/>
      <c r="AM157" s="176"/>
      <c r="AP157" s="102"/>
      <c r="AQ157" s="102"/>
      <c r="AR157" s="102"/>
      <c r="AS157" s="102"/>
    </row>
    <row r="158" spans="3:45" x14ac:dyDescent="0.2">
      <c r="C158" s="103"/>
      <c r="D158" s="104"/>
      <c r="E158" s="104"/>
      <c r="F158" s="102"/>
      <c r="G158" s="172"/>
      <c r="H158" s="172"/>
      <c r="I158" s="172"/>
      <c r="J158" s="159"/>
      <c r="K158" s="159"/>
      <c r="L158" s="159"/>
      <c r="M158" s="159"/>
      <c r="N158" s="159"/>
      <c r="O158" s="159"/>
      <c r="P158" s="159"/>
      <c r="Q158" s="159"/>
      <c r="R158" s="159"/>
      <c r="S158" s="159"/>
      <c r="T158" s="159"/>
      <c r="U158" s="159"/>
      <c r="V158" s="159"/>
      <c r="W158" s="159"/>
      <c r="X158" s="103"/>
      <c r="Y158" s="103"/>
      <c r="Z158" s="103"/>
      <c r="AA158" s="103"/>
      <c r="AB158" s="103"/>
      <c r="AC158" s="103"/>
      <c r="AD158" s="103"/>
      <c r="AE158" s="103"/>
      <c r="AF158" s="103"/>
      <c r="AG158" s="103"/>
      <c r="AH158" s="103"/>
      <c r="AI158" s="173"/>
      <c r="AJ158" s="103"/>
      <c r="AK158" s="174"/>
      <c r="AL158" s="175"/>
      <c r="AM158" s="176"/>
      <c r="AP158" s="102"/>
      <c r="AQ158" s="102"/>
      <c r="AR158" s="102"/>
      <c r="AS158" s="102"/>
    </row>
    <row r="159" spans="3:45" x14ac:dyDescent="0.2">
      <c r="C159" s="103"/>
      <c r="D159" s="104"/>
      <c r="E159" s="104"/>
      <c r="F159" s="102"/>
      <c r="G159" s="172"/>
      <c r="H159" s="172"/>
      <c r="I159" s="172"/>
      <c r="J159" s="159"/>
      <c r="K159" s="159"/>
      <c r="L159" s="159"/>
      <c r="M159" s="159"/>
      <c r="N159" s="159"/>
      <c r="O159" s="159"/>
      <c r="P159" s="159"/>
      <c r="Q159" s="159"/>
      <c r="R159" s="159"/>
      <c r="S159" s="159"/>
      <c r="T159" s="159"/>
      <c r="U159" s="159"/>
      <c r="V159" s="159"/>
      <c r="W159" s="159"/>
      <c r="X159" s="103"/>
      <c r="Y159" s="103"/>
      <c r="Z159" s="103"/>
      <c r="AA159" s="103"/>
      <c r="AB159" s="103"/>
      <c r="AC159" s="103"/>
      <c r="AD159" s="103"/>
      <c r="AE159" s="103"/>
      <c r="AF159" s="103"/>
      <c r="AG159" s="103"/>
      <c r="AH159" s="103"/>
      <c r="AI159" s="173"/>
      <c r="AJ159" s="103"/>
      <c r="AK159" s="174"/>
      <c r="AL159" s="175"/>
      <c r="AM159" s="176"/>
      <c r="AP159" s="102"/>
      <c r="AQ159" s="102"/>
      <c r="AR159" s="102"/>
      <c r="AS159" s="102"/>
    </row>
    <row r="160" spans="3:45" x14ac:dyDescent="0.2">
      <c r="C160" s="103"/>
      <c r="D160" s="104"/>
      <c r="E160" s="104"/>
      <c r="F160" s="102"/>
      <c r="G160" s="172"/>
      <c r="H160" s="172"/>
      <c r="I160" s="172"/>
      <c r="J160" s="159"/>
      <c r="K160" s="159"/>
      <c r="L160" s="159"/>
      <c r="M160" s="159"/>
      <c r="N160" s="159"/>
      <c r="O160" s="159"/>
      <c r="P160" s="159"/>
      <c r="Q160" s="159"/>
      <c r="R160" s="159"/>
      <c r="S160" s="159"/>
      <c r="T160" s="159"/>
      <c r="U160" s="159"/>
      <c r="V160" s="159"/>
      <c r="W160" s="159"/>
      <c r="X160" s="103"/>
      <c r="Y160" s="103"/>
      <c r="Z160" s="103"/>
      <c r="AA160" s="103"/>
      <c r="AB160" s="103"/>
      <c r="AC160" s="103"/>
      <c r="AD160" s="103"/>
      <c r="AE160" s="103"/>
      <c r="AF160" s="103"/>
      <c r="AG160" s="103"/>
      <c r="AH160" s="103"/>
      <c r="AI160" s="173"/>
      <c r="AJ160" s="103"/>
      <c r="AK160" s="174"/>
      <c r="AL160" s="175"/>
      <c r="AM160" s="176"/>
      <c r="AP160" s="102"/>
      <c r="AQ160" s="102"/>
      <c r="AR160" s="102"/>
      <c r="AS160" s="102"/>
    </row>
    <row r="161" spans="3:45" x14ac:dyDescent="0.2">
      <c r="C161" s="103"/>
      <c r="D161" s="104"/>
      <c r="E161" s="104"/>
      <c r="F161" s="102"/>
      <c r="G161" s="172"/>
      <c r="H161" s="172"/>
      <c r="I161" s="172"/>
      <c r="J161" s="159"/>
      <c r="K161" s="159"/>
      <c r="L161" s="159"/>
      <c r="M161" s="159"/>
      <c r="N161" s="159"/>
      <c r="O161" s="159"/>
      <c r="P161" s="159"/>
      <c r="Q161" s="159"/>
      <c r="R161" s="159"/>
      <c r="S161" s="159"/>
      <c r="T161" s="159"/>
      <c r="U161" s="159"/>
      <c r="V161" s="159"/>
      <c r="W161" s="159"/>
      <c r="X161" s="103"/>
      <c r="Y161" s="103"/>
      <c r="Z161" s="103"/>
      <c r="AA161" s="103"/>
      <c r="AB161" s="103"/>
      <c r="AC161" s="103"/>
      <c r="AD161" s="103"/>
      <c r="AE161" s="103"/>
      <c r="AF161" s="103"/>
      <c r="AG161" s="103"/>
      <c r="AH161" s="103"/>
      <c r="AI161" s="173"/>
      <c r="AJ161" s="103"/>
      <c r="AK161" s="174"/>
      <c r="AL161" s="175"/>
      <c r="AM161" s="176"/>
      <c r="AP161" s="102"/>
      <c r="AQ161" s="102"/>
      <c r="AR161" s="102"/>
      <c r="AS161" s="102"/>
    </row>
    <row r="162" spans="3:45" x14ac:dyDescent="0.2">
      <c r="C162" s="103"/>
      <c r="D162" s="104"/>
      <c r="E162" s="104"/>
      <c r="F162" s="102"/>
      <c r="G162" s="172"/>
      <c r="H162" s="172"/>
      <c r="I162" s="172"/>
      <c r="J162" s="159"/>
      <c r="K162" s="159"/>
      <c r="L162" s="159"/>
      <c r="M162" s="159"/>
      <c r="N162" s="159"/>
      <c r="O162" s="159"/>
      <c r="P162" s="159"/>
      <c r="Q162" s="159"/>
      <c r="R162" s="159"/>
      <c r="S162" s="159"/>
      <c r="T162" s="159"/>
      <c r="U162" s="159"/>
      <c r="V162" s="159"/>
      <c r="W162" s="159"/>
      <c r="X162" s="103"/>
      <c r="Y162" s="103"/>
      <c r="Z162" s="103"/>
      <c r="AA162" s="103"/>
      <c r="AB162" s="103"/>
      <c r="AC162" s="103"/>
      <c r="AD162" s="103"/>
      <c r="AE162" s="103"/>
      <c r="AF162" s="103"/>
      <c r="AG162" s="103"/>
      <c r="AH162" s="103"/>
      <c r="AI162" s="173"/>
      <c r="AJ162" s="103"/>
      <c r="AK162" s="174"/>
      <c r="AL162" s="175"/>
      <c r="AM162" s="176"/>
      <c r="AP162" s="102"/>
      <c r="AQ162" s="102"/>
      <c r="AR162" s="102"/>
      <c r="AS162" s="102"/>
    </row>
    <row r="163" spans="3:45" x14ac:dyDescent="0.2">
      <c r="C163" s="103"/>
      <c r="D163" s="104"/>
      <c r="E163" s="104"/>
      <c r="F163" s="102"/>
      <c r="G163" s="172"/>
      <c r="H163" s="172"/>
      <c r="I163" s="172"/>
      <c r="J163" s="159"/>
      <c r="K163" s="159"/>
      <c r="L163" s="159"/>
      <c r="M163" s="159"/>
      <c r="N163" s="159"/>
      <c r="O163" s="159"/>
      <c r="P163" s="159"/>
      <c r="Q163" s="159"/>
      <c r="R163" s="159"/>
      <c r="S163" s="159"/>
      <c r="T163" s="159"/>
      <c r="U163" s="159"/>
      <c r="V163" s="159"/>
      <c r="W163" s="159"/>
      <c r="X163" s="103"/>
      <c r="Y163" s="103"/>
      <c r="Z163" s="103"/>
      <c r="AA163" s="103"/>
      <c r="AB163" s="103"/>
      <c r="AC163" s="103"/>
      <c r="AD163" s="103"/>
      <c r="AE163" s="103"/>
      <c r="AF163" s="103"/>
      <c r="AG163" s="103"/>
      <c r="AH163" s="103"/>
      <c r="AI163" s="173"/>
      <c r="AJ163" s="103"/>
      <c r="AK163" s="174"/>
      <c r="AL163" s="175"/>
      <c r="AM163" s="176"/>
      <c r="AP163" s="102"/>
      <c r="AQ163" s="102"/>
      <c r="AR163" s="102"/>
      <c r="AS163" s="102"/>
    </row>
    <row r="164" spans="3:45" x14ac:dyDescent="0.2">
      <c r="C164" s="103"/>
      <c r="D164" s="104"/>
      <c r="E164" s="104"/>
      <c r="F164" s="102"/>
      <c r="G164" s="172"/>
      <c r="H164" s="172"/>
      <c r="I164" s="172"/>
      <c r="J164" s="159"/>
      <c r="K164" s="159"/>
      <c r="L164" s="159"/>
      <c r="M164" s="159"/>
      <c r="N164" s="159"/>
      <c r="O164" s="159"/>
      <c r="P164" s="159"/>
      <c r="Q164" s="159"/>
      <c r="R164" s="159"/>
      <c r="S164" s="159"/>
      <c r="T164" s="159"/>
      <c r="U164" s="159"/>
      <c r="V164" s="159"/>
      <c r="W164" s="159"/>
      <c r="X164" s="103"/>
      <c r="Y164" s="103"/>
      <c r="Z164" s="103"/>
      <c r="AA164" s="103"/>
      <c r="AB164" s="103"/>
      <c r="AC164" s="103"/>
      <c r="AD164" s="103"/>
      <c r="AE164" s="103"/>
      <c r="AF164" s="103"/>
      <c r="AG164" s="103"/>
      <c r="AH164" s="103"/>
      <c r="AI164" s="173"/>
      <c r="AJ164" s="103"/>
      <c r="AK164" s="174"/>
      <c r="AL164" s="175"/>
      <c r="AM164" s="176"/>
      <c r="AP164" s="102"/>
      <c r="AQ164" s="102"/>
      <c r="AR164" s="102"/>
      <c r="AS164" s="102"/>
    </row>
    <row r="165" spans="3:45" x14ac:dyDescent="0.2">
      <c r="C165" s="103"/>
      <c r="D165" s="104"/>
      <c r="E165" s="104"/>
      <c r="F165" s="102"/>
      <c r="G165" s="172"/>
      <c r="H165" s="172"/>
      <c r="I165" s="172"/>
      <c r="J165" s="159"/>
      <c r="K165" s="159"/>
      <c r="L165" s="159"/>
      <c r="M165" s="159"/>
      <c r="N165" s="159"/>
      <c r="O165" s="159"/>
      <c r="P165" s="159"/>
      <c r="Q165" s="159"/>
      <c r="R165" s="159"/>
      <c r="S165" s="159"/>
      <c r="T165" s="159"/>
      <c r="U165" s="159"/>
      <c r="V165" s="159"/>
      <c r="W165" s="159"/>
      <c r="X165" s="103"/>
      <c r="Y165" s="103"/>
      <c r="Z165" s="103"/>
      <c r="AA165" s="103"/>
      <c r="AB165" s="103"/>
      <c r="AC165" s="103"/>
      <c r="AD165" s="103"/>
      <c r="AE165" s="103"/>
      <c r="AF165" s="103"/>
      <c r="AG165" s="103"/>
      <c r="AH165" s="103"/>
      <c r="AI165" s="173"/>
      <c r="AJ165" s="103"/>
      <c r="AK165" s="174"/>
      <c r="AL165" s="175"/>
      <c r="AM165" s="176"/>
      <c r="AP165" s="102"/>
      <c r="AQ165" s="102"/>
      <c r="AR165" s="102"/>
      <c r="AS165" s="102"/>
    </row>
    <row r="166" spans="3:45" x14ac:dyDescent="0.2">
      <c r="C166" s="103"/>
      <c r="D166" s="104"/>
      <c r="E166" s="104"/>
      <c r="F166" s="102"/>
      <c r="G166" s="172"/>
      <c r="H166" s="172"/>
      <c r="I166" s="172"/>
      <c r="J166" s="159"/>
      <c r="K166" s="159"/>
      <c r="L166" s="159"/>
      <c r="M166" s="159"/>
      <c r="N166" s="159"/>
      <c r="O166" s="159"/>
      <c r="P166" s="159"/>
      <c r="Q166" s="159"/>
      <c r="R166" s="159"/>
      <c r="S166" s="159"/>
      <c r="T166" s="159"/>
      <c r="U166" s="159"/>
      <c r="V166" s="159"/>
      <c r="W166" s="159"/>
      <c r="X166" s="103"/>
      <c r="Y166" s="103"/>
      <c r="Z166" s="103"/>
      <c r="AA166" s="103"/>
      <c r="AB166" s="103"/>
      <c r="AC166" s="103"/>
      <c r="AD166" s="103"/>
      <c r="AE166" s="103"/>
      <c r="AF166" s="103"/>
      <c r="AG166" s="103"/>
      <c r="AH166" s="103"/>
      <c r="AI166" s="173"/>
      <c r="AJ166" s="103"/>
      <c r="AK166" s="174"/>
      <c r="AL166" s="175"/>
      <c r="AM166" s="176"/>
      <c r="AP166" s="102"/>
      <c r="AQ166" s="102"/>
      <c r="AR166" s="102"/>
      <c r="AS166" s="102"/>
    </row>
    <row r="167" spans="3:45" x14ac:dyDescent="0.2">
      <c r="C167" s="103"/>
      <c r="D167" s="104"/>
      <c r="E167" s="104"/>
      <c r="F167" s="102"/>
      <c r="G167" s="172"/>
      <c r="H167" s="172"/>
      <c r="I167" s="172"/>
      <c r="J167" s="159"/>
      <c r="K167" s="159"/>
      <c r="L167" s="159"/>
      <c r="M167" s="159"/>
      <c r="N167" s="159"/>
      <c r="O167" s="159"/>
      <c r="P167" s="159"/>
      <c r="Q167" s="159"/>
      <c r="R167" s="159"/>
      <c r="S167" s="159"/>
      <c r="T167" s="159"/>
      <c r="U167" s="159"/>
      <c r="V167" s="159"/>
      <c r="W167" s="159"/>
      <c r="X167" s="103"/>
      <c r="Y167" s="103"/>
      <c r="Z167" s="103"/>
      <c r="AA167" s="103"/>
      <c r="AB167" s="103"/>
      <c r="AC167" s="103"/>
      <c r="AD167" s="103"/>
      <c r="AE167" s="103"/>
      <c r="AF167" s="103"/>
      <c r="AG167" s="103"/>
      <c r="AH167" s="103"/>
      <c r="AI167" s="173"/>
      <c r="AJ167" s="103"/>
      <c r="AK167" s="174"/>
      <c r="AL167" s="175"/>
      <c r="AM167" s="176"/>
      <c r="AP167" s="102"/>
      <c r="AQ167" s="102"/>
      <c r="AR167" s="102"/>
      <c r="AS167" s="102"/>
    </row>
    <row r="168" spans="3:45" x14ac:dyDescent="0.2">
      <c r="C168" s="103"/>
      <c r="D168" s="104"/>
      <c r="E168" s="104"/>
      <c r="F168" s="102"/>
      <c r="G168" s="172"/>
      <c r="H168" s="172"/>
      <c r="I168" s="172"/>
      <c r="J168" s="159"/>
      <c r="K168" s="159"/>
      <c r="L168" s="159"/>
      <c r="M168" s="159"/>
      <c r="N168" s="159"/>
      <c r="O168" s="159"/>
      <c r="P168" s="159"/>
      <c r="Q168" s="159"/>
      <c r="R168" s="159"/>
      <c r="S168" s="159"/>
      <c r="T168" s="159"/>
      <c r="U168" s="159"/>
      <c r="V168" s="159"/>
      <c r="W168" s="159"/>
      <c r="X168" s="103"/>
      <c r="Y168" s="103"/>
      <c r="Z168" s="103"/>
      <c r="AA168" s="103"/>
      <c r="AB168" s="103"/>
      <c r="AC168" s="103"/>
      <c r="AD168" s="103"/>
      <c r="AE168" s="103"/>
      <c r="AF168" s="103"/>
      <c r="AG168" s="103"/>
      <c r="AH168" s="103"/>
      <c r="AI168" s="173"/>
      <c r="AJ168" s="103"/>
      <c r="AK168" s="174"/>
      <c r="AL168" s="175"/>
      <c r="AM168" s="176"/>
      <c r="AP168" s="102"/>
      <c r="AQ168" s="102"/>
      <c r="AR168" s="102"/>
      <c r="AS168" s="102"/>
    </row>
    <row r="169" spans="3:45" x14ac:dyDescent="0.2">
      <c r="C169" s="103"/>
      <c r="D169" s="104"/>
      <c r="E169" s="104"/>
      <c r="F169" s="102"/>
      <c r="G169" s="172"/>
      <c r="H169" s="172"/>
      <c r="I169" s="172"/>
      <c r="J169" s="159"/>
      <c r="K169" s="159"/>
      <c r="L169" s="159"/>
      <c r="M169" s="159"/>
      <c r="N169" s="159"/>
      <c r="O169" s="159"/>
      <c r="P169" s="159"/>
      <c r="Q169" s="159"/>
      <c r="R169" s="159"/>
      <c r="S169" s="159"/>
      <c r="T169" s="159"/>
      <c r="U169" s="159"/>
      <c r="V169" s="159"/>
      <c r="W169" s="159"/>
      <c r="X169" s="103"/>
      <c r="Y169" s="103"/>
      <c r="Z169" s="103"/>
      <c r="AA169" s="103"/>
      <c r="AB169" s="103"/>
      <c r="AC169" s="103"/>
      <c r="AD169" s="103"/>
      <c r="AE169" s="103"/>
      <c r="AF169" s="103"/>
      <c r="AG169" s="103"/>
      <c r="AH169" s="103"/>
      <c r="AI169" s="173"/>
      <c r="AJ169" s="103"/>
      <c r="AK169" s="174"/>
      <c r="AL169" s="175"/>
      <c r="AM169" s="176"/>
      <c r="AP169" s="102"/>
      <c r="AQ169" s="102"/>
      <c r="AR169" s="102"/>
      <c r="AS169" s="102"/>
    </row>
    <row r="170" spans="3:45" x14ac:dyDescent="0.2">
      <c r="C170" s="103"/>
      <c r="D170" s="104"/>
      <c r="E170" s="104"/>
      <c r="F170" s="102"/>
      <c r="G170" s="172"/>
      <c r="H170" s="172"/>
      <c r="I170" s="172"/>
      <c r="J170" s="159"/>
      <c r="K170" s="159"/>
      <c r="L170" s="159"/>
      <c r="M170" s="159"/>
      <c r="N170" s="159"/>
      <c r="O170" s="159"/>
      <c r="P170" s="159"/>
      <c r="Q170" s="159"/>
      <c r="R170" s="159"/>
      <c r="S170" s="159"/>
      <c r="T170" s="159"/>
      <c r="U170" s="159"/>
      <c r="V170" s="159"/>
      <c r="W170" s="159"/>
      <c r="X170" s="103"/>
      <c r="Y170" s="103"/>
      <c r="Z170" s="103"/>
      <c r="AA170" s="103"/>
      <c r="AB170" s="103"/>
      <c r="AC170" s="103"/>
      <c r="AD170" s="103"/>
      <c r="AE170" s="103"/>
      <c r="AF170" s="103"/>
      <c r="AG170" s="103"/>
      <c r="AH170" s="103"/>
      <c r="AI170" s="173"/>
      <c r="AJ170" s="103"/>
      <c r="AK170" s="174"/>
      <c r="AL170" s="175"/>
      <c r="AM170" s="176"/>
      <c r="AP170" s="102"/>
      <c r="AQ170" s="102"/>
      <c r="AR170" s="102"/>
      <c r="AS170" s="102"/>
    </row>
    <row r="171" spans="3:45" x14ac:dyDescent="0.2">
      <c r="C171" s="103"/>
      <c r="D171" s="104"/>
      <c r="E171" s="104"/>
      <c r="F171" s="102"/>
      <c r="G171" s="172"/>
      <c r="H171" s="172"/>
      <c r="I171" s="172"/>
      <c r="J171" s="159"/>
      <c r="K171" s="159"/>
      <c r="L171" s="159"/>
      <c r="M171" s="159"/>
      <c r="N171" s="159"/>
      <c r="O171" s="159"/>
      <c r="P171" s="159"/>
      <c r="Q171" s="159"/>
      <c r="R171" s="159"/>
      <c r="S171" s="159"/>
      <c r="T171" s="159"/>
      <c r="U171" s="159"/>
      <c r="V171" s="159"/>
      <c r="W171" s="159"/>
      <c r="X171" s="103"/>
      <c r="Y171" s="103"/>
      <c r="Z171" s="103"/>
      <c r="AA171" s="103"/>
      <c r="AB171" s="103"/>
      <c r="AC171" s="103"/>
      <c r="AD171" s="103"/>
      <c r="AE171" s="103"/>
      <c r="AF171" s="103"/>
      <c r="AG171" s="103"/>
      <c r="AH171" s="103"/>
      <c r="AI171" s="173"/>
      <c r="AJ171" s="103"/>
      <c r="AK171" s="174"/>
      <c r="AL171" s="175"/>
      <c r="AM171" s="176"/>
      <c r="AP171" s="102"/>
      <c r="AQ171" s="102"/>
      <c r="AR171" s="102"/>
      <c r="AS171" s="102"/>
    </row>
    <row r="172" spans="3:45" x14ac:dyDescent="0.2">
      <c r="C172" s="103"/>
      <c r="D172" s="104"/>
      <c r="E172" s="104"/>
      <c r="F172" s="102"/>
      <c r="G172" s="172"/>
      <c r="H172" s="172"/>
      <c r="I172" s="172"/>
      <c r="J172" s="159"/>
      <c r="K172" s="159"/>
      <c r="L172" s="159"/>
      <c r="M172" s="159"/>
      <c r="N172" s="159"/>
      <c r="O172" s="159"/>
      <c r="P172" s="159"/>
      <c r="Q172" s="159"/>
      <c r="R172" s="159"/>
      <c r="S172" s="159"/>
      <c r="T172" s="159"/>
      <c r="U172" s="159"/>
      <c r="V172" s="159"/>
      <c r="W172" s="159"/>
      <c r="X172" s="103"/>
      <c r="Y172" s="103"/>
      <c r="Z172" s="103"/>
      <c r="AA172" s="103"/>
      <c r="AB172" s="103"/>
      <c r="AC172" s="103"/>
      <c r="AD172" s="103"/>
      <c r="AE172" s="103"/>
      <c r="AF172" s="103"/>
      <c r="AG172" s="103"/>
      <c r="AH172" s="103"/>
      <c r="AI172" s="173"/>
      <c r="AJ172" s="103"/>
      <c r="AK172" s="174"/>
      <c r="AL172" s="175"/>
      <c r="AM172" s="176"/>
      <c r="AP172" s="102"/>
      <c r="AQ172" s="102"/>
      <c r="AR172" s="102"/>
      <c r="AS172" s="102"/>
    </row>
    <row r="173" spans="3:45" x14ac:dyDescent="0.2">
      <c r="C173" s="103"/>
      <c r="D173" s="104"/>
      <c r="E173" s="104"/>
      <c r="F173" s="102"/>
      <c r="G173" s="172"/>
      <c r="H173" s="172"/>
      <c r="I173" s="172"/>
      <c r="J173" s="159"/>
      <c r="K173" s="159"/>
      <c r="L173" s="159"/>
      <c r="M173" s="159"/>
      <c r="N173" s="159"/>
      <c r="O173" s="159"/>
      <c r="P173" s="159"/>
      <c r="Q173" s="159"/>
      <c r="R173" s="159"/>
      <c r="S173" s="159"/>
      <c r="T173" s="159"/>
      <c r="U173" s="159"/>
      <c r="V173" s="159"/>
      <c r="W173" s="159"/>
      <c r="X173" s="103"/>
      <c r="Y173" s="103"/>
      <c r="Z173" s="103"/>
      <c r="AA173" s="103"/>
      <c r="AB173" s="103"/>
      <c r="AC173" s="103"/>
      <c r="AD173" s="103"/>
      <c r="AE173" s="103"/>
      <c r="AF173" s="103"/>
      <c r="AG173" s="103"/>
      <c r="AH173" s="103"/>
      <c r="AI173" s="173"/>
      <c r="AJ173" s="103"/>
      <c r="AK173" s="174"/>
      <c r="AL173" s="175"/>
      <c r="AM173" s="176"/>
      <c r="AP173" s="102"/>
      <c r="AQ173" s="102"/>
      <c r="AR173" s="102"/>
      <c r="AS173" s="102"/>
    </row>
    <row r="174" spans="3:45" x14ac:dyDescent="0.2">
      <c r="C174" s="103"/>
      <c r="D174" s="104"/>
      <c r="E174" s="104"/>
      <c r="F174" s="102"/>
      <c r="G174" s="172"/>
      <c r="H174" s="172"/>
      <c r="I174" s="172"/>
      <c r="J174" s="159"/>
      <c r="K174" s="159"/>
      <c r="L174" s="159"/>
      <c r="M174" s="159"/>
      <c r="N174" s="159"/>
      <c r="O174" s="159"/>
      <c r="P174" s="159"/>
      <c r="Q174" s="159"/>
      <c r="R174" s="159"/>
      <c r="S174" s="159"/>
      <c r="T174" s="159"/>
      <c r="U174" s="159"/>
      <c r="V174" s="159"/>
      <c r="W174" s="159"/>
      <c r="X174" s="103"/>
      <c r="Y174" s="103"/>
      <c r="Z174" s="103"/>
      <c r="AA174" s="103"/>
      <c r="AB174" s="103"/>
      <c r="AC174" s="103"/>
      <c r="AD174" s="103"/>
      <c r="AE174" s="103"/>
      <c r="AF174" s="103"/>
      <c r="AG174" s="103"/>
      <c r="AH174" s="103"/>
      <c r="AI174" s="173"/>
      <c r="AJ174" s="103"/>
      <c r="AK174" s="174"/>
      <c r="AL174" s="175"/>
      <c r="AM174" s="176"/>
      <c r="AP174" s="102"/>
      <c r="AQ174" s="102"/>
      <c r="AR174" s="102"/>
      <c r="AS174" s="102"/>
    </row>
    <row r="175" spans="3:45" x14ac:dyDescent="0.2">
      <c r="C175" s="103"/>
      <c r="D175" s="104"/>
      <c r="E175" s="104"/>
      <c r="F175" s="102"/>
      <c r="G175" s="172"/>
      <c r="H175" s="172"/>
      <c r="I175" s="172"/>
      <c r="J175" s="159"/>
      <c r="K175" s="159"/>
      <c r="L175" s="159"/>
      <c r="M175" s="159"/>
      <c r="N175" s="159"/>
      <c r="O175" s="159"/>
      <c r="P175" s="159"/>
      <c r="Q175" s="159"/>
      <c r="R175" s="159"/>
      <c r="S175" s="159"/>
      <c r="T175" s="159"/>
      <c r="U175" s="159"/>
      <c r="V175" s="159"/>
      <c r="W175" s="159"/>
      <c r="X175" s="103"/>
      <c r="Y175" s="103"/>
      <c r="Z175" s="103"/>
      <c r="AA175" s="103"/>
      <c r="AB175" s="103"/>
      <c r="AC175" s="103"/>
      <c r="AD175" s="103"/>
      <c r="AE175" s="103"/>
      <c r="AF175" s="103"/>
      <c r="AG175" s="103"/>
      <c r="AH175" s="103"/>
      <c r="AI175" s="173"/>
      <c r="AJ175" s="103"/>
      <c r="AK175" s="174"/>
      <c r="AL175" s="175"/>
      <c r="AM175" s="176"/>
      <c r="AP175" s="102"/>
      <c r="AQ175" s="102"/>
      <c r="AR175" s="102"/>
      <c r="AS175" s="102"/>
    </row>
    <row r="176" spans="3:45" x14ac:dyDescent="0.2">
      <c r="C176" s="103"/>
      <c r="D176" s="104"/>
      <c r="E176" s="104"/>
      <c r="F176" s="102"/>
      <c r="G176" s="172"/>
      <c r="H176" s="172"/>
      <c r="I176" s="172"/>
      <c r="J176" s="159"/>
      <c r="K176" s="159"/>
      <c r="L176" s="159"/>
      <c r="M176" s="159"/>
      <c r="N176" s="159"/>
      <c r="O176" s="159"/>
      <c r="P176" s="159"/>
      <c r="Q176" s="159"/>
      <c r="R176" s="159"/>
      <c r="S176" s="159"/>
      <c r="T176" s="159"/>
      <c r="U176" s="159"/>
      <c r="V176" s="159"/>
      <c r="W176" s="159"/>
      <c r="X176" s="103"/>
      <c r="Y176" s="103"/>
      <c r="Z176" s="103"/>
      <c r="AA176" s="103"/>
      <c r="AB176" s="103"/>
      <c r="AC176" s="103"/>
      <c r="AD176" s="103"/>
      <c r="AE176" s="103"/>
      <c r="AF176" s="103"/>
      <c r="AG176" s="103"/>
      <c r="AH176" s="103"/>
      <c r="AI176" s="173"/>
      <c r="AJ176" s="103"/>
      <c r="AK176" s="174"/>
      <c r="AL176" s="175"/>
      <c r="AM176" s="176"/>
      <c r="AP176" s="102"/>
      <c r="AQ176" s="102"/>
      <c r="AR176" s="102"/>
      <c r="AS176" s="102"/>
    </row>
    <row r="177" spans="3:45" x14ac:dyDescent="0.2">
      <c r="C177" s="103"/>
      <c r="D177" s="104"/>
      <c r="E177" s="104"/>
      <c r="F177" s="102"/>
      <c r="G177" s="172"/>
      <c r="H177" s="172"/>
      <c r="I177" s="172"/>
      <c r="J177" s="159"/>
      <c r="K177" s="159"/>
      <c r="L177" s="159"/>
      <c r="M177" s="159"/>
      <c r="N177" s="159"/>
      <c r="O177" s="159"/>
      <c r="P177" s="159"/>
      <c r="Q177" s="159"/>
      <c r="R177" s="159"/>
      <c r="S177" s="159"/>
      <c r="T177" s="159"/>
      <c r="U177" s="159"/>
      <c r="V177" s="159"/>
      <c r="W177" s="159"/>
      <c r="X177" s="103"/>
      <c r="Y177" s="103"/>
      <c r="Z177" s="103"/>
      <c r="AA177" s="103"/>
      <c r="AB177" s="103"/>
      <c r="AC177" s="103"/>
      <c r="AD177" s="103"/>
      <c r="AE177" s="103"/>
      <c r="AF177" s="103"/>
      <c r="AG177" s="103"/>
      <c r="AH177" s="103"/>
      <c r="AI177" s="173"/>
      <c r="AJ177" s="103"/>
      <c r="AK177" s="174"/>
      <c r="AL177" s="175"/>
      <c r="AM177" s="176"/>
      <c r="AP177" s="102"/>
      <c r="AQ177" s="102"/>
      <c r="AR177" s="102"/>
      <c r="AS177" s="102"/>
    </row>
    <row r="178" spans="3:45" x14ac:dyDescent="0.2">
      <c r="C178" s="103"/>
      <c r="D178" s="104"/>
      <c r="E178" s="104"/>
      <c r="F178" s="102"/>
      <c r="G178" s="172"/>
      <c r="H178" s="172"/>
      <c r="I178" s="172"/>
      <c r="J178" s="159"/>
      <c r="K178" s="159"/>
      <c r="L178" s="159"/>
      <c r="M178" s="159"/>
      <c r="N178" s="159"/>
      <c r="O178" s="159"/>
      <c r="P178" s="159"/>
      <c r="Q178" s="159"/>
      <c r="R178" s="159"/>
      <c r="S178" s="159"/>
      <c r="T178" s="159"/>
      <c r="U178" s="159"/>
      <c r="V178" s="159"/>
      <c r="W178" s="159"/>
      <c r="X178" s="103"/>
      <c r="Y178" s="103"/>
      <c r="Z178" s="103"/>
      <c r="AA178" s="103"/>
      <c r="AB178" s="103"/>
      <c r="AC178" s="103"/>
      <c r="AD178" s="103"/>
      <c r="AE178" s="103"/>
      <c r="AF178" s="103"/>
      <c r="AG178" s="103"/>
      <c r="AH178" s="103"/>
      <c r="AI178" s="173"/>
      <c r="AJ178" s="103"/>
      <c r="AK178" s="174"/>
      <c r="AL178" s="175"/>
      <c r="AM178" s="176"/>
      <c r="AP178" s="102"/>
      <c r="AQ178" s="102"/>
      <c r="AR178" s="102"/>
      <c r="AS178" s="102"/>
    </row>
    <row r="179" spans="3:45" x14ac:dyDescent="0.2">
      <c r="C179" s="103"/>
      <c r="D179" s="104"/>
      <c r="E179" s="104"/>
      <c r="F179" s="102"/>
      <c r="G179" s="172"/>
      <c r="H179" s="172"/>
      <c r="I179" s="172"/>
      <c r="J179" s="159"/>
      <c r="K179" s="159"/>
      <c r="L179" s="159"/>
      <c r="M179" s="159"/>
      <c r="N179" s="159"/>
      <c r="O179" s="159"/>
      <c r="P179" s="159"/>
      <c r="Q179" s="159"/>
      <c r="R179" s="159"/>
      <c r="S179" s="159"/>
      <c r="T179" s="159"/>
      <c r="U179" s="159"/>
      <c r="V179" s="159"/>
      <c r="W179" s="159"/>
      <c r="X179" s="103"/>
      <c r="Y179" s="103"/>
      <c r="Z179" s="103"/>
      <c r="AA179" s="103"/>
      <c r="AB179" s="103"/>
      <c r="AC179" s="103"/>
      <c r="AD179" s="103"/>
      <c r="AE179" s="103"/>
      <c r="AF179" s="103"/>
      <c r="AG179" s="103"/>
      <c r="AH179" s="103"/>
      <c r="AI179" s="173"/>
      <c r="AJ179" s="103"/>
      <c r="AK179" s="174"/>
      <c r="AL179" s="175"/>
      <c r="AM179" s="176"/>
      <c r="AP179" s="102"/>
      <c r="AQ179" s="102"/>
      <c r="AR179" s="102"/>
      <c r="AS179" s="102"/>
    </row>
    <row r="180" spans="3:45" x14ac:dyDescent="0.2">
      <c r="C180" s="103"/>
      <c r="D180" s="104"/>
      <c r="E180" s="104"/>
      <c r="F180" s="102"/>
      <c r="G180" s="172"/>
      <c r="H180" s="172"/>
      <c r="I180" s="172"/>
      <c r="J180" s="159"/>
      <c r="K180" s="159"/>
      <c r="L180" s="159"/>
      <c r="M180" s="159"/>
      <c r="N180" s="159"/>
      <c r="O180" s="159"/>
      <c r="P180" s="159"/>
      <c r="Q180" s="159"/>
      <c r="R180" s="159"/>
      <c r="S180" s="159"/>
      <c r="T180" s="159"/>
      <c r="U180" s="159"/>
      <c r="V180" s="159"/>
      <c r="W180" s="159"/>
      <c r="X180" s="103"/>
      <c r="Y180" s="103"/>
      <c r="Z180" s="103"/>
      <c r="AA180" s="103"/>
      <c r="AB180" s="103"/>
      <c r="AC180" s="103"/>
      <c r="AD180" s="103"/>
      <c r="AE180" s="103"/>
      <c r="AF180" s="103"/>
      <c r="AG180" s="103"/>
      <c r="AH180" s="103"/>
      <c r="AI180" s="173"/>
      <c r="AJ180" s="103"/>
      <c r="AK180" s="174"/>
      <c r="AL180" s="175"/>
      <c r="AM180" s="176"/>
      <c r="AP180" s="102"/>
      <c r="AQ180" s="102"/>
      <c r="AR180" s="102"/>
      <c r="AS180" s="102"/>
    </row>
    <row r="181" spans="3:45" x14ac:dyDescent="0.2">
      <c r="C181" s="103"/>
      <c r="D181" s="104"/>
      <c r="E181" s="104"/>
      <c r="F181" s="102"/>
      <c r="G181" s="172"/>
      <c r="H181" s="172"/>
      <c r="I181" s="172"/>
      <c r="J181" s="159"/>
      <c r="K181" s="159"/>
      <c r="L181" s="159"/>
      <c r="M181" s="159"/>
      <c r="N181" s="159"/>
      <c r="O181" s="159"/>
      <c r="P181" s="159"/>
      <c r="Q181" s="159"/>
      <c r="R181" s="159"/>
      <c r="S181" s="159"/>
      <c r="T181" s="159"/>
      <c r="U181" s="159"/>
      <c r="V181" s="159"/>
      <c r="W181" s="159"/>
      <c r="X181" s="103"/>
      <c r="Y181" s="103"/>
      <c r="Z181" s="103"/>
      <c r="AA181" s="103"/>
      <c r="AB181" s="103"/>
      <c r="AC181" s="103"/>
      <c r="AD181" s="103"/>
      <c r="AE181" s="103"/>
      <c r="AF181" s="103"/>
      <c r="AG181" s="103"/>
      <c r="AH181" s="103"/>
      <c r="AI181" s="173"/>
      <c r="AJ181" s="103"/>
      <c r="AK181" s="174"/>
      <c r="AL181" s="175"/>
      <c r="AM181" s="176"/>
      <c r="AP181" s="102"/>
      <c r="AQ181" s="102"/>
      <c r="AR181" s="102"/>
      <c r="AS181" s="102"/>
    </row>
    <row r="182" spans="3:45" x14ac:dyDescent="0.2">
      <c r="C182" s="103"/>
      <c r="D182" s="104"/>
      <c r="E182" s="104"/>
      <c r="F182" s="102"/>
      <c r="G182" s="172"/>
      <c r="H182" s="172"/>
      <c r="I182" s="172"/>
      <c r="J182" s="159"/>
      <c r="K182" s="159"/>
      <c r="L182" s="159"/>
      <c r="M182" s="159"/>
      <c r="N182" s="159"/>
      <c r="O182" s="159"/>
      <c r="P182" s="159"/>
      <c r="Q182" s="159"/>
      <c r="R182" s="159"/>
      <c r="S182" s="159"/>
      <c r="T182" s="159"/>
      <c r="U182" s="159"/>
      <c r="V182" s="159"/>
      <c r="W182" s="159"/>
      <c r="X182" s="103"/>
      <c r="Y182" s="103"/>
      <c r="Z182" s="103"/>
      <c r="AA182" s="103"/>
      <c r="AB182" s="103"/>
      <c r="AC182" s="103"/>
      <c r="AD182" s="103"/>
      <c r="AE182" s="103"/>
      <c r="AF182" s="103"/>
      <c r="AG182" s="103"/>
      <c r="AH182" s="103"/>
      <c r="AI182" s="173"/>
      <c r="AJ182" s="103"/>
      <c r="AK182" s="174"/>
      <c r="AL182" s="175"/>
      <c r="AM182" s="176"/>
      <c r="AP182" s="102"/>
      <c r="AQ182" s="102"/>
      <c r="AR182" s="102"/>
      <c r="AS182" s="102"/>
    </row>
    <row r="183" spans="3:45" x14ac:dyDescent="0.2">
      <c r="C183" s="103"/>
      <c r="D183" s="104"/>
      <c r="E183" s="104"/>
      <c r="F183" s="102"/>
      <c r="G183" s="172"/>
      <c r="H183" s="172"/>
      <c r="I183" s="172"/>
      <c r="J183" s="159"/>
      <c r="K183" s="159"/>
      <c r="L183" s="159"/>
      <c r="M183" s="159"/>
      <c r="N183" s="159"/>
      <c r="O183" s="159"/>
      <c r="P183" s="159"/>
      <c r="Q183" s="159"/>
      <c r="R183" s="159"/>
      <c r="S183" s="159"/>
      <c r="T183" s="159"/>
      <c r="U183" s="159"/>
      <c r="V183" s="159"/>
      <c r="W183" s="159"/>
      <c r="X183" s="103"/>
      <c r="Y183" s="103"/>
      <c r="Z183" s="103"/>
      <c r="AA183" s="103"/>
      <c r="AB183" s="103"/>
      <c r="AC183" s="103"/>
      <c r="AD183" s="103"/>
      <c r="AE183" s="103"/>
      <c r="AF183" s="103"/>
      <c r="AG183" s="103"/>
      <c r="AH183" s="103"/>
      <c r="AI183" s="173"/>
      <c r="AJ183" s="103"/>
      <c r="AK183" s="174"/>
      <c r="AL183" s="175"/>
      <c r="AM183" s="176"/>
      <c r="AP183" s="102"/>
      <c r="AQ183" s="102"/>
      <c r="AR183" s="102"/>
      <c r="AS183" s="102"/>
    </row>
    <row r="184" spans="3:45" x14ac:dyDescent="0.2">
      <c r="C184" s="103"/>
      <c r="D184" s="104"/>
      <c r="E184" s="104"/>
      <c r="F184" s="102"/>
      <c r="G184" s="172"/>
      <c r="H184" s="172"/>
      <c r="I184" s="172"/>
      <c r="J184" s="159"/>
      <c r="K184" s="159"/>
      <c r="L184" s="159"/>
      <c r="M184" s="159"/>
      <c r="N184" s="159"/>
      <c r="O184" s="159"/>
      <c r="P184" s="159"/>
      <c r="Q184" s="159"/>
      <c r="R184" s="159"/>
      <c r="S184" s="159"/>
      <c r="T184" s="159"/>
      <c r="U184" s="159"/>
      <c r="V184" s="159"/>
      <c r="W184" s="159"/>
      <c r="X184" s="103"/>
      <c r="Y184" s="103"/>
      <c r="Z184" s="103"/>
      <c r="AA184" s="103"/>
      <c r="AB184" s="103"/>
      <c r="AC184" s="103"/>
      <c r="AD184" s="103"/>
      <c r="AE184" s="103"/>
      <c r="AF184" s="103"/>
      <c r="AG184" s="103"/>
      <c r="AH184" s="103"/>
      <c r="AI184" s="173"/>
      <c r="AJ184" s="103"/>
      <c r="AK184" s="174"/>
      <c r="AL184" s="175"/>
      <c r="AM184" s="176"/>
      <c r="AP184" s="102"/>
      <c r="AQ184" s="102"/>
      <c r="AR184" s="102"/>
      <c r="AS184" s="102"/>
    </row>
    <row r="185" spans="3:45" x14ac:dyDescent="0.2">
      <c r="C185" s="103"/>
      <c r="D185" s="104"/>
      <c r="E185" s="104"/>
      <c r="F185" s="102"/>
      <c r="G185" s="172"/>
      <c r="H185" s="172"/>
      <c r="I185" s="172"/>
      <c r="J185" s="159"/>
      <c r="K185" s="159"/>
      <c r="L185" s="159"/>
      <c r="M185" s="159"/>
      <c r="N185" s="159"/>
      <c r="O185" s="159"/>
      <c r="P185" s="159"/>
      <c r="Q185" s="159"/>
      <c r="R185" s="159"/>
      <c r="S185" s="159"/>
      <c r="T185" s="159"/>
      <c r="U185" s="159"/>
      <c r="V185" s="159"/>
      <c r="W185" s="159"/>
      <c r="X185" s="103"/>
      <c r="Y185" s="103"/>
      <c r="Z185" s="103"/>
      <c r="AA185" s="103"/>
      <c r="AB185" s="103"/>
      <c r="AC185" s="103"/>
      <c r="AD185" s="103"/>
      <c r="AE185" s="103"/>
      <c r="AF185" s="103"/>
      <c r="AG185" s="103"/>
      <c r="AH185" s="103"/>
      <c r="AI185" s="173"/>
      <c r="AJ185" s="103"/>
      <c r="AK185" s="174"/>
      <c r="AL185" s="175"/>
      <c r="AM185" s="176"/>
      <c r="AP185" s="102"/>
      <c r="AQ185" s="102"/>
      <c r="AR185" s="102"/>
      <c r="AS185" s="102"/>
    </row>
    <row r="186" spans="3:45" x14ac:dyDescent="0.2">
      <c r="C186" s="103"/>
      <c r="D186" s="104"/>
      <c r="E186" s="104"/>
      <c r="F186" s="102"/>
      <c r="G186" s="172"/>
      <c r="H186" s="172"/>
      <c r="I186" s="172"/>
      <c r="J186" s="159"/>
      <c r="K186" s="159"/>
      <c r="L186" s="159"/>
      <c r="M186" s="159"/>
      <c r="N186" s="159"/>
      <c r="O186" s="159"/>
      <c r="P186" s="159"/>
      <c r="Q186" s="159"/>
      <c r="R186" s="159"/>
      <c r="S186" s="159"/>
      <c r="T186" s="159"/>
      <c r="U186" s="159"/>
      <c r="V186" s="159"/>
      <c r="W186" s="159"/>
      <c r="X186" s="103"/>
      <c r="Y186" s="103"/>
      <c r="Z186" s="103"/>
      <c r="AA186" s="103"/>
      <c r="AB186" s="103"/>
      <c r="AC186" s="103"/>
      <c r="AD186" s="103"/>
      <c r="AE186" s="103"/>
      <c r="AF186" s="103"/>
      <c r="AG186" s="103"/>
      <c r="AH186" s="103"/>
      <c r="AI186" s="173"/>
      <c r="AJ186" s="103"/>
      <c r="AK186" s="174"/>
      <c r="AL186" s="175"/>
      <c r="AM186" s="176"/>
      <c r="AP186" s="102"/>
      <c r="AQ186" s="102"/>
      <c r="AR186" s="102"/>
      <c r="AS186" s="102"/>
    </row>
    <row r="187" spans="3:45" x14ac:dyDescent="0.2">
      <c r="C187" s="103"/>
      <c r="D187" s="104"/>
      <c r="E187" s="104"/>
      <c r="F187" s="102"/>
      <c r="G187" s="172"/>
      <c r="H187" s="172"/>
      <c r="I187" s="172"/>
      <c r="J187" s="159"/>
      <c r="K187" s="159"/>
      <c r="L187" s="159"/>
      <c r="M187" s="159"/>
      <c r="N187" s="159"/>
      <c r="O187" s="159"/>
      <c r="P187" s="159"/>
      <c r="Q187" s="159"/>
      <c r="R187" s="159"/>
      <c r="S187" s="159"/>
      <c r="T187" s="159"/>
      <c r="U187" s="159"/>
      <c r="V187" s="159"/>
      <c r="W187" s="159"/>
      <c r="X187" s="103"/>
      <c r="Y187" s="103"/>
      <c r="Z187" s="103"/>
      <c r="AA187" s="103"/>
      <c r="AB187" s="103"/>
      <c r="AC187" s="103"/>
      <c r="AD187" s="103"/>
      <c r="AE187" s="103"/>
      <c r="AF187" s="103"/>
      <c r="AG187" s="103"/>
      <c r="AH187" s="103"/>
      <c r="AI187" s="173"/>
      <c r="AJ187" s="103"/>
      <c r="AK187" s="174"/>
      <c r="AL187" s="175"/>
      <c r="AM187" s="176"/>
      <c r="AP187" s="102"/>
      <c r="AQ187" s="102"/>
      <c r="AR187" s="102"/>
      <c r="AS187" s="102"/>
    </row>
    <row r="188" spans="3:45" x14ac:dyDescent="0.2">
      <c r="C188" s="103"/>
      <c r="D188" s="104"/>
      <c r="E188" s="104"/>
      <c r="F188" s="102"/>
      <c r="G188" s="172"/>
      <c r="H188" s="172"/>
      <c r="I188" s="172"/>
      <c r="J188" s="159"/>
      <c r="K188" s="159"/>
      <c r="L188" s="159"/>
      <c r="M188" s="159"/>
      <c r="N188" s="159"/>
      <c r="O188" s="159"/>
      <c r="P188" s="159"/>
      <c r="Q188" s="159"/>
      <c r="R188" s="159"/>
      <c r="S188" s="159"/>
      <c r="T188" s="159"/>
      <c r="U188" s="159"/>
      <c r="V188" s="159"/>
      <c r="W188" s="159"/>
      <c r="X188" s="103"/>
      <c r="Y188" s="103"/>
      <c r="Z188" s="103"/>
      <c r="AA188" s="103"/>
      <c r="AB188" s="103"/>
      <c r="AC188" s="103"/>
      <c r="AD188" s="103"/>
      <c r="AE188" s="103"/>
      <c r="AF188" s="103"/>
      <c r="AG188" s="103"/>
      <c r="AH188" s="103"/>
      <c r="AI188" s="173"/>
      <c r="AJ188" s="103"/>
      <c r="AK188" s="174"/>
      <c r="AL188" s="175"/>
      <c r="AM188" s="176"/>
      <c r="AP188" s="102"/>
      <c r="AQ188" s="102"/>
      <c r="AR188" s="102"/>
      <c r="AS188" s="102"/>
    </row>
    <row r="189" spans="3:45" x14ac:dyDescent="0.2">
      <c r="C189" s="103"/>
      <c r="D189" s="104"/>
      <c r="E189" s="104"/>
      <c r="F189" s="102"/>
      <c r="G189" s="172"/>
      <c r="H189" s="172"/>
      <c r="I189" s="172"/>
      <c r="J189" s="159"/>
      <c r="K189" s="159"/>
      <c r="L189" s="159"/>
      <c r="M189" s="159"/>
      <c r="N189" s="159"/>
      <c r="O189" s="159"/>
      <c r="P189" s="159"/>
      <c r="Q189" s="159"/>
      <c r="R189" s="159"/>
      <c r="S189" s="159"/>
      <c r="T189" s="159"/>
      <c r="U189" s="159"/>
      <c r="V189" s="159"/>
      <c r="W189" s="159"/>
      <c r="X189" s="103"/>
      <c r="Y189" s="103"/>
      <c r="Z189" s="103"/>
      <c r="AA189" s="103"/>
      <c r="AB189" s="103"/>
      <c r="AC189" s="103"/>
      <c r="AD189" s="103"/>
      <c r="AE189" s="103"/>
      <c r="AF189" s="103"/>
      <c r="AG189" s="103"/>
      <c r="AH189" s="103"/>
      <c r="AI189" s="173"/>
      <c r="AJ189" s="103"/>
      <c r="AK189" s="174"/>
      <c r="AL189" s="175"/>
      <c r="AM189" s="176"/>
      <c r="AP189" s="102"/>
      <c r="AQ189" s="102"/>
      <c r="AR189" s="102"/>
      <c r="AS189" s="102"/>
    </row>
    <row r="190" spans="3:45" x14ac:dyDescent="0.2">
      <c r="C190" s="103"/>
      <c r="D190" s="104"/>
      <c r="E190" s="104"/>
      <c r="F190" s="102"/>
      <c r="G190" s="172"/>
      <c r="H190" s="172"/>
      <c r="I190" s="172"/>
      <c r="J190" s="159"/>
      <c r="K190" s="159"/>
      <c r="L190" s="159"/>
      <c r="M190" s="159"/>
      <c r="N190" s="159"/>
      <c r="O190" s="159"/>
      <c r="P190" s="159"/>
      <c r="Q190" s="159"/>
      <c r="R190" s="159"/>
      <c r="S190" s="159"/>
      <c r="T190" s="159"/>
      <c r="U190" s="159"/>
      <c r="V190" s="159"/>
      <c r="W190" s="159"/>
      <c r="X190" s="103"/>
      <c r="Y190" s="103"/>
      <c r="Z190" s="103"/>
      <c r="AA190" s="103"/>
      <c r="AB190" s="103"/>
      <c r="AC190" s="103"/>
      <c r="AD190" s="103"/>
      <c r="AE190" s="103"/>
      <c r="AF190" s="103"/>
      <c r="AG190" s="103"/>
      <c r="AH190" s="103"/>
      <c r="AI190" s="173"/>
      <c r="AJ190" s="103"/>
      <c r="AK190" s="174"/>
      <c r="AL190" s="175"/>
      <c r="AM190" s="176"/>
      <c r="AP190" s="102"/>
      <c r="AQ190" s="102"/>
      <c r="AR190" s="102"/>
      <c r="AS190" s="102"/>
    </row>
    <row r="191" spans="3:45" x14ac:dyDescent="0.2">
      <c r="C191" s="103"/>
      <c r="D191" s="104"/>
      <c r="E191" s="104"/>
      <c r="F191" s="102"/>
      <c r="G191" s="172"/>
      <c r="H191" s="172"/>
      <c r="I191" s="172"/>
      <c r="J191" s="159"/>
      <c r="K191" s="159"/>
      <c r="L191" s="159"/>
      <c r="M191" s="159"/>
      <c r="N191" s="159"/>
      <c r="O191" s="159"/>
      <c r="P191" s="159"/>
      <c r="Q191" s="159"/>
      <c r="R191" s="159"/>
      <c r="S191" s="159"/>
      <c r="T191" s="159"/>
      <c r="U191" s="159"/>
      <c r="V191" s="159"/>
      <c r="W191" s="159"/>
      <c r="X191" s="103"/>
      <c r="Y191" s="103"/>
      <c r="Z191" s="103"/>
      <c r="AA191" s="103"/>
      <c r="AB191" s="103"/>
      <c r="AC191" s="103"/>
      <c r="AD191" s="103"/>
      <c r="AE191" s="103"/>
      <c r="AF191" s="103"/>
      <c r="AG191" s="103"/>
      <c r="AH191" s="103"/>
      <c r="AI191" s="173"/>
      <c r="AJ191" s="103"/>
      <c r="AK191" s="174"/>
      <c r="AL191" s="175"/>
      <c r="AM191" s="176"/>
      <c r="AP191" s="102"/>
      <c r="AQ191" s="102"/>
      <c r="AR191" s="102"/>
      <c r="AS191" s="102"/>
    </row>
    <row r="192" spans="3:45" x14ac:dyDescent="0.2">
      <c r="C192" s="103"/>
      <c r="D192" s="104"/>
      <c r="E192" s="104"/>
      <c r="F192" s="102"/>
      <c r="G192" s="172"/>
      <c r="H192" s="172"/>
      <c r="I192" s="172"/>
      <c r="J192" s="159"/>
      <c r="K192" s="159"/>
      <c r="L192" s="159"/>
      <c r="M192" s="159"/>
      <c r="N192" s="159"/>
      <c r="O192" s="159"/>
      <c r="P192" s="159"/>
      <c r="Q192" s="159"/>
      <c r="R192" s="159"/>
      <c r="S192" s="159"/>
      <c r="T192" s="159"/>
      <c r="U192" s="159"/>
      <c r="V192" s="159"/>
      <c r="W192" s="159"/>
      <c r="X192" s="103"/>
      <c r="Y192" s="103"/>
      <c r="Z192" s="103"/>
      <c r="AA192" s="103"/>
      <c r="AB192" s="103"/>
      <c r="AC192" s="103"/>
      <c r="AD192" s="103"/>
      <c r="AE192" s="103"/>
      <c r="AF192" s="103"/>
      <c r="AG192" s="103"/>
      <c r="AH192" s="103"/>
      <c r="AI192" s="173"/>
      <c r="AJ192" s="103"/>
      <c r="AK192" s="174"/>
      <c r="AL192" s="175"/>
      <c r="AM192" s="176"/>
      <c r="AP192" s="102"/>
      <c r="AQ192" s="102"/>
      <c r="AR192" s="102"/>
      <c r="AS192" s="102"/>
    </row>
    <row r="193" spans="3:45" x14ac:dyDescent="0.2">
      <c r="C193" s="103"/>
      <c r="D193" s="104"/>
      <c r="E193" s="104"/>
      <c r="F193" s="102"/>
      <c r="G193" s="172"/>
      <c r="H193" s="172"/>
      <c r="I193" s="172"/>
      <c r="J193" s="159"/>
      <c r="K193" s="159"/>
      <c r="L193" s="159"/>
      <c r="M193" s="159"/>
      <c r="N193" s="159"/>
      <c r="O193" s="159"/>
      <c r="P193" s="159"/>
      <c r="Q193" s="159"/>
      <c r="R193" s="159"/>
      <c r="S193" s="159"/>
      <c r="T193" s="159"/>
      <c r="U193" s="159"/>
      <c r="V193" s="159"/>
      <c r="W193" s="159"/>
      <c r="X193" s="103"/>
      <c r="Y193" s="103"/>
      <c r="Z193" s="103"/>
      <c r="AA193" s="103"/>
      <c r="AB193" s="103"/>
      <c r="AC193" s="103"/>
      <c r="AD193" s="103"/>
      <c r="AE193" s="103"/>
      <c r="AF193" s="103"/>
      <c r="AG193" s="103"/>
      <c r="AH193" s="103"/>
      <c r="AI193" s="173"/>
      <c r="AJ193" s="103"/>
      <c r="AK193" s="174"/>
      <c r="AL193" s="175"/>
      <c r="AM193" s="176"/>
      <c r="AP193" s="102"/>
      <c r="AQ193" s="102"/>
      <c r="AR193" s="102"/>
      <c r="AS193" s="102"/>
    </row>
    <row r="194" spans="3:45" x14ac:dyDescent="0.2">
      <c r="C194" s="103"/>
      <c r="D194" s="104"/>
      <c r="E194" s="104"/>
      <c r="F194" s="102"/>
      <c r="G194" s="172"/>
      <c r="H194" s="172"/>
      <c r="I194" s="172"/>
      <c r="J194" s="159"/>
      <c r="K194" s="159"/>
      <c r="L194" s="159"/>
      <c r="M194" s="159"/>
      <c r="N194" s="159"/>
      <c r="O194" s="159"/>
      <c r="P194" s="159"/>
      <c r="Q194" s="159"/>
      <c r="R194" s="159"/>
      <c r="S194" s="159"/>
      <c r="T194" s="159"/>
      <c r="U194" s="159"/>
      <c r="V194" s="159"/>
      <c r="W194" s="159"/>
      <c r="X194" s="103"/>
      <c r="Y194" s="103"/>
      <c r="Z194" s="103"/>
      <c r="AA194" s="103"/>
      <c r="AB194" s="103"/>
      <c r="AC194" s="103"/>
      <c r="AD194" s="103"/>
      <c r="AE194" s="103"/>
      <c r="AF194" s="103"/>
      <c r="AG194" s="103"/>
      <c r="AH194" s="103"/>
      <c r="AI194" s="173"/>
      <c r="AJ194" s="103"/>
      <c r="AK194" s="174"/>
      <c r="AL194" s="175"/>
      <c r="AM194" s="176"/>
      <c r="AP194" s="102"/>
      <c r="AQ194" s="102"/>
      <c r="AR194" s="102"/>
      <c r="AS194" s="102"/>
    </row>
    <row r="195" spans="3:45" x14ac:dyDescent="0.2">
      <c r="C195" s="103"/>
      <c r="D195" s="104"/>
      <c r="E195" s="104"/>
      <c r="F195" s="102"/>
      <c r="G195" s="172"/>
      <c r="H195" s="172"/>
      <c r="I195" s="172"/>
      <c r="J195" s="159"/>
      <c r="K195" s="159"/>
      <c r="L195" s="159"/>
      <c r="M195" s="159"/>
      <c r="N195" s="159"/>
      <c r="O195" s="159"/>
      <c r="P195" s="159"/>
      <c r="Q195" s="159"/>
      <c r="R195" s="159"/>
      <c r="S195" s="159"/>
      <c r="T195" s="159"/>
      <c r="U195" s="159"/>
      <c r="V195" s="159"/>
      <c r="W195" s="159"/>
      <c r="X195" s="103"/>
      <c r="Y195" s="103"/>
      <c r="Z195" s="103"/>
      <c r="AA195" s="103"/>
      <c r="AB195" s="103"/>
      <c r="AC195" s="103"/>
      <c r="AD195" s="103"/>
      <c r="AE195" s="103"/>
      <c r="AF195" s="103"/>
      <c r="AG195" s="103"/>
      <c r="AH195" s="103"/>
      <c r="AI195" s="173"/>
      <c r="AJ195" s="103"/>
      <c r="AK195" s="174"/>
      <c r="AL195" s="175"/>
      <c r="AM195" s="176"/>
      <c r="AP195" s="102"/>
      <c r="AQ195" s="102"/>
      <c r="AR195" s="102"/>
      <c r="AS195" s="102"/>
    </row>
    <row r="196" spans="3:45" x14ac:dyDescent="0.2">
      <c r="C196" s="103"/>
      <c r="D196" s="104"/>
      <c r="E196" s="104"/>
      <c r="F196" s="102"/>
      <c r="G196" s="172"/>
      <c r="H196" s="172"/>
      <c r="I196" s="172"/>
      <c r="J196" s="159"/>
      <c r="K196" s="159"/>
      <c r="L196" s="159"/>
      <c r="M196" s="159"/>
      <c r="N196" s="159"/>
      <c r="O196" s="159"/>
      <c r="P196" s="159"/>
      <c r="Q196" s="159"/>
      <c r="R196" s="159"/>
      <c r="S196" s="159"/>
      <c r="T196" s="159"/>
      <c r="U196" s="159"/>
      <c r="V196" s="159"/>
      <c r="W196" s="159"/>
      <c r="X196" s="103"/>
      <c r="Y196" s="103"/>
      <c r="Z196" s="103"/>
      <c r="AA196" s="103"/>
      <c r="AB196" s="103"/>
      <c r="AC196" s="103"/>
      <c r="AD196" s="103"/>
      <c r="AE196" s="103"/>
      <c r="AF196" s="103"/>
      <c r="AG196" s="103"/>
      <c r="AH196" s="103"/>
      <c r="AI196" s="173"/>
      <c r="AJ196" s="103"/>
      <c r="AK196" s="174"/>
      <c r="AL196" s="175"/>
      <c r="AM196" s="176"/>
      <c r="AP196" s="102"/>
      <c r="AQ196" s="102"/>
      <c r="AR196" s="102"/>
      <c r="AS196" s="102"/>
    </row>
    <row r="197" spans="3:45" x14ac:dyDescent="0.2">
      <c r="C197" s="103"/>
      <c r="D197" s="104"/>
      <c r="E197" s="104"/>
      <c r="F197" s="102"/>
      <c r="G197" s="172"/>
      <c r="H197" s="172"/>
      <c r="I197" s="172"/>
      <c r="J197" s="159"/>
      <c r="K197" s="159"/>
      <c r="L197" s="159"/>
      <c r="M197" s="159"/>
      <c r="N197" s="159"/>
      <c r="O197" s="159"/>
      <c r="P197" s="159"/>
      <c r="Q197" s="159"/>
      <c r="R197" s="159"/>
      <c r="S197" s="159"/>
      <c r="T197" s="159"/>
      <c r="U197" s="159"/>
      <c r="V197" s="159"/>
      <c r="W197" s="159"/>
      <c r="X197" s="103"/>
      <c r="Y197" s="103"/>
      <c r="Z197" s="103"/>
      <c r="AA197" s="103"/>
      <c r="AB197" s="103"/>
      <c r="AC197" s="103"/>
      <c r="AD197" s="103"/>
      <c r="AE197" s="103"/>
      <c r="AF197" s="103"/>
      <c r="AG197" s="103"/>
      <c r="AH197" s="103"/>
      <c r="AI197" s="173"/>
      <c r="AJ197" s="103"/>
      <c r="AK197" s="174"/>
      <c r="AL197" s="175"/>
      <c r="AM197" s="176"/>
      <c r="AP197" s="102"/>
      <c r="AQ197" s="102"/>
      <c r="AR197" s="102"/>
      <c r="AS197" s="102"/>
    </row>
    <row r="198" spans="3:45" x14ac:dyDescent="0.2">
      <c r="C198" s="103"/>
      <c r="D198" s="104"/>
      <c r="E198" s="104"/>
      <c r="F198" s="102"/>
      <c r="G198" s="172"/>
      <c r="H198" s="172"/>
      <c r="I198" s="172"/>
      <c r="J198" s="159"/>
      <c r="K198" s="159"/>
      <c r="L198" s="159"/>
      <c r="M198" s="159"/>
      <c r="N198" s="159"/>
      <c r="O198" s="159"/>
      <c r="P198" s="159"/>
      <c r="Q198" s="159"/>
      <c r="R198" s="159"/>
      <c r="S198" s="159"/>
      <c r="T198" s="159"/>
      <c r="U198" s="159"/>
      <c r="V198" s="159"/>
      <c r="W198" s="159"/>
      <c r="X198" s="103"/>
      <c r="Y198" s="103"/>
      <c r="Z198" s="103"/>
      <c r="AA198" s="103"/>
      <c r="AB198" s="103"/>
      <c r="AC198" s="103"/>
      <c r="AD198" s="103"/>
      <c r="AE198" s="103"/>
      <c r="AF198" s="103"/>
      <c r="AG198" s="103"/>
      <c r="AH198" s="103"/>
      <c r="AI198" s="173"/>
      <c r="AJ198" s="103"/>
      <c r="AK198" s="174"/>
      <c r="AL198" s="175"/>
      <c r="AM198" s="176"/>
      <c r="AP198" s="102"/>
      <c r="AQ198" s="102"/>
      <c r="AR198" s="102"/>
      <c r="AS198" s="102"/>
    </row>
    <row r="199" spans="3:45" x14ac:dyDescent="0.2">
      <c r="C199" s="103"/>
      <c r="D199" s="104"/>
      <c r="E199" s="104"/>
      <c r="F199" s="102"/>
      <c r="G199" s="172"/>
      <c r="H199" s="172"/>
      <c r="I199" s="172"/>
      <c r="J199" s="159"/>
      <c r="K199" s="159"/>
      <c r="L199" s="159"/>
      <c r="M199" s="159"/>
      <c r="N199" s="159"/>
      <c r="O199" s="159"/>
      <c r="P199" s="159"/>
      <c r="Q199" s="159"/>
      <c r="R199" s="159"/>
      <c r="S199" s="159"/>
      <c r="T199" s="159"/>
      <c r="U199" s="159"/>
      <c r="V199" s="159"/>
      <c r="W199" s="159"/>
      <c r="X199" s="103"/>
      <c r="Y199" s="103"/>
      <c r="Z199" s="103"/>
      <c r="AA199" s="103"/>
      <c r="AB199" s="103"/>
      <c r="AC199" s="103"/>
      <c r="AD199" s="103"/>
      <c r="AE199" s="103"/>
      <c r="AF199" s="103"/>
      <c r="AG199" s="103"/>
      <c r="AH199" s="103"/>
      <c r="AI199" s="173"/>
      <c r="AJ199" s="103"/>
      <c r="AK199" s="174"/>
      <c r="AL199" s="175"/>
      <c r="AM199" s="176"/>
      <c r="AP199" s="102"/>
      <c r="AQ199" s="102"/>
      <c r="AR199" s="102"/>
      <c r="AS199" s="102"/>
    </row>
    <row r="200" spans="3:45" x14ac:dyDescent="0.2">
      <c r="C200" s="103"/>
      <c r="D200" s="104"/>
      <c r="E200" s="104"/>
      <c r="F200" s="102"/>
      <c r="G200" s="172"/>
      <c r="H200" s="172"/>
      <c r="I200" s="172"/>
      <c r="J200" s="159"/>
      <c r="K200" s="159"/>
      <c r="L200" s="159"/>
      <c r="M200" s="159"/>
      <c r="N200" s="159"/>
      <c r="O200" s="159"/>
      <c r="P200" s="159"/>
      <c r="Q200" s="159"/>
      <c r="R200" s="159"/>
      <c r="S200" s="159"/>
      <c r="T200" s="159"/>
      <c r="U200" s="159"/>
      <c r="V200" s="159"/>
      <c r="W200" s="159"/>
      <c r="X200" s="103"/>
      <c r="Y200" s="103"/>
      <c r="Z200" s="103"/>
      <c r="AA200" s="103"/>
      <c r="AB200" s="103"/>
      <c r="AC200" s="103"/>
      <c r="AD200" s="103"/>
      <c r="AE200" s="103"/>
      <c r="AF200" s="103"/>
      <c r="AG200" s="103"/>
      <c r="AH200" s="103"/>
      <c r="AI200" s="173"/>
      <c r="AJ200" s="103"/>
      <c r="AK200" s="174"/>
      <c r="AL200" s="175"/>
      <c r="AM200" s="176"/>
      <c r="AP200" s="102"/>
      <c r="AQ200" s="102"/>
      <c r="AR200" s="102"/>
      <c r="AS200" s="102"/>
    </row>
    <row r="201" spans="3:45" x14ac:dyDescent="0.2">
      <c r="C201" s="103"/>
      <c r="D201" s="104"/>
      <c r="E201" s="104"/>
      <c r="F201" s="102"/>
      <c r="G201" s="172"/>
      <c r="H201" s="172"/>
      <c r="I201" s="172"/>
      <c r="J201" s="159"/>
      <c r="K201" s="159"/>
      <c r="L201" s="159"/>
      <c r="M201" s="159"/>
      <c r="N201" s="159"/>
      <c r="O201" s="159"/>
      <c r="P201" s="159"/>
      <c r="Q201" s="159"/>
      <c r="R201" s="159"/>
      <c r="S201" s="159"/>
      <c r="T201" s="159"/>
      <c r="U201" s="159"/>
      <c r="V201" s="159"/>
      <c r="W201" s="159"/>
      <c r="X201" s="103"/>
      <c r="Y201" s="103"/>
      <c r="Z201" s="103"/>
      <c r="AA201" s="103"/>
      <c r="AB201" s="103"/>
      <c r="AC201" s="103"/>
      <c r="AD201" s="103"/>
      <c r="AE201" s="103"/>
      <c r="AF201" s="103"/>
      <c r="AG201" s="103"/>
      <c r="AH201" s="103"/>
      <c r="AI201" s="173"/>
      <c r="AJ201" s="103"/>
      <c r="AK201" s="174"/>
      <c r="AL201" s="175"/>
      <c r="AM201" s="176"/>
      <c r="AP201" s="102"/>
      <c r="AQ201" s="102"/>
      <c r="AR201" s="102"/>
      <c r="AS201" s="102"/>
    </row>
    <row r="202" spans="3:45" x14ac:dyDescent="0.2">
      <c r="C202" s="103"/>
      <c r="D202" s="104"/>
      <c r="E202" s="104"/>
      <c r="F202" s="102"/>
      <c r="G202" s="172"/>
      <c r="H202" s="172"/>
      <c r="I202" s="172"/>
      <c r="J202" s="159"/>
      <c r="K202" s="159"/>
      <c r="L202" s="159"/>
      <c r="M202" s="159"/>
      <c r="N202" s="159"/>
      <c r="O202" s="159"/>
      <c r="P202" s="159"/>
      <c r="Q202" s="159"/>
      <c r="R202" s="159"/>
      <c r="S202" s="159"/>
      <c r="T202" s="159"/>
      <c r="U202" s="159"/>
      <c r="V202" s="159"/>
      <c r="W202" s="159"/>
      <c r="X202" s="103"/>
      <c r="Y202" s="103"/>
      <c r="Z202" s="103"/>
      <c r="AA202" s="103"/>
      <c r="AB202" s="103"/>
      <c r="AC202" s="103"/>
      <c r="AD202" s="103"/>
      <c r="AE202" s="103"/>
      <c r="AF202" s="103"/>
      <c r="AG202" s="103"/>
      <c r="AH202" s="103"/>
      <c r="AI202" s="173"/>
      <c r="AJ202" s="103"/>
      <c r="AK202" s="174"/>
      <c r="AL202" s="175"/>
      <c r="AM202" s="176"/>
      <c r="AP202" s="102"/>
      <c r="AQ202" s="102"/>
      <c r="AR202" s="102"/>
      <c r="AS202" s="102"/>
    </row>
    <row r="203" spans="3:45" x14ac:dyDescent="0.2">
      <c r="C203" s="103"/>
      <c r="D203" s="104"/>
      <c r="E203" s="104"/>
      <c r="F203" s="102"/>
      <c r="G203" s="172"/>
      <c r="H203" s="172"/>
      <c r="I203" s="172"/>
      <c r="J203" s="159"/>
      <c r="K203" s="159"/>
      <c r="L203" s="159"/>
      <c r="M203" s="159"/>
      <c r="N203" s="159"/>
      <c r="O203" s="159"/>
      <c r="P203" s="159"/>
      <c r="Q203" s="159"/>
      <c r="R203" s="159"/>
      <c r="S203" s="159"/>
      <c r="T203" s="159"/>
      <c r="U203" s="159"/>
      <c r="V203" s="159"/>
      <c r="W203" s="159"/>
      <c r="X203" s="103"/>
      <c r="Y203" s="103"/>
      <c r="Z203" s="103"/>
      <c r="AA203" s="103"/>
      <c r="AB203" s="103"/>
      <c r="AC203" s="103"/>
      <c r="AD203" s="103"/>
      <c r="AE203" s="103"/>
      <c r="AF203" s="103"/>
      <c r="AG203" s="103"/>
      <c r="AH203" s="103"/>
      <c r="AI203" s="173"/>
      <c r="AJ203" s="103"/>
      <c r="AK203" s="174"/>
      <c r="AL203" s="175"/>
      <c r="AM203" s="176"/>
      <c r="AP203" s="102"/>
      <c r="AQ203" s="102"/>
      <c r="AR203" s="102"/>
      <c r="AS203" s="102"/>
    </row>
    <row r="204" spans="3:45" x14ac:dyDescent="0.2">
      <c r="C204" s="103"/>
      <c r="D204" s="104"/>
      <c r="E204" s="104"/>
      <c r="F204" s="102"/>
      <c r="G204" s="172"/>
      <c r="H204" s="172"/>
      <c r="I204" s="172"/>
      <c r="J204" s="159"/>
      <c r="K204" s="159"/>
      <c r="L204" s="159"/>
      <c r="M204" s="159"/>
      <c r="N204" s="159"/>
      <c r="O204" s="159"/>
      <c r="P204" s="159"/>
      <c r="Q204" s="159"/>
      <c r="R204" s="159"/>
      <c r="S204" s="159"/>
      <c r="T204" s="159"/>
      <c r="U204" s="159"/>
      <c r="V204" s="159"/>
      <c r="W204" s="159"/>
      <c r="X204" s="103"/>
      <c r="Y204" s="103"/>
      <c r="Z204" s="103"/>
      <c r="AA204" s="103"/>
      <c r="AB204" s="103"/>
      <c r="AC204" s="103"/>
      <c r="AD204" s="103"/>
      <c r="AE204" s="103"/>
      <c r="AF204" s="103"/>
      <c r="AG204" s="103"/>
      <c r="AH204" s="103"/>
      <c r="AI204" s="173"/>
      <c r="AJ204" s="103"/>
      <c r="AK204" s="174"/>
      <c r="AL204" s="175"/>
      <c r="AM204" s="176"/>
      <c r="AP204" s="102"/>
      <c r="AQ204" s="102"/>
      <c r="AR204" s="102"/>
      <c r="AS204" s="102"/>
    </row>
    <row r="205" spans="3:45" x14ac:dyDescent="0.2">
      <c r="C205" s="103"/>
      <c r="D205" s="104"/>
      <c r="E205" s="104"/>
      <c r="F205" s="102"/>
      <c r="G205" s="172"/>
      <c r="H205" s="172"/>
      <c r="I205" s="172"/>
      <c r="J205" s="159"/>
      <c r="K205" s="159"/>
      <c r="L205" s="159"/>
      <c r="M205" s="159"/>
      <c r="N205" s="159"/>
      <c r="O205" s="159"/>
      <c r="P205" s="159"/>
      <c r="Q205" s="159"/>
      <c r="R205" s="159"/>
      <c r="S205" s="159"/>
      <c r="T205" s="159"/>
      <c r="U205" s="159"/>
      <c r="V205" s="159"/>
      <c r="W205" s="159"/>
      <c r="X205" s="103"/>
      <c r="Y205" s="103"/>
      <c r="Z205" s="103"/>
      <c r="AA205" s="103"/>
      <c r="AB205" s="103"/>
      <c r="AC205" s="103"/>
      <c r="AD205" s="103"/>
      <c r="AE205" s="103"/>
      <c r="AF205" s="103"/>
      <c r="AG205" s="103"/>
      <c r="AH205" s="103"/>
      <c r="AI205" s="173"/>
      <c r="AJ205" s="103"/>
      <c r="AK205" s="174"/>
      <c r="AL205" s="175"/>
      <c r="AM205" s="176"/>
      <c r="AP205" s="102"/>
      <c r="AQ205" s="102"/>
      <c r="AR205" s="102"/>
      <c r="AS205" s="102"/>
    </row>
    <row r="206" spans="3:45" x14ac:dyDescent="0.2">
      <c r="C206" s="103"/>
      <c r="D206" s="104"/>
      <c r="E206" s="104"/>
      <c r="F206" s="102"/>
      <c r="G206" s="172"/>
      <c r="H206" s="172"/>
      <c r="I206" s="172"/>
      <c r="J206" s="159"/>
      <c r="K206" s="159"/>
      <c r="L206" s="159"/>
      <c r="M206" s="159"/>
      <c r="N206" s="159"/>
      <c r="O206" s="159"/>
      <c r="P206" s="159"/>
      <c r="Q206" s="159"/>
      <c r="R206" s="159"/>
      <c r="S206" s="159"/>
      <c r="T206" s="159"/>
      <c r="U206" s="159"/>
      <c r="V206" s="159"/>
      <c r="W206" s="159"/>
      <c r="X206" s="103"/>
      <c r="Y206" s="103"/>
      <c r="Z206" s="103"/>
      <c r="AA206" s="103"/>
      <c r="AB206" s="103"/>
      <c r="AC206" s="103"/>
      <c r="AD206" s="103"/>
      <c r="AE206" s="103"/>
      <c r="AF206" s="103"/>
      <c r="AG206" s="103"/>
      <c r="AH206" s="103"/>
      <c r="AI206" s="173"/>
      <c r="AJ206" s="103"/>
      <c r="AK206" s="174"/>
      <c r="AL206" s="175"/>
      <c r="AM206" s="176"/>
      <c r="AP206" s="102"/>
      <c r="AQ206" s="102"/>
      <c r="AR206" s="102"/>
      <c r="AS206" s="102"/>
    </row>
    <row r="207" spans="3:45" x14ac:dyDescent="0.2">
      <c r="C207" s="103"/>
      <c r="D207" s="104"/>
      <c r="E207" s="104"/>
      <c r="F207" s="102"/>
      <c r="G207" s="172"/>
      <c r="H207" s="172"/>
      <c r="I207" s="172"/>
      <c r="J207" s="159"/>
      <c r="K207" s="159"/>
      <c r="L207" s="159"/>
      <c r="M207" s="159"/>
      <c r="N207" s="159"/>
      <c r="O207" s="159"/>
      <c r="P207" s="159"/>
      <c r="Q207" s="159"/>
      <c r="R207" s="159"/>
      <c r="S207" s="159"/>
      <c r="T207" s="159"/>
      <c r="U207" s="159"/>
      <c r="V207" s="159"/>
      <c r="W207" s="159"/>
      <c r="X207" s="103"/>
      <c r="Y207" s="103"/>
      <c r="Z207" s="103"/>
      <c r="AA207" s="103"/>
      <c r="AB207" s="103"/>
      <c r="AC207" s="103"/>
      <c r="AD207" s="103"/>
      <c r="AE207" s="103"/>
      <c r="AF207" s="103"/>
      <c r="AG207" s="103"/>
      <c r="AH207" s="103"/>
      <c r="AI207" s="173"/>
      <c r="AJ207" s="103"/>
      <c r="AK207" s="174"/>
      <c r="AL207" s="175"/>
      <c r="AM207" s="176"/>
      <c r="AP207" s="102"/>
      <c r="AQ207" s="102"/>
      <c r="AR207" s="102"/>
      <c r="AS207" s="102"/>
    </row>
    <row r="208" spans="3:45" x14ac:dyDescent="0.2">
      <c r="C208" s="103"/>
      <c r="D208" s="104"/>
      <c r="E208" s="104"/>
      <c r="F208" s="102"/>
      <c r="G208" s="172"/>
      <c r="H208" s="172"/>
      <c r="I208" s="172"/>
      <c r="J208" s="159"/>
      <c r="K208" s="159"/>
      <c r="L208" s="159"/>
      <c r="M208" s="159"/>
      <c r="N208" s="159"/>
      <c r="O208" s="159"/>
      <c r="P208" s="159"/>
      <c r="Q208" s="159"/>
      <c r="R208" s="159"/>
      <c r="S208" s="159"/>
      <c r="T208" s="159"/>
      <c r="U208" s="159"/>
      <c r="V208" s="159"/>
      <c r="W208" s="159"/>
      <c r="X208" s="103"/>
      <c r="Y208" s="103"/>
      <c r="Z208" s="103"/>
      <c r="AA208" s="103"/>
      <c r="AB208" s="103"/>
      <c r="AC208" s="103"/>
      <c r="AD208" s="103"/>
      <c r="AE208" s="103"/>
      <c r="AF208" s="103"/>
      <c r="AG208" s="103"/>
      <c r="AH208" s="103"/>
      <c r="AI208" s="173"/>
      <c r="AJ208" s="103"/>
      <c r="AK208" s="174"/>
      <c r="AL208" s="175"/>
      <c r="AM208" s="176"/>
      <c r="AP208" s="102"/>
      <c r="AQ208" s="102"/>
      <c r="AR208" s="102"/>
      <c r="AS208" s="102"/>
    </row>
    <row r="209" spans="3:45" x14ac:dyDescent="0.2">
      <c r="C209" s="103"/>
      <c r="D209" s="104"/>
      <c r="E209" s="104"/>
      <c r="F209" s="102"/>
      <c r="G209" s="172"/>
      <c r="H209" s="172"/>
      <c r="I209" s="172"/>
      <c r="J209" s="159"/>
      <c r="K209" s="159"/>
      <c r="L209" s="159"/>
      <c r="M209" s="159"/>
      <c r="N209" s="159"/>
      <c r="O209" s="159"/>
      <c r="P209" s="159"/>
      <c r="Q209" s="159"/>
      <c r="R209" s="159"/>
      <c r="S209" s="159"/>
      <c r="T209" s="159"/>
      <c r="U209" s="159"/>
      <c r="V209" s="159"/>
      <c r="W209" s="159"/>
      <c r="X209" s="103"/>
      <c r="Y209" s="103"/>
      <c r="Z209" s="103"/>
      <c r="AA209" s="103"/>
      <c r="AB209" s="103"/>
      <c r="AC209" s="103"/>
      <c r="AD209" s="103"/>
      <c r="AE209" s="103"/>
      <c r="AF209" s="103"/>
      <c r="AG209" s="103"/>
      <c r="AH209" s="103"/>
      <c r="AI209" s="173"/>
      <c r="AJ209" s="103"/>
      <c r="AK209" s="174"/>
      <c r="AL209" s="175"/>
      <c r="AM209" s="176"/>
      <c r="AP209" s="102"/>
      <c r="AQ209" s="102"/>
      <c r="AR209" s="102"/>
      <c r="AS209" s="102"/>
    </row>
    <row r="210" spans="3:45" x14ac:dyDescent="0.2">
      <c r="C210" s="103"/>
      <c r="D210" s="104"/>
      <c r="E210" s="104"/>
      <c r="F210" s="102"/>
      <c r="G210" s="172"/>
      <c r="H210" s="172"/>
      <c r="I210" s="172"/>
      <c r="J210" s="159"/>
      <c r="K210" s="159"/>
      <c r="L210" s="159"/>
      <c r="M210" s="159"/>
      <c r="N210" s="159"/>
      <c r="O210" s="159"/>
      <c r="P210" s="159"/>
      <c r="Q210" s="159"/>
      <c r="R210" s="159"/>
      <c r="S210" s="159"/>
      <c r="T210" s="159"/>
      <c r="U210" s="159"/>
      <c r="V210" s="159"/>
      <c r="W210" s="159"/>
      <c r="X210" s="103"/>
      <c r="Y210" s="103"/>
      <c r="Z210" s="103"/>
      <c r="AA210" s="103"/>
      <c r="AB210" s="103"/>
      <c r="AC210" s="103"/>
      <c r="AD210" s="103"/>
      <c r="AE210" s="103"/>
      <c r="AF210" s="103"/>
      <c r="AG210" s="103"/>
      <c r="AH210" s="103"/>
      <c r="AI210" s="173"/>
      <c r="AJ210" s="103"/>
      <c r="AK210" s="174"/>
      <c r="AL210" s="175"/>
      <c r="AM210" s="176"/>
      <c r="AP210" s="102"/>
      <c r="AQ210" s="102"/>
      <c r="AR210" s="102"/>
      <c r="AS210" s="102"/>
    </row>
    <row r="211" spans="3:45" x14ac:dyDescent="0.2">
      <c r="C211" s="103"/>
      <c r="D211" s="104"/>
      <c r="E211" s="104"/>
      <c r="F211" s="102"/>
      <c r="G211" s="172"/>
      <c r="H211" s="172"/>
      <c r="I211" s="172"/>
      <c r="J211" s="159"/>
      <c r="K211" s="159"/>
      <c r="L211" s="159"/>
      <c r="M211" s="159"/>
      <c r="N211" s="159"/>
      <c r="O211" s="159"/>
      <c r="P211" s="159"/>
      <c r="Q211" s="159"/>
      <c r="R211" s="159"/>
      <c r="S211" s="159"/>
      <c r="T211" s="159"/>
      <c r="U211" s="159"/>
      <c r="V211" s="159"/>
      <c r="W211" s="159"/>
      <c r="X211" s="103"/>
      <c r="Y211" s="103"/>
      <c r="Z211" s="103"/>
      <c r="AA211" s="103"/>
      <c r="AB211" s="103"/>
      <c r="AC211" s="103"/>
      <c r="AD211" s="103"/>
      <c r="AE211" s="103"/>
      <c r="AF211" s="103"/>
      <c r="AG211" s="103"/>
      <c r="AH211" s="103"/>
      <c r="AI211" s="173"/>
      <c r="AJ211" s="103"/>
      <c r="AK211" s="174"/>
      <c r="AL211" s="175"/>
      <c r="AM211" s="176"/>
      <c r="AP211" s="102"/>
      <c r="AQ211" s="102"/>
      <c r="AR211" s="102"/>
      <c r="AS211" s="102"/>
    </row>
    <row r="212" spans="3:45" x14ac:dyDescent="0.2">
      <c r="C212" s="103"/>
      <c r="D212" s="104"/>
      <c r="E212" s="104"/>
      <c r="F212" s="102"/>
      <c r="G212" s="172"/>
      <c r="H212" s="172"/>
      <c r="I212" s="172"/>
      <c r="J212" s="159"/>
      <c r="K212" s="159"/>
      <c r="L212" s="159"/>
      <c r="M212" s="159"/>
      <c r="N212" s="159"/>
      <c r="O212" s="159"/>
      <c r="P212" s="159"/>
      <c r="Q212" s="159"/>
      <c r="R212" s="159"/>
      <c r="S212" s="159"/>
      <c r="T212" s="159"/>
      <c r="U212" s="159"/>
      <c r="V212" s="159"/>
      <c r="W212" s="159"/>
      <c r="X212" s="103"/>
      <c r="Y212" s="103"/>
      <c r="Z212" s="103"/>
      <c r="AA212" s="103"/>
      <c r="AB212" s="103"/>
      <c r="AC212" s="103"/>
      <c r="AD212" s="103"/>
      <c r="AE212" s="103"/>
      <c r="AF212" s="103"/>
      <c r="AG212" s="103"/>
      <c r="AH212" s="103"/>
      <c r="AI212" s="173"/>
      <c r="AJ212" s="103"/>
      <c r="AK212" s="174"/>
      <c r="AL212" s="175"/>
      <c r="AM212" s="176"/>
      <c r="AP212" s="102"/>
      <c r="AQ212" s="102"/>
      <c r="AR212" s="102"/>
      <c r="AS212" s="102"/>
    </row>
    <row r="213" spans="3:45" x14ac:dyDescent="0.2">
      <c r="C213" s="103"/>
      <c r="D213" s="104"/>
      <c r="E213" s="104"/>
      <c r="F213" s="102"/>
      <c r="G213" s="172"/>
      <c r="H213" s="172"/>
      <c r="I213" s="172"/>
      <c r="J213" s="159"/>
      <c r="K213" s="159"/>
      <c r="L213" s="159"/>
      <c r="M213" s="159"/>
      <c r="N213" s="159"/>
      <c r="O213" s="159"/>
      <c r="P213" s="159"/>
      <c r="Q213" s="159"/>
      <c r="R213" s="159"/>
      <c r="S213" s="159"/>
      <c r="T213" s="159"/>
      <c r="U213" s="159"/>
      <c r="V213" s="159"/>
      <c r="W213" s="159"/>
      <c r="X213" s="103"/>
      <c r="Y213" s="103"/>
      <c r="Z213" s="103"/>
      <c r="AA213" s="103"/>
      <c r="AB213" s="103"/>
      <c r="AC213" s="103"/>
      <c r="AD213" s="103"/>
      <c r="AE213" s="103"/>
      <c r="AF213" s="103"/>
      <c r="AG213" s="103"/>
      <c r="AH213" s="103"/>
      <c r="AI213" s="173"/>
      <c r="AJ213" s="103"/>
      <c r="AK213" s="174"/>
      <c r="AL213" s="175"/>
      <c r="AM213" s="176"/>
      <c r="AP213" s="102"/>
      <c r="AQ213" s="102"/>
      <c r="AR213" s="102"/>
      <c r="AS213" s="102"/>
    </row>
    <row r="214" spans="3:45" x14ac:dyDescent="0.2">
      <c r="C214" s="103"/>
      <c r="D214" s="104"/>
      <c r="E214" s="104"/>
      <c r="F214" s="102"/>
      <c r="G214" s="172"/>
      <c r="H214" s="172"/>
      <c r="I214" s="172"/>
      <c r="J214" s="159"/>
      <c r="K214" s="159"/>
      <c r="L214" s="159"/>
      <c r="M214" s="159"/>
      <c r="N214" s="159"/>
      <c r="O214" s="159"/>
      <c r="P214" s="159"/>
      <c r="Q214" s="159"/>
      <c r="R214" s="159"/>
      <c r="S214" s="159"/>
      <c r="T214" s="159"/>
      <c r="U214" s="159"/>
      <c r="V214" s="159"/>
      <c r="W214" s="159"/>
      <c r="X214" s="103"/>
      <c r="Y214" s="103"/>
      <c r="Z214" s="103"/>
      <c r="AA214" s="103"/>
      <c r="AB214" s="103"/>
      <c r="AC214" s="103"/>
      <c r="AD214" s="103"/>
      <c r="AE214" s="103"/>
      <c r="AF214" s="103"/>
      <c r="AG214" s="103"/>
      <c r="AH214" s="103"/>
      <c r="AI214" s="173"/>
      <c r="AJ214" s="103"/>
      <c r="AK214" s="174"/>
      <c r="AL214" s="175"/>
      <c r="AM214" s="176"/>
      <c r="AP214" s="102"/>
      <c r="AQ214" s="102"/>
      <c r="AR214" s="102"/>
      <c r="AS214" s="102"/>
    </row>
    <row r="215" spans="3:45" x14ac:dyDescent="0.2">
      <c r="C215" s="103"/>
      <c r="D215" s="104"/>
      <c r="E215" s="104"/>
      <c r="F215" s="102"/>
      <c r="G215" s="172"/>
      <c r="H215" s="172"/>
      <c r="I215" s="172"/>
      <c r="J215" s="159"/>
      <c r="K215" s="159"/>
      <c r="L215" s="159"/>
      <c r="M215" s="159"/>
      <c r="N215" s="159"/>
      <c r="O215" s="159"/>
      <c r="P215" s="159"/>
      <c r="Q215" s="159"/>
      <c r="R215" s="159"/>
      <c r="S215" s="159"/>
      <c r="T215" s="159"/>
      <c r="U215" s="159"/>
      <c r="V215" s="159"/>
      <c r="W215" s="159"/>
      <c r="X215" s="103"/>
      <c r="Y215" s="103"/>
      <c r="Z215" s="103"/>
      <c r="AA215" s="103"/>
      <c r="AB215" s="103"/>
      <c r="AC215" s="103"/>
      <c r="AD215" s="103"/>
      <c r="AE215" s="103"/>
      <c r="AF215" s="103"/>
      <c r="AG215" s="103"/>
      <c r="AH215" s="103"/>
      <c r="AI215" s="173"/>
      <c r="AJ215" s="103"/>
      <c r="AK215" s="174"/>
      <c r="AL215" s="175"/>
      <c r="AM215" s="176"/>
      <c r="AP215" s="102"/>
      <c r="AQ215" s="102"/>
      <c r="AR215" s="102"/>
      <c r="AS215" s="102"/>
    </row>
    <row r="216" spans="3:45" x14ac:dyDescent="0.2">
      <c r="C216" s="103"/>
      <c r="D216" s="104"/>
      <c r="E216" s="104"/>
      <c r="F216" s="102"/>
      <c r="G216" s="172"/>
      <c r="H216" s="172"/>
      <c r="I216" s="172"/>
      <c r="J216" s="159"/>
      <c r="K216" s="159"/>
      <c r="L216" s="159"/>
      <c r="M216" s="159"/>
      <c r="N216" s="159"/>
      <c r="O216" s="159"/>
      <c r="P216" s="159"/>
      <c r="Q216" s="159"/>
      <c r="R216" s="159"/>
      <c r="S216" s="159"/>
      <c r="T216" s="159"/>
      <c r="U216" s="159"/>
      <c r="V216" s="159"/>
      <c r="W216" s="159"/>
      <c r="X216" s="103"/>
      <c r="Y216" s="103"/>
      <c r="Z216" s="103"/>
      <c r="AA216" s="103"/>
      <c r="AB216" s="103"/>
      <c r="AC216" s="103"/>
      <c r="AD216" s="103"/>
      <c r="AE216" s="103"/>
      <c r="AF216" s="103"/>
      <c r="AG216" s="103"/>
      <c r="AH216" s="103"/>
      <c r="AI216" s="173"/>
      <c r="AJ216" s="103"/>
      <c r="AK216" s="174"/>
      <c r="AL216" s="175"/>
      <c r="AM216" s="176"/>
      <c r="AP216" s="102"/>
      <c r="AQ216" s="102"/>
      <c r="AR216" s="102"/>
      <c r="AS216" s="102"/>
    </row>
    <row r="217" spans="3:45" x14ac:dyDescent="0.2">
      <c r="C217" s="103"/>
      <c r="D217" s="104"/>
      <c r="E217" s="104"/>
      <c r="F217" s="102"/>
      <c r="G217" s="172"/>
      <c r="H217" s="172"/>
      <c r="I217" s="172"/>
      <c r="J217" s="159"/>
      <c r="K217" s="159"/>
      <c r="L217" s="159"/>
      <c r="M217" s="159"/>
      <c r="N217" s="159"/>
      <c r="O217" s="159"/>
      <c r="P217" s="159"/>
      <c r="Q217" s="159"/>
      <c r="R217" s="159"/>
      <c r="S217" s="159"/>
      <c r="T217" s="159"/>
      <c r="U217" s="159"/>
      <c r="V217" s="159"/>
      <c r="W217" s="159"/>
      <c r="X217" s="103"/>
      <c r="Y217" s="103"/>
      <c r="Z217" s="103"/>
      <c r="AA217" s="103"/>
      <c r="AB217" s="103"/>
      <c r="AC217" s="103"/>
      <c r="AD217" s="103"/>
      <c r="AE217" s="103"/>
      <c r="AF217" s="103"/>
      <c r="AG217" s="103"/>
      <c r="AH217" s="103"/>
      <c r="AI217" s="173"/>
      <c r="AJ217" s="103"/>
      <c r="AK217" s="174"/>
      <c r="AL217" s="175"/>
      <c r="AM217" s="176"/>
      <c r="AP217" s="102"/>
      <c r="AQ217" s="102"/>
      <c r="AR217" s="102"/>
      <c r="AS217" s="102"/>
    </row>
    <row r="218" spans="3:45" x14ac:dyDescent="0.2">
      <c r="C218" s="103"/>
      <c r="D218" s="104"/>
      <c r="E218" s="104"/>
      <c r="F218" s="102"/>
      <c r="G218" s="172"/>
      <c r="H218" s="172"/>
      <c r="I218" s="172"/>
      <c r="J218" s="159"/>
      <c r="K218" s="159"/>
      <c r="L218" s="159"/>
      <c r="M218" s="159"/>
      <c r="N218" s="159"/>
      <c r="O218" s="159"/>
      <c r="P218" s="159"/>
      <c r="Q218" s="159"/>
      <c r="R218" s="159"/>
      <c r="S218" s="159"/>
      <c r="T218" s="159"/>
      <c r="U218" s="159"/>
      <c r="V218" s="159"/>
      <c r="W218" s="159"/>
      <c r="X218" s="103"/>
      <c r="Y218" s="103"/>
      <c r="Z218" s="103"/>
      <c r="AA218" s="103"/>
      <c r="AB218" s="103"/>
      <c r="AC218" s="103"/>
      <c r="AD218" s="103"/>
      <c r="AE218" s="103"/>
      <c r="AF218" s="103"/>
      <c r="AG218" s="103"/>
      <c r="AH218" s="103"/>
      <c r="AI218" s="173"/>
      <c r="AJ218" s="103"/>
      <c r="AK218" s="174"/>
      <c r="AL218" s="175"/>
      <c r="AM218" s="176"/>
      <c r="AP218" s="102"/>
      <c r="AQ218" s="102"/>
      <c r="AR218" s="102"/>
      <c r="AS218" s="102"/>
    </row>
    <row r="219" spans="3:45" x14ac:dyDescent="0.2">
      <c r="C219" s="103"/>
      <c r="D219" s="104"/>
      <c r="E219" s="104"/>
      <c r="F219" s="102"/>
      <c r="G219" s="172"/>
      <c r="H219" s="172"/>
      <c r="I219" s="172"/>
      <c r="J219" s="159"/>
      <c r="K219" s="159"/>
      <c r="L219" s="159"/>
      <c r="M219" s="159"/>
      <c r="N219" s="159"/>
      <c r="O219" s="159"/>
      <c r="P219" s="159"/>
      <c r="Q219" s="159"/>
      <c r="R219" s="159"/>
      <c r="S219" s="159"/>
      <c r="T219" s="159"/>
      <c r="U219" s="159"/>
      <c r="V219" s="159"/>
      <c r="W219" s="159"/>
      <c r="X219" s="103"/>
      <c r="Y219" s="103"/>
      <c r="Z219" s="103"/>
      <c r="AA219" s="103"/>
      <c r="AB219" s="103"/>
      <c r="AC219" s="103"/>
      <c r="AD219" s="103"/>
      <c r="AE219" s="103"/>
      <c r="AF219" s="103"/>
      <c r="AG219" s="103"/>
      <c r="AH219" s="103"/>
      <c r="AI219" s="173"/>
      <c r="AJ219" s="103"/>
      <c r="AK219" s="174"/>
      <c r="AL219" s="175"/>
      <c r="AM219" s="176"/>
      <c r="AP219" s="102"/>
      <c r="AQ219" s="102"/>
      <c r="AR219" s="102"/>
      <c r="AS219" s="102"/>
    </row>
    <row r="220" spans="3:45" x14ac:dyDescent="0.2">
      <c r="C220" s="103"/>
      <c r="D220" s="104"/>
      <c r="E220" s="104"/>
      <c r="F220" s="102"/>
      <c r="G220" s="172"/>
      <c r="H220" s="172"/>
      <c r="I220" s="172"/>
      <c r="J220" s="159"/>
      <c r="K220" s="159"/>
      <c r="L220" s="159"/>
      <c r="M220" s="159"/>
      <c r="N220" s="159"/>
      <c r="O220" s="159"/>
      <c r="P220" s="159"/>
      <c r="Q220" s="159"/>
      <c r="R220" s="159"/>
      <c r="S220" s="159"/>
      <c r="T220" s="159"/>
      <c r="U220" s="159"/>
      <c r="V220" s="159"/>
      <c r="W220" s="159"/>
      <c r="X220" s="103"/>
      <c r="Y220" s="103"/>
      <c r="Z220" s="103"/>
      <c r="AA220" s="103"/>
      <c r="AB220" s="103"/>
      <c r="AC220" s="103"/>
      <c r="AD220" s="103"/>
      <c r="AE220" s="103"/>
      <c r="AF220" s="103"/>
      <c r="AG220" s="103"/>
      <c r="AH220" s="103"/>
      <c r="AI220" s="173"/>
      <c r="AJ220" s="103"/>
      <c r="AK220" s="174"/>
      <c r="AL220" s="175"/>
      <c r="AM220" s="176"/>
      <c r="AP220" s="102"/>
      <c r="AQ220" s="102"/>
      <c r="AR220" s="102"/>
      <c r="AS220" s="102"/>
    </row>
    <row r="221" spans="3:45" x14ac:dyDescent="0.2">
      <c r="C221" s="103"/>
      <c r="D221" s="104"/>
      <c r="E221" s="104"/>
      <c r="F221" s="102"/>
      <c r="G221" s="172"/>
      <c r="H221" s="172"/>
      <c r="I221" s="172"/>
      <c r="J221" s="159"/>
      <c r="K221" s="159"/>
      <c r="L221" s="159"/>
      <c r="M221" s="159"/>
      <c r="N221" s="159"/>
      <c r="O221" s="159"/>
      <c r="P221" s="159"/>
      <c r="Q221" s="159"/>
      <c r="R221" s="159"/>
      <c r="S221" s="159"/>
      <c r="T221" s="159"/>
      <c r="U221" s="159"/>
      <c r="V221" s="159"/>
      <c r="W221" s="159"/>
      <c r="X221" s="103"/>
      <c r="Y221" s="103"/>
      <c r="Z221" s="103"/>
      <c r="AA221" s="103"/>
      <c r="AB221" s="103"/>
      <c r="AC221" s="103"/>
      <c r="AD221" s="103"/>
      <c r="AE221" s="103"/>
      <c r="AF221" s="103"/>
      <c r="AG221" s="103"/>
      <c r="AH221" s="103"/>
      <c r="AI221" s="173"/>
      <c r="AJ221" s="103"/>
      <c r="AK221" s="174"/>
      <c r="AL221" s="175"/>
      <c r="AM221" s="176"/>
      <c r="AP221" s="102"/>
      <c r="AQ221" s="102"/>
      <c r="AR221" s="102"/>
      <c r="AS221" s="102"/>
    </row>
    <row r="222" spans="3:45" x14ac:dyDescent="0.2">
      <c r="C222" s="103"/>
      <c r="D222" s="104"/>
      <c r="E222" s="104"/>
      <c r="F222" s="102"/>
      <c r="G222" s="172"/>
      <c r="H222" s="172"/>
      <c r="I222" s="172"/>
      <c r="J222" s="159"/>
      <c r="K222" s="159"/>
      <c r="L222" s="159"/>
      <c r="M222" s="159"/>
      <c r="N222" s="159"/>
      <c r="O222" s="159"/>
      <c r="P222" s="159"/>
      <c r="Q222" s="159"/>
      <c r="R222" s="159"/>
      <c r="S222" s="159"/>
      <c r="T222" s="159"/>
      <c r="U222" s="159"/>
      <c r="V222" s="159"/>
      <c r="W222" s="159"/>
      <c r="X222" s="103"/>
      <c r="Y222" s="103"/>
      <c r="Z222" s="103"/>
      <c r="AA222" s="103"/>
      <c r="AB222" s="103"/>
      <c r="AC222" s="103"/>
      <c r="AD222" s="103"/>
      <c r="AE222" s="103"/>
      <c r="AF222" s="103"/>
      <c r="AG222" s="103"/>
      <c r="AH222" s="103"/>
      <c r="AI222" s="173"/>
      <c r="AJ222" s="103"/>
      <c r="AK222" s="174"/>
      <c r="AL222" s="175"/>
      <c r="AM222" s="176"/>
      <c r="AP222" s="102"/>
      <c r="AQ222" s="102"/>
      <c r="AR222" s="102"/>
      <c r="AS222" s="102"/>
    </row>
    <row r="223" spans="3:45" x14ac:dyDescent="0.2">
      <c r="C223" s="103"/>
      <c r="D223" s="104"/>
      <c r="E223" s="104"/>
      <c r="F223" s="102"/>
      <c r="G223" s="172"/>
      <c r="H223" s="172"/>
      <c r="I223" s="172"/>
      <c r="J223" s="159"/>
      <c r="K223" s="159"/>
      <c r="L223" s="159"/>
      <c r="M223" s="159"/>
      <c r="N223" s="159"/>
      <c r="O223" s="159"/>
      <c r="P223" s="159"/>
      <c r="Q223" s="159"/>
      <c r="R223" s="159"/>
      <c r="S223" s="159"/>
      <c r="T223" s="159"/>
      <c r="U223" s="159"/>
      <c r="V223" s="159"/>
      <c r="W223" s="159"/>
      <c r="X223" s="103"/>
      <c r="Y223" s="103"/>
      <c r="Z223" s="103"/>
      <c r="AA223" s="103"/>
      <c r="AB223" s="103"/>
      <c r="AC223" s="103"/>
      <c r="AD223" s="103"/>
      <c r="AE223" s="103"/>
      <c r="AF223" s="103"/>
      <c r="AG223" s="103"/>
      <c r="AH223" s="103"/>
      <c r="AI223" s="173"/>
      <c r="AJ223" s="103"/>
      <c r="AK223" s="174"/>
      <c r="AL223" s="175"/>
      <c r="AM223" s="176"/>
      <c r="AP223" s="102"/>
      <c r="AQ223" s="102"/>
      <c r="AR223" s="102"/>
      <c r="AS223" s="102"/>
    </row>
    <row r="224" spans="3:45" x14ac:dyDescent="0.2">
      <c r="C224" s="103"/>
      <c r="D224" s="104"/>
      <c r="E224" s="104"/>
      <c r="F224" s="102"/>
      <c r="G224" s="172"/>
      <c r="H224" s="172"/>
      <c r="I224" s="172"/>
      <c r="J224" s="159"/>
      <c r="K224" s="159"/>
      <c r="L224" s="159"/>
      <c r="M224" s="159"/>
      <c r="N224" s="159"/>
      <c r="O224" s="159"/>
      <c r="P224" s="159"/>
      <c r="Q224" s="159"/>
      <c r="R224" s="159"/>
      <c r="S224" s="159"/>
      <c r="T224" s="159"/>
      <c r="U224" s="159"/>
      <c r="V224" s="159"/>
      <c r="W224" s="159"/>
      <c r="X224" s="103"/>
      <c r="Y224" s="103"/>
      <c r="Z224" s="103"/>
      <c r="AA224" s="103"/>
      <c r="AB224" s="103"/>
      <c r="AC224" s="103"/>
      <c r="AD224" s="103"/>
      <c r="AE224" s="103"/>
      <c r="AF224" s="103"/>
      <c r="AG224" s="103"/>
      <c r="AH224" s="103"/>
      <c r="AI224" s="173"/>
      <c r="AJ224" s="103"/>
      <c r="AK224" s="174"/>
      <c r="AL224" s="175"/>
      <c r="AM224" s="176"/>
      <c r="AP224" s="102"/>
      <c r="AQ224" s="102"/>
      <c r="AR224" s="102"/>
      <c r="AS224" s="102"/>
    </row>
    <row r="225" spans="3:45" x14ac:dyDescent="0.2">
      <c r="C225" s="103"/>
      <c r="D225" s="104"/>
      <c r="E225" s="104"/>
      <c r="F225" s="102"/>
      <c r="G225" s="172"/>
      <c r="H225" s="172"/>
      <c r="I225" s="172"/>
      <c r="J225" s="159"/>
      <c r="K225" s="159"/>
      <c r="L225" s="159"/>
      <c r="M225" s="159"/>
      <c r="N225" s="159"/>
      <c r="O225" s="159"/>
      <c r="P225" s="159"/>
      <c r="Q225" s="159"/>
      <c r="R225" s="159"/>
      <c r="S225" s="159"/>
      <c r="T225" s="159"/>
      <c r="U225" s="159"/>
      <c r="V225" s="159"/>
      <c r="W225" s="159"/>
      <c r="X225" s="103"/>
      <c r="Y225" s="103"/>
      <c r="Z225" s="103"/>
      <c r="AA225" s="103"/>
      <c r="AB225" s="103"/>
      <c r="AC225" s="103"/>
      <c r="AD225" s="103"/>
      <c r="AE225" s="103"/>
      <c r="AF225" s="103"/>
      <c r="AG225" s="103"/>
      <c r="AH225" s="103"/>
      <c r="AI225" s="173"/>
      <c r="AJ225" s="103"/>
      <c r="AK225" s="174"/>
      <c r="AL225" s="175"/>
      <c r="AM225" s="176"/>
      <c r="AP225" s="102"/>
      <c r="AQ225" s="102"/>
      <c r="AR225" s="102"/>
      <c r="AS225" s="102"/>
    </row>
    <row r="226" spans="3:45" x14ac:dyDescent="0.2">
      <c r="C226" s="103"/>
      <c r="D226" s="104"/>
      <c r="E226" s="104"/>
      <c r="F226" s="102"/>
      <c r="G226" s="172"/>
      <c r="H226" s="172"/>
      <c r="I226" s="172"/>
      <c r="J226" s="159"/>
      <c r="K226" s="159"/>
      <c r="L226" s="159"/>
      <c r="M226" s="159"/>
      <c r="N226" s="159"/>
      <c r="O226" s="159"/>
      <c r="P226" s="159"/>
      <c r="Q226" s="159"/>
      <c r="R226" s="159"/>
      <c r="S226" s="159"/>
      <c r="T226" s="159"/>
      <c r="U226" s="159"/>
      <c r="V226" s="159"/>
      <c r="W226" s="159"/>
      <c r="X226" s="103"/>
      <c r="Y226" s="103"/>
      <c r="Z226" s="103"/>
      <c r="AA226" s="103"/>
      <c r="AB226" s="103"/>
      <c r="AC226" s="103"/>
      <c r="AD226" s="103"/>
      <c r="AE226" s="103"/>
      <c r="AF226" s="103"/>
      <c r="AG226" s="103"/>
      <c r="AH226" s="103"/>
      <c r="AI226" s="173"/>
      <c r="AJ226" s="103"/>
      <c r="AK226" s="174"/>
      <c r="AL226" s="175"/>
      <c r="AM226" s="176"/>
      <c r="AP226" s="102"/>
      <c r="AQ226" s="102"/>
      <c r="AR226" s="102"/>
      <c r="AS226" s="102"/>
    </row>
    <row r="227" spans="3:45" x14ac:dyDescent="0.2">
      <c r="C227" s="103"/>
      <c r="D227" s="104"/>
      <c r="E227" s="104"/>
      <c r="F227" s="102"/>
      <c r="G227" s="172"/>
      <c r="H227" s="172"/>
      <c r="I227" s="172"/>
      <c r="J227" s="159"/>
      <c r="K227" s="159"/>
      <c r="L227" s="159"/>
      <c r="M227" s="159"/>
      <c r="N227" s="159"/>
      <c r="O227" s="159"/>
      <c r="P227" s="159"/>
      <c r="Q227" s="159"/>
      <c r="R227" s="159"/>
      <c r="S227" s="159"/>
      <c r="T227" s="159"/>
      <c r="U227" s="159"/>
      <c r="V227" s="159"/>
      <c r="W227" s="159"/>
      <c r="X227" s="103"/>
      <c r="Y227" s="103"/>
      <c r="Z227" s="103"/>
      <c r="AA227" s="103"/>
      <c r="AB227" s="103"/>
      <c r="AC227" s="103"/>
      <c r="AD227" s="103"/>
      <c r="AE227" s="103"/>
      <c r="AF227" s="103"/>
      <c r="AG227" s="103"/>
      <c r="AH227" s="103"/>
      <c r="AI227" s="173"/>
      <c r="AJ227" s="103"/>
      <c r="AK227" s="174"/>
      <c r="AL227" s="175"/>
      <c r="AM227" s="176"/>
      <c r="AP227" s="102"/>
      <c r="AQ227" s="102"/>
      <c r="AR227" s="102"/>
      <c r="AS227" s="102"/>
    </row>
    <row r="228" spans="3:45" x14ac:dyDescent="0.2">
      <c r="C228" s="103"/>
      <c r="D228" s="104"/>
      <c r="E228" s="104"/>
      <c r="F228" s="102"/>
      <c r="G228" s="172"/>
      <c r="H228" s="172"/>
      <c r="I228" s="172"/>
      <c r="J228" s="159"/>
      <c r="K228" s="159"/>
      <c r="L228" s="159"/>
      <c r="M228" s="159"/>
      <c r="N228" s="159"/>
      <c r="O228" s="159"/>
      <c r="P228" s="159"/>
      <c r="Q228" s="159"/>
      <c r="R228" s="159"/>
      <c r="S228" s="159"/>
      <c r="T228" s="159"/>
      <c r="U228" s="159"/>
      <c r="V228" s="159"/>
      <c r="W228" s="159"/>
      <c r="X228" s="103"/>
      <c r="Y228" s="103"/>
      <c r="Z228" s="103"/>
      <c r="AA228" s="103"/>
      <c r="AB228" s="103"/>
      <c r="AC228" s="103"/>
      <c r="AD228" s="103"/>
      <c r="AE228" s="103"/>
      <c r="AF228" s="103"/>
      <c r="AG228" s="103"/>
      <c r="AH228" s="103"/>
      <c r="AI228" s="173"/>
      <c r="AJ228" s="103"/>
      <c r="AK228" s="174"/>
      <c r="AL228" s="175"/>
      <c r="AM228" s="176"/>
      <c r="AP228" s="102"/>
      <c r="AQ228" s="102"/>
      <c r="AR228" s="102"/>
      <c r="AS228" s="102"/>
    </row>
    <row r="229" spans="3:45" x14ac:dyDescent="0.2">
      <c r="C229" s="103"/>
      <c r="D229" s="104"/>
      <c r="E229" s="104"/>
      <c r="F229" s="102"/>
      <c r="G229" s="172"/>
      <c r="H229" s="172"/>
      <c r="I229" s="172"/>
      <c r="J229" s="159"/>
      <c r="K229" s="159"/>
      <c r="L229" s="159"/>
      <c r="M229" s="159"/>
      <c r="N229" s="159"/>
      <c r="O229" s="159"/>
      <c r="P229" s="159"/>
      <c r="Q229" s="159"/>
      <c r="R229" s="159"/>
      <c r="S229" s="159"/>
      <c r="T229" s="159"/>
      <c r="U229" s="159"/>
      <c r="V229" s="159"/>
      <c r="W229" s="159"/>
      <c r="X229" s="103"/>
      <c r="Y229" s="103"/>
      <c r="Z229" s="103"/>
      <c r="AA229" s="103"/>
      <c r="AB229" s="103"/>
      <c r="AC229" s="103"/>
      <c r="AD229" s="103"/>
      <c r="AE229" s="103"/>
      <c r="AF229" s="103"/>
      <c r="AG229" s="103"/>
      <c r="AH229" s="103"/>
      <c r="AI229" s="173"/>
      <c r="AJ229" s="103"/>
      <c r="AK229" s="174"/>
      <c r="AL229" s="175"/>
      <c r="AM229" s="176"/>
      <c r="AP229" s="102"/>
      <c r="AQ229" s="102"/>
      <c r="AR229" s="102"/>
      <c r="AS229" s="102"/>
    </row>
    <row r="230" spans="3:45" x14ac:dyDescent="0.2">
      <c r="C230" s="103"/>
      <c r="D230" s="104"/>
      <c r="E230" s="104"/>
      <c r="F230" s="102"/>
      <c r="G230" s="172"/>
      <c r="H230" s="172"/>
      <c r="I230" s="172"/>
      <c r="J230" s="159"/>
      <c r="K230" s="159"/>
      <c r="L230" s="159"/>
      <c r="M230" s="159"/>
      <c r="N230" s="159"/>
      <c r="O230" s="159"/>
      <c r="P230" s="159"/>
      <c r="Q230" s="159"/>
      <c r="R230" s="159"/>
      <c r="S230" s="159"/>
      <c r="T230" s="159"/>
      <c r="U230" s="159"/>
      <c r="V230" s="159"/>
      <c r="W230" s="159"/>
      <c r="X230" s="103"/>
      <c r="Y230" s="103"/>
      <c r="Z230" s="103"/>
      <c r="AA230" s="103"/>
      <c r="AB230" s="103"/>
      <c r="AC230" s="103"/>
      <c r="AD230" s="103"/>
      <c r="AE230" s="103"/>
      <c r="AF230" s="103"/>
      <c r="AG230" s="103"/>
      <c r="AH230" s="103"/>
      <c r="AI230" s="173"/>
      <c r="AJ230" s="103"/>
      <c r="AK230" s="174"/>
      <c r="AL230" s="175"/>
      <c r="AM230" s="176"/>
      <c r="AP230" s="102"/>
      <c r="AQ230" s="102"/>
      <c r="AR230" s="102"/>
      <c r="AS230" s="102"/>
    </row>
    <row r="231" spans="3:45" x14ac:dyDescent="0.2">
      <c r="C231" s="103"/>
      <c r="D231" s="104"/>
      <c r="E231" s="104"/>
      <c r="F231" s="102"/>
      <c r="G231" s="172"/>
      <c r="H231" s="172"/>
      <c r="I231" s="172"/>
      <c r="J231" s="159"/>
      <c r="K231" s="159"/>
      <c r="L231" s="159"/>
      <c r="M231" s="159"/>
      <c r="N231" s="159"/>
      <c r="O231" s="159"/>
      <c r="P231" s="159"/>
      <c r="Q231" s="159"/>
      <c r="R231" s="159"/>
      <c r="S231" s="159"/>
      <c r="T231" s="159"/>
      <c r="U231" s="159"/>
      <c r="V231" s="159"/>
      <c r="W231" s="159"/>
      <c r="X231" s="103"/>
      <c r="Y231" s="103"/>
      <c r="Z231" s="103"/>
      <c r="AA231" s="103"/>
      <c r="AB231" s="103"/>
      <c r="AC231" s="103"/>
      <c r="AD231" s="103"/>
      <c r="AE231" s="103"/>
      <c r="AF231" s="103"/>
      <c r="AG231" s="103"/>
      <c r="AH231" s="103"/>
      <c r="AI231" s="173"/>
      <c r="AJ231" s="103"/>
      <c r="AK231" s="174"/>
      <c r="AL231" s="175"/>
      <c r="AM231" s="176"/>
      <c r="AP231" s="102"/>
      <c r="AQ231" s="102"/>
      <c r="AR231" s="102"/>
      <c r="AS231" s="102"/>
    </row>
    <row r="232" spans="3:45" x14ac:dyDescent="0.2">
      <c r="C232" s="103"/>
      <c r="D232" s="104"/>
      <c r="E232" s="104"/>
      <c r="F232" s="102"/>
      <c r="G232" s="172"/>
      <c r="H232" s="172"/>
      <c r="I232" s="172"/>
      <c r="J232" s="159"/>
      <c r="K232" s="159"/>
      <c r="L232" s="159"/>
      <c r="M232" s="159"/>
      <c r="N232" s="159"/>
      <c r="O232" s="159"/>
      <c r="P232" s="159"/>
      <c r="Q232" s="159"/>
      <c r="R232" s="159"/>
      <c r="S232" s="159"/>
      <c r="T232" s="159"/>
      <c r="U232" s="159"/>
      <c r="V232" s="159"/>
      <c r="W232" s="159"/>
      <c r="X232" s="103"/>
      <c r="Y232" s="103"/>
      <c r="Z232" s="103"/>
      <c r="AA232" s="103"/>
      <c r="AB232" s="103"/>
      <c r="AC232" s="103"/>
      <c r="AD232" s="103"/>
      <c r="AE232" s="103"/>
      <c r="AF232" s="103"/>
      <c r="AG232" s="103"/>
      <c r="AH232" s="103"/>
      <c r="AI232" s="173"/>
      <c r="AJ232" s="103"/>
      <c r="AK232" s="174"/>
      <c r="AL232" s="175"/>
      <c r="AM232" s="176"/>
      <c r="AP232" s="102"/>
      <c r="AQ232" s="102"/>
      <c r="AR232" s="102"/>
      <c r="AS232" s="102"/>
    </row>
    <row r="233" spans="3:45" x14ac:dyDescent="0.2">
      <c r="C233" s="103"/>
      <c r="D233" s="104"/>
      <c r="E233" s="104"/>
      <c r="F233" s="102"/>
      <c r="G233" s="172"/>
      <c r="H233" s="172"/>
      <c r="I233" s="172"/>
      <c r="J233" s="159"/>
      <c r="K233" s="159"/>
      <c r="L233" s="159"/>
      <c r="M233" s="159"/>
      <c r="N233" s="159"/>
      <c r="O233" s="159"/>
      <c r="P233" s="159"/>
      <c r="Q233" s="159"/>
      <c r="R233" s="159"/>
      <c r="S233" s="159"/>
      <c r="T233" s="159"/>
      <c r="U233" s="159"/>
      <c r="V233" s="159"/>
      <c r="W233" s="159"/>
      <c r="X233" s="103"/>
      <c r="Y233" s="103"/>
      <c r="Z233" s="103"/>
      <c r="AA233" s="103"/>
      <c r="AB233" s="103"/>
      <c r="AC233" s="103"/>
      <c r="AD233" s="103"/>
      <c r="AE233" s="103"/>
      <c r="AF233" s="103"/>
      <c r="AG233" s="103"/>
      <c r="AH233" s="103"/>
      <c r="AI233" s="173"/>
      <c r="AJ233" s="103"/>
      <c r="AK233" s="174"/>
      <c r="AL233" s="175"/>
      <c r="AM233" s="176"/>
      <c r="AP233" s="102"/>
      <c r="AQ233" s="102"/>
      <c r="AR233" s="102"/>
      <c r="AS233" s="102"/>
    </row>
    <row r="234" spans="3:45" x14ac:dyDescent="0.2">
      <c r="C234" s="103"/>
      <c r="D234" s="104"/>
      <c r="E234" s="104"/>
      <c r="F234" s="102"/>
      <c r="G234" s="172"/>
      <c r="H234" s="172"/>
      <c r="I234" s="172"/>
      <c r="J234" s="159"/>
      <c r="K234" s="159"/>
      <c r="L234" s="159"/>
      <c r="M234" s="159"/>
      <c r="N234" s="159"/>
      <c r="O234" s="159"/>
      <c r="P234" s="159"/>
      <c r="Q234" s="159"/>
      <c r="R234" s="159"/>
      <c r="S234" s="159"/>
      <c r="T234" s="159"/>
      <c r="U234" s="159"/>
      <c r="V234" s="159"/>
      <c r="W234" s="159"/>
      <c r="X234" s="103"/>
      <c r="Y234" s="103"/>
      <c r="Z234" s="103"/>
      <c r="AA234" s="103"/>
      <c r="AB234" s="103"/>
      <c r="AC234" s="103"/>
      <c r="AD234" s="103"/>
      <c r="AE234" s="103"/>
      <c r="AF234" s="103"/>
      <c r="AG234" s="103"/>
      <c r="AH234" s="103"/>
      <c r="AI234" s="173"/>
      <c r="AJ234" s="103"/>
      <c r="AK234" s="174"/>
      <c r="AL234" s="175"/>
      <c r="AM234" s="176"/>
      <c r="AP234" s="102"/>
      <c r="AQ234" s="102"/>
      <c r="AR234" s="102"/>
      <c r="AS234" s="102"/>
    </row>
    <row r="235" spans="3:45" x14ac:dyDescent="0.2">
      <c r="C235" s="103"/>
      <c r="D235" s="104"/>
      <c r="E235" s="104"/>
      <c r="F235" s="102"/>
      <c r="G235" s="172"/>
      <c r="H235" s="172"/>
      <c r="I235" s="172"/>
      <c r="J235" s="159"/>
      <c r="K235" s="159"/>
      <c r="L235" s="159"/>
      <c r="M235" s="159"/>
      <c r="N235" s="159"/>
      <c r="O235" s="159"/>
      <c r="P235" s="159"/>
      <c r="Q235" s="159"/>
      <c r="R235" s="159"/>
      <c r="S235" s="159"/>
      <c r="T235" s="159"/>
      <c r="U235" s="159"/>
      <c r="V235" s="159"/>
      <c r="W235" s="159"/>
      <c r="X235" s="103"/>
      <c r="Y235" s="103"/>
      <c r="Z235" s="103"/>
      <c r="AA235" s="103"/>
      <c r="AB235" s="103"/>
      <c r="AC235" s="103"/>
      <c r="AD235" s="103"/>
      <c r="AE235" s="103"/>
      <c r="AF235" s="103"/>
      <c r="AG235" s="103"/>
      <c r="AH235" s="103"/>
      <c r="AI235" s="173"/>
      <c r="AJ235" s="103"/>
      <c r="AK235" s="174"/>
      <c r="AL235" s="175"/>
      <c r="AM235" s="176"/>
      <c r="AP235" s="102"/>
      <c r="AQ235" s="102"/>
      <c r="AR235" s="102"/>
      <c r="AS235" s="102"/>
    </row>
    <row r="236" spans="3:45" x14ac:dyDescent="0.2">
      <c r="C236" s="103"/>
      <c r="D236" s="104"/>
      <c r="E236" s="104"/>
      <c r="F236" s="102"/>
      <c r="G236" s="172"/>
      <c r="H236" s="172"/>
      <c r="I236" s="172"/>
      <c r="J236" s="159"/>
      <c r="K236" s="159"/>
      <c r="L236" s="159"/>
      <c r="M236" s="159"/>
      <c r="N236" s="159"/>
      <c r="O236" s="159"/>
      <c r="P236" s="159"/>
      <c r="Q236" s="159"/>
      <c r="R236" s="159"/>
      <c r="S236" s="159"/>
      <c r="T236" s="159"/>
      <c r="U236" s="159"/>
      <c r="V236" s="159"/>
      <c r="W236" s="159"/>
      <c r="X236" s="103"/>
      <c r="Y236" s="103"/>
      <c r="Z236" s="103"/>
      <c r="AA236" s="103"/>
      <c r="AB236" s="103"/>
      <c r="AC236" s="103"/>
      <c r="AD236" s="103"/>
      <c r="AE236" s="103"/>
      <c r="AF236" s="103"/>
      <c r="AG236" s="103"/>
      <c r="AH236" s="103"/>
      <c r="AI236" s="173"/>
      <c r="AJ236" s="103"/>
      <c r="AK236" s="174"/>
      <c r="AL236" s="175"/>
      <c r="AM236" s="176"/>
      <c r="AP236" s="102"/>
      <c r="AQ236" s="102"/>
      <c r="AR236" s="102"/>
      <c r="AS236" s="102"/>
    </row>
    <row r="237" spans="3:45" x14ac:dyDescent="0.2">
      <c r="C237" s="103"/>
      <c r="D237" s="104"/>
      <c r="E237" s="104"/>
      <c r="F237" s="102"/>
      <c r="G237" s="172"/>
      <c r="H237" s="172"/>
      <c r="I237" s="172"/>
      <c r="J237" s="159"/>
      <c r="K237" s="159"/>
      <c r="L237" s="159"/>
      <c r="M237" s="159"/>
      <c r="N237" s="159"/>
      <c r="O237" s="159"/>
      <c r="P237" s="159"/>
      <c r="Q237" s="159"/>
      <c r="R237" s="159"/>
      <c r="S237" s="159"/>
      <c r="T237" s="159"/>
      <c r="U237" s="159"/>
      <c r="V237" s="159"/>
      <c r="W237" s="159"/>
      <c r="X237" s="103"/>
      <c r="Y237" s="103"/>
      <c r="Z237" s="103"/>
      <c r="AA237" s="103"/>
      <c r="AB237" s="103"/>
      <c r="AC237" s="103"/>
      <c r="AD237" s="103"/>
      <c r="AE237" s="103"/>
      <c r="AF237" s="103"/>
      <c r="AG237" s="103"/>
      <c r="AH237" s="103"/>
      <c r="AI237" s="173"/>
      <c r="AJ237" s="103"/>
      <c r="AK237" s="174"/>
      <c r="AL237" s="175"/>
      <c r="AM237" s="176"/>
      <c r="AP237" s="102"/>
      <c r="AQ237" s="102"/>
      <c r="AR237" s="102"/>
      <c r="AS237" s="102"/>
    </row>
    <row r="238" spans="3:45" x14ac:dyDescent="0.2">
      <c r="C238" s="103"/>
      <c r="D238" s="104"/>
      <c r="E238" s="104"/>
      <c r="F238" s="102"/>
      <c r="G238" s="172"/>
      <c r="H238" s="172"/>
      <c r="I238" s="172"/>
      <c r="J238" s="159"/>
      <c r="K238" s="159"/>
      <c r="L238" s="159"/>
      <c r="M238" s="159"/>
      <c r="N238" s="159"/>
      <c r="O238" s="159"/>
      <c r="P238" s="159"/>
      <c r="Q238" s="159"/>
      <c r="R238" s="159"/>
      <c r="S238" s="159"/>
      <c r="T238" s="159"/>
      <c r="U238" s="159"/>
      <c r="V238" s="159"/>
      <c r="W238" s="159"/>
      <c r="X238" s="103"/>
      <c r="Y238" s="103"/>
      <c r="Z238" s="103"/>
      <c r="AA238" s="103"/>
      <c r="AB238" s="103"/>
      <c r="AC238" s="103"/>
      <c r="AD238" s="103"/>
      <c r="AE238" s="103"/>
      <c r="AF238" s="103"/>
      <c r="AG238" s="103"/>
      <c r="AH238" s="103"/>
      <c r="AI238" s="173"/>
      <c r="AJ238" s="103"/>
      <c r="AK238" s="174"/>
      <c r="AL238" s="175"/>
      <c r="AM238" s="176"/>
      <c r="AP238" s="102"/>
      <c r="AQ238" s="102"/>
      <c r="AR238" s="102"/>
      <c r="AS238" s="102"/>
    </row>
    <row r="239" spans="3:45" x14ac:dyDescent="0.2">
      <c r="C239" s="103"/>
      <c r="D239" s="104"/>
      <c r="E239" s="104"/>
      <c r="F239" s="102"/>
      <c r="G239" s="172"/>
      <c r="H239" s="172"/>
      <c r="I239" s="172"/>
      <c r="J239" s="159"/>
      <c r="K239" s="159"/>
      <c r="L239" s="159"/>
      <c r="M239" s="159"/>
      <c r="N239" s="159"/>
      <c r="O239" s="159"/>
      <c r="P239" s="159"/>
      <c r="Q239" s="159"/>
      <c r="R239" s="159"/>
      <c r="S239" s="159"/>
      <c r="T239" s="159"/>
      <c r="U239" s="159"/>
      <c r="V239" s="159"/>
      <c r="W239" s="159"/>
      <c r="X239" s="103"/>
      <c r="Y239" s="103"/>
      <c r="Z239" s="103"/>
      <c r="AA239" s="103"/>
      <c r="AB239" s="103"/>
      <c r="AC239" s="103"/>
      <c r="AD239" s="103"/>
      <c r="AE239" s="103"/>
      <c r="AF239" s="103"/>
      <c r="AG239" s="103"/>
      <c r="AH239" s="103"/>
      <c r="AI239" s="173"/>
      <c r="AJ239" s="103"/>
      <c r="AK239" s="174"/>
      <c r="AL239" s="175"/>
      <c r="AM239" s="176"/>
      <c r="AP239" s="102"/>
      <c r="AQ239" s="102"/>
      <c r="AR239" s="102"/>
      <c r="AS239" s="102"/>
    </row>
    <row r="240" spans="3:45" x14ac:dyDescent="0.2">
      <c r="C240" s="103"/>
      <c r="D240" s="104"/>
      <c r="E240" s="104"/>
      <c r="F240" s="102"/>
      <c r="G240" s="172"/>
      <c r="H240" s="172"/>
      <c r="I240" s="172"/>
      <c r="J240" s="159"/>
      <c r="K240" s="159"/>
      <c r="L240" s="159"/>
      <c r="M240" s="159"/>
      <c r="N240" s="159"/>
      <c r="O240" s="159"/>
      <c r="P240" s="159"/>
      <c r="Q240" s="159"/>
      <c r="R240" s="159"/>
      <c r="S240" s="159"/>
      <c r="T240" s="159"/>
      <c r="U240" s="159"/>
      <c r="V240" s="159"/>
      <c r="W240" s="159"/>
      <c r="X240" s="103"/>
      <c r="Y240" s="103"/>
      <c r="Z240" s="103"/>
      <c r="AA240" s="103"/>
      <c r="AB240" s="103"/>
      <c r="AC240" s="103"/>
      <c r="AD240" s="103"/>
      <c r="AE240" s="103"/>
      <c r="AF240" s="103"/>
      <c r="AG240" s="103"/>
      <c r="AH240" s="103"/>
      <c r="AI240" s="173"/>
      <c r="AJ240" s="103"/>
      <c r="AK240" s="174"/>
      <c r="AL240" s="175"/>
      <c r="AM240" s="176"/>
      <c r="AP240" s="102"/>
      <c r="AQ240" s="102"/>
      <c r="AR240" s="102"/>
      <c r="AS240" s="102"/>
    </row>
    <row r="241" spans="3:45" x14ac:dyDescent="0.2">
      <c r="C241" s="103"/>
      <c r="D241" s="104"/>
      <c r="E241" s="104"/>
      <c r="F241" s="102"/>
      <c r="G241" s="172"/>
      <c r="H241" s="172"/>
      <c r="I241" s="172"/>
      <c r="J241" s="159"/>
      <c r="K241" s="159"/>
      <c r="L241" s="159"/>
      <c r="M241" s="159"/>
      <c r="N241" s="159"/>
      <c r="O241" s="159"/>
      <c r="P241" s="159"/>
      <c r="Q241" s="159"/>
      <c r="R241" s="159"/>
      <c r="S241" s="159"/>
      <c r="T241" s="159"/>
      <c r="U241" s="159"/>
      <c r="V241" s="159"/>
      <c r="W241" s="159"/>
      <c r="X241" s="103"/>
      <c r="Y241" s="103"/>
      <c r="Z241" s="103"/>
      <c r="AA241" s="103"/>
      <c r="AB241" s="103"/>
      <c r="AC241" s="103"/>
      <c r="AD241" s="103"/>
      <c r="AE241" s="103"/>
      <c r="AF241" s="103"/>
      <c r="AG241" s="103"/>
      <c r="AH241" s="103"/>
      <c r="AI241" s="173"/>
      <c r="AJ241" s="103"/>
      <c r="AK241" s="174"/>
      <c r="AL241" s="175"/>
      <c r="AM241" s="176"/>
      <c r="AP241" s="102"/>
      <c r="AQ241" s="102"/>
      <c r="AR241" s="102"/>
      <c r="AS241" s="102"/>
    </row>
    <row r="242" spans="3:45" x14ac:dyDescent="0.2">
      <c r="C242" s="103"/>
      <c r="D242" s="104"/>
      <c r="E242" s="104"/>
      <c r="F242" s="102"/>
      <c r="G242" s="172"/>
      <c r="H242" s="172"/>
      <c r="I242" s="172"/>
      <c r="J242" s="159"/>
      <c r="K242" s="159"/>
      <c r="L242" s="159"/>
      <c r="M242" s="159"/>
      <c r="N242" s="159"/>
      <c r="O242" s="159"/>
      <c r="P242" s="159"/>
      <c r="Q242" s="159"/>
      <c r="R242" s="159"/>
      <c r="S242" s="159"/>
      <c r="T242" s="159"/>
      <c r="U242" s="159"/>
      <c r="V242" s="159"/>
      <c r="W242" s="159"/>
      <c r="X242" s="103"/>
      <c r="Y242" s="103"/>
      <c r="Z242" s="103"/>
      <c r="AA242" s="103"/>
      <c r="AB242" s="103"/>
      <c r="AC242" s="103"/>
      <c r="AD242" s="103"/>
      <c r="AE242" s="103"/>
      <c r="AF242" s="103"/>
      <c r="AG242" s="103"/>
      <c r="AH242" s="103"/>
      <c r="AI242" s="173"/>
      <c r="AJ242" s="103"/>
      <c r="AK242" s="174"/>
      <c r="AL242" s="175"/>
      <c r="AM242" s="176"/>
      <c r="AP242" s="102"/>
      <c r="AQ242" s="102"/>
      <c r="AR242" s="102"/>
      <c r="AS242" s="102"/>
    </row>
    <row r="243" spans="3:45" x14ac:dyDescent="0.2">
      <c r="C243" s="103"/>
      <c r="D243" s="104"/>
      <c r="E243" s="104"/>
      <c r="F243" s="102"/>
      <c r="G243" s="172"/>
      <c r="H243" s="172"/>
      <c r="I243" s="172"/>
      <c r="J243" s="159"/>
      <c r="K243" s="159"/>
      <c r="L243" s="159"/>
      <c r="M243" s="159"/>
      <c r="N243" s="159"/>
      <c r="O243" s="159"/>
      <c r="P243" s="159"/>
      <c r="Q243" s="159"/>
      <c r="R243" s="159"/>
      <c r="S243" s="159"/>
      <c r="T243" s="159"/>
      <c r="U243" s="159"/>
      <c r="V243" s="159"/>
      <c r="W243" s="159"/>
      <c r="X243" s="103"/>
      <c r="Y243" s="103"/>
      <c r="Z243" s="103"/>
      <c r="AA243" s="103"/>
      <c r="AB243" s="103"/>
      <c r="AC243" s="103"/>
      <c r="AD243" s="103"/>
      <c r="AE243" s="103"/>
      <c r="AF243" s="103"/>
      <c r="AG243" s="103"/>
      <c r="AH243" s="103"/>
      <c r="AI243" s="173"/>
      <c r="AJ243" s="103"/>
      <c r="AK243" s="174"/>
      <c r="AL243" s="175"/>
      <c r="AM243" s="176"/>
      <c r="AP243" s="102"/>
      <c r="AQ243" s="102"/>
      <c r="AR243" s="102"/>
      <c r="AS243" s="102"/>
    </row>
    <row r="244" spans="3:45" x14ac:dyDescent="0.2">
      <c r="C244" s="103"/>
      <c r="D244" s="104"/>
      <c r="E244" s="104"/>
      <c r="F244" s="102"/>
      <c r="G244" s="172"/>
      <c r="H244" s="172"/>
      <c r="I244" s="172"/>
      <c r="J244" s="159"/>
      <c r="K244" s="159"/>
      <c r="L244" s="159"/>
      <c r="M244" s="159"/>
      <c r="N244" s="159"/>
      <c r="O244" s="159"/>
      <c r="P244" s="159"/>
      <c r="Q244" s="159"/>
      <c r="R244" s="159"/>
      <c r="S244" s="159"/>
      <c r="T244" s="159"/>
      <c r="U244" s="159"/>
      <c r="V244" s="159"/>
      <c r="W244" s="159"/>
      <c r="X244" s="103"/>
      <c r="Y244" s="103"/>
      <c r="Z244" s="103"/>
      <c r="AA244" s="103"/>
      <c r="AB244" s="103"/>
      <c r="AC244" s="103"/>
      <c r="AD244" s="103"/>
      <c r="AE244" s="103"/>
      <c r="AF244" s="103"/>
      <c r="AG244" s="103"/>
      <c r="AH244" s="103"/>
      <c r="AI244" s="173"/>
      <c r="AJ244" s="103"/>
      <c r="AK244" s="174"/>
      <c r="AL244" s="175"/>
      <c r="AM244" s="176"/>
      <c r="AP244" s="102"/>
      <c r="AQ244" s="102"/>
      <c r="AR244" s="102"/>
      <c r="AS244" s="102"/>
    </row>
    <row r="245" spans="3:45" x14ac:dyDescent="0.2">
      <c r="C245" s="103"/>
      <c r="D245" s="104"/>
      <c r="E245" s="104"/>
      <c r="F245" s="102"/>
      <c r="G245" s="172"/>
      <c r="H245" s="172"/>
      <c r="I245" s="172"/>
      <c r="J245" s="159"/>
      <c r="K245" s="159"/>
      <c r="L245" s="159"/>
      <c r="M245" s="159"/>
      <c r="N245" s="159"/>
      <c r="O245" s="159"/>
      <c r="P245" s="159"/>
      <c r="Q245" s="159"/>
      <c r="R245" s="159"/>
      <c r="S245" s="159"/>
      <c r="T245" s="159"/>
      <c r="U245" s="159"/>
      <c r="V245" s="159"/>
      <c r="W245" s="159"/>
      <c r="X245" s="103"/>
      <c r="Y245" s="103"/>
      <c r="Z245" s="103"/>
      <c r="AA245" s="103"/>
      <c r="AB245" s="103"/>
      <c r="AC245" s="103"/>
      <c r="AD245" s="103"/>
      <c r="AE245" s="103"/>
      <c r="AF245" s="103"/>
      <c r="AG245" s="103"/>
      <c r="AH245" s="103"/>
      <c r="AI245" s="173"/>
      <c r="AJ245" s="103"/>
      <c r="AK245" s="174"/>
      <c r="AL245" s="175"/>
      <c r="AM245" s="176"/>
      <c r="AP245" s="102"/>
      <c r="AQ245" s="102"/>
      <c r="AR245" s="102"/>
      <c r="AS245" s="102"/>
    </row>
    <row r="246" spans="3:45" x14ac:dyDescent="0.2">
      <c r="C246" s="103"/>
      <c r="D246" s="104"/>
      <c r="E246" s="104"/>
      <c r="F246" s="102"/>
      <c r="G246" s="172"/>
      <c r="H246" s="172"/>
      <c r="I246" s="172"/>
      <c r="J246" s="159"/>
      <c r="K246" s="159"/>
      <c r="L246" s="159"/>
      <c r="M246" s="159"/>
      <c r="N246" s="159"/>
      <c r="O246" s="159"/>
      <c r="P246" s="159"/>
      <c r="Q246" s="159"/>
      <c r="R246" s="159"/>
      <c r="S246" s="159"/>
      <c r="T246" s="159"/>
      <c r="U246" s="159"/>
      <c r="V246" s="159"/>
      <c r="W246" s="159"/>
      <c r="X246" s="103"/>
      <c r="Y246" s="103"/>
      <c r="Z246" s="103"/>
      <c r="AA246" s="103"/>
      <c r="AB246" s="103"/>
      <c r="AC246" s="103"/>
      <c r="AD246" s="103"/>
      <c r="AE246" s="103"/>
      <c r="AF246" s="103"/>
      <c r="AG246" s="103"/>
      <c r="AH246" s="103"/>
      <c r="AI246" s="173"/>
      <c r="AJ246" s="103"/>
      <c r="AK246" s="174"/>
      <c r="AL246" s="175"/>
      <c r="AM246" s="176"/>
      <c r="AP246" s="102"/>
      <c r="AQ246" s="102"/>
      <c r="AR246" s="102"/>
      <c r="AS246" s="102"/>
    </row>
    <row r="247" spans="3:45" x14ac:dyDescent="0.2">
      <c r="C247" s="103"/>
      <c r="D247" s="104"/>
      <c r="E247" s="104"/>
      <c r="F247" s="102"/>
      <c r="G247" s="172"/>
      <c r="H247" s="172"/>
      <c r="I247" s="172"/>
      <c r="J247" s="159"/>
      <c r="K247" s="159"/>
      <c r="L247" s="159"/>
      <c r="M247" s="159"/>
      <c r="N247" s="159"/>
      <c r="O247" s="159"/>
      <c r="P247" s="159"/>
      <c r="Q247" s="159"/>
      <c r="R247" s="159"/>
      <c r="S247" s="159"/>
      <c r="T247" s="159"/>
      <c r="U247" s="159"/>
      <c r="V247" s="159"/>
      <c r="W247" s="159"/>
      <c r="X247" s="103"/>
      <c r="Y247" s="103"/>
      <c r="Z247" s="103"/>
      <c r="AA247" s="103"/>
      <c r="AB247" s="103"/>
      <c r="AC247" s="103"/>
      <c r="AD247" s="103"/>
      <c r="AE247" s="103"/>
      <c r="AF247" s="103"/>
      <c r="AG247" s="103"/>
      <c r="AH247" s="103"/>
      <c r="AI247" s="173"/>
      <c r="AJ247" s="103"/>
      <c r="AK247" s="174"/>
      <c r="AL247" s="175"/>
      <c r="AM247" s="176"/>
      <c r="AP247" s="102"/>
      <c r="AQ247" s="102"/>
      <c r="AR247" s="102"/>
      <c r="AS247" s="102"/>
    </row>
    <row r="248" spans="3:45" x14ac:dyDescent="0.2">
      <c r="C248" s="103"/>
      <c r="D248" s="104"/>
      <c r="E248" s="104"/>
      <c r="F248" s="102"/>
      <c r="G248" s="172"/>
      <c r="H248" s="172"/>
      <c r="I248" s="172"/>
      <c r="J248" s="159"/>
      <c r="K248" s="159"/>
      <c r="L248" s="159"/>
      <c r="M248" s="159"/>
      <c r="N248" s="159"/>
      <c r="O248" s="159"/>
      <c r="P248" s="159"/>
      <c r="Q248" s="159"/>
      <c r="R248" s="159"/>
      <c r="S248" s="159"/>
      <c r="T248" s="159"/>
      <c r="U248" s="159"/>
      <c r="V248" s="159"/>
      <c r="W248" s="159"/>
      <c r="X248" s="103"/>
      <c r="Y248" s="103"/>
      <c r="Z248" s="103"/>
      <c r="AA248" s="103"/>
      <c r="AB248" s="103"/>
      <c r="AC248" s="103"/>
      <c r="AD248" s="103"/>
      <c r="AE248" s="103"/>
      <c r="AF248" s="103"/>
      <c r="AG248" s="103"/>
      <c r="AH248" s="103"/>
      <c r="AI248" s="173"/>
      <c r="AJ248" s="103"/>
      <c r="AK248" s="174"/>
      <c r="AL248" s="175"/>
      <c r="AM248" s="176"/>
      <c r="AP248" s="102"/>
      <c r="AQ248" s="102"/>
      <c r="AR248" s="102"/>
      <c r="AS248" s="102"/>
    </row>
    <row r="249" spans="3:45" x14ac:dyDescent="0.2">
      <c r="C249" s="103"/>
      <c r="D249" s="104"/>
      <c r="E249" s="104"/>
      <c r="F249" s="102"/>
      <c r="G249" s="172"/>
      <c r="H249" s="172"/>
      <c r="I249" s="172"/>
      <c r="J249" s="159"/>
      <c r="K249" s="159"/>
      <c r="L249" s="159"/>
      <c r="M249" s="159"/>
      <c r="N249" s="159"/>
      <c r="O249" s="159"/>
      <c r="P249" s="159"/>
      <c r="Q249" s="159"/>
      <c r="R249" s="159"/>
      <c r="S249" s="159"/>
      <c r="T249" s="159"/>
      <c r="U249" s="159"/>
      <c r="V249" s="159"/>
      <c r="W249" s="159"/>
      <c r="X249" s="103"/>
      <c r="Y249" s="103"/>
      <c r="Z249" s="103"/>
      <c r="AA249" s="103"/>
      <c r="AB249" s="103"/>
      <c r="AC249" s="103"/>
      <c r="AD249" s="103"/>
      <c r="AE249" s="103"/>
      <c r="AF249" s="103"/>
      <c r="AG249" s="103"/>
      <c r="AH249" s="103"/>
      <c r="AI249" s="173"/>
      <c r="AJ249" s="103"/>
      <c r="AK249" s="174"/>
      <c r="AL249" s="175"/>
      <c r="AM249" s="176"/>
      <c r="AP249" s="102"/>
      <c r="AQ249" s="102"/>
      <c r="AR249" s="102"/>
      <c r="AS249" s="102"/>
    </row>
    <row r="250" spans="3:45" x14ac:dyDescent="0.2">
      <c r="C250" s="103"/>
      <c r="D250" s="104"/>
      <c r="E250" s="104"/>
      <c r="F250" s="102"/>
      <c r="G250" s="172"/>
      <c r="H250" s="172"/>
      <c r="I250" s="172"/>
      <c r="J250" s="159"/>
      <c r="K250" s="159"/>
      <c r="L250" s="159"/>
      <c r="M250" s="159"/>
      <c r="N250" s="159"/>
      <c r="O250" s="159"/>
      <c r="P250" s="159"/>
      <c r="Q250" s="159"/>
      <c r="R250" s="159"/>
      <c r="S250" s="159"/>
      <c r="T250" s="159"/>
      <c r="U250" s="159"/>
      <c r="V250" s="159"/>
      <c r="W250" s="159"/>
      <c r="X250" s="103"/>
      <c r="Y250" s="103"/>
      <c r="Z250" s="103"/>
      <c r="AA250" s="103"/>
      <c r="AB250" s="103"/>
      <c r="AC250" s="103"/>
      <c r="AD250" s="103"/>
      <c r="AE250" s="103"/>
      <c r="AF250" s="103"/>
      <c r="AG250" s="103"/>
      <c r="AH250" s="103"/>
      <c r="AI250" s="173"/>
      <c r="AJ250" s="103"/>
      <c r="AK250" s="174"/>
      <c r="AL250" s="175"/>
      <c r="AM250" s="176"/>
      <c r="AP250" s="102"/>
      <c r="AQ250" s="102"/>
      <c r="AR250" s="102"/>
      <c r="AS250" s="102"/>
    </row>
    <row r="251" spans="3:45" x14ac:dyDescent="0.2">
      <c r="C251" s="103"/>
      <c r="D251" s="104"/>
      <c r="E251" s="104"/>
      <c r="F251" s="102"/>
      <c r="G251" s="172"/>
      <c r="H251" s="172"/>
      <c r="I251" s="172"/>
      <c r="J251" s="159"/>
      <c r="K251" s="159"/>
      <c r="L251" s="159"/>
      <c r="M251" s="159"/>
      <c r="N251" s="159"/>
      <c r="O251" s="159"/>
      <c r="P251" s="159"/>
      <c r="Q251" s="159"/>
      <c r="R251" s="159"/>
      <c r="S251" s="159"/>
      <c r="T251" s="159"/>
      <c r="U251" s="159"/>
      <c r="V251" s="159"/>
      <c r="W251" s="159"/>
      <c r="X251" s="103"/>
      <c r="Y251" s="103"/>
      <c r="Z251" s="103"/>
      <c r="AA251" s="103"/>
      <c r="AB251" s="103"/>
      <c r="AC251" s="103"/>
      <c r="AD251" s="103"/>
      <c r="AE251" s="103"/>
      <c r="AF251" s="103"/>
      <c r="AG251" s="103"/>
      <c r="AH251" s="103"/>
      <c r="AI251" s="173"/>
      <c r="AJ251" s="103"/>
      <c r="AK251" s="174"/>
      <c r="AL251" s="175"/>
      <c r="AM251" s="176"/>
      <c r="AP251" s="102"/>
      <c r="AQ251" s="102"/>
      <c r="AR251" s="102"/>
      <c r="AS251" s="102"/>
    </row>
    <row r="252" spans="3:45" x14ac:dyDescent="0.2">
      <c r="C252" s="103"/>
      <c r="D252" s="104"/>
      <c r="E252" s="104"/>
      <c r="F252" s="102"/>
      <c r="G252" s="172"/>
      <c r="H252" s="172"/>
      <c r="I252" s="172"/>
      <c r="J252" s="159"/>
      <c r="K252" s="159"/>
      <c r="L252" s="159"/>
      <c r="M252" s="159"/>
      <c r="N252" s="159"/>
      <c r="O252" s="159"/>
      <c r="P252" s="159"/>
      <c r="Q252" s="159"/>
      <c r="R252" s="159"/>
      <c r="S252" s="159"/>
      <c r="T252" s="159"/>
      <c r="U252" s="159"/>
      <c r="V252" s="159"/>
      <c r="W252" s="159"/>
      <c r="X252" s="103"/>
      <c r="Y252" s="103"/>
      <c r="Z252" s="103"/>
      <c r="AA252" s="103"/>
      <c r="AB252" s="103"/>
      <c r="AC252" s="103"/>
      <c r="AD252" s="103"/>
      <c r="AE252" s="103"/>
      <c r="AF252" s="103"/>
      <c r="AG252" s="103"/>
      <c r="AH252" s="103"/>
      <c r="AI252" s="173"/>
      <c r="AJ252" s="103"/>
      <c r="AK252" s="174"/>
      <c r="AL252" s="175"/>
      <c r="AM252" s="176"/>
      <c r="AP252" s="102"/>
      <c r="AQ252" s="102"/>
      <c r="AR252" s="102"/>
      <c r="AS252" s="102"/>
    </row>
    <row r="253" spans="3:45" x14ac:dyDescent="0.2">
      <c r="C253" s="103"/>
      <c r="D253" s="104"/>
      <c r="E253" s="104"/>
      <c r="F253" s="102"/>
      <c r="G253" s="172"/>
      <c r="H253" s="172"/>
      <c r="I253" s="172"/>
      <c r="J253" s="159"/>
      <c r="K253" s="159"/>
      <c r="L253" s="159"/>
      <c r="M253" s="159"/>
      <c r="N253" s="159"/>
      <c r="O253" s="159"/>
      <c r="P253" s="159"/>
      <c r="Q253" s="159"/>
      <c r="R253" s="159"/>
      <c r="S253" s="159"/>
      <c r="T253" s="159"/>
      <c r="U253" s="159"/>
      <c r="V253" s="159"/>
      <c r="W253" s="159"/>
      <c r="X253" s="103"/>
      <c r="Y253" s="103"/>
      <c r="Z253" s="103"/>
      <c r="AA253" s="103"/>
      <c r="AB253" s="103"/>
      <c r="AC253" s="103"/>
      <c r="AD253" s="103"/>
      <c r="AE253" s="103"/>
      <c r="AF253" s="103"/>
      <c r="AG253" s="103"/>
      <c r="AH253" s="103"/>
      <c r="AI253" s="173"/>
      <c r="AJ253" s="103"/>
      <c r="AK253" s="174"/>
      <c r="AL253" s="175"/>
      <c r="AM253" s="176"/>
      <c r="AP253" s="102"/>
      <c r="AQ253" s="102"/>
      <c r="AR253" s="102"/>
      <c r="AS253" s="102"/>
    </row>
    <row r="254" spans="3:45" x14ac:dyDescent="0.2">
      <c r="C254" s="103"/>
      <c r="D254" s="104"/>
      <c r="E254" s="104"/>
      <c r="F254" s="102"/>
      <c r="G254" s="172"/>
      <c r="H254" s="172"/>
      <c r="I254" s="172"/>
      <c r="J254" s="159"/>
      <c r="K254" s="159"/>
      <c r="L254" s="159"/>
      <c r="M254" s="159"/>
      <c r="N254" s="159"/>
      <c r="O254" s="159"/>
      <c r="P254" s="159"/>
      <c r="Q254" s="159"/>
      <c r="R254" s="159"/>
      <c r="S254" s="159"/>
      <c r="T254" s="159"/>
      <c r="U254" s="159"/>
      <c r="V254" s="159"/>
      <c r="W254" s="159"/>
      <c r="X254" s="103"/>
      <c r="Y254" s="103"/>
      <c r="Z254" s="103"/>
      <c r="AA254" s="103"/>
      <c r="AB254" s="103"/>
      <c r="AC254" s="103"/>
      <c r="AD254" s="103"/>
      <c r="AE254" s="103"/>
      <c r="AF254" s="103"/>
      <c r="AG254" s="103"/>
      <c r="AH254" s="103"/>
      <c r="AI254" s="173"/>
      <c r="AJ254" s="103"/>
      <c r="AK254" s="174"/>
      <c r="AL254" s="175"/>
      <c r="AM254" s="176"/>
      <c r="AP254" s="102"/>
      <c r="AQ254" s="102"/>
      <c r="AR254" s="102"/>
      <c r="AS254" s="102"/>
    </row>
    <row r="255" spans="3:45" x14ac:dyDescent="0.2">
      <c r="C255" s="103"/>
      <c r="D255" s="104"/>
      <c r="E255" s="104"/>
      <c r="F255" s="102"/>
      <c r="G255" s="172"/>
      <c r="H255" s="172"/>
      <c r="I255" s="172"/>
      <c r="J255" s="159"/>
      <c r="K255" s="159"/>
      <c r="L255" s="159"/>
      <c r="M255" s="159"/>
      <c r="N255" s="159"/>
      <c r="O255" s="159"/>
      <c r="P255" s="159"/>
      <c r="Q255" s="159"/>
      <c r="R255" s="159"/>
      <c r="S255" s="159"/>
      <c r="T255" s="159"/>
      <c r="U255" s="159"/>
      <c r="V255" s="159"/>
      <c r="W255" s="159"/>
      <c r="X255" s="103"/>
      <c r="Y255" s="103"/>
      <c r="Z255" s="103"/>
      <c r="AA255" s="103"/>
      <c r="AB255" s="103"/>
      <c r="AC255" s="103"/>
      <c r="AD255" s="103"/>
      <c r="AE255" s="103"/>
      <c r="AF255" s="103"/>
      <c r="AG255" s="103"/>
      <c r="AH255" s="103"/>
      <c r="AI255" s="173"/>
      <c r="AJ255" s="103"/>
      <c r="AK255" s="174"/>
      <c r="AL255" s="175"/>
      <c r="AM255" s="176"/>
      <c r="AP255" s="102"/>
      <c r="AQ255" s="102"/>
      <c r="AR255" s="102"/>
      <c r="AS255" s="102"/>
    </row>
    <row r="256" spans="3:45" x14ac:dyDescent="0.2">
      <c r="C256" s="103"/>
      <c r="D256" s="104"/>
      <c r="E256" s="104"/>
      <c r="F256" s="102"/>
      <c r="G256" s="172"/>
      <c r="H256" s="172"/>
      <c r="I256" s="172"/>
      <c r="J256" s="159"/>
      <c r="K256" s="159"/>
      <c r="L256" s="159"/>
      <c r="M256" s="159"/>
      <c r="N256" s="159"/>
      <c r="O256" s="159"/>
      <c r="P256" s="159"/>
      <c r="Q256" s="159"/>
      <c r="R256" s="159"/>
      <c r="S256" s="159"/>
      <c r="T256" s="159"/>
      <c r="U256" s="159"/>
      <c r="V256" s="159"/>
      <c r="W256" s="159"/>
      <c r="X256" s="103"/>
      <c r="Y256" s="103"/>
      <c r="Z256" s="103"/>
      <c r="AA256" s="103"/>
      <c r="AB256" s="103"/>
      <c r="AC256" s="103"/>
      <c r="AD256" s="103"/>
      <c r="AE256" s="103"/>
      <c r="AF256" s="103"/>
      <c r="AG256" s="103"/>
      <c r="AH256" s="103"/>
      <c r="AI256" s="173"/>
      <c r="AJ256" s="103"/>
      <c r="AK256" s="174"/>
      <c r="AL256" s="175"/>
      <c r="AM256" s="176"/>
      <c r="AP256" s="102"/>
      <c r="AQ256" s="102"/>
      <c r="AR256" s="102"/>
      <c r="AS256" s="102"/>
    </row>
    <row r="257" spans="3:45" x14ac:dyDescent="0.2">
      <c r="C257" s="103"/>
      <c r="D257" s="104"/>
      <c r="E257" s="104"/>
      <c r="F257" s="102"/>
      <c r="G257" s="172"/>
      <c r="H257" s="172"/>
      <c r="I257" s="172"/>
      <c r="J257" s="159"/>
      <c r="K257" s="159"/>
      <c r="L257" s="159"/>
      <c r="M257" s="159"/>
      <c r="N257" s="159"/>
      <c r="O257" s="159"/>
      <c r="P257" s="159"/>
      <c r="Q257" s="159"/>
      <c r="R257" s="159"/>
      <c r="S257" s="159"/>
      <c r="T257" s="159"/>
      <c r="U257" s="159"/>
      <c r="V257" s="159"/>
      <c r="W257" s="159"/>
      <c r="X257" s="103"/>
      <c r="Y257" s="103"/>
      <c r="Z257" s="103"/>
      <c r="AA257" s="103"/>
      <c r="AB257" s="103"/>
      <c r="AC257" s="103"/>
      <c r="AD257" s="103"/>
      <c r="AE257" s="103"/>
      <c r="AF257" s="103"/>
      <c r="AG257" s="103"/>
      <c r="AH257" s="103"/>
      <c r="AI257" s="173"/>
      <c r="AJ257" s="103"/>
      <c r="AK257" s="174"/>
      <c r="AL257" s="175"/>
      <c r="AM257" s="176"/>
      <c r="AP257" s="102"/>
      <c r="AQ257" s="102"/>
      <c r="AR257" s="102"/>
      <c r="AS257" s="102"/>
    </row>
    <row r="258" spans="3:45" x14ac:dyDescent="0.2">
      <c r="C258" s="103"/>
      <c r="D258" s="104"/>
      <c r="E258" s="104"/>
      <c r="F258" s="102"/>
      <c r="G258" s="172"/>
      <c r="H258" s="172"/>
      <c r="I258" s="172"/>
      <c r="J258" s="159"/>
      <c r="K258" s="159"/>
      <c r="L258" s="159"/>
      <c r="M258" s="159"/>
      <c r="N258" s="159"/>
      <c r="O258" s="159"/>
      <c r="P258" s="159"/>
      <c r="Q258" s="159"/>
      <c r="R258" s="159"/>
      <c r="S258" s="159"/>
      <c r="T258" s="159"/>
      <c r="U258" s="159"/>
      <c r="V258" s="159"/>
      <c r="W258" s="159"/>
      <c r="X258" s="103"/>
      <c r="Y258" s="103"/>
      <c r="Z258" s="103"/>
      <c r="AA258" s="103"/>
      <c r="AB258" s="103"/>
      <c r="AC258" s="103"/>
      <c r="AD258" s="103"/>
      <c r="AE258" s="103"/>
      <c r="AF258" s="103"/>
      <c r="AG258" s="103"/>
      <c r="AH258" s="103"/>
      <c r="AI258" s="173"/>
      <c r="AJ258" s="103"/>
      <c r="AK258" s="174"/>
      <c r="AL258" s="175"/>
      <c r="AM258" s="176"/>
      <c r="AP258" s="102"/>
      <c r="AQ258" s="102"/>
      <c r="AR258" s="102"/>
      <c r="AS258" s="102"/>
    </row>
    <row r="259" spans="3:45" x14ac:dyDescent="0.2">
      <c r="C259" s="103"/>
      <c r="D259" s="104"/>
      <c r="E259" s="104"/>
      <c r="F259" s="102"/>
      <c r="G259" s="172"/>
      <c r="H259" s="172"/>
      <c r="I259" s="172"/>
      <c r="J259" s="159"/>
      <c r="K259" s="159"/>
      <c r="L259" s="159"/>
      <c r="M259" s="159"/>
      <c r="N259" s="159"/>
      <c r="O259" s="159"/>
      <c r="P259" s="159"/>
      <c r="Q259" s="159"/>
      <c r="R259" s="159"/>
      <c r="S259" s="159"/>
      <c r="T259" s="159"/>
      <c r="U259" s="159"/>
      <c r="V259" s="159"/>
      <c r="W259" s="159"/>
      <c r="X259" s="103"/>
      <c r="Y259" s="103"/>
      <c r="Z259" s="103"/>
      <c r="AA259" s="103"/>
      <c r="AB259" s="103"/>
      <c r="AC259" s="103"/>
      <c r="AD259" s="103"/>
      <c r="AE259" s="103"/>
      <c r="AF259" s="103"/>
      <c r="AG259" s="103"/>
      <c r="AH259" s="103"/>
      <c r="AI259" s="173"/>
      <c r="AJ259" s="103"/>
      <c r="AK259" s="174"/>
      <c r="AL259" s="175"/>
      <c r="AM259" s="176"/>
      <c r="AP259" s="102"/>
      <c r="AQ259" s="102"/>
      <c r="AR259" s="102"/>
      <c r="AS259" s="102"/>
    </row>
    <row r="260" spans="3:45" x14ac:dyDescent="0.2">
      <c r="C260" s="103"/>
      <c r="D260" s="104"/>
      <c r="E260" s="104"/>
      <c r="F260" s="102"/>
      <c r="G260" s="172"/>
      <c r="H260" s="172"/>
      <c r="I260" s="172"/>
      <c r="J260" s="159"/>
      <c r="K260" s="159"/>
      <c r="L260" s="159"/>
      <c r="M260" s="159"/>
      <c r="N260" s="159"/>
      <c r="O260" s="159"/>
      <c r="P260" s="159"/>
      <c r="Q260" s="159"/>
      <c r="R260" s="159"/>
      <c r="S260" s="159"/>
      <c r="T260" s="159"/>
      <c r="U260" s="159"/>
      <c r="V260" s="159"/>
      <c r="W260" s="159"/>
      <c r="X260" s="103"/>
      <c r="Y260" s="103"/>
      <c r="Z260" s="103"/>
      <c r="AA260" s="103"/>
      <c r="AB260" s="103"/>
      <c r="AC260" s="103"/>
      <c r="AD260" s="103"/>
      <c r="AE260" s="103"/>
      <c r="AF260" s="103"/>
      <c r="AG260" s="103"/>
      <c r="AH260" s="103"/>
      <c r="AI260" s="173"/>
      <c r="AJ260" s="103"/>
      <c r="AK260" s="174"/>
      <c r="AL260" s="175"/>
      <c r="AM260" s="176"/>
      <c r="AP260" s="102"/>
      <c r="AQ260" s="102"/>
      <c r="AR260" s="102"/>
      <c r="AS260" s="102"/>
    </row>
    <row r="261" spans="3:45" x14ac:dyDescent="0.2">
      <c r="C261" s="103"/>
      <c r="D261" s="104"/>
      <c r="E261" s="104"/>
      <c r="F261" s="102"/>
      <c r="G261" s="172"/>
      <c r="H261" s="172"/>
      <c r="I261" s="172"/>
      <c r="J261" s="159"/>
      <c r="K261" s="159"/>
      <c r="L261" s="159"/>
      <c r="M261" s="159"/>
      <c r="N261" s="159"/>
      <c r="O261" s="159"/>
      <c r="P261" s="159"/>
      <c r="Q261" s="159"/>
      <c r="R261" s="159"/>
      <c r="S261" s="159"/>
      <c r="T261" s="159"/>
      <c r="U261" s="159"/>
      <c r="V261" s="159"/>
      <c r="W261" s="159"/>
      <c r="X261" s="103"/>
      <c r="Y261" s="103"/>
      <c r="Z261" s="103"/>
      <c r="AA261" s="103"/>
      <c r="AB261" s="103"/>
      <c r="AC261" s="103"/>
      <c r="AD261" s="103"/>
      <c r="AE261" s="103"/>
      <c r="AF261" s="103"/>
      <c r="AG261" s="103"/>
      <c r="AH261" s="103"/>
      <c r="AI261" s="173"/>
      <c r="AJ261" s="103"/>
      <c r="AK261" s="174"/>
      <c r="AL261" s="175"/>
      <c r="AM261" s="176"/>
      <c r="AP261" s="102"/>
      <c r="AQ261" s="102"/>
      <c r="AR261" s="102"/>
      <c r="AS261" s="102"/>
    </row>
    <row r="262" spans="3:45" x14ac:dyDescent="0.2">
      <c r="C262" s="103"/>
      <c r="D262" s="104"/>
      <c r="E262" s="104"/>
      <c r="F262" s="102"/>
      <c r="G262" s="172"/>
      <c r="H262" s="172"/>
      <c r="I262" s="172"/>
      <c r="J262" s="159"/>
      <c r="K262" s="159"/>
      <c r="L262" s="159"/>
      <c r="M262" s="159"/>
      <c r="N262" s="159"/>
      <c r="O262" s="159"/>
      <c r="P262" s="159"/>
      <c r="Q262" s="159"/>
      <c r="R262" s="159"/>
      <c r="S262" s="159"/>
      <c r="T262" s="159"/>
      <c r="U262" s="159"/>
      <c r="V262" s="159"/>
      <c r="W262" s="159"/>
      <c r="X262" s="103"/>
      <c r="Y262" s="103"/>
      <c r="Z262" s="103"/>
      <c r="AA262" s="103"/>
      <c r="AB262" s="103"/>
      <c r="AC262" s="103"/>
      <c r="AD262" s="103"/>
      <c r="AE262" s="103"/>
      <c r="AF262" s="103"/>
      <c r="AG262" s="103"/>
      <c r="AH262" s="103"/>
      <c r="AI262" s="173"/>
      <c r="AJ262" s="103"/>
      <c r="AK262" s="174"/>
      <c r="AL262" s="175"/>
      <c r="AM262" s="176"/>
      <c r="AP262" s="102"/>
      <c r="AQ262" s="102"/>
      <c r="AR262" s="102"/>
      <c r="AS262" s="102"/>
    </row>
    <row r="263" spans="3:45" x14ac:dyDescent="0.2">
      <c r="C263" s="103"/>
      <c r="D263" s="104"/>
      <c r="E263" s="104"/>
      <c r="F263" s="102"/>
      <c r="G263" s="172"/>
      <c r="H263" s="172"/>
      <c r="I263" s="172"/>
      <c r="J263" s="159"/>
      <c r="K263" s="159"/>
      <c r="L263" s="159"/>
      <c r="M263" s="159"/>
      <c r="N263" s="159"/>
      <c r="O263" s="159"/>
      <c r="P263" s="159"/>
      <c r="Q263" s="159"/>
      <c r="R263" s="159"/>
      <c r="S263" s="159"/>
      <c r="T263" s="159"/>
      <c r="U263" s="159"/>
      <c r="V263" s="159"/>
      <c r="W263" s="159"/>
      <c r="X263" s="103"/>
      <c r="Y263" s="103"/>
      <c r="Z263" s="103"/>
      <c r="AA263" s="103"/>
      <c r="AB263" s="103"/>
      <c r="AC263" s="103"/>
      <c r="AD263" s="103"/>
      <c r="AE263" s="103"/>
      <c r="AF263" s="103"/>
      <c r="AG263" s="103"/>
      <c r="AH263" s="103"/>
      <c r="AI263" s="173"/>
      <c r="AJ263" s="103"/>
      <c r="AK263" s="174"/>
      <c r="AL263" s="175"/>
      <c r="AM263" s="176"/>
      <c r="AP263" s="102"/>
      <c r="AQ263" s="102"/>
      <c r="AR263" s="102"/>
      <c r="AS263" s="102"/>
    </row>
    <row r="264" spans="3:45" x14ac:dyDescent="0.2">
      <c r="C264" s="103"/>
      <c r="D264" s="104"/>
      <c r="E264" s="104"/>
      <c r="F264" s="102"/>
      <c r="G264" s="172"/>
      <c r="H264" s="172"/>
      <c r="I264" s="172"/>
      <c r="J264" s="159"/>
      <c r="K264" s="159"/>
      <c r="L264" s="159"/>
      <c r="M264" s="159"/>
      <c r="N264" s="159"/>
      <c r="O264" s="159"/>
      <c r="P264" s="159"/>
      <c r="Q264" s="159"/>
      <c r="R264" s="159"/>
      <c r="S264" s="159"/>
      <c r="T264" s="159"/>
      <c r="U264" s="159"/>
      <c r="V264" s="159"/>
      <c r="W264" s="159"/>
      <c r="X264" s="103"/>
      <c r="Y264" s="103"/>
      <c r="Z264" s="103"/>
      <c r="AA264" s="103"/>
      <c r="AB264" s="103"/>
      <c r="AC264" s="103"/>
      <c r="AD264" s="103"/>
      <c r="AE264" s="103"/>
      <c r="AF264" s="103"/>
      <c r="AG264" s="103"/>
      <c r="AH264" s="103"/>
      <c r="AI264" s="173"/>
      <c r="AJ264" s="103"/>
      <c r="AK264" s="174"/>
      <c r="AL264" s="175"/>
      <c r="AM264" s="176"/>
      <c r="AP264" s="102"/>
      <c r="AQ264" s="102"/>
      <c r="AR264" s="102"/>
      <c r="AS264" s="102"/>
    </row>
    <row r="265" spans="3:45" x14ac:dyDescent="0.2">
      <c r="C265" s="103"/>
      <c r="D265" s="104"/>
      <c r="E265" s="104"/>
      <c r="F265" s="102"/>
      <c r="G265" s="172"/>
      <c r="H265" s="172"/>
      <c r="I265" s="172"/>
      <c r="J265" s="159"/>
      <c r="K265" s="159"/>
      <c r="L265" s="159"/>
      <c r="M265" s="159"/>
      <c r="N265" s="159"/>
      <c r="O265" s="159"/>
      <c r="P265" s="159"/>
      <c r="Q265" s="159"/>
      <c r="R265" s="159"/>
      <c r="S265" s="159"/>
      <c r="T265" s="159"/>
      <c r="U265" s="159"/>
      <c r="V265" s="159"/>
      <c r="W265" s="159"/>
      <c r="X265" s="103"/>
      <c r="Y265" s="103"/>
      <c r="Z265" s="103"/>
      <c r="AA265" s="103"/>
      <c r="AB265" s="103"/>
      <c r="AC265" s="103"/>
      <c r="AD265" s="103"/>
      <c r="AE265" s="103"/>
      <c r="AF265" s="103"/>
      <c r="AG265" s="103"/>
      <c r="AH265" s="103"/>
      <c r="AI265" s="173"/>
      <c r="AJ265" s="103"/>
      <c r="AK265" s="174"/>
      <c r="AL265" s="175"/>
      <c r="AM265" s="176"/>
      <c r="AP265" s="102"/>
      <c r="AQ265" s="102"/>
      <c r="AR265" s="102"/>
      <c r="AS265" s="102"/>
    </row>
    <row r="266" spans="3:45" x14ac:dyDescent="0.2">
      <c r="C266" s="103"/>
      <c r="D266" s="104"/>
      <c r="E266" s="104"/>
      <c r="F266" s="102"/>
      <c r="G266" s="172"/>
      <c r="H266" s="172"/>
      <c r="I266" s="172"/>
      <c r="J266" s="159"/>
      <c r="K266" s="159"/>
      <c r="L266" s="159"/>
      <c r="M266" s="159"/>
      <c r="N266" s="159"/>
      <c r="O266" s="159"/>
      <c r="P266" s="159"/>
      <c r="Q266" s="159"/>
      <c r="R266" s="159"/>
      <c r="S266" s="159"/>
      <c r="T266" s="159"/>
      <c r="U266" s="159"/>
      <c r="V266" s="159"/>
      <c r="W266" s="159"/>
      <c r="X266" s="103"/>
      <c r="Y266" s="103"/>
      <c r="Z266" s="103"/>
      <c r="AA266" s="103"/>
      <c r="AB266" s="103"/>
      <c r="AC266" s="103"/>
      <c r="AD266" s="103"/>
      <c r="AE266" s="103"/>
      <c r="AF266" s="103"/>
      <c r="AG266" s="103"/>
      <c r="AH266" s="103"/>
      <c r="AI266" s="173"/>
      <c r="AJ266" s="103"/>
      <c r="AK266" s="174"/>
      <c r="AL266" s="175"/>
      <c r="AM266" s="176"/>
      <c r="AP266" s="102"/>
      <c r="AQ266" s="102"/>
      <c r="AR266" s="102"/>
      <c r="AS266" s="102"/>
    </row>
    <row r="267" spans="3:45" x14ac:dyDescent="0.2">
      <c r="C267" s="103"/>
      <c r="D267" s="104"/>
      <c r="E267" s="104"/>
      <c r="F267" s="102"/>
      <c r="G267" s="172"/>
      <c r="H267" s="172"/>
      <c r="I267" s="172"/>
      <c r="J267" s="159"/>
      <c r="K267" s="159"/>
      <c r="L267" s="159"/>
      <c r="M267" s="159"/>
      <c r="N267" s="159"/>
      <c r="O267" s="159"/>
      <c r="P267" s="159"/>
      <c r="Q267" s="159"/>
      <c r="R267" s="159"/>
      <c r="S267" s="159"/>
      <c r="T267" s="159"/>
      <c r="U267" s="159"/>
      <c r="V267" s="159"/>
      <c r="W267" s="159"/>
      <c r="X267" s="103"/>
      <c r="Y267" s="103"/>
      <c r="Z267" s="103"/>
      <c r="AA267" s="103"/>
      <c r="AB267" s="103"/>
      <c r="AC267" s="103"/>
      <c r="AD267" s="103"/>
      <c r="AE267" s="103"/>
      <c r="AF267" s="103"/>
      <c r="AG267" s="103"/>
      <c r="AH267" s="103"/>
      <c r="AI267" s="173"/>
      <c r="AJ267" s="103"/>
      <c r="AK267" s="174"/>
      <c r="AL267" s="175"/>
      <c r="AM267" s="176"/>
      <c r="AP267" s="102"/>
      <c r="AQ267" s="102"/>
      <c r="AR267" s="102"/>
      <c r="AS267" s="102"/>
    </row>
    <row r="268" spans="3:45" x14ac:dyDescent="0.2">
      <c r="C268" s="103"/>
      <c r="D268" s="104"/>
      <c r="E268" s="104"/>
      <c r="F268" s="102"/>
      <c r="G268" s="172"/>
      <c r="H268" s="172"/>
      <c r="I268" s="172"/>
      <c r="J268" s="159"/>
      <c r="K268" s="159"/>
      <c r="L268" s="159"/>
      <c r="M268" s="159"/>
      <c r="N268" s="159"/>
      <c r="O268" s="159"/>
      <c r="P268" s="159"/>
      <c r="Q268" s="159"/>
      <c r="R268" s="159"/>
      <c r="S268" s="159"/>
      <c r="T268" s="159"/>
      <c r="U268" s="159"/>
      <c r="V268" s="159"/>
      <c r="W268" s="159"/>
      <c r="X268" s="103"/>
      <c r="Y268" s="103"/>
      <c r="Z268" s="103"/>
      <c r="AA268" s="103"/>
      <c r="AB268" s="103"/>
      <c r="AC268" s="103"/>
      <c r="AD268" s="103"/>
      <c r="AE268" s="103"/>
      <c r="AF268" s="103"/>
      <c r="AG268" s="103"/>
      <c r="AH268" s="103"/>
      <c r="AI268" s="173"/>
      <c r="AJ268" s="103"/>
      <c r="AK268" s="174"/>
      <c r="AL268" s="175"/>
      <c r="AM268" s="176"/>
      <c r="AP268" s="102"/>
      <c r="AQ268" s="102"/>
      <c r="AR268" s="102"/>
      <c r="AS268" s="102"/>
    </row>
    <row r="269" spans="3:45" x14ac:dyDescent="0.2">
      <c r="C269" s="103"/>
      <c r="D269" s="104"/>
      <c r="E269" s="104"/>
      <c r="F269" s="102"/>
      <c r="G269" s="172"/>
      <c r="H269" s="172"/>
      <c r="I269" s="172"/>
      <c r="J269" s="159"/>
      <c r="K269" s="159"/>
      <c r="L269" s="159"/>
      <c r="M269" s="159"/>
      <c r="N269" s="159"/>
      <c r="O269" s="159"/>
      <c r="P269" s="159"/>
      <c r="Q269" s="159"/>
      <c r="R269" s="159"/>
      <c r="S269" s="159"/>
      <c r="T269" s="159"/>
      <c r="U269" s="159"/>
      <c r="V269" s="159"/>
      <c r="W269" s="159"/>
      <c r="X269" s="103"/>
      <c r="Y269" s="103"/>
      <c r="Z269" s="103"/>
      <c r="AA269" s="103"/>
      <c r="AB269" s="103"/>
      <c r="AC269" s="103"/>
      <c r="AD269" s="103"/>
      <c r="AE269" s="103"/>
      <c r="AF269" s="103"/>
      <c r="AG269" s="103"/>
      <c r="AH269" s="103"/>
      <c r="AI269" s="173"/>
      <c r="AJ269" s="103"/>
      <c r="AK269" s="174"/>
      <c r="AL269" s="175"/>
      <c r="AM269" s="176"/>
      <c r="AP269" s="102"/>
      <c r="AQ269" s="102"/>
      <c r="AR269" s="102"/>
      <c r="AS269" s="102"/>
    </row>
    <row r="270" spans="3:45" x14ac:dyDescent="0.2">
      <c r="C270" s="103"/>
      <c r="D270" s="104"/>
      <c r="E270" s="104"/>
      <c r="F270" s="102"/>
      <c r="G270" s="172"/>
      <c r="H270" s="172"/>
      <c r="I270" s="172"/>
      <c r="J270" s="159"/>
      <c r="K270" s="159"/>
      <c r="L270" s="159"/>
      <c r="M270" s="159"/>
      <c r="N270" s="159"/>
      <c r="O270" s="159"/>
      <c r="P270" s="159"/>
      <c r="Q270" s="159"/>
      <c r="R270" s="159"/>
      <c r="S270" s="159"/>
      <c r="T270" s="159"/>
      <c r="U270" s="159"/>
      <c r="V270" s="159"/>
      <c r="W270" s="159"/>
      <c r="X270" s="103"/>
      <c r="Y270" s="103"/>
      <c r="Z270" s="103"/>
      <c r="AA270" s="103"/>
      <c r="AB270" s="103"/>
      <c r="AC270" s="103"/>
      <c r="AD270" s="103"/>
      <c r="AE270" s="103"/>
      <c r="AF270" s="103"/>
      <c r="AG270" s="103"/>
      <c r="AH270" s="103"/>
      <c r="AI270" s="173"/>
      <c r="AJ270" s="103"/>
      <c r="AK270" s="174"/>
      <c r="AL270" s="175"/>
      <c r="AM270" s="176"/>
      <c r="AP270" s="102"/>
      <c r="AQ270" s="102"/>
      <c r="AR270" s="102"/>
      <c r="AS270" s="102"/>
    </row>
    <row r="271" spans="3:45" x14ac:dyDescent="0.2">
      <c r="C271" s="103"/>
      <c r="D271" s="104"/>
      <c r="E271" s="104"/>
      <c r="F271" s="102"/>
      <c r="G271" s="172"/>
      <c r="H271" s="172"/>
      <c r="I271" s="172"/>
      <c r="J271" s="159"/>
      <c r="K271" s="159"/>
      <c r="L271" s="159"/>
      <c r="M271" s="159"/>
      <c r="N271" s="159"/>
      <c r="O271" s="159"/>
      <c r="P271" s="159"/>
      <c r="Q271" s="159"/>
      <c r="R271" s="159"/>
      <c r="S271" s="159"/>
      <c r="T271" s="159"/>
      <c r="U271" s="159"/>
      <c r="V271" s="159"/>
      <c r="W271" s="159"/>
      <c r="X271" s="103"/>
      <c r="Y271" s="103"/>
      <c r="Z271" s="103"/>
      <c r="AA271" s="103"/>
      <c r="AB271" s="103"/>
      <c r="AC271" s="103"/>
      <c r="AD271" s="103"/>
      <c r="AE271" s="103"/>
      <c r="AF271" s="103"/>
      <c r="AG271" s="103"/>
      <c r="AH271" s="103"/>
      <c r="AI271" s="173"/>
      <c r="AJ271" s="103"/>
      <c r="AK271" s="174"/>
      <c r="AL271" s="175"/>
      <c r="AM271" s="176"/>
      <c r="AP271" s="102"/>
      <c r="AQ271" s="102"/>
      <c r="AR271" s="102"/>
      <c r="AS271" s="102"/>
    </row>
    <row r="272" spans="3:45" x14ac:dyDescent="0.2">
      <c r="C272" s="103"/>
      <c r="D272" s="104"/>
      <c r="E272" s="104"/>
      <c r="F272" s="102"/>
      <c r="G272" s="172"/>
      <c r="H272" s="172"/>
      <c r="I272" s="172"/>
      <c r="J272" s="159"/>
      <c r="K272" s="159"/>
      <c r="L272" s="159"/>
      <c r="M272" s="159"/>
      <c r="N272" s="159"/>
      <c r="O272" s="159"/>
      <c r="P272" s="159"/>
      <c r="Q272" s="159"/>
      <c r="R272" s="159"/>
      <c r="S272" s="159"/>
      <c r="T272" s="159"/>
      <c r="U272" s="159"/>
      <c r="V272" s="159"/>
      <c r="W272" s="159"/>
      <c r="X272" s="103"/>
      <c r="Y272" s="103"/>
      <c r="Z272" s="103"/>
      <c r="AA272" s="103"/>
      <c r="AB272" s="103"/>
      <c r="AC272" s="103"/>
      <c r="AD272" s="103"/>
      <c r="AE272" s="103"/>
      <c r="AF272" s="103"/>
      <c r="AG272" s="103"/>
      <c r="AH272" s="103"/>
      <c r="AI272" s="173"/>
      <c r="AJ272" s="103"/>
      <c r="AK272" s="174"/>
      <c r="AL272" s="175"/>
      <c r="AM272" s="176"/>
      <c r="AP272" s="102"/>
      <c r="AQ272" s="102"/>
      <c r="AR272" s="102"/>
      <c r="AS272" s="102"/>
    </row>
    <row r="273" spans="3:45" x14ac:dyDescent="0.2">
      <c r="C273" s="103"/>
      <c r="D273" s="104"/>
      <c r="E273" s="104"/>
      <c r="F273" s="102"/>
      <c r="G273" s="172"/>
      <c r="H273" s="172"/>
      <c r="I273" s="172"/>
      <c r="J273" s="159"/>
      <c r="K273" s="159"/>
      <c r="L273" s="159"/>
      <c r="M273" s="159"/>
      <c r="N273" s="159"/>
      <c r="O273" s="159"/>
      <c r="P273" s="159"/>
      <c r="Q273" s="159"/>
      <c r="R273" s="159"/>
      <c r="S273" s="159"/>
      <c r="T273" s="159"/>
      <c r="U273" s="159"/>
      <c r="V273" s="159"/>
      <c r="W273" s="159"/>
      <c r="X273" s="103"/>
      <c r="Y273" s="103"/>
      <c r="Z273" s="103"/>
      <c r="AA273" s="103"/>
      <c r="AB273" s="103"/>
      <c r="AC273" s="103"/>
      <c r="AD273" s="103"/>
      <c r="AE273" s="103"/>
      <c r="AF273" s="103"/>
      <c r="AG273" s="103"/>
      <c r="AH273" s="103"/>
      <c r="AI273" s="173"/>
      <c r="AJ273" s="103"/>
      <c r="AK273" s="174"/>
      <c r="AL273" s="175"/>
      <c r="AM273" s="176"/>
      <c r="AP273" s="102"/>
      <c r="AQ273" s="102"/>
      <c r="AR273" s="102"/>
      <c r="AS273" s="102"/>
    </row>
    <row r="274" spans="3:45" x14ac:dyDescent="0.2">
      <c r="C274" s="103"/>
      <c r="D274" s="104"/>
      <c r="E274" s="104"/>
      <c r="F274" s="102"/>
      <c r="G274" s="172"/>
      <c r="H274" s="172"/>
      <c r="I274" s="172"/>
      <c r="J274" s="159"/>
      <c r="K274" s="159"/>
      <c r="L274" s="159"/>
      <c r="M274" s="159"/>
      <c r="N274" s="159"/>
      <c r="O274" s="159"/>
      <c r="P274" s="159"/>
      <c r="Q274" s="159"/>
      <c r="R274" s="159"/>
      <c r="S274" s="159"/>
      <c r="T274" s="159"/>
      <c r="U274" s="159"/>
      <c r="V274" s="159"/>
      <c r="W274" s="159"/>
      <c r="X274" s="103"/>
      <c r="Y274" s="103"/>
      <c r="Z274" s="103"/>
      <c r="AA274" s="103"/>
      <c r="AB274" s="103"/>
      <c r="AC274" s="103"/>
      <c r="AD274" s="103"/>
      <c r="AE274" s="103"/>
      <c r="AF274" s="103"/>
      <c r="AG274" s="103"/>
      <c r="AH274" s="103"/>
      <c r="AI274" s="173"/>
      <c r="AJ274" s="103"/>
      <c r="AK274" s="174"/>
      <c r="AL274" s="175"/>
      <c r="AM274" s="176"/>
      <c r="AP274" s="102"/>
      <c r="AQ274" s="102"/>
      <c r="AR274" s="102"/>
      <c r="AS274" s="102"/>
    </row>
    <row r="275" spans="3:45" x14ac:dyDescent="0.2">
      <c r="C275" s="103"/>
      <c r="D275" s="104"/>
      <c r="E275" s="104"/>
      <c r="F275" s="102"/>
      <c r="G275" s="172"/>
      <c r="H275" s="172"/>
      <c r="I275" s="172"/>
      <c r="J275" s="159"/>
      <c r="K275" s="159"/>
      <c r="L275" s="159"/>
      <c r="M275" s="159"/>
      <c r="N275" s="159"/>
      <c r="O275" s="159"/>
      <c r="P275" s="159"/>
      <c r="Q275" s="159"/>
      <c r="R275" s="159"/>
      <c r="S275" s="159"/>
      <c r="T275" s="159"/>
      <c r="U275" s="159"/>
      <c r="V275" s="159"/>
      <c r="W275" s="159"/>
      <c r="X275" s="103"/>
      <c r="Y275" s="103"/>
      <c r="Z275" s="103"/>
      <c r="AA275" s="103"/>
      <c r="AB275" s="103"/>
      <c r="AC275" s="103"/>
      <c r="AD275" s="103"/>
      <c r="AE275" s="103"/>
      <c r="AF275" s="103"/>
      <c r="AG275" s="103"/>
      <c r="AH275" s="103"/>
      <c r="AI275" s="173"/>
      <c r="AJ275" s="103"/>
      <c r="AK275" s="174"/>
      <c r="AL275" s="175"/>
      <c r="AM275" s="176"/>
      <c r="AP275" s="102"/>
      <c r="AQ275" s="102"/>
      <c r="AR275" s="102"/>
      <c r="AS275" s="102"/>
    </row>
    <row r="276" spans="3:45" x14ac:dyDescent="0.2">
      <c r="C276" s="103"/>
      <c r="D276" s="104"/>
      <c r="E276" s="104"/>
      <c r="F276" s="102"/>
      <c r="G276" s="172"/>
      <c r="H276" s="172"/>
      <c r="I276" s="172"/>
      <c r="J276" s="159"/>
      <c r="K276" s="159"/>
      <c r="L276" s="159"/>
      <c r="M276" s="159"/>
      <c r="N276" s="159"/>
      <c r="O276" s="159"/>
      <c r="P276" s="159"/>
      <c r="Q276" s="159"/>
      <c r="R276" s="159"/>
      <c r="S276" s="159"/>
      <c r="T276" s="159"/>
      <c r="U276" s="159"/>
      <c r="V276" s="159"/>
      <c r="W276" s="159"/>
      <c r="X276" s="103"/>
      <c r="Y276" s="103"/>
      <c r="Z276" s="103"/>
      <c r="AA276" s="103"/>
      <c r="AB276" s="103"/>
      <c r="AC276" s="103"/>
      <c r="AD276" s="103"/>
      <c r="AE276" s="103"/>
      <c r="AF276" s="103"/>
      <c r="AG276" s="103"/>
      <c r="AH276" s="103"/>
      <c r="AI276" s="173"/>
      <c r="AJ276" s="103"/>
      <c r="AK276" s="174"/>
      <c r="AL276" s="175"/>
      <c r="AM276" s="176"/>
      <c r="AP276" s="102"/>
      <c r="AQ276" s="102"/>
      <c r="AR276" s="102"/>
      <c r="AS276" s="102"/>
    </row>
    <row r="277" spans="3:45" x14ac:dyDescent="0.2">
      <c r="C277" s="103"/>
      <c r="D277" s="104"/>
      <c r="E277" s="104"/>
      <c r="F277" s="102"/>
      <c r="G277" s="172"/>
      <c r="H277" s="172"/>
      <c r="I277" s="172"/>
      <c r="J277" s="159"/>
      <c r="K277" s="159"/>
      <c r="L277" s="159"/>
      <c r="M277" s="159"/>
      <c r="N277" s="159"/>
      <c r="O277" s="159"/>
      <c r="P277" s="159"/>
      <c r="Q277" s="159"/>
      <c r="R277" s="159"/>
      <c r="S277" s="159"/>
      <c r="T277" s="159"/>
      <c r="U277" s="159"/>
      <c r="V277" s="159"/>
      <c r="W277" s="159"/>
      <c r="X277" s="103"/>
      <c r="Y277" s="103"/>
      <c r="Z277" s="103"/>
      <c r="AA277" s="103"/>
      <c r="AB277" s="103"/>
      <c r="AC277" s="103"/>
      <c r="AD277" s="103"/>
      <c r="AE277" s="103"/>
      <c r="AF277" s="103"/>
      <c r="AG277" s="103"/>
      <c r="AH277" s="103"/>
      <c r="AI277" s="173"/>
      <c r="AJ277" s="103"/>
      <c r="AK277" s="174"/>
      <c r="AL277" s="175"/>
      <c r="AM277" s="176"/>
      <c r="AP277" s="102"/>
      <c r="AQ277" s="102"/>
      <c r="AR277" s="102"/>
      <c r="AS277" s="102"/>
    </row>
    <row r="278" spans="3:45" x14ac:dyDescent="0.2">
      <c r="C278" s="103"/>
      <c r="D278" s="104"/>
      <c r="E278" s="104"/>
      <c r="F278" s="102"/>
      <c r="G278" s="172"/>
      <c r="H278" s="172"/>
      <c r="I278" s="172"/>
      <c r="J278" s="159"/>
      <c r="K278" s="159"/>
      <c r="L278" s="159"/>
      <c r="M278" s="159"/>
      <c r="N278" s="159"/>
      <c r="O278" s="159"/>
      <c r="P278" s="159"/>
      <c r="Q278" s="159"/>
      <c r="R278" s="159"/>
      <c r="S278" s="159"/>
      <c r="T278" s="159"/>
      <c r="U278" s="159"/>
      <c r="V278" s="159"/>
      <c r="W278" s="159"/>
      <c r="X278" s="103"/>
      <c r="Y278" s="103"/>
      <c r="Z278" s="103"/>
      <c r="AA278" s="103"/>
      <c r="AB278" s="103"/>
      <c r="AC278" s="103"/>
      <c r="AD278" s="103"/>
      <c r="AE278" s="103"/>
      <c r="AF278" s="103"/>
      <c r="AG278" s="103"/>
      <c r="AH278" s="103"/>
      <c r="AI278" s="173"/>
      <c r="AJ278" s="103"/>
      <c r="AK278" s="174"/>
      <c r="AL278" s="175"/>
      <c r="AM278" s="176"/>
      <c r="AP278" s="102"/>
      <c r="AQ278" s="102"/>
      <c r="AR278" s="102"/>
      <c r="AS278" s="102"/>
    </row>
    <row r="279" spans="3:45" x14ac:dyDescent="0.2">
      <c r="C279" s="103"/>
      <c r="D279" s="104"/>
      <c r="E279" s="104"/>
      <c r="F279" s="102"/>
      <c r="G279" s="172"/>
      <c r="H279" s="172"/>
      <c r="I279" s="172"/>
      <c r="J279" s="159"/>
      <c r="K279" s="159"/>
      <c r="L279" s="159"/>
      <c r="M279" s="159"/>
      <c r="N279" s="159"/>
      <c r="O279" s="159"/>
      <c r="P279" s="159"/>
      <c r="Q279" s="159"/>
      <c r="R279" s="159"/>
      <c r="S279" s="159"/>
      <c r="T279" s="159"/>
      <c r="U279" s="159"/>
      <c r="V279" s="159"/>
      <c r="W279" s="159"/>
      <c r="X279" s="103"/>
      <c r="Y279" s="103"/>
      <c r="Z279" s="103"/>
      <c r="AA279" s="103"/>
      <c r="AB279" s="103"/>
      <c r="AC279" s="103"/>
      <c r="AD279" s="103"/>
      <c r="AE279" s="103"/>
      <c r="AF279" s="103"/>
      <c r="AG279" s="103"/>
      <c r="AH279" s="103"/>
      <c r="AI279" s="173"/>
      <c r="AJ279" s="103"/>
      <c r="AK279" s="174"/>
      <c r="AL279" s="175"/>
      <c r="AM279" s="176"/>
      <c r="AP279" s="102"/>
      <c r="AQ279" s="102"/>
      <c r="AR279" s="102"/>
      <c r="AS279" s="102"/>
    </row>
    <row r="280" spans="3:45" x14ac:dyDescent="0.2">
      <c r="C280" s="103"/>
      <c r="D280" s="104"/>
      <c r="E280" s="104"/>
      <c r="F280" s="102"/>
      <c r="G280" s="172"/>
      <c r="H280" s="172"/>
      <c r="I280" s="172"/>
      <c r="J280" s="159"/>
      <c r="K280" s="159"/>
      <c r="L280" s="159"/>
      <c r="M280" s="159"/>
      <c r="N280" s="159"/>
      <c r="O280" s="159"/>
      <c r="P280" s="159"/>
      <c r="Q280" s="159"/>
      <c r="R280" s="159"/>
      <c r="S280" s="159"/>
      <c r="T280" s="159"/>
      <c r="U280" s="159"/>
      <c r="V280" s="159"/>
      <c r="W280" s="159"/>
      <c r="X280" s="103"/>
      <c r="Y280" s="103"/>
      <c r="Z280" s="103"/>
      <c r="AA280" s="103"/>
      <c r="AB280" s="103"/>
      <c r="AC280" s="103"/>
      <c r="AD280" s="103"/>
      <c r="AE280" s="103"/>
      <c r="AF280" s="103"/>
      <c r="AG280" s="103"/>
      <c r="AH280" s="103"/>
      <c r="AI280" s="173"/>
      <c r="AJ280" s="103"/>
      <c r="AK280" s="174"/>
      <c r="AL280" s="175"/>
      <c r="AM280" s="176"/>
      <c r="AP280" s="102"/>
      <c r="AQ280" s="102"/>
      <c r="AR280" s="102"/>
      <c r="AS280" s="102"/>
    </row>
    <row r="281" spans="3:45" x14ac:dyDescent="0.2">
      <c r="C281" s="103"/>
      <c r="D281" s="104"/>
      <c r="E281" s="104"/>
      <c r="F281" s="102"/>
      <c r="G281" s="172"/>
      <c r="H281" s="172"/>
      <c r="I281" s="172"/>
      <c r="J281" s="159"/>
      <c r="K281" s="159"/>
      <c r="L281" s="159"/>
      <c r="M281" s="159"/>
      <c r="N281" s="159"/>
      <c r="O281" s="159"/>
      <c r="P281" s="159"/>
      <c r="Q281" s="159"/>
      <c r="R281" s="159"/>
      <c r="S281" s="159"/>
      <c r="T281" s="159"/>
      <c r="U281" s="159"/>
      <c r="V281" s="159"/>
      <c r="W281" s="159"/>
      <c r="X281" s="103"/>
      <c r="Y281" s="103"/>
      <c r="Z281" s="103"/>
      <c r="AA281" s="103"/>
      <c r="AB281" s="103"/>
      <c r="AC281" s="103"/>
      <c r="AD281" s="103"/>
      <c r="AE281" s="103"/>
      <c r="AF281" s="103"/>
      <c r="AG281" s="103"/>
      <c r="AH281" s="103"/>
      <c r="AI281" s="173"/>
      <c r="AJ281" s="103"/>
      <c r="AK281" s="174"/>
      <c r="AL281" s="175"/>
      <c r="AM281" s="176"/>
      <c r="AP281" s="102"/>
      <c r="AQ281" s="102"/>
      <c r="AR281" s="102"/>
      <c r="AS281" s="102"/>
    </row>
    <row r="282" spans="3:45" x14ac:dyDescent="0.2">
      <c r="C282" s="103"/>
      <c r="D282" s="104"/>
      <c r="E282" s="104"/>
      <c r="F282" s="102"/>
      <c r="G282" s="172"/>
      <c r="H282" s="172"/>
      <c r="I282" s="172"/>
      <c r="J282" s="159"/>
      <c r="K282" s="159"/>
      <c r="L282" s="159"/>
      <c r="M282" s="159"/>
      <c r="N282" s="159"/>
      <c r="O282" s="159"/>
      <c r="P282" s="159"/>
      <c r="Q282" s="159"/>
      <c r="R282" s="159"/>
      <c r="S282" s="159"/>
      <c r="T282" s="159"/>
      <c r="U282" s="159"/>
      <c r="V282" s="159"/>
      <c r="W282" s="159"/>
      <c r="X282" s="103"/>
      <c r="Y282" s="103"/>
      <c r="Z282" s="103"/>
      <c r="AA282" s="103"/>
      <c r="AB282" s="103"/>
      <c r="AC282" s="103"/>
      <c r="AD282" s="103"/>
      <c r="AE282" s="103"/>
      <c r="AF282" s="103"/>
      <c r="AG282" s="103"/>
      <c r="AH282" s="103"/>
      <c r="AI282" s="173"/>
      <c r="AJ282" s="103"/>
      <c r="AK282" s="174"/>
      <c r="AL282" s="175"/>
      <c r="AM282" s="176"/>
      <c r="AP282" s="102"/>
      <c r="AQ282" s="102"/>
      <c r="AR282" s="102"/>
      <c r="AS282" s="102"/>
    </row>
    <row r="283" spans="3:45" x14ac:dyDescent="0.2">
      <c r="C283" s="103"/>
      <c r="D283" s="104"/>
      <c r="E283" s="104"/>
      <c r="F283" s="102"/>
      <c r="G283" s="172"/>
      <c r="H283" s="172"/>
      <c r="I283" s="172"/>
      <c r="J283" s="159"/>
      <c r="K283" s="159"/>
      <c r="L283" s="159"/>
      <c r="M283" s="159"/>
      <c r="N283" s="159"/>
      <c r="O283" s="159"/>
      <c r="P283" s="159"/>
      <c r="Q283" s="159"/>
      <c r="R283" s="159"/>
      <c r="S283" s="159"/>
      <c r="T283" s="159"/>
      <c r="U283" s="159"/>
      <c r="V283" s="159"/>
      <c r="W283" s="159"/>
      <c r="X283" s="103"/>
      <c r="Y283" s="103"/>
      <c r="Z283" s="103"/>
      <c r="AA283" s="103"/>
      <c r="AB283" s="103"/>
      <c r="AC283" s="103"/>
      <c r="AD283" s="103"/>
      <c r="AE283" s="103"/>
      <c r="AF283" s="103"/>
      <c r="AG283" s="103"/>
      <c r="AH283" s="103"/>
      <c r="AI283" s="173"/>
      <c r="AJ283" s="103"/>
      <c r="AK283" s="174"/>
      <c r="AL283" s="175"/>
      <c r="AM283" s="176"/>
      <c r="AP283" s="102"/>
      <c r="AQ283" s="102"/>
      <c r="AR283" s="102"/>
      <c r="AS283" s="102"/>
    </row>
    <row r="284" spans="3:45" x14ac:dyDescent="0.2">
      <c r="C284" s="103"/>
      <c r="D284" s="104"/>
      <c r="E284" s="104"/>
      <c r="F284" s="102"/>
      <c r="G284" s="172"/>
      <c r="H284" s="172"/>
      <c r="I284" s="172"/>
      <c r="J284" s="159"/>
      <c r="K284" s="159"/>
      <c r="L284" s="159"/>
      <c r="M284" s="159"/>
      <c r="N284" s="159"/>
      <c r="O284" s="159"/>
      <c r="P284" s="159"/>
      <c r="Q284" s="159"/>
      <c r="R284" s="159"/>
      <c r="S284" s="159"/>
      <c r="T284" s="159"/>
      <c r="U284" s="159"/>
      <c r="V284" s="159"/>
      <c r="W284" s="159"/>
      <c r="X284" s="103"/>
      <c r="Y284" s="103"/>
      <c r="Z284" s="103"/>
      <c r="AA284" s="103"/>
      <c r="AB284" s="103"/>
      <c r="AC284" s="103"/>
      <c r="AD284" s="103"/>
      <c r="AE284" s="103"/>
      <c r="AF284" s="103"/>
      <c r="AG284" s="103"/>
      <c r="AH284" s="103"/>
      <c r="AI284" s="173"/>
      <c r="AJ284" s="103"/>
      <c r="AK284" s="174"/>
      <c r="AL284" s="175"/>
      <c r="AM284" s="176"/>
      <c r="AP284" s="102"/>
      <c r="AQ284" s="102"/>
      <c r="AR284" s="102"/>
      <c r="AS284" s="102"/>
    </row>
    <row r="285" spans="3:45" x14ac:dyDescent="0.2">
      <c r="C285" s="103"/>
      <c r="D285" s="104"/>
      <c r="E285" s="104"/>
      <c r="F285" s="102"/>
      <c r="G285" s="172"/>
      <c r="H285" s="172"/>
      <c r="I285" s="172"/>
      <c r="J285" s="159"/>
      <c r="K285" s="159"/>
      <c r="L285" s="159"/>
      <c r="M285" s="159"/>
      <c r="N285" s="159"/>
      <c r="O285" s="159"/>
      <c r="P285" s="159"/>
      <c r="Q285" s="159"/>
      <c r="R285" s="159"/>
      <c r="S285" s="159"/>
      <c r="T285" s="159"/>
      <c r="U285" s="159"/>
      <c r="V285" s="159"/>
      <c r="W285" s="159"/>
      <c r="X285" s="103"/>
      <c r="Y285" s="103"/>
      <c r="Z285" s="103"/>
      <c r="AA285" s="103"/>
      <c r="AB285" s="103"/>
      <c r="AC285" s="103"/>
      <c r="AD285" s="103"/>
      <c r="AE285" s="103"/>
      <c r="AF285" s="103"/>
      <c r="AG285" s="103"/>
      <c r="AH285" s="103"/>
      <c r="AI285" s="173"/>
      <c r="AJ285" s="103"/>
      <c r="AK285" s="174"/>
      <c r="AL285" s="175"/>
      <c r="AM285" s="176"/>
      <c r="AP285" s="102"/>
      <c r="AQ285" s="102"/>
      <c r="AR285" s="102"/>
      <c r="AS285" s="102"/>
    </row>
    <row r="286" spans="3:45" x14ac:dyDescent="0.2">
      <c r="C286" s="103"/>
      <c r="D286" s="104"/>
      <c r="E286" s="104"/>
      <c r="F286" s="102"/>
      <c r="G286" s="172"/>
      <c r="H286" s="172"/>
      <c r="I286" s="172"/>
      <c r="J286" s="159"/>
      <c r="K286" s="159"/>
      <c r="L286" s="159"/>
      <c r="M286" s="159"/>
      <c r="N286" s="159"/>
      <c r="O286" s="159"/>
      <c r="P286" s="159"/>
      <c r="Q286" s="159"/>
      <c r="R286" s="159"/>
      <c r="S286" s="159"/>
      <c r="T286" s="159"/>
      <c r="U286" s="159"/>
      <c r="V286" s="159"/>
      <c r="W286" s="159"/>
      <c r="X286" s="103"/>
      <c r="Y286" s="103"/>
      <c r="Z286" s="103"/>
      <c r="AA286" s="103"/>
      <c r="AB286" s="103"/>
      <c r="AC286" s="103"/>
      <c r="AD286" s="103"/>
      <c r="AE286" s="103"/>
      <c r="AF286" s="103"/>
      <c r="AG286" s="103"/>
      <c r="AH286" s="103"/>
      <c r="AI286" s="173"/>
      <c r="AJ286" s="103"/>
      <c r="AK286" s="174"/>
      <c r="AL286" s="175"/>
      <c r="AM286" s="176"/>
      <c r="AP286" s="102"/>
      <c r="AQ286" s="102"/>
      <c r="AR286" s="102"/>
      <c r="AS286" s="102"/>
    </row>
    <row r="287" spans="3:45" x14ac:dyDescent="0.2">
      <c r="C287" s="103"/>
      <c r="D287" s="104"/>
      <c r="E287" s="104"/>
      <c r="F287" s="102"/>
      <c r="G287" s="172"/>
      <c r="H287" s="172"/>
      <c r="I287" s="172"/>
      <c r="J287" s="159"/>
      <c r="K287" s="159"/>
      <c r="L287" s="159"/>
      <c r="M287" s="159"/>
      <c r="N287" s="159"/>
      <c r="O287" s="159"/>
      <c r="P287" s="159"/>
      <c r="Q287" s="159"/>
      <c r="R287" s="159"/>
      <c r="S287" s="159"/>
      <c r="T287" s="159"/>
      <c r="U287" s="159"/>
      <c r="V287" s="159"/>
      <c r="W287" s="159"/>
      <c r="X287" s="103"/>
      <c r="Y287" s="103"/>
      <c r="Z287" s="103"/>
      <c r="AA287" s="103"/>
      <c r="AB287" s="103"/>
      <c r="AC287" s="103"/>
      <c r="AD287" s="103"/>
      <c r="AE287" s="103"/>
      <c r="AF287" s="103"/>
      <c r="AG287" s="103"/>
      <c r="AH287" s="103"/>
      <c r="AI287" s="173"/>
      <c r="AJ287" s="103"/>
      <c r="AK287" s="174"/>
      <c r="AL287" s="175"/>
      <c r="AM287" s="176"/>
      <c r="AP287" s="102"/>
      <c r="AQ287" s="102"/>
      <c r="AR287" s="102"/>
      <c r="AS287" s="102"/>
    </row>
    <row r="288" spans="3:45" x14ac:dyDescent="0.2">
      <c r="C288" s="103"/>
      <c r="D288" s="104"/>
      <c r="E288" s="104"/>
      <c r="F288" s="102"/>
      <c r="G288" s="172"/>
      <c r="H288" s="172"/>
      <c r="I288" s="172"/>
      <c r="J288" s="159"/>
      <c r="K288" s="159"/>
      <c r="L288" s="159"/>
      <c r="M288" s="159"/>
      <c r="N288" s="159"/>
      <c r="O288" s="159"/>
      <c r="P288" s="159"/>
      <c r="Q288" s="159"/>
      <c r="R288" s="159"/>
      <c r="S288" s="159"/>
      <c r="T288" s="159"/>
      <c r="U288" s="159"/>
      <c r="V288" s="159"/>
      <c r="W288" s="159"/>
      <c r="X288" s="103"/>
      <c r="Y288" s="103"/>
      <c r="Z288" s="103"/>
      <c r="AA288" s="103"/>
      <c r="AB288" s="103"/>
      <c r="AC288" s="103"/>
      <c r="AD288" s="103"/>
      <c r="AE288" s="103"/>
      <c r="AF288" s="103"/>
      <c r="AG288" s="103"/>
      <c r="AH288" s="103"/>
      <c r="AI288" s="173"/>
      <c r="AJ288" s="103"/>
      <c r="AK288" s="174"/>
      <c r="AL288" s="175"/>
      <c r="AM288" s="176"/>
      <c r="AP288" s="102"/>
      <c r="AQ288" s="102"/>
      <c r="AR288" s="102"/>
      <c r="AS288" s="102"/>
    </row>
    <row r="289" spans="3:45" x14ac:dyDescent="0.2">
      <c r="C289" s="103"/>
      <c r="D289" s="104"/>
      <c r="E289" s="104"/>
      <c r="F289" s="102"/>
      <c r="G289" s="172"/>
      <c r="H289" s="172"/>
      <c r="I289" s="172"/>
      <c r="J289" s="159"/>
      <c r="K289" s="159"/>
      <c r="L289" s="159"/>
      <c r="M289" s="159"/>
      <c r="N289" s="159"/>
      <c r="O289" s="159"/>
      <c r="P289" s="159"/>
      <c r="Q289" s="159"/>
      <c r="R289" s="159"/>
      <c r="S289" s="159"/>
      <c r="T289" s="159"/>
      <c r="U289" s="159"/>
      <c r="V289" s="159"/>
      <c r="W289" s="159"/>
      <c r="X289" s="103"/>
      <c r="Y289" s="103"/>
      <c r="Z289" s="103"/>
      <c r="AA289" s="103"/>
      <c r="AB289" s="103"/>
      <c r="AC289" s="103"/>
      <c r="AD289" s="103"/>
      <c r="AE289" s="103"/>
      <c r="AF289" s="103"/>
      <c r="AG289" s="103"/>
      <c r="AH289" s="103"/>
      <c r="AI289" s="173"/>
      <c r="AJ289" s="103"/>
      <c r="AK289" s="174"/>
      <c r="AL289" s="175"/>
      <c r="AM289" s="176"/>
      <c r="AP289" s="102"/>
      <c r="AQ289" s="102"/>
      <c r="AR289" s="102"/>
      <c r="AS289" s="102"/>
    </row>
    <row r="290" spans="3:45" x14ac:dyDescent="0.2">
      <c r="C290" s="103"/>
      <c r="D290" s="104"/>
      <c r="E290" s="104"/>
      <c r="F290" s="102"/>
      <c r="G290" s="172"/>
      <c r="H290" s="172"/>
      <c r="I290" s="172"/>
      <c r="J290" s="159"/>
      <c r="K290" s="159"/>
      <c r="L290" s="159"/>
      <c r="M290" s="159"/>
      <c r="N290" s="159"/>
      <c r="O290" s="159"/>
      <c r="P290" s="159"/>
      <c r="Q290" s="159"/>
      <c r="R290" s="159"/>
      <c r="S290" s="159"/>
      <c r="T290" s="159"/>
      <c r="U290" s="159"/>
      <c r="V290" s="159"/>
      <c r="W290" s="159"/>
      <c r="X290" s="103"/>
      <c r="Y290" s="103"/>
      <c r="Z290" s="103"/>
      <c r="AA290" s="103"/>
      <c r="AB290" s="103"/>
      <c r="AC290" s="103"/>
      <c r="AD290" s="103"/>
      <c r="AE290" s="103"/>
      <c r="AF290" s="103"/>
      <c r="AG290" s="103"/>
      <c r="AH290" s="103"/>
      <c r="AI290" s="173"/>
      <c r="AJ290" s="103"/>
      <c r="AK290" s="174"/>
      <c r="AL290" s="175"/>
      <c r="AM290" s="176"/>
      <c r="AP290" s="102"/>
      <c r="AQ290" s="102"/>
      <c r="AR290" s="102"/>
      <c r="AS290" s="102"/>
    </row>
    <row r="291" spans="3:45" x14ac:dyDescent="0.2">
      <c r="C291" s="103"/>
      <c r="D291" s="104"/>
      <c r="E291" s="104"/>
      <c r="F291" s="102"/>
      <c r="G291" s="172"/>
      <c r="H291" s="172"/>
      <c r="I291" s="172"/>
      <c r="J291" s="159"/>
      <c r="K291" s="159"/>
      <c r="L291" s="159"/>
      <c r="M291" s="159"/>
      <c r="N291" s="159"/>
      <c r="O291" s="159"/>
      <c r="P291" s="159"/>
      <c r="Q291" s="159"/>
      <c r="R291" s="159"/>
      <c r="S291" s="159"/>
      <c r="T291" s="159"/>
      <c r="U291" s="159"/>
      <c r="V291" s="159"/>
      <c r="W291" s="159"/>
      <c r="X291" s="103"/>
      <c r="Y291" s="103"/>
      <c r="Z291" s="103"/>
      <c r="AA291" s="103"/>
      <c r="AB291" s="103"/>
      <c r="AC291" s="103"/>
      <c r="AD291" s="103"/>
      <c r="AE291" s="103"/>
      <c r="AF291" s="103"/>
      <c r="AG291" s="103"/>
      <c r="AH291" s="103"/>
      <c r="AI291" s="173"/>
      <c r="AJ291" s="103"/>
      <c r="AK291" s="174"/>
      <c r="AL291" s="175"/>
      <c r="AM291" s="176"/>
      <c r="AP291" s="102"/>
      <c r="AQ291" s="102"/>
      <c r="AR291" s="102"/>
      <c r="AS291" s="102"/>
    </row>
    <row r="292" spans="3:45" x14ac:dyDescent="0.2">
      <c r="C292" s="103"/>
      <c r="D292" s="104"/>
      <c r="E292" s="104"/>
      <c r="F292" s="102"/>
      <c r="G292" s="172"/>
      <c r="H292" s="172"/>
      <c r="I292" s="172"/>
      <c r="J292" s="159"/>
      <c r="K292" s="159"/>
      <c r="L292" s="159"/>
      <c r="M292" s="159"/>
      <c r="N292" s="159"/>
      <c r="O292" s="159"/>
      <c r="P292" s="159"/>
      <c r="Q292" s="159"/>
      <c r="R292" s="159"/>
      <c r="S292" s="159"/>
      <c r="T292" s="159"/>
      <c r="U292" s="159"/>
      <c r="V292" s="159"/>
      <c r="W292" s="159"/>
      <c r="X292" s="103"/>
      <c r="Y292" s="103"/>
      <c r="Z292" s="103"/>
      <c r="AA292" s="103"/>
      <c r="AB292" s="103"/>
      <c r="AC292" s="103"/>
      <c r="AD292" s="103"/>
      <c r="AE292" s="103"/>
      <c r="AF292" s="103"/>
      <c r="AG292" s="103"/>
      <c r="AH292" s="103"/>
      <c r="AI292" s="173"/>
      <c r="AJ292" s="103"/>
      <c r="AK292" s="174"/>
      <c r="AL292" s="175"/>
      <c r="AM292" s="176"/>
      <c r="AP292" s="102"/>
      <c r="AQ292" s="102"/>
      <c r="AR292" s="102"/>
      <c r="AS292" s="102"/>
    </row>
    <row r="293" spans="3:45" x14ac:dyDescent="0.2">
      <c r="C293" s="103"/>
      <c r="D293" s="104"/>
      <c r="E293" s="104"/>
      <c r="F293" s="102"/>
      <c r="G293" s="172"/>
      <c r="H293" s="172"/>
      <c r="I293" s="172"/>
      <c r="J293" s="159"/>
      <c r="K293" s="159"/>
      <c r="L293" s="159"/>
      <c r="M293" s="159"/>
      <c r="N293" s="159"/>
      <c r="O293" s="159"/>
      <c r="P293" s="159"/>
      <c r="Q293" s="159"/>
      <c r="R293" s="159"/>
      <c r="S293" s="159"/>
      <c r="T293" s="159"/>
      <c r="U293" s="159"/>
      <c r="V293" s="159"/>
      <c r="W293" s="159"/>
      <c r="X293" s="103"/>
      <c r="Y293" s="103"/>
      <c r="Z293" s="103"/>
      <c r="AA293" s="103"/>
      <c r="AB293" s="103"/>
      <c r="AC293" s="103"/>
      <c r="AD293" s="103"/>
      <c r="AE293" s="103"/>
      <c r="AF293" s="103"/>
      <c r="AG293" s="103"/>
      <c r="AH293" s="103"/>
      <c r="AI293" s="173"/>
      <c r="AJ293" s="103"/>
      <c r="AK293" s="174"/>
      <c r="AL293" s="175"/>
      <c r="AM293" s="176"/>
      <c r="AP293" s="102"/>
      <c r="AQ293" s="102"/>
      <c r="AR293" s="102"/>
      <c r="AS293" s="102"/>
    </row>
    <row r="294" spans="3:45" x14ac:dyDescent="0.2">
      <c r="C294" s="103"/>
      <c r="D294" s="104"/>
      <c r="E294" s="104"/>
      <c r="F294" s="102"/>
      <c r="G294" s="172"/>
      <c r="H294" s="172"/>
      <c r="I294" s="172"/>
      <c r="J294" s="159"/>
      <c r="K294" s="159"/>
      <c r="L294" s="159"/>
      <c r="M294" s="159"/>
      <c r="N294" s="159"/>
      <c r="O294" s="159"/>
      <c r="P294" s="159"/>
      <c r="Q294" s="159"/>
      <c r="R294" s="159"/>
      <c r="S294" s="159"/>
      <c r="T294" s="159"/>
      <c r="U294" s="159"/>
      <c r="V294" s="159"/>
      <c r="W294" s="159"/>
      <c r="X294" s="103"/>
      <c r="Y294" s="103"/>
      <c r="Z294" s="103"/>
      <c r="AA294" s="103"/>
      <c r="AB294" s="103"/>
      <c r="AC294" s="103"/>
      <c r="AD294" s="103"/>
      <c r="AE294" s="103"/>
      <c r="AF294" s="103"/>
      <c r="AG294" s="103"/>
      <c r="AH294" s="103"/>
      <c r="AI294" s="173"/>
      <c r="AJ294" s="103"/>
      <c r="AK294" s="174"/>
      <c r="AL294" s="175"/>
      <c r="AM294" s="176"/>
      <c r="AP294" s="102"/>
      <c r="AQ294" s="102"/>
      <c r="AR294" s="102"/>
      <c r="AS294" s="102"/>
    </row>
    <row r="295" spans="3:45" x14ac:dyDescent="0.2">
      <c r="C295" s="103"/>
      <c r="D295" s="104"/>
      <c r="E295" s="104"/>
      <c r="F295" s="102"/>
      <c r="G295" s="172"/>
      <c r="H295" s="172"/>
      <c r="I295" s="172"/>
      <c r="J295" s="159"/>
      <c r="K295" s="159"/>
      <c r="L295" s="159"/>
      <c r="M295" s="159"/>
      <c r="N295" s="159"/>
      <c r="O295" s="159"/>
      <c r="P295" s="159"/>
      <c r="Q295" s="159"/>
      <c r="R295" s="159"/>
      <c r="S295" s="159"/>
      <c r="T295" s="159"/>
      <c r="U295" s="159"/>
      <c r="V295" s="159"/>
      <c r="W295" s="159"/>
      <c r="X295" s="103"/>
      <c r="Y295" s="103"/>
      <c r="Z295" s="103"/>
      <c r="AA295" s="103"/>
      <c r="AB295" s="103"/>
      <c r="AC295" s="103"/>
      <c r="AD295" s="103"/>
      <c r="AE295" s="103"/>
      <c r="AF295" s="103"/>
      <c r="AG295" s="103"/>
      <c r="AH295" s="103"/>
      <c r="AI295" s="173"/>
      <c r="AJ295" s="103"/>
      <c r="AK295" s="174"/>
      <c r="AL295" s="175"/>
      <c r="AM295" s="176"/>
      <c r="AP295" s="102"/>
      <c r="AQ295" s="102"/>
      <c r="AR295" s="102"/>
      <c r="AS295" s="102"/>
    </row>
    <row r="296" spans="3:45" x14ac:dyDescent="0.2">
      <c r="C296" s="103"/>
      <c r="D296" s="104"/>
      <c r="E296" s="104"/>
      <c r="F296" s="102"/>
      <c r="G296" s="172"/>
      <c r="H296" s="172"/>
      <c r="I296" s="172"/>
      <c r="J296" s="159"/>
      <c r="K296" s="159"/>
      <c r="L296" s="159"/>
      <c r="M296" s="159"/>
      <c r="N296" s="159"/>
      <c r="O296" s="159"/>
      <c r="P296" s="159"/>
      <c r="Q296" s="159"/>
      <c r="R296" s="159"/>
      <c r="S296" s="159"/>
      <c r="T296" s="159"/>
      <c r="U296" s="159"/>
      <c r="V296" s="159"/>
      <c r="W296" s="159"/>
      <c r="X296" s="103"/>
      <c r="Y296" s="103"/>
      <c r="Z296" s="103"/>
      <c r="AA296" s="103"/>
      <c r="AB296" s="103"/>
      <c r="AC296" s="103"/>
      <c r="AD296" s="103"/>
      <c r="AE296" s="103"/>
      <c r="AF296" s="103"/>
      <c r="AG296" s="103"/>
      <c r="AH296" s="103"/>
      <c r="AI296" s="173"/>
      <c r="AJ296" s="103"/>
      <c r="AK296" s="174"/>
      <c r="AL296" s="175"/>
      <c r="AM296" s="176"/>
      <c r="AP296" s="102"/>
      <c r="AQ296" s="102"/>
      <c r="AR296" s="102"/>
      <c r="AS296" s="102"/>
    </row>
    <row r="297" spans="3:45" x14ac:dyDescent="0.2">
      <c r="C297" s="103"/>
      <c r="D297" s="104"/>
      <c r="E297" s="104"/>
      <c r="F297" s="102"/>
      <c r="G297" s="172"/>
      <c r="H297" s="172"/>
      <c r="I297" s="172"/>
      <c r="J297" s="159"/>
      <c r="K297" s="159"/>
      <c r="L297" s="159"/>
      <c r="M297" s="159"/>
      <c r="N297" s="159"/>
      <c r="O297" s="159"/>
      <c r="P297" s="159"/>
      <c r="Q297" s="159"/>
      <c r="R297" s="159"/>
      <c r="S297" s="159"/>
      <c r="T297" s="159"/>
      <c r="U297" s="159"/>
      <c r="V297" s="159"/>
      <c r="W297" s="159"/>
      <c r="X297" s="103"/>
      <c r="Y297" s="103"/>
      <c r="Z297" s="103"/>
      <c r="AA297" s="103"/>
      <c r="AB297" s="103"/>
      <c r="AC297" s="103"/>
      <c r="AD297" s="103"/>
      <c r="AE297" s="103"/>
      <c r="AF297" s="103"/>
      <c r="AG297" s="103"/>
      <c r="AH297" s="103"/>
      <c r="AI297" s="173"/>
      <c r="AJ297" s="103"/>
      <c r="AK297" s="174"/>
      <c r="AL297" s="175"/>
      <c r="AM297" s="176"/>
      <c r="AP297" s="102"/>
      <c r="AQ297" s="102"/>
      <c r="AR297" s="102"/>
      <c r="AS297" s="102"/>
    </row>
    <row r="298" spans="3:45" x14ac:dyDescent="0.2">
      <c r="C298" s="103"/>
      <c r="D298" s="104"/>
      <c r="E298" s="104"/>
      <c r="F298" s="102"/>
      <c r="G298" s="172"/>
      <c r="H298" s="172"/>
      <c r="I298" s="172"/>
      <c r="J298" s="159"/>
      <c r="K298" s="159"/>
      <c r="L298" s="159"/>
      <c r="M298" s="159"/>
      <c r="N298" s="159"/>
      <c r="O298" s="159"/>
      <c r="P298" s="159"/>
      <c r="Q298" s="159"/>
      <c r="R298" s="159"/>
      <c r="S298" s="159"/>
      <c r="T298" s="159"/>
      <c r="U298" s="159"/>
      <c r="V298" s="159"/>
      <c r="W298" s="159"/>
      <c r="X298" s="103"/>
      <c r="Y298" s="103"/>
      <c r="Z298" s="103"/>
      <c r="AA298" s="103"/>
      <c r="AB298" s="103"/>
      <c r="AC298" s="103"/>
      <c r="AD298" s="103"/>
      <c r="AE298" s="103"/>
      <c r="AF298" s="103"/>
      <c r="AG298" s="103"/>
      <c r="AH298" s="103"/>
      <c r="AI298" s="173"/>
      <c r="AJ298" s="103"/>
      <c r="AK298" s="174"/>
      <c r="AL298" s="175"/>
      <c r="AM298" s="176"/>
      <c r="AP298" s="102"/>
      <c r="AQ298" s="102"/>
      <c r="AR298" s="102"/>
      <c r="AS298" s="102"/>
    </row>
    <row r="299" spans="3:45" x14ac:dyDescent="0.2">
      <c r="C299" s="103"/>
      <c r="D299" s="104"/>
      <c r="E299" s="104"/>
      <c r="F299" s="102"/>
      <c r="G299" s="172"/>
      <c r="H299" s="172"/>
      <c r="I299" s="172"/>
      <c r="J299" s="159"/>
      <c r="K299" s="159"/>
      <c r="L299" s="159"/>
      <c r="M299" s="159"/>
      <c r="N299" s="159"/>
      <c r="O299" s="159"/>
      <c r="P299" s="159"/>
      <c r="Q299" s="159"/>
      <c r="R299" s="159"/>
      <c r="S299" s="159"/>
      <c r="T299" s="159"/>
      <c r="U299" s="159"/>
      <c r="V299" s="159"/>
      <c r="W299" s="159"/>
      <c r="X299" s="103"/>
      <c r="Y299" s="103"/>
      <c r="Z299" s="103"/>
      <c r="AA299" s="103"/>
      <c r="AB299" s="103"/>
      <c r="AC299" s="103"/>
      <c r="AD299" s="103"/>
      <c r="AE299" s="103"/>
      <c r="AF299" s="103"/>
      <c r="AG299" s="103"/>
      <c r="AH299" s="103"/>
      <c r="AI299" s="173"/>
      <c r="AJ299" s="103"/>
      <c r="AK299" s="174"/>
      <c r="AL299" s="175"/>
      <c r="AM299" s="176"/>
      <c r="AP299" s="102"/>
      <c r="AQ299" s="102"/>
      <c r="AR299" s="102"/>
      <c r="AS299" s="102"/>
    </row>
    <row r="300" spans="3:45" x14ac:dyDescent="0.2">
      <c r="C300" s="103"/>
      <c r="D300" s="104"/>
      <c r="E300" s="104"/>
      <c r="F300" s="102"/>
      <c r="G300" s="172"/>
      <c r="H300" s="172"/>
      <c r="I300" s="172"/>
      <c r="J300" s="159"/>
      <c r="K300" s="159"/>
      <c r="L300" s="159"/>
      <c r="M300" s="159"/>
      <c r="N300" s="159"/>
      <c r="O300" s="159"/>
      <c r="P300" s="159"/>
      <c r="Q300" s="159"/>
      <c r="R300" s="159"/>
      <c r="S300" s="159"/>
      <c r="T300" s="159"/>
      <c r="U300" s="159"/>
      <c r="V300" s="159"/>
      <c r="W300" s="159"/>
      <c r="X300" s="103"/>
      <c r="Y300" s="103"/>
      <c r="Z300" s="103"/>
      <c r="AA300" s="103"/>
      <c r="AB300" s="103"/>
      <c r="AC300" s="103"/>
      <c r="AD300" s="103"/>
      <c r="AE300" s="103"/>
      <c r="AF300" s="103"/>
      <c r="AG300" s="103"/>
      <c r="AH300" s="103"/>
      <c r="AI300" s="173"/>
      <c r="AJ300" s="103"/>
      <c r="AK300" s="174"/>
      <c r="AL300" s="175"/>
      <c r="AM300" s="176"/>
      <c r="AP300" s="102"/>
      <c r="AQ300" s="102"/>
      <c r="AR300" s="102"/>
      <c r="AS300" s="102"/>
    </row>
    <row r="301" spans="3:45" x14ac:dyDescent="0.2">
      <c r="C301" s="103"/>
      <c r="D301" s="104"/>
      <c r="E301" s="104"/>
      <c r="F301" s="102"/>
      <c r="G301" s="172"/>
      <c r="H301" s="172"/>
      <c r="I301" s="172"/>
      <c r="J301" s="159"/>
      <c r="K301" s="159"/>
      <c r="L301" s="159"/>
      <c r="M301" s="159"/>
      <c r="N301" s="159"/>
      <c r="O301" s="159"/>
      <c r="P301" s="159"/>
      <c r="Q301" s="159"/>
      <c r="R301" s="159"/>
      <c r="S301" s="159"/>
      <c r="T301" s="159"/>
      <c r="U301" s="159"/>
      <c r="V301" s="159"/>
      <c r="W301" s="159"/>
      <c r="X301" s="103"/>
      <c r="Y301" s="103"/>
      <c r="Z301" s="103"/>
      <c r="AA301" s="103"/>
      <c r="AB301" s="103"/>
      <c r="AC301" s="103"/>
      <c r="AD301" s="103"/>
      <c r="AE301" s="103"/>
      <c r="AF301" s="103"/>
      <c r="AG301" s="103"/>
      <c r="AH301" s="103"/>
      <c r="AI301" s="173"/>
      <c r="AJ301" s="103"/>
      <c r="AK301" s="174"/>
      <c r="AL301" s="175"/>
      <c r="AM301" s="176"/>
      <c r="AP301" s="102"/>
      <c r="AQ301" s="102"/>
      <c r="AR301" s="102"/>
      <c r="AS301" s="102"/>
    </row>
    <row r="302" spans="3:45" x14ac:dyDescent="0.2">
      <c r="C302" s="103"/>
      <c r="D302" s="104"/>
      <c r="E302" s="104"/>
      <c r="F302" s="102"/>
      <c r="G302" s="172"/>
      <c r="H302" s="172"/>
      <c r="I302" s="172"/>
      <c r="J302" s="159"/>
      <c r="K302" s="159"/>
      <c r="L302" s="159"/>
      <c r="M302" s="159"/>
      <c r="N302" s="159"/>
      <c r="O302" s="159"/>
      <c r="P302" s="159"/>
      <c r="Q302" s="159"/>
      <c r="R302" s="159"/>
      <c r="S302" s="159"/>
      <c r="T302" s="159"/>
      <c r="U302" s="159"/>
      <c r="V302" s="159"/>
      <c r="W302" s="159"/>
      <c r="X302" s="103"/>
      <c r="Y302" s="103"/>
      <c r="Z302" s="103"/>
      <c r="AA302" s="103"/>
      <c r="AB302" s="103"/>
      <c r="AC302" s="103"/>
      <c r="AD302" s="103"/>
      <c r="AE302" s="103"/>
      <c r="AF302" s="103"/>
      <c r="AG302" s="103"/>
      <c r="AH302" s="103"/>
      <c r="AI302" s="173"/>
      <c r="AJ302" s="103"/>
      <c r="AK302" s="174"/>
      <c r="AL302" s="175"/>
      <c r="AM302" s="176"/>
      <c r="AP302" s="102"/>
      <c r="AQ302" s="102"/>
      <c r="AR302" s="102"/>
      <c r="AS302" s="102"/>
    </row>
    <row r="303" spans="3:45" x14ac:dyDescent="0.2">
      <c r="C303" s="103"/>
      <c r="D303" s="104"/>
      <c r="E303" s="104"/>
      <c r="F303" s="102"/>
      <c r="G303" s="172"/>
      <c r="H303" s="172"/>
      <c r="I303" s="172"/>
      <c r="J303" s="159"/>
      <c r="K303" s="159"/>
      <c r="L303" s="159"/>
      <c r="M303" s="159"/>
      <c r="N303" s="159"/>
      <c r="O303" s="159"/>
      <c r="P303" s="159"/>
      <c r="Q303" s="159"/>
      <c r="R303" s="159"/>
      <c r="S303" s="159"/>
      <c r="T303" s="159"/>
      <c r="U303" s="159"/>
      <c r="V303" s="159"/>
      <c r="W303" s="159"/>
      <c r="X303" s="103"/>
      <c r="Y303" s="103"/>
      <c r="Z303" s="103"/>
      <c r="AA303" s="103"/>
      <c r="AB303" s="103"/>
      <c r="AC303" s="103"/>
      <c r="AD303" s="103"/>
      <c r="AE303" s="103"/>
      <c r="AF303" s="103"/>
      <c r="AG303" s="103"/>
      <c r="AH303" s="103"/>
      <c r="AI303" s="173"/>
      <c r="AJ303" s="103"/>
      <c r="AK303" s="174"/>
      <c r="AL303" s="175"/>
      <c r="AM303" s="176"/>
      <c r="AP303" s="102"/>
      <c r="AQ303" s="102"/>
      <c r="AR303" s="102"/>
      <c r="AS303" s="102"/>
    </row>
    <row r="304" spans="3:45" x14ac:dyDescent="0.2">
      <c r="C304" s="103"/>
      <c r="D304" s="104"/>
      <c r="E304" s="104"/>
      <c r="F304" s="102"/>
      <c r="G304" s="172"/>
      <c r="H304" s="172"/>
      <c r="I304" s="172"/>
      <c r="J304" s="159"/>
      <c r="K304" s="159"/>
      <c r="L304" s="159"/>
      <c r="M304" s="159"/>
      <c r="N304" s="159"/>
      <c r="O304" s="159"/>
      <c r="P304" s="159"/>
      <c r="Q304" s="159"/>
      <c r="R304" s="159"/>
      <c r="S304" s="159"/>
      <c r="T304" s="159"/>
      <c r="U304" s="159"/>
      <c r="V304" s="159"/>
      <c r="W304" s="159"/>
      <c r="X304" s="103"/>
      <c r="Y304" s="103"/>
      <c r="Z304" s="103"/>
      <c r="AA304" s="103"/>
      <c r="AB304" s="103"/>
      <c r="AC304" s="103"/>
      <c r="AD304" s="103"/>
      <c r="AE304" s="103"/>
      <c r="AF304" s="103"/>
      <c r="AG304" s="103"/>
      <c r="AH304" s="103"/>
      <c r="AI304" s="173"/>
      <c r="AJ304" s="103"/>
      <c r="AK304" s="174"/>
      <c r="AL304" s="175"/>
      <c r="AM304" s="176"/>
      <c r="AP304" s="102"/>
      <c r="AQ304" s="102"/>
      <c r="AR304" s="102"/>
      <c r="AS304" s="102"/>
    </row>
    <row r="305" spans="3:45" x14ac:dyDescent="0.2">
      <c r="C305" s="103"/>
      <c r="D305" s="104"/>
      <c r="E305" s="104"/>
      <c r="F305" s="102"/>
      <c r="G305" s="172"/>
      <c r="H305" s="172"/>
      <c r="I305" s="172"/>
      <c r="J305" s="159"/>
      <c r="K305" s="159"/>
      <c r="L305" s="159"/>
      <c r="M305" s="159"/>
      <c r="N305" s="159"/>
      <c r="O305" s="159"/>
      <c r="P305" s="159"/>
      <c r="Q305" s="159"/>
      <c r="R305" s="159"/>
      <c r="S305" s="159"/>
      <c r="T305" s="159"/>
      <c r="U305" s="159"/>
      <c r="V305" s="159"/>
      <c r="W305" s="159"/>
      <c r="X305" s="103"/>
      <c r="Y305" s="103"/>
      <c r="Z305" s="103"/>
      <c r="AA305" s="103"/>
      <c r="AB305" s="103"/>
      <c r="AC305" s="103"/>
      <c r="AD305" s="103"/>
      <c r="AE305" s="103"/>
      <c r="AF305" s="103"/>
      <c r="AG305" s="103"/>
      <c r="AH305" s="103"/>
      <c r="AI305" s="173"/>
      <c r="AJ305" s="103"/>
      <c r="AK305" s="174"/>
      <c r="AL305" s="175"/>
      <c r="AM305" s="176"/>
      <c r="AP305" s="102"/>
      <c r="AQ305" s="102"/>
      <c r="AR305" s="102"/>
      <c r="AS305" s="102"/>
    </row>
    <row r="306" spans="3:45" x14ac:dyDescent="0.2">
      <c r="C306" s="103"/>
      <c r="D306" s="104"/>
      <c r="E306" s="104"/>
      <c r="F306" s="102"/>
      <c r="G306" s="172"/>
      <c r="H306" s="172"/>
      <c r="I306" s="172"/>
      <c r="J306" s="159"/>
      <c r="K306" s="159"/>
      <c r="L306" s="159"/>
      <c r="M306" s="159"/>
      <c r="N306" s="159"/>
      <c r="O306" s="159"/>
      <c r="P306" s="159"/>
      <c r="Q306" s="159"/>
      <c r="R306" s="159"/>
      <c r="S306" s="159"/>
      <c r="T306" s="159"/>
      <c r="U306" s="159"/>
      <c r="V306" s="159"/>
      <c r="W306" s="159"/>
      <c r="X306" s="103"/>
      <c r="Y306" s="103"/>
      <c r="Z306" s="103"/>
      <c r="AA306" s="103"/>
      <c r="AB306" s="103"/>
      <c r="AC306" s="103"/>
      <c r="AD306" s="103"/>
      <c r="AE306" s="103"/>
      <c r="AF306" s="103"/>
      <c r="AG306" s="103"/>
      <c r="AH306" s="103"/>
      <c r="AI306" s="173"/>
      <c r="AJ306" s="103"/>
      <c r="AK306" s="174"/>
      <c r="AL306" s="175"/>
      <c r="AM306" s="176"/>
      <c r="AP306" s="102"/>
      <c r="AQ306" s="102"/>
      <c r="AR306" s="102"/>
      <c r="AS306" s="102"/>
    </row>
    <row r="307" spans="3:45" x14ac:dyDescent="0.2">
      <c r="C307" s="103"/>
      <c r="D307" s="104"/>
      <c r="E307" s="104"/>
      <c r="F307" s="102"/>
      <c r="G307" s="172"/>
      <c r="H307" s="172"/>
      <c r="I307" s="172"/>
      <c r="J307" s="159"/>
      <c r="K307" s="159"/>
      <c r="L307" s="159"/>
      <c r="M307" s="159"/>
      <c r="N307" s="159"/>
      <c r="O307" s="159"/>
      <c r="P307" s="159"/>
      <c r="Q307" s="159"/>
      <c r="R307" s="159"/>
      <c r="S307" s="159"/>
      <c r="T307" s="159"/>
      <c r="U307" s="159"/>
      <c r="V307" s="159"/>
      <c r="W307" s="159"/>
      <c r="X307" s="103"/>
      <c r="Y307" s="103"/>
      <c r="Z307" s="103"/>
      <c r="AA307" s="103"/>
      <c r="AB307" s="103"/>
      <c r="AC307" s="103"/>
      <c r="AD307" s="103"/>
      <c r="AE307" s="103"/>
      <c r="AF307" s="103"/>
      <c r="AG307" s="103"/>
      <c r="AH307" s="103"/>
      <c r="AI307" s="173"/>
      <c r="AJ307" s="103"/>
      <c r="AK307" s="174"/>
      <c r="AL307" s="175"/>
      <c r="AM307" s="176"/>
      <c r="AP307" s="102"/>
      <c r="AQ307" s="102"/>
      <c r="AR307" s="102"/>
      <c r="AS307" s="102"/>
    </row>
    <row r="308" spans="3:45" x14ac:dyDescent="0.2">
      <c r="C308" s="103"/>
      <c r="D308" s="104"/>
      <c r="E308" s="104"/>
      <c r="F308" s="102"/>
      <c r="G308" s="172"/>
      <c r="H308" s="172"/>
      <c r="I308" s="172"/>
      <c r="J308" s="159"/>
      <c r="K308" s="159"/>
      <c r="L308" s="159"/>
      <c r="M308" s="159"/>
      <c r="N308" s="159"/>
      <c r="O308" s="159"/>
      <c r="P308" s="159"/>
      <c r="Q308" s="159"/>
      <c r="R308" s="159"/>
      <c r="S308" s="159"/>
      <c r="T308" s="159"/>
      <c r="U308" s="159"/>
      <c r="V308" s="159"/>
      <c r="W308" s="159"/>
      <c r="X308" s="103"/>
      <c r="Y308" s="103"/>
      <c r="Z308" s="103"/>
      <c r="AA308" s="103"/>
      <c r="AB308" s="103"/>
      <c r="AC308" s="103"/>
      <c r="AD308" s="103"/>
      <c r="AE308" s="103"/>
      <c r="AF308" s="103"/>
      <c r="AG308" s="103"/>
      <c r="AH308" s="103"/>
      <c r="AI308" s="173"/>
      <c r="AJ308" s="103"/>
      <c r="AK308" s="174"/>
      <c r="AL308" s="175"/>
      <c r="AM308" s="176"/>
      <c r="AP308" s="102"/>
      <c r="AQ308" s="102"/>
      <c r="AR308" s="102"/>
      <c r="AS308" s="102"/>
    </row>
    <row r="309" spans="3:45" x14ac:dyDescent="0.2">
      <c r="C309" s="103"/>
      <c r="D309" s="104"/>
      <c r="E309" s="104"/>
      <c r="F309" s="102"/>
      <c r="G309" s="172"/>
      <c r="H309" s="172"/>
      <c r="I309" s="172"/>
      <c r="J309" s="159"/>
      <c r="K309" s="159"/>
      <c r="L309" s="159"/>
      <c r="M309" s="159"/>
      <c r="N309" s="159"/>
      <c r="O309" s="159"/>
      <c r="P309" s="159"/>
      <c r="Q309" s="159"/>
      <c r="R309" s="159"/>
      <c r="S309" s="159"/>
      <c r="T309" s="159"/>
      <c r="U309" s="159"/>
      <c r="V309" s="159"/>
      <c r="W309" s="159"/>
      <c r="X309" s="103"/>
      <c r="Y309" s="103"/>
      <c r="Z309" s="103"/>
      <c r="AA309" s="103"/>
      <c r="AB309" s="103"/>
      <c r="AC309" s="103"/>
      <c r="AD309" s="103"/>
      <c r="AE309" s="103"/>
      <c r="AF309" s="103"/>
      <c r="AG309" s="103"/>
      <c r="AH309" s="103"/>
      <c r="AI309" s="173"/>
      <c r="AJ309" s="103"/>
      <c r="AK309" s="174"/>
      <c r="AL309" s="175"/>
      <c r="AM309" s="176"/>
      <c r="AP309" s="102"/>
      <c r="AQ309" s="102"/>
      <c r="AR309" s="102"/>
      <c r="AS309" s="102"/>
    </row>
    <row r="310" spans="3:45" x14ac:dyDescent="0.2">
      <c r="C310" s="103"/>
      <c r="D310" s="104"/>
      <c r="E310" s="104"/>
      <c r="F310" s="102"/>
      <c r="G310" s="172"/>
      <c r="H310" s="172"/>
      <c r="I310" s="172"/>
      <c r="J310" s="159"/>
      <c r="K310" s="159"/>
      <c r="L310" s="159"/>
      <c r="M310" s="159"/>
      <c r="N310" s="159"/>
      <c r="O310" s="159"/>
      <c r="P310" s="159"/>
      <c r="Q310" s="159"/>
      <c r="R310" s="159"/>
      <c r="S310" s="159"/>
      <c r="T310" s="159"/>
      <c r="U310" s="159"/>
      <c r="V310" s="159"/>
      <c r="W310" s="159"/>
      <c r="X310" s="103"/>
      <c r="Y310" s="103"/>
      <c r="Z310" s="103"/>
      <c r="AA310" s="103"/>
      <c r="AB310" s="103"/>
      <c r="AC310" s="103"/>
      <c r="AD310" s="103"/>
      <c r="AE310" s="103"/>
      <c r="AF310" s="103"/>
      <c r="AG310" s="103"/>
      <c r="AH310" s="103"/>
      <c r="AI310" s="173"/>
      <c r="AJ310" s="103"/>
      <c r="AK310" s="174"/>
      <c r="AL310" s="175"/>
      <c r="AM310" s="176"/>
      <c r="AP310" s="102"/>
      <c r="AQ310" s="102"/>
      <c r="AR310" s="102"/>
      <c r="AS310" s="102"/>
    </row>
    <row r="311" spans="3:45" x14ac:dyDescent="0.2">
      <c r="C311" s="103"/>
      <c r="D311" s="104"/>
      <c r="E311" s="104"/>
      <c r="F311" s="102"/>
      <c r="G311" s="172"/>
      <c r="H311" s="172"/>
      <c r="I311" s="172"/>
      <c r="J311" s="159"/>
      <c r="K311" s="159"/>
      <c r="L311" s="159"/>
      <c r="M311" s="159"/>
      <c r="N311" s="159"/>
      <c r="O311" s="159"/>
      <c r="P311" s="159"/>
      <c r="Q311" s="159"/>
      <c r="R311" s="159"/>
      <c r="S311" s="159"/>
      <c r="T311" s="159"/>
      <c r="U311" s="159"/>
      <c r="V311" s="159"/>
      <c r="W311" s="159"/>
      <c r="X311" s="103"/>
      <c r="Y311" s="103"/>
      <c r="Z311" s="103"/>
      <c r="AA311" s="103"/>
      <c r="AB311" s="103"/>
      <c r="AC311" s="103"/>
      <c r="AD311" s="103"/>
      <c r="AE311" s="103"/>
      <c r="AF311" s="103"/>
      <c r="AG311" s="103"/>
      <c r="AH311" s="103"/>
      <c r="AI311" s="173"/>
      <c r="AJ311" s="103"/>
      <c r="AK311" s="174"/>
      <c r="AL311" s="175"/>
      <c r="AM311" s="176"/>
      <c r="AP311" s="102"/>
      <c r="AQ311" s="102"/>
      <c r="AR311" s="102"/>
      <c r="AS311" s="102"/>
    </row>
    <row r="312" spans="3:45" x14ac:dyDescent="0.2">
      <c r="C312" s="103"/>
      <c r="D312" s="104"/>
      <c r="E312" s="104"/>
      <c r="F312" s="102"/>
      <c r="G312" s="172"/>
      <c r="H312" s="172"/>
      <c r="I312" s="172"/>
      <c r="J312" s="159"/>
      <c r="K312" s="159"/>
      <c r="L312" s="159"/>
      <c r="M312" s="159"/>
      <c r="N312" s="159"/>
      <c r="O312" s="159"/>
      <c r="P312" s="159"/>
      <c r="Q312" s="159"/>
      <c r="R312" s="159"/>
      <c r="S312" s="159"/>
      <c r="T312" s="159"/>
      <c r="U312" s="159"/>
      <c r="V312" s="159"/>
      <c r="W312" s="159"/>
      <c r="X312" s="103"/>
      <c r="Y312" s="103"/>
      <c r="Z312" s="103"/>
      <c r="AA312" s="103"/>
      <c r="AB312" s="103"/>
      <c r="AC312" s="103"/>
      <c r="AD312" s="103"/>
      <c r="AE312" s="103"/>
      <c r="AF312" s="103"/>
      <c r="AG312" s="103"/>
      <c r="AH312" s="103"/>
      <c r="AI312" s="173"/>
      <c r="AJ312" s="103"/>
      <c r="AK312" s="174"/>
      <c r="AL312" s="175"/>
      <c r="AM312" s="176"/>
      <c r="AP312" s="102"/>
      <c r="AQ312" s="102"/>
      <c r="AR312" s="102"/>
      <c r="AS312" s="102"/>
    </row>
    <row r="313" spans="3:45" x14ac:dyDescent="0.2">
      <c r="C313" s="103"/>
      <c r="D313" s="104"/>
      <c r="E313" s="104"/>
      <c r="F313" s="102"/>
      <c r="G313" s="172"/>
      <c r="H313" s="172"/>
      <c r="I313" s="172"/>
      <c r="J313" s="159"/>
      <c r="K313" s="159"/>
      <c r="L313" s="159"/>
      <c r="M313" s="159"/>
      <c r="N313" s="159"/>
      <c r="O313" s="159"/>
      <c r="P313" s="159"/>
      <c r="Q313" s="159"/>
      <c r="R313" s="159"/>
      <c r="S313" s="159"/>
      <c r="T313" s="159"/>
      <c r="U313" s="159"/>
      <c r="V313" s="159"/>
      <c r="W313" s="159"/>
      <c r="X313" s="103"/>
      <c r="Y313" s="103"/>
      <c r="Z313" s="103"/>
      <c r="AA313" s="103"/>
      <c r="AB313" s="103"/>
      <c r="AC313" s="103"/>
      <c r="AD313" s="103"/>
      <c r="AE313" s="103"/>
      <c r="AF313" s="103"/>
      <c r="AG313" s="103"/>
      <c r="AH313" s="103"/>
      <c r="AI313" s="173"/>
      <c r="AJ313" s="103"/>
      <c r="AK313" s="174"/>
      <c r="AL313" s="175"/>
      <c r="AM313" s="176"/>
      <c r="AP313" s="102"/>
      <c r="AQ313" s="102"/>
      <c r="AR313" s="102"/>
      <c r="AS313" s="102"/>
    </row>
    <row r="314" spans="3:45" x14ac:dyDescent="0.2">
      <c r="C314" s="103"/>
      <c r="D314" s="104"/>
      <c r="E314" s="104"/>
      <c r="F314" s="102"/>
      <c r="G314" s="172"/>
      <c r="H314" s="172"/>
      <c r="I314" s="172"/>
      <c r="J314" s="159"/>
      <c r="K314" s="159"/>
      <c r="L314" s="159"/>
      <c r="M314" s="159"/>
      <c r="N314" s="159"/>
      <c r="O314" s="159"/>
      <c r="P314" s="159"/>
      <c r="Q314" s="159"/>
      <c r="R314" s="159"/>
      <c r="S314" s="159"/>
      <c r="T314" s="159"/>
      <c r="U314" s="159"/>
      <c r="V314" s="159"/>
      <c r="W314" s="159"/>
      <c r="X314" s="103"/>
      <c r="Y314" s="103"/>
      <c r="Z314" s="103"/>
      <c r="AA314" s="103"/>
      <c r="AB314" s="103"/>
      <c r="AC314" s="103"/>
      <c r="AD314" s="103"/>
      <c r="AE314" s="103"/>
      <c r="AF314" s="103"/>
      <c r="AG314" s="103"/>
      <c r="AH314" s="103"/>
      <c r="AI314" s="173"/>
      <c r="AJ314" s="103"/>
      <c r="AK314" s="174"/>
      <c r="AL314" s="175"/>
      <c r="AM314" s="176"/>
      <c r="AP314" s="102"/>
      <c r="AQ314" s="102"/>
      <c r="AR314" s="102"/>
      <c r="AS314" s="102"/>
    </row>
    <row r="315" spans="3:45" x14ac:dyDescent="0.2">
      <c r="C315" s="103"/>
      <c r="D315" s="104"/>
      <c r="E315" s="104"/>
      <c r="F315" s="102"/>
      <c r="G315" s="172"/>
      <c r="H315" s="172"/>
      <c r="I315" s="172"/>
      <c r="J315" s="159"/>
      <c r="K315" s="159"/>
      <c r="L315" s="159"/>
      <c r="M315" s="159"/>
      <c r="N315" s="159"/>
      <c r="O315" s="159"/>
      <c r="P315" s="159"/>
      <c r="Q315" s="159"/>
      <c r="R315" s="159"/>
      <c r="S315" s="159"/>
      <c r="T315" s="159"/>
      <c r="U315" s="159"/>
      <c r="V315" s="159"/>
      <c r="W315" s="159"/>
      <c r="X315" s="103"/>
      <c r="Y315" s="103"/>
      <c r="Z315" s="103"/>
      <c r="AA315" s="103"/>
      <c r="AB315" s="103"/>
      <c r="AC315" s="103"/>
      <c r="AD315" s="103"/>
      <c r="AE315" s="103"/>
      <c r="AF315" s="103"/>
      <c r="AG315" s="103"/>
      <c r="AH315" s="103"/>
      <c r="AI315" s="173"/>
      <c r="AJ315" s="103"/>
      <c r="AK315" s="174"/>
      <c r="AL315" s="175"/>
      <c r="AM315" s="176"/>
      <c r="AP315" s="102"/>
      <c r="AQ315" s="102"/>
      <c r="AR315" s="102"/>
      <c r="AS315" s="102"/>
    </row>
    <row r="316" spans="3:45" x14ac:dyDescent="0.2">
      <c r="C316" s="103"/>
      <c r="D316" s="104"/>
      <c r="E316" s="104"/>
      <c r="F316" s="102"/>
      <c r="G316" s="172"/>
      <c r="H316" s="172"/>
      <c r="I316" s="172"/>
      <c r="J316" s="159"/>
      <c r="K316" s="159"/>
      <c r="L316" s="159"/>
      <c r="M316" s="159"/>
      <c r="N316" s="159"/>
      <c r="O316" s="159"/>
      <c r="P316" s="159"/>
      <c r="Q316" s="159"/>
      <c r="R316" s="159"/>
      <c r="S316" s="159"/>
      <c r="T316" s="159"/>
      <c r="U316" s="159"/>
      <c r="V316" s="159"/>
      <c r="W316" s="159"/>
      <c r="X316" s="103"/>
      <c r="Y316" s="103"/>
      <c r="Z316" s="103"/>
      <c r="AA316" s="103"/>
      <c r="AB316" s="103"/>
      <c r="AC316" s="103"/>
      <c r="AD316" s="103"/>
      <c r="AE316" s="103"/>
      <c r="AF316" s="103"/>
      <c r="AG316" s="103"/>
      <c r="AH316" s="103"/>
      <c r="AI316" s="173"/>
      <c r="AJ316" s="103"/>
      <c r="AK316" s="174"/>
      <c r="AL316" s="175"/>
      <c r="AM316" s="176"/>
      <c r="AP316" s="102"/>
      <c r="AQ316" s="102"/>
      <c r="AR316" s="102"/>
      <c r="AS316" s="102"/>
    </row>
    <row r="317" spans="3:45" x14ac:dyDescent="0.2">
      <c r="C317" s="103"/>
      <c r="D317" s="104"/>
      <c r="E317" s="104"/>
      <c r="F317" s="102"/>
      <c r="G317" s="172"/>
      <c r="H317" s="172"/>
      <c r="I317" s="172"/>
      <c r="J317" s="159"/>
      <c r="K317" s="159"/>
      <c r="L317" s="159"/>
      <c r="M317" s="159"/>
      <c r="N317" s="159"/>
      <c r="O317" s="159"/>
      <c r="P317" s="159"/>
      <c r="Q317" s="159"/>
      <c r="R317" s="159"/>
      <c r="S317" s="159"/>
      <c r="T317" s="159"/>
      <c r="U317" s="159"/>
      <c r="V317" s="159"/>
      <c r="W317" s="159"/>
      <c r="X317" s="103"/>
      <c r="Y317" s="103"/>
      <c r="Z317" s="103"/>
      <c r="AA317" s="103"/>
      <c r="AB317" s="103"/>
      <c r="AC317" s="103"/>
      <c r="AD317" s="103"/>
      <c r="AE317" s="103"/>
      <c r="AF317" s="103"/>
      <c r="AG317" s="103"/>
      <c r="AH317" s="103"/>
      <c r="AI317" s="173"/>
      <c r="AJ317" s="103"/>
      <c r="AK317" s="174"/>
      <c r="AL317" s="175"/>
      <c r="AM317" s="176"/>
      <c r="AP317" s="102"/>
      <c r="AQ317" s="102"/>
      <c r="AR317" s="102"/>
      <c r="AS317" s="102"/>
    </row>
    <row r="318" spans="3:45" x14ac:dyDescent="0.2">
      <c r="C318" s="103"/>
      <c r="D318" s="104"/>
      <c r="E318" s="104"/>
      <c r="F318" s="102"/>
      <c r="G318" s="172"/>
      <c r="H318" s="172"/>
      <c r="I318" s="172"/>
      <c r="J318" s="159"/>
      <c r="K318" s="159"/>
      <c r="L318" s="159"/>
      <c r="M318" s="159"/>
      <c r="N318" s="159"/>
      <c r="O318" s="159"/>
      <c r="P318" s="159"/>
      <c r="Q318" s="159"/>
      <c r="R318" s="159"/>
      <c r="S318" s="159"/>
      <c r="T318" s="159"/>
      <c r="U318" s="159"/>
      <c r="V318" s="159"/>
      <c r="W318" s="159"/>
      <c r="X318" s="103"/>
      <c r="Y318" s="103"/>
      <c r="Z318" s="103"/>
      <c r="AA318" s="103"/>
      <c r="AB318" s="103"/>
      <c r="AC318" s="103"/>
      <c r="AD318" s="103"/>
      <c r="AE318" s="103"/>
      <c r="AF318" s="103"/>
      <c r="AG318" s="103"/>
      <c r="AH318" s="103"/>
      <c r="AI318" s="173"/>
      <c r="AJ318" s="103"/>
      <c r="AK318" s="174"/>
      <c r="AL318" s="175"/>
      <c r="AM318" s="176"/>
      <c r="AP318" s="102"/>
      <c r="AQ318" s="102"/>
      <c r="AR318" s="102"/>
      <c r="AS318" s="102"/>
    </row>
    <row r="319" spans="3:45" x14ac:dyDescent="0.2">
      <c r="C319" s="103"/>
      <c r="D319" s="104"/>
      <c r="E319" s="104"/>
      <c r="F319" s="102"/>
      <c r="G319" s="172"/>
      <c r="H319" s="172"/>
      <c r="I319" s="172"/>
      <c r="J319" s="159"/>
      <c r="K319" s="159"/>
      <c r="L319" s="159"/>
      <c r="M319" s="159"/>
      <c r="N319" s="159"/>
      <c r="O319" s="159"/>
      <c r="P319" s="159"/>
      <c r="Q319" s="159"/>
      <c r="R319" s="159"/>
      <c r="S319" s="159"/>
      <c r="T319" s="159"/>
      <c r="U319" s="159"/>
      <c r="V319" s="159"/>
      <c r="W319" s="159"/>
      <c r="X319" s="103"/>
      <c r="Y319" s="103"/>
      <c r="Z319" s="103"/>
      <c r="AA319" s="103"/>
      <c r="AB319" s="103"/>
      <c r="AC319" s="103"/>
      <c r="AD319" s="103"/>
      <c r="AE319" s="103"/>
      <c r="AF319" s="103"/>
      <c r="AG319" s="103"/>
      <c r="AH319" s="103"/>
      <c r="AI319" s="173"/>
      <c r="AJ319" s="103"/>
      <c r="AK319" s="174"/>
      <c r="AL319" s="175"/>
      <c r="AM319" s="176"/>
      <c r="AP319" s="102"/>
      <c r="AQ319" s="102"/>
      <c r="AR319" s="102"/>
      <c r="AS319" s="102"/>
    </row>
    <row r="320" spans="3:45" x14ac:dyDescent="0.2">
      <c r="C320" s="103"/>
      <c r="D320" s="104"/>
      <c r="E320" s="104"/>
      <c r="F320" s="102"/>
      <c r="G320" s="172"/>
      <c r="H320" s="172"/>
      <c r="I320" s="172"/>
      <c r="J320" s="159"/>
      <c r="K320" s="159"/>
      <c r="L320" s="159"/>
      <c r="M320" s="159"/>
      <c r="N320" s="159"/>
      <c r="O320" s="159"/>
      <c r="P320" s="159"/>
      <c r="Q320" s="159"/>
      <c r="R320" s="159"/>
      <c r="S320" s="159"/>
      <c r="T320" s="159"/>
      <c r="U320" s="159"/>
      <c r="V320" s="159"/>
      <c r="W320" s="159"/>
      <c r="X320" s="103"/>
      <c r="Y320" s="103"/>
      <c r="Z320" s="103"/>
      <c r="AA320" s="103"/>
      <c r="AB320" s="103"/>
      <c r="AC320" s="103"/>
      <c r="AD320" s="103"/>
      <c r="AE320" s="103"/>
      <c r="AF320" s="103"/>
      <c r="AG320" s="103"/>
      <c r="AH320" s="103"/>
      <c r="AI320" s="173"/>
      <c r="AJ320" s="103"/>
      <c r="AK320" s="174"/>
      <c r="AL320" s="175"/>
      <c r="AM320" s="176"/>
      <c r="AP320" s="102"/>
      <c r="AQ320" s="102"/>
      <c r="AR320" s="102"/>
      <c r="AS320" s="102"/>
    </row>
    <row r="321" spans="3:45" x14ac:dyDescent="0.2">
      <c r="C321" s="103"/>
      <c r="D321" s="104"/>
      <c r="E321" s="104"/>
      <c r="F321" s="102"/>
      <c r="G321" s="172"/>
      <c r="H321" s="172"/>
      <c r="I321" s="172"/>
      <c r="J321" s="159"/>
      <c r="K321" s="159"/>
      <c r="L321" s="159"/>
      <c r="M321" s="159"/>
      <c r="N321" s="159"/>
      <c r="O321" s="159"/>
      <c r="P321" s="159"/>
      <c r="Q321" s="159"/>
      <c r="R321" s="159"/>
      <c r="S321" s="159"/>
      <c r="T321" s="159"/>
      <c r="U321" s="159"/>
      <c r="V321" s="159"/>
      <c r="W321" s="159"/>
      <c r="X321" s="103"/>
      <c r="Y321" s="103"/>
      <c r="Z321" s="103"/>
      <c r="AA321" s="103"/>
      <c r="AB321" s="103"/>
      <c r="AC321" s="103"/>
      <c r="AD321" s="103"/>
      <c r="AE321" s="103"/>
      <c r="AF321" s="103"/>
      <c r="AG321" s="103"/>
      <c r="AH321" s="103"/>
      <c r="AI321" s="173"/>
      <c r="AJ321" s="103"/>
      <c r="AK321" s="174"/>
      <c r="AL321" s="175"/>
      <c r="AM321" s="176"/>
      <c r="AP321" s="102"/>
      <c r="AQ321" s="102"/>
      <c r="AR321" s="102"/>
      <c r="AS321" s="102"/>
    </row>
    <row r="322" spans="3:45" x14ac:dyDescent="0.2">
      <c r="C322" s="103"/>
      <c r="D322" s="104"/>
      <c r="E322" s="104"/>
      <c r="F322" s="102"/>
      <c r="G322" s="172"/>
      <c r="H322" s="172"/>
      <c r="I322" s="172"/>
      <c r="J322" s="159"/>
      <c r="K322" s="159"/>
      <c r="L322" s="159"/>
      <c r="M322" s="159"/>
      <c r="N322" s="159"/>
      <c r="O322" s="159"/>
      <c r="P322" s="159"/>
      <c r="Q322" s="159"/>
      <c r="R322" s="159"/>
      <c r="S322" s="159"/>
      <c r="T322" s="159"/>
      <c r="U322" s="159"/>
      <c r="V322" s="159"/>
      <c r="W322" s="159"/>
      <c r="X322" s="103"/>
      <c r="Y322" s="103"/>
      <c r="Z322" s="103"/>
      <c r="AA322" s="103"/>
      <c r="AB322" s="103"/>
      <c r="AC322" s="103"/>
      <c r="AD322" s="103"/>
      <c r="AE322" s="103"/>
      <c r="AF322" s="103"/>
      <c r="AG322" s="103"/>
      <c r="AH322" s="103"/>
      <c r="AI322" s="173"/>
      <c r="AJ322" s="103"/>
      <c r="AK322" s="174"/>
      <c r="AL322" s="175"/>
      <c r="AM322" s="176"/>
      <c r="AP322" s="102"/>
      <c r="AQ322" s="102"/>
      <c r="AR322" s="102"/>
      <c r="AS322" s="102"/>
    </row>
    <row r="323" spans="3:45" x14ac:dyDescent="0.2">
      <c r="C323" s="103"/>
      <c r="D323" s="104"/>
      <c r="E323" s="104"/>
      <c r="F323" s="102"/>
      <c r="G323" s="172"/>
      <c r="H323" s="172"/>
      <c r="I323" s="172"/>
      <c r="J323" s="159"/>
      <c r="K323" s="159"/>
      <c r="L323" s="159"/>
      <c r="M323" s="159"/>
      <c r="N323" s="159"/>
      <c r="O323" s="159"/>
      <c r="P323" s="159"/>
      <c r="Q323" s="159"/>
      <c r="R323" s="159"/>
      <c r="S323" s="159"/>
      <c r="T323" s="159"/>
      <c r="U323" s="159"/>
      <c r="V323" s="159"/>
      <c r="W323" s="159"/>
      <c r="X323" s="103"/>
      <c r="Y323" s="103"/>
      <c r="Z323" s="103"/>
      <c r="AA323" s="103"/>
      <c r="AB323" s="103"/>
      <c r="AC323" s="103"/>
      <c r="AD323" s="103"/>
      <c r="AE323" s="103"/>
      <c r="AF323" s="103"/>
      <c r="AG323" s="103"/>
      <c r="AH323" s="103"/>
      <c r="AI323" s="173"/>
      <c r="AJ323" s="103"/>
      <c r="AK323" s="174"/>
      <c r="AL323" s="175"/>
      <c r="AM323" s="176"/>
      <c r="AP323" s="102"/>
      <c r="AQ323" s="102"/>
      <c r="AR323" s="102"/>
      <c r="AS323" s="102"/>
    </row>
  </sheetData>
  <sheetProtection algorithmName="SHA-512" hashValue="0Hj5O5bVxmwyFeK1MG0AQs8QNeam1riBoqlYS9YbCJ2LUz9cPCxPTJiioV3WnkpoYEqVAZ2ODK5+r5rJMlBoPg==" saltValue="f3CUxkWAWJJCWzleMhoUOg==" spinCount="100000" sheet="1" objects="1" scenarios="1"/>
  <mergeCells count="52">
    <mergeCell ref="M5:M6"/>
    <mergeCell ref="N5:N6"/>
    <mergeCell ref="P5:P6"/>
    <mergeCell ref="T5:T6"/>
    <mergeCell ref="U5:U6"/>
    <mergeCell ref="R5:R6"/>
    <mergeCell ref="V4:V6"/>
    <mergeCell ref="Y5:Y6"/>
    <mergeCell ref="AQ3:AR3"/>
    <mergeCell ref="Q5:Q6"/>
    <mergeCell ref="AK4:AK5"/>
    <mergeCell ref="AL4:AL5"/>
    <mergeCell ref="AA4:AB4"/>
    <mergeCell ref="AE4:AF4"/>
    <mergeCell ref="AE5:AF5"/>
    <mergeCell ref="C3:C6"/>
    <mergeCell ref="D4:F5"/>
    <mergeCell ref="H5:H6"/>
    <mergeCell ref="J5:J6"/>
    <mergeCell ref="D3:F3"/>
    <mergeCell ref="G5:G6"/>
    <mergeCell ref="I5:I6"/>
    <mergeCell ref="E1:AJ1"/>
    <mergeCell ref="E2:AJ2"/>
    <mergeCell ref="X3:Y3"/>
    <mergeCell ref="G3:K3"/>
    <mergeCell ref="L3:P3"/>
    <mergeCell ref="Q3:U3"/>
    <mergeCell ref="K5:K6"/>
    <mergeCell ref="X4:Y4"/>
    <mergeCell ref="X5:X6"/>
    <mergeCell ref="AO3:AO6"/>
    <mergeCell ref="AG4:AH4"/>
    <mergeCell ref="AG5:AH5"/>
    <mergeCell ref="AG6:AH6"/>
    <mergeCell ref="AA3:AI3"/>
    <mergeCell ref="AK3:AL3"/>
    <mergeCell ref="AN3:AN6"/>
    <mergeCell ref="L5:L6"/>
    <mergeCell ref="O5:O6"/>
    <mergeCell ref="S5:S6"/>
    <mergeCell ref="AM3:AM6"/>
    <mergeCell ref="AC4:AD4"/>
    <mergeCell ref="AI4:AI5"/>
    <mergeCell ref="AC57:AD57"/>
    <mergeCell ref="AG57:AH57"/>
    <mergeCell ref="AC5:AD5"/>
    <mergeCell ref="AA6:AB6"/>
    <mergeCell ref="AC6:AD6"/>
    <mergeCell ref="AA57:AB57"/>
    <mergeCell ref="AA5:AB5"/>
    <mergeCell ref="AE6:AF6"/>
  </mergeCells>
  <phoneticPr fontId="4" type="noConversion"/>
  <conditionalFormatting sqref="G7:W56">
    <cfRule type="cellIs" dxfId="58" priority="5" stopIfTrue="1" operator="lessThan">
      <formula>1</formula>
    </cfRule>
  </conditionalFormatting>
  <conditionalFormatting sqref="X7:X56">
    <cfRule type="expression" dxfId="57" priority="6">
      <formula>AND(X7&gt;$X$5,X7&lt;&gt;"")</formula>
    </cfRule>
  </conditionalFormatting>
  <conditionalFormatting sqref="AA7:AA56 AC7:AC56 AE7:AE56 AG7:AG56 AK7:AK56">
    <cfRule type="expression" dxfId="56" priority="4">
      <formula>AND(ISTEXT(AA7),AA7&lt;&gt;"")</formula>
    </cfRule>
  </conditionalFormatting>
  <conditionalFormatting sqref="AA7:AA56">
    <cfRule type="expression" dxfId="55" priority="11">
      <formula>AND(AA7&gt;$AA$5,AA7&lt;&gt;"")</formula>
    </cfRule>
  </conditionalFormatting>
  <conditionalFormatting sqref="AA5:AH5">
    <cfRule type="expression" dxfId="54" priority="2">
      <formula>AND(ISTEXT(AA5),AA5&lt;&gt;"")</formula>
    </cfRule>
  </conditionalFormatting>
  <conditionalFormatting sqref="AB1:AB6 AH1:AH6 AD4:AD6 AF4:AF6 AD1:AF3 Z1:Z1048576 AD57 AF57 AB57:AB1048576 AH57:AH1048576 AD58:AF1048576">
    <cfRule type="cellIs" dxfId="53" priority="88" stopIfTrue="1" operator="lessThan">
      <formula>75</formula>
    </cfRule>
  </conditionalFormatting>
  <conditionalFormatting sqref="AB7:AB56 AD7:AD56 AF7:AF56 AH7:AH56">
    <cfRule type="cellIs" dxfId="52" priority="3" operator="lessThan">
      <formula>75</formula>
    </cfRule>
  </conditionalFormatting>
  <conditionalFormatting sqref="AC7:AC56">
    <cfRule type="expression" dxfId="51" priority="10">
      <formula>AND(AC7&gt;$AC$5,AC7&lt;&gt;"")</formula>
    </cfRule>
  </conditionalFormatting>
  <conditionalFormatting sqref="AE7:AE56">
    <cfRule type="expression" dxfId="50" priority="9">
      <formula>AND(AE7&gt;$AE$5,AE7&lt;&gt;"")</formula>
    </cfRule>
  </conditionalFormatting>
  <conditionalFormatting sqref="AG7:AG56">
    <cfRule type="expression" dxfId="49" priority="8">
      <formula>AND(AG7&gt;$AG$5,AG7&lt;&gt;"")</formula>
    </cfRule>
  </conditionalFormatting>
  <conditionalFormatting sqref="AK4:AK5">
    <cfRule type="expression" dxfId="48" priority="1">
      <formula>AND(ISTEXT(AK4),AK4&lt;&gt;"")</formula>
    </cfRule>
  </conditionalFormatting>
  <conditionalFormatting sqref="AK7:AK56">
    <cfRule type="expression" dxfId="47" priority="7">
      <formula>AND(AK7&gt;$AK$4,AK7&lt;&gt;"")</formula>
    </cfRule>
  </conditionalFormatting>
  <conditionalFormatting sqref="AN1:AN1048576">
    <cfRule type="cellIs" dxfId="46" priority="46" stopIfTrue="1" operator="lessThanOrEqual">
      <formula>1.75</formula>
    </cfRule>
    <cfRule type="cellIs" dxfId="45" priority="47" stopIfTrue="1" operator="equal">
      <formula>5</formula>
    </cfRule>
  </conditionalFormatting>
  <conditionalFormatting sqref="AN7:AN56">
    <cfRule type="cellIs" dxfId="44" priority="44" stopIfTrue="1" operator="lessThanOrEqual">
      <formula>1.75</formula>
    </cfRule>
    <cfRule type="cellIs" dxfId="43" priority="45" stopIfTrue="1" operator="equal">
      <formula>5</formula>
    </cfRule>
  </conditionalFormatting>
  <dataValidations count="3">
    <dataValidation type="decimal" allowBlank="1" showInputMessage="1" showErrorMessage="1" errorTitle="Invalid Data" error="The data you entered is invalid!" sqref="J8:K56 S7:T56 G7:H56 M8:N56 Q7:Q56 P8:P56 I7:P7" xr:uid="{00000000-0002-0000-0300-000000000000}">
      <formula1>0</formula1>
      <formula2>3</formula2>
    </dataValidation>
    <dataValidation type="decimal" allowBlank="1" showInputMessage="1" showErrorMessage="1" sqref="R7:R56 U7:U56 L8:L56 O8:O56 I8:I56" xr:uid="{00000000-0002-0000-0300-000001000000}">
      <formula1>0</formula1>
      <formula2>3</formula2>
    </dataValidation>
    <dataValidation type="whole" allowBlank="1" showInputMessage="1" showErrorMessage="1" sqref="G4:U4" xr:uid="{31D265DB-5DAD-4353-82FB-3CF845A0C80E}">
      <formula1>0</formula1>
      <formula2>31</formula2>
    </dataValidation>
  </dataValidations>
  <pageMargins left="0.09" right="0.1" top="0.17" bottom="0.41" header="0.2" footer="0.14000000000000001"/>
  <pageSetup scale="53" orientation="landscape" horizontalDpi="300" verticalDpi="300"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AT59"/>
  <sheetViews>
    <sheetView showGridLines="0" zoomScaleNormal="100" workbookViewId="0">
      <pane xSplit="6" ySplit="6" topLeftCell="G7" activePane="bottomRight" state="frozen"/>
      <selection pane="topRight" activeCell="G1" sqref="G1"/>
      <selection pane="bottomLeft" activeCell="A7" sqref="A7"/>
      <selection pane="bottomRight"/>
    </sheetView>
  </sheetViews>
  <sheetFormatPr defaultColWidth="9.140625" defaultRowHeight="15.75" x14ac:dyDescent="0.2"/>
  <cols>
    <col min="1" max="1" width="1.7109375" style="102" customWidth="1"/>
    <col min="2" max="2" width="2.7109375" style="102" customWidth="1"/>
    <col min="3" max="3" width="3.7109375" style="103" customWidth="1"/>
    <col min="4" max="4" width="11.7109375" style="104" customWidth="1"/>
    <col min="5" max="5" width="2.7109375" style="104" hidden="1" customWidth="1"/>
    <col min="6" max="6" width="50.7109375" style="102" customWidth="1"/>
    <col min="7" max="9" width="3" style="172" customWidth="1"/>
    <col min="10" max="21" width="3" style="159" customWidth="1"/>
    <col min="22" max="22" width="3.7109375" style="159" customWidth="1"/>
    <col min="23" max="23" width="1.7109375" style="159" customWidth="1"/>
    <col min="24" max="24" width="4.28515625" style="103" customWidth="1"/>
    <col min="25" max="25" width="5.7109375" style="103" customWidth="1"/>
    <col min="26" max="26" width="1.7109375" style="103" customWidth="1"/>
    <col min="27" max="34" width="4" style="103" customWidth="1"/>
    <col min="35" max="35" width="7.140625" style="173" customWidth="1"/>
    <col min="36" max="36" width="1.7109375" style="103" customWidth="1"/>
    <col min="37" max="37" width="4.7109375" style="174" customWidth="1"/>
    <col min="38" max="38" width="5.7109375" style="175" customWidth="1"/>
    <col min="39" max="39" width="6.7109375" style="176" customWidth="1"/>
    <col min="40" max="40" width="6.7109375" style="164" customWidth="1"/>
    <col min="41" max="41" width="6.7109375" style="232" customWidth="1"/>
    <col min="42" max="42" width="1.7109375" style="102" customWidth="1"/>
    <col min="43" max="44" width="8.7109375" style="102" customWidth="1"/>
    <col min="45" max="45" width="2.7109375" style="102" customWidth="1"/>
    <col min="46" max="46" width="1.7109375" style="102" customWidth="1"/>
    <col min="47" max="16384" width="9.140625" style="102"/>
  </cols>
  <sheetData>
    <row r="1" spans="1:46" ht="9.9499999999999993" customHeight="1" x14ac:dyDescent="0.2">
      <c r="A1" s="101"/>
      <c r="B1" s="101"/>
      <c r="C1" s="106"/>
      <c r="D1" s="107"/>
      <c r="E1" s="440"/>
      <c r="F1" s="440"/>
      <c r="G1" s="440"/>
      <c r="H1" s="440"/>
      <c r="I1" s="440"/>
      <c r="J1" s="440"/>
      <c r="K1" s="440"/>
      <c r="L1" s="440"/>
      <c r="M1" s="440"/>
      <c r="N1" s="440"/>
      <c r="O1" s="440"/>
      <c r="P1" s="440"/>
      <c r="Q1" s="440"/>
      <c r="R1" s="440"/>
      <c r="S1" s="440"/>
      <c r="T1" s="440"/>
      <c r="U1" s="440"/>
      <c r="V1" s="440"/>
      <c r="W1" s="440"/>
      <c r="X1" s="440"/>
      <c r="Y1" s="440"/>
      <c r="Z1" s="440"/>
      <c r="AA1" s="440"/>
      <c r="AB1" s="440"/>
      <c r="AC1" s="440"/>
      <c r="AD1" s="440"/>
      <c r="AE1" s="440"/>
      <c r="AF1" s="440"/>
      <c r="AG1" s="440"/>
      <c r="AH1" s="440"/>
      <c r="AI1" s="440"/>
      <c r="AJ1" s="440"/>
      <c r="AK1" s="208"/>
      <c r="AL1" s="169"/>
      <c r="AM1" s="169"/>
      <c r="AN1" s="171"/>
      <c r="AO1" s="233"/>
      <c r="AP1" s="101"/>
      <c r="AQ1" s="101"/>
      <c r="AR1" s="101"/>
      <c r="AS1" s="101"/>
      <c r="AT1" s="101"/>
    </row>
    <row r="2" spans="1:46" ht="15" customHeight="1" thickBot="1" x14ac:dyDescent="0.25">
      <c r="A2" s="101"/>
      <c r="E2" s="441"/>
      <c r="F2" s="441"/>
      <c r="G2" s="441"/>
      <c r="H2" s="441"/>
      <c r="I2" s="441"/>
      <c r="J2" s="441"/>
      <c r="K2" s="441"/>
      <c r="L2" s="441"/>
      <c r="M2" s="441"/>
      <c r="N2" s="441"/>
      <c r="O2" s="441"/>
      <c r="P2" s="441"/>
      <c r="Q2" s="441"/>
      <c r="R2" s="441"/>
      <c r="S2" s="441"/>
      <c r="T2" s="441"/>
      <c r="U2" s="441"/>
      <c r="V2" s="441"/>
      <c r="W2" s="441"/>
      <c r="X2" s="441"/>
      <c r="Y2" s="441"/>
      <c r="Z2" s="441"/>
      <c r="AA2" s="441"/>
      <c r="AB2" s="441"/>
      <c r="AC2" s="441"/>
      <c r="AD2" s="441"/>
      <c r="AE2" s="441"/>
      <c r="AF2" s="441"/>
      <c r="AG2" s="441"/>
      <c r="AH2" s="441"/>
      <c r="AI2" s="441"/>
      <c r="AJ2" s="441"/>
      <c r="AK2" s="209"/>
      <c r="AM2" s="175"/>
      <c r="AT2" s="101"/>
    </row>
    <row r="3" spans="1:46" ht="30" customHeight="1" thickBot="1" x14ac:dyDescent="0.25">
      <c r="A3" s="101"/>
      <c r="B3" s="253"/>
      <c r="C3" s="446"/>
      <c r="D3" s="448" t="str">
        <f>Settings!E8&amp;" - "&amp;Settings!P5</f>
        <v>Mathematics in the Modern World - BSHM1A</v>
      </c>
      <c r="E3" s="448"/>
      <c r="F3" s="448"/>
      <c r="G3" s="453" t="s">
        <v>86</v>
      </c>
      <c r="H3" s="453"/>
      <c r="I3" s="453"/>
      <c r="J3" s="453"/>
      <c r="K3" s="453"/>
      <c r="L3" s="453" t="s">
        <v>87</v>
      </c>
      <c r="M3" s="453"/>
      <c r="N3" s="453"/>
      <c r="O3" s="453"/>
      <c r="P3" s="453"/>
      <c r="Q3" s="453"/>
      <c r="R3" s="453"/>
      <c r="S3" s="453"/>
      <c r="T3" s="453"/>
      <c r="U3" s="453"/>
      <c r="V3" s="23"/>
      <c r="W3" s="210"/>
      <c r="X3" s="451" t="s">
        <v>89</v>
      </c>
      <c r="Y3" s="452"/>
      <c r="Z3" s="179"/>
      <c r="AA3" s="451" t="s">
        <v>66</v>
      </c>
      <c r="AB3" s="480"/>
      <c r="AC3" s="480"/>
      <c r="AD3" s="480"/>
      <c r="AE3" s="480"/>
      <c r="AF3" s="480"/>
      <c r="AG3" s="480"/>
      <c r="AH3" s="480"/>
      <c r="AI3" s="452"/>
      <c r="AJ3" s="179"/>
      <c r="AK3" s="481" t="s">
        <v>80</v>
      </c>
      <c r="AL3" s="482"/>
      <c r="AM3" s="478" t="s">
        <v>90</v>
      </c>
      <c r="AN3" s="475" t="s">
        <v>91</v>
      </c>
      <c r="AO3" s="486" t="s">
        <v>92</v>
      </c>
      <c r="AQ3" s="493" t="s">
        <v>93</v>
      </c>
      <c r="AR3" s="494"/>
      <c r="AT3" s="101"/>
    </row>
    <row r="4" spans="1:46" ht="15" customHeight="1" x14ac:dyDescent="0.2">
      <c r="A4" s="101"/>
      <c r="B4" s="253"/>
      <c r="C4" s="447"/>
      <c r="D4" s="450" t="str">
        <f>IF(Settings!P4="","",Settings!P4)</f>
        <v>GEDC1005</v>
      </c>
      <c r="E4" s="450"/>
      <c r="F4" s="450"/>
      <c r="G4" s="26">
        <v>22</v>
      </c>
      <c r="H4" s="26">
        <v>23</v>
      </c>
      <c r="I4" s="26">
        <v>30</v>
      </c>
      <c r="J4" s="26"/>
      <c r="K4" s="26"/>
      <c r="L4" s="26">
        <v>5</v>
      </c>
      <c r="M4" s="26">
        <v>6</v>
      </c>
      <c r="N4" s="26">
        <v>12</v>
      </c>
      <c r="O4" s="26">
        <v>13</v>
      </c>
      <c r="P4" s="26"/>
      <c r="Q4" s="26"/>
      <c r="R4" s="26"/>
      <c r="S4" s="26"/>
      <c r="T4" s="26"/>
      <c r="U4" s="26"/>
      <c r="V4" s="454" t="s">
        <v>94</v>
      </c>
      <c r="W4" s="179"/>
      <c r="X4" s="492" t="s">
        <v>89</v>
      </c>
      <c r="Y4" s="471"/>
      <c r="Z4" s="179"/>
      <c r="AA4" s="455" t="s">
        <v>68</v>
      </c>
      <c r="AB4" s="456"/>
      <c r="AC4" s="456" t="s">
        <v>70</v>
      </c>
      <c r="AD4" s="456"/>
      <c r="AE4" s="456" t="s">
        <v>72</v>
      </c>
      <c r="AF4" s="456"/>
      <c r="AG4" s="456" t="s">
        <v>74</v>
      </c>
      <c r="AH4" s="456"/>
      <c r="AI4" s="459">
        <f>Input!AP4</f>
        <v>0.2</v>
      </c>
      <c r="AJ4" s="179"/>
      <c r="AK4" s="491">
        <f>Settings!Q39</f>
        <v>0</v>
      </c>
      <c r="AL4" s="477">
        <f>Input!AR4</f>
        <v>0.5</v>
      </c>
      <c r="AM4" s="479"/>
      <c r="AN4" s="476"/>
      <c r="AO4" s="487"/>
      <c r="AQ4" s="254" t="s">
        <v>90</v>
      </c>
      <c r="AR4" s="255" t="s">
        <v>95</v>
      </c>
      <c r="AT4" s="101"/>
    </row>
    <row r="5" spans="1:46" ht="15" customHeight="1" x14ac:dyDescent="0.2">
      <c r="A5" s="101"/>
      <c r="B5" s="253"/>
      <c r="C5" s="447"/>
      <c r="D5" s="450"/>
      <c r="E5" s="450"/>
      <c r="F5" s="450"/>
      <c r="G5" s="449" t="s">
        <v>96</v>
      </c>
      <c r="H5" s="449" t="s">
        <v>97</v>
      </c>
      <c r="I5" s="449" t="s">
        <v>97</v>
      </c>
      <c r="J5" s="449"/>
      <c r="K5" s="449"/>
      <c r="L5" s="449" t="s">
        <v>96</v>
      </c>
      <c r="M5" s="449" t="s">
        <v>97</v>
      </c>
      <c r="N5" s="449" t="s">
        <v>96</v>
      </c>
      <c r="O5" s="449" t="s">
        <v>97</v>
      </c>
      <c r="P5" s="449"/>
      <c r="Q5" s="449"/>
      <c r="R5" s="449"/>
      <c r="S5" s="449"/>
      <c r="T5" s="449"/>
      <c r="U5" s="449"/>
      <c r="V5" s="454"/>
      <c r="W5" s="179"/>
      <c r="X5" s="464">
        <f>Input!AK7</f>
        <v>0</v>
      </c>
      <c r="Y5" s="474">
        <f>Input!AK4</f>
        <v>0.3</v>
      </c>
      <c r="Z5" s="179"/>
      <c r="AA5" s="464" t="str">
        <f>IF(Input!AL6&lt;&gt;"",Input!AL6,"")</f>
        <v/>
      </c>
      <c r="AB5" s="463"/>
      <c r="AC5" s="463" t="str">
        <f>IF(Input!AM6&lt;&gt;"",Input!AM6,"")</f>
        <v/>
      </c>
      <c r="AD5" s="463"/>
      <c r="AE5" s="463" t="str">
        <f>IF(Input!AN6&lt;&gt;"",Input!AN6,"")</f>
        <v/>
      </c>
      <c r="AF5" s="463"/>
      <c r="AG5" s="463" t="str">
        <f>IF(Input!AO6&lt;&gt;"",Input!AO6,"")</f>
        <v/>
      </c>
      <c r="AH5" s="463"/>
      <c r="AI5" s="459"/>
      <c r="AJ5" s="179"/>
      <c r="AK5" s="491"/>
      <c r="AL5" s="477"/>
      <c r="AM5" s="479"/>
      <c r="AN5" s="476"/>
      <c r="AO5" s="487"/>
      <c r="AQ5" s="190">
        <v>1</v>
      </c>
      <c r="AR5" s="191">
        <f t="shared" ref="AR5:AR16" si="0">COUNTIF($AN$7:$AN$56,AQ5)</f>
        <v>0</v>
      </c>
      <c r="AT5" s="101"/>
    </row>
    <row r="6" spans="1:46" s="103" customFormat="1" ht="15" customHeight="1" x14ac:dyDescent="0.2">
      <c r="A6" s="106"/>
      <c r="B6" s="256"/>
      <c r="C6" s="447"/>
      <c r="D6" s="213" t="s">
        <v>84</v>
      </c>
      <c r="E6" s="214"/>
      <c r="F6" s="215" t="s">
        <v>85</v>
      </c>
      <c r="G6" s="449"/>
      <c r="H6" s="449"/>
      <c r="I6" s="449"/>
      <c r="J6" s="449"/>
      <c r="K6" s="449"/>
      <c r="L6" s="449"/>
      <c r="M6" s="449"/>
      <c r="N6" s="449"/>
      <c r="O6" s="449"/>
      <c r="P6" s="449"/>
      <c r="Q6" s="449"/>
      <c r="R6" s="449"/>
      <c r="S6" s="449"/>
      <c r="T6" s="449"/>
      <c r="U6" s="449"/>
      <c r="V6" s="454"/>
      <c r="W6" s="179"/>
      <c r="X6" s="464"/>
      <c r="Y6" s="474"/>
      <c r="Z6" s="179"/>
      <c r="AA6" s="457" t="str">
        <f>IF(Input!AL7&lt;&gt;"",Input!AL7,"")</f>
        <v/>
      </c>
      <c r="AB6" s="458"/>
      <c r="AC6" s="458" t="str">
        <f>IF(Input!AM7&lt;&gt;"",Input!AM7,"")</f>
        <v/>
      </c>
      <c r="AD6" s="458"/>
      <c r="AE6" s="458" t="str">
        <f>IF(Input!AN7&lt;&gt;"",Input!AN7,"")</f>
        <v/>
      </c>
      <c r="AF6" s="458"/>
      <c r="AG6" s="458" t="str">
        <f>IF(Input!AO7&lt;&gt;"",Input!AO7,"")</f>
        <v/>
      </c>
      <c r="AH6" s="458"/>
      <c r="AI6" s="216" t="s">
        <v>27</v>
      </c>
      <c r="AJ6" s="179"/>
      <c r="AK6" s="217" t="str">
        <f>IF(Settings!P39&lt;&gt;"",Settings!P39,"")</f>
        <v/>
      </c>
      <c r="AL6" s="218" t="s">
        <v>27</v>
      </c>
      <c r="AM6" s="479"/>
      <c r="AN6" s="476"/>
      <c r="AO6" s="487"/>
      <c r="AQ6" s="190">
        <v>1.25</v>
      </c>
      <c r="AR6" s="191">
        <f t="shared" si="0"/>
        <v>0</v>
      </c>
      <c r="AT6" s="106"/>
    </row>
    <row r="7" spans="1:46" ht="15" customHeight="1" x14ac:dyDescent="0.2">
      <c r="A7" s="101"/>
      <c r="B7" s="253"/>
      <c r="C7" s="206">
        <v>1</v>
      </c>
      <c r="D7" s="215" t="str">
        <f>IF(Input!D8&lt;&gt;"",IF(F7&lt;&gt;"",Input!D8,""),"")</f>
        <v>02000500651</v>
      </c>
      <c r="E7" s="321"/>
      <c r="F7" s="322" t="str">
        <f>(IF(Input!F8&lt;&gt;"",Input!F8,""))</f>
        <v>ADAO,ANGELICA MAE BAAL</v>
      </c>
      <c r="G7" s="18"/>
      <c r="H7" s="18"/>
      <c r="I7" s="18">
        <v>1.5</v>
      </c>
      <c r="J7" s="18"/>
      <c r="K7" s="18"/>
      <c r="L7" s="18">
        <v>1.5</v>
      </c>
      <c r="M7" s="18"/>
      <c r="N7" s="18"/>
      <c r="O7" s="18">
        <v>1.5</v>
      </c>
      <c r="P7" s="18"/>
      <c r="Q7" s="18"/>
      <c r="R7" s="18"/>
      <c r="S7" s="18"/>
      <c r="T7" s="18"/>
      <c r="U7" s="18"/>
      <c r="V7" s="21"/>
      <c r="W7" s="177"/>
      <c r="X7" s="178" t="str">
        <f>Input!AK8</f>
        <v/>
      </c>
      <c r="Y7" s="329">
        <f>IF(F7="", "", IF(X7="Error", "Error", IF($X$5=0, 0, IFERROR(((IF(X7="","",X7)/$X$5)*100)*$Y$5,0))))</f>
        <v>0</v>
      </c>
      <c r="Z7" s="179"/>
      <c r="AA7" s="180" t="str">
        <f>IF(F7&lt;&gt;"",IF(Input!AL8&lt;&gt;"",Input!AL8,""),"")</f>
        <v/>
      </c>
      <c r="AB7" s="181" t="str">
        <f>IFERROR(IF($AA$5="","",IF(F7&lt;&gt;"",(Input!AL8/Input!$AL$6)*100,"")),"NA")</f>
        <v/>
      </c>
      <c r="AC7" s="182" t="str">
        <f>IF(F7&lt;&gt;"",IF(Input!AM8&lt;&gt;"",Input!AM8,""),"")</f>
        <v/>
      </c>
      <c r="AD7" s="181" t="str">
        <f>IFERROR(IF($AC$5="","",IF(F7&lt;&gt;"",(Input!AM8/Input!$AM$6)*100,"")),"NA")</f>
        <v/>
      </c>
      <c r="AE7" s="182" t="str">
        <f>IF(F7&lt;&gt;"",IF(Input!AN8&lt;&gt;"",Input!AN8,""),"")</f>
        <v/>
      </c>
      <c r="AF7" s="181" t="str">
        <f>IFERROR(IF($AE$5="","",IF(F7&lt;&gt;"",(Input!AN8/Input!$AN$6)*100,"")),"NA")</f>
        <v/>
      </c>
      <c r="AG7" s="183" t="str">
        <f>IF(F7&lt;&gt;"",IF(Input!AO8&lt;&gt;"",Input!AO8,""),"")</f>
        <v/>
      </c>
      <c r="AH7" s="181" t="str">
        <f>IFERROR(IF($AG$5="","",IF(F7&lt;&gt;"",(Input!AO8/Input!$AO$6)*100,"")),"NA")</f>
        <v/>
      </c>
      <c r="AI7" s="327">
        <f>IF(Input!AP8="Error","Error",IF(F7="","",IF($AA$5="",0,IF(F7&lt;&gt;"",IFERROR(AVERAGE(AB7,AD7,AF7,AH7)*$AI$4,0),""))))</f>
        <v>0</v>
      </c>
      <c r="AJ7" s="179"/>
      <c r="AK7" s="184" t="str">
        <f>IF(Input!AQ8="","",IF(F7&lt;&gt;"",Input!AQ8,""))</f>
        <v/>
      </c>
      <c r="AL7" s="185" t="str">
        <f>IF(F7="", "",IF(Input!AR8="Error", "Error",IF(ISNUMBER(Input!AR8), Input!AR8*$AL$4,"")))</f>
        <v/>
      </c>
      <c r="AM7" s="332" t="str">
        <f>IF(V7="D","Drp",
IF(F7&lt;&gt;"",
IF(OR(Y7="Error",AI7="Error",AL7="Error"),"Error",
IF(Input!AQ8="","-",ROUND(Y7+AI7+AL7,2))),""))</f>
        <v>-</v>
      </c>
      <c r="AN7" s="187" t="str">
        <f>IF(F7&lt;&gt;"",VLOOKUP(AM7,TRANSMUTATION!$A$2:$B$14,2),"")</f>
        <v>INC</v>
      </c>
      <c r="AO7" s="244" t="str">
        <f t="shared" ref="AO7:AO38" si="1">IF(AN7="Inc","",IF(F7&lt;&gt;"",IF(OR(AN7="Drp",AN7="-"),"",RANK(AM7,$AM$7:$AM$56)),""))</f>
        <v/>
      </c>
      <c r="AQ7" s="190">
        <v>1.5</v>
      </c>
      <c r="AR7" s="191">
        <f t="shared" si="0"/>
        <v>0</v>
      </c>
      <c r="AT7" s="101"/>
    </row>
    <row r="8" spans="1:46" ht="15" customHeight="1" x14ac:dyDescent="0.2">
      <c r="A8" s="101"/>
      <c r="B8" s="253"/>
      <c r="C8" s="206">
        <v>2</v>
      </c>
      <c r="D8" s="215" t="str">
        <f>IF(Input!D9&lt;&gt;"",IF(F8&lt;&gt;"",Input!D9,""),"")</f>
        <v>02000508012</v>
      </c>
      <c r="E8" s="321"/>
      <c r="F8" s="322" t="str">
        <f>(IF(Input!F9&lt;&gt;"",Input!F9,""))</f>
        <v>AMELANO,EUNICE MAE LUMBRE</v>
      </c>
      <c r="G8" s="18"/>
      <c r="H8" s="18"/>
      <c r="I8" s="18"/>
      <c r="J8" s="18"/>
      <c r="K8" s="18"/>
      <c r="L8" s="18"/>
      <c r="M8" s="18"/>
      <c r="N8" s="18"/>
      <c r="O8" s="18"/>
      <c r="P8" s="18"/>
      <c r="Q8" s="18"/>
      <c r="R8" s="18"/>
      <c r="S8" s="18"/>
      <c r="T8" s="18"/>
      <c r="U8" s="18"/>
      <c r="V8" s="21"/>
      <c r="W8" s="177"/>
      <c r="X8" s="178" t="str">
        <f>Input!AK9</f>
        <v/>
      </c>
      <c r="Y8" s="329">
        <f t="shared" ref="Y8:Y56" si="2">IF(F8="", "", IF(X8="Error", "Error", IF($X$5=0, 0, IFERROR(((IF(X8="","",X8)/$X$5)*100)*$Y$5,0))))</f>
        <v>0</v>
      </c>
      <c r="Z8" s="179"/>
      <c r="AA8" s="180" t="str">
        <f>IF(F8&lt;&gt;"",IF(Input!AL9&lt;&gt;"",Input!AL9,""),"")</f>
        <v/>
      </c>
      <c r="AB8" s="181" t="str">
        <f>IFERROR(IF($AA$5="","",IF(F8&lt;&gt;"",(Input!AL9/Input!$AL$6)*100,"")),"NA")</f>
        <v/>
      </c>
      <c r="AC8" s="182" t="str">
        <f>IF(F8&lt;&gt;"",IF(Input!AM9&lt;&gt;"",Input!AM9,""),"")</f>
        <v/>
      </c>
      <c r="AD8" s="181" t="str">
        <f>IFERROR(IF($AC$5="","",IF(F8&lt;&gt;"",(Input!AM9/Input!$AM$6)*100,"")),"NA")</f>
        <v/>
      </c>
      <c r="AE8" s="182" t="str">
        <f>IF(F8&lt;&gt;"",IF(Input!AN9&lt;&gt;"",Input!AN9,""),"")</f>
        <v/>
      </c>
      <c r="AF8" s="181" t="str">
        <f>IFERROR(IF($AE$5="","",IF(F8&lt;&gt;"",(Input!AN9/Input!$AN$6)*100,"")),"NA")</f>
        <v/>
      </c>
      <c r="AG8" s="183" t="str">
        <f>IF(F8&lt;&gt;"",IF(Input!AO9&lt;&gt;"",Input!AO9,""),"")</f>
        <v/>
      </c>
      <c r="AH8" s="181" t="str">
        <f>IFERROR(IF($AG$5="","",IF(F8&lt;&gt;"",(Input!AO9/Input!$AO$6)*100,"")),"NA")</f>
        <v/>
      </c>
      <c r="AI8" s="327">
        <f>IF(Input!AP9="Error","Error",IF(F8="","",IF($AA$5="",0,IF(F8&lt;&gt;"",IFERROR(AVERAGE(AB8,AD8,AF8,AH8)*$AI$4,0),""))))</f>
        <v>0</v>
      </c>
      <c r="AJ8" s="179"/>
      <c r="AK8" s="184" t="str">
        <f>IF(Input!AQ9="","",IF(F8&lt;&gt;"",Input!AQ9,""))</f>
        <v/>
      </c>
      <c r="AL8" s="185" t="str">
        <f>IF(F8="", "",IF(Input!AR9="Error", "Error",IF(ISNUMBER(Input!AR9), Input!AR9*$AL$4,"")))</f>
        <v/>
      </c>
      <c r="AM8" s="332" t="str">
        <f>IF(V8="D","Drp",
IF(F8&lt;&gt;"",
IF(OR(Y8="Error",AI8="Error",AL8="Error"),"Error",
IF(Input!AQ9="","-",ROUND(Y8+AI8+AL8,2))),""))</f>
        <v>-</v>
      </c>
      <c r="AN8" s="187" t="str">
        <f>IF(F8&lt;&gt;"",VLOOKUP(AM8,TRANSMUTATION!$A$2:$B$14,2),"")</f>
        <v>INC</v>
      </c>
      <c r="AO8" s="244" t="str">
        <f t="shared" si="1"/>
        <v/>
      </c>
      <c r="AQ8" s="190">
        <v>1.75</v>
      </c>
      <c r="AR8" s="191">
        <f t="shared" si="0"/>
        <v>0</v>
      </c>
      <c r="AT8" s="101"/>
    </row>
    <row r="9" spans="1:46" ht="15" customHeight="1" x14ac:dyDescent="0.2">
      <c r="A9" s="101"/>
      <c r="B9" s="253"/>
      <c r="C9" s="206">
        <v>3</v>
      </c>
      <c r="D9" s="215" t="str">
        <f>IF(Input!D10&lt;&gt;"",IF(F9&lt;&gt;"",Input!D10,""),"")</f>
        <v>02000510545</v>
      </c>
      <c r="E9" s="321"/>
      <c r="F9" s="322" t="str">
        <f>(IF(Input!F10&lt;&gt;"",Input!F10,""))</f>
        <v>ANDAYA,RICO BRON</v>
      </c>
      <c r="G9" s="18"/>
      <c r="H9" s="18"/>
      <c r="I9" s="18"/>
      <c r="J9" s="18"/>
      <c r="K9" s="18"/>
      <c r="L9" s="18"/>
      <c r="M9" s="18"/>
      <c r="N9" s="18"/>
      <c r="O9" s="18"/>
      <c r="P9" s="18"/>
      <c r="Q9" s="18"/>
      <c r="R9" s="18"/>
      <c r="S9" s="18"/>
      <c r="T9" s="18"/>
      <c r="U9" s="18"/>
      <c r="V9" s="21"/>
      <c r="W9" s="177"/>
      <c r="X9" s="178" t="str">
        <f>Input!AK10</f>
        <v/>
      </c>
      <c r="Y9" s="329">
        <f t="shared" si="2"/>
        <v>0</v>
      </c>
      <c r="Z9" s="179"/>
      <c r="AA9" s="180" t="str">
        <f>IF(F9&lt;&gt;"",IF(Input!AL10&lt;&gt;"",Input!AL10,""),"")</f>
        <v/>
      </c>
      <c r="AB9" s="181" t="str">
        <f>IFERROR(IF($AA$5="","",IF(F9&lt;&gt;"",(Input!AL10/Input!$AL$6)*100,"")),"NA")</f>
        <v/>
      </c>
      <c r="AC9" s="182" t="str">
        <f>IF(F9&lt;&gt;"",IF(Input!AM10&lt;&gt;"",Input!AM10,""),"")</f>
        <v/>
      </c>
      <c r="AD9" s="181" t="str">
        <f>IFERROR(IF($AC$5="","",IF(F9&lt;&gt;"",(Input!AM10/Input!$AM$6)*100,"")),"NA")</f>
        <v/>
      </c>
      <c r="AE9" s="182" t="str">
        <f>IF(F9&lt;&gt;"",IF(Input!AN10&lt;&gt;"",Input!AN10,""),"")</f>
        <v/>
      </c>
      <c r="AF9" s="181" t="str">
        <f>IFERROR(IF($AE$5="","",IF(F9&lt;&gt;"",(Input!AN10/Input!$AN$6)*100,"")),"NA")</f>
        <v/>
      </c>
      <c r="AG9" s="183" t="str">
        <f>IF(F9&lt;&gt;"",IF(Input!AO10&lt;&gt;"",Input!AO10,""),"")</f>
        <v/>
      </c>
      <c r="AH9" s="181" t="str">
        <f>IFERROR(IF($AG$5="","",IF(F9&lt;&gt;"",(Input!AO10/Input!$AO$6)*100,"")),"NA")</f>
        <v/>
      </c>
      <c r="AI9" s="327">
        <f>IF(Input!AP10="Error","Error",IF(F9="","",IF($AA$5="",0,IF(F9&lt;&gt;"",IFERROR(AVERAGE(AB9,AD9,AF9,AH9)*$AI$4,0),""))))</f>
        <v>0</v>
      </c>
      <c r="AJ9" s="179"/>
      <c r="AK9" s="184" t="str">
        <f>IF(Input!AQ10="","",IF(F9&lt;&gt;"",Input!AQ10,""))</f>
        <v/>
      </c>
      <c r="AL9" s="185" t="str">
        <f>IF(F9="", "",IF(Input!AR10="Error", "Error",IF(ISNUMBER(Input!AR10), Input!AR10*$AL$4,"")))</f>
        <v/>
      </c>
      <c r="AM9" s="332" t="str">
        <f>IF(V9="D","Drp",
IF(F9&lt;&gt;"",
IF(OR(Y9="Error",AI9="Error",AL9="Error"),"Error",
IF(Input!AQ10="","-",ROUND(Y9+AI9+AL9,2))),""))</f>
        <v>-</v>
      </c>
      <c r="AN9" s="187" t="str">
        <f>IF(F9&lt;&gt;"",VLOOKUP(AM9,TRANSMUTATION!$A$2:$B$14,2),"")</f>
        <v>INC</v>
      </c>
      <c r="AO9" s="244" t="str">
        <f t="shared" si="1"/>
        <v/>
      </c>
      <c r="AQ9" s="190">
        <v>2</v>
      </c>
      <c r="AR9" s="191">
        <f t="shared" si="0"/>
        <v>0</v>
      </c>
      <c r="AT9" s="101"/>
    </row>
    <row r="10" spans="1:46" ht="15" customHeight="1" x14ac:dyDescent="0.2">
      <c r="A10" s="101"/>
      <c r="B10" s="253"/>
      <c r="C10" s="206">
        <v>4</v>
      </c>
      <c r="D10" s="215" t="str">
        <f>IF(Input!D11&lt;&gt;"",IF(F10&lt;&gt;"",Input!D11,""),"")</f>
        <v>02000500688</v>
      </c>
      <c r="E10" s="321"/>
      <c r="F10" s="322" t="str">
        <f>(IF(Input!F11&lt;&gt;"",Input!F11,""))</f>
        <v>AREJOLA,JESSICA SELPO</v>
      </c>
      <c r="G10" s="18"/>
      <c r="H10" s="18"/>
      <c r="I10" s="18"/>
      <c r="J10" s="18"/>
      <c r="K10" s="18"/>
      <c r="L10" s="18"/>
      <c r="M10" s="18"/>
      <c r="N10" s="18"/>
      <c r="O10" s="18"/>
      <c r="P10" s="18"/>
      <c r="Q10" s="18"/>
      <c r="R10" s="18"/>
      <c r="S10" s="18"/>
      <c r="T10" s="18"/>
      <c r="U10" s="18"/>
      <c r="V10" s="21"/>
      <c r="W10" s="177"/>
      <c r="X10" s="178" t="str">
        <f>Input!AK11</f>
        <v/>
      </c>
      <c r="Y10" s="329">
        <f t="shared" si="2"/>
        <v>0</v>
      </c>
      <c r="Z10" s="179"/>
      <c r="AA10" s="180" t="str">
        <f>IF(F10&lt;&gt;"",IF(Input!AL11&lt;&gt;"",Input!AL11,""),"")</f>
        <v/>
      </c>
      <c r="AB10" s="181" t="str">
        <f>IFERROR(IF($AA$5="","",IF(F10&lt;&gt;"",(Input!AL11/Input!$AL$6)*100,"")),"NA")</f>
        <v/>
      </c>
      <c r="AC10" s="182" t="str">
        <f>IF(F10&lt;&gt;"",IF(Input!AM11&lt;&gt;"",Input!AM11,""),"")</f>
        <v/>
      </c>
      <c r="AD10" s="181" t="str">
        <f>IFERROR(IF($AC$5="","",IF(F10&lt;&gt;"",(Input!AM11/Input!$AM$6)*100,"")),"NA")</f>
        <v/>
      </c>
      <c r="AE10" s="182" t="str">
        <f>IF(F10&lt;&gt;"",IF(Input!AN11&lt;&gt;"",Input!AN11,""),"")</f>
        <v/>
      </c>
      <c r="AF10" s="181" t="str">
        <f>IFERROR(IF($AE$5="","",IF(F10&lt;&gt;"",(Input!AN11/Input!$AN$6)*100,"")),"NA")</f>
        <v/>
      </c>
      <c r="AG10" s="183" t="str">
        <f>IF(F10&lt;&gt;"",IF(Input!AO11&lt;&gt;"",Input!AO11,""),"")</f>
        <v/>
      </c>
      <c r="AH10" s="181" t="str">
        <f>IFERROR(IF($AG$5="","",IF(F10&lt;&gt;"",(Input!AO11/Input!$AO$6)*100,"")),"NA")</f>
        <v/>
      </c>
      <c r="AI10" s="327">
        <f>IF(Input!AP11="Error","Error",IF(F10="","",IF($AA$5="",0,IF(F10&lt;&gt;"",IFERROR(AVERAGE(AB10,AD10,AF10,AH10)*$AI$4,0),""))))</f>
        <v>0</v>
      </c>
      <c r="AJ10" s="179"/>
      <c r="AK10" s="184" t="str">
        <f>IF(Input!AQ11="","",IF(F10&lt;&gt;"",Input!AQ11,""))</f>
        <v/>
      </c>
      <c r="AL10" s="185" t="str">
        <f>IF(F10="", "",IF(Input!AR11="Error", "Error",IF(ISNUMBER(Input!AR11), Input!AR11*$AL$4,"")))</f>
        <v/>
      </c>
      <c r="AM10" s="332" t="str">
        <f>IF(V10="D","Drp",
IF(F10&lt;&gt;"",
IF(OR(Y10="Error",AI10="Error",AL10="Error"),"Error",
IF(Input!AQ11="","-",ROUND(Y10+AI10+AL10,2))),""))</f>
        <v>-</v>
      </c>
      <c r="AN10" s="187" t="str">
        <f>IF(F10&lt;&gt;"",VLOOKUP(AM10,TRANSMUTATION!$A$2:$B$14,2),"")</f>
        <v>INC</v>
      </c>
      <c r="AO10" s="244" t="str">
        <f t="shared" si="1"/>
        <v/>
      </c>
      <c r="AQ10" s="190">
        <v>2.25</v>
      </c>
      <c r="AR10" s="191">
        <f t="shared" si="0"/>
        <v>0</v>
      </c>
      <c r="AT10" s="101"/>
    </row>
    <row r="11" spans="1:46" ht="15" customHeight="1" x14ac:dyDescent="0.2">
      <c r="A11" s="101"/>
      <c r="B11" s="253"/>
      <c r="C11" s="206">
        <v>5</v>
      </c>
      <c r="D11" s="215" t="str">
        <f>IF(Input!D12&lt;&gt;"",IF(F11&lt;&gt;"",Input!D12,""),"")</f>
        <v>02000491309</v>
      </c>
      <c r="E11" s="321"/>
      <c r="F11" s="322" t="str">
        <f>(IF(Input!F12&lt;&gt;"",Input!F12,""))</f>
        <v>BAGAMASBAD,KYLA ANGELICA</v>
      </c>
      <c r="G11" s="18"/>
      <c r="H11" s="18"/>
      <c r="I11" s="18"/>
      <c r="J11" s="18"/>
      <c r="K11" s="18"/>
      <c r="L11" s="18"/>
      <c r="M11" s="18"/>
      <c r="N11" s="18"/>
      <c r="O11" s="18"/>
      <c r="P11" s="18"/>
      <c r="Q11" s="18"/>
      <c r="R11" s="18"/>
      <c r="S11" s="18"/>
      <c r="T11" s="18"/>
      <c r="U11" s="18"/>
      <c r="V11" s="21"/>
      <c r="W11" s="177"/>
      <c r="X11" s="178" t="str">
        <f>Input!AK12</f>
        <v/>
      </c>
      <c r="Y11" s="329">
        <f t="shared" si="2"/>
        <v>0</v>
      </c>
      <c r="Z11" s="179"/>
      <c r="AA11" s="180" t="str">
        <f>IF(F11&lt;&gt;"",IF(Input!AL12&lt;&gt;"",Input!AL12,""),"")</f>
        <v/>
      </c>
      <c r="AB11" s="181" t="str">
        <f>IFERROR(IF($AA$5="","",IF(F11&lt;&gt;"",(Input!AL12/Input!$AL$6)*100,"")),"NA")</f>
        <v/>
      </c>
      <c r="AC11" s="182" t="str">
        <f>IF(F11&lt;&gt;"",IF(Input!AM12&lt;&gt;"",Input!AM12,""),"")</f>
        <v/>
      </c>
      <c r="AD11" s="181" t="str">
        <f>IFERROR(IF($AC$5="","",IF(F11&lt;&gt;"",(Input!AM12/Input!$AM$6)*100,"")),"NA")</f>
        <v/>
      </c>
      <c r="AE11" s="182" t="str">
        <f>IF(F11&lt;&gt;"",IF(Input!AN12&lt;&gt;"",Input!AN12,""),"")</f>
        <v/>
      </c>
      <c r="AF11" s="181" t="str">
        <f>IFERROR(IF($AE$5="","",IF(F11&lt;&gt;"",(Input!AN12/Input!$AN$6)*100,"")),"NA")</f>
        <v/>
      </c>
      <c r="AG11" s="183" t="str">
        <f>IF(F11&lt;&gt;"",IF(Input!AO12&lt;&gt;"",Input!AO12,""),"")</f>
        <v/>
      </c>
      <c r="AH11" s="181" t="str">
        <f>IFERROR(IF($AG$5="","",IF(F11&lt;&gt;"",(Input!AO12/Input!$AO$6)*100,"")),"NA")</f>
        <v/>
      </c>
      <c r="AI11" s="327">
        <f>IF(Input!AP12="Error","Error",IF(F11="","",IF($AA$5="",0,IF(F11&lt;&gt;"",IFERROR(AVERAGE(AB11,AD11,AF11,AH11)*$AI$4,0),""))))</f>
        <v>0</v>
      </c>
      <c r="AJ11" s="179"/>
      <c r="AK11" s="184" t="str">
        <f>IF(Input!AQ12="","",IF(F11&lt;&gt;"",Input!AQ12,""))</f>
        <v/>
      </c>
      <c r="AL11" s="185" t="str">
        <f>IF(F11="", "",IF(Input!AR12="Error", "Error",IF(ISNUMBER(Input!AR12), Input!AR12*$AL$4,"")))</f>
        <v/>
      </c>
      <c r="AM11" s="332" t="str">
        <f>IF(V11="D","Drp",
IF(F11&lt;&gt;"",
IF(OR(Y11="Error",AI11="Error",AL11="Error"),"Error",
IF(Input!AQ12="","-",ROUND(Y11+AI11+AL11,2))),""))</f>
        <v>-</v>
      </c>
      <c r="AN11" s="187" t="str">
        <f>IF(F11&lt;&gt;"",VLOOKUP(AM11,TRANSMUTATION!$A$2:$B$14,2),"")</f>
        <v>INC</v>
      </c>
      <c r="AO11" s="244" t="str">
        <f t="shared" si="1"/>
        <v/>
      </c>
      <c r="AQ11" s="190">
        <v>2.5</v>
      </c>
      <c r="AR11" s="191">
        <f t="shared" si="0"/>
        <v>0</v>
      </c>
      <c r="AT11" s="101"/>
    </row>
    <row r="12" spans="1:46" ht="15" customHeight="1" x14ac:dyDescent="0.2">
      <c r="A12" s="101"/>
      <c r="B12" s="253"/>
      <c r="C12" s="206">
        <v>6</v>
      </c>
      <c r="D12" s="215" t="str">
        <f>IF(Input!D13&lt;&gt;"",IF(F12&lt;&gt;"",Input!D13,""),"")</f>
        <v>02000496750</v>
      </c>
      <c r="E12" s="321"/>
      <c r="F12" s="322" t="str">
        <f>(IF(Input!F13&lt;&gt;"",Input!F13,""))</f>
        <v>BALTE,LYZA MAE LOMA</v>
      </c>
      <c r="G12" s="18"/>
      <c r="H12" s="18"/>
      <c r="I12" s="18"/>
      <c r="J12" s="18"/>
      <c r="K12" s="18"/>
      <c r="L12" s="18"/>
      <c r="M12" s="18"/>
      <c r="N12" s="18"/>
      <c r="O12" s="18"/>
      <c r="P12" s="18"/>
      <c r="Q12" s="18"/>
      <c r="R12" s="18"/>
      <c r="S12" s="18"/>
      <c r="T12" s="18"/>
      <c r="U12" s="18"/>
      <c r="V12" s="21"/>
      <c r="W12" s="177"/>
      <c r="X12" s="178" t="str">
        <f>Input!AK13</f>
        <v/>
      </c>
      <c r="Y12" s="329">
        <f t="shared" si="2"/>
        <v>0</v>
      </c>
      <c r="Z12" s="179"/>
      <c r="AA12" s="180" t="str">
        <f>IF(F12&lt;&gt;"",IF(Input!AL13&lt;&gt;"",Input!AL13,""),"")</f>
        <v/>
      </c>
      <c r="AB12" s="181" t="str">
        <f>IFERROR(IF($AA$5="","",IF(F12&lt;&gt;"",(Input!AL13/Input!$AL$6)*100,"")),"NA")</f>
        <v/>
      </c>
      <c r="AC12" s="182" t="str">
        <f>IF(F12&lt;&gt;"",IF(Input!AM13&lt;&gt;"",Input!AM13,""),"")</f>
        <v/>
      </c>
      <c r="AD12" s="181" t="str">
        <f>IFERROR(IF($AC$5="","",IF(F12&lt;&gt;"",(Input!AM13/Input!$AM$6)*100,"")),"NA")</f>
        <v/>
      </c>
      <c r="AE12" s="182" t="str">
        <f>IF(F12&lt;&gt;"",IF(Input!AN13&lt;&gt;"",Input!AN13,""),"")</f>
        <v/>
      </c>
      <c r="AF12" s="181" t="str">
        <f>IFERROR(IF($AE$5="","",IF(F12&lt;&gt;"",(Input!AN13/Input!$AN$6)*100,"")),"NA")</f>
        <v/>
      </c>
      <c r="AG12" s="183" t="str">
        <f>IF(F12&lt;&gt;"",IF(Input!AO13&lt;&gt;"",Input!AO13,""),"")</f>
        <v/>
      </c>
      <c r="AH12" s="181" t="str">
        <f>IFERROR(IF($AG$5="","",IF(F12&lt;&gt;"",(Input!AO13/Input!$AO$6)*100,"")),"NA")</f>
        <v/>
      </c>
      <c r="AI12" s="327">
        <f>IF(Input!AP13="Error","Error",IF(F12="","",IF($AA$5="",0,IF(F12&lt;&gt;"",IFERROR(AVERAGE(AB12,AD12,AF12,AH12)*$AI$4,0),""))))</f>
        <v>0</v>
      </c>
      <c r="AJ12" s="179"/>
      <c r="AK12" s="184" t="str">
        <f>IF(Input!AQ13="","",IF(F12&lt;&gt;"",Input!AQ13,""))</f>
        <v/>
      </c>
      <c r="AL12" s="185" t="str">
        <f>IF(F12="", "",IF(Input!AR13="Error", "Error",IF(ISNUMBER(Input!AR13), Input!AR13*$AL$4,"")))</f>
        <v/>
      </c>
      <c r="AM12" s="332" t="str">
        <f>IF(V12="D","Drp",
IF(F12&lt;&gt;"",
IF(OR(Y12="Error",AI12="Error",AL12="Error"),"Error",
IF(Input!AQ13="","-",ROUND(Y12+AI12+AL12,2))),""))</f>
        <v>-</v>
      </c>
      <c r="AN12" s="187" t="str">
        <f>IF(F12&lt;&gt;"",VLOOKUP(AM12,TRANSMUTATION!$A$2:$B$14,2),"")</f>
        <v>INC</v>
      </c>
      <c r="AO12" s="244" t="str">
        <f t="shared" si="1"/>
        <v/>
      </c>
      <c r="AQ12" s="190">
        <v>2.75</v>
      </c>
      <c r="AR12" s="191">
        <f t="shared" si="0"/>
        <v>0</v>
      </c>
      <c r="AT12" s="101"/>
    </row>
    <row r="13" spans="1:46" ht="15" customHeight="1" x14ac:dyDescent="0.2">
      <c r="A13" s="101"/>
      <c r="B13" s="253"/>
      <c r="C13" s="206">
        <v>7</v>
      </c>
      <c r="D13" s="215" t="str">
        <f>IF(Input!D14&lt;&gt;"",IF(F13&lt;&gt;"",Input!D14,""),"")</f>
        <v>02000486779</v>
      </c>
      <c r="E13" s="321"/>
      <c r="F13" s="322" t="str">
        <f>(IF(Input!F14&lt;&gt;"",Input!F14,""))</f>
        <v>BUENAAGUA,AIRA ALANA AMPARADO</v>
      </c>
      <c r="G13" s="18"/>
      <c r="H13" s="18"/>
      <c r="I13" s="18"/>
      <c r="J13" s="18"/>
      <c r="K13" s="18"/>
      <c r="L13" s="18"/>
      <c r="M13" s="18"/>
      <c r="N13" s="18"/>
      <c r="O13" s="18"/>
      <c r="P13" s="18"/>
      <c r="Q13" s="18"/>
      <c r="R13" s="18"/>
      <c r="S13" s="18"/>
      <c r="T13" s="18"/>
      <c r="U13" s="18"/>
      <c r="V13" s="21"/>
      <c r="W13" s="177"/>
      <c r="X13" s="178" t="str">
        <f>Input!AK14</f>
        <v/>
      </c>
      <c r="Y13" s="329">
        <f t="shared" si="2"/>
        <v>0</v>
      </c>
      <c r="Z13" s="179"/>
      <c r="AA13" s="180" t="str">
        <f>IF(F13&lt;&gt;"",IF(Input!AL14&lt;&gt;"",Input!AL14,""),"")</f>
        <v/>
      </c>
      <c r="AB13" s="181" t="str">
        <f>IFERROR(IF($AA$5="","",IF(F13&lt;&gt;"",(Input!AL14/Input!$AL$6)*100,"")),"NA")</f>
        <v/>
      </c>
      <c r="AC13" s="182" t="str">
        <f>IF(F13&lt;&gt;"",IF(Input!AM14&lt;&gt;"",Input!AM14,""),"")</f>
        <v/>
      </c>
      <c r="AD13" s="181" t="str">
        <f>IFERROR(IF($AC$5="","",IF(F13&lt;&gt;"",(Input!AM14/Input!$AM$6)*100,"")),"NA")</f>
        <v/>
      </c>
      <c r="AE13" s="182" t="str">
        <f>IF(F13&lt;&gt;"",IF(Input!AN14&lt;&gt;"",Input!AN14,""),"")</f>
        <v/>
      </c>
      <c r="AF13" s="181" t="str">
        <f>IFERROR(IF($AE$5="","",IF(F13&lt;&gt;"",(Input!AN14/Input!$AN$6)*100,"")),"NA")</f>
        <v/>
      </c>
      <c r="AG13" s="183" t="str">
        <f>IF(F13&lt;&gt;"",IF(Input!AO14&lt;&gt;"",Input!AO14,""),"")</f>
        <v/>
      </c>
      <c r="AH13" s="181" t="str">
        <f>IFERROR(IF($AG$5="","",IF(F13&lt;&gt;"",(Input!AO14/Input!$AO$6)*100,"")),"NA")</f>
        <v/>
      </c>
      <c r="AI13" s="327">
        <f>IF(Input!AP14="Error","Error",IF(F13="","",IF($AA$5="",0,IF(F13&lt;&gt;"",IFERROR(AVERAGE(AB13,AD13,AF13,AH13)*$AI$4,0),""))))</f>
        <v>0</v>
      </c>
      <c r="AJ13" s="179"/>
      <c r="AK13" s="184" t="str">
        <f>IF(Input!AQ14="","",IF(F13&lt;&gt;"",Input!AQ14,""))</f>
        <v/>
      </c>
      <c r="AL13" s="185" t="str">
        <f>IF(F13="", "",IF(Input!AR14="Error", "Error",IF(ISNUMBER(Input!AR14), Input!AR14*$AL$4,"")))</f>
        <v/>
      </c>
      <c r="AM13" s="332" t="str">
        <f>IF(V13="D","Drp",
IF(F13&lt;&gt;"",
IF(OR(Y13="Error",AI13="Error",AL13="Error"),"Error",
IF(Input!AQ14="","-",ROUND(Y13+AI13+AL13,2))),""))</f>
        <v>-</v>
      </c>
      <c r="AN13" s="187" t="str">
        <f>IF(F13&lt;&gt;"",VLOOKUP(AM13,TRANSMUTATION!$A$2:$B$14,2),"")</f>
        <v>INC</v>
      </c>
      <c r="AO13" s="244" t="str">
        <f t="shared" si="1"/>
        <v/>
      </c>
      <c r="AQ13" s="190">
        <v>3</v>
      </c>
      <c r="AR13" s="191">
        <f t="shared" si="0"/>
        <v>0</v>
      </c>
      <c r="AT13" s="101"/>
    </row>
    <row r="14" spans="1:46" ht="15" customHeight="1" x14ac:dyDescent="0.2">
      <c r="A14" s="101"/>
      <c r="B14" s="253"/>
      <c r="C14" s="206">
        <v>8</v>
      </c>
      <c r="D14" s="215" t="str">
        <f>IF(Input!D15&lt;&gt;"",IF(F14&lt;&gt;"",Input!D15,""),"")</f>
        <v>02000483633</v>
      </c>
      <c r="E14" s="321"/>
      <c r="F14" s="322" t="str">
        <f>(IF(Input!F15&lt;&gt;"",Input!F15,""))</f>
        <v>BULAO,JANNA MAE CUSTODIO</v>
      </c>
      <c r="G14" s="18"/>
      <c r="H14" s="18"/>
      <c r="I14" s="18"/>
      <c r="J14" s="18"/>
      <c r="K14" s="18"/>
      <c r="L14" s="18"/>
      <c r="M14" s="18"/>
      <c r="N14" s="18"/>
      <c r="O14" s="18"/>
      <c r="P14" s="18"/>
      <c r="Q14" s="18"/>
      <c r="R14" s="18"/>
      <c r="S14" s="18"/>
      <c r="T14" s="18"/>
      <c r="U14" s="18"/>
      <c r="V14" s="21"/>
      <c r="W14" s="177"/>
      <c r="X14" s="178" t="str">
        <f>Input!AK15</f>
        <v/>
      </c>
      <c r="Y14" s="329">
        <f t="shared" si="2"/>
        <v>0</v>
      </c>
      <c r="Z14" s="179"/>
      <c r="AA14" s="180" t="str">
        <f>IF(F14&lt;&gt;"",IF(Input!AL15&lt;&gt;"",Input!AL15,""),"")</f>
        <v/>
      </c>
      <c r="AB14" s="181" t="str">
        <f>IFERROR(IF($AA$5="","",IF(F14&lt;&gt;"",(Input!AL15/Input!$AL$6)*100,"")),"NA")</f>
        <v/>
      </c>
      <c r="AC14" s="182" t="str">
        <f>IF(F14&lt;&gt;"",IF(Input!AM15&lt;&gt;"",Input!AM15,""),"")</f>
        <v/>
      </c>
      <c r="AD14" s="181" t="str">
        <f>IFERROR(IF($AC$5="","",IF(F14&lt;&gt;"",(Input!AM15/Input!$AM$6)*100,"")),"NA")</f>
        <v/>
      </c>
      <c r="AE14" s="182" t="str">
        <f>IF(F14&lt;&gt;"",IF(Input!AN15&lt;&gt;"",Input!AN15,""),"")</f>
        <v/>
      </c>
      <c r="AF14" s="181" t="str">
        <f>IFERROR(IF($AE$5="","",IF(F14&lt;&gt;"",(Input!AN15/Input!$AN$6)*100,"")),"NA")</f>
        <v/>
      </c>
      <c r="AG14" s="183" t="str">
        <f>IF(F14&lt;&gt;"",IF(Input!AO15&lt;&gt;"",Input!AO15,""),"")</f>
        <v/>
      </c>
      <c r="AH14" s="181" t="str">
        <f>IFERROR(IF($AG$5="","",IF(F14&lt;&gt;"",(Input!AO15/Input!$AO$6)*100,"")),"NA")</f>
        <v/>
      </c>
      <c r="AI14" s="327">
        <f>IF(Input!AP15="Error","Error",IF(F14="","",IF($AA$5="",0,IF(F14&lt;&gt;"",IFERROR(AVERAGE(AB14,AD14,AF14,AH14)*$AI$4,0),""))))</f>
        <v>0</v>
      </c>
      <c r="AJ14" s="179"/>
      <c r="AK14" s="184" t="str">
        <f>IF(Input!AQ15="","",IF(F14&lt;&gt;"",Input!AQ15,""))</f>
        <v/>
      </c>
      <c r="AL14" s="185" t="str">
        <f>IF(F14="", "",IF(Input!AR15="Error", "Error",IF(ISNUMBER(Input!AR15), Input!AR15*$AL$4,"")))</f>
        <v/>
      </c>
      <c r="AM14" s="332" t="str">
        <f>IF(V14="D","Drp",
IF(F14&lt;&gt;"",
IF(OR(Y14="Error",AI14="Error",AL14="Error"),"Error",
IF(Input!AQ15="","-",ROUND(Y14+AI14+AL14,2))),""))</f>
        <v>-</v>
      </c>
      <c r="AN14" s="187" t="str">
        <f>IF(F14&lt;&gt;"",VLOOKUP(AM14,TRANSMUTATION!$A$2:$B$14,2),"")</f>
        <v>INC</v>
      </c>
      <c r="AO14" s="244" t="str">
        <f t="shared" si="1"/>
        <v/>
      </c>
      <c r="AQ14" s="190">
        <v>5</v>
      </c>
      <c r="AR14" s="191">
        <f t="shared" si="0"/>
        <v>0</v>
      </c>
      <c r="AT14" s="101"/>
    </row>
    <row r="15" spans="1:46" ht="15" customHeight="1" x14ac:dyDescent="0.2">
      <c r="A15" s="101"/>
      <c r="B15" s="253"/>
      <c r="C15" s="206">
        <v>9</v>
      </c>
      <c r="D15" s="215" t="str">
        <f>IF(Input!D16&lt;&gt;"",IF(F15&lt;&gt;"",Input!D16,""),"")</f>
        <v>02000500732</v>
      </c>
      <c r="E15" s="321"/>
      <c r="F15" s="322" t="str">
        <f>(IF(Input!F16&lt;&gt;"",Input!F16,""))</f>
        <v>CLAUDIO,JAMES YUAN BURCE</v>
      </c>
      <c r="G15" s="18"/>
      <c r="H15" s="18"/>
      <c r="I15" s="18"/>
      <c r="J15" s="18"/>
      <c r="K15" s="18"/>
      <c r="L15" s="18"/>
      <c r="M15" s="18"/>
      <c r="N15" s="18"/>
      <c r="O15" s="18"/>
      <c r="P15" s="18"/>
      <c r="Q15" s="18"/>
      <c r="R15" s="18"/>
      <c r="S15" s="18"/>
      <c r="T15" s="18"/>
      <c r="U15" s="18"/>
      <c r="V15" s="21"/>
      <c r="W15" s="177"/>
      <c r="X15" s="178" t="str">
        <f>Input!AK16</f>
        <v/>
      </c>
      <c r="Y15" s="329">
        <f t="shared" si="2"/>
        <v>0</v>
      </c>
      <c r="Z15" s="179"/>
      <c r="AA15" s="180" t="str">
        <f>IF(F15&lt;&gt;"",IF(Input!AL16&lt;&gt;"",Input!AL16,""),"")</f>
        <v/>
      </c>
      <c r="AB15" s="181" t="str">
        <f>IFERROR(IF($AA$5="","",IF(F15&lt;&gt;"",(Input!AL16/Input!$AL$6)*100,"")),"NA")</f>
        <v/>
      </c>
      <c r="AC15" s="182" t="str">
        <f>IF(F15&lt;&gt;"",IF(Input!AM16&lt;&gt;"",Input!AM16,""),"")</f>
        <v/>
      </c>
      <c r="AD15" s="181" t="str">
        <f>IFERROR(IF($AC$5="","",IF(F15&lt;&gt;"",(Input!AM16/Input!$AM$6)*100,"")),"NA")</f>
        <v/>
      </c>
      <c r="AE15" s="182" t="str">
        <f>IF(F15&lt;&gt;"",IF(Input!AN16&lt;&gt;"",Input!AN16,""),"")</f>
        <v/>
      </c>
      <c r="AF15" s="181" t="str">
        <f>IFERROR(IF($AE$5="","",IF(F15&lt;&gt;"",(Input!AN16/Input!$AN$6)*100,"")),"NA")</f>
        <v/>
      </c>
      <c r="AG15" s="183" t="str">
        <f>IF(F15&lt;&gt;"",IF(Input!AO16&lt;&gt;"",Input!AO16,""),"")</f>
        <v/>
      </c>
      <c r="AH15" s="181" t="str">
        <f>IFERROR(IF($AG$5="","",IF(F15&lt;&gt;"",(Input!AO16/Input!$AO$6)*100,"")),"NA")</f>
        <v/>
      </c>
      <c r="AI15" s="327">
        <f>IF(Input!AP16="Error","Error",IF(F15="","",IF($AA$5="",0,IF(F15&lt;&gt;"",IFERROR(AVERAGE(AB15,AD15,AF15,AH15)*$AI$4,0),""))))</f>
        <v>0</v>
      </c>
      <c r="AJ15" s="179"/>
      <c r="AK15" s="184" t="str">
        <f>IF(Input!AQ16="","",IF(F15&lt;&gt;"",Input!AQ16,""))</f>
        <v/>
      </c>
      <c r="AL15" s="185" t="str">
        <f>IF(F15="", "",IF(Input!AR16="Error", "Error",IF(ISNUMBER(Input!AR16), Input!AR16*$AL$4,"")))</f>
        <v/>
      </c>
      <c r="AM15" s="332" t="str">
        <f>IF(V15="D","Drp",
IF(F15&lt;&gt;"",
IF(OR(Y15="Error",AI15="Error",AL15="Error"),"Error",
IF(Input!AQ16="","-",ROUND(Y15+AI15+AL15,2))),""))</f>
        <v>-</v>
      </c>
      <c r="AN15" s="187" t="str">
        <f>IF(F15&lt;&gt;"",VLOOKUP(AM15,TRANSMUTATION!$A$2:$B$14,2),"")</f>
        <v>INC</v>
      </c>
      <c r="AO15" s="244" t="str">
        <f t="shared" si="1"/>
        <v/>
      </c>
      <c r="AQ15" s="190" t="s">
        <v>98</v>
      </c>
      <c r="AR15" s="191">
        <f t="shared" si="0"/>
        <v>0</v>
      </c>
      <c r="AT15" s="101"/>
    </row>
    <row r="16" spans="1:46" ht="15" customHeight="1" x14ac:dyDescent="0.2">
      <c r="A16" s="101"/>
      <c r="B16" s="253"/>
      <c r="C16" s="206">
        <v>10</v>
      </c>
      <c r="D16" s="215" t="str">
        <f>IF(Input!D17&lt;&gt;"",IF(F16&lt;&gt;"",Input!D17,""),"")</f>
        <v>02000491156</v>
      </c>
      <c r="E16" s="321"/>
      <c r="F16" s="322" t="str">
        <f>(IF(Input!F17&lt;&gt;"",Input!F17,""))</f>
        <v>DACUBA,ANNEZA MAYE DANCIL</v>
      </c>
      <c r="G16" s="18"/>
      <c r="H16" s="18"/>
      <c r="I16" s="18"/>
      <c r="J16" s="18"/>
      <c r="K16" s="18"/>
      <c r="L16" s="18"/>
      <c r="M16" s="18"/>
      <c r="N16" s="18"/>
      <c r="O16" s="18"/>
      <c r="P16" s="18"/>
      <c r="Q16" s="18"/>
      <c r="R16" s="18"/>
      <c r="S16" s="18"/>
      <c r="T16" s="18"/>
      <c r="U16" s="18"/>
      <c r="V16" s="21"/>
      <c r="W16" s="177"/>
      <c r="X16" s="178" t="str">
        <f>Input!AK17</f>
        <v/>
      </c>
      <c r="Y16" s="329">
        <f t="shared" si="2"/>
        <v>0</v>
      </c>
      <c r="Z16" s="179"/>
      <c r="AA16" s="180" t="str">
        <f>IF(F16&lt;&gt;"",IF(Input!AL17&lt;&gt;"",Input!AL17,""),"")</f>
        <v/>
      </c>
      <c r="AB16" s="181" t="str">
        <f>IFERROR(IF($AA$5="","",IF(F16&lt;&gt;"",(Input!AL17/Input!$AL$6)*100,"")),"NA")</f>
        <v/>
      </c>
      <c r="AC16" s="182" t="str">
        <f>IF(F16&lt;&gt;"",IF(Input!AM17&lt;&gt;"",Input!AM17,""),"")</f>
        <v/>
      </c>
      <c r="AD16" s="181" t="str">
        <f>IFERROR(IF($AC$5="","",IF(F16&lt;&gt;"",(Input!AM17/Input!$AM$6)*100,"")),"NA")</f>
        <v/>
      </c>
      <c r="AE16" s="182" t="str">
        <f>IF(F16&lt;&gt;"",IF(Input!AN17&lt;&gt;"",Input!AN17,""),"")</f>
        <v/>
      </c>
      <c r="AF16" s="181" t="str">
        <f>IFERROR(IF($AE$5="","",IF(F16&lt;&gt;"",(Input!AN17/Input!$AN$6)*100,"")),"NA")</f>
        <v/>
      </c>
      <c r="AG16" s="183" t="str">
        <f>IF(F16&lt;&gt;"",IF(Input!AO17&lt;&gt;"",Input!AO17,""),"")</f>
        <v/>
      </c>
      <c r="AH16" s="181" t="str">
        <f>IFERROR(IF($AG$5="","",IF(F16&lt;&gt;"",(Input!AO17/Input!$AO$6)*100,"")),"NA")</f>
        <v/>
      </c>
      <c r="AI16" s="327">
        <f>IF(Input!AP17="Error","Error",IF(F16="","",IF($AA$5="",0,IF(F16&lt;&gt;"",IFERROR(AVERAGE(AB16,AD16,AF16,AH16)*$AI$4,0),""))))</f>
        <v>0</v>
      </c>
      <c r="AJ16" s="179"/>
      <c r="AK16" s="184" t="str">
        <f>IF(Input!AQ17="","",IF(F16&lt;&gt;"",Input!AQ17,""))</f>
        <v/>
      </c>
      <c r="AL16" s="185" t="str">
        <f>IF(F16="", "",IF(Input!AR17="Error", "Error",IF(ISNUMBER(Input!AR17), Input!AR17*$AL$4,"")))</f>
        <v/>
      </c>
      <c r="AM16" s="332" t="str">
        <f>IF(V16="D","Drp",
IF(F16&lt;&gt;"",
IF(OR(Y16="Error",AI16="Error",AL16="Error"),"Error",
IF(Input!AQ17="","-",ROUND(Y16+AI16+AL16,2))),""))</f>
        <v>-</v>
      </c>
      <c r="AN16" s="187" t="str">
        <f>IF(F16&lt;&gt;"",VLOOKUP(AM16,TRANSMUTATION!$A$2:$B$14,2),"")</f>
        <v>INC</v>
      </c>
      <c r="AO16" s="244" t="str">
        <f t="shared" si="1"/>
        <v/>
      </c>
      <c r="AQ16" s="190" t="s">
        <v>99</v>
      </c>
      <c r="AR16" s="191">
        <f t="shared" si="0"/>
        <v>25</v>
      </c>
      <c r="AT16" s="101"/>
    </row>
    <row r="17" spans="1:46" ht="15" customHeight="1" thickBot="1" x14ac:dyDescent="0.25">
      <c r="A17" s="101"/>
      <c r="B17" s="253"/>
      <c r="C17" s="206">
        <v>11</v>
      </c>
      <c r="D17" s="215" t="str">
        <f>IF(Input!D18&lt;&gt;"",IF(F17&lt;&gt;"",Input!D18,""),"")</f>
        <v>02000487748</v>
      </c>
      <c r="E17" s="321"/>
      <c r="F17" s="322" t="str">
        <f>(IF(Input!F18&lt;&gt;"",Input!F18,""))</f>
        <v>DESALISA,IVY ABANIL</v>
      </c>
      <c r="G17" s="18"/>
      <c r="H17" s="18"/>
      <c r="I17" s="18"/>
      <c r="J17" s="18"/>
      <c r="K17" s="18"/>
      <c r="L17" s="18"/>
      <c r="M17" s="18"/>
      <c r="N17" s="18"/>
      <c r="O17" s="18"/>
      <c r="P17" s="18"/>
      <c r="Q17" s="18"/>
      <c r="R17" s="18"/>
      <c r="S17" s="18"/>
      <c r="T17" s="18"/>
      <c r="U17" s="18"/>
      <c r="V17" s="21"/>
      <c r="W17" s="177"/>
      <c r="X17" s="178" t="str">
        <f>Input!AK18</f>
        <v/>
      </c>
      <c r="Y17" s="329">
        <f t="shared" si="2"/>
        <v>0</v>
      </c>
      <c r="Z17" s="179"/>
      <c r="AA17" s="180" t="str">
        <f>IF(F17&lt;&gt;"",IF(Input!AL18&lt;&gt;"",Input!AL18,""),"")</f>
        <v/>
      </c>
      <c r="AB17" s="181" t="str">
        <f>IFERROR(IF($AA$5="","",IF(F17&lt;&gt;"",(Input!AL18/Input!$AL$6)*100,"")),"NA")</f>
        <v/>
      </c>
      <c r="AC17" s="182" t="str">
        <f>IF(F17&lt;&gt;"",IF(Input!AM18&lt;&gt;"",Input!AM18,""),"")</f>
        <v/>
      </c>
      <c r="AD17" s="181" t="str">
        <f>IFERROR(IF($AC$5="","",IF(F17&lt;&gt;"",(Input!AM18/Input!$AM$6)*100,"")),"NA")</f>
        <v/>
      </c>
      <c r="AE17" s="182" t="str">
        <f>IF(F17&lt;&gt;"",IF(Input!AN18&lt;&gt;"",Input!AN18,""),"")</f>
        <v/>
      </c>
      <c r="AF17" s="181" t="str">
        <f>IFERROR(IF($AE$5="","",IF(F17&lt;&gt;"",(Input!AN18/Input!$AN$6)*100,"")),"NA")</f>
        <v/>
      </c>
      <c r="AG17" s="183" t="str">
        <f>IF(F17&lt;&gt;"",IF(Input!AO18&lt;&gt;"",Input!AO18,""),"")</f>
        <v/>
      </c>
      <c r="AH17" s="181" t="str">
        <f>IFERROR(IF($AG$5="","",IF(F17&lt;&gt;"",(Input!AO18/Input!$AO$6)*100,"")),"NA")</f>
        <v/>
      </c>
      <c r="AI17" s="327">
        <f>IF(Input!AP18="Error","Error",IF(F17="","",IF($AA$5="",0,IF(F17&lt;&gt;"",IFERROR(AVERAGE(AB17,AD17,AF17,AH17)*$AI$4,0),""))))</f>
        <v>0</v>
      </c>
      <c r="AJ17" s="179"/>
      <c r="AK17" s="184" t="str">
        <f>IF(Input!AQ18="","",IF(F17&lt;&gt;"",Input!AQ18,""))</f>
        <v/>
      </c>
      <c r="AL17" s="185" t="str">
        <f>IF(F17="", "",IF(Input!AR18="Error", "Error",IF(ISNUMBER(Input!AR18), Input!AR18*$AL$4,"")))</f>
        <v/>
      </c>
      <c r="AM17" s="332" t="str">
        <f>IF(V17="D","Drp",
IF(F17&lt;&gt;"",
IF(OR(Y17="Error",AI17="Error",AL17="Error"),"Error",
IF(Input!AQ18="","-",ROUND(Y17+AI17+AL17,2))),""))</f>
        <v>-</v>
      </c>
      <c r="AN17" s="187" t="str">
        <f>IF(F17&lt;&gt;"",VLOOKUP(AM17,TRANSMUTATION!$A$2:$B$14,2),"")</f>
        <v>INC</v>
      </c>
      <c r="AO17" s="244" t="str">
        <f t="shared" si="1"/>
        <v/>
      </c>
      <c r="AQ17" s="251" t="s">
        <v>100</v>
      </c>
      <c r="AR17" s="252">
        <f>SUM(AR5:AR16)</f>
        <v>25</v>
      </c>
      <c r="AT17" s="101"/>
    </row>
    <row r="18" spans="1:46" ht="15" customHeight="1" x14ac:dyDescent="0.2">
      <c r="A18" s="101"/>
      <c r="B18" s="253"/>
      <c r="C18" s="206">
        <v>12</v>
      </c>
      <c r="D18" s="215" t="str">
        <f>IF(Input!D19&lt;&gt;"",IF(F18&lt;&gt;"",Input!D19,""),"")</f>
        <v>02000504031</v>
      </c>
      <c r="E18" s="321"/>
      <c r="F18" s="322" t="str">
        <f>(IF(Input!F19&lt;&gt;"",Input!F19,""))</f>
        <v>DOMINGUEZ,ADJA</v>
      </c>
      <c r="G18" s="18"/>
      <c r="H18" s="18"/>
      <c r="I18" s="18"/>
      <c r="J18" s="18"/>
      <c r="K18" s="18"/>
      <c r="L18" s="18"/>
      <c r="M18" s="18"/>
      <c r="N18" s="18"/>
      <c r="O18" s="18"/>
      <c r="P18" s="18"/>
      <c r="Q18" s="18"/>
      <c r="R18" s="18"/>
      <c r="S18" s="18"/>
      <c r="T18" s="18"/>
      <c r="U18" s="18"/>
      <c r="V18" s="21"/>
      <c r="W18" s="177"/>
      <c r="X18" s="178" t="str">
        <f>Input!AK19</f>
        <v/>
      </c>
      <c r="Y18" s="329">
        <f t="shared" si="2"/>
        <v>0</v>
      </c>
      <c r="Z18" s="179"/>
      <c r="AA18" s="180" t="str">
        <f>IF(F18&lt;&gt;"",IF(Input!AL19&lt;&gt;"",Input!AL19,""),"")</f>
        <v/>
      </c>
      <c r="AB18" s="181" t="str">
        <f>IFERROR(IF($AA$5="","",IF(F18&lt;&gt;"",(Input!AL19/Input!$AL$6)*100,"")),"NA")</f>
        <v/>
      </c>
      <c r="AC18" s="182" t="str">
        <f>IF(F18&lt;&gt;"",IF(Input!AM19&lt;&gt;"",Input!AM19,""),"")</f>
        <v/>
      </c>
      <c r="AD18" s="181" t="str">
        <f>IFERROR(IF($AC$5="","",IF(F18&lt;&gt;"",(Input!AM19/Input!$AM$6)*100,"")),"NA")</f>
        <v/>
      </c>
      <c r="AE18" s="182" t="str">
        <f>IF(F18&lt;&gt;"",IF(Input!AN19&lt;&gt;"",Input!AN19,""),"")</f>
        <v/>
      </c>
      <c r="AF18" s="181" t="str">
        <f>IFERROR(IF($AE$5="","",IF(F18&lt;&gt;"",(Input!AN19/Input!$AN$6)*100,"")),"NA")</f>
        <v/>
      </c>
      <c r="AG18" s="183" t="str">
        <f>IF(F18&lt;&gt;"",IF(Input!AO19&lt;&gt;"",Input!AO19,""),"")</f>
        <v/>
      </c>
      <c r="AH18" s="181" t="str">
        <f>IFERROR(IF($AG$5="","",IF(F18&lt;&gt;"",(Input!AO19/Input!$AO$6)*100,"")),"NA")</f>
        <v/>
      </c>
      <c r="AI18" s="327">
        <f>IF(Input!AP19="Error","Error",IF(F18="","",IF($AA$5="",0,IF(F18&lt;&gt;"",IFERROR(AVERAGE(AB18,AD18,AF18,AH18)*$AI$4,0),""))))</f>
        <v>0</v>
      </c>
      <c r="AJ18" s="179"/>
      <c r="AK18" s="184" t="str">
        <f>IF(Input!AQ19="","",IF(F18&lt;&gt;"",Input!AQ19,""))</f>
        <v/>
      </c>
      <c r="AL18" s="185" t="str">
        <f>IF(F18="", "",IF(Input!AR19="Error", "Error",IF(ISNUMBER(Input!AR19), Input!AR19*$AL$4,"")))</f>
        <v/>
      </c>
      <c r="AM18" s="332" t="str">
        <f>IF(V18="D","Drp",
IF(F18&lt;&gt;"",
IF(OR(Y18="Error",AI18="Error",AL18="Error"),"Error",
IF(Input!AQ19="","-",ROUND(Y18+AI18+AL18,2))),""))</f>
        <v>-</v>
      </c>
      <c r="AN18" s="187" t="str">
        <f>IF(F18&lt;&gt;"",VLOOKUP(AM18,TRANSMUTATION!$A$2:$B$14,2),"")</f>
        <v>INC</v>
      </c>
      <c r="AO18" s="244" t="str">
        <f t="shared" si="1"/>
        <v/>
      </c>
      <c r="AT18" s="101"/>
    </row>
    <row r="19" spans="1:46" ht="15" customHeight="1" x14ac:dyDescent="0.2">
      <c r="A19" s="101"/>
      <c r="B19" s="253"/>
      <c r="C19" s="206">
        <v>13</v>
      </c>
      <c r="D19" s="215" t="str">
        <f>IF(Input!D20&lt;&gt;"",IF(F19&lt;&gt;"",Input!D20,""),"")</f>
        <v>02000504595</v>
      </c>
      <c r="E19" s="321"/>
      <c r="F19" s="322" t="str">
        <f>(IF(Input!F20&lt;&gt;"",Input!F20,""))</f>
        <v>ELEGADO,RAQUEL JILLIAN BURCER</v>
      </c>
      <c r="G19" s="18"/>
      <c r="H19" s="18"/>
      <c r="I19" s="18"/>
      <c r="J19" s="18"/>
      <c r="K19" s="18"/>
      <c r="L19" s="18"/>
      <c r="M19" s="18"/>
      <c r="N19" s="18"/>
      <c r="O19" s="18"/>
      <c r="P19" s="18"/>
      <c r="Q19" s="18"/>
      <c r="R19" s="18"/>
      <c r="S19" s="18"/>
      <c r="T19" s="18"/>
      <c r="U19" s="18"/>
      <c r="V19" s="21"/>
      <c r="W19" s="177"/>
      <c r="X19" s="178" t="str">
        <f>Input!AK20</f>
        <v/>
      </c>
      <c r="Y19" s="329">
        <f t="shared" si="2"/>
        <v>0</v>
      </c>
      <c r="Z19" s="179"/>
      <c r="AA19" s="180" t="str">
        <f>IF(F19&lt;&gt;"",IF(Input!AL20&lt;&gt;"",Input!AL20,""),"")</f>
        <v/>
      </c>
      <c r="AB19" s="181" t="str">
        <f>IFERROR(IF($AA$5="","",IF(F19&lt;&gt;"",(Input!AL20/Input!$AL$6)*100,"")),"NA")</f>
        <v/>
      </c>
      <c r="AC19" s="182" t="str">
        <f>IF(F19&lt;&gt;"",IF(Input!AM20&lt;&gt;"",Input!AM20,""),"")</f>
        <v/>
      </c>
      <c r="AD19" s="181" t="str">
        <f>IFERROR(IF($AC$5="","",IF(F19&lt;&gt;"",(Input!AM20/Input!$AM$6)*100,"")),"NA")</f>
        <v/>
      </c>
      <c r="AE19" s="182" t="str">
        <f>IF(F19&lt;&gt;"",IF(Input!AN20&lt;&gt;"",Input!AN20,""),"")</f>
        <v/>
      </c>
      <c r="AF19" s="181" t="str">
        <f>IFERROR(IF($AE$5="","",IF(F19&lt;&gt;"",(Input!AN20/Input!$AN$6)*100,"")),"NA")</f>
        <v/>
      </c>
      <c r="AG19" s="183" t="str">
        <f>IF(F19&lt;&gt;"",IF(Input!AO20&lt;&gt;"",Input!AO20,""),"")</f>
        <v/>
      </c>
      <c r="AH19" s="181" t="str">
        <f>IFERROR(IF($AG$5="","",IF(F19&lt;&gt;"",(Input!AO20/Input!$AO$6)*100,"")),"NA")</f>
        <v/>
      </c>
      <c r="AI19" s="327">
        <f>IF(Input!AP20="Error","Error",IF(F19="","",IF($AA$5="",0,IF(F19&lt;&gt;"",IFERROR(AVERAGE(AB19,AD19,AF19,AH19)*$AI$4,0),""))))</f>
        <v>0</v>
      </c>
      <c r="AJ19" s="179"/>
      <c r="AK19" s="184" t="str">
        <f>IF(Input!AQ20="","",IF(F19&lt;&gt;"",Input!AQ20,""))</f>
        <v/>
      </c>
      <c r="AL19" s="185" t="str">
        <f>IF(F19="", "",IF(Input!AR20="Error", "Error",IF(ISNUMBER(Input!AR20), Input!AR20*$AL$4,"")))</f>
        <v/>
      </c>
      <c r="AM19" s="332" t="str">
        <f>IF(V19="D","Drp",
IF(F19&lt;&gt;"",
IF(OR(Y19="Error",AI19="Error",AL19="Error"),"Error",
IF(Input!AQ20="","-",ROUND(Y19+AI19+AL19,2))),""))</f>
        <v>-</v>
      </c>
      <c r="AN19" s="187" t="str">
        <f>IF(F19&lt;&gt;"",VLOOKUP(AM19,TRANSMUTATION!$A$2:$B$14,2),"")</f>
        <v>INC</v>
      </c>
      <c r="AO19" s="244" t="str">
        <f t="shared" si="1"/>
        <v/>
      </c>
      <c r="AT19" s="101"/>
    </row>
    <row r="20" spans="1:46" ht="15" customHeight="1" x14ac:dyDescent="0.2">
      <c r="A20" s="101"/>
      <c r="B20" s="253"/>
      <c r="C20" s="206">
        <v>14</v>
      </c>
      <c r="D20" s="215" t="str">
        <f>IF(Input!D21&lt;&gt;"",IF(F20&lt;&gt;"",Input!D21,""),"")</f>
        <v>02000493811</v>
      </c>
      <c r="E20" s="321"/>
      <c r="F20" s="322" t="str">
        <f>(IF(Input!F21&lt;&gt;"",Input!F21,""))</f>
        <v>FRANCE,KRISTEL CASSANDRA BASALLOTE</v>
      </c>
      <c r="G20" s="18"/>
      <c r="H20" s="18"/>
      <c r="I20" s="18"/>
      <c r="J20" s="18"/>
      <c r="K20" s="18"/>
      <c r="L20" s="18"/>
      <c r="M20" s="18"/>
      <c r="N20" s="18"/>
      <c r="O20" s="18"/>
      <c r="P20" s="18"/>
      <c r="Q20" s="18"/>
      <c r="R20" s="18"/>
      <c r="S20" s="18"/>
      <c r="T20" s="18"/>
      <c r="U20" s="18"/>
      <c r="V20" s="21"/>
      <c r="W20" s="177"/>
      <c r="X20" s="178" t="str">
        <f>Input!AK21</f>
        <v/>
      </c>
      <c r="Y20" s="329">
        <f t="shared" si="2"/>
        <v>0</v>
      </c>
      <c r="Z20" s="179"/>
      <c r="AA20" s="180" t="str">
        <f>IF(F20&lt;&gt;"",IF(Input!AL21&lt;&gt;"",Input!AL21,""),"")</f>
        <v/>
      </c>
      <c r="AB20" s="181" t="str">
        <f>IFERROR(IF($AA$5="","",IF(F20&lt;&gt;"",(Input!AL21/Input!$AL$6)*100,"")),"NA")</f>
        <v/>
      </c>
      <c r="AC20" s="182" t="str">
        <f>IF(F20&lt;&gt;"",IF(Input!AM21&lt;&gt;"",Input!AM21,""),"")</f>
        <v/>
      </c>
      <c r="AD20" s="181" t="str">
        <f>IFERROR(IF($AC$5="","",IF(F20&lt;&gt;"",(Input!AM21/Input!$AM$6)*100,"")),"NA")</f>
        <v/>
      </c>
      <c r="AE20" s="182" t="str">
        <f>IF(F20&lt;&gt;"",IF(Input!AN21&lt;&gt;"",Input!AN21,""),"")</f>
        <v/>
      </c>
      <c r="AF20" s="181" t="str">
        <f>IFERROR(IF($AE$5="","",IF(F20&lt;&gt;"",(Input!AN21/Input!$AN$6)*100,"")),"NA")</f>
        <v/>
      </c>
      <c r="AG20" s="183" t="str">
        <f>IF(F20&lt;&gt;"",IF(Input!AO21&lt;&gt;"",Input!AO21,""),"")</f>
        <v/>
      </c>
      <c r="AH20" s="181" t="str">
        <f>IFERROR(IF($AG$5="","",IF(F20&lt;&gt;"",(Input!AO21/Input!$AO$6)*100,"")),"NA")</f>
        <v/>
      </c>
      <c r="AI20" s="327">
        <f>IF(Input!AP21="Error","Error",IF(F20="","",IF($AA$5="",0,IF(F20&lt;&gt;"",IFERROR(AVERAGE(AB20,AD20,AF20,AH20)*$AI$4,0),""))))</f>
        <v>0</v>
      </c>
      <c r="AJ20" s="179"/>
      <c r="AK20" s="184" t="str">
        <f>IF(Input!AQ21="","",IF(F20&lt;&gt;"",Input!AQ21,""))</f>
        <v/>
      </c>
      <c r="AL20" s="185" t="str">
        <f>IF(F20="", "",IF(Input!AR21="Error", "Error",IF(ISNUMBER(Input!AR21), Input!AR21*$AL$4,"")))</f>
        <v/>
      </c>
      <c r="AM20" s="332" t="str">
        <f>IF(V20="D","Drp",
IF(F20&lt;&gt;"",
IF(OR(Y20="Error",AI20="Error",AL20="Error"),"Error",
IF(Input!AQ21="","-",ROUND(Y20+AI20+AL20,2))),""))</f>
        <v>-</v>
      </c>
      <c r="AN20" s="187" t="str">
        <f>IF(F20&lt;&gt;"",VLOOKUP(AM20,TRANSMUTATION!$A$2:$B$14,2),"")</f>
        <v>INC</v>
      </c>
      <c r="AO20" s="244" t="str">
        <f t="shared" si="1"/>
        <v/>
      </c>
      <c r="AT20" s="101"/>
    </row>
    <row r="21" spans="1:46" ht="15" customHeight="1" x14ac:dyDescent="0.2">
      <c r="A21" s="101"/>
      <c r="B21" s="253"/>
      <c r="C21" s="206">
        <v>15</v>
      </c>
      <c r="D21" s="215" t="str">
        <f>IF(Input!D22&lt;&gt;"",IF(F21&lt;&gt;"",Input!D22,""),"")</f>
        <v>02000501320</v>
      </c>
      <c r="E21" s="321"/>
      <c r="F21" s="322" t="str">
        <f>(IF(Input!F22&lt;&gt;"",Input!F22,""))</f>
        <v>LAMESERIA,DIVINA RUFFA ABRAHAM</v>
      </c>
      <c r="G21" s="18"/>
      <c r="H21" s="18"/>
      <c r="I21" s="18"/>
      <c r="J21" s="18"/>
      <c r="K21" s="18"/>
      <c r="L21" s="18"/>
      <c r="M21" s="18"/>
      <c r="N21" s="18"/>
      <c r="O21" s="18"/>
      <c r="P21" s="18"/>
      <c r="Q21" s="18"/>
      <c r="R21" s="18"/>
      <c r="S21" s="18"/>
      <c r="T21" s="18"/>
      <c r="U21" s="18"/>
      <c r="V21" s="21"/>
      <c r="W21" s="177"/>
      <c r="X21" s="178" t="str">
        <f>Input!AK22</f>
        <v/>
      </c>
      <c r="Y21" s="329">
        <f t="shared" si="2"/>
        <v>0</v>
      </c>
      <c r="Z21" s="179"/>
      <c r="AA21" s="180" t="str">
        <f>IF(F21&lt;&gt;"",IF(Input!AL22&lt;&gt;"",Input!AL22,""),"")</f>
        <v/>
      </c>
      <c r="AB21" s="181" t="str">
        <f>IFERROR(IF($AA$5="","",IF(F21&lt;&gt;"",(Input!AL22/Input!$AL$6)*100,"")),"NA")</f>
        <v/>
      </c>
      <c r="AC21" s="182" t="str">
        <f>IF(F21&lt;&gt;"",IF(Input!AM22&lt;&gt;"",Input!AM22,""),"")</f>
        <v/>
      </c>
      <c r="AD21" s="181" t="str">
        <f>IFERROR(IF($AC$5="","",IF(F21&lt;&gt;"",(Input!AM22/Input!$AM$6)*100,"")),"NA")</f>
        <v/>
      </c>
      <c r="AE21" s="182" t="str">
        <f>IF(F21&lt;&gt;"",IF(Input!AN22&lt;&gt;"",Input!AN22,""),"")</f>
        <v/>
      </c>
      <c r="AF21" s="181" t="str">
        <f>IFERROR(IF($AE$5="","",IF(F21&lt;&gt;"",(Input!AN22/Input!$AN$6)*100,"")),"NA")</f>
        <v/>
      </c>
      <c r="AG21" s="183" t="str">
        <f>IF(F21&lt;&gt;"",IF(Input!AO22&lt;&gt;"",Input!AO22,""),"")</f>
        <v/>
      </c>
      <c r="AH21" s="181" t="str">
        <f>IFERROR(IF($AG$5="","",IF(F21&lt;&gt;"",(Input!AO22/Input!$AO$6)*100,"")),"NA")</f>
        <v/>
      </c>
      <c r="AI21" s="327">
        <f>IF(Input!AP22="Error","Error",IF(F21="","",IF($AA$5="",0,IF(F21&lt;&gt;"",IFERROR(AVERAGE(AB21,AD21,AF21,AH21)*$AI$4,0),""))))</f>
        <v>0</v>
      </c>
      <c r="AJ21" s="179"/>
      <c r="AK21" s="184" t="str">
        <f>IF(Input!AQ22="","",IF(F21&lt;&gt;"",Input!AQ22,""))</f>
        <v/>
      </c>
      <c r="AL21" s="185" t="str">
        <f>IF(F21="", "",IF(Input!AR22="Error", "Error",IF(ISNUMBER(Input!AR22), Input!AR22*$AL$4,"")))</f>
        <v/>
      </c>
      <c r="AM21" s="332" t="str">
        <f>IF(V21="D","Drp",
IF(F21&lt;&gt;"",
IF(OR(Y21="Error",AI21="Error",AL21="Error"),"Error",
IF(Input!AQ22="","-",ROUND(Y21+AI21+AL21,2))),""))</f>
        <v>-</v>
      </c>
      <c r="AN21" s="187" t="str">
        <f>IF(F21&lt;&gt;"",VLOOKUP(AM21,TRANSMUTATION!$A$2:$B$14,2),"")</f>
        <v>INC</v>
      </c>
      <c r="AO21" s="244" t="str">
        <f t="shared" si="1"/>
        <v/>
      </c>
      <c r="AT21" s="101"/>
    </row>
    <row r="22" spans="1:46" ht="15" customHeight="1" x14ac:dyDescent="0.2">
      <c r="A22" s="101"/>
      <c r="B22" s="253"/>
      <c r="C22" s="206">
        <v>16</v>
      </c>
      <c r="D22" s="215" t="str">
        <f>IF(Input!D23&lt;&gt;"",IF(F22&lt;&gt;"",Input!D23,""),"")</f>
        <v>02000510843</v>
      </c>
      <c r="E22" s="321"/>
      <c r="F22" s="322" t="str">
        <f>(IF(Input!F23&lt;&gt;"",Input!F23,""))</f>
        <v>LAURENTE,WILFRED RUSSELL SAMBAJON</v>
      </c>
      <c r="G22" s="18"/>
      <c r="H22" s="18"/>
      <c r="I22" s="18"/>
      <c r="J22" s="18"/>
      <c r="K22" s="18"/>
      <c r="L22" s="18"/>
      <c r="M22" s="18"/>
      <c r="N22" s="18"/>
      <c r="O22" s="18"/>
      <c r="P22" s="18"/>
      <c r="Q22" s="18"/>
      <c r="R22" s="18"/>
      <c r="S22" s="18"/>
      <c r="T22" s="18"/>
      <c r="U22" s="18"/>
      <c r="V22" s="21"/>
      <c r="W22" s="177"/>
      <c r="X22" s="178" t="str">
        <f>Input!AK23</f>
        <v/>
      </c>
      <c r="Y22" s="329">
        <f t="shared" si="2"/>
        <v>0</v>
      </c>
      <c r="Z22" s="179"/>
      <c r="AA22" s="180" t="str">
        <f>IF(F22&lt;&gt;"",IF(Input!AL23&lt;&gt;"",Input!AL23,""),"")</f>
        <v/>
      </c>
      <c r="AB22" s="181" t="str">
        <f>IFERROR(IF($AA$5="","",IF(F22&lt;&gt;"",(Input!AL23/Input!$AL$6)*100,"")),"NA")</f>
        <v/>
      </c>
      <c r="AC22" s="182" t="str">
        <f>IF(F22&lt;&gt;"",IF(Input!AM23&lt;&gt;"",Input!AM23,""),"")</f>
        <v/>
      </c>
      <c r="AD22" s="181" t="str">
        <f>IFERROR(IF($AC$5="","",IF(F22&lt;&gt;"",(Input!AM23/Input!$AM$6)*100,"")),"NA")</f>
        <v/>
      </c>
      <c r="AE22" s="182" t="str">
        <f>IF(F22&lt;&gt;"",IF(Input!AN23&lt;&gt;"",Input!AN23,""),"")</f>
        <v/>
      </c>
      <c r="AF22" s="181" t="str">
        <f>IFERROR(IF($AE$5="","",IF(F22&lt;&gt;"",(Input!AN23/Input!$AN$6)*100,"")),"NA")</f>
        <v/>
      </c>
      <c r="AG22" s="183" t="str">
        <f>IF(F22&lt;&gt;"",IF(Input!AO23&lt;&gt;"",Input!AO23,""),"")</f>
        <v/>
      </c>
      <c r="AH22" s="181" t="str">
        <f>IFERROR(IF($AG$5="","",IF(F22&lt;&gt;"",(Input!AO23/Input!$AO$6)*100,"")),"NA")</f>
        <v/>
      </c>
      <c r="AI22" s="327">
        <f>IF(Input!AP23="Error","Error",IF(F22="","",IF($AA$5="",0,IF(F22&lt;&gt;"",IFERROR(AVERAGE(AB22,AD22,AF22,AH22)*$AI$4,0),""))))</f>
        <v>0</v>
      </c>
      <c r="AJ22" s="179"/>
      <c r="AK22" s="184" t="str">
        <f>IF(Input!AQ23="","",IF(F22&lt;&gt;"",Input!AQ23,""))</f>
        <v/>
      </c>
      <c r="AL22" s="185" t="str">
        <f>IF(F22="", "",IF(Input!AR23="Error", "Error",IF(ISNUMBER(Input!AR23), Input!AR23*$AL$4,"")))</f>
        <v/>
      </c>
      <c r="AM22" s="332" t="str">
        <f>IF(V22="D","Drp",
IF(F22&lt;&gt;"",
IF(OR(Y22="Error",AI22="Error",AL22="Error"),"Error",
IF(Input!AQ23="","-",ROUND(Y22+AI22+AL22,2))),""))</f>
        <v>-</v>
      </c>
      <c r="AN22" s="187" t="str">
        <f>IF(F22&lt;&gt;"",VLOOKUP(AM22,TRANSMUTATION!$A$2:$B$14,2),"")</f>
        <v>INC</v>
      </c>
      <c r="AO22" s="244" t="str">
        <f t="shared" si="1"/>
        <v/>
      </c>
      <c r="AT22" s="101"/>
    </row>
    <row r="23" spans="1:46" ht="15" customHeight="1" x14ac:dyDescent="0.2">
      <c r="A23" s="101"/>
      <c r="B23" s="253"/>
      <c r="C23" s="206">
        <v>17</v>
      </c>
      <c r="D23" s="215" t="str">
        <f>IF(Input!D24&lt;&gt;"",IF(F23&lt;&gt;"",Input!D24,""),"")</f>
        <v>02000484250</v>
      </c>
      <c r="E23" s="321"/>
      <c r="F23" s="322" t="str">
        <f>(IF(Input!F24&lt;&gt;"",Input!F24,""))</f>
        <v>LOYOLA,RAMIL JR. BARBARA</v>
      </c>
      <c r="G23" s="18"/>
      <c r="H23" s="18"/>
      <c r="I23" s="18"/>
      <c r="J23" s="18"/>
      <c r="K23" s="18"/>
      <c r="L23" s="18"/>
      <c r="M23" s="18"/>
      <c r="N23" s="18"/>
      <c r="O23" s="18"/>
      <c r="P23" s="18"/>
      <c r="Q23" s="18"/>
      <c r="R23" s="18"/>
      <c r="S23" s="18"/>
      <c r="T23" s="18"/>
      <c r="U23" s="18"/>
      <c r="V23" s="21"/>
      <c r="W23" s="177"/>
      <c r="X23" s="178" t="str">
        <f>Input!AK24</f>
        <v/>
      </c>
      <c r="Y23" s="329">
        <f t="shared" si="2"/>
        <v>0</v>
      </c>
      <c r="Z23" s="179"/>
      <c r="AA23" s="180" t="str">
        <f>IF(F23&lt;&gt;"",IF(Input!AL24&lt;&gt;"",Input!AL24,""),"")</f>
        <v/>
      </c>
      <c r="AB23" s="181" t="str">
        <f>IFERROR(IF($AA$5="","",IF(F23&lt;&gt;"",(Input!AL24/Input!$AL$6)*100,"")),"NA")</f>
        <v/>
      </c>
      <c r="AC23" s="182" t="str">
        <f>IF(F23&lt;&gt;"",IF(Input!AM24&lt;&gt;"",Input!AM24,""),"")</f>
        <v/>
      </c>
      <c r="AD23" s="181" t="str">
        <f>IFERROR(IF($AC$5="","",IF(F23&lt;&gt;"",(Input!AM24/Input!$AM$6)*100,"")),"NA")</f>
        <v/>
      </c>
      <c r="AE23" s="182" t="str">
        <f>IF(F23&lt;&gt;"",IF(Input!AN24&lt;&gt;"",Input!AN24,""),"")</f>
        <v/>
      </c>
      <c r="AF23" s="181" t="str">
        <f>IFERROR(IF($AE$5="","",IF(F23&lt;&gt;"",(Input!AN24/Input!$AN$6)*100,"")),"NA")</f>
        <v/>
      </c>
      <c r="AG23" s="183" t="str">
        <f>IF(F23&lt;&gt;"",IF(Input!AO24&lt;&gt;"",Input!AO24,""),"")</f>
        <v/>
      </c>
      <c r="AH23" s="181" t="str">
        <f>IFERROR(IF($AG$5="","",IF(F23&lt;&gt;"",(Input!AO24/Input!$AO$6)*100,"")),"NA")</f>
        <v/>
      </c>
      <c r="AI23" s="327">
        <f>IF(Input!AP24="Error","Error",IF(F23="","",IF($AA$5="",0,IF(F23&lt;&gt;"",IFERROR(AVERAGE(AB23,AD23,AF23,AH23)*$AI$4,0),""))))</f>
        <v>0</v>
      </c>
      <c r="AJ23" s="179"/>
      <c r="AK23" s="184" t="str">
        <f>IF(Input!AQ24="","",IF(F23&lt;&gt;"",Input!AQ24,""))</f>
        <v/>
      </c>
      <c r="AL23" s="185" t="str">
        <f>IF(F23="", "",IF(Input!AR24="Error", "Error",IF(ISNUMBER(Input!AR24), Input!AR24*$AL$4,"")))</f>
        <v/>
      </c>
      <c r="AM23" s="332" t="str">
        <f>IF(V23="D","Drp",
IF(F23&lt;&gt;"",
IF(OR(Y23="Error",AI23="Error",AL23="Error"),"Error",
IF(Input!AQ24="","-",ROUND(Y23+AI23+AL23,2))),""))</f>
        <v>-</v>
      </c>
      <c r="AN23" s="187" t="str">
        <f>IF(F23&lt;&gt;"",VLOOKUP(AM23,TRANSMUTATION!$A$2:$B$14,2),"")</f>
        <v>INC</v>
      </c>
      <c r="AO23" s="244" t="str">
        <f t="shared" si="1"/>
        <v/>
      </c>
      <c r="AT23" s="101"/>
    </row>
    <row r="24" spans="1:46" ht="15" customHeight="1" x14ac:dyDescent="0.2">
      <c r="A24" s="101"/>
      <c r="B24" s="253"/>
      <c r="C24" s="206">
        <v>18</v>
      </c>
      <c r="D24" s="215" t="str">
        <f>IF(Input!D25&lt;&gt;"",IF(F24&lt;&gt;"",Input!D25,""),"")</f>
        <v>02000388196</v>
      </c>
      <c r="E24" s="321"/>
      <c r="F24" s="322" t="str">
        <f>(IF(Input!F25&lt;&gt;"",Input!F25,""))</f>
        <v>MACALINDONG,IAN DANA</v>
      </c>
      <c r="G24" s="18"/>
      <c r="H24" s="18"/>
      <c r="I24" s="18"/>
      <c r="J24" s="18"/>
      <c r="K24" s="18"/>
      <c r="L24" s="18"/>
      <c r="M24" s="18"/>
      <c r="N24" s="18"/>
      <c r="O24" s="18"/>
      <c r="P24" s="18"/>
      <c r="Q24" s="18"/>
      <c r="R24" s="18"/>
      <c r="S24" s="18"/>
      <c r="T24" s="18"/>
      <c r="U24" s="18"/>
      <c r="V24" s="21"/>
      <c r="W24" s="177"/>
      <c r="X24" s="178" t="str">
        <f>Input!AK25</f>
        <v/>
      </c>
      <c r="Y24" s="329">
        <f t="shared" si="2"/>
        <v>0</v>
      </c>
      <c r="Z24" s="179"/>
      <c r="AA24" s="180" t="str">
        <f>IF(F24&lt;&gt;"",IF(Input!AL25&lt;&gt;"",Input!AL25,""),"")</f>
        <v/>
      </c>
      <c r="AB24" s="181" t="str">
        <f>IFERROR(IF($AA$5="","",IF(F24&lt;&gt;"",(Input!AL25/Input!$AL$6)*100,"")),"NA")</f>
        <v/>
      </c>
      <c r="AC24" s="182" t="str">
        <f>IF(F24&lt;&gt;"",IF(Input!AM25&lt;&gt;"",Input!AM25,""),"")</f>
        <v/>
      </c>
      <c r="AD24" s="181" t="str">
        <f>IFERROR(IF($AC$5="","",IF(F24&lt;&gt;"",(Input!AM25/Input!$AM$6)*100,"")),"NA")</f>
        <v/>
      </c>
      <c r="AE24" s="182" t="str">
        <f>IF(F24&lt;&gt;"",IF(Input!AN25&lt;&gt;"",Input!AN25,""),"")</f>
        <v/>
      </c>
      <c r="AF24" s="181" t="str">
        <f>IFERROR(IF($AE$5="","",IF(F24&lt;&gt;"",(Input!AN25/Input!$AN$6)*100,"")),"NA")</f>
        <v/>
      </c>
      <c r="AG24" s="183" t="str">
        <f>IF(F24&lt;&gt;"",IF(Input!AO25&lt;&gt;"",Input!AO25,""),"")</f>
        <v/>
      </c>
      <c r="AH24" s="181" t="str">
        <f>IFERROR(IF($AG$5="","",IF(F24&lt;&gt;"",(Input!AO25/Input!$AO$6)*100,"")),"NA")</f>
        <v/>
      </c>
      <c r="AI24" s="327">
        <f>IF(Input!AP25="Error","Error",IF(F24="","",IF($AA$5="",0,IF(F24&lt;&gt;"",IFERROR(AVERAGE(AB24,AD24,AF24,AH24)*$AI$4,0),""))))</f>
        <v>0</v>
      </c>
      <c r="AJ24" s="179"/>
      <c r="AK24" s="184" t="str">
        <f>IF(Input!AQ25="","",IF(F24&lt;&gt;"",Input!AQ25,""))</f>
        <v/>
      </c>
      <c r="AL24" s="185" t="str">
        <f>IF(F24="", "",IF(Input!AR25="Error", "Error",IF(ISNUMBER(Input!AR25), Input!AR25*$AL$4,"")))</f>
        <v/>
      </c>
      <c r="AM24" s="332" t="str">
        <f>IF(V24="D","Drp",
IF(F24&lt;&gt;"",
IF(OR(Y24="Error",AI24="Error",AL24="Error"),"Error",
IF(Input!AQ25="","-",ROUND(Y24+AI24+AL24,2))),""))</f>
        <v>-</v>
      </c>
      <c r="AN24" s="187" t="str">
        <f>IF(F24&lt;&gt;"",VLOOKUP(AM24,TRANSMUTATION!$A$2:$B$14,2),"")</f>
        <v>INC</v>
      </c>
      <c r="AO24" s="244" t="str">
        <f t="shared" si="1"/>
        <v/>
      </c>
      <c r="AT24" s="101"/>
    </row>
    <row r="25" spans="1:46" ht="15" customHeight="1" x14ac:dyDescent="0.2">
      <c r="A25" s="101"/>
      <c r="B25" s="253"/>
      <c r="C25" s="206">
        <v>19</v>
      </c>
      <c r="D25" s="215" t="str">
        <f>IF(Input!D26&lt;&gt;"",IF(F25&lt;&gt;"",Input!D26,""),"")</f>
        <v>02000491101</v>
      </c>
      <c r="E25" s="321"/>
      <c r="F25" s="322" t="str">
        <f>(IF(Input!F26&lt;&gt;"",Input!F26,""))</f>
        <v>MAHAYHAY,KAREN CAPILI</v>
      </c>
      <c r="G25" s="18"/>
      <c r="H25" s="18"/>
      <c r="I25" s="18"/>
      <c r="J25" s="18"/>
      <c r="K25" s="18"/>
      <c r="L25" s="18"/>
      <c r="M25" s="18"/>
      <c r="N25" s="18"/>
      <c r="O25" s="18"/>
      <c r="P25" s="18"/>
      <c r="Q25" s="18"/>
      <c r="R25" s="18"/>
      <c r="S25" s="18"/>
      <c r="T25" s="18"/>
      <c r="U25" s="18"/>
      <c r="V25" s="21"/>
      <c r="W25" s="177"/>
      <c r="X25" s="178" t="str">
        <f>Input!AK26</f>
        <v/>
      </c>
      <c r="Y25" s="329">
        <f t="shared" si="2"/>
        <v>0</v>
      </c>
      <c r="Z25" s="179"/>
      <c r="AA25" s="180" t="str">
        <f>IF(F25&lt;&gt;"",IF(Input!AL26&lt;&gt;"",Input!AL26,""),"")</f>
        <v/>
      </c>
      <c r="AB25" s="181" t="str">
        <f>IFERROR(IF($AA$5="","",IF(F25&lt;&gt;"",(Input!AL26/Input!$AL$6)*100,"")),"NA")</f>
        <v/>
      </c>
      <c r="AC25" s="182" t="str">
        <f>IF(F25&lt;&gt;"",IF(Input!AM26&lt;&gt;"",Input!AM26,""),"")</f>
        <v/>
      </c>
      <c r="AD25" s="181" t="str">
        <f>IFERROR(IF($AC$5="","",IF(F25&lt;&gt;"",(Input!AM26/Input!$AM$6)*100,"")),"NA")</f>
        <v/>
      </c>
      <c r="AE25" s="182" t="str">
        <f>IF(F25&lt;&gt;"",IF(Input!AN26&lt;&gt;"",Input!AN26,""),"")</f>
        <v/>
      </c>
      <c r="AF25" s="181" t="str">
        <f>IFERROR(IF($AE$5="","",IF(F25&lt;&gt;"",(Input!AN26/Input!$AN$6)*100,"")),"NA")</f>
        <v/>
      </c>
      <c r="AG25" s="183" t="str">
        <f>IF(F25&lt;&gt;"",IF(Input!AO26&lt;&gt;"",Input!AO26,""),"")</f>
        <v/>
      </c>
      <c r="AH25" s="181" t="str">
        <f>IFERROR(IF($AG$5="","",IF(F25&lt;&gt;"",(Input!AO26/Input!$AO$6)*100,"")),"NA")</f>
        <v/>
      </c>
      <c r="AI25" s="327">
        <f>IF(Input!AP26="Error","Error",IF(F25="","",IF($AA$5="",0,IF(F25&lt;&gt;"",IFERROR(AVERAGE(AB25,AD25,AF25,AH25)*$AI$4,0),""))))</f>
        <v>0</v>
      </c>
      <c r="AJ25" s="179"/>
      <c r="AK25" s="184" t="str">
        <f>IF(Input!AQ26="","",IF(F25&lt;&gt;"",Input!AQ26,""))</f>
        <v/>
      </c>
      <c r="AL25" s="185" t="str">
        <f>IF(F25="", "",IF(Input!AR26="Error", "Error",IF(ISNUMBER(Input!AR26), Input!AR26*$AL$4,"")))</f>
        <v/>
      </c>
      <c r="AM25" s="332" t="str">
        <f>IF(V25="D","Drp",
IF(F25&lt;&gt;"",
IF(OR(Y25="Error",AI25="Error",AL25="Error"),"Error",
IF(Input!AQ26="","-",ROUND(Y25+AI25+AL25,2))),""))</f>
        <v>-</v>
      </c>
      <c r="AN25" s="187" t="str">
        <f>IF(F25&lt;&gt;"",VLOOKUP(AM25,TRANSMUTATION!$A$2:$B$14,2),"")</f>
        <v>INC</v>
      </c>
      <c r="AO25" s="244" t="str">
        <f t="shared" si="1"/>
        <v/>
      </c>
      <c r="AT25" s="101"/>
    </row>
    <row r="26" spans="1:46" ht="15" customHeight="1" x14ac:dyDescent="0.2">
      <c r="A26" s="101"/>
      <c r="B26" s="253"/>
      <c r="C26" s="206">
        <v>20</v>
      </c>
      <c r="D26" s="215" t="str">
        <f>IF(Input!D27&lt;&gt;"",IF(F26&lt;&gt;"",Input!D27,""),"")</f>
        <v>02000510558</v>
      </c>
      <c r="E26" s="321"/>
      <c r="F26" s="322" t="str">
        <f>(IF(Input!F27&lt;&gt;"",Input!F27,""))</f>
        <v>MASMELA,MARK IVAN GERBOLINGON</v>
      </c>
      <c r="G26" s="18"/>
      <c r="H26" s="18"/>
      <c r="I26" s="18"/>
      <c r="J26" s="18"/>
      <c r="K26" s="18"/>
      <c r="L26" s="18"/>
      <c r="M26" s="18"/>
      <c r="N26" s="18"/>
      <c r="O26" s="18"/>
      <c r="P26" s="18"/>
      <c r="Q26" s="18"/>
      <c r="R26" s="18"/>
      <c r="S26" s="18"/>
      <c r="T26" s="18"/>
      <c r="U26" s="18"/>
      <c r="V26" s="21"/>
      <c r="W26" s="177"/>
      <c r="X26" s="178" t="str">
        <f>Input!AK27</f>
        <v/>
      </c>
      <c r="Y26" s="329">
        <f t="shared" si="2"/>
        <v>0</v>
      </c>
      <c r="Z26" s="179"/>
      <c r="AA26" s="180" t="str">
        <f>IF(F26&lt;&gt;"",IF(Input!AL27&lt;&gt;"",Input!AL27,""),"")</f>
        <v/>
      </c>
      <c r="AB26" s="181" t="str">
        <f>IFERROR(IF($AA$5="","",IF(F26&lt;&gt;"",(Input!AL27/Input!$AL$6)*100,"")),"NA")</f>
        <v/>
      </c>
      <c r="AC26" s="182" t="str">
        <f>IF(F26&lt;&gt;"",IF(Input!AM27&lt;&gt;"",Input!AM27,""),"")</f>
        <v/>
      </c>
      <c r="AD26" s="181" t="str">
        <f>IFERROR(IF($AC$5="","",IF(F26&lt;&gt;"",(Input!AM27/Input!$AM$6)*100,"")),"NA")</f>
        <v/>
      </c>
      <c r="AE26" s="182" t="str">
        <f>IF(F26&lt;&gt;"",IF(Input!AN27&lt;&gt;"",Input!AN27,""),"")</f>
        <v/>
      </c>
      <c r="AF26" s="181" t="str">
        <f>IFERROR(IF($AE$5="","",IF(F26&lt;&gt;"",(Input!AN27/Input!$AN$6)*100,"")),"NA")</f>
        <v/>
      </c>
      <c r="AG26" s="183" t="str">
        <f>IF(F26&lt;&gt;"",IF(Input!AO27&lt;&gt;"",Input!AO27,""),"")</f>
        <v/>
      </c>
      <c r="AH26" s="181" t="str">
        <f>IFERROR(IF($AG$5="","",IF(F26&lt;&gt;"",(Input!AO27/Input!$AO$6)*100,"")),"NA")</f>
        <v/>
      </c>
      <c r="AI26" s="327">
        <f>IF(Input!AP27="Error","Error",IF(F26="","",IF($AA$5="",0,IF(F26&lt;&gt;"",IFERROR(AVERAGE(AB26,AD26,AF26,AH26)*$AI$4,0),""))))</f>
        <v>0</v>
      </c>
      <c r="AJ26" s="179"/>
      <c r="AK26" s="184" t="str">
        <f>IF(Input!AQ27="","",IF(F26&lt;&gt;"",Input!AQ27,""))</f>
        <v/>
      </c>
      <c r="AL26" s="185" t="str">
        <f>IF(F26="", "",IF(Input!AR27="Error", "Error",IF(ISNUMBER(Input!AR27), Input!AR27*$AL$4,"")))</f>
        <v/>
      </c>
      <c r="AM26" s="332" t="str">
        <f>IF(V26="D","Drp",
IF(F26&lt;&gt;"",
IF(OR(Y26="Error",AI26="Error",AL26="Error"),"Error",
IF(Input!AQ27="","-",ROUND(Y26+AI26+AL26,2))),""))</f>
        <v>-</v>
      </c>
      <c r="AN26" s="187" t="str">
        <f>IF(F26&lt;&gt;"",VLOOKUP(AM26,TRANSMUTATION!$A$2:$B$14,2),"")</f>
        <v>INC</v>
      </c>
      <c r="AO26" s="244" t="str">
        <f t="shared" si="1"/>
        <v/>
      </c>
      <c r="AT26" s="101"/>
    </row>
    <row r="27" spans="1:46" ht="15" customHeight="1" x14ac:dyDescent="0.2">
      <c r="A27" s="101"/>
      <c r="B27" s="253"/>
      <c r="C27" s="206">
        <v>21</v>
      </c>
      <c r="D27" s="215" t="str">
        <f>IF(Input!D28&lt;&gt;"",IF(F27&lt;&gt;"",Input!D28,""),"")</f>
        <v>02000503091</v>
      </c>
      <c r="E27" s="321"/>
      <c r="F27" s="322" t="str">
        <f>(IF(Input!F28&lt;&gt;"",Input!F28,""))</f>
        <v>NOLLORA,ABEGAIL ALARCON</v>
      </c>
      <c r="G27" s="18"/>
      <c r="H27" s="18"/>
      <c r="I27" s="18"/>
      <c r="J27" s="18"/>
      <c r="K27" s="18"/>
      <c r="L27" s="18"/>
      <c r="M27" s="18"/>
      <c r="N27" s="18"/>
      <c r="O27" s="18"/>
      <c r="P27" s="18"/>
      <c r="Q27" s="18"/>
      <c r="R27" s="18"/>
      <c r="S27" s="18"/>
      <c r="T27" s="18"/>
      <c r="U27" s="18"/>
      <c r="V27" s="21"/>
      <c r="W27" s="177"/>
      <c r="X27" s="178" t="str">
        <f>Input!AK28</f>
        <v/>
      </c>
      <c r="Y27" s="329">
        <f t="shared" si="2"/>
        <v>0</v>
      </c>
      <c r="Z27" s="179"/>
      <c r="AA27" s="180" t="str">
        <f>IF(F27&lt;&gt;"",IF(Input!AL28&lt;&gt;"",Input!AL28,""),"")</f>
        <v/>
      </c>
      <c r="AB27" s="181" t="str">
        <f>IFERROR(IF($AA$5="","",IF(F27&lt;&gt;"",(Input!AL28/Input!$AL$6)*100,"")),"NA")</f>
        <v/>
      </c>
      <c r="AC27" s="182" t="str">
        <f>IF(F27&lt;&gt;"",IF(Input!AM28&lt;&gt;"",Input!AM28,""),"")</f>
        <v/>
      </c>
      <c r="AD27" s="181" t="str">
        <f>IFERROR(IF($AC$5="","",IF(F27&lt;&gt;"",(Input!AM28/Input!$AM$6)*100,"")),"NA")</f>
        <v/>
      </c>
      <c r="AE27" s="182" t="str">
        <f>IF(F27&lt;&gt;"",IF(Input!AN28&lt;&gt;"",Input!AN28,""),"")</f>
        <v/>
      </c>
      <c r="AF27" s="181" t="str">
        <f>IFERROR(IF($AE$5="","",IF(F27&lt;&gt;"",(Input!AN28/Input!$AN$6)*100,"")),"NA")</f>
        <v/>
      </c>
      <c r="AG27" s="183" t="str">
        <f>IF(F27&lt;&gt;"",IF(Input!AO28&lt;&gt;"",Input!AO28,""),"")</f>
        <v/>
      </c>
      <c r="AH27" s="181" t="str">
        <f>IFERROR(IF($AG$5="","",IF(F27&lt;&gt;"",(Input!AO28/Input!$AO$6)*100,"")),"NA")</f>
        <v/>
      </c>
      <c r="AI27" s="327">
        <f>IF(Input!AP28="Error","Error",IF(F27="","",IF($AA$5="",0,IF(F27&lt;&gt;"",IFERROR(AVERAGE(AB27,AD27,AF27,AH27)*$AI$4,0),""))))</f>
        <v>0</v>
      </c>
      <c r="AJ27" s="179"/>
      <c r="AK27" s="184" t="str">
        <f>IF(Input!AQ28="","",IF(F27&lt;&gt;"",Input!AQ28,""))</f>
        <v/>
      </c>
      <c r="AL27" s="185" t="str">
        <f>IF(F27="", "",IF(Input!AR28="Error", "Error",IF(ISNUMBER(Input!AR28), Input!AR28*$AL$4,"")))</f>
        <v/>
      </c>
      <c r="AM27" s="332" t="str">
        <f>IF(V27="D","Drp",
IF(F27&lt;&gt;"",
IF(OR(Y27="Error",AI27="Error",AL27="Error"),"Error",
IF(Input!AQ28="","-",ROUND(Y27+AI27+AL27,2))),""))</f>
        <v>-</v>
      </c>
      <c r="AN27" s="187" t="str">
        <f>IF(F27&lt;&gt;"",VLOOKUP(AM27,TRANSMUTATION!$A$2:$B$14,2),"")</f>
        <v>INC</v>
      </c>
      <c r="AO27" s="244" t="str">
        <f t="shared" si="1"/>
        <v/>
      </c>
      <c r="AT27" s="101"/>
    </row>
    <row r="28" spans="1:46" ht="15" customHeight="1" x14ac:dyDescent="0.2">
      <c r="A28" s="101"/>
      <c r="B28" s="253"/>
      <c r="C28" s="206">
        <v>22</v>
      </c>
      <c r="D28" s="215" t="str">
        <f>IF(Input!D29&lt;&gt;"",IF(F28&lt;&gt;"",Input!D29,""),"")</f>
        <v>02000510390</v>
      </c>
      <c r="E28" s="321"/>
      <c r="F28" s="322" t="str">
        <f>(IF(Input!F29&lt;&gt;"",Input!F29,""))</f>
        <v>QUIOM,JELSIE DIMASAYAO</v>
      </c>
      <c r="G28" s="18"/>
      <c r="H28" s="18"/>
      <c r="I28" s="18"/>
      <c r="J28" s="18"/>
      <c r="K28" s="18"/>
      <c r="L28" s="18"/>
      <c r="M28" s="18"/>
      <c r="N28" s="18"/>
      <c r="O28" s="18"/>
      <c r="P28" s="18"/>
      <c r="Q28" s="18"/>
      <c r="R28" s="18"/>
      <c r="S28" s="18"/>
      <c r="T28" s="18"/>
      <c r="U28" s="18"/>
      <c r="V28" s="21"/>
      <c r="W28" s="177"/>
      <c r="X28" s="178" t="str">
        <f>Input!AK29</f>
        <v/>
      </c>
      <c r="Y28" s="329">
        <f t="shared" si="2"/>
        <v>0</v>
      </c>
      <c r="Z28" s="179"/>
      <c r="AA28" s="180" t="str">
        <f>IF(F28&lt;&gt;"",IF(Input!AL29&lt;&gt;"",Input!AL29,""),"")</f>
        <v/>
      </c>
      <c r="AB28" s="181" t="str">
        <f>IFERROR(IF($AA$5="","",IF(F28&lt;&gt;"",(Input!AL29/Input!$AL$6)*100,"")),"NA")</f>
        <v/>
      </c>
      <c r="AC28" s="182" t="str">
        <f>IF(F28&lt;&gt;"",IF(Input!AM29&lt;&gt;"",Input!AM29,""),"")</f>
        <v/>
      </c>
      <c r="AD28" s="181" t="str">
        <f>IFERROR(IF($AC$5="","",IF(F28&lt;&gt;"",(Input!AM29/Input!$AM$6)*100,"")),"NA")</f>
        <v/>
      </c>
      <c r="AE28" s="182" t="str">
        <f>IF(F28&lt;&gt;"",IF(Input!AN29&lt;&gt;"",Input!AN29,""),"")</f>
        <v/>
      </c>
      <c r="AF28" s="181" t="str">
        <f>IFERROR(IF($AE$5="","",IF(F28&lt;&gt;"",(Input!AN29/Input!$AN$6)*100,"")),"NA")</f>
        <v/>
      </c>
      <c r="AG28" s="183" t="str">
        <f>IF(F28&lt;&gt;"",IF(Input!AO29&lt;&gt;"",Input!AO29,""),"")</f>
        <v/>
      </c>
      <c r="AH28" s="181" t="str">
        <f>IFERROR(IF($AG$5="","",IF(F28&lt;&gt;"",(Input!AO29/Input!$AO$6)*100,"")),"NA")</f>
        <v/>
      </c>
      <c r="AI28" s="327">
        <f>IF(Input!AP29="Error","Error",IF(F28="","",IF($AA$5="",0,IF(F28&lt;&gt;"",IFERROR(AVERAGE(AB28,AD28,AF28,AH28)*$AI$4,0),""))))</f>
        <v>0</v>
      </c>
      <c r="AJ28" s="179"/>
      <c r="AK28" s="184" t="str">
        <f>IF(Input!AQ29="","",IF(F28&lt;&gt;"",Input!AQ29,""))</f>
        <v/>
      </c>
      <c r="AL28" s="185" t="str">
        <f>IF(F28="", "",IF(Input!AR29="Error", "Error",IF(ISNUMBER(Input!AR29), Input!AR29*$AL$4,"")))</f>
        <v/>
      </c>
      <c r="AM28" s="332" t="str">
        <f>IF(V28="D","Drp",
IF(F28&lt;&gt;"",
IF(OR(Y28="Error",AI28="Error",AL28="Error"),"Error",
IF(Input!AQ29="","-",ROUND(Y28+AI28+AL28,2))),""))</f>
        <v>-</v>
      </c>
      <c r="AN28" s="187" t="str">
        <f>IF(F28&lt;&gt;"",VLOOKUP(AM28,TRANSMUTATION!$A$2:$B$14,2),"")</f>
        <v>INC</v>
      </c>
      <c r="AO28" s="244" t="str">
        <f t="shared" si="1"/>
        <v/>
      </c>
      <c r="AT28" s="101"/>
    </row>
    <row r="29" spans="1:46" ht="15" customHeight="1" x14ac:dyDescent="0.2">
      <c r="A29" s="101"/>
      <c r="B29" s="253"/>
      <c r="C29" s="206">
        <v>23</v>
      </c>
      <c r="D29" s="215" t="str">
        <f>IF(Input!D30&lt;&gt;"",IF(F29&lt;&gt;"",Input!D30,""),"")</f>
        <v>02000493122</v>
      </c>
      <c r="E29" s="321"/>
      <c r="F29" s="322" t="str">
        <f>(IF(Input!F30&lt;&gt;"",Input!F30,""))</f>
        <v>ROSENTO,MAE NATHALIE ORCENE</v>
      </c>
      <c r="G29" s="18"/>
      <c r="H29" s="18"/>
      <c r="I29" s="18"/>
      <c r="J29" s="18"/>
      <c r="K29" s="18"/>
      <c r="L29" s="18"/>
      <c r="M29" s="18"/>
      <c r="N29" s="18"/>
      <c r="O29" s="18"/>
      <c r="P29" s="18"/>
      <c r="Q29" s="18"/>
      <c r="R29" s="18"/>
      <c r="S29" s="18"/>
      <c r="T29" s="18"/>
      <c r="U29" s="18"/>
      <c r="V29" s="21"/>
      <c r="W29" s="177"/>
      <c r="X29" s="178" t="str">
        <f>Input!AK30</f>
        <v/>
      </c>
      <c r="Y29" s="329">
        <f t="shared" si="2"/>
        <v>0</v>
      </c>
      <c r="Z29" s="179"/>
      <c r="AA29" s="180" t="str">
        <f>IF(F29&lt;&gt;"",IF(Input!AL30&lt;&gt;"",Input!AL30,""),"")</f>
        <v/>
      </c>
      <c r="AB29" s="181" t="str">
        <f>IFERROR(IF($AA$5="","",IF(F29&lt;&gt;"",(Input!AL30/Input!$AL$6)*100,"")),"NA")</f>
        <v/>
      </c>
      <c r="AC29" s="182" t="str">
        <f>IF(F29&lt;&gt;"",IF(Input!AM30&lt;&gt;"",Input!AM30,""),"")</f>
        <v/>
      </c>
      <c r="AD29" s="181" t="str">
        <f>IFERROR(IF($AC$5="","",IF(F29&lt;&gt;"",(Input!AM30/Input!$AM$6)*100,"")),"NA")</f>
        <v/>
      </c>
      <c r="AE29" s="182" t="str">
        <f>IF(F29&lt;&gt;"",IF(Input!AN30&lt;&gt;"",Input!AN30,""),"")</f>
        <v/>
      </c>
      <c r="AF29" s="181" t="str">
        <f>IFERROR(IF($AE$5="","",IF(F29&lt;&gt;"",(Input!AN30/Input!$AN$6)*100,"")),"NA")</f>
        <v/>
      </c>
      <c r="AG29" s="183" t="str">
        <f>IF(F29&lt;&gt;"",IF(Input!AO30&lt;&gt;"",Input!AO30,""),"")</f>
        <v/>
      </c>
      <c r="AH29" s="181" t="str">
        <f>IFERROR(IF($AG$5="","",IF(F29&lt;&gt;"",(Input!AO30/Input!$AO$6)*100,"")),"NA")</f>
        <v/>
      </c>
      <c r="AI29" s="327">
        <f>IF(Input!AP30="Error","Error",IF(F29="","",IF($AA$5="",0,IF(F29&lt;&gt;"",IFERROR(AVERAGE(AB29,AD29,AF29,AH29)*$AI$4,0),""))))</f>
        <v>0</v>
      </c>
      <c r="AJ29" s="179"/>
      <c r="AK29" s="184" t="str">
        <f>IF(Input!AQ30="","",IF(F29&lt;&gt;"",Input!AQ30,""))</f>
        <v/>
      </c>
      <c r="AL29" s="185" t="str">
        <f>IF(F29="", "",IF(Input!AR30="Error", "Error",IF(ISNUMBER(Input!AR30), Input!AR30*$AL$4,"")))</f>
        <v/>
      </c>
      <c r="AM29" s="332" t="str">
        <f>IF(V29="D","Drp",
IF(F29&lt;&gt;"",
IF(OR(Y29="Error",AI29="Error",AL29="Error"),"Error",
IF(Input!AQ30="","-",ROUND(Y29+AI29+AL29,2))),""))</f>
        <v>-</v>
      </c>
      <c r="AN29" s="187" t="str">
        <f>IF(F29&lt;&gt;"",VLOOKUP(AM29,TRANSMUTATION!$A$2:$B$14,2),"")</f>
        <v>INC</v>
      </c>
      <c r="AO29" s="244" t="str">
        <f t="shared" si="1"/>
        <v/>
      </c>
      <c r="AT29" s="101"/>
    </row>
    <row r="30" spans="1:46" ht="15" customHeight="1" x14ac:dyDescent="0.2">
      <c r="A30" s="101"/>
      <c r="B30" s="253"/>
      <c r="C30" s="206">
        <v>24</v>
      </c>
      <c r="D30" s="215" t="str">
        <f>IF(Input!D31&lt;&gt;"",IF(F30&lt;&gt;"",Input!D31,""),"")</f>
        <v>02000508992</v>
      </c>
      <c r="E30" s="321"/>
      <c r="F30" s="322" t="str">
        <f>(IF(Input!F31&lt;&gt;"",Input!F31,""))</f>
        <v>UREÑA,KIMBERLY MANLAPAS</v>
      </c>
      <c r="G30" s="18"/>
      <c r="H30" s="18"/>
      <c r="I30" s="18"/>
      <c r="J30" s="18"/>
      <c r="K30" s="18"/>
      <c r="L30" s="18"/>
      <c r="M30" s="18"/>
      <c r="N30" s="18"/>
      <c r="O30" s="18"/>
      <c r="P30" s="18"/>
      <c r="Q30" s="18"/>
      <c r="R30" s="18"/>
      <c r="S30" s="18"/>
      <c r="T30" s="18"/>
      <c r="U30" s="18"/>
      <c r="V30" s="21"/>
      <c r="W30" s="177"/>
      <c r="X30" s="178" t="str">
        <f>Input!AK31</f>
        <v/>
      </c>
      <c r="Y30" s="329">
        <f t="shared" si="2"/>
        <v>0</v>
      </c>
      <c r="Z30" s="179"/>
      <c r="AA30" s="180" t="str">
        <f>IF(F30&lt;&gt;"",IF(Input!AL31&lt;&gt;"",Input!AL31,""),"")</f>
        <v/>
      </c>
      <c r="AB30" s="181" t="str">
        <f>IFERROR(IF($AA$5="","",IF(F30&lt;&gt;"",(Input!AL31/Input!$AL$6)*100,"")),"NA")</f>
        <v/>
      </c>
      <c r="AC30" s="182" t="str">
        <f>IF(F30&lt;&gt;"",IF(Input!AM31&lt;&gt;"",Input!AM31,""),"")</f>
        <v/>
      </c>
      <c r="AD30" s="181" t="str">
        <f>IFERROR(IF($AC$5="","",IF(F30&lt;&gt;"",(Input!AM31/Input!$AM$6)*100,"")),"NA")</f>
        <v/>
      </c>
      <c r="AE30" s="182" t="str">
        <f>IF(F30&lt;&gt;"",IF(Input!AN31&lt;&gt;"",Input!AN31,""),"")</f>
        <v/>
      </c>
      <c r="AF30" s="181" t="str">
        <f>IFERROR(IF($AE$5="","",IF(F30&lt;&gt;"",(Input!AN31/Input!$AN$6)*100,"")),"NA")</f>
        <v/>
      </c>
      <c r="AG30" s="183" t="str">
        <f>IF(F30&lt;&gt;"",IF(Input!AO31&lt;&gt;"",Input!AO31,""),"")</f>
        <v/>
      </c>
      <c r="AH30" s="181" t="str">
        <f>IFERROR(IF($AG$5="","",IF(F30&lt;&gt;"",(Input!AO31/Input!$AO$6)*100,"")),"NA")</f>
        <v/>
      </c>
      <c r="AI30" s="327">
        <f>IF(Input!AP31="Error","Error",IF(F30="","",IF($AA$5="",0,IF(F30&lt;&gt;"",IFERROR(AVERAGE(AB30,AD30,AF30,AH30)*$AI$4,0),""))))</f>
        <v>0</v>
      </c>
      <c r="AJ30" s="179"/>
      <c r="AK30" s="184" t="str">
        <f>IF(Input!AQ31="","",IF(F30&lt;&gt;"",Input!AQ31,""))</f>
        <v/>
      </c>
      <c r="AL30" s="185" t="str">
        <f>IF(F30="", "",IF(Input!AR31="Error", "Error",IF(ISNUMBER(Input!AR31), Input!AR31*$AL$4,"")))</f>
        <v/>
      </c>
      <c r="AM30" s="332" t="str">
        <f>IF(V30="D","Drp",
IF(F30&lt;&gt;"",
IF(OR(Y30="Error",AI30="Error",AL30="Error"),"Error",
IF(Input!AQ31="","-",ROUND(Y30+AI30+AL30,2))),""))</f>
        <v>-</v>
      </c>
      <c r="AN30" s="187" t="str">
        <f>IF(F30&lt;&gt;"",VLOOKUP(AM30,TRANSMUTATION!$A$2:$B$14,2),"")</f>
        <v>INC</v>
      </c>
      <c r="AO30" s="244" t="str">
        <f t="shared" si="1"/>
        <v/>
      </c>
      <c r="AT30" s="101"/>
    </row>
    <row r="31" spans="1:46" ht="15" customHeight="1" x14ac:dyDescent="0.2">
      <c r="A31" s="101"/>
      <c r="B31" s="253"/>
      <c r="C31" s="206">
        <v>25</v>
      </c>
      <c r="D31" s="215" t="str">
        <f>IF(Input!D32&lt;&gt;"",IF(F31&lt;&gt;"",Input!D32,""),"")</f>
        <v>02000510378</v>
      </c>
      <c r="E31" s="321"/>
      <c r="F31" s="322" t="str">
        <f>(IF(Input!F32&lt;&gt;"",Input!F32,""))</f>
        <v>YABUT,ALIYAH CLAIRE BIEN</v>
      </c>
      <c r="G31" s="18"/>
      <c r="H31" s="18"/>
      <c r="I31" s="18"/>
      <c r="J31" s="18"/>
      <c r="K31" s="18"/>
      <c r="L31" s="18"/>
      <c r="M31" s="18"/>
      <c r="N31" s="18"/>
      <c r="O31" s="18"/>
      <c r="P31" s="18"/>
      <c r="Q31" s="18"/>
      <c r="R31" s="18"/>
      <c r="S31" s="18"/>
      <c r="T31" s="18"/>
      <c r="U31" s="18"/>
      <c r="V31" s="21"/>
      <c r="W31" s="177"/>
      <c r="X31" s="178" t="str">
        <f>Input!AK32</f>
        <v/>
      </c>
      <c r="Y31" s="329">
        <f t="shared" si="2"/>
        <v>0</v>
      </c>
      <c r="Z31" s="179"/>
      <c r="AA31" s="180" t="str">
        <f>IF(F31&lt;&gt;"",IF(Input!AL32&lt;&gt;"",Input!AL32,""),"")</f>
        <v/>
      </c>
      <c r="AB31" s="181" t="str">
        <f>IFERROR(IF($AA$5="","",IF(F31&lt;&gt;"",(Input!AL32/Input!$AL$6)*100,"")),"NA")</f>
        <v/>
      </c>
      <c r="AC31" s="182" t="str">
        <f>IF(F31&lt;&gt;"",IF(Input!AM32&lt;&gt;"",Input!AM32,""),"")</f>
        <v/>
      </c>
      <c r="AD31" s="181" t="str">
        <f>IFERROR(IF($AC$5="","",IF(F31&lt;&gt;"",(Input!AM32/Input!$AM$6)*100,"")),"NA")</f>
        <v/>
      </c>
      <c r="AE31" s="182" t="str">
        <f>IF(F31&lt;&gt;"",IF(Input!AN32&lt;&gt;"",Input!AN32,""),"")</f>
        <v/>
      </c>
      <c r="AF31" s="181" t="str">
        <f>IFERROR(IF($AE$5="","",IF(F31&lt;&gt;"",(Input!AN32/Input!$AN$6)*100,"")),"NA")</f>
        <v/>
      </c>
      <c r="AG31" s="183" t="str">
        <f>IF(F31&lt;&gt;"",IF(Input!AO32&lt;&gt;"",Input!AO32,""),"")</f>
        <v/>
      </c>
      <c r="AH31" s="181" t="str">
        <f>IFERROR(IF($AG$5="","",IF(F31&lt;&gt;"",(Input!AO32/Input!$AO$6)*100,"")),"NA")</f>
        <v/>
      </c>
      <c r="AI31" s="327">
        <f>IF(Input!AP32="Error","Error",IF(F31="","",IF($AA$5="",0,IF(F31&lt;&gt;"",IFERROR(AVERAGE(AB31,AD31,AF31,AH31)*$AI$4,0),""))))</f>
        <v>0</v>
      </c>
      <c r="AJ31" s="179"/>
      <c r="AK31" s="184" t="str">
        <f>IF(Input!AQ32="","",IF(F31&lt;&gt;"",Input!AQ32,""))</f>
        <v/>
      </c>
      <c r="AL31" s="185" t="str">
        <f>IF(F31="", "",IF(Input!AR32="Error", "Error",IF(ISNUMBER(Input!AR32), Input!AR32*$AL$4,"")))</f>
        <v/>
      </c>
      <c r="AM31" s="332" t="str">
        <f>IF(V31="D","Drp",
IF(F31&lt;&gt;"",
IF(OR(Y31="Error",AI31="Error",AL31="Error"),"Error",
IF(Input!AQ32="","-",ROUND(Y31+AI31+AL31,2))),""))</f>
        <v>-</v>
      </c>
      <c r="AN31" s="187" t="str">
        <f>IF(F31&lt;&gt;"",VLOOKUP(AM31,TRANSMUTATION!$A$2:$B$14,2),"")</f>
        <v>INC</v>
      </c>
      <c r="AO31" s="244" t="str">
        <f t="shared" si="1"/>
        <v/>
      </c>
      <c r="AT31" s="101"/>
    </row>
    <row r="32" spans="1:46" ht="15" customHeight="1" x14ac:dyDescent="0.2">
      <c r="A32" s="101"/>
      <c r="B32" s="253"/>
      <c r="C32" s="206">
        <v>26</v>
      </c>
      <c r="D32" s="215" t="str">
        <f>IF(Input!D33&lt;&gt;"",IF(F32&lt;&gt;"",Input!D33,""),"")</f>
        <v/>
      </c>
      <c r="E32" s="321"/>
      <c r="F32" s="322" t="str">
        <f>(IF(Input!F33&lt;&gt;"",Input!F33,""))</f>
        <v/>
      </c>
      <c r="G32" s="18"/>
      <c r="H32" s="18"/>
      <c r="I32" s="18"/>
      <c r="J32" s="18"/>
      <c r="K32" s="18"/>
      <c r="L32" s="18"/>
      <c r="M32" s="18"/>
      <c r="N32" s="18"/>
      <c r="O32" s="18"/>
      <c r="P32" s="18"/>
      <c r="Q32" s="18"/>
      <c r="R32" s="18"/>
      <c r="S32" s="18"/>
      <c r="T32" s="18"/>
      <c r="U32" s="18"/>
      <c r="V32" s="21"/>
      <c r="W32" s="177"/>
      <c r="X32" s="178" t="str">
        <f>Input!AK33</f>
        <v/>
      </c>
      <c r="Y32" s="329" t="str">
        <f t="shared" si="2"/>
        <v/>
      </c>
      <c r="Z32" s="179"/>
      <c r="AA32" s="180" t="str">
        <f>IF(F32&lt;&gt;"",IF(Input!AL33&lt;&gt;"",Input!AL33,""),"")</f>
        <v/>
      </c>
      <c r="AB32" s="181" t="str">
        <f>IFERROR(IF($AA$5="","",IF(F32&lt;&gt;"",(Input!AL33/Input!$AL$6)*100,"")),"NA")</f>
        <v/>
      </c>
      <c r="AC32" s="182" t="str">
        <f>IF(F32&lt;&gt;"",IF(Input!AM33&lt;&gt;"",Input!AM33,""),"")</f>
        <v/>
      </c>
      <c r="AD32" s="181" t="str">
        <f>IFERROR(IF($AC$5="","",IF(F32&lt;&gt;"",(Input!AM33/Input!$AM$6)*100,"")),"NA")</f>
        <v/>
      </c>
      <c r="AE32" s="182" t="str">
        <f>IF(F32&lt;&gt;"",IF(Input!AN33&lt;&gt;"",Input!AN33,""),"")</f>
        <v/>
      </c>
      <c r="AF32" s="181" t="str">
        <f>IFERROR(IF($AE$5="","",IF(F32&lt;&gt;"",(Input!AN33/Input!$AN$6)*100,"")),"NA")</f>
        <v/>
      </c>
      <c r="AG32" s="183" t="str">
        <f>IF(F32&lt;&gt;"",IF(Input!AO33&lt;&gt;"",Input!AO33,""),"")</f>
        <v/>
      </c>
      <c r="AH32" s="181" t="str">
        <f>IFERROR(IF($AG$5="","",IF(F32&lt;&gt;"",(Input!AO33/Input!$AO$6)*100,"")),"NA")</f>
        <v/>
      </c>
      <c r="AI32" s="327" t="str">
        <f>IF(Input!AP33="Error","Error",IF(F32="","",IF($AA$5="",0,IF(F32&lt;&gt;"",IFERROR(AVERAGE(AB32,AD32,AF32,AH32)*$AI$4,0),""))))</f>
        <v/>
      </c>
      <c r="AJ32" s="179"/>
      <c r="AK32" s="184" t="str">
        <f>IF(Input!AQ33="","",IF(F32&lt;&gt;"",Input!AQ33,""))</f>
        <v/>
      </c>
      <c r="AL32" s="185" t="str">
        <f>IF(F32="", "",IF(Input!AR33="Error", "Error",IF(ISNUMBER(Input!AR33), Input!AR33*$AL$4,"")))</f>
        <v/>
      </c>
      <c r="AM32" s="332" t="str">
        <f>IF(V32="D","Drp",
IF(F32&lt;&gt;"",
IF(OR(Y32="Error",AI32="Error",AL32="Error"),"Error",
IF(Input!AQ33="","-",ROUND(Y32+AI32+AL32,2))),""))</f>
        <v/>
      </c>
      <c r="AN32" s="187" t="str">
        <f>IF(F32&lt;&gt;"",VLOOKUP(AM32,TRANSMUTATION!$A$2:$B$14,2),"")</f>
        <v/>
      </c>
      <c r="AO32" s="244" t="str">
        <f t="shared" si="1"/>
        <v/>
      </c>
      <c r="AT32" s="101"/>
    </row>
    <row r="33" spans="1:46" ht="15" customHeight="1" x14ac:dyDescent="0.2">
      <c r="A33" s="101"/>
      <c r="B33" s="253"/>
      <c r="C33" s="206">
        <v>27</v>
      </c>
      <c r="D33" s="215" t="str">
        <f>IF(Input!D34&lt;&gt;"",IF(F33&lt;&gt;"",Input!D34,""),"")</f>
        <v/>
      </c>
      <c r="E33" s="321"/>
      <c r="F33" s="322" t="str">
        <f>(IF(Input!F34&lt;&gt;"",Input!F34,""))</f>
        <v/>
      </c>
      <c r="G33" s="18"/>
      <c r="H33" s="18"/>
      <c r="I33" s="18"/>
      <c r="J33" s="18"/>
      <c r="K33" s="18"/>
      <c r="L33" s="18"/>
      <c r="M33" s="18"/>
      <c r="N33" s="18"/>
      <c r="O33" s="18"/>
      <c r="P33" s="18"/>
      <c r="Q33" s="18"/>
      <c r="R33" s="18"/>
      <c r="S33" s="18"/>
      <c r="T33" s="18"/>
      <c r="U33" s="18"/>
      <c r="V33" s="21"/>
      <c r="W33" s="177"/>
      <c r="X33" s="178" t="str">
        <f>Input!AK34</f>
        <v/>
      </c>
      <c r="Y33" s="329" t="str">
        <f t="shared" si="2"/>
        <v/>
      </c>
      <c r="Z33" s="179"/>
      <c r="AA33" s="180" t="str">
        <f>IF(F33&lt;&gt;"",IF(Input!AL34&lt;&gt;"",Input!AL34,""),"")</f>
        <v/>
      </c>
      <c r="AB33" s="181" t="str">
        <f>IFERROR(IF($AA$5="","",IF(F33&lt;&gt;"",(Input!AL34/Input!$AL$6)*100,"")),"NA")</f>
        <v/>
      </c>
      <c r="AC33" s="182" t="str">
        <f>IF(F33&lt;&gt;"",IF(Input!AM34&lt;&gt;"",Input!AM34,""),"")</f>
        <v/>
      </c>
      <c r="AD33" s="181" t="str">
        <f>IFERROR(IF($AC$5="","",IF(F33&lt;&gt;"",(Input!AM34/Input!$AM$6)*100,"")),"NA")</f>
        <v/>
      </c>
      <c r="AE33" s="182" t="str">
        <f>IF(F33&lt;&gt;"",IF(Input!AN34&lt;&gt;"",Input!AN34,""),"")</f>
        <v/>
      </c>
      <c r="AF33" s="181" t="str">
        <f>IFERROR(IF($AE$5="","",IF(F33&lt;&gt;"",(Input!AN34/Input!$AN$6)*100,"")),"NA")</f>
        <v/>
      </c>
      <c r="AG33" s="183" t="str">
        <f>IF(F33&lt;&gt;"",IF(Input!AO34&lt;&gt;"",Input!AO34,""),"")</f>
        <v/>
      </c>
      <c r="AH33" s="181" t="str">
        <f>IFERROR(IF($AG$5="","",IF(F33&lt;&gt;"",(Input!AO34/Input!$AO$6)*100,"")),"NA")</f>
        <v/>
      </c>
      <c r="AI33" s="327" t="str">
        <f>IF(Input!AP34="Error","Error",IF(F33="","",IF($AA$5="",0,IF(F33&lt;&gt;"",IFERROR(AVERAGE(AB33,AD33,AF33,AH33)*$AI$4,0),""))))</f>
        <v/>
      </c>
      <c r="AJ33" s="179"/>
      <c r="AK33" s="184" t="str">
        <f>IF(Input!AQ34="","",IF(F33&lt;&gt;"",Input!AQ34,""))</f>
        <v/>
      </c>
      <c r="AL33" s="185" t="str">
        <f>IF(F33="", "",IF(Input!AR34="Error", "Error",IF(ISNUMBER(Input!AR34), Input!AR34*$AL$4,"")))</f>
        <v/>
      </c>
      <c r="AM33" s="332" t="str">
        <f>IF(V33="D","Drp",
IF(F33&lt;&gt;"",
IF(OR(Y33="Error",AI33="Error",AL33="Error"),"Error",
IF(Input!AQ34="","-",ROUND(Y33+AI33+AL33,2))),""))</f>
        <v/>
      </c>
      <c r="AN33" s="187" t="str">
        <f>IF(F33&lt;&gt;"",VLOOKUP(AM33,TRANSMUTATION!$A$2:$B$14,2),"")</f>
        <v/>
      </c>
      <c r="AO33" s="244" t="str">
        <f t="shared" si="1"/>
        <v/>
      </c>
      <c r="AT33" s="101"/>
    </row>
    <row r="34" spans="1:46" ht="15" customHeight="1" x14ac:dyDescent="0.2">
      <c r="A34" s="101"/>
      <c r="B34" s="253"/>
      <c r="C34" s="206">
        <v>28</v>
      </c>
      <c r="D34" s="215" t="str">
        <f>IF(Input!D35&lt;&gt;"",IF(F34&lt;&gt;"",Input!D35,""),"")</f>
        <v/>
      </c>
      <c r="E34" s="321"/>
      <c r="F34" s="322" t="str">
        <f>(IF(Input!F35&lt;&gt;"",Input!F35,""))</f>
        <v/>
      </c>
      <c r="G34" s="18"/>
      <c r="H34" s="18"/>
      <c r="I34" s="18"/>
      <c r="J34" s="18"/>
      <c r="K34" s="18"/>
      <c r="L34" s="18"/>
      <c r="M34" s="18"/>
      <c r="N34" s="18"/>
      <c r="O34" s="18"/>
      <c r="P34" s="18"/>
      <c r="Q34" s="18"/>
      <c r="R34" s="18"/>
      <c r="S34" s="18"/>
      <c r="T34" s="18"/>
      <c r="U34" s="18"/>
      <c r="V34" s="21"/>
      <c r="W34" s="177"/>
      <c r="X34" s="178" t="str">
        <f>Input!AK35</f>
        <v/>
      </c>
      <c r="Y34" s="329" t="str">
        <f t="shared" si="2"/>
        <v/>
      </c>
      <c r="Z34" s="179"/>
      <c r="AA34" s="180" t="str">
        <f>IF(F34&lt;&gt;"",IF(Input!AL35&lt;&gt;"",Input!AL35,""),"")</f>
        <v/>
      </c>
      <c r="AB34" s="181" t="str">
        <f>IFERROR(IF($AA$5="","",IF(F34&lt;&gt;"",(Input!AL35/Input!$AL$6)*100,"")),"NA")</f>
        <v/>
      </c>
      <c r="AC34" s="182" t="str">
        <f>IF(F34&lt;&gt;"",IF(Input!AM35&lt;&gt;"",Input!AM35,""),"")</f>
        <v/>
      </c>
      <c r="AD34" s="181" t="str">
        <f>IFERROR(IF($AC$5="","",IF(F34&lt;&gt;"",(Input!AM35/Input!$AM$6)*100,"")),"NA")</f>
        <v/>
      </c>
      <c r="AE34" s="182" t="str">
        <f>IF(F34&lt;&gt;"",IF(Input!AN35&lt;&gt;"",Input!AN35,""),"")</f>
        <v/>
      </c>
      <c r="AF34" s="181" t="str">
        <f>IFERROR(IF($AE$5="","",IF(F34&lt;&gt;"",(Input!AN35/Input!$AN$6)*100,"")),"NA")</f>
        <v/>
      </c>
      <c r="AG34" s="183" t="str">
        <f>IF(F34&lt;&gt;"",IF(Input!AO35&lt;&gt;"",Input!AO35,""),"")</f>
        <v/>
      </c>
      <c r="AH34" s="181" t="str">
        <f>IFERROR(IF($AG$5="","",IF(F34&lt;&gt;"",(Input!AO35/Input!$AO$6)*100,"")),"NA")</f>
        <v/>
      </c>
      <c r="AI34" s="327" t="str">
        <f>IF(Input!AP35="Error","Error",IF(F34="","",IF($AA$5="",0,IF(F34&lt;&gt;"",IFERROR(AVERAGE(AB34,AD34,AF34,AH34)*$AI$4,0),""))))</f>
        <v/>
      </c>
      <c r="AJ34" s="179"/>
      <c r="AK34" s="184" t="str">
        <f>IF(Input!AQ35="","",IF(F34&lt;&gt;"",Input!AQ35,""))</f>
        <v/>
      </c>
      <c r="AL34" s="185" t="str">
        <f>IF(F34="", "",IF(Input!AR35="Error", "Error",IF(ISNUMBER(Input!AR35), Input!AR35*$AL$4,"")))</f>
        <v/>
      </c>
      <c r="AM34" s="332" t="str">
        <f>IF(V34="D","Drp",
IF(F34&lt;&gt;"",
IF(OR(Y34="Error",AI34="Error",AL34="Error"),"Error",
IF(Input!AQ35="","-",ROUND(Y34+AI34+AL34,2))),""))</f>
        <v/>
      </c>
      <c r="AN34" s="187" t="str">
        <f>IF(F34&lt;&gt;"",VLOOKUP(AM34,TRANSMUTATION!$A$2:$B$14,2),"")</f>
        <v/>
      </c>
      <c r="AO34" s="244" t="str">
        <f t="shared" si="1"/>
        <v/>
      </c>
      <c r="AT34" s="101"/>
    </row>
    <row r="35" spans="1:46" ht="15" customHeight="1" x14ac:dyDescent="0.2">
      <c r="A35" s="101"/>
      <c r="B35" s="253"/>
      <c r="C35" s="206">
        <v>29</v>
      </c>
      <c r="D35" s="215" t="str">
        <f>IF(Input!D36&lt;&gt;"",IF(F35&lt;&gt;"",Input!D36,""),"")</f>
        <v/>
      </c>
      <c r="E35" s="321"/>
      <c r="F35" s="322" t="str">
        <f>(IF(Input!F36&lt;&gt;"",Input!F36,""))</f>
        <v/>
      </c>
      <c r="G35" s="18"/>
      <c r="H35" s="18"/>
      <c r="I35" s="18"/>
      <c r="J35" s="18"/>
      <c r="K35" s="18"/>
      <c r="L35" s="18"/>
      <c r="M35" s="18"/>
      <c r="N35" s="18"/>
      <c r="O35" s="18"/>
      <c r="P35" s="18"/>
      <c r="Q35" s="18"/>
      <c r="R35" s="18"/>
      <c r="S35" s="18"/>
      <c r="T35" s="18"/>
      <c r="U35" s="18"/>
      <c r="V35" s="21"/>
      <c r="W35" s="177"/>
      <c r="X35" s="178" t="str">
        <f>Input!AK36</f>
        <v/>
      </c>
      <c r="Y35" s="329" t="str">
        <f t="shared" si="2"/>
        <v/>
      </c>
      <c r="Z35" s="179"/>
      <c r="AA35" s="180" t="str">
        <f>IF(F35&lt;&gt;"",IF(Input!AL36&lt;&gt;"",Input!AL36,""),"")</f>
        <v/>
      </c>
      <c r="AB35" s="181" t="str">
        <f>IFERROR(IF($AA$5="","",IF(F35&lt;&gt;"",(Input!AL36/Input!$AL$6)*100,"")),"NA")</f>
        <v/>
      </c>
      <c r="AC35" s="182" t="str">
        <f>IF(F35&lt;&gt;"",IF(Input!AM36&lt;&gt;"",Input!AM36,""),"")</f>
        <v/>
      </c>
      <c r="AD35" s="181" t="str">
        <f>IFERROR(IF($AC$5="","",IF(F35&lt;&gt;"",(Input!AM36/Input!$AM$6)*100,"")),"NA")</f>
        <v/>
      </c>
      <c r="AE35" s="182" t="str">
        <f>IF(F35&lt;&gt;"",IF(Input!AN36&lt;&gt;"",Input!AN36,""),"")</f>
        <v/>
      </c>
      <c r="AF35" s="181" t="str">
        <f>IFERROR(IF($AE$5="","",IF(F35&lt;&gt;"",(Input!AN36/Input!$AN$6)*100,"")),"NA")</f>
        <v/>
      </c>
      <c r="AG35" s="183" t="str">
        <f>IF(F35&lt;&gt;"",IF(Input!AO36&lt;&gt;"",Input!AO36,""),"")</f>
        <v/>
      </c>
      <c r="AH35" s="181" t="str">
        <f>IFERROR(IF($AG$5="","",IF(F35&lt;&gt;"",(Input!AO36/Input!$AO$6)*100,"")),"NA")</f>
        <v/>
      </c>
      <c r="AI35" s="327" t="str">
        <f>IF(Input!AP36="Error","Error",IF(F35="","",IF($AA$5="",0,IF(F35&lt;&gt;"",IFERROR(AVERAGE(AB35,AD35,AF35,AH35)*$AI$4,0),""))))</f>
        <v/>
      </c>
      <c r="AJ35" s="179"/>
      <c r="AK35" s="184" t="str">
        <f>IF(Input!AQ36="","",IF(F35&lt;&gt;"",Input!AQ36,""))</f>
        <v/>
      </c>
      <c r="AL35" s="185" t="str">
        <f>IF(F35="", "",IF(Input!AR36="Error", "Error",IF(ISNUMBER(Input!AR36), Input!AR36*$AL$4,"")))</f>
        <v/>
      </c>
      <c r="AM35" s="332" t="str">
        <f>IF(V35="D","Drp",
IF(F35&lt;&gt;"",
IF(OR(Y35="Error",AI35="Error",AL35="Error"),"Error",
IF(Input!AQ36="","-",ROUND(Y35+AI35+AL35,2))),""))</f>
        <v/>
      </c>
      <c r="AN35" s="187" t="str">
        <f>IF(F35&lt;&gt;"",VLOOKUP(AM35,TRANSMUTATION!$A$2:$B$14,2),"")</f>
        <v/>
      </c>
      <c r="AO35" s="244" t="str">
        <f t="shared" si="1"/>
        <v/>
      </c>
      <c r="AT35" s="101"/>
    </row>
    <row r="36" spans="1:46" ht="15" customHeight="1" x14ac:dyDescent="0.2">
      <c r="A36" s="101"/>
      <c r="B36" s="253"/>
      <c r="C36" s="206">
        <v>30</v>
      </c>
      <c r="D36" s="215" t="str">
        <f>IF(Input!D37&lt;&gt;"",IF(F36&lt;&gt;"",Input!D37,""),"")</f>
        <v/>
      </c>
      <c r="E36" s="321"/>
      <c r="F36" s="322" t="str">
        <f>(IF(Input!F37&lt;&gt;"",Input!F37,""))</f>
        <v/>
      </c>
      <c r="G36" s="18"/>
      <c r="H36" s="18"/>
      <c r="I36" s="18"/>
      <c r="J36" s="18"/>
      <c r="K36" s="18"/>
      <c r="L36" s="18"/>
      <c r="M36" s="18"/>
      <c r="N36" s="18"/>
      <c r="O36" s="18"/>
      <c r="P36" s="18"/>
      <c r="Q36" s="18"/>
      <c r="R36" s="18"/>
      <c r="S36" s="18"/>
      <c r="T36" s="18"/>
      <c r="U36" s="18"/>
      <c r="V36" s="21"/>
      <c r="W36" s="177"/>
      <c r="X36" s="178" t="str">
        <f>Input!AK37</f>
        <v/>
      </c>
      <c r="Y36" s="329" t="str">
        <f t="shared" si="2"/>
        <v/>
      </c>
      <c r="Z36" s="179"/>
      <c r="AA36" s="180" t="str">
        <f>IF(F36&lt;&gt;"",IF(Input!AL37&lt;&gt;"",Input!AL37,""),"")</f>
        <v/>
      </c>
      <c r="AB36" s="181" t="str">
        <f>IFERROR(IF($AA$5="","",IF(F36&lt;&gt;"",(Input!AL37/Input!$AL$6)*100,"")),"NA")</f>
        <v/>
      </c>
      <c r="AC36" s="182" t="str">
        <f>IF(F36&lt;&gt;"",IF(Input!AM37&lt;&gt;"",Input!AM37,""),"")</f>
        <v/>
      </c>
      <c r="AD36" s="181" t="str">
        <f>IFERROR(IF($AC$5="","",IF(F36&lt;&gt;"",(Input!AM37/Input!$AM$6)*100,"")),"NA")</f>
        <v/>
      </c>
      <c r="AE36" s="182" t="str">
        <f>IF(F36&lt;&gt;"",IF(Input!AN37&lt;&gt;"",Input!AN37,""),"")</f>
        <v/>
      </c>
      <c r="AF36" s="181" t="str">
        <f>IFERROR(IF($AE$5="","",IF(F36&lt;&gt;"",(Input!AN37/Input!$AN$6)*100,"")),"NA")</f>
        <v/>
      </c>
      <c r="AG36" s="183" t="str">
        <f>IF(F36&lt;&gt;"",IF(Input!AO37&lt;&gt;"",Input!AO37,""),"")</f>
        <v/>
      </c>
      <c r="AH36" s="181" t="str">
        <f>IFERROR(IF($AG$5="","",IF(F36&lt;&gt;"",(Input!AO37/Input!$AO$6)*100,"")),"NA")</f>
        <v/>
      </c>
      <c r="AI36" s="327" t="str">
        <f>IF(Input!AP37="Error","Error",IF(F36="","",IF($AA$5="",0,IF(F36&lt;&gt;"",IFERROR(AVERAGE(AB36,AD36,AF36,AH36)*$AI$4,0),""))))</f>
        <v/>
      </c>
      <c r="AJ36" s="179"/>
      <c r="AK36" s="184" t="str">
        <f>IF(Input!AQ37="","",IF(F36&lt;&gt;"",Input!AQ37,""))</f>
        <v/>
      </c>
      <c r="AL36" s="185" t="str">
        <f>IF(F36="", "",IF(Input!AR37="Error", "Error",IF(ISNUMBER(Input!AR37), Input!AR37*$AL$4,"")))</f>
        <v/>
      </c>
      <c r="AM36" s="332" t="str">
        <f>IF(V36="D","Drp",
IF(F36&lt;&gt;"",
IF(OR(Y36="Error",AI36="Error",AL36="Error"),"Error",
IF(Input!AQ37="","-",ROUND(Y36+AI36+AL36,2))),""))</f>
        <v/>
      </c>
      <c r="AN36" s="187" t="str">
        <f>IF(F36&lt;&gt;"",VLOOKUP(AM36,TRANSMUTATION!$A$2:$B$14,2),"")</f>
        <v/>
      </c>
      <c r="AO36" s="244" t="str">
        <f t="shared" si="1"/>
        <v/>
      </c>
      <c r="AT36" s="101"/>
    </row>
    <row r="37" spans="1:46" ht="15" customHeight="1" x14ac:dyDescent="0.2">
      <c r="A37" s="101"/>
      <c r="B37" s="253"/>
      <c r="C37" s="206">
        <v>31</v>
      </c>
      <c r="D37" s="215" t="str">
        <f>IF(Input!D38&lt;&gt;"",IF(F37&lt;&gt;"",Input!D38,""),"")</f>
        <v/>
      </c>
      <c r="E37" s="321"/>
      <c r="F37" s="322" t="str">
        <f>(IF(Input!F38&lt;&gt;"",Input!F38,""))</f>
        <v/>
      </c>
      <c r="G37" s="18"/>
      <c r="H37" s="18"/>
      <c r="I37" s="18"/>
      <c r="J37" s="18"/>
      <c r="K37" s="18"/>
      <c r="L37" s="18"/>
      <c r="M37" s="18"/>
      <c r="N37" s="18"/>
      <c r="O37" s="18"/>
      <c r="P37" s="18"/>
      <c r="Q37" s="18"/>
      <c r="R37" s="18"/>
      <c r="S37" s="18"/>
      <c r="T37" s="18"/>
      <c r="U37" s="18"/>
      <c r="V37" s="21"/>
      <c r="W37" s="177"/>
      <c r="X37" s="178" t="str">
        <f>Input!AK38</f>
        <v/>
      </c>
      <c r="Y37" s="329" t="str">
        <f t="shared" si="2"/>
        <v/>
      </c>
      <c r="Z37" s="179"/>
      <c r="AA37" s="180" t="str">
        <f>IF(F37&lt;&gt;"",IF(Input!AL38&lt;&gt;"",Input!AL38,""),"")</f>
        <v/>
      </c>
      <c r="AB37" s="181" t="str">
        <f>IFERROR(IF($AA$5="","",IF(F37&lt;&gt;"",(Input!AL38/Input!$AL$6)*100,"")),"NA")</f>
        <v/>
      </c>
      <c r="AC37" s="182" t="str">
        <f>IF(F37&lt;&gt;"",IF(Input!AM38&lt;&gt;"",Input!AM38,""),"")</f>
        <v/>
      </c>
      <c r="AD37" s="181" t="str">
        <f>IFERROR(IF($AC$5="","",IF(F37&lt;&gt;"",(Input!AM38/Input!$AM$6)*100,"")),"NA")</f>
        <v/>
      </c>
      <c r="AE37" s="182" t="str">
        <f>IF(F37&lt;&gt;"",IF(Input!AN38&lt;&gt;"",Input!AN38,""),"")</f>
        <v/>
      </c>
      <c r="AF37" s="181" t="str">
        <f>IFERROR(IF($AE$5="","",IF(F37&lt;&gt;"",(Input!AN38/Input!$AN$6)*100,"")),"NA")</f>
        <v/>
      </c>
      <c r="AG37" s="183" t="str">
        <f>IF(F37&lt;&gt;"",IF(Input!AO38&lt;&gt;"",Input!AO38,""),"")</f>
        <v/>
      </c>
      <c r="AH37" s="181" t="str">
        <f>IFERROR(IF($AG$5="","",IF(F37&lt;&gt;"",(Input!AO38/Input!$AO$6)*100,"")),"NA")</f>
        <v/>
      </c>
      <c r="AI37" s="327" t="str">
        <f>IF(Input!AP38="Error","Error",IF(F37="","",IF($AA$5="",0,IF(F37&lt;&gt;"",IFERROR(AVERAGE(AB37,AD37,AF37,AH37)*$AI$4,0),""))))</f>
        <v/>
      </c>
      <c r="AJ37" s="179"/>
      <c r="AK37" s="184" t="str">
        <f>IF(Input!AQ38="","",IF(F37&lt;&gt;"",Input!AQ38,""))</f>
        <v/>
      </c>
      <c r="AL37" s="185" t="str">
        <f>IF(F37="", "",IF(Input!AR38="Error", "Error",IF(ISNUMBER(Input!AR38), Input!AR38*$AL$4,"")))</f>
        <v/>
      </c>
      <c r="AM37" s="332" t="str">
        <f>IF(V37="D","Drp",
IF(F37&lt;&gt;"",
IF(OR(Y37="Error",AI37="Error",AL37="Error"),"Error",
IF(Input!AQ38="","-",ROUND(Y37+AI37+AL37,2))),""))</f>
        <v/>
      </c>
      <c r="AN37" s="187" t="str">
        <f>IF(F37&lt;&gt;"",VLOOKUP(AM37,TRANSMUTATION!$A$2:$B$14,2),"")</f>
        <v/>
      </c>
      <c r="AO37" s="244" t="str">
        <f t="shared" si="1"/>
        <v/>
      </c>
      <c r="AT37" s="101"/>
    </row>
    <row r="38" spans="1:46" ht="15" customHeight="1" x14ac:dyDescent="0.2">
      <c r="A38" s="101"/>
      <c r="B38" s="253"/>
      <c r="C38" s="206">
        <v>32</v>
      </c>
      <c r="D38" s="215" t="str">
        <f>IF(Input!D39&lt;&gt;"",IF(F38&lt;&gt;"",Input!D39,""),"")</f>
        <v/>
      </c>
      <c r="E38" s="321"/>
      <c r="F38" s="322" t="str">
        <f>(IF(Input!F39&lt;&gt;"",Input!F39,""))</f>
        <v/>
      </c>
      <c r="G38" s="18"/>
      <c r="H38" s="18"/>
      <c r="I38" s="18"/>
      <c r="J38" s="18"/>
      <c r="K38" s="18"/>
      <c r="L38" s="18"/>
      <c r="M38" s="18"/>
      <c r="N38" s="18"/>
      <c r="O38" s="18"/>
      <c r="P38" s="18"/>
      <c r="Q38" s="18"/>
      <c r="R38" s="18"/>
      <c r="S38" s="18"/>
      <c r="T38" s="18"/>
      <c r="U38" s="18"/>
      <c r="V38" s="21"/>
      <c r="W38" s="177"/>
      <c r="X38" s="178" t="str">
        <f>Input!AK39</f>
        <v/>
      </c>
      <c r="Y38" s="329" t="str">
        <f t="shared" si="2"/>
        <v/>
      </c>
      <c r="Z38" s="179"/>
      <c r="AA38" s="180" t="str">
        <f>IF(F38&lt;&gt;"",IF(Input!AL39&lt;&gt;"",Input!AL39,""),"")</f>
        <v/>
      </c>
      <c r="AB38" s="181" t="str">
        <f>IFERROR(IF($AA$5="","",IF(F38&lt;&gt;"",(Input!AL39/Input!$AL$6)*100,"")),"NA")</f>
        <v/>
      </c>
      <c r="AC38" s="182" t="str">
        <f>IF(F38&lt;&gt;"",IF(Input!AM39&lt;&gt;"",Input!AM39,""),"")</f>
        <v/>
      </c>
      <c r="AD38" s="181" t="str">
        <f>IFERROR(IF($AC$5="","",IF(F38&lt;&gt;"",(Input!AM39/Input!$AM$6)*100,"")),"NA")</f>
        <v/>
      </c>
      <c r="AE38" s="182" t="str">
        <f>IF(F38&lt;&gt;"",IF(Input!AN39&lt;&gt;"",Input!AN39,""),"")</f>
        <v/>
      </c>
      <c r="AF38" s="181" t="str">
        <f>IFERROR(IF($AE$5="","",IF(F38&lt;&gt;"",(Input!AN39/Input!$AN$6)*100,"")),"NA")</f>
        <v/>
      </c>
      <c r="AG38" s="183" t="str">
        <f>IF(F38&lt;&gt;"",IF(Input!AO39&lt;&gt;"",Input!AO39,""),"")</f>
        <v/>
      </c>
      <c r="AH38" s="181" t="str">
        <f>IFERROR(IF($AG$5="","",IF(F38&lt;&gt;"",(Input!AO39/Input!$AO$6)*100,"")),"NA")</f>
        <v/>
      </c>
      <c r="AI38" s="327" t="str">
        <f>IF(Input!AP39="Error","Error",IF(F38="","",IF($AA$5="",0,IF(F38&lt;&gt;"",IFERROR(AVERAGE(AB38,AD38,AF38,AH38)*$AI$4,0),""))))</f>
        <v/>
      </c>
      <c r="AJ38" s="179"/>
      <c r="AK38" s="184" t="str">
        <f>IF(Input!AQ39="","",IF(F38&lt;&gt;"",Input!AQ39,""))</f>
        <v/>
      </c>
      <c r="AL38" s="185" t="str">
        <f>IF(F38="", "",IF(Input!AR39="Error", "Error",IF(ISNUMBER(Input!AR39), Input!AR39*$AL$4,"")))</f>
        <v/>
      </c>
      <c r="AM38" s="332" t="str">
        <f>IF(V38="D","Drp",
IF(F38&lt;&gt;"",
IF(OR(Y38="Error",AI38="Error",AL38="Error"),"Error",
IF(Input!AQ39="","-",ROUND(Y38+AI38+AL38,2))),""))</f>
        <v/>
      </c>
      <c r="AN38" s="187" t="str">
        <f>IF(F38&lt;&gt;"",VLOOKUP(AM38,TRANSMUTATION!$A$2:$B$14,2),"")</f>
        <v/>
      </c>
      <c r="AO38" s="244" t="str">
        <f t="shared" si="1"/>
        <v/>
      </c>
      <c r="AT38" s="101"/>
    </row>
    <row r="39" spans="1:46" ht="15" customHeight="1" x14ac:dyDescent="0.2">
      <c r="A39" s="101"/>
      <c r="B39" s="253"/>
      <c r="C39" s="206">
        <v>33</v>
      </c>
      <c r="D39" s="215" t="str">
        <f>IF(Input!D40&lt;&gt;"",IF(F39&lt;&gt;"",Input!D40,""),"")</f>
        <v/>
      </c>
      <c r="E39" s="321"/>
      <c r="F39" s="322" t="str">
        <f>(IF(Input!F40&lt;&gt;"",Input!F40,""))</f>
        <v/>
      </c>
      <c r="G39" s="18"/>
      <c r="H39" s="18"/>
      <c r="I39" s="18"/>
      <c r="J39" s="18"/>
      <c r="K39" s="18"/>
      <c r="L39" s="18"/>
      <c r="M39" s="18"/>
      <c r="N39" s="18"/>
      <c r="O39" s="18"/>
      <c r="P39" s="18"/>
      <c r="Q39" s="18"/>
      <c r="R39" s="18"/>
      <c r="S39" s="18"/>
      <c r="T39" s="18"/>
      <c r="U39" s="18"/>
      <c r="V39" s="21"/>
      <c r="W39" s="177"/>
      <c r="X39" s="178" t="str">
        <f>Input!AK40</f>
        <v/>
      </c>
      <c r="Y39" s="329" t="str">
        <f t="shared" si="2"/>
        <v/>
      </c>
      <c r="Z39" s="179"/>
      <c r="AA39" s="180" t="str">
        <f>IF(F39&lt;&gt;"",IF(Input!AL40&lt;&gt;"",Input!AL40,""),"")</f>
        <v/>
      </c>
      <c r="AB39" s="181" t="str">
        <f>IFERROR(IF($AA$5="","",IF(F39&lt;&gt;"",(Input!AL40/Input!$AL$6)*100,"")),"NA")</f>
        <v/>
      </c>
      <c r="AC39" s="182" t="str">
        <f>IF(F39&lt;&gt;"",IF(Input!AM40&lt;&gt;"",Input!AM40,""),"")</f>
        <v/>
      </c>
      <c r="AD39" s="181" t="str">
        <f>IFERROR(IF($AC$5="","",IF(F39&lt;&gt;"",(Input!AM40/Input!$AM$6)*100,"")),"NA")</f>
        <v/>
      </c>
      <c r="AE39" s="182" t="str">
        <f>IF(F39&lt;&gt;"",IF(Input!AN40&lt;&gt;"",Input!AN40,""),"")</f>
        <v/>
      </c>
      <c r="AF39" s="181" t="str">
        <f>IFERROR(IF($AE$5="","",IF(F39&lt;&gt;"",(Input!AN40/Input!$AN$6)*100,"")),"NA")</f>
        <v/>
      </c>
      <c r="AG39" s="183" t="str">
        <f>IF(F39&lt;&gt;"",IF(Input!AO40&lt;&gt;"",Input!AO40,""),"")</f>
        <v/>
      </c>
      <c r="AH39" s="181" t="str">
        <f>IFERROR(IF($AG$5="","",IF(F39&lt;&gt;"",(Input!AO40/Input!$AO$6)*100,"")),"NA")</f>
        <v/>
      </c>
      <c r="AI39" s="327" t="str">
        <f>IF(Input!AP40="Error","Error",IF(F39="","",IF($AA$5="",0,IF(F39&lt;&gt;"",IFERROR(AVERAGE(AB39,AD39,AF39,AH39)*$AI$4,0),""))))</f>
        <v/>
      </c>
      <c r="AJ39" s="179"/>
      <c r="AK39" s="184" t="str">
        <f>IF(Input!AQ40="","",IF(F39&lt;&gt;"",Input!AQ40,""))</f>
        <v/>
      </c>
      <c r="AL39" s="185" t="str">
        <f>IF(F39="", "",IF(Input!AR40="Error", "Error",IF(ISNUMBER(Input!AR40), Input!AR40*$AL$4,"")))</f>
        <v/>
      </c>
      <c r="AM39" s="332" t="str">
        <f>IF(V39="D","Drp",
IF(F39&lt;&gt;"",
IF(OR(Y39="Error",AI39="Error",AL39="Error"),"Error",
IF(Input!AQ40="","-",ROUND(Y39+AI39+AL39,2))),""))</f>
        <v/>
      </c>
      <c r="AN39" s="187" t="str">
        <f>IF(F39&lt;&gt;"",VLOOKUP(AM39,TRANSMUTATION!$A$2:$B$14,2),"")</f>
        <v/>
      </c>
      <c r="AO39" s="244" t="str">
        <f t="shared" ref="AO39:AO56" si="3">IF(AN39="Inc","",IF(F39&lt;&gt;"",IF(OR(AN39="Drp",AN39="-"),"",RANK(AM39,$AM$7:$AM$56)),""))</f>
        <v/>
      </c>
      <c r="AT39" s="101"/>
    </row>
    <row r="40" spans="1:46" ht="15" customHeight="1" x14ac:dyDescent="0.2">
      <c r="A40" s="101"/>
      <c r="B40" s="253"/>
      <c r="C40" s="206">
        <v>34</v>
      </c>
      <c r="D40" s="215" t="str">
        <f>IF(Input!D41&lt;&gt;"",IF(F40&lt;&gt;"",Input!D41,""),"")</f>
        <v/>
      </c>
      <c r="E40" s="321"/>
      <c r="F40" s="322" t="str">
        <f>(IF(Input!F41&lt;&gt;"",Input!F41,""))</f>
        <v/>
      </c>
      <c r="G40" s="18"/>
      <c r="H40" s="18"/>
      <c r="I40" s="18"/>
      <c r="J40" s="18"/>
      <c r="K40" s="18"/>
      <c r="L40" s="18"/>
      <c r="M40" s="18"/>
      <c r="N40" s="18"/>
      <c r="O40" s="18"/>
      <c r="P40" s="18"/>
      <c r="Q40" s="18"/>
      <c r="R40" s="18"/>
      <c r="S40" s="18"/>
      <c r="T40" s="18"/>
      <c r="U40" s="18"/>
      <c r="V40" s="21"/>
      <c r="W40" s="177"/>
      <c r="X40" s="178" t="str">
        <f>Input!AK41</f>
        <v/>
      </c>
      <c r="Y40" s="329" t="str">
        <f t="shared" si="2"/>
        <v/>
      </c>
      <c r="Z40" s="179"/>
      <c r="AA40" s="180" t="str">
        <f>IF(F40&lt;&gt;"",IF(Input!AL41&lt;&gt;"",Input!AL41,""),"")</f>
        <v/>
      </c>
      <c r="AB40" s="181" t="str">
        <f>IFERROR(IF($AA$5="","",IF(F40&lt;&gt;"",(Input!AL41/Input!$AL$6)*100,"")),"NA")</f>
        <v/>
      </c>
      <c r="AC40" s="182" t="str">
        <f>IF(F40&lt;&gt;"",IF(Input!AM41&lt;&gt;"",Input!AM41,""),"")</f>
        <v/>
      </c>
      <c r="AD40" s="181" t="str">
        <f>IFERROR(IF($AC$5="","",IF(F40&lt;&gt;"",(Input!AM41/Input!$AM$6)*100,"")),"NA")</f>
        <v/>
      </c>
      <c r="AE40" s="182" t="str">
        <f>IF(F40&lt;&gt;"",IF(Input!AN41&lt;&gt;"",Input!AN41,""),"")</f>
        <v/>
      </c>
      <c r="AF40" s="181" t="str">
        <f>IFERROR(IF($AE$5="","",IF(F40&lt;&gt;"",(Input!AN41/Input!$AN$6)*100,"")),"NA")</f>
        <v/>
      </c>
      <c r="AG40" s="183" t="str">
        <f>IF(F40&lt;&gt;"",IF(Input!AO41&lt;&gt;"",Input!AO41,""),"")</f>
        <v/>
      </c>
      <c r="AH40" s="181" t="str">
        <f>IFERROR(IF($AG$5="","",IF(F40&lt;&gt;"",(Input!AO41/Input!$AO$6)*100,"")),"NA")</f>
        <v/>
      </c>
      <c r="AI40" s="327" t="str">
        <f>IF(Input!AP41="Error","Error",IF(F40="","",IF($AA$5="",0,IF(F40&lt;&gt;"",IFERROR(AVERAGE(AB40,AD40,AF40,AH40)*$AI$4,0),""))))</f>
        <v/>
      </c>
      <c r="AJ40" s="179"/>
      <c r="AK40" s="184" t="str">
        <f>IF(Input!AQ41="","",IF(F40&lt;&gt;"",Input!AQ41,""))</f>
        <v/>
      </c>
      <c r="AL40" s="185" t="str">
        <f>IF(F40="", "",IF(Input!AR41="Error", "Error",IF(ISNUMBER(Input!AR41), Input!AR41*$AL$4,"")))</f>
        <v/>
      </c>
      <c r="AM40" s="332" t="str">
        <f>IF(V40="D","Drp",
IF(F40&lt;&gt;"",
IF(OR(Y40="Error",AI40="Error",AL40="Error"),"Error",
IF(Input!AQ41="","-",ROUND(Y40+AI40+AL40,2))),""))</f>
        <v/>
      </c>
      <c r="AN40" s="187" t="str">
        <f>IF(F40&lt;&gt;"",VLOOKUP(AM40,TRANSMUTATION!$A$2:$B$14,2),"")</f>
        <v/>
      </c>
      <c r="AO40" s="244" t="str">
        <f t="shared" si="3"/>
        <v/>
      </c>
      <c r="AT40" s="101"/>
    </row>
    <row r="41" spans="1:46" ht="15" customHeight="1" x14ac:dyDescent="0.2">
      <c r="A41" s="101"/>
      <c r="B41" s="253"/>
      <c r="C41" s="206">
        <v>35</v>
      </c>
      <c r="D41" s="215" t="str">
        <f>IF(Input!D42&lt;&gt;"",IF(F41&lt;&gt;"",Input!D42,""),"")</f>
        <v/>
      </c>
      <c r="E41" s="321"/>
      <c r="F41" s="322" t="str">
        <f>(IF(Input!F42&lt;&gt;"",Input!F42,""))</f>
        <v/>
      </c>
      <c r="G41" s="18"/>
      <c r="H41" s="18"/>
      <c r="I41" s="18"/>
      <c r="J41" s="18"/>
      <c r="K41" s="18"/>
      <c r="L41" s="18"/>
      <c r="M41" s="18"/>
      <c r="N41" s="18"/>
      <c r="O41" s="18"/>
      <c r="P41" s="18"/>
      <c r="Q41" s="18"/>
      <c r="R41" s="18"/>
      <c r="S41" s="18"/>
      <c r="T41" s="18"/>
      <c r="U41" s="18"/>
      <c r="V41" s="21"/>
      <c r="W41" s="177"/>
      <c r="X41" s="178" t="str">
        <f>Input!AK42</f>
        <v/>
      </c>
      <c r="Y41" s="329" t="str">
        <f t="shared" si="2"/>
        <v/>
      </c>
      <c r="Z41" s="179"/>
      <c r="AA41" s="180" t="str">
        <f>IF(F41&lt;&gt;"",IF(Input!AL42&lt;&gt;"",Input!AL42,""),"")</f>
        <v/>
      </c>
      <c r="AB41" s="181" t="str">
        <f>IFERROR(IF($AA$5="","",IF(F41&lt;&gt;"",(Input!AL42/Input!$AL$6)*100,"")),"NA")</f>
        <v/>
      </c>
      <c r="AC41" s="182" t="str">
        <f>IF(F41&lt;&gt;"",IF(Input!AM42&lt;&gt;"",Input!AM42,""),"")</f>
        <v/>
      </c>
      <c r="AD41" s="181" t="str">
        <f>IFERROR(IF($AC$5="","",IF(F41&lt;&gt;"",(Input!AM42/Input!$AM$6)*100,"")),"NA")</f>
        <v/>
      </c>
      <c r="AE41" s="182" t="str">
        <f>IF(F41&lt;&gt;"",IF(Input!AN42&lt;&gt;"",Input!AN42,""),"")</f>
        <v/>
      </c>
      <c r="AF41" s="181" t="str">
        <f>IFERROR(IF($AE$5="","",IF(F41&lt;&gt;"",(Input!AN42/Input!$AN$6)*100,"")),"NA")</f>
        <v/>
      </c>
      <c r="AG41" s="183" t="str">
        <f>IF(F41&lt;&gt;"",IF(Input!AO42&lt;&gt;"",Input!AO42,""),"")</f>
        <v/>
      </c>
      <c r="AH41" s="181" t="str">
        <f>IFERROR(IF($AG$5="","",IF(F41&lt;&gt;"",(Input!AO42/Input!$AO$6)*100,"")),"NA")</f>
        <v/>
      </c>
      <c r="AI41" s="327" t="str">
        <f>IF(Input!AP42="Error","Error",IF(F41="","",IF($AA$5="",0,IF(F41&lt;&gt;"",IFERROR(AVERAGE(AB41,AD41,AF41,AH41)*$AI$4,0),""))))</f>
        <v/>
      </c>
      <c r="AJ41" s="179"/>
      <c r="AK41" s="184" t="str">
        <f>IF(Input!AQ42="","",IF(F41&lt;&gt;"",Input!AQ42,""))</f>
        <v/>
      </c>
      <c r="AL41" s="185" t="str">
        <f>IF(F41="", "",IF(Input!AR42="Error", "Error",IF(ISNUMBER(Input!AR42), Input!AR42*$AL$4,"")))</f>
        <v/>
      </c>
      <c r="AM41" s="332" t="str">
        <f>IF(V41="D","Drp",
IF(F41&lt;&gt;"",
IF(OR(Y41="Error",AI41="Error",AL41="Error"),"Error",
IF(Input!AQ42="","-",ROUND(Y41+AI41+AL41,2))),""))</f>
        <v/>
      </c>
      <c r="AN41" s="187" t="str">
        <f>IF(F41&lt;&gt;"",VLOOKUP(AM41,TRANSMUTATION!$A$2:$B$14,2),"")</f>
        <v/>
      </c>
      <c r="AO41" s="244" t="str">
        <f t="shared" si="3"/>
        <v/>
      </c>
      <c r="AT41" s="101"/>
    </row>
    <row r="42" spans="1:46" ht="15" customHeight="1" x14ac:dyDescent="0.2">
      <c r="A42" s="101"/>
      <c r="B42" s="253"/>
      <c r="C42" s="206">
        <v>36</v>
      </c>
      <c r="D42" s="215" t="str">
        <f>IF(Input!D43&lt;&gt;"",IF(F42&lt;&gt;"",Input!D43,""),"")</f>
        <v/>
      </c>
      <c r="E42" s="321"/>
      <c r="F42" s="322" t="str">
        <f>(IF(Input!F43&lt;&gt;"",Input!F43,""))</f>
        <v/>
      </c>
      <c r="G42" s="18"/>
      <c r="H42" s="18"/>
      <c r="I42" s="18"/>
      <c r="J42" s="18"/>
      <c r="K42" s="18"/>
      <c r="L42" s="18"/>
      <c r="M42" s="18"/>
      <c r="N42" s="18"/>
      <c r="O42" s="18"/>
      <c r="P42" s="18"/>
      <c r="Q42" s="18"/>
      <c r="R42" s="18"/>
      <c r="S42" s="18"/>
      <c r="T42" s="18"/>
      <c r="U42" s="18"/>
      <c r="V42" s="21"/>
      <c r="W42" s="177"/>
      <c r="X42" s="178" t="str">
        <f>Input!AK43</f>
        <v/>
      </c>
      <c r="Y42" s="329" t="str">
        <f t="shared" si="2"/>
        <v/>
      </c>
      <c r="Z42" s="179"/>
      <c r="AA42" s="180" t="str">
        <f>IF(F42&lt;&gt;"",IF(Input!AL43&lt;&gt;"",Input!AL43,""),"")</f>
        <v/>
      </c>
      <c r="AB42" s="181" t="str">
        <f>IFERROR(IF($AA$5="","",IF(F42&lt;&gt;"",(Input!AL43/Input!$AL$6)*100,"")),"NA")</f>
        <v/>
      </c>
      <c r="AC42" s="182" t="str">
        <f>IF(F42&lt;&gt;"",IF(Input!AM43&lt;&gt;"",Input!AM43,""),"")</f>
        <v/>
      </c>
      <c r="AD42" s="181" t="str">
        <f>IFERROR(IF($AC$5="","",IF(F42&lt;&gt;"",(Input!AM43/Input!$AM$6)*100,"")),"NA")</f>
        <v/>
      </c>
      <c r="AE42" s="182" t="str">
        <f>IF(F42&lt;&gt;"",IF(Input!AN43&lt;&gt;"",Input!AN43,""),"")</f>
        <v/>
      </c>
      <c r="AF42" s="181" t="str">
        <f>IFERROR(IF($AE$5="","",IF(F42&lt;&gt;"",(Input!AN43/Input!$AN$6)*100,"")),"NA")</f>
        <v/>
      </c>
      <c r="AG42" s="183" t="str">
        <f>IF(F42&lt;&gt;"",IF(Input!AO43&lt;&gt;"",Input!AO43,""),"")</f>
        <v/>
      </c>
      <c r="AH42" s="181" t="str">
        <f>IFERROR(IF($AG$5="","",IF(F42&lt;&gt;"",(Input!AO43/Input!$AO$6)*100,"")),"NA")</f>
        <v/>
      </c>
      <c r="AI42" s="327" t="str">
        <f>IF(Input!AP43="Error","Error",IF(F42="","",IF($AA$5="",0,IF(F42&lt;&gt;"",IFERROR(AVERAGE(AB42,AD42,AF42,AH42)*$AI$4,0),""))))</f>
        <v/>
      </c>
      <c r="AJ42" s="179"/>
      <c r="AK42" s="184" t="str">
        <f>IF(Input!AQ43="","",IF(F42&lt;&gt;"",Input!AQ43,""))</f>
        <v/>
      </c>
      <c r="AL42" s="185" t="str">
        <f>IF(F42="", "",IF(Input!AR43="Error", "Error",IF(ISNUMBER(Input!AR43), Input!AR43*$AL$4,"")))</f>
        <v/>
      </c>
      <c r="AM42" s="332" t="str">
        <f>IF(V42="D","Drp",
IF(F42&lt;&gt;"",
IF(OR(Y42="Error",AI42="Error",AL42="Error"),"Error",
IF(Input!AQ43="","-",ROUND(Y42+AI42+AL42,2))),""))</f>
        <v/>
      </c>
      <c r="AN42" s="187" t="str">
        <f>IF(F42&lt;&gt;"",VLOOKUP(AM42,TRANSMUTATION!$A$2:$B$14,2),"")</f>
        <v/>
      </c>
      <c r="AO42" s="244" t="str">
        <f t="shared" si="3"/>
        <v/>
      </c>
      <c r="AT42" s="101"/>
    </row>
    <row r="43" spans="1:46" ht="15" customHeight="1" x14ac:dyDescent="0.2">
      <c r="A43" s="101"/>
      <c r="B43" s="253"/>
      <c r="C43" s="206">
        <v>37</v>
      </c>
      <c r="D43" s="215" t="str">
        <f>IF(Input!D44&lt;&gt;"",IF(F43&lt;&gt;"",Input!D44,""),"")</f>
        <v/>
      </c>
      <c r="E43" s="321"/>
      <c r="F43" s="322" t="str">
        <f>(IF(Input!F44&lt;&gt;"",Input!F44,""))</f>
        <v/>
      </c>
      <c r="G43" s="18"/>
      <c r="H43" s="18"/>
      <c r="I43" s="18"/>
      <c r="J43" s="18"/>
      <c r="K43" s="18"/>
      <c r="L43" s="18"/>
      <c r="M43" s="18"/>
      <c r="N43" s="18"/>
      <c r="O43" s="18"/>
      <c r="P43" s="18"/>
      <c r="Q43" s="18"/>
      <c r="R43" s="18"/>
      <c r="S43" s="18"/>
      <c r="T43" s="18"/>
      <c r="U43" s="18"/>
      <c r="V43" s="21"/>
      <c r="W43" s="177"/>
      <c r="X43" s="178" t="str">
        <f>Input!AK44</f>
        <v/>
      </c>
      <c r="Y43" s="329" t="str">
        <f t="shared" si="2"/>
        <v/>
      </c>
      <c r="Z43" s="179"/>
      <c r="AA43" s="180" t="str">
        <f>IF(F43&lt;&gt;"",IF(Input!AL44&lt;&gt;"",Input!AL44,""),"")</f>
        <v/>
      </c>
      <c r="AB43" s="181" t="str">
        <f>IFERROR(IF($AA$5="","",IF(F43&lt;&gt;"",(Input!AL44/Input!$AL$6)*100,"")),"NA")</f>
        <v/>
      </c>
      <c r="AC43" s="182" t="str">
        <f>IF(F43&lt;&gt;"",IF(Input!AM44&lt;&gt;"",Input!AM44,""),"")</f>
        <v/>
      </c>
      <c r="AD43" s="181" t="str">
        <f>IFERROR(IF($AC$5="","",IF(F43&lt;&gt;"",(Input!AM44/Input!$AM$6)*100,"")),"NA")</f>
        <v/>
      </c>
      <c r="AE43" s="182" t="str">
        <f>IF(F43&lt;&gt;"",IF(Input!AN44&lt;&gt;"",Input!AN44,""),"")</f>
        <v/>
      </c>
      <c r="AF43" s="181" t="str">
        <f>IFERROR(IF($AE$5="","",IF(F43&lt;&gt;"",(Input!AN44/Input!$AN$6)*100,"")),"NA")</f>
        <v/>
      </c>
      <c r="AG43" s="183" t="str">
        <f>IF(F43&lt;&gt;"",IF(Input!AO44&lt;&gt;"",Input!AO44,""),"")</f>
        <v/>
      </c>
      <c r="AH43" s="181" t="str">
        <f>IFERROR(IF($AG$5="","",IF(F43&lt;&gt;"",(Input!AO44/Input!$AO$6)*100,"")),"NA")</f>
        <v/>
      </c>
      <c r="AI43" s="327" t="str">
        <f>IF(Input!AP44="Error","Error",IF(F43="","",IF($AA$5="",0,IF(F43&lt;&gt;"",IFERROR(AVERAGE(AB43,AD43,AF43,AH43)*$AI$4,0),""))))</f>
        <v/>
      </c>
      <c r="AJ43" s="179"/>
      <c r="AK43" s="184" t="str">
        <f>IF(Input!AQ44="","",IF(F43&lt;&gt;"",Input!AQ44,""))</f>
        <v/>
      </c>
      <c r="AL43" s="185" t="str">
        <f>IF(F43="", "",IF(Input!AR44="Error", "Error",IF(ISNUMBER(Input!AR44), Input!AR44*$AL$4,"")))</f>
        <v/>
      </c>
      <c r="AM43" s="332" t="str">
        <f>IF(V43="D","Drp",
IF(F43&lt;&gt;"",
IF(OR(Y43="Error",AI43="Error",AL43="Error"),"Error",
IF(Input!AQ44="","-",ROUND(Y43+AI43+AL43,2))),""))</f>
        <v/>
      </c>
      <c r="AN43" s="187" t="str">
        <f>IF(F43&lt;&gt;"",VLOOKUP(AM43,TRANSMUTATION!$A$2:$B$14,2),"")</f>
        <v/>
      </c>
      <c r="AO43" s="244" t="str">
        <f t="shared" si="3"/>
        <v/>
      </c>
      <c r="AT43" s="101"/>
    </row>
    <row r="44" spans="1:46" ht="15" customHeight="1" x14ac:dyDescent="0.2">
      <c r="A44" s="101"/>
      <c r="B44" s="253"/>
      <c r="C44" s="206">
        <v>38</v>
      </c>
      <c r="D44" s="215" t="str">
        <f>IF(Input!D45&lt;&gt;"",IF(F44&lt;&gt;"",Input!D45,""),"")</f>
        <v/>
      </c>
      <c r="E44" s="321"/>
      <c r="F44" s="322" t="str">
        <f>(IF(Input!F45&lt;&gt;"",Input!F45,""))</f>
        <v/>
      </c>
      <c r="G44" s="18"/>
      <c r="H44" s="18"/>
      <c r="I44" s="18"/>
      <c r="J44" s="18"/>
      <c r="K44" s="18"/>
      <c r="L44" s="18"/>
      <c r="M44" s="18"/>
      <c r="N44" s="18"/>
      <c r="O44" s="18"/>
      <c r="P44" s="18"/>
      <c r="Q44" s="18"/>
      <c r="R44" s="18"/>
      <c r="S44" s="18"/>
      <c r="T44" s="18"/>
      <c r="U44" s="18"/>
      <c r="V44" s="21"/>
      <c r="W44" s="177"/>
      <c r="X44" s="178" t="str">
        <f>Input!AK45</f>
        <v/>
      </c>
      <c r="Y44" s="329" t="str">
        <f t="shared" si="2"/>
        <v/>
      </c>
      <c r="Z44" s="179"/>
      <c r="AA44" s="180" t="str">
        <f>IF(F44&lt;&gt;"",IF(Input!AL45&lt;&gt;"",Input!AL45,""),"")</f>
        <v/>
      </c>
      <c r="AB44" s="181" t="str">
        <f>IFERROR(IF($AA$5="","",IF(F44&lt;&gt;"",(Input!AL45/Input!$AL$6)*100,"")),"NA")</f>
        <v/>
      </c>
      <c r="AC44" s="182" t="str">
        <f>IF(F44&lt;&gt;"",IF(Input!AM45&lt;&gt;"",Input!AM45,""),"")</f>
        <v/>
      </c>
      <c r="AD44" s="181" t="str">
        <f>IFERROR(IF($AC$5="","",IF(F44&lt;&gt;"",(Input!AM45/Input!$AM$6)*100,"")),"NA")</f>
        <v/>
      </c>
      <c r="AE44" s="182" t="str">
        <f>IF(F44&lt;&gt;"",IF(Input!AN45&lt;&gt;"",Input!AN45,""),"")</f>
        <v/>
      </c>
      <c r="AF44" s="181" t="str">
        <f>IFERROR(IF($AE$5="","",IF(F44&lt;&gt;"",(Input!AN45/Input!$AN$6)*100,"")),"NA")</f>
        <v/>
      </c>
      <c r="AG44" s="183" t="str">
        <f>IF(F44&lt;&gt;"",IF(Input!AO45&lt;&gt;"",Input!AO45,""),"")</f>
        <v/>
      </c>
      <c r="AH44" s="181" t="str">
        <f>IFERROR(IF($AG$5="","",IF(F44&lt;&gt;"",(Input!AO45/Input!$AO$6)*100,"")),"NA")</f>
        <v/>
      </c>
      <c r="AI44" s="327" t="str">
        <f>IF(Input!AP45="Error","Error",IF(F44="","",IF($AA$5="",0,IF(F44&lt;&gt;"",IFERROR(AVERAGE(AB44,AD44,AF44,AH44)*$AI$4,0),""))))</f>
        <v/>
      </c>
      <c r="AJ44" s="179"/>
      <c r="AK44" s="184" t="str">
        <f>IF(Input!AQ45="","",IF(F44&lt;&gt;"",Input!AQ45,""))</f>
        <v/>
      </c>
      <c r="AL44" s="185" t="str">
        <f>IF(F44="", "",IF(Input!AR45="Error", "Error",IF(ISNUMBER(Input!AR45), Input!AR45*$AL$4,"")))</f>
        <v/>
      </c>
      <c r="AM44" s="332" t="str">
        <f>IF(V44="D","Drp",
IF(F44&lt;&gt;"",
IF(OR(Y44="Error",AI44="Error",AL44="Error"),"Error",
IF(Input!AQ45="","-",ROUND(Y44+AI44+AL44,2))),""))</f>
        <v/>
      </c>
      <c r="AN44" s="187" t="str">
        <f>IF(F44&lt;&gt;"",VLOOKUP(AM44,TRANSMUTATION!$A$2:$B$14,2),"")</f>
        <v/>
      </c>
      <c r="AO44" s="244" t="str">
        <f t="shared" si="3"/>
        <v/>
      </c>
      <c r="AT44" s="101"/>
    </row>
    <row r="45" spans="1:46" ht="15" customHeight="1" x14ac:dyDescent="0.2">
      <c r="A45" s="101"/>
      <c r="B45" s="253"/>
      <c r="C45" s="206">
        <v>39</v>
      </c>
      <c r="D45" s="215" t="str">
        <f>IF(Input!D46&lt;&gt;"",IF(F45&lt;&gt;"",Input!D46,""),"")</f>
        <v/>
      </c>
      <c r="E45" s="321"/>
      <c r="F45" s="322" t="str">
        <f>(IF(Input!F46&lt;&gt;"",Input!F46,""))</f>
        <v/>
      </c>
      <c r="G45" s="18"/>
      <c r="H45" s="18"/>
      <c r="I45" s="18"/>
      <c r="J45" s="18"/>
      <c r="K45" s="18"/>
      <c r="L45" s="18"/>
      <c r="M45" s="18"/>
      <c r="N45" s="18"/>
      <c r="O45" s="18"/>
      <c r="P45" s="18"/>
      <c r="Q45" s="18"/>
      <c r="R45" s="18"/>
      <c r="S45" s="18"/>
      <c r="T45" s="18"/>
      <c r="U45" s="18"/>
      <c r="V45" s="21"/>
      <c r="W45" s="177"/>
      <c r="X45" s="178" t="str">
        <f>Input!AK46</f>
        <v/>
      </c>
      <c r="Y45" s="329" t="str">
        <f t="shared" si="2"/>
        <v/>
      </c>
      <c r="Z45" s="179"/>
      <c r="AA45" s="180" t="str">
        <f>IF(F45&lt;&gt;"",IF(Input!AL46&lt;&gt;"",Input!AL46,""),"")</f>
        <v/>
      </c>
      <c r="AB45" s="181" t="str">
        <f>IFERROR(IF($AA$5="","",IF(F45&lt;&gt;"",(Input!AL46/Input!$AL$6)*100,"")),"NA")</f>
        <v/>
      </c>
      <c r="AC45" s="182" t="str">
        <f>IF(F45&lt;&gt;"",IF(Input!AM46&lt;&gt;"",Input!AM46,""),"")</f>
        <v/>
      </c>
      <c r="AD45" s="181" t="str">
        <f>IFERROR(IF($AC$5="","",IF(F45&lt;&gt;"",(Input!AM46/Input!$AM$6)*100,"")),"NA")</f>
        <v/>
      </c>
      <c r="AE45" s="182" t="str">
        <f>IF(F45&lt;&gt;"",IF(Input!AN46&lt;&gt;"",Input!AN46,""),"")</f>
        <v/>
      </c>
      <c r="AF45" s="181" t="str">
        <f>IFERROR(IF($AE$5="","",IF(F45&lt;&gt;"",(Input!AN46/Input!$AN$6)*100,"")),"NA")</f>
        <v/>
      </c>
      <c r="AG45" s="183" t="str">
        <f>IF(F45&lt;&gt;"",IF(Input!AO46&lt;&gt;"",Input!AO46,""),"")</f>
        <v/>
      </c>
      <c r="AH45" s="181" t="str">
        <f>IFERROR(IF($AG$5="","",IF(F45&lt;&gt;"",(Input!AO46/Input!$AO$6)*100,"")),"NA")</f>
        <v/>
      </c>
      <c r="AI45" s="327" t="str">
        <f>IF(Input!AP46="Error","Error",IF(F45="","",IF($AA$5="",0,IF(F45&lt;&gt;"",IFERROR(AVERAGE(AB45,AD45,AF45,AH45)*$AI$4,0),""))))</f>
        <v/>
      </c>
      <c r="AJ45" s="179"/>
      <c r="AK45" s="184" t="str">
        <f>IF(Input!AQ46="","",IF(F45&lt;&gt;"",Input!AQ46,""))</f>
        <v/>
      </c>
      <c r="AL45" s="185" t="str">
        <f>IF(F45="", "",IF(Input!AR46="Error", "Error",IF(ISNUMBER(Input!AR46), Input!AR46*$AL$4,"")))</f>
        <v/>
      </c>
      <c r="AM45" s="332" t="str">
        <f>IF(V45="D","Drp",
IF(F45&lt;&gt;"",
IF(OR(Y45="Error",AI45="Error",AL45="Error"),"Error",
IF(Input!AQ46="","-",ROUND(Y45+AI45+AL45,2))),""))</f>
        <v/>
      </c>
      <c r="AN45" s="187" t="str">
        <f>IF(F45&lt;&gt;"",VLOOKUP(AM45,TRANSMUTATION!$A$2:$B$14,2),"")</f>
        <v/>
      </c>
      <c r="AO45" s="244" t="str">
        <f t="shared" si="3"/>
        <v/>
      </c>
      <c r="AT45" s="101"/>
    </row>
    <row r="46" spans="1:46" ht="15" customHeight="1" x14ac:dyDescent="0.2">
      <c r="A46" s="101"/>
      <c r="B46" s="253"/>
      <c r="C46" s="206">
        <v>40</v>
      </c>
      <c r="D46" s="215" t="str">
        <f>IF(Input!D47&lt;&gt;"",IF(F46&lt;&gt;"",Input!D47,""),"")</f>
        <v/>
      </c>
      <c r="E46" s="321"/>
      <c r="F46" s="322" t="str">
        <f>(IF(Input!F47&lt;&gt;"",Input!F47,""))</f>
        <v/>
      </c>
      <c r="G46" s="18"/>
      <c r="H46" s="18"/>
      <c r="I46" s="18"/>
      <c r="J46" s="18"/>
      <c r="K46" s="18"/>
      <c r="L46" s="18"/>
      <c r="M46" s="18"/>
      <c r="N46" s="18"/>
      <c r="O46" s="18"/>
      <c r="P46" s="18"/>
      <c r="Q46" s="18"/>
      <c r="R46" s="18"/>
      <c r="S46" s="18"/>
      <c r="T46" s="18"/>
      <c r="U46" s="18"/>
      <c r="V46" s="21"/>
      <c r="W46" s="177"/>
      <c r="X46" s="178" t="str">
        <f>Input!AK47</f>
        <v/>
      </c>
      <c r="Y46" s="329" t="str">
        <f t="shared" si="2"/>
        <v/>
      </c>
      <c r="Z46" s="179"/>
      <c r="AA46" s="180" t="str">
        <f>IF(F46&lt;&gt;"",IF(Input!AL47&lt;&gt;"",Input!AL47,""),"")</f>
        <v/>
      </c>
      <c r="AB46" s="181" t="str">
        <f>IFERROR(IF($AA$5="","",IF(F46&lt;&gt;"",(Input!AL47/Input!$AL$6)*100,"")),"NA")</f>
        <v/>
      </c>
      <c r="AC46" s="182" t="str">
        <f>IF(F46&lt;&gt;"",IF(Input!AM47&lt;&gt;"",Input!AM47,""),"")</f>
        <v/>
      </c>
      <c r="AD46" s="181" t="str">
        <f>IFERROR(IF($AC$5="","",IF(F46&lt;&gt;"",(Input!AM47/Input!$AM$6)*100,"")),"NA")</f>
        <v/>
      </c>
      <c r="AE46" s="182" t="str">
        <f>IF(F46&lt;&gt;"",IF(Input!AN47&lt;&gt;"",Input!AN47,""),"")</f>
        <v/>
      </c>
      <c r="AF46" s="181" t="str">
        <f>IFERROR(IF($AE$5="","",IF(F46&lt;&gt;"",(Input!AN47/Input!$AN$6)*100,"")),"NA")</f>
        <v/>
      </c>
      <c r="AG46" s="183" t="str">
        <f>IF(F46&lt;&gt;"",IF(Input!AO47&lt;&gt;"",Input!AO47,""),"")</f>
        <v/>
      </c>
      <c r="AH46" s="181" t="str">
        <f>IFERROR(IF($AG$5="","",IF(F46&lt;&gt;"",(Input!AO47/Input!$AO$6)*100,"")),"NA")</f>
        <v/>
      </c>
      <c r="AI46" s="327" t="str">
        <f>IF(Input!AP47="Error","Error",IF(F46="","",IF($AA$5="",0,IF(F46&lt;&gt;"",IFERROR(AVERAGE(AB46,AD46,AF46,AH46)*$AI$4,0),""))))</f>
        <v/>
      </c>
      <c r="AJ46" s="179"/>
      <c r="AK46" s="184" t="str">
        <f>IF(Input!AQ47="","",IF(F46&lt;&gt;"",Input!AQ47,""))</f>
        <v/>
      </c>
      <c r="AL46" s="185" t="str">
        <f>IF(F46="", "",IF(Input!AR47="Error", "Error",IF(ISNUMBER(Input!AR47), Input!AR47*$AL$4,"")))</f>
        <v/>
      </c>
      <c r="AM46" s="332" t="str">
        <f>IF(V46="D","Drp",
IF(F46&lt;&gt;"",
IF(OR(Y46="Error",AI46="Error",AL46="Error"),"Error",
IF(Input!AQ47="","-",ROUND(Y46+AI46+AL46,2))),""))</f>
        <v/>
      </c>
      <c r="AN46" s="187" t="str">
        <f>IF(F46&lt;&gt;"",VLOOKUP(AM46,TRANSMUTATION!$A$2:$B$14,2),"")</f>
        <v/>
      </c>
      <c r="AO46" s="244" t="str">
        <f t="shared" si="3"/>
        <v/>
      </c>
      <c r="AT46" s="101"/>
    </row>
    <row r="47" spans="1:46" ht="15" customHeight="1" x14ac:dyDescent="0.2">
      <c r="A47" s="101"/>
      <c r="B47" s="253"/>
      <c r="C47" s="206">
        <v>41</v>
      </c>
      <c r="D47" s="215" t="str">
        <f>IF(Input!D48&lt;&gt;"",IF(F47&lt;&gt;"",Input!D48,""),"")</f>
        <v/>
      </c>
      <c r="E47" s="321"/>
      <c r="F47" s="322" t="str">
        <f>(IF(Input!F48&lt;&gt;"",Input!F48,""))</f>
        <v/>
      </c>
      <c r="G47" s="18"/>
      <c r="H47" s="18"/>
      <c r="I47" s="18"/>
      <c r="J47" s="18"/>
      <c r="K47" s="18"/>
      <c r="L47" s="18"/>
      <c r="M47" s="18"/>
      <c r="N47" s="18"/>
      <c r="O47" s="18"/>
      <c r="P47" s="18"/>
      <c r="Q47" s="18"/>
      <c r="R47" s="18"/>
      <c r="S47" s="18"/>
      <c r="T47" s="18"/>
      <c r="U47" s="18"/>
      <c r="V47" s="21"/>
      <c r="W47" s="177"/>
      <c r="X47" s="178" t="str">
        <f>Input!AK48</f>
        <v/>
      </c>
      <c r="Y47" s="329" t="str">
        <f t="shared" si="2"/>
        <v/>
      </c>
      <c r="Z47" s="179"/>
      <c r="AA47" s="180" t="str">
        <f>IF(F47&lt;&gt;"",IF(Input!AL48&lt;&gt;"",Input!AL48,""),"")</f>
        <v/>
      </c>
      <c r="AB47" s="181" t="str">
        <f>IFERROR(IF($AA$5="","",IF(F47&lt;&gt;"",(Input!AL48/Input!$AL$6)*100,"")),"NA")</f>
        <v/>
      </c>
      <c r="AC47" s="182" t="str">
        <f>IF(F47&lt;&gt;"",IF(Input!AM48&lt;&gt;"",Input!AM48,""),"")</f>
        <v/>
      </c>
      <c r="AD47" s="181" t="str">
        <f>IFERROR(IF($AC$5="","",IF(F47&lt;&gt;"",(Input!AM48/Input!$AM$6)*100,"")),"NA")</f>
        <v/>
      </c>
      <c r="AE47" s="182" t="str">
        <f>IF(F47&lt;&gt;"",IF(Input!AN48&lt;&gt;"",Input!AN48,""),"")</f>
        <v/>
      </c>
      <c r="AF47" s="181" t="str">
        <f>IFERROR(IF($AE$5="","",IF(F47&lt;&gt;"",(Input!AN48/Input!$AN$6)*100,"")),"NA")</f>
        <v/>
      </c>
      <c r="AG47" s="183" t="str">
        <f>IF(F47&lt;&gt;"",IF(Input!AO48&lt;&gt;"",Input!AO48,""),"")</f>
        <v/>
      </c>
      <c r="AH47" s="181" t="str">
        <f>IFERROR(IF($AG$5="","",IF(F47&lt;&gt;"",(Input!AO48/Input!$AO$6)*100,"")),"NA")</f>
        <v/>
      </c>
      <c r="AI47" s="327" t="str">
        <f>IF(Input!AP48="Error","Error",IF(F47="","",IF($AA$5="",0,IF(F47&lt;&gt;"",IFERROR(AVERAGE(AB47,AD47,AF47,AH47)*$AI$4,0),""))))</f>
        <v/>
      </c>
      <c r="AJ47" s="179"/>
      <c r="AK47" s="184" t="str">
        <f>IF(Input!AQ48="","",IF(F47&lt;&gt;"",Input!AQ48,""))</f>
        <v/>
      </c>
      <c r="AL47" s="185" t="str">
        <f>IF(F47="", "",IF(Input!AR48="Error", "Error",IF(ISNUMBER(Input!AR48), Input!AR48*$AL$4,"")))</f>
        <v/>
      </c>
      <c r="AM47" s="332" t="str">
        <f>IF(V47="D","Drp",
IF(F47&lt;&gt;"",
IF(OR(Y47="Error",AI47="Error",AL47="Error"),"Error",
IF(Input!AQ48="","-",ROUND(Y47+AI47+AL47,2))),""))</f>
        <v/>
      </c>
      <c r="AN47" s="187" t="str">
        <f>IF(F47&lt;&gt;"",VLOOKUP(AM47,TRANSMUTATION!$A$2:$B$14,2),"")</f>
        <v/>
      </c>
      <c r="AO47" s="244" t="str">
        <f t="shared" si="3"/>
        <v/>
      </c>
      <c r="AT47" s="101"/>
    </row>
    <row r="48" spans="1:46" ht="15" customHeight="1" x14ac:dyDescent="0.2">
      <c r="A48" s="101"/>
      <c r="B48" s="253"/>
      <c r="C48" s="206">
        <v>42</v>
      </c>
      <c r="D48" s="215" t="str">
        <f>IF(Input!D49&lt;&gt;"",IF(F48&lt;&gt;"",Input!D49,""),"")</f>
        <v/>
      </c>
      <c r="E48" s="321"/>
      <c r="F48" s="322" t="str">
        <f>(IF(Input!F49&lt;&gt;"",Input!F49,""))</f>
        <v/>
      </c>
      <c r="G48" s="18"/>
      <c r="H48" s="18"/>
      <c r="I48" s="18"/>
      <c r="J48" s="18"/>
      <c r="K48" s="18"/>
      <c r="L48" s="18"/>
      <c r="M48" s="18"/>
      <c r="N48" s="18"/>
      <c r="O48" s="18"/>
      <c r="P48" s="18"/>
      <c r="Q48" s="18"/>
      <c r="R48" s="18"/>
      <c r="S48" s="18"/>
      <c r="T48" s="18"/>
      <c r="U48" s="18"/>
      <c r="V48" s="21"/>
      <c r="W48" s="177"/>
      <c r="X48" s="178" t="str">
        <f>Input!AK49</f>
        <v/>
      </c>
      <c r="Y48" s="329" t="str">
        <f t="shared" si="2"/>
        <v/>
      </c>
      <c r="Z48" s="179"/>
      <c r="AA48" s="180" t="str">
        <f>IF(F48&lt;&gt;"",IF(Input!AL49&lt;&gt;"",Input!AL49,""),"")</f>
        <v/>
      </c>
      <c r="AB48" s="181" t="str">
        <f>IFERROR(IF($AA$5="","",IF(F48&lt;&gt;"",(Input!AL49/Input!$AL$6)*100,"")),"NA")</f>
        <v/>
      </c>
      <c r="AC48" s="182" t="str">
        <f>IF(F48&lt;&gt;"",IF(Input!AM49&lt;&gt;"",Input!AM49,""),"")</f>
        <v/>
      </c>
      <c r="AD48" s="181" t="str">
        <f>IFERROR(IF($AC$5="","",IF(F48&lt;&gt;"",(Input!AM49/Input!$AM$6)*100,"")),"NA")</f>
        <v/>
      </c>
      <c r="AE48" s="182" t="str">
        <f>IF(F48&lt;&gt;"",IF(Input!AN49&lt;&gt;"",Input!AN49,""),"")</f>
        <v/>
      </c>
      <c r="AF48" s="181" t="str">
        <f>IFERROR(IF($AE$5="","",IF(F48&lt;&gt;"",(Input!AN49/Input!$AN$6)*100,"")),"NA")</f>
        <v/>
      </c>
      <c r="AG48" s="183" t="str">
        <f>IF(F48&lt;&gt;"",IF(Input!AO49&lt;&gt;"",Input!AO49,""),"")</f>
        <v/>
      </c>
      <c r="AH48" s="181" t="str">
        <f>IFERROR(IF($AG$5="","",IF(F48&lt;&gt;"",(Input!AO49/Input!$AO$6)*100,"")),"NA")</f>
        <v/>
      </c>
      <c r="AI48" s="327" t="str">
        <f>IF(Input!AP49="Error","Error",IF(F48="","",IF($AA$5="",0,IF(F48&lt;&gt;"",IFERROR(AVERAGE(AB48,AD48,AF48,AH48)*$AI$4,0),""))))</f>
        <v/>
      </c>
      <c r="AJ48" s="179"/>
      <c r="AK48" s="184" t="str">
        <f>IF(Input!AQ49="","",IF(F48&lt;&gt;"",Input!AQ49,""))</f>
        <v/>
      </c>
      <c r="AL48" s="185" t="str">
        <f>IF(F48="", "",IF(Input!AR49="Error", "Error",IF(ISNUMBER(Input!AR49), Input!AR49*$AL$4,"")))</f>
        <v/>
      </c>
      <c r="AM48" s="332" t="str">
        <f>IF(V48="D","Drp",
IF(F48&lt;&gt;"",
IF(OR(Y48="Error",AI48="Error",AL48="Error"),"Error",
IF(Input!AQ49="","-",ROUND(Y48+AI48+AL48,2))),""))</f>
        <v/>
      </c>
      <c r="AN48" s="187" t="str">
        <f>IF(F48&lt;&gt;"",VLOOKUP(AM48,TRANSMUTATION!$A$2:$B$14,2),"")</f>
        <v/>
      </c>
      <c r="AO48" s="244" t="str">
        <f t="shared" si="3"/>
        <v/>
      </c>
      <c r="AT48" s="101"/>
    </row>
    <row r="49" spans="1:46" ht="15" customHeight="1" x14ac:dyDescent="0.2">
      <c r="A49" s="101"/>
      <c r="B49" s="253"/>
      <c r="C49" s="206">
        <v>43</v>
      </c>
      <c r="D49" s="215" t="str">
        <f>IF(Input!D50&lt;&gt;"",IF(F49&lt;&gt;"",Input!D50,""),"")</f>
        <v/>
      </c>
      <c r="E49" s="321"/>
      <c r="F49" s="322" t="str">
        <f>(IF(Input!F50&lt;&gt;"",Input!F50,""))</f>
        <v/>
      </c>
      <c r="G49" s="18"/>
      <c r="H49" s="18"/>
      <c r="I49" s="18"/>
      <c r="J49" s="18"/>
      <c r="K49" s="18"/>
      <c r="L49" s="18"/>
      <c r="M49" s="18"/>
      <c r="N49" s="18"/>
      <c r="O49" s="18"/>
      <c r="P49" s="18"/>
      <c r="Q49" s="18"/>
      <c r="R49" s="18"/>
      <c r="S49" s="18"/>
      <c r="T49" s="18"/>
      <c r="U49" s="18"/>
      <c r="V49" s="21"/>
      <c r="W49" s="177"/>
      <c r="X49" s="178" t="str">
        <f>Input!AK50</f>
        <v/>
      </c>
      <c r="Y49" s="329" t="str">
        <f t="shared" si="2"/>
        <v/>
      </c>
      <c r="Z49" s="179"/>
      <c r="AA49" s="180" t="str">
        <f>IF(F49&lt;&gt;"",IF(Input!AL50&lt;&gt;"",Input!AL50,""),"")</f>
        <v/>
      </c>
      <c r="AB49" s="181" t="str">
        <f>IFERROR(IF($AA$5="","",IF(F49&lt;&gt;"",(Input!AL50/Input!$AL$6)*100,"")),"NA")</f>
        <v/>
      </c>
      <c r="AC49" s="182" t="str">
        <f>IF(F49&lt;&gt;"",IF(Input!AM50&lt;&gt;"",Input!AM50,""),"")</f>
        <v/>
      </c>
      <c r="AD49" s="181" t="str">
        <f>IFERROR(IF($AC$5="","",IF(F49&lt;&gt;"",(Input!AM50/Input!$AM$6)*100,"")),"NA")</f>
        <v/>
      </c>
      <c r="AE49" s="182" t="str">
        <f>IF(F49&lt;&gt;"",IF(Input!AN50&lt;&gt;"",Input!AN50,""),"")</f>
        <v/>
      </c>
      <c r="AF49" s="181" t="str">
        <f>IFERROR(IF($AE$5="","",IF(F49&lt;&gt;"",(Input!AN50/Input!$AN$6)*100,"")),"NA")</f>
        <v/>
      </c>
      <c r="AG49" s="183" t="str">
        <f>IF(F49&lt;&gt;"",IF(Input!AO50&lt;&gt;"",Input!AO50,""),"")</f>
        <v/>
      </c>
      <c r="AH49" s="181" t="str">
        <f>IFERROR(IF($AG$5="","",IF(F49&lt;&gt;"",(Input!AO50/Input!$AO$6)*100,"")),"NA")</f>
        <v/>
      </c>
      <c r="AI49" s="327" t="str">
        <f>IF(Input!AP50="Error","Error",IF(F49="","",IF($AA$5="",0,IF(F49&lt;&gt;"",IFERROR(AVERAGE(AB49,AD49,AF49,AH49)*$AI$4,0),""))))</f>
        <v/>
      </c>
      <c r="AJ49" s="179"/>
      <c r="AK49" s="184" t="str">
        <f>IF(Input!AQ50="","",IF(F49&lt;&gt;"",Input!AQ50,""))</f>
        <v/>
      </c>
      <c r="AL49" s="185" t="str">
        <f>IF(F49="", "",IF(Input!AR50="Error", "Error",IF(ISNUMBER(Input!AR50), Input!AR50*$AL$4,"")))</f>
        <v/>
      </c>
      <c r="AM49" s="332" t="str">
        <f>IF(V49="D","Drp",
IF(F49&lt;&gt;"",
IF(OR(Y49="Error",AI49="Error",AL49="Error"),"Error",
IF(Input!AQ50="","-",ROUND(Y49+AI49+AL49,2))),""))</f>
        <v/>
      </c>
      <c r="AN49" s="187" t="str">
        <f>IF(F49&lt;&gt;"",VLOOKUP(AM49,TRANSMUTATION!$A$2:$B$14,2),"")</f>
        <v/>
      </c>
      <c r="AO49" s="244" t="str">
        <f t="shared" si="3"/>
        <v/>
      </c>
      <c r="AT49" s="101"/>
    </row>
    <row r="50" spans="1:46" ht="15" customHeight="1" x14ac:dyDescent="0.2">
      <c r="A50" s="101"/>
      <c r="B50" s="253"/>
      <c r="C50" s="206">
        <v>44</v>
      </c>
      <c r="D50" s="215" t="str">
        <f>IF(Input!D51&lt;&gt;"",IF(F50&lt;&gt;"",Input!D51,""),"")</f>
        <v/>
      </c>
      <c r="E50" s="321"/>
      <c r="F50" s="322" t="str">
        <f>(IF(Input!F51&lt;&gt;"",Input!F51,""))</f>
        <v/>
      </c>
      <c r="G50" s="18"/>
      <c r="H50" s="18"/>
      <c r="I50" s="18"/>
      <c r="J50" s="18"/>
      <c r="K50" s="18"/>
      <c r="L50" s="18"/>
      <c r="M50" s="18"/>
      <c r="N50" s="18"/>
      <c r="O50" s="18"/>
      <c r="P50" s="18"/>
      <c r="Q50" s="18"/>
      <c r="R50" s="18"/>
      <c r="S50" s="18"/>
      <c r="T50" s="18"/>
      <c r="U50" s="18"/>
      <c r="V50" s="21"/>
      <c r="W50" s="177"/>
      <c r="X50" s="178" t="str">
        <f>Input!AK51</f>
        <v/>
      </c>
      <c r="Y50" s="329" t="str">
        <f t="shared" si="2"/>
        <v/>
      </c>
      <c r="Z50" s="179"/>
      <c r="AA50" s="180" t="str">
        <f>IF(F50&lt;&gt;"",IF(Input!AL51&lt;&gt;"",Input!AL51,""),"")</f>
        <v/>
      </c>
      <c r="AB50" s="181" t="str">
        <f>IFERROR(IF($AA$5="","",IF(F50&lt;&gt;"",(Input!AL51/Input!$AL$6)*100,"")),"NA")</f>
        <v/>
      </c>
      <c r="AC50" s="182" t="str">
        <f>IF(F50&lt;&gt;"",IF(Input!AM51&lt;&gt;"",Input!AM51,""),"")</f>
        <v/>
      </c>
      <c r="AD50" s="181" t="str">
        <f>IFERROR(IF($AC$5="","",IF(F50&lt;&gt;"",(Input!AM51/Input!$AM$6)*100,"")),"NA")</f>
        <v/>
      </c>
      <c r="AE50" s="182" t="str">
        <f>IF(F50&lt;&gt;"",IF(Input!AN51&lt;&gt;"",Input!AN51,""),"")</f>
        <v/>
      </c>
      <c r="AF50" s="181" t="str">
        <f>IFERROR(IF($AE$5="","",IF(F50&lt;&gt;"",(Input!AN51/Input!$AN$6)*100,"")),"NA")</f>
        <v/>
      </c>
      <c r="AG50" s="183" t="str">
        <f>IF(F50&lt;&gt;"",IF(Input!AO51&lt;&gt;"",Input!AO51,""),"")</f>
        <v/>
      </c>
      <c r="AH50" s="181" t="str">
        <f>IFERROR(IF($AG$5="","",IF(F50&lt;&gt;"",(Input!AO51/Input!$AO$6)*100,"")),"NA")</f>
        <v/>
      </c>
      <c r="AI50" s="327" t="str">
        <f>IF(Input!AP51="Error","Error",IF(F50="","",IF($AA$5="",0,IF(F50&lt;&gt;"",IFERROR(AVERAGE(AB50,AD50,AF50,AH50)*$AI$4,0),""))))</f>
        <v/>
      </c>
      <c r="AJ50" s="179"/>
      <c r="AK50" s="184" t="str">
        <f>IF(Input!AQ51="","",IF(F50&lt;&gt;"",Input!AQ51,""))</f>
        <v/>
      </c>
      <c r="AL50" s="185" t="str">
        <f>IF(F50="", "",IF(Input!AR51="Error", "Error",IF(ISNUMBER(Input!AR51), Input!AR51*$AL$4,"")))</f>
        <v/>
      </c>
      <c r="AM50" s="332" t="str">
        <f>IF(V50="D","Drp",
IF(F50&lt;&gt;"",
IF(OR(Y50="Error",AI50="Error",AL50="Error"),"Error",
IF(Input!AQ51="","-",ROUND(Y50+AI50+AL50,2))),""))</f>
        <v/>
      </c>
      <c r="AN50" s="187" t="str">
        <f>IF(F50&lt;&gt;"",VLOOKUP(AM50,TRANSMUTATION!$A$2:$B$14,2),"")</f>
        <v/>
      </c>
      <c r="AO50" s="244" t="str">
        <f t="shared" si="3"/>
        <v/>
      </c>
      <c r="AT50" s="101"/>
    </row>
    <row r="51" spans="1:46" ht="15" customHeight="1" x14ac:dyDescent="0.2">
      <c r="A51" s="101"/>
      <c r="B51" s="253"/>
      <c r="C51" s="206">
        <v>45</v>
      </c>
      <c r="D51" s="215" t="str">
        <f>IF(Input!D52&lt;&gt;"",IF(F51&lt;&gt;"",Input!D52,""),"")</f>
        <v/>
      </c>
      <c r="E51" s="321"/>
      <c r="F51" s="322" t="str">
        <f>(IF(Input!F52&lt;&gt;"",Input!F52,""))</f>
        <v/>
      </c>
      <c r="G51" s="18"/>
      <c r="H51" s="18"/>
      <c r="I51" s="18"/>
      <c r="J51" s="18"/>
      <c r="K51" s="18"/>
      <c r="L51" s="18"/>
      <c r="M51" s="18"/>
      <c r="N51" s="18"/>
      <c r="O51" s="18"/>
      <c r="P51" s="18"/>
      <c r="Q51" s="18"/>
      <c r="R51" s="18"/>
      <c r="S51" s="18"/>
      <c r="T51" s="18"/>
      <c r="U51" s="18"/>
      <c r="V51" s="21"/>
      <c r="W51" s="177"/>
      <c r="X51" s="178" t="str">
        <f>Input!AK52</f>
        <v/>
      </c>
      <c r="Y51" s="329" t="str">
        <f t="shared" si="2"/>
        <v/>
      </c>
      <c r="Z51" s="179"/>
      <c r="AA51" s="180" t="str">
        <f>IF(F51&lt;&gt;"",IF(Input!AL52&lt;&gt;"",Input!AL52,""),"")</f>
        <v/>
      </c>
      <c r="AB51" s="181" t="str">
        <f>IFERROR(IF($AA$5="","",IF(F51&lt;&gt;"",(Input!AL52/Input!$AL$6)*100,"")),"NA")</f>
        <v/>
      </c>
      <c r="AC51" s="182" t="str">
        <f>IF(F51&lt;&gt;"",IF(Input!AM52&lt;&gt;"",Input!AM52,""),"")</f>
        <v/>
      </c>
      <c r="AD51" s="181" t="str">
        <f>IFERROR(IF($AC$5="","",IF(F51&lt;&gt;"",(Input!AM52/Input!$AM$6)*100,"")),"NA")</f>
        <v/>
      </c>
      <c r="AE51" s="182" t="str">
        <f>IF(F51&lt;&gt;"",IF(Input!AN52&lt;&gt;"",Input!AN52,""),"")</f>
        <v/>
      </c>
      <c r="AF51" s="181" t="str">
        <f>IFERROR(IF($AE$5="","",IF(F51&lt;&gt;"",(Input!AN52/Input!$AN$6)*100,"")),"NA")</f>
        <v/>
      </c>
      <c r="AG51" s="183" t="str">
        <f>IF(F51&lt;&gt;"",IF(Input!AO52&lt;&gt;"",Input!AO52,""),"")</f>
        <v/>
      </c>
      <c r="AH51" s="181" t="str">
        <f>IFERROR(IF($AG$5="","",IF(F51&lt;&gt;"",(Input!AO52/Input!$AO$6)*100,"")),"NA")</f>
        <v/>
      </c>
      <c r="AI51" s="327" t="str">
        <f>IF(Input!AP52="Error","Error",IF(F51="","",IF($AA$5="",0,IF(F51&lt;&gt;"",IFERROR(AVERAGE(AB51,AD51,AF51,AH51)*$AI$4,0),""))))</f>
        <v/>
      </c>
      <c r="AJ51" s="179"/>
      <c r="AK51" s="184" t="str">
        <f>IF(Input!AQ52="","",IF(F51&lt;&gt;"",Input!AQ52,""))</f>
        <v/>
      </c>
      <c r="AL51" s="185" t="str">
        <f>IF(F51="", "",IF(Input!AR52="Error", "Error",IF(ISNUMBER(Input!AR52), Input!AR52*$AL$4,"")))</f>
        <v/>
      </c>
      <c r="AM51" s="332" t="str">
        <f>IF(V51="D","Drp",
IF(F51&lt;&gt;"",
IF(OR(Y51="Error",AI51="Error",AL51="Error"),"Error",
IF(Input!AQ52="","-",ROUND(Y51+AI51+AL51,2))),""))</f>
        <v/>
      </c>
      <c r="AN51" s="187" t="str">
        <f>IF(F51&lt;&gt;"",VLOOKUP(AM51,TRANSMUTATION!$A$2:$B$14,2),"")</f>
        <v/>
      </c>
      <c r="AO51" s="244" t="str">
        <f t="shared" si="3"/>
        <v/>
      </c>
      <c r="AT51" s="101"/>
    </row>
    <row r="52" spans="1:46" ht="15" customHeight="1" x14ac:dyDescent="0.2">
      <c r="A52" s="101"/>
      <c r="B52" s="253"/>
      <c r="C52" s="206">
        <v>46</v>
      </c>
      <c r="D52" s="215" t="str">
        <f>IF(Input!D53&lt;&gt;"",IF(F52&lt;&gt;"",Input!D53,""),"")</f>
        <v/>
      </c>
      <c r="E52" s="321"/>
      <c r="F52" s="322" t="str">
        <f>(IF(Input!F53&lt;&gt;"",Input!F53,""))</f>
        <v/>
      </c>
      <c r="G52" s="18"/>
      <c r="H52" s="18"/>
      <c r="I52" s="18"/>
      <c r="J52" s="18"/>
      <c r="K52" s="18"/>
      <c r="L52" s="18"/>
      <c r="M52" s="18"/>
      <c r="N52" s="18"/>
      <c r="O52" s="18"/>
      <c r="P52" s="18"/>
      <c r="Q52" s="18"/>
      <c r="R52" s="18"/>
      <c r="S52" s="18"/>
      <c r="T52" s="18"/>
      <c r="U52" s="18"/>
      <c r="V52" s="21"/>
      <c r="W52" s="177"/>
      <c r="X52" s="178" t="str">
        <f>Input!AK53</f>
        <v/>
      </c>
      <c r="Y52" s="329" t="str">
        <f t="shared" si="2"/>
        <v/>
      </c>
      <c r="Z52" s="179"/>
      <c r="AA52" s="180" t="str">
        <f>IF(F52&lt;&gt;"",IF(Input!AL53&lt;&gt;"",Input!AL53,""),"")</f>
        <v/>
      </c>
      <c r="AB52" s="181" t="str">
        <f>IFERROR(IF($AA$5="","",IF(F52&lt;&gt;"",(Input!AL53/Input!$AL$6)*100,"")),"NA")</f>
        <v/>
      </c>
      <c r="AC52" s="182" t="str">
        <f>IF(F52&lt;&gt;"",IF(Input!AM53&lt;&gt;"",Input!AM53,""),"")</f>
        <v/>
      </c>
      <c r="AD52" s="181" t="str">
        <f>IFERROR(IF($AC$5="","",IF(F52&lt;&gt;"",(Input!AM53/Input!$AM$6)*100,"")),"NA")</f>
        <v/>
      </c>
      <c r="AE52" s="182" t="str">
        <f>IF(F52&lt;&gt;"",IF(Input!AN53&lt;&gt;"",Input!AN53,""),"")</f>
        <v/>
      </c>
      <c r="AF52" s="181" t="str">
        <f>IFERROR(IF($AE$5="","",IF(F52&lt;&gt;"",(Input!AN53/Input!$AN$6)*100,"")),"NA")</f>
        <v/>
      </c>
      <c r="AG52" s="183" t="str">
        <f>IF(F52&lt;&gt;"",IF(Input!AO53&lt;&gt;"",Input!AO53,""),"")</f>
        <v/>
      </c>
      <c r="AH52" s="181" t="str">
        <f>IFERROR(IF($AG$5="","",IF(F52&lt;&gt;"",(Input!AO53/Input!$AO$6)*100,"")),"NA")</f>
        <v/>
      </c>
      <c r="AI52" s="327" t="str">
        <f>IF(Input!AP53="Error","Error",IF(F52="","",IF($AA$5="",0,IF(F52&lt;&gt;"",IFERROR(AVERAGE(AB52,AD52,AF52,AH52)*$AI$4,0),""))))</f>
        <v/>
      </c>
      <c r="AJ52" s="179"/>
      <c r="AK52" s="184" t="str">
        <f>IF(Input!AQ53="","",IF(F52&lt;&gt;"",Input!AQ53,""))</f>
        <v/>
      </c>
      <c r="AL52" s="185" t="str">
        <f>IF(F52="", "",IF(Input!AR53="Error", "Error",IF(ISNUMBER(Input!AR53), Input!AR53*$AL$4,"")))</f>
        <v/>
      </c>
      <c r="AM52" s="332" t="str">
        <f>IF(V52="D","Drp",
IF(F52&lt;&gt;"",
IF(OR(Y52="Error",AI52="Error",AL52="Error"),"Error",
IF(Input!AQ53="","-",ROUND(Y52+AI52+AL52,2))),""))</f>
        <v/>
      </c>
      <c r="AN52" s="187" t="str">
        <f>IF(F52&lt;&gt;"",VLOOKUP(AM52,TRANSMUTATION!$A$2:$B$14,2),"")</f>
        <v/>
      </c>
      <c r="AO52" s="244" t="str">
        <f t="shared" si="3"/>
        <v/>
      </c>
      <c r="AT52" s="101"/>
    </row>
    <row r="53" spans="1:46" ht="15" customHeight="1" x14ac:dyDescent="0.2">
      <c r="A53" s="101"/>
      <c r="B53" s="253"/>
      <c r="C53" s="206">
        <v>47</v>
      </c>
      <c r="D53" s="215" t="str">
        <f>IF(Input!D54&lt;&gt;"",IF(F53&lt;&gt;"",Input!D54,""),"")</f>
        <v/>
      </c>
      <c r="E53" s="321"/>
      <c r="F53" s="322" t="str">
        <f>(IF(Input!F54&lt;&gt;"",Input!F54,""))</f>
        <v/>
      </c>
      <c r="G53" s="18"/>
      <c r="H53" s="18"/>
      <c r="I53" s="18"/>
      <c r="J53" s="18"/>
      <c r="K53" s="18"/>
      <c r="L53" s="18"/>
      <c r="M53" s="18"/>
      <c r="N53" s="18"/>
      <c r="O53" s="18"/>
      <c r="P53" s="18"/>
      <c r="Q53" s="18"/>
      <c r="R53" s="18"/>
      <c r="S53" s="18"/>
      <c r="T53" s="18"/>
      <c r="U53" s="18"/>
      <c r="V53" s="21"/>
      <c r="W53" s="177"/>
      <c r="X53" s="178" t="str">
        <f>Input!AK54</f>
        <v/>
      </c>
      <c r="Y53" s="329" t="str">
        <f t="shared" si="2"/>
        <v/>
      </c>
      <c r="Z53" s="179"/>
      <c r="AA53" s="180" t="str">
        <f>IF(F53&lt;&gt;"",IF(Input!AL54&lt;&gt;"",Input!AL54,""),"")</f>
        <v/>
      </c>
      <c r="AB53" s="181" t="str">
        <f>IFERROR(IF($AA$5="","",IF(F53&lt;&gt;"",(Input!AL54/Input!$AL$6)*100,"")),"NA")</f>
        <v/>
      </c>
      <c r="AC53" s="182" t="str">
        <f>IF(F53&lt;&gt;"",IF(Input!AM54&lt;&gt;"",Input!AM54,""),"")</f>
        <v/>
      </c>
      <c r="AD53" s="181" t="str">
        <f>IFERROR(IF($AC$5="","",IF(F53&lt;&gt;"",(Input!AM54/Input!$AM$6)*100,"")),"NA")</f>
        <v/>
      </c>
      <c r="AE53" s="182" t="str">
        <f>IF(F53&lt;&gt;"",IF(Input!AN54&lt;&gt;"",Input!AN54,""),"")</f>
        <v/>
      </c>
      <c r="AF53" s="181" t="str">
        <f>IFERROR(IF($AE$5="","",IF(F53&lt;&gt;"",(Input!AN54/Input!$AN$6)*100,"")),"NA")</f>
        <v/>
      </c>
      <c r="AG53" s="183" t="str">
        <f>IF(F53&lt;&gt;"",IF(Input!AO54&lt;&gt;"",Input!AO54,""),"")</f>
        <v/>
      </c>
      <c r="AH53" s="181" t="str">
        <f>IFERROR(IF($AG$5="","",IF(F53&lt;&gt;"",(Input!AO54/Input!$AO$6)*100,"")),"NA")</f>
        <v/>
      </c>
      <c r="AI53" s="327" t="str">
        <f>IF(Input!AP54="Error","Error",IF(F53="","",IF($AA$5="",0,IF(F53&lt;&gt;"",IFERROR(AVERAGE(AB53,AD53,AF53,AH53)*$AI$4,0),""))))</f>
        <v/>
      </c>
      <c r="AJ53" s="179"/>
      <c r="AK53" s="184" t="str">
        <f>IF(Input!AQ54="","",IF(F53&lt;&gt;"",Input!AQ54,""))</f>
        <v/>
      </c>
      <c r="AL53" s="185" t="str">
        <f>IF(F53="", "",IF(Input!AR54="Error", "Error",IF(ISNUMBER(Input!AR54), Input!AR54*$AL$4,"")))</f>
        <v/>
      </c>
      <c r="AM53" s="332" t="str">
        <f>IF(V53="D","Drp",
IF(F53&lt;&gt;"",
IF(OR(Y53="Error",AI53="Error",AL53="Error"),"Error",
IF(Input!AQ54="","-",ROUND(Y53+AI53+AL53,2))),""))</f>
        <v/>
      </c>
      <c r="AN53" s="187" t="str">
        <f>IF(F53&lt;&gt;"",VLOOKUP(AM53,TRANSMUTATION!$A$2:$B$14,2),"")</f>
        <v/>
      </c>
      <c r="AO53" s="244" t="str">
        <f t="shared" si="3"/>
        <v/>
      </c>
      <c r="AT53" s="101"/>
    </row>
    <row r="54" spans="1:46" ht="15" customHeight="1" x14ac:dyDescent="0.2">
      <c r="A54" s="101"/>
      <c r="B54" s="253"/>
      <c r="C54" s="206">
        <v>48</v>
      </c>
      <c r="D54" s="215" t="str">
        <f>IF(Input!D55&lt;&gt;"",IF(F54&lt;&gt;"",Input!D55,""),"")</f>
        <v/>
      </c>
      <c r="E54" s="321"/>
      <c r="F54" s="322" t="str">
        <f>(IF(Input!F55&lt;&gt;"",Input!F55,""))</f>
        <v/>
      </c>
      <c r="G54" s="18"/>
      <c r="H54" s="18"/>
      <c r="I54" s="18"/>
      <c r="J54" s="18"/>
      <c r="K54" s="18"/>
      <c r="L54" s="18"/>
      <c r="M54" s="18"/>
      <c r="N54" s="18"/>
      <c r="O54" s="18"/>
      <c r="P54" s="18"/>
      <c r="Q54" s="18"/>
      <c r="R54" s="18"/>
      <c r="S54" s="18"/>
      <c r="T54" s="18"/>
      <c r="U54" s="18"/>
      <c r="V54" s="21"/>
      <c r="W54" s="177"/>
      <c r="X54" s="178" t="str">
        <f>Input!AK55</f>
        <v/>
      </c>
      <c r="Y54" s="329" t="str">
        <f t="shared" si="2"/>
        <v/>
      </c>
      <c r="Z54" s="179"/>
      <c r="AA54" s="180" t="str">
        <f>IF(F54&lt;&gt;"",IF(Input!AL55&lt;&gt;"",Input!AL55,""),"")</f>
        <v/>
      </c>
      <c r="AB54" s="181" t="str">
        <f>IFERROR(IF($AA$5="","",IF(F54&lt;&gt;"",(Input!AL55/Input!$AL$6)*100,"")),"NA")</f>
        <v/>
      </c>
      <c r="AC54" s="182" t="str">
        <f>IF(F54&lt;&gt;"",IF(Input!AM55&lt;&gt;"",Input!AM55,""),"")</f>
        <v/>
      </c>
      <c r="AD54" s="181" t="str">
        <f>IFERROR(IF($AC$5="","",IF(F54&lt;&gt;"",(Input!AM55/Input!$AM$6)*100,"")),"NA")</f>
        <v/>
      </c>
      <c r="AE54" s="182" t="str">
        <f>IF(F54&lt;&gt;"",IF(Input!AN55&lt;&gt;"",Input!AN55,""),"")</f>
        <v/>
      </c>
      <c r="AF54" s="181" t="str">
        <f>IFERROR(IF($AE$5="","",IF(F54&lt;&gt;"",(Input!AN55/Input!$AN$6)*100,"")),"NA")</f>
        <v/>
      </c>
      <c r="AG54" s="183" t="str">
        <f>IF(F54&lt;&gt;"",IF(Input!AO55&lt;&gt;"",Input!AO55,""),"")</f>
        <v/>
      </c>
      <c r="AH54" s="181" t="str">
        <f>IFERROR(IF($AG$5="","",IF(F54&lt;&gt;"",(Input!AO55/Input!$AO$6)*100,"")),"NA")</f>
        <v/>
      </c>
      <c r="AI54" s="327" t="str">
        <f>IF(Input!AP55="Error","Error",IF(F54="","",IF($AA$5="",0,IF(F54&lt;&gt;"",IFERROR(AVERAGE(AB54,AD54,AF54,AH54)*$AI$4,0),""))))</f>
        <v/>
      </c>
      <c r="AJ54" s="179"/>
      <c r="AK54" s="184" t="str">
        <f>IF(Input!AQ55="","",IF(F54&lt;&gt;"",Input!AQ55,""))</f>
        <v/>
      </c>
      <c r="AL54" s="185" t="str">
        <f>IF(F54="", "",IF(Input!AR55="Error", "Error",IF(ISNUMBER(Input!AR55), Input!AR55*$AL$4,"")))</f>
        <v/>
      </c>
      <c r="AM54" s="332" t="str">
        <f>IF(V54="D","Drp",
IF(F54&lt;&gt;"",
IF(OR(Y54="Error",AI54="Error",AL54="Error"),"Error",
IF(Input!AQ55="","-",ROUND(Y54+AI54+AL54,2))),""))</f>
        <v/>
      </c>
      <c r="AN54" s="187" t="str">
        <f>IF(F54&lt;&gt;"",VLOOKUP(AM54,TRANSMUTATION!$A$2:$B$14,2),"")</f>
        <v/>
      </c>
      <c r="AO54" s="244" t="str">
        <f t="shared" si="3"/>
        <v/>
      </c>
      <c r="AT54" s="101"/>
    </row>
    <row r="55" spans="1:46" ht="15" customHeight="1" x14ac:dyDescent="0.2">
      <c r="A55" s="101"/>
      <c r="B55" s="253"/>
      <c r="C55" s="206">
        <v>49</v>
      </c>
      <c r="D55" s="215" t="str">
        <f>IF(Input!D56&lt;&gt;"",IF(F55&lt;&gt;"",Input!D56,""),"")</f>
        <v/>
      </c>
      <c r="E55" s="321"/>
      <c r="F55" s="322" t="str">
        <f>(IF(Input!F56&lt;&gt;"",Input!F56,""))</f>
        <v/>
      </c>
      <c r="G55" s="18"/>
      <c r="H55" s="18"/>
      <c r="I55" s="18"/>
      <c r="J55" s="18"/>
      <c r="K55" s="18"/>
      <c r="L55" s="18"/>
      <c r="M55" s="18"/>
      <c r="N55" s="18"/>
      <c r="O55" s="18"/>
      <c r="P55" s="18"/>
      <c r="Q55" s="18"/>
      <c r="R55" s="18"/>
      <c r="S55" s="18"/>
      <c r="T55" s="18"/>
      <c r="U55" s="18"/>
      <c r="V55" s="21"/>
      <c r="W55" s="177"/>
      <c r="X55" s="178" t="str">
        <f>Input!AK56</f>
        <v/>
      </c>
      <c r="Y55" s="329" t="str">
        <f t="shared" si="2"/>
        <v/>
      </c>
      <c r="Z55" s="179"/>
      <c r="AA55" s="180" t="str">
        <f>IF(F55&lt;&gt;"",IF(Input!AL56&lt;&gt;"",Input!AL56,""),"")</f>
        <v/>
      </c>
      <c r="AB55" s="181" t="str">
        <f>IFERROR(IF($AA$5="","",IF(F55&lt;&gt;"",(Input!AL56/Input!$AL$6)*100,"")),"NA")</f>
        <v/>
      </c>
      <c r="AC55" s="182" t="str">
        <f>IF(F55&lt;&gt;"",IF(Input!AM56&lt;&gt;"",Input!AM56,""),"")</f>
        <v/>
      </c>
      <c r="AD55" s="181" t="str">
        <f>IFERROR(IF($AC$5="","",IF(F55&lt;&gt;"",(Input!AM56/Input!$AM$6)*100,"")),"NA")</f>
        <v/>
      </c>
      <c r="AE55" s="182" t="str">
        <f>IF(F55&lt;&gt;"",IF(Input!AN56&lt;&gt;"",Input!AN56,""),"")</f>
        <v/>
      </c>
      <c r="AF55" s="181" t="str">
        <f>IFERROR(IF($AE$5="","",IF(F55&lt;&gt;"",(Input!AN56/Input!$AN$6)*100,"")),"NA")</f>
        <v/>
      </c>
      <c r="AG55" s="183" t="str">
        <f>IF(F55&lt;&gt;"",IF(Input!AO56&lt;&gt;"",Input!AO56,""),"")</f>
        <v/>
      </c>
      <c r="AH55" s="181" t="str">
        <f>IFERROR(IF($AG$5="","",IF(F55&lt;&gt;"",(Input!AO56/Input!$AO$6)*100,"")),"NA")</f>
        <v/>
      </c>
      <c r="AI55" s="327" t="str">
        <f>IF(Input!AP56="Error","Error",IF(F55="","",IF($AA$5="",0,IF(F55&lt;&gt;"",IFERROR(AVERAGE(AB55,AD55,AF55,AH55)*$AI$4,0),""))))</f>
        <v/>
      </c>
      <c r="AJ55" s="179"/>
      <c r="AK55" s="184" t="str">
        <f>IF(Input!AQ56="","",IF(F55&lt;&gt;"",Input!AQ56,""))</f>
        <v/>
      </c>
      <c r="AL55" s="185" t="str">
        <f>IF(F55="", "",IF(Input!AR56="Error", "Error",IF(ISNUMBER(Input!AR56), Input!AR56*$AL$4,"")))</f>
        <v/>
      </c>
      <c r="AM55" s="332" t="str">
        <f>IF(V55="D","Drp",
IF(F55&lt;&gt;"",
IF(OR(Y55="Error",AI55="Error",AL55="Error"),"Error",
IF(Input!AQ56="","-",ROUND(Y55+AI55+AL55,2))),""))</f>
        <v/>
      </c>
      <c r="AN55" s="187" t="str">
        <f>IF(F55&lt;&gt;"",VLOOKUP(AM55,TRANSMUTATION!$A$2:$B$14,2),"")</f>
        <v/>
      </c>
      <c r="AO55" s="244" t="str">
        <f t="shared" si="3"/>
        <v/>
      </c>
      <c r="AT55" s="101"/>
    </row>
    <row r="56" spans="1:46" ht="15" customHeight="1" thickBot="1" x14ac:dyDescent="0.25">
      <c r="A56" s="101"/>
      <c r="B56" s="253"/>
      <c r="C56" s="207">
        <v>50</v>
      </c>
      <c r="D56" s="323" t="str">
        <f>IF(Input!D57&lt;&gt;"",IF(F56&lt;&gt;"",Input!D57,""),"")</f>
        <v/>
      </c>
      <c r="E56" s="324"/>
      <c r="F56" s="325" t="str">
        <f>(IF(Input!F57&lt;&gt;"",Input!F57,""))</f>
        <v/>
      </c>
      <c r="G56" s="19"/>
      <c r="H56" s="19"/>
      <c r="I56" s="19"/>
      <c r="J56" s="19"/>
      <c r="K56" s="19"/>
      <c r="L56" s="19"/>
      <c r="M56" s="19"/>
      <c r="N56" s="19"/>
      <c r="O56" s="19"/>
      <c r="P56" s="19"/>
      <c r="Q56" s="19"/>
      <c r="R56" s="19"/>
      <c r="S56" s="19"/>
      <c r="T56" s="19"/>
      <c r="U56" s="19"/>
      <c r="V56" s="22"/>
      <c r="W56" s="177"/>
      <c r="X56" s="197" t="str">
        <f>Input!AK57</f>
        <v/>
      </c>
      <c r="Y56" s="264" t="str">
        <f t="shared" si="2"/>
        <v/>
      </c>
      <c r="Z56" s="179"/>
      <c r="AA56" s="198" t="str">
        <f>IF(F56&lt;&gt;"",IF(Input!AL57&lt;&gt;"",Input!AL57,""),"")</f>
        <v/>
      </c>
      <c r="AB56" s="199" t="str">
        <f>IFERROR(IF($AA$5="","",IF(F56&lt;&gt;"",(Input!AL57/Input!$AL$6)*100,"")),"NA")</f>
        <v/>
      </c>
      <c r="AC56" s="200" t="str">
        <f>IF(F56&lt;&gt;"",IF(Input!AM57&lt;&gt;"",Input!AM57,""),"")</f>
        <v/>
      </c>
      <c r="AD56" s="199" t="str">
        <f>IFERROR(IF($AC$5="","",IF(F56&lt;&gt;"",(Input!AM57/Input!$AM$6)*100,"")),"NA")</f>
        <v/>
      </c>
      <c r="AE56" s="200" t="str">
        <f>IF(F56&lt;&gt;"",IF(Input!AN57&lt;&gt;"",Input!AN57,""),"")</f>
        <v/>
      </c>
      <c r="AF56" s="199" t="str">
        <f>IFERROR(IF($AE$5="","",IF(F56&lt;&gt;"",(Input!AN57/Input!$AN$6)*100,"")),"NA")</f>
        <v/>
      </c>
      <c r="AG56" s="201" t="str">
        <f>IF(F56&lt;&gt;"",IF(Input!AO57&lt;&gt;"",Input!AO57,""),"")</f>
        <v/>
      </c>
      <c r="AH56" s="199" t="str">
        <f>IFERROR(IF($AG$5="","",IF(F56&lt;&gt;"",(Input!AO57/Input!$AO$6)*100,"")),"NA")</f>
        <v/>
      </c>
      <c r="AI56" s="265" t="str">
        <f>IF(Input!AP57="Error","Error",IF(F56="","",IF($AA$5="",0,IF(F56&lt;&gt;"",IFERROR(AVERAGE(AB56,AD56,AF56,AH56)*$AI$4,0),""))))</f>
        <v/>
      </c>
      <c r="AJ56" s="179"/>
      <c r="AK56" s="202" t="str">
        <f>IF(Input!AQ57="","",IF(F56&lt;&gt;"",Input!AQ57,""))</f>
        <v/>
      </c>
      <c r="AL56" s="203" t="str">
        <f>IF(F56="", "",IF(Input!AR57="Error", "Error",IF(ISNUMBER(Input!AR57), Input!AR57*$AL$4,"")))</f>
        <v/>
      </c>
      <c r="AM56" s="266" t="str">
        <f>IF(V56="D","Drp",
IF(F56&lt;&gt;"",
IF(OR(Y56="Error",AI56="Error",AL56="Error"),"Error",
IF(Input!AQ57="","-",ROUND(Y56+AI56+AL56,2))),""))</f>
        <v/>
      </c>
      <c r="AN56" s="204" t="str">
        <f>IF(F56&lt;&gt;"",VLOOKUP(AM56,TRANSMUTATION!$A$2:$B$14,2),"")</f>
        <v/>
      </c>
      <c r="AO56" s="246" t="str">
        <f t="shared" si="3"/>
        <v/>
      </c>
      <c r="AT56" s="101"/>
    </row>
    <row r="57" spans="1:46" s="103" customFormat="1" ht="21" hidden="1" customHeight="1" x14ac:dyDescent="0.2">
      <c r="A57" s="106"/>
      <c r="C57" s="135"/>
      <c r="D57" s="221"/>
      <c r="E57" s="221"/>
      <c r="F57" s="152"/>
      <c r="G57" s="222">
        <f t="shared" ref="G57:U57" si="4">COUNT(G7:G56)</f>
        <v>0</v>
      </c>
      <c r="H57" s="222">
        <f t="shared" si="4"/>
        <v>0</v>
      </c>
      <c r="I57" s="222">
        <f t="shared" si="4"/>
        <v>1</v>
      </c>
      <c r="J57" s="222">
        <f t="shared" si="4"/>
        <v>0</v>
      </c>
      <c r="K57" s="222">
        <f t="shared" si="4"/>
        <v>0</v>
      </c>
      <c r="L57" s="222">
        <f t="shared" si="4"/>
        <v>1</v>
      </c>
      <c r="M57" s="222">
        <f t="shared" si="4"/>
        <v>0</v>
      </c>
      <c r="N57" s="222">
        <f t="shared" si="4"/>
        <v>0</v>
      </c>
      <c r="O57" s="222">
        <f t="shared" si="4"/>
        <v>1</v>
      </c>
      <c r="P57" s="222">
        <f t="shared" si="4"/>
        <v>0</v>
      </c>
      <c r="Q57" s="222">
        <f t="shared" si="4"/>
        <v>0</v>
      </c>
      <c r="R57" s="222">
        <f t="shared" si="4"/>
        <v>0</v>
      </c>
      <c r="S57" s="222">
        <f t="shared" si="4"/>
        <v>0</v>
      </c>
      <c r="T57" s="222">
        <f t="shared" si="4"/>
        <v>0</v>
      </c>
      <c r="U57" s="222">
        <f t="shared" si="4"/>
        <v>0</v>
      </c>
      <c r="V57" s="223"/>
      <c r="W57" s="224"/>
      <c r="X57" s="220"/>
      <c r="Y57" s="249"/>
      <c r="AA57" s="485" t="e">
        <f>AVERAGE(AB7:AB56)</f>
        <v>#DIV/0!</v>
      </c>
      <c r="AB57" s="484"/>
      <c r="AC57" s="483"/>
      <c r="AD57" s="484"/>
      <c r="AE57" s="226" t="str">
        <f>IF(F57&lt;&gt;"",IF(Input!AN58&lt;&gt;"",Input!AN58,""),"")</f>
        <v/>
      </c>
      <c r="AF57" s="145" t="str">
        <f>IF($AE$5="","",IF(F57&lt;&gt;"",(Input!AN58/Input!$AN$6)*100,""))</f>
        <v/>
      </c>
      <c r="AG57" s="483"/>
      <c r="AH57" s="484"/>
      <c r="AI57" s="250"/>
      <c r="AJ57" s="135"/>
      <c r="AK57" s="228"/>
      <c r="AL57" s="229"/>
      <c r="AM57" s="230"/>
      <c r="AN57" s="231"/>
      <c r="AO57" s="151"/>
      <c r="AT57" s="106"/>
    </row>
    <row r="58" spans="1:46" ht="15" customHeight="1" x14ac:dyDescent="0.2">
      <c r="A58" s="101"/>
      <c r="AT58" s="101"/>
    </row>
    <row r="59" spans="1:46" ht="9.9499999999999993" customHeight="1" x14ac:dyDescent="0.2">
      <c r="A59" s="101"/>
      <c r="B59" s="101"/>
      <c r="C59" s="106"/>
      <c r="D59" s="107"/>
      <c r="E59" s="107"/>
      <c r="F59" s="101"/>
      <c r="G59" s="165"/>
      <c r="H59" s="165"/>
      <c r="I59" s="165"/>
      <c r="J59" s="166"/>
      <c r="K59" s="166"/>
      <c r="L59" s="166"/>
      <c r="M59" s="166"/>
      <c r="N59" s="166"/>
      <c r="O59" s="166"/>
      <c r="P59" s="166"/>
      <c r="Q59" s="166"/>
      <c r="R59" s="166"/>
      <c r="S59" s="166"/>
      <c r="T59" s="166"/>
      <c r="U59" s="166"/>
      <c r="V59" s="166"/>
      <c r="W59" s="166"/>
      <c r="X59" s="106"/>
      <c r="Y59" s="106"/>
      <c r="Z59" s="106"/>
      <c r="AA59" s="106"/>
      <c r="AB59" s="106"/>
      <c r="AC59" s="106"/>
      <c r="AD59" s="106"/>
      <c r="AE59" s="106"/>
      <c r="AF59" s="106"/>
      <c r="AG59" s="106"/>
      <c r="AH59" s="106"/>
      <c r="AI59" s="167"/>
      <c r="AJ59" s="106"/>
      <c r="AK59" s="168"/>
      <c r="AL59" s="169"/>
      <c r="AM59" s="170"/>
      <c r="AN59" s="171"/>
      <c r="AO59" s="233"/>
      <c r="AP59" s="101"/>
      <c r="AQ59" s="101"/>
      <c r="AR59" s="101"/>
      <c r="AS59" s="101"/>
      <c r="AT59" s="101"/>
    </row>
  </sheetData>
  <sheetProtection algorithmName="SHA-512" hashValue="bhJzlOO3+mN1mwkOuYZcteqmj32RfzeVj+i9yZvOzePziqpN1YCEfKS4JBMDewk1Vfq1lcxpSmxrqke7fhnsAA==" saltValue="UCzhtLxFN5hFgIA2fS8N+g==" spinCount="100000" sheet="1" objects="1" scenarios="1"/>
  <mergeCells count="52">
    <mergeCell ref="AQ3:AR3"/>
    <mergeCell ref="N5:N6"/>
    <mergeCell ref="P5:P6"/>
    <mergeCell ref="C3:C6"/>
    <mergeCell ref="D4:F5"/>
    <mergeCell ref="M5:M6"/>
    <mergeCell ref="D3:F3"/>
    <mergeCell ref="G5:G6"/>
    <mergeCell ref="H5:H6"/>
    <mergeCell ref="J5:J6"/>
    <mergeCell ref="K5:K6"/>
    <mergeCell ref="I5:I6"/>
    <mergeCell ref="L5:L6"/>
    <mergeCell ref="T5:T6"/>
    <mergeCell ref="U5:U6"/>
    <mergeCell ref="S5:S6"/>
    <mergeCell ref="E1:AJ1"/>
    <mergeCell ref="E2:AJ2"/>
    <mergeCell ref="AA3:AI3"/>
    <mergeCell ref="G3:K3"/>
    <mergeCell ref="L3:P3"/>
    <mergeCell ref="Q3:U3"/>
    <mergeCell ref="X3:Y3"/>
    <mergeCell ref="O5:O6"/>
    <mergeCell ref="X4:Y4"/>
    <mergeCell ref="X5:X6"/>
    <mergeCell ref="Y5:Y6"/>
    <mergeCell ref="V4:V6"/>
    <mergeCell ref="R5:R6"/>
    <mergeCell ref="Q5:Q6"/>
    <mergeCell ref="AO3:AO6"/>
    <mergeCell ref="AG5:AH5"/>
    <mergeCell ref="AG6:AH6"/>
    <mergeCell ref="AG4:AH4"/>
    <mergeCell ref="AA4:AB4"/>
    <mergeCell ref="AC5:AD5"/>
    <mergeCell ref="AA5:AB5"/>
    <mergeCell ref="AM3:AM6"/>
    <mergeCell ref="AN3:AN6"/>
    <mergeCell ref="AI4:AI5"/>
    <mergeCell ref="AC4:AD4"/>
    <mergeCell ref="AC6:AD6"/>
    <mergeCell ref="AE4:AF4"/>
    <mergeCell ref="AE5:AF5"/>
    <mergeCell ref="AE6:AF6"/>
    <mergeCell ref="AG57:AH57"/>
    <mergeCell ref="AK3:AL3"/>
    <mergeCell ref="AK4:AK5"/>
    <mergeCell ref="AL4:AL5"/>
    <mergeCell ref="AA6:AB6"/>
    <mergeCell ref="AC57:AD57"/>
    <mergeCell ref="AA57:AB57"/>
  </mergeCells>
  <phoneticPr fontId="4" type="noConversion"/>
  <conditionalFormatting sqref="G7:W56">
    <cfRule type="cellIs" dxfId="42" priority="5" stopIfTrue="1" operator="lessThan">
      <formula>1</formula>
    </cfRule>
  </conditionalFormatting>
  <conditionalFormatting sqref="X7:X56">
    <cfRule type="expression" dxfId="41" priority="11">
      <formula>AND(X7&gt;$X$5,X7&lt;&gt;"")</formula>
    </cfRule>
  </conditionalFormatting>
  <conditionalFormatting sqref="AA7:AA56 AC7:AC56 AE7:AE56 AG7:AG56 AK7:AK56">
    <cfRule type="expression" dxfId="40" priority="2">
      <formula>AND(ISTEXT(AA7),AA7&lt;&gt;"")</formula>
    </cfRule>
  </conditionalFormatting>
  <conditionalFormatting sqref="AA7:AA56">
    <cfRule type="expression" dxfId="39" priority="10">
      <formula>AND(AA7&gt;$AA$5,AA7&lt;&gt;"")</formula>
    </cfRule>
  </conditionalFormatting>
  <conditionalFormatting sqref="AA5:AH5">
    <cfRule type="expression" dxfId="38" priority="4">
      <formula>AND(ISTEXT(AA5),AA5&lt;&gt;"")</formula>
    </cfRule>
  </conditionalFormatting>
  <conditionalFormatting sqref="AB1:AB6 AH1:AH6 AD4:AD6 AF4:AF6 AD1:AF3 Z1:Z1048576 AD57 AB57:AB1048576 AH57:AH1048576 AD58:AF1048576">
    <cfRule type="cellIs" dxfId="37" priority="158" stopIfTrue="1" operator="lessThan">
      <formula>75</formula>
    </cfRule>
  </conditionalFormatting>
  <conditionalFormatting sqref="AB7:AB56 AD7:AD56 AF7:AF56 AH7:AH56">
    <cfRule type="cellIs" dxfId="36" priority="1" operator="lessThan">
      <formula>75</formula>
    </cfRule>
  </conditionalFormatting>
  <conditionalFormatting sqref="AC7:AC56">
    <cfRule type="expression" dxfId="35" priority="9">
      <formula>AND(AC7&gt;$AC$5,AC7&lt;&gt;"")</formula>
    </cfRule>
  </conditionalFormatting>
  <conditionalFormatting sqref="AE7:AE56">
    <cfRule type="expression" dxfId="34" priority="8">
      <formula>AND(AE7&gt;$AE$5,AE7&lt;&gt;"")</formula>
    </cfRule>
  </conditionalFormatting>
  <conditionalFormatting sqref="AG7:AG56">
    <cfRule type="expression" dxfId="33" priority="7">
      <formula>AND(AG7&gt;$AG$5,AG7&lt;&gt;"")</formula>
    </cfRule>
  </conditionalFormatting>
  <conditionalFormatting sqref="AK4:AK5">
    <cfRule type="expression" dxfId="32" priority="3">
      <formula>AND(ISTEXT(AK4),AK4&lt;&gt;"")</formula>
    </cfRule>
  </conditionalFormatting>
  <conditionalFormatting sqref="AK7:AK56">
    <cfRule type="expression" dxfId="31" priority="6">
      <formula>AND(AK7&gt;$AK$4,AK7&lt;&gt;"")</formula>
    </cfRule>
  </conditionalFormatting>
  <conditionalFormatting sqref="AN1:AN1048576">
    <cfRule type="cellIs" dxfId="30" priority="114" stopIfTrue="1" operator="lessThanOrEqual">
      <formula>1.75</formula>
    </cfRule>
    <cfRule type="cellIs" dxfId="29" priority="115" stopIfTrue="1" operator="equal">
      <formula>5</formula>
    </cfRule>
  </conditionalFormatting>
  <dataValidations disablePrompts="1" count="3">
    <dataValidation type="decimal" allowBlank="1" showInputMessage="1" showErrorMessage="1" errorTitle="Invalid Data" error="The data you entered is invalid!" sqref="P8:P56 G7:H56 S7:T56 J8:K56 Q7:Q56 M8:N56 I7:P7" xr:uid="{00000000-0002-0000-0400-000000000000}">
      <formula1>0</formula1>
      <formula2>3</formula2>
    </dataValidation>
    <dataValidation type="decimal" allowBlank="1" showInputMessage="1" showErrorMessage="1" sqref="I8:I56 R7:R56 U7:U56 L8:L56 O8:O56" xr:uid="{00000000-0002-0000-0400-000001000000}">
      <formula1>0</formula1>
      <formula2>3</formula2>
    </dataValidation>
    <dataValidation type="whole" allowBlank="1" showInputMessage="1" showErrorMessage="1" sqref="G4:U4" xr:uid="{8B05F0EF-8293-49F7-87D4-B73B9A7C91CA}">
      <formula1>0</formula1>
      <formula2>31</formula2>
    </dataValidation>
  </dataValidations>
  <pageMargins left="0.09" right="0.08" top="0.17" bottom="0.44" header="0.15" footer="0.17"/>
  <pageSetup scale="52" orientation="landscape" horizontalDpi="300" verticalDpi="300"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AT59"/>
  <sheetViews>
    <sheetView showGridLines="0" zoomScaleNormal="100" workbookViewId="0">
      <pane xSplit="6" ySplit="6" topLeftCell="G7" activePane="bottomRight" state="frozen"/>
      <selection pane="topRight" activeCell="G1" sqref="G1"/>
      <selection pane="bottomLeft" activeCell="A7" sqref="A7"/>
      <selection pane="bottomRight"/>
    </sheetView>
  </sheetViews>
  <sheetFormatPr defaultColWidth="9.140625" defaultRowHeight="15.75" x14ac:dyDescent="0.2"/>
  <cols>
    <col min="1" max="1" width="1.7109375" style="102" customWidth="1"/>
    <col min="2" max="2" width="2.7109375" style="102" customWidth="1"/>
    <col min="3" max="3" width="3.7109375" style="103" customWidth="1"/>
    <col min="4" max="4" width="11.7109375" style="104" customWidth="1"/>
    <col min="5" max="5" width="2.7109375" style="104" hidden="1" customWidth="1"/>
    <col min="6" max="6" width="50.7109375" style="102" customWidth="1"/>
    <col min="7" max="9" width="3" style="172" customWidth="1"/>
    <col min="10" max="21" width="3" style="159" customWidth="1"/>
    <col min="22" max="22" width="3.7109375" style="159" customWidth="1"/>
    <col min="23" max="23" width="1.7109375" style="159" customWidth="1"/>
    <col min="24" max="24" width="4.28515625" style="103" customWidth="1"/>
    <col min="25" max="25" width="5.7109375" style="103" customWidth="1"/>
    <col min="26" max="26" width="1.7109375" style="103" customWidth="1"/>
    <col min="27" max="34" width="4" style="103" customWidth="1"/>
    <col min="35" max="35" width="7.140625" style="173" customWidth="1"/>
    <col min="36" max="36" width="1.7109375" style="103" customWidth="1"/>
    <col min="37" max="37" width="4.7109375" style="174" customWidth="1"/>
    <col min="38" max="38" width="5.7109375" style="175" customWidth="1"/>
    <col min="39" max="39" width="6.7109375" style="176" customWidth="1"/>
    <col min="40" max="40" width="6.7109375" style="164" customWidth="1"/>
    <col min="41" max="41" width="6.7109375" style="232" customWidth="1"/>
    <col min="42" max="42" width="1.7109375" style="102" customWidth="1"/>
    <col min="43" max="44" width="8.7109375" style="102" customWidth="1"/>
    <col min="45" max="45" width="2.7109375" style="102" customWidth="1"/>
    <col min="46" max="46" width="1.7109375" style="102" customWidth="1"/>
    <col min="47" max="16384" width="9.140625" style="102"/>
  </cols>
  <sheetData>
    <row r="1" spans="1:46" ht="9.9499999999999993" customHeight="1" x14ac:dyDescent="0.2">
      <c r="A1" s="101"/>
      <c r="B1" s="101"/>
      <c r="C1" s="106"/>
      <c r="D1" s="107"/>
      <c r="E1" s="440"/>
      <c r="F1" s="440"/>
      <c r="G1" s="440"/>
      <c r="H1" s="440"/>
      <c r="I1" s="440"/>
      <c r="J1" s="440"/>
      <c r="K1" s="440"/>
      <c r="L1" s="440"/>
      <c r="M1" s="440"/>
      <c r="N1" s="440"/>
      <c r="O1" s="440"/>
      <c r="P1" s="440"/>
      <c r="Q1" s="440"/>
      <c r="R1" s="440"/>
      <c r="S1" s="440"/>
      <c r="T1" s="440"/>
      <c r="U1" s="440"/>
      <c r="V1" s="440"/>
      <c r="W1" s="440"/>
      <c r="X1" s="440"/>
      <c r="Y1" s="440"/>
      <c r="Z1" s="440"/>
      <c r="AA1" s="440"/>
      <c r="AB1" s="440"/>
      <c r="AC1" s="440"/>
      <c r="AD1" s="440"/>
      <c r="AE1" s="440"/>
      <c r="AF1" s="440"/>
      <c r="AG1" s="440"/>
      <c r="AH1" s="440"/>
      <c r="AI1" s="440"/>
      <c r="AJ1" s="440"/>
      <c r="AK1" s="208"/>
      <c r="AL1" s="169"/>
      <c r="AM1" s="169"/>
      <c r="AN1" s="171"/>
      <c r="AO1" s="233"/>
      <c r="AP1" s="101"/>
      <c r="AQ1" s="101"/>
      <c r="AR1" s="101"/>
      <c r="AS1" s="101"/>
      <c r="AT1" s="101"/>
    </row>
    <row r="2" spans="1:46" ht="15" customHeight="1" thickBot="1" x14ac:dyDescent="0.25">
      <c r="A2" s="101"/>
      <c r="E2" s="441"/>
      <c r="F2" s="441"/>
      <c r="G2" s="441"/>
      <c r="H2" s="441"/>
      <c r="I2" s="441"/>
      <c r="J2" s="441"/>
      <c r="K2" s="441"/>
      <c r="L2" s="441"/>
      <c r="M2" s="441"/>
      <c r="N2" s="441"/>
      <c r="O2" s="441"/>
      <c r="P2" s="441"/>
      <c r="Q2" s="441"/>
      <c r="R2" s="441"/>
      <c r="S2" s="441"/>
      <c r="T2" s="441"/>
      <c r="U2" s="441"/>
      <c r="V2" s="441"/>
      <c r="W2" s="441"/>
      <c r="X2" s="441"/>
      <c r="Y2" s="441"/>
      <c r="Z2" s="441"/>
      <c r="AA2" s="441"/>
      <c r="AB2" s="441"/>
      <c r="AC2" s="441"/>
      <c r="AD2" s="441"/>
      <c r="AE2" s="441"/>
      <c r="AF2" s="441"/>
      <c r="AG2" s="441"/>
      <c r="AH2" s="441"/>
      <c r="AI2" s="441"/>
      <c r="AJ2" s="441"/>
      <c r="AK2" s="209"/>
      <c r="AM2" s="175"/>
      <c r="AT2" s="101"/>
    </row>
    <row r="3" spans="1:46" ht="30" customHeight="1" thickBot="1" x14ac:dyDescent="0.25">
      <c r="A3" s="101"/>
      <c r="C3" s="446"/>
      <c r="D3" s="448" t="str">
        <f>Settings!E8&amp;" - "&amp;Settings!P5</f>
        <v>Mathematics in the Modern World - BSHM1A</v>
      </c>
      <c r="E3" s="448"/>
      <c r="F3" s="448"/>
      <c r="G3" s="453" t="s">
        <v>86</v>
      </c>
      <c r="H3" s="453"/>
      <c r="I3" s="453"/>
      <c r="J3" s="453"/>
      <c r="K3" s="453"/>
      <c r="L3" s="453" t="s">
        <v>87</v>
      </c>
      <c r="M3" s="453"/>
      <c r="N3" s="453"/>
      <c r="O3" s="453"/>
      <c r="P3" s="453"/>
      <c r="Q3" s="453"/>
      <c r="R3" s="453"/>
      <c r="S3" s="453"/>
      <c r="T3" s="453"/>
      <c r="U3" s="453"/>
      <c r="V3" s="20"/>
      <c r="W3" s="210"/>
      <c r="X3" s="451" t="s">
        <v>89</v>
      </c>
      <c r="Y3" s="452"/>
      <c r="Z3" s="179"/>
      <c r="AA3" s="451" t="s">
        <v>66</v>
      </c>
      <c r="AB3" s="480"/>
      <c r="AC3" s="480"/>
      <c r="AD3" s="480"/>
      <c r="AE3" s="480"/>
      <c r="AF3" s="480"/>
      <c r="AG3" s="480"/>
      <c r="AH3" s="480"/>
      <c r="AI3" s="452"/>
      <c r="AJ3" s="179"/>
      <c r="AK3" s="481" t="s">
        <v>80</v>
      </c>
      <c r="AL3" s="482"/>
      <c r="AM3" s="478" t="s">
        <v>90</v>
      </c>
      <c r="AN3" s="475" t="s">
        <v>91</v>
      </c>
      <c r="AO3" s="495" t="s">
        <v>92</v>
      </c>
      <c r="AP3" s="189"/>
      <c r="AQ3" s="493" t="s">
        <v>93</v>
      </c>
      <c r="AR3" s="494"/>
      <c r="AT3" s="101"/>
    </row>
    <row r="4" spans="1:46" ht="15" customHeight="1" x14ac:dyDescent="0.2">
      <c r="A4" s="101"/>
      <c r="C4" s="447"/>
      <c r="D4" s="450" t="str">
        <f>IF(Settings!P4="","",Settings!P4)</f>
        <v>GEDC1005</v>
      </c>
      <c r="E4" s="450"/>
      <c r="F4" s="450"/>
      <c r="G4" s="26">
        <v>22</v>
      </c>
      <c r="H4" s="26">
        <v>23</v>
      </c>
      <c r="I4" s="26">
        <v>30</v>
      </c>
      <c r="J4" s="26"/>
      <c r="K4" s="26"/>
      <c r="L4" s="26">
        <v>5</v>
      </c>
      <c r="M4" s="26">
        <v>6</v>
      </c>
      <c r="N4" s="26">
        <v>12</v>
      </c>
      <c r="O4" s="26">
        <v>13</v>
      </c>
      <c r="P4" s="26"/>
      <c r="Q4" s="26"/>
      <c r="R4" s="26"/>
      <c r="S4" s="26"/>
      <c r="T4" s="26"/>
      <c r="U4" s="26"/>
      <c r="V4" s="454" t="s">
        <v>94</v>
      </c>
      <c r="W4" s="179"/>
      <c r="X4" s="470" t="s">
        <v>89</v>
      </c>
      <c r="Y4" s="471"/>
      <c r="Z4" s="179"/>
      <c r="AA4" s="455" t="s">
        <v>68</v>
      </c>
      <c r="AB4" s="456"/>
      <c r="AC4" s="456" t="s">
        <v>70</v>
      </c>
      <c r="AD4" s="456"/>
      <c r="AE4" s="456" t="s">
        <v>72</v>
      </c>
      <c r="AF4" s="456"/>
      <c r="AG4" s="456" t="s">
        <v>74</v>
      </c>
      <c r="AH4" s="456"/>
      <c r="AI4" s="459">
        <f>Input!BC4</f>
        <v>0.2</v>
      </c>
      <c r="AJ4" s="179"/>
      <c r="AK4" s="491">
        <f>Settings!U39</f>
        <v>0</v>
      </c>
      <c r="AL4" s="477">
        <f>Input!BE4</f>
        <v>0.5</v>
      </c>
      <c r="AM4" s="479"/>
      <c r="AN4" s="476"/>
      <c r="AO4" s="496"/>
      <c r="AP4" s="189"/>
      <c r="AQ4" s="254" t="s">
        <v>90</v>
      </c>
      <c r="AR4" s="255" t="s">
        <v>95</v>
      </c>
      <c r="AT4" s="101"/>
    </row>
    <row r="5" spans="1:46" ht="15" customHeight="1" x14ac:dyDescent="0.2">
      <c r="A5" s="101"/>
      <c r="C5" s="447"/>
      <c r="D5" s="450"/>
      <c r="E5" s="450"/>
      <c r="F5" s="450"/>
      <c r="G5" s="449" t="s">
        <v>96</v>
      </c>
      <c r="H5" s="449" t="s">
        <v>97</v>
      </c>
      <c r="I5" s="449" t="s">
        <v>97</v>
      </c>
      <c r="J5" s="449"/>
      <c r="K5" s="449"/>
      <c r="L5" s="449" t="s">
        <v>96</v>
      </c>
      <c r="M5" s="449" t="s">
        <v>97</v>
      </c>
      <c r="N5" s="449" t="s">
        <v>96</v>
      </c>
      <c r="O5" s="449" t="s">
        <v>97</v>
      </c>
      <c r="P5" s="449"/>
      <c r="Q5" s="449"/>
      <c r="R5" s="449"/>
      <c r="S5" s="449"/>
      <c r="T5" s="449"/>
      <c r="U5" s="449"/>
      <c r="V5" s="454"/>
      <c r="W5" s="179"/>
      <c r="X5" s="464">
        <f>Input!AX7</f>
        <v>0</v>
      </c>
      <c r="Y5" s="474">
        <f>Input!AX4</f>
        <v>0.3</v>
      </c>
      <c r="Z5" s="179"/>
      <c r="AA5" s="464" t="str">
        <f>IF(Input!AY6&lt;&gt;"",Input!AY6,"")</f>
        <v/>
      </c>
      <c r="AB5" s="463"/>
      <c r="AC5" s="463" t="str">
        <f>IF(Input!AZ6&lt;&gt;"",Input!AZ6,"")</f>
        <v/>
      </c>
      <c r="AD5" s="463"/>
      <c r="AE5" s="463" t="str">
        <f>IF(Input!BA6&lt;&gt;"",Input!BA6,"")</f>
        <v/>
      </c>
      <c r="AF5" s="463"/>
      <c r="AG5" s="463" t="str">
        <f>IF(Input!BB6&lt;&gt;"",Input!BB6,"")</f>
        <v/>
      </c>
      <c r="AH5" s="463"/>
      <c r="AI5" s="459"/>
      <c r="AJ5" s="179"/>
      <c r="AK5" s="491"/>
      <c r="AL5" s="477"/>
      <c r="AM5" s="479"/>
      <c r="AN5" s="476"/>
      <c r="AO5" s="496"/>
      <c r="AP5" s="189"/>
      <c r="AQ5" s="190">
        <v>1</v>
      </c>
      <c r="AR5" s="191">
        <f t="shared" ref="AR5:AR16" si="0">COUNTIF($AN$7:$AN$56,AQ5)</f>
        <v>0</v>
      </c>
      <c r="AT5" s="101"/>
    </row>
    <row r="6" spans="1:46" s="103" customFormat="1" ht="15" customHeight="1" x14ac:dyDescent="0.2">
      <c r="A6" s="106"/>
      <c r="C6" s="447"/>
      <c r="D6" s="213" t="s">
        <v>84</v>
      </c>
      <c r="E6" s="214"/>
      <c r="F6" s="215" t="s">
        <v>85</v>
      </c>
      <c r="G6" s="449"/>
      <c r="H6" s="449"/>
      <c r="I6" s="449"/>
      <c r="J6" s="449"/>
      <c r="K6" s="449"/>
      <c r="L6" s="449"/>
      <c r="M6" s="449"/>
      <c r="N6" s="449"/>
      <c r="O6" s="449"/>
      <c r="P6" s="449"/>
      <c r="Q6" s="449"/>
      <c r="R6" s="449"/>
      <c r="S6" s="449"/>
      <c r="T6" s="449"/>
      <c r="U6" s="449"/>
      <c r="V6" s="454"/>
      <c r="W6" s="179"/>
      <c r="X6" s="464"/>
      <c r="Y6" s="474"/>
      <c r="Z6" s="179"/>
      <c r="AA6" s="457" t="str">
        <f>IF(Input!AY7&lt;&gt;"",Input!AY7,"")</f>
        <v/>
      </c>
      <c r="AB6" s="458"/>
      <c r="AC6" s="458" t="str">
        <f>IF(Input!AZ7&lt;&gt;"",Input!AZ7,"")</f>
        <v/>
      </c>
      <c r="AD6" s="458"/>
      <c r="AE6" s="458" t="str">
        <f>IF(Input!BA7&lt;&gt;"",Input!BA7,"")</f>
        <v/>
      </c>
      <c r="AF6" s="458"/>
      <c r="AG6" s="458" t="str">
        <f>IF(Input!BB7&lt;&gt;"",Input!BB7,"")</f>
        <v/>
      </c>
      <c r="AH6" s="458"/>
      <c r="AI6" s="216" t="s">
        <v>27</v>
      </c>
      <c r="AJ6" s="179"/>
      <c r="AK6" s="217" t="str">
        <f>IF(Settings!T39&lt;&gt;"",Settings!T39,"")</f>
        <v/>
      </c>
      <c r="AL6" s="218" t="s">
        <v>27</v>
      </c>
      <c r="AM6" s="479"/>
      <c r="AN6" s="476"/>
      <c r="AO6" s="496"/>
      <c r="AP6" s="219"/>
      <c r="AQ6" s="190">
        <v>1.25</v>
      </c>
      <c r="AR6" s="191">
        <f t="shared" si="0"/>
        <v>0</v>
      </c>
      <c r="AT6" s="106"/>
    </row>
    <row r="7" spans="1:46" ht="15" customHeight="1" x14ac:dyDescent="0.2">
      <c r="A7" s="101"/>
      <c r="C7" s="268">
        <v>1</v>
      </c>
      <c r="D7" s="215" t="str">
        <f>IF(Input!D8&lt;&gt;"",IF(F7&lt;&gt;"",Input!D8,""),"")</f>
        <v>02000500651</v>
      </c>
      <c r="E7" s="321"/>
      <c r="F7" s="322" t="str">
        <f>(IF(Input!F8&lt;&gt;"",Input!F8,""))</f>
        <v>ADAO,ANGELICA MAE BAAL</v>
      </c>
      <c r="G7" s="18"/>
      <c r="H7" s="18"/>
      <c r="I7" s="18">
        <v>1.5</v>
      </c>
      <c r="J7" s="18"/>
      <c r="K7" s="18"/>
      <c r="L7" s="18">
        <v>1.5</v>
      </c>
      <c r="M7" s="18"/>
      <c r="N7" s="18"/>
      <c r="O7" s="18">
        <v>1.5</v>
      </c>
      <c r="P7" s="18"/>
      <c r="Q7" s="18"/>
      <c r="R7" s="18"/>
      <c r="S7" s="18"/>
      <c r="T7" s="18"/>
      <c r="U7" s="18"/>
      <c r="V7" s="21"/>
      <c r="W7" s="177"/>
      <c r="X7" s="178" t="str">
        <f>Input!AX8</f>
        <v/>
      </c>
      <c r="Y7" s="329">
        <f>IF(F7="", "", IF(X7="Error", "Error", IF($X$5=0, 0, IFERROR(((IF(X7="","",X7)/$X$5)*100)*$Y$5,0))))</f>
        <v>0</v>
      </c>
      <c r="Z7" s="179"/>
      <c r="AA7" s="180" t="str">
        <f>IF(F7&lt;&gt;"",IF(Input!AY8&lt;&gt;"",Input!AY8,""),"")</f>
        <v/>
      </c>
      <c r="AB7" s="181" t="str">
        <f>IFERROR(IF($AA$5="","",IF(F7&lt;&gt;"",(Input!AY8/Input!$AY$6)*100,"")),"NA")</f>
        <v/>
      </c>
      <c r="AC7" s="182" t="str">
        <f>IF(F7&lt;&gt;"",IF(Input!AZ8&lt;&gt;"",Input!AZ8,""),"")</f>
        <v/>
      </c>
      <c r="AD7" s="181" t="str">
        <f>IFERROR(IF($AC$5="","",IF(F7&lt;&gt;"",(Input!AZ8/Input!$AZ$6)*100,"")),"NA")</f>
        <v/>
      </c>
      <c r="AE7" s="182" t="str">
        <f>IF(F7&lt;&gt;"",IF(Input!BA8&lt;&gt;"",Input!BA8,""),"")</f>
        <v/>
      </c>
      <c r="AF7" s="181" t="str">
        <f>IFERROR(IF($AE$5="","",IF(F7&lt;&gt;"",(Input!BA8/Input!$BA$6)*100,"")),"NA")</f>
        <v/>
      </c>
      <c r="AG7" s="183" t="str">
        <f>IF(F7&lt;&gt;"",IF(Input!BB8&lt;&gt;"",Input!BB8,""),"")</f>
        <v/>
      </c>
      <c r="AH7" s="181" t="str">
        <f>IFERROR(IF($AG$5="","",IF(F7&lt;&gt;"",(Input!BB8/Input!$BB$6)*100,"")),"NA")</f>
        <v/>
      </c>
      <c r="AI7" s="327">
        <f>IF(Input!BC8="Error","Error",IF(F7="","",IF($AA$5="",0,IF(F7&lt;&gt;"",IFERROR(AVERAGE(AB7,AD7,AF7,AH7)*$AI$4,0),""))))</f>
        <v>0</v>
      </c>
      <c r="AJ7" s="179"/>
      <c r="AK7" s="184" t="str">
        <f>IF(Input!BD8="","",IF(F7&lt;&gt;"",Input!BD8,""))</f>
        <v/>
      </c>
      <c r="AL7" s="185" t="str">
        <f>IF(F7="", "",IF(Input!BE8="Error","Error",IF(ISNUMBER(Input!BE8),Input!BE8*$AL$4,"")))</f>
        <v/>
      </c>
      <c r="AM7" s="332" t="str">
        <f>IF(V7="D","Drp",
IF(F7&lt;&gt;"",
IF(OR(Y7="Error",AI7="Error",AL7="Error"),"Error",
IF(Input!BD8="","-",ROUND(Y7+AI7+AL7,2))),""))</f>
        <v>-</v>
      </c>
      <c r="AN7" s="187" t="str">
        <f>IF(F7&lt;&gt;"",VLOOKUP(AM7,TRANSMUTATION!$A$2:$B$14,2),"")</f>
        <v>INC</v>
      </c>
      <c r="AO7" s="263" t="str">
        <f t="shared" ref="AO7:AO38" si="1">IF(AN7="Inc","",IF(F7&lt;&gt;"",IF(OR(AN7="Drp",AN7="-"),"",RANK(AM7,$AM$7:$AM$56)),""))</f>
        <v/>
      </c>
      <c r="AP7" s="189"/>
      <c r="AQ7" s="190">
        <v>1.5</v>
      </c>
      <c r="AR7" s="191">
        <f t="shared" si="0"/>
        <v>0</v>
      </c>
      <c r="AT7" s="101"/>
    </row>
    <row r="8" spans="1:46" ht="15" customHeight="1" x14ac:dyDescent="0.2">
      <c r="A8" s="101"/>
      <c r="C8" s="268">
        <v>2</v>
      </c>
      <c r="D8" s="215" t="str">
        <f>IF(Input!D9&lt;&gt;"",IF(F8&lt;&gt;"",Input!D9,""),"")</f>
        <v>02000508012</v>
      </c>
      <c r="E8" s="321"/>
      <c r="F8" s="322" t="str">
        <f>(IF(Input!F9&lt;&gt;"",Input!F9,""))</f>
        <v>AMELANO,EUNICE MAE LUMBRE</v>
      </c>
      <c r="G8" s="18"/>
      <c r="H8" s="18"/>
      <c r="I8" s="18"/>
      <c r="J8" s="18"/>
      <c r="K8" s="18"/>
      <c r="L8" s="18"/>
      <c r="M8" s="18"/>
      <c r="N8" s="18"/>
      <c r="O8" s="18"/>
      <c r="P8" s="18"/>
      <c r="Q8" s="18"/>
      <c r="R8" s="18"/>
      <c r="S8" s="18"/>
      <c r="T8" s="18"/>
      <c r="U8" s="18"/>
      <c r="V8" s="21"/>
      <c r="W8" s="177"/>
      <c r="X8" s="178" t="str">
        <f>Input!AX9</f>
        <v/>
      </c>
      <c r="Y8" s="329">
        <f t="shared" ref="Y8:Y56" si="2">IF(F8="", "", IF(X8="Error", "Error", IF($X$5=0, 0, IFERROR(((IF(X8="","",X8)/$X$5)*100)*$Y$5,0))))</f>
        <v>0</v>
      </c>
      <c r="Z8" s="179"/>
      <c r="AA8" s="180" t="str">
        <f>IF(F8&lt;&gt;"",IF(Input!AY9&lt;&gt;"",Input!AY9,""),"")</f>
        <v/>
      </c>
      <c r="AB8" s="181" t="str">
        <f>IFERROR(IF($AA$5="","",IF(F8&lt;&gt;"",(Input!AY9/Input!$AY$6)*100,"")),"NA")</f>
        <v/>
      </c>
      <c r="AC8" s="182" t="str">
        <f>IF(F8&lt;&gt;"",IF(Input!AZ9&lt;&gt;"",Input!AZ9,""),"")</f>
        <v/>
      </c>
      <c r="AD8" s="181" t="str">
        <f>IFERROR(IF($AC$5="","",IF(F8&lt;&gt;"",(Input!AZ9/Input!$AZ$6)*100,"")),"NA")</f>
        <v/>
      </c>
      <c r="AE8" s="182" t="str">
        <f>IF(F8&lt;&gt;"",IF(Input!BA9&lt;&gt;"",Input!BA9,""),"")</f>
        <v/>
      </c>
      <c r="AF8" s="181" t="str">
        <f>IFERROR(IF($AE$5="","",IF(F8&lt;&gt;"",(Input!BA9/Input!$BA$6)*100,"")),"NA")</f>
        <v/>
      </c>
      <c r="AG8" s="183" t="str">
        <f>IF(F8&lt;&gt;"",IF(Input!BB9&lt;&gt;"",Input!BB9,""),"")</f>
        <v/>
      </c>
      <c r="AH8" s="181" t="str">
        <f>IFERROR(IF($AG$5="","",IF(F8&lt;&gt;"",(Input!BB9/Input!$BB$6)*100,"")),"NA")</f>
        <v/>
      </c>
      <c r="AI8" s="327">
        <f>IF(Input!BC9="Error","Error",IF(F8="","",IF($AA$5="",0,IF(F8&lt;&gt;"",IFERROR(AVERAGE(AB8,AD8,AF8,AH8)*$AI$4,0),""))))</f>
        <v>0</v>
      </c>
      <c r="AJ8" s="179"/>
      <c r="AK8" s="184" t="str">
        <f>IF(Input!BD9="","",IF(F8&lt;&gt;"",Input!BD9,""))</f>
        <v/>
      </c>
      <c r="AL8" s="185" t="str">
        <f>IF(F8="", "",IF(Input!BE9="Error","Error",IF(ISNUMBER(Input!BE9),Input!BE9*$AL$4,"")))</f>
        <v/>
      </c>
      <c r="AM8" s="332" t="str">
        <f>IF(V8="D","Drp",
IF(F8&lt;&gt;"",
IF(OR(Y8="Error",AI8="Error",AL8="Error"),"Error",
IF(Input!BD9="","-",ROUND(Y8+AI8+AL8,2))),""))</f>
        <v>-</v>
      </c>
      <c r="AN8" s="187" t="str">
        <f>IF(F8&lt;&gt;"",VLOOKUP(AM8,TRANSMUTATION!$A$2:$B$14,2),"")</f>
        <v>INC</v>
      </c>
      <c r="AO8" s="263" t="str">
        <f t="shared" si="1"/>
        <v/>
      </c>
      <c r="AP8" s="189"/>
      <c r="AQ8" s="190">
        <v>1.75</v>
      </c>
      <c r="AR8" s="191">
        <f t="shared" si="0"/>
        <v>0</v>
      </c>
      <c r="AT8" s="101"/>
    </row>
    <row r="9" spans="1:46" ht="15" customHeight="1" x14ac:dyDescent="0.2">
      <c r="A9" s="101"/>
      <c r="C9" s="268">
        <v>3</v>
      </c>
      <c r="D9" s="215" t="str">
        <f>IF(Input!D10&lt;&gt;"",IF(F9&lt;&gt;"",Input!D10,""),"")</f>
        <v>02000510545</v>
      </c>
      <c r="E9" s="321"/>
      <c r="F9" s="322" t="str">
        <f>(IF(Input!F10&lt;&gt;"",Input!F10,""))</f>
        <v>ANDAYA,RICO BRON</v>
      </c>
      <c r="G9" s="18"/>
      <c r="H9" s="18"/>
      <c r="I9" s="18"/>
      <c r="J9" s="18"/>
      <c r="K9" s="18"/>
      <c r="L9" s="18"/>
      <c r="M9" s="18"/>
      <c r="N9" s="18"/>
      <c r="O9" s="18"/>
      <c r="P9" s="18"/>
      <c r="Q9" s="18"/>
      <c r="R9" s="18"/>
      <c r="S9" s="18"/>
      <c r="T9" s="18"/>
      <c r="U9" s="18"/>
      <c r="V9" s="21"/>
      <c r="W9" s="177"/>
      <c r="X9" s="178" t="str">
        <f>Input!AX10</f>
        <v/>
      </c>
      <c r="Y9" s="329">
        <f t="shared" si="2"/>
        <v>0</v>
      </c>
      <c r="Z9" s="179"/>
      <c r="AA9" s="180" t="str">
        <f>IF(F9&lt;&gt;"",IF(Input!AY10&lt;&gt;"",Input!AY10,""),"")</f>
        <v/>
      </c>
      <c r="AB9" s="181" t="str">
        <f>IFERROR(IF($AA$5="","",IF(F9&lt;&gt;"",(Input!AY10/Input!$AY$6)*100,"")),"NA")</f>
        <v/>
      </c>
      <c r="AC9" s="182" t="str">
        <f>IF(F9&lt;&gt;"",IF(Input!AZ10&lt;&gt;"",Input!AZ10,""),"")</f>
        <v/>
      </c>
      <c r="AD9" s="181" t="str">
        <f>IFERROR(IF($AC$5="","",IF(F9&lt;&gt;"",(Input!AZ10/Input!$AZ$6)*100,"")),"NA")</f>
        <v/>
      </c>
      <c r="AE9" s="182" t="str">
        <f>IF(F9&lt;&gt;"",IF(Input!BA10&lt;&gt;"",Input!BA10,""),"")</f>
        <v/>
      </c>
      <c r="AF9" s="181" t="str">
        <f>IFERROR(IF($AE$5="","",IF(F9&lt;&gt;"",(Input!BA10/Input!$BA$6)*100,"")),"NA")</f>
        <v/>
      </c>
      <c r="AG9" s="183" t="str">
        <f>IF(F9&lt;&gt;"",IF(Input!BB10&lt;&gt;"",Input!BB10,""),"")</f>
        <v/>
      </c>
      <c r="AH9" s="181" t="str">
        <f>IFERROR(IF($AG$5="","",IF(F9&lt;&gt;"",(Input!BB10/Input!$BB$6)*100,"")),"NA")</f>
        <v/>
      </c>
      <c r="AI9" s="327">
        <f>IF(Input!BC10="Error","Error",IF(F9="","",IF($AA$5="",0,IF(F9&lt;&gt;"",IFERROR(AVERAGE(AB9,AD9,AF9,AH9)*$AI$4,0),""))))</f>
        <v>0</v>
      </c>
      <c r="AJ9" s="179"/>
      <c r="AK9" s="184" t="str">
        <f>IF(Input!BD10="","",IF(F9&lt;&gt;"",Input!BD10,""))</f>
        <v/>
      </c>
      <c r="AL9" s="185" t="str">
        <f>IF(F9="", "",IF(Input!BE10="Error","Error",IF(ISNUMBER(Input!BE10),Input!BE10*$AL$4,"")))</f>
        <v/>
      </c>
      <c r="AM9" s="332" t="str">
        <f>IF(V9="D","Drp",
IF(F9&lt;&gt;"",
IF(OR(Y9="Error",AI9="Error",AL9="Error"),"Error",
IF(Input!BD10="","-",ROUND(Y9+AI9+AL9,2))),""))</f>
        <v>-</v>
      </c>
      <c r="AN9" s="187" t="str">
        <f>IF(F9&lt;&gt;"",VLOOKUP(AM9,TRANSMUTATION!$A$2:$B$14,2),"")</f>
        <v>INC</v>
      </c>
      <c r="AO9" s="263" t="str">
        <f t="shared" si="1"/>
        <v/>
      </c>
      <c r="AP9" s="189"/>
      <c r="AQ9" s="190">
        <v>2</v>
      </c>
      <c r="AR9" s="191">
        <f t="shared" si="0"/>
        <v>0</v>
      </c>
      <c r="AT9" s="101"/>
    </row>
    <row r="10" spans="1:46" ht="15" customHeight="1" x14ac:dyDescent="0.2">
      <c r="A10" s="101"/>
      <c r="C10" s="268">
        <v>4</v>
      </c>
      <c r="D10" s="215" t="str">
        <f>IF(Input!D11&lt;&gt;"",IF(F10&lt;&gt;"",Input!D11,""),"")</f>
        <v>02000500688</v>
      </c>
      <c r="E10" s="321"/>
      <c r="F10" s="322" t="str">
        <f>(IF(Input!F11&lt;&gt;"",Input!F11,""))</f>
        <v>AREJOLA,JESSICA SELPO</v>
      </c>
      <c r="G10" s="18"/>
      <c r="H10" s="18"/>
      <c r="I10" s="18"/>
      <c r="J10" s="18"/>
      <c r="K10" s="18"/>
      <c r="L10" s="18"/>
      <c r="M10" s="18"/>
      <c r="N10" s="18"/>
      <c r="O10" s="18"/>
      <c r="P10" s="18"/>
      <c r="Q10" s="18"/>
      <c r="R10" s="18"/>
      <c r="S10" s="18"/>
      <c r="T10" s="18"/>
      <c r="U10" s="18"/>
      <c r="V10" s="21"/>
      <c r="W10" s="177"/>
      <c r="X10" s="178" t="str">
        <f>Input!AX11</f>
        <v/>
      </c>
      <c r="Y10" s="329">
        <f t="shared" si="2"/>
        <v>0</v>
      </c>
      <c r="Z10" s="179"/>
      <c r="AA10" s="180" t="str">
        <f>IF(F10&lt;&gt;"",IF(Input!AY11&lt;&gt;"",Input!AY11,""),"")</f>
        <v/>
      </c>
      <c r="AB10" s="181" t="str">
        <f>IFERROR(IF($AA$5="","",IF(F10&lt;&gt;"",(Input!AY11/Input!$AY$6)*100,"")),"NA")</f>
        <v/>
      </c>
      <c r="AC10" s="182" t="str">
        <f>IF(F10&lt;&gt;"",IF(Input!AZ11&lt;&gt;"",Input!AZ11,""),"")</f>
        <v/>
      </c>
      <c r="AD10" s="181" t="str">
        <f>IFERROR(IF($AC$5="","",IF(F10&lt;&gt;"",(Input!AZ11/Input!$AZ$6)*100,"")),"NA")</f>
        <v/>
      </c>
      <c r="AE10" s="182" t="str">
        <f>IF(F10&lt;&gt;"",IF(Input!BA11&lt;&gt;"",Input!BA11,""),"")</f>
        <v/>
      </c>
      <c r="AF10" s="181" t="str">
        <f>IFERROR(IF($AE$5="","",IF(F10&lt;&gt;"",(Input!BA11/Input!$BA$6)*100,"")),"NA")</f>
        <v/>
      </c>
      <c r="AG10" s="183" t="str">
        <f>IF(F10&lt;&gt;"",IF(Input!BB11&lt;&gt;"",Input!BB11,""),"")</f>
        <v/>
      </c>
      <c r="AH10" s="181" t="str">
        <f>IFERROR(IF($AG$5="","",IF(F10&lt;&gt;"",(Input!BB11/Input!$BB$6)*100,"")),"NA")</f>
        <v/>
      </c>
      <c r="AI10" s="327">
        <f>IF(Input!BC11="Error","Error",IF(F10="","",IF($AA$5="",0,IF(F10&lt;&gt;"",IFERROR(AVERAGE(AB10,AD10,AF10,AH10)*$AI$4,0),""))))</f>
        <v>0</v>
      </c>
      <c r="AJ10" s="179"/>
      <c r="AK10" s="184" t="str">
        <f>IF(Input!BD11="","",IF(F10&lt;&gt;"",Input!BD11,""))</f>
        <v/>
      </c>
      <c r="AL10" s="185" t="str">
        <f>IF(F10="", "",IF(Input!BE11="Error","Error",IF(ISNUMBER(Input!BE11),Input!BE11*$AL$4,"")))</f>
        <v/>
      </c>
      <c r="AM10" s="332" t="str">
        <f>IF(V10="D","Drp",
IF(F10&lt;&gt;"",
IF(OR(Y10="Error",AI10="Error",AL10="Error"),"Error",
IF(Input!BD11="","-",ROUND(Y10+AI10+AL10,2))),""))</f>
        <v>-</v>
      </c>
      <c r="AN10" s="187" t="str">
        <f>IF(F10&lt;&gt;"",VLOOKUP(AM10,TRANSMUTATION!$A$2:$B$14,2),"")</f>
        <v>INC</v>
      </c>
      <c r="AO10" s="263" t="str">
        <f t="shared" si="1"/>
        <v/>
      </c>
      <c r="AP10" s="189"/>
      <c r="AQ10" s="190">
        <v>2.25</v>
      </c>
      <c r="AR10" s="191">
        <f t="shared" si="0"/>
        <v>0</v>
      </c>
      <c r="AT10" s="101"/>
    </row>
    <row r="11" spans="1:46" ht="15" customHeight="1" x14ac:dyDescent="0.2">
      <c r="A11" s="101"/>
      <c r="C11" s="268">
        <v>5</v>
      </c>
      <c r="D11" s="215" t="str">
        <f>IF(Input!D12&lt;&gt;"",IF(F11&lt;&gt;"",Input!D12,""),"")</f>
        <v>02000491309</v>
      </c>
      <c r="E11" s="321"/>
      <c r="F11" s="322" t="str">
        <f>(IF(Input!F12&lt;&gt;"",Input!F12,""))</f>
        <v>BAGAMASBAD,KYLA ANGELICA</v>
      </c>
      <c r="G11" s="18"/>
      <c r="H11" s="18"/>
      <c r="I11" s="18"/>
      <c r="J11" s="18"/>
      <c r="K11" s="18"/>
      <c r="L11" s="18"/>
      <c r="M11" s="18"/>
      <c r="N11" s="18"/>
      <c r="O11" s="18"/>
      <c r="P11" s="18"/>
      <c r="Q11" s="18"/>
      <c r="R11" s="18"/>
      <c r="S11" s="18"/>
      <c r="T11" s="18"/>
      <c r="U11" s="18"/>
      <c r="V11" s="21"/>
      <c r="W11" s="177"/>
      <c r="X11" s="178" t="str">
        <f>Input!AX12</f>
        <v/>
      </c>
      <c r="Y11" s="329">
        <f t="shared" si="2"/>
        <v>0</v>
      </c>
      <c r="Z11" s="179"/>
      <c r="AA11" s="180" t="str">
        <f>IF(F11&lt;&gt;"",IF(Input!AY12&lt;&gt;"",Input!AY12,""),"")</f>
        <v/>
      </c>
      <c r="AB11" s="181" t="str">
        <f>IFERROR(IF($AA$5="","",IF(F11&lt;&gt;"",(Input!AY12/Input!$AY$6)*100,"")),"NA")</f>
        <v/>
      </c>
      <c r="AC11" s="182" t="str">
        <f>IF(F11&lt;&gt;"",IF(Input!AZ12&lt;&gt;"",Input!AZ12,""),"")</f>
        <v/>
      </c>
      <c r="AD11" s="181" t="str">
        <f>IFERROR(IF($AC$5="","",IF(F11&lt;&gt;"",(Input!AZ12/Input!$AZ$6)*100,"")),"NA")</f>
        <v/>
      </c>
      <c r="AE11" s="182" t="str">
        <f>IF(F11&lt;&gt;"",IF(Input!BA12&lt;&gt;"",Input!BA12,""),"")</f>
        <v/>
      </c>
      <c r="AF11" s="181" t="str">
        <f>IFERROR(IF($AE$5="","",IF(F11&lt;&gt;"",(Input!BA12/Input!$BA$6)*100,"")),"NA")</f>
        <v/>
      </c>
      <c r="AG11" s="183" t="str">
        <f>IF(F11&lt;&gt;"",IF(Input!BB12&lt;&gt;"",Input!BB12,""),"")</f>
        <v/>
      </c>
      <c r="AH11" s="181" t="str">
        <f>IFERROR(IF($AG$5="","",IF(F11&lt;&gt;"",(Input!BB12/Input!$BB$6)*100,"")),"NA")</f>
        <v/>
      </c>
      <c r="AI11" s="327">
        <f>IF(Input!BC12="Error","Error",IF(F11="","",IF($AA$5="",0,IF(F11&lt;&gt;"",IFERROR(AVERAGE(AB11,AD11,AF11,AH11)*$AI$4,0),""))))</f>
        <v>0</v>
      </c>
      <c r="AJ11" s="179"/>
      <c r="AK11" s="184" t="str">
        <f>IF(Input!BD12="","",IF(F11&lt;&gt;"",Input!BD12,""))</f>
        <v/>
      </c>
      <c r="AL11" s="185" t="str">
        <f>IF(F11="", "",IF(Input!BE12="Error","Error",IF(ISNUMBER(Input!BE12),Input!BE12*$AL$4,"")))</f>
        <v/>
      </c>
      <c r="AM11" s="332" t="str">
        <f>IF(V11="D","Drp",
IF(F11&lt;&gt;"",
IF(OR(Y11="Error",AI11="Error",AL11="Error"),"Error",
IF(Input!BD12="","-",ROUND(Y11+AI11+AL11,2))),""))</f>
        <v>-</v>
      </c>
      <c r="AN11" s="187" t="str">
        <f>IF(F11&lt;&gt;"",VLOOKUP(AM11,TRANSMUTATION!$A$2:$B$14,2),"")</f>
        <v>INC</v>
      </c>
      <c r="AO11" s="263" t="str">
        <f t="shared" si="1"/>
        <v/>
      </c>
      <c r="AP11" s="189"/>
      <c r="AQ11" s="190">
        <v>2.5</v>
      </c>
      <c r="AR11" s="191">
        <f t="shared" si="0"/>
        <v>0</v>
      </c>
      <c r="AT11" s="101"/>
    </row>
    <row r="12" spans="1:46" ht="15" customHeight="1" x14ac:dyDescent="0.2">
      <c r="A12" s="101"/>
      <c r="C12" s="268">
        <v>6</v>
      </c>
      <c r="D12" s="215" t="str">
        <f>IF(Input!D13&lt;&gt;"",IF(F12&lt;&gt;"",Input!D13,""),"")</f>
        <v>02000496750</v>
      </c>
      <c r="E12" s="321"/>
      <c r="F12" s="322" t="str">
        <f>(IF(Input!F13&lt;&gt;"",Input!F13,""))</f>
        <v>BALTE,LYZA MAE LOMA</v>
      </c>
      <c r="G12" s="18"/>
      <c r="H12" s="18"/>
      <c r="I12" s="18"/>
      <c r="J12" s="18"/>
      <c r="K12" s="18"/>
      <c r="L12" s="18"/>
      <c r="M12" s="18"/>
      <c r="N12" s="18"/>
      <c r="O12" s="18"/>
      <c r="P12" s="18"/>
      <c r="Q12" s="18"/>
      <c r="R12" s="18"/>
      <c r="S12" s="18"/>
      <c r="T12" s="18"/>
      <c r="U12" s="18"/>
      <c r="V12" s="21"/>
      <c r="W12" s="177"/>
      <c r="X12" s="178" t="str">
        <f>Input!AX13</f>
        <v/>
      </c>
      <c r="Y12" s="329">
        <f t="shared" si="2"/>
        <v>0</v>
      </c>
      <c r="Z12" s="179"/>
      <c r="AA12" s="180" t="str">
        <f>IF(F12&lt;&gt;"",IF(Input!AY13&lt;&gt;"",Input!AY13,""),"")</f>
        <v/>
      </c>
      <c r="AB12" s="181" t="str">
        <f>IFERROR(IF($AA$5="","",IF(F12&lt;&gt;"",(Input!AY13/Input!$AY$6)*100,"")),"NA")</f>
        <v/>
      </c>
      <c r="AC12" s="182" t="str">
        <f>IF(F12&lt;&gt;"",IF(Input!AZ13&lt;&gt;"",Input!AZ13,""),"")</f>
        <v/>
      </c>
      <c r="AD12" s="181" t="str">
        <f>IFERROR(IF($AC$5="","",IF(F12&lt;&gt;"",(Input!AZ13/Input!$AZ$6)*100,"")),"NA")</f>
        <v/>
      </c>
      <c r="AE12" s="182" t="str">
        <f>IF(F12&lt;&gt;"",IF(Input!BA13&lt;&gt;"",Input!BA13,""),"")</f>
        <v/>
      </c>
      <c r="AF12" s="181" t="str">
        <f>IFERROR(IF($AE$5="","",IF(F12&lt;&gt;"",(Input!BA13/Input!$BA$6)*100,"")),"NA")</f>
        <v/>
      </c>
      <c r="AG12" s="183" t="str">
        <f>IF(F12&lt;&gt;"",IF(Input!BB13&lt;&gt;"",Input!BB13,""),"")</f>
        <v/>
      </c>
      <c r="AH12" s="181" t="str">
        <f>IFERROR(IF($AG$5="","",IF(F12&lt;&gt;"",(Input!BB13/Input!$BB$6)*100,"")),"NA")</f>
        <v/>
      </c>
      <c r="AI12" s="327">
        <f>IF(Input!BC13="Error","Error",IF(F12="","",IF($AA$5="",0,IF(F12&lt;&gt;"",IFERROR(AVERAGE(AB12,AD12,AF12,AH12)*$AI$4,0),""))))</f>
        <v>0</v>
      </c>
      <c r="AJ12" s="179"/>
      <c r="AK12" s="184" t="str">
        <f>IF(Input!BD13="","",IF(F12&lt;&gt;"",Input!BD13,""))</f>
        <v/>
      </c>
      <c r="AL12" s="185" t="str">
        <f>IF(F12="", "",IF(Input!BE13="Error","Error",IF(ISNUMBER(Input!BE13),Input!BE13*$AL$4,"")))</f>
        <v/>
      </c>
      <c r="AM12" s="332" t="str">
        <f>IF(V12="D","Drp",
IF(F12&lt;&gt;"",
IF(OR(Y12="Error",AI12="Error",AL12="Error"),"Error",
IF(Input!BD13="","-",ROUND(Y12+AI12+AL12,2))),""))</f>
        <v>-</v>
      </c>
      <c r="AN12" s="187" t="str">
        <f>IF(F12&lt;&gt;"",VLOOKUP(AM12,TRANSMUTATION!$A$2:$B$14,2),"")</f>
        <v>INC</v>
      </c>
      <c r="AO12" s="263" t="str">
        <f t="shared" si="1"/>
        <v/>
      </c>
      <c r="AP12" s="189"/>
      <c r="AQ12" s="190">
        <v>2.75</v>
      </c>
      <c r="AR12" s="191">
        <f t="shared" si="0"/>
        <v>0</v>
      </c>
      <c r="AT12" s="101"/>
    </row>
    <row r="13" spans="1:46" ht="15" customHeight="1" x14ac:dyDescent="0.2">
      <c r="A13" s="101"/>
      <c r="C13" s="268">
        <v>7</v>
      </c>
      <c r="D13" s="215" t="str">
        <f>IF(Input!D14&lt;&gt;"",IF(F13&lt;&gt;"",Input!D14,""),"")</f>
        <v>02000486779</v>
      </c>
      <c r="E13" s="321"/>
      <c r="F13" s="322" t="str">
        <f>(IF(Input!F14&lt;&gt;"",Input!F14,""))</f>
        <v>BUENAAGUA,AIRA ALANA AMPARADO</v>
      </c>
      <c r="G13" s="18"/>
      <c r="H13" s="18"/>
      <c r="I13" s="18"/>
      <c r="J13" s="18"/>
      <c r="K13" s="18"/>
      <c r="L13" s="18"/>
      <c r="M13" s="18"/>
      <c r="N13" s="18"/>
      <c r="O13" s="18"/>
      <c r="P13" s="18"/>
      <c r="Q13" s="18"/>
      <c r="R13" s="18"/>
      <c r="S13" s="18"/>
      <c r="T13" s="18"/>
      <c r="U13" s="18"/>
      <c r="V13" s="21"/>
      <c r="W13" s="177"/>
      <c r="X13" s="178" t="str">
        <f>Input!AX14</f>
        <v/>
      </c>
      <c r="Y13" s="329">
        <f t="shared" si="2"/>
        <v>0</v>
      </c>
      <c r="Z13" s="179"/>
      <c r="AA13" s="180" t="str">
        <f>IF(F13&lt;&gt;"",IF(Input!AY14&lt;&gt;"",Input!AY14,""),"")</f>
        <v/>
      </c>
      <c r="AB13" s="181" t="str">
        <f>IFERROR(IF($AA$5="","",IF(F13&lt;&gt;"",(Input!AY14/Input!$AY$6)*100,"")),"NA")</f>
        <v/>
      </c>
      <c r="AC13" s="182" t="str">
        <f>IF(F13&lt;&gt;"",IF(Input!AZ14&lt;&gt;"",Input!AZ14,""),"")</f>
        <v/>
      </c>
      <c r="AD13" s="181" t="str">
        <f>IFERROR(IF($AC$5="","",IF(F13&lt;&gt;"",(Input!AZ14/Input!$AZ$6)*100,"")),"NA")</f>
        <v/>
      </c>
      <c r="AE13" s="182" t="str">
        <f>IF(F13&lt;&gt;"",IF(Input!BA14&lt;&gt;"",Input!BA14,""),"")</f>
        <v/>
      </c>
      <c r="AF13" s="181" t="str">
        <f>IFERROR(IF($AE$5="","",IF(F13&lt;&gt;"",(Input!BA14/Input!$BA$6)*100,"")),"NA")</f>
        <v/>
      </c>
      <c r="AG13" s="183" t="str">
        <f>IF(F13&lt;&gt;"",IF(Input!BB14&lt;&gt;"",Input!BB14,""),"")</f>
        <v/>
      </c>
      <c r="AH13" s="181" t="str">
        <f>IFERROR(IF($AG$5="","",IF(F13&lt;&gt;"",(Input!BB14/Input!$BB$6)*100,"")),"NA")</f>
        <v/>
      </c>
      <c r="AI13" s="327">
        <f>IF(Input!BC14="Error","Error",IF(F13="","",IF($AA$5="",0,IF(F13&lt;&gt;"",IFERROR(AVERAGE(AB13,AD13,AF13,AH13)*$AI$4,0),""))))</f>
        <v>0</v>
      </c>
      <c r="AJ13" s="179"/>
      <c r="AK13" s="184" t="str">
        <f>IF(Input!BD14="","",IF(F13&lt;&gt;"",Input!BD14,""))</f>
        <v/>
      </c>
      <c r="AL13" s="185" t="str">
        <f>IF(F13="", "",IF(Input!BE14="Error","Error",IF(ISNUMBER(Input!BE14),Input!BE14*$AL$4,"")))</f>
        <v/>
      </c>
      <c r="AM13" s="332" t="str">
        <f>IF(V13="D","Drp",
IF(F13&lt;&gt;"",
IF(OR(Y13="Error",AI13="Error",AL13="Error"),"Error",
IF(Input!BD14="","-",ROUND(Y13+AI13+AL13,2))),""))</f>
        <v>-</v>
      </c>
      <c r="AN13" s="187" t="str">
        <f>IF(F13&lt;&gt;"",VLOOKUP(AM13,TRANSMUTATION!$A$2:$B$14,2),"")</f>
        <v>INC</v>
      </c>
      <c r="AO13" s="263" t="str">
        <f t="shared" si="1"/>
        <v/>
      </c>
      <c r="AP13" s="189"/>
      <c r="AQ13" s="190">
        <v>3</v>
      </c>
      <c r="AR13" s="191">
        <f t="shared" si="0"/>
        <v>0</v>
      </c>
      <c r="AT13" s="101"/>
    </row>
    <row r="14" spans="1:46" ht="15" customHeight="1" x14ac:dyDescent="0.2">
      <c r="A14" s="101"/>
      <c r="C14" s="268">
        <v>8</v>
      </c>
      <c r="D14" s="215" t="str">
        <f>IF(Input!D15&lt;&gt;"",IF(F14&lt;&gt;"",Input!D15,""),"")</f>
        <v>02000483633</v>
      </c>
      <c r="E14" s="321"/>
      <c r="F14" s="322" t="str">
        <f>(IF(Input!F15&lt;&gt;"",Input!F15,""))</f>
        <v>BULAO,JANNA MAE CUSTODIO</v>
      </c>
      <c r="G14" s="18"/>
      <c r="H14" s="18"/>
      <c r="I14" s="18"/>
      <c r="J14" s="18"/>
      <c r="K14" s="18"/>
      <c r="L14" s="18"/>
      <c r="M14" s="18"/>
      <c r="N14" s="18"/>
      <c r="O14" s="18"/>
      <c r="P14" s="18"/>
      <c r="Q14" s="18"/>
      <c r="R14" s="18"/>
      <c r="S14" s="18"/>
      <c r="T14" s="18"/>
      <c r="U14" s="18"/>
      <c r="V14" s="21"/>
      <c r="W14" s="177"/>
      <c r="X14" s="178" t="str">
        <f>Input!AX15</f>
        <v/>
      </c>
      <c r="Y14" s="329">
        <f t="shared" si="2"/>
        <v>0</v>
      </c>
      <c r="Z14" s="179"/>
      <c r="AA14" s="180" t="str">
        <f>IF(F14&lt;&gt;"",IF(Input!AY15&lt;&gt;"",Input!AY15,""),"")</f>
        <v/>
      </c>
      <c r="AB14" s="181" t="str">
        <f>IFERROR(IF($AA$5="","",IF(F14&lt;&gt;"",(Input!AY15/Input!$AY$6)*100,"")),"NA")</f>
        <v/>
      </c>
      <c r="AC14" s="182" t="str">
        <f>IF(F14&lt;&gt;"",IF(Input!AZ15&lt;&gt;"",Input!AZ15,""),"")</f>
        <v/>
      </c>
      <c r="AD14" s="181" t="str">
        <f>IFERROR(IF($AC$5="","",IF(F14&lt;&gt;"",(Input!AZ15/Input!$AZ$6)*100,"")),"NA")</f>
        <v/>
      </c>
      <c r="AE14" s="182" t="str">
        <f>IF(F14&lt;&gt;"",IF(Input!BA15&lt;&gt;"",Input!BA15,""),"")</f>
        <v/>
      </c>
      <c r="AF14" s="181" t="str">
        <f>IFERROR(IF($AE$5="","",IF(F14&lt;&gt;"",(Input!BA15/Input!$BA$6)*100,"")),"NA")</f>
        <v/>
      </c>
      <c r="AG14" s="183" t="str">
        <f>IF(F14&lt;&gt;"",IF(Input!BB15&lt;&gt;"",Input!BB15,""),"")</f>
        <v/>
      </c>
      <c r="AH14" s="181" t="str">
        <f>IFERROR(IF($AG$5="","",IF(F14&lt;&gt;"",(Input!BB15/Input!$BB$6)*100,"")),"NA")</f>
        <v/>
      </c>
      <c r="AI14" s="327">
        <f>IF(Input!BC15="Error","Error",IF(F14="","",IF($AA$5="",0,IF(F14&lt;&gt;"",IFERROR(AVERAGE(AB14,AD14,AF14,AH14)*$AI$4,0),""))))</f>
        <v>0</v>
      </c>
      <c r="AJ14" s="179"/>
      <c r="AK14" s="184" t="str">
        <f>IF(Input!BD15="","",IF(F14&lt;&gt;"",Input!BD15,""))</f>
        <v/>
      </c>
      <c r="AL14" s="185" t="str">
        <f>IF(F14="", "",IF(Input!BE15="Error","Error",IF(ISNUMBER(Input!BE15),Input!BE15*$AL$4,"")))</f>
        <v/>
      </c>
      <c r="AM14" s="332" t="str">
        <f>IF(V14="D","Drp",
IF(F14&lt;&gt;"",
IF(OR(Y14="Error",AI14="Error",AL14="Error"),"Error",
IF(Input!BD15="","-",ROUND(Y14+AI14+AL14,2))),""))</f>
        <v>-</v>
      </c>
      <c r="AN14" s="187" t="str">
        <f>IF(F14&lt;&gt;"",VLOOKUP(AM14,TRANSMUTATION!$A$2:$B$14,2),"")</f>
        <v>INC</v>
      </c>
      <c r="AO14" s="263" t="str">
        <f t="shared" si="1"/>
        <v/>
      </c>
      <c r="AP14" s="189"/>
      <c r="AQ14" s="190">
        <v>5</v>
      </c>
      <c r="AR14" s="191">
        <f t="shared" si="0"/>
        <v>0</v>
      </c>
      <c r="AT14" s="101"/>
    </row>
    <row r="15" spans="1:46" ht="15" customHeight="1" x14ac:dyDescent="0.2">
      <c r="A15" s="101"/>
      <c r="C15" s="268">
        <v>9</v>
      </c>
      <c r="D15" s="215" t="str">
        <f>IF(Input!D16&lt;&gt;"",IF(F15&lt;&gt;"",Input!D16,""),"")</f>
        <v>02000500732</v>
      </c>
      <c r="E15" s="321"/>
      <c r="F15" s="322" t="str">
        <f>(IF(Input!F16&lt;&gt;"",Input!F16,""))</f>
        <v>CLAUDIO,JAMES YUAN BURCE</v>
      </c>
      <c r="G15" s="18"/>
      <c r="H15" s="18"/>
      <c r="I15" s="18"/>
      <c r="J15" s="18"/>
      <c r="K15" s="18"/>
      <c r="L15" s="18"/>
      <c r="M15" s="18"/>
      <c r="N15" s="18"/>
      <c r="O15" s="18"/>
      <c r="P15" s="18"/>
      <c r="Q15" s="18"/>
      <c r="R15" s="18"/>
      <c r="S15" s="18"/>
      <c r="T15" s="18"/>
      <c r="U15" s="18"/>
      <c r="V15" s="21"/>
      <c r="W15" s="177"/>
      <c r="X15" s="178" t="str">
        <f>Input!AX16</f>
        <v/>
      </c>
      <c r="Y15" s="329">
        <f t="shared" si="2"/>
        <v>0</v>
      </c>
      <c r="Z15" s="179"/>
      <c r="AA15" s="180" t="str">
        <f>IF(F15&lt;&gt;"",IF(Input!AY16&lt;&gt;"",Input!AY16,""),"")</f>
        <v/>
      </c>
      <c r="AB15" s="181" t="str">
        <f>IFERROR(IF($AA$5="","",IF(F15&lt;&gt;"",(Input!AY16/Input!$AY$6)*100,"")),"NA")</f>
        <v/>
      </c>
      <c r="AC15" s="182" t="str">
        <f>IF(F15&lt;&gt;"",IF(Input!AZ16&lt;&gt;"",Input!AZ16,""),"")</f>
        <v/>
      </c>
      <c r="AD15" s="181" t="str">
        <f>IFERROR(IF($AC$5="","",IF(F15&lt;&gt;"",(Input!AZ16/Input!$AZ$6)*100,"")),"NA")</f>
        <v/>
      </c>
      <c r="AE15" s="182" t="str">
        <f>IF(F15&lt;&gt;"",IF(Input!BA16&lt;&gt;"",Input!BA16,""),"")</f>
        <v/>
      </c>
      <c r="AF15" s="181" t="str">
        <f>IFERROR(IF($AE$5="","",IF(F15&lt;&gt;"",(Input!BA16/Input!$BA$6)*100,"")),"NA")</f>
        <v/>
      </c>
      <c r="AG15" s="183" t="str">
        <f>IF(F15&lt;&gt;"",IF(Input!BB16&lt;&gt;"",Input!BB16,""),"")</f>
        <v/>
      </c>
      <c r="AH15" s="181" t="str">
        <f>IFERROR(IF($AG$5="","",IF(F15&lt;&gt;"",(Input!BB16/Input!$BB$6)*100,"")),"NA")</f>
        <v/>
      </c>
      <c r="AI15" s="327">
        <f>IF(Input!BC16="Error","Error",IF(F15="","",IF($AA$5="",0,IF(F15&lt;&gt;"",IFERROR(AVERAGE(AB15,AD15,AF15,AH15)*$AI$4,0),""))))</f>
        <v>0</v>
      </c>
      <c r="AJ15" s="179"/>
      <c r="AK15" s="184" t="str">
        <f>IF(Input!BD16="","",IF(F15&lt;&gt;"",Input!BD16,""))</f>
        <v/>
      </c>
      <c r="AL15" s="185" t="str">
        <f>IF(F15="", "",IF(Input!BE16="Error","Error",IF(ISNUMBER(Input!BE16),Input!BE16*$AL$4,"")))</f>
        <v/>
      </c>
      <c r="AM15" s="332" t="str">
        <f>IF(V15="D","Drp",
IF(F15&lt;&gt;"",
IF(OR(Y15="Error",AI15="Error",AL15="Error"),"Error",
IF(Input!BD16="","-",ROUND(Y15+AI15+AL15,2))),""))</f>
        <v>-</v>
      </c>
      <c r="AN15" s="187" t="str">
        <f>IF(F15&lt;&gt;"",VLOOKUP(AM15,TRANSMUTATION!$A$2:$B$14,2),"")</f>
        <v>INC</v>
      </c>
      <c r="AO15" s="263" t="str">
        <f t="shared" si="1"/>
        <v/>
      </c>
      <c r="AP15" s="189"/>
      <c r="AQ15" s="190" t="s">
        <v>98</v>
      </c>
      <c r="AR15" s="191">
        <f t="shared" si="0"/>
        <v>0</v>
      </c>
      <c r="AT15" s="101"/>
    </row>
    <row r="16" spans="1:46" ht="15" customHeight="1" x14ac:dyDescent="0.2">
      <c r="A16" s="101"/>
      <c r="C16" s="268">
        <v>10</v>
      </c>
      <c r="D16" s="215" t="str">
        <f>IF(Input!D17&lt;&gt;"",IF(F16&lt;&gt;"",Input!D17,""),"")</f>
        <v>02000491156</v>
      </c>
      <c r="E16" s="321"/>
      <c r="F16" s="322" t="str">
        <f>(IF(Input!F17&lt;&gt;"",Input!F17,""))</f>
        <v>DACUBA,ANNEZA MAYE DANCIL</v>
      </c>
      <c r="G16" s="18"/>
      <c r="H16" s="18"/>
      <c r="I16" s="18"/>
      <c r="J16" s="18"/>
      <c r="K16" s="18"/>
      <c r="L16" s="18"/>
      <c r="M16" s="18"/>
      <c r="N16" s="18"/>
      <c r="O16" s="18"/>
      <c r="P16" s="18"/>
      <c r="Q16" s="18"/>
      <c r="R16" s="18"/>
      <c r="S16" s="18"/>
      <c r="T16" s="18"/>
      <c r="U16" s="18"/>
      <c r="V16" s="21"/>
      <c r="W16" s="177"/>
      <c r="X16" s="178" t="str">
        <f>Input!AX17</f>
        <v/>
      </c>
      <c r="Y16" s="329">
        <f t="shared" si="2"/>
        <v>0</v>
      </c>
      <c r="Z16" s="179"/>
      <c r="AA16" s="180" t="str">
        <f>IF(F16&lt;&gt;"",IF(Input!AY17&lt;&gt;"",Input!AY17,""),"")</f>
        <v/>
      </c>
      <c r="AB16" s="181" t="str">
        <f>IFERROR(IF($AA$5="","",IF(F16&lt;&gt;"",(Input!AY17/Input!$AY$6)*100,"")),"NA")</f>
        <v/>
      </c>
      <c r="AC16" s="182" t="str">
        <f>IF(F16&lt;&gt;"",IF(Input!AZ17&lt;&gt;"",Input!AZ17,""),"")</f>
        <v/>
      </c>
      <c r="AD16" s="181" t="str">
        <f>IFERROR(IF($AC$5="","",IF(F16&lt;&gt;"",(Input!AZ17/Input!$AZ$6)*100,"")),"NA")</f>
        <v/>
      </c>
      <c r="AE16" s="182" t="str">
        <f>IF(F16&lt;&gt;"",IF(Input!BA17&lt;&gt;"",Input!BA17,""),"")</f>
        <v/>
      </c>
      <c r="AF16" s="181" t="str">
        <f>IFERROR(IF($AE$5="","",IF(F16&lt;&gt;"",(Input!BA17/Input!$BA$6)*100,"")),"NA")</f>
        <v/>
      </c>
      <c r="AG16" s="183" t="str">
        <f>IF(F16&lt;&gt;"",IF(Input!BB17&lt;&gt;"",Input!BB17,""),"")</f>
        <v/>
      </c>
      <c r="AH16" s="181" t="str">
        <f>IFERROR(IF($AG$5="","",IF(F16&lt;&gt;"",(Input!BB17/Input!$BB$6)*100,"")),"NA")</f>
        <v/>
      </c>
      <c r="AI16" s="327">
        <f>IF(Input!BC17="Error","Error",IF(F16="","",IF($AA$5="",0,IF(F16&lt;&gt;"",IFERROR(AVERAGE(AB16,AD16,AF16,AH16)*$AI$4,0),""))))</f>
        <v>0</v>
      </c>
      <c r="AJ16" s="179"/>
      <c r="AK16" s="184" t="str">
        <f>IF(Input!BD17="","",IF(F16&lt;&gt;"",Input!BD17,""))</f>
        <v/>
      </c>
      <c r="AL16" s="185" t="str">
        <f>IF(F16="", "",IF(Input!BE17="Error","Error",IF(ISNUMBER(Input!BE17),Input!BE17*$AL$4,"")))</f>
        <v/>
      </c>
      <c r="AM16" s="332" t="str">
        <f>IF(V16="D","Drp",
IF(F16&lt;&gt;"",
IF(OR(Y16="Error",AI16="Error",AL16="Error"),"Error",
IF(Input!BD17="","-",ROUND(Y16+AI16+AL16,2))),""))</f>
        <v>-</v>
      </c>
      <c r="AN16" s="187" t="str">
        <f>IF(F16&lt;&gt;"",VLOOKUP(AM16,TRANSMUTATION!$A$2:$B$14,2),"")</f>
        <v>INC</v>
      </c>
      <c r="AO16" s="263" t="str">
        <f t="shared" si="1"/>
        <v/>
      </c>
      <c r="AP16" s="189"/>
      <c r="AQ16" s="190" t="s">
        <v>99</v>
      </c>
      <c r="AR16" s="191">
        <f t="shared" si="0"/>
        <v>25</v>
      </c>
      <c r="AT16" s="101"/>
    </row>
    <row r="17" spans="1:46" ht="15" customHeight="1" thickBot="1" x14ac:dyDescent="0.25">
      <c r="A17" s="101"/>
      <c r="C17" s="268">
        <v>11</v>
      </c>
      <c r="D17" s="215" t="str">
        <f>IF(Input!D18&lt;&gt;"",IF(F17&lt;&gt;"",Input!D18,""),"")</f>
        <v>02000487748</v>
      </c>
      <c r="E17" s="321"/>
      <c r="F17" s="322" t="str">
        <f>(IF(Input!F18&lt;&gt;"",Input!F18,""))</f>
        <v>DESALISA,IVY ABANIL</v>
      </c>
      <c r="G17" s="18"/>
      <c r="H17" s="18"/>
      <c r="I17" s="18"/>
      <c r="J17" s="18"/>
      <c r="K17" s="18"/>
      <c r="L17" s="18"/>
      <c r="M17" s="18"/>
      <c r="N17" s="18"/>
      <c r="O17" s="18"/>
      <c r="P17" s="18"/>
      <c r="Q17" s="18"/>
      <c r="R17" s="18"/>
      <c r="S17" s="18"/>
      <c r="T17" s="18"/>
      <c r="U17" s="18"/>
      <c r="V17" s="21"/>
      <c r="W17" s="177"/>
      <c r="X17" s="178" t="str">
        <f>Input!AX18</f>
        <v/>
      </c>
      <c r="Y17" s="329">
        <f t="shared" si="2"/>
        <v>0</v>
      </c>
      <c r="Z17" s="179"/>
      <c r="AA17" s="180" t="str">
        <f>IF(F17&lt;&gt;"",IF(Input!AY18&lt;&gt;"",Input!AY18,""),"")</f>
        <v/>
      </c>
      <c r="AB17" s="181" t="str">
        <f>IFERROR(IF($AA$5="","",IF(F17&lt;&gt;"",(Input!AY18/Input!$AY$6)*100,"")),"NA")</f>
        <v/>
      </c>
      <c r="AC17" s="182" t="str">
        <f>IF(F17&lt;&gt;"",IF(Input!AZ18&lt;&gt;"",Input!AZ18,""),"")</f>
        <v/>
      </c>
      <c r="AD17" s="181" t="str">
        <f>IFERROR(IF($AC$5="","",IF(F17&lt;&gt;"",(Input!AZ18/Input!$AZ$6)*100,"")),"NA")</f>
        <v/>
      </c>
      <c r="AE17" s="182" t="str">
        <f>IF(F17&lt;&gt;"",IF(Input!BA18&lt;&gt;"",Input!BA18,""),"")</f>
        <v/>
      </c>
      <c r="AF17" s="181" t="str">
        <f>IFERROR(IF($AE$5="","",IF(F17&lt;&gt;"",(Input!BA18/Input!$BA$6)*100,"")),"NA")</f>
        <v/>
      </c>
      <c r="AG17" s="183" t="str">
        <f>IF(F17&lt;&gt;"",IF(Input!BB18&lt;&gt;"",Input!BB18,""),"")</f>
        <v/>
      </c>
      <c r="AH17" s="181" t="str">
        <f>IFERROR(IF($AG$5="","",IF(F17&lt;&gt;"",(Input!BB18/Input!$BB$6)*100,"")),"NA")</f>
        <v/>
      </c>
      <c r="AI17" s="327">
        <f>IF(Input!BC18="Error","Error",IF(F17="","",IF($AA$5="",0,IF(F17&lt;&gt;"",IFERROR(AVERAGE(AB17,AD17,AF17,AH17)*$AI$4,0),""))))</f>
        <v>0</v>
      </c>
      <c r="AJ17" s="179"/>
      <c r="AK17" s="184" t="str">
        <f>IF(Input!BD18="","",IF(F17&lt;&gt;"",Input!BD18,""))</f>
        <v/>
      </c>
      <c r="AL17" s="185" t="str">
        <f>IF(F17="", "",IF(Input!BE18="Error","Error",IF(ISNUMBER(Input!BE18),Input!BE18*$AL$4,"")))</f>
        <v/>
      </c>
      <c r="AM17" s="332" t="str">
        <f>IF(V17="D","Drp",
IF(F17&lt;&gt;"",
IF(OR(Y17="Error",AI17="Error",AL17="Error"),"Error",
IF(Input!BD18="","-",ROUND(Y17+AI17+AL17,2))),""))</f>
        <v>-</v>
      </c>
      <c r="AN17" s="187" t="str">
        <f>IF(F17&lt;&gt;"",VLOOKUP(AM17,TRANSMUTATION!$A$2:$B$14,2),"")</f>
        <v>INC</v>
      </c>
      <c r="AO17" s="263" t="str">
        <f t="shared" si="1"/>
        <v/>
      </c>
      <c r="AP17" s="189"/>
      <c r="AQ17" s="251" t="s">
        <v>100</v>
      </c>
      <c r="AR17" s="252">
        <f>SUM(AR5:AR16)</f>
        <v>25</v>
      </c>
      <c r="AT17" s="101"/>
    </row>
    <row r="18" spans="1:46" ht="15" customHeight="1" x14ac:dyDescent="0.2">
      <c r="A18" s="101"/>
      <c r="C18" s="268">
        <v>12</v>
      </c>
      <c r="D18" s="215" t="str">
        <f>IF(Input!D19&lt;&gt;"",IF(F18&lt;&gt;"",Input!D19,""),"")</f>
        <v>02000504031</v>
      </c>
      <c r="E18" s="321"/>
      <c r="F18" s="322" t="str">
        <f>(IF(Input!F19&lt;&gt;"",Input!F19,""))</f>
        <v>DOMINGUEZ,ADJA</v>
      </c>
      <c r="G18" s="18"/>
      <c r="H18" s="18"/>
      <c r="I18" s="18"/>
      <c r="J18" s="18"/>
      <c r="K18" s="18"/>
      <c r="L18" s="18"/>
      <c r="M18" s="18"/>
      <c r="N18" s="18"/>
      <c r="O18" s="18"/>
      <c r="P18" s="18"/>
      <c r="Q18" s="18"/>
      <c r="R18" s="18"/>
      <c r="S18" s="18"/>
      <c r="T18" s="18"/>
      <c r="U18" s="18"/>
      <c r="V18" s="21"/>
      <c r="W18" s="177"/>
      <c r="X18" s="178" t="str">
        <f>Input!AX19</f>
        <v/>
      </c>
      <c r="Y18" s="329">
        <f t="shared" si="2"/>
        <v>0</v>
      </c>
      <c r="Z18" s="179"/>
      <c r="AA18" s="180" t="str">
        <f>IF(F18&lt;&gt;"",IF(Input!AY19&lt;&gt;"",Input!AY19,""),"")</f>
        <v/>
      </c>
      <c r="AB18" s="181" t="str">
        <f>IFERROR(IF($AA$5="","",IF(F18&lt;&gt;"",(Input!AY19/Input!$AY$6)*100,"")),"NA")</f>
        <v/>
      </c>
      <c r="AC18" s="182" t="str">
        <f>IF(F18&lt;&gt;"",IF(Input!AZ19&lt;&gt;"",Input!AZ19,""),"")</f>
        <v/>
      </c>
      <c r="AD18" s="181" t="str">
        <f>IFERROR(IF($AC$5="","",IF(F18&lt;&gt;"",(Input!AZ19/Input!$AZ$6)*100,"")),"NA")</f>
        <v/>
      </c>
      <c r="AE18" s="182" t="str">
        <f>IF(F18&lt;&gt;"",IF(Input!BA19&lt;&gt;"",Input!BA19,""),"")</f>
        <v/>
      </c>
      <c r="AF18" s="181" t="str">
        <f>IFERROR(IF($AE$5="","",IF(F18&lt;&gt;"",(Input!BA19/Input!$BA$6)*100,"")),"NA")</f>
        <v/>
      </c>
      <c r="AG18" s="183" t="str">
        <f>IF(F18&lt;&gt;"",IF(Input!BB19&lt;&gt;"",Input!BB19,""),"")</f>
        <v/>
      </c>
      <c r="AH18" s="181" t="str">
        <f>IFERROR(IF($AG$5="","",IF(F18&lt;&gt;"",(Input!BB19/Input!$BB$6)*100,"")),"NA")</f>
        <v/>
      </c>
      <c r="AI18" s="327">
        <f>IF(Input!BC19="Error","Error",IF(F18="","",IF($AA$5="",0,IF(F18&lt;&gt;"",IFERROR(AVERAGE(AB18,AD18,AF18,AH18)*$AI$4,0),""))))</f>
        <v>0</v>
      </c>
      <c r="AJ18" s="179"/>
      <c r="AK18" s="184" t="str">
        <f>IF(Input!BD19="","",IF(F18&lt;&gt;"",Input!BD19,""))</f>
        <v/>
      </c>
      <c r="AL18" s="185" t="str">
        <f>IF(F18="", "",IF(Input!BE19="Error","Error",IF(ISNUMBER(Input!BE19),Input!BE19*$AL$4,"")))</f>
        <v/>
      </c>
      <c r="AM18" s="332" t="str">
        <f>IF(V18="D","Drp",
IF(F18&lt;&gt;"",
IF(OR(Y18="Error",AI18="Error",AL18="Error"),"Error",
IF(Input!BD19="","-",ROUND(Y18+AI18+AL18,2))),""))</f>
        <v>-</v>
      </c>
      <c r="AN18" s="187" t="str">
        <f>IF(F18&lt;&gt;"",VLOOKUP(AM18,TRANSMUTATION!$A$2:$B$14,2),"")</f>
        <v>INC</v>
      </c>
      <c r="AO18" s="263" t="str">
        <f t="shared" si="1"/>
        <v/>
      </c>
      <c r="AP18" s="189"/>
      <c r="AT18" s="101"/>
    </row>
    <row r="19" spans="1:46" ht="15" customHeight="1" x14ac:dyDescent="0.2">
      <c r="A19" s="101"/>
      <c r="C19" s="268">
        <v>13</v>
      </c>
      <c r="D19" s="215" t="str">
        <f>IF(Input!D20&lt;&gt;"",IF(F19&lt;&gt;"",Input!D20,""),"")</f>
        <v>02000504595</v>
      </c>
      <c r="E19" s="321"/>
      <c r="F19" s="322" t="str">
        <f>(IF(Input!F20&lt;&gt;"",Input!F20,""))</f>
        <v>ELEGADO,RAQUEL JILLIAN BURCER</v>
      </c>
      <c r="G19" s="18"/>
      <c r="H19" s="18"/>
      <c r="I19" s="18"/>
      <c r="J19" s="18"/>
      <c r="K19" s="18"/>
      <c r="L19" s="18"/>
      <c r="M19" s="18"/>
      <c r="N19" s="18"/>
      <c r="O19" s="18"/>
      <c r="P19" s="18"/>
      <c r="Q19" s="18"/>
      <c r="R19" s="18"/>
      <c r="S19" s="18"/>
      <c r="T19" s="18"/>
      <c r="U19" s="18"/>
      <c r="V19" s="21"/>
      <c r="W19" s="177"/>
      <c r="X19" s="178" t="str">
        <f>Input!AX20</f>
        <v/>
      </c>
      <c r="Y19" s="329">
        <f t="shared" si="2"/>
        <v>0</v>
      </c>
      <c r="Z19" s="179"/>
      <c r="AA19" s="180" t="str">
        <f>IF(F19&lt;&gt;"",IF(Input!AY20&lt;&gt;"",Input!AY20,""),"")</f>
        <v/>
      </c>
      <c r="AB19" s="181" t="str">
        <f>IFERROR(IF($AA$5="","",IF(F19&lt;&gt;"",(Input!AY20/Input!$AY$6)*100,"")),"NA")</f>
        <v/>
      </c>
      <c r="AC19" s="182" t="str">
        <f>IF(F19&lt;&gt;"",IF(Input!AZ20&lt;&gt;"",Input!AZ20,""),"")</f>
        <v/>
      </c>
      <c r="AD19" s="181" t="str">
        <f>IFERROR(IF($AC$5="","",IF(F19&lt;&gt;"",(Input!AZ20/Input!$AZ$6)*100,"")),"NA")</f>
        <v/>
      </c>
      <c r="AE19" s="182" t="str">
        <f>IF(F19&lt;&gt;"",IF(Input!BA20&lt;&gt;"",Input!BA20,""),"")</f>
        <v/>
      </c>
      <c r="AF19" s="181" t="str">
        <f>IFERROR(IF($AE$5="","",IF(F19&lt;&gt;"",(Input!BA20/Input!$BA$6)*100,"")),"NA")</f>
        <v/>
      </c>
      <c r="AG19" s="183" t="str">
        <f>IF(F19&lt;&gt;"",IF(Input!BB20&lt;&gt;"",Input!BB20,""),"")</f>
        <v/>
      </c>
      <c r="AH19" s="181" t="str">
        <f>IFERROR(IF($AG$5="","",IF(F19&lt;&gt;"",(Input!BB20/Input!$BB$6)*100,"")),"NA")</f>
        <v/>
      </c>
      <c r="AI19" s="327">
        <f>IF(Input!BC20="Error","Error",IF(F19="","",IF($AA$5="",0,IF(F19&lt;&gt;"",IFERROR(AVERAGE(AB19,AD19,AF19,AH19)*$AI$4,0),""))))</f>
        <v>0</v>
      </c>
      <c r="AJ19" s="179"/>
      <c r="AK19" s="184" t="str">
        <f>IF(Input!BD20="","",IF(F19&lt;&gt;"",Input!BD20,""))</f>
        <v/>
      </c>
      <c r="AL19" s="185" t="str">
        <f>IF(F19="", "",IF(Input!BE20="Error","Error",IF(ISNUMBER(Input!BE20),Input!BE20*$AL$4,"")))</f>
        <v/>
      </c>
      <c r="AM19" s="332" t="str">
        <f>IF(V19="D","Drp",
IF(F19&lt;&gt;"",
IF(OR(Y19="Error",AI19="Error",AL19="Error"),"Error",
IF(Input!BD20="","-",ROUND(Y19+AI19+AL19,2))),""))</f>
        <v>-</v>
      </c>
      <c r="AN19" s="187" t="str">
        <f>IF(F19&lt;&gt;"",VLOOKUP(AM19,TRANSMUTATION!$A$2:$B$14,2),"")</f>
        <v>INC</v>
      </c>
      <c r="AO19" s="263" t="str">
        <f t="shared" si="1"/>
        <v/>
      </c>
      <c r="AP19" s="189"/>
      <c r="AT19" s="101"/>
    </row>
    <row r="20" spans="1:46" ht="15" customHeight="1" x14ac:dyDescent="0.2">
      <c r="A20" s="101"/>
      <c r="C20" s="268">
        <v>14</v>
      </c>
      <c r="D20" s="215" t="str">
        <f>IF(Input!D21&lt;&gt;"",IF(F20&lt;&gt;"",Input!D21,""),"")</f>
        <v>02000493811</v>
      </c>
      <c r="E20" s="321"/>
      <c r="F20" s="322" t="str">
        <f>(IF(Input!F21&lt;&gt;"",Input!F21,""))</f>
        <v>FRANCE,KRISTEL CASSANDRA BASALLOTE</v>
      </c>
      <c r="G20" s="18"/>
      <c r="H20" s="18"/>
      <c r="I20" s="18"/>
      <c r="J20" s="18"/>
      <c r="K20" s="18"/>
      <c r="L20" s="18"/>
      <c r="M20" s="18"/>
      <c r="N20" s="18"/>
      <c r="O20" s="18"/>
      <c r="P20" s="18"/>
      <c r="Q20" s="18"/>
      <c r="R20" s="18"/>
      <c r="S20" s="18"/>
      <c r="T20" s="18"/>
      <c r="U20" s="18"/>
      <c r="V20" s="21"/>
      <c r="W20" s="177"/>
      <c r="X20" s="178" t="str">
        <f>Input!AX21</f>
        <v/>
      </c>
      <c r="Y20" s="329">
        <f t="shared" si="2"/>
        <v>0</v>
      </c>
      <c r="Z20" s="179"/>
      <c r="AA20" s="180" t="str">
        <f>IF(F20&lt;&gt;"",IF(Input!AY21&lt;&gt;"",Input!AY21,""),"")</f>
        <v/>
      </c>
      <c r="AB20" s="181" t="str">
        <f>IFERROR(IF($AA$5="","",IF(F20&lt;&gt;"",(Input!AY21/Input!$AY$6)*100,"")),"NA")</f>
        <v/>
      </c>
      <c r="AC20" s="182" t="str">
        <f>IF(F20&lt;&gt;"",IF(Input!AZ21&lt;&gt;"",Input!AZ21,""),"")</f>
        <v/>
      </c>
      <c r="AD20" s="181" t="str">
        <f>IFERROR(IF($AC$5="","",IF(F20&lt;&gt;"",(Input!AZ21/Input!$AZ$6)*100,"")),"NA")</f>
        <v/>
      </c>
      <c r="AE20" s="182" t="str">
        <f>IF(F20&lt;&gt;"",IF(Input!BA21&lt;&gt;"",Input!BA21,""),"")</f>
        <v/>
      </c>
      <c r="AF20" s="181" t="str">
        <f>IFERROR(IF($AE$5="","",IF(F20&lt;&gt;"",(Input!BA21/Input!$BA$6)*100,"")),"NA")</f>
        <v/>
      </c>
      <c r="AG20" s="183" t="str">
        <f>IF(F20&lt;&gt;"",IF(Input!BB21&lt;&gt;"",Input!BB21,""),"")</f>
        <v/>
      </c>
      <c r="AH20" s="181" t="str">
        <f>IFERROR(IF($AG$5="","",IF(F20&lt;&gt;"",(Input!BB21/Input!$BB$6)*100,"")),"NA")</f>
        <v/>
      </c>
      <c r="AI20" s="327">
        <f>IF(Input!BC21="Error","Error",IF(F20="","",IF($AA$5="",0,IF(F20&lt;&gt;"",IFERROR(AVERAGE(AB20,AD20,AF20,AH20)*$AI$4,0),""))))</f>
        <v>0</v>
      </c>
      <c r="AJ20" s="179"/>
      <c r="AK20" s="184" t="str">
        <f>IF(Input!BD21="","",IF(F20&lt;&gt;"",Input!BD21,""))</f>
        <v/>
      </c>
      <c r="AL20" s="185" t="str">
        <f>IF(F20="", "",IF(Input!BE21="Error","Error",IF(ISNUMBER(Input!BE21),Input!BE21*$AL$4,"")))</f>
        <v/>
      </c>
      <c r="AM20" s="332" t="str">
        <f>IF(V20="D","Drp",
IF(F20&lt;&gt;"",
IF(OR(Y20="Error",AI20="Error",AL20="Error"),"Error",
IF(Input!BD21="","-",ROUND(Y20+AI20+AL20,2))),""))</f>
        <v>-</v>
      </c>
      <c r="AN20" s="187" t="str">
        <f>IF(F20&lt;&gt;"",VLOOKUP(AM20,TRANSMUTATION!$A$2:$B$14,2),"")</f>
        <v>INC</v>
      </c>
      <c r="AO20" s="263" t="str">
        <f t="shared" si="1"/>
        <v/>
      </c>
      <c r="AP20" s="189"/>
      <c r="AT20" s="101"/>
    </row>
    <row r="21" spans="1:46" ht="15" customHeight="1" x14ac:dyDescent="0.2">
      <c r="A21" s="101"/>
      <c r="C21" s="268">
        <v>15</v>
      </c>
      <c r="D21" s="215" t="str">
        <f>IF(Input!D22&lt;&gt;"",IF(F21&lt;&gt;"",Input!D22,""),"")</f>
        <v>02000501320</v>
      </c>
      <c r="E21" s="321"/>
      <c r="F21" s="322" t="str">
        <f>(IF(Input!F22&lt;&gt;"",Input!F22,""))</f>
        <v>LAMESERIA,DIVINA RUFFA ABRAHAM</v>
      </c>
      <c r="G21" s="18"/>
      <c r="H21" s="18"/>
      <c r="I21" s="18"/>
      <c r="J21" s="18"/>
      <c r="K21" s="18"/>
      <c r="L21" s="18"/>
      <c r="M21" s="18"/>
      <c r="N21" s="18"/>
      <c r="O21" s="18"/>
      <c r="P21" s="18"/>
      <c r="Q21" s="18"/>
      <c r="R21" s="18"/>
      <c r="S21" s="18"/>
      <c r="T21" s="18"/>
      <c r="U21" s="18"/>
      <c r="V21" s="21"/>
      <c r="W21" s="177"/>
      <c r="X21" s="178" t="str">
        <f>Input!AX22</f>
        <v/>
      </c>
      <c r="Y21" s="329">
        <f t="shared" si="2"/>
        <v>0</v>
      </c>
      <c r="Z21" s="179"/>
      <c r="AA21" s="180" t="str">
        <f>IF(F21&lt;&gt;"",IF(Input!AY22&lt;&gt;"",Input!AY22,""),"")</f>
        <v/>
      </c>
      <c r="AB21" s="181" t="str">
        <f>IFERROR(IF($AA$5="","",IF(F21&lt;&gt;"",(Input!AY22/Input!$AY$6)*100,"")),"NA")</f>
        <v/>
      </c>
      <c r="AC21" s="182" t="str">
        <f>IF(F21&lt;&gt;"",IF(Input!AZ22&lt;&gt;"",Input!AZ22,""),"")</f>
        <v/>
      </c>
      <c r="AD21" s="181" t="str">
        <f>IFERROR(IF($AC$5="","",IF(F21&lt;&gt;"",(Input!AZ22/Input!$AZ$6)*100,"")),"NA")</f>
        <v/>
      </c>
      <c r="AE21" s="182" t="str">
        <f>IF(F21&lt;&gt;"",IF(Input!BA22&lt;&gt;"",Input!BA22,""),"")</f>
        <v/>
      </c>
      <c r="AF21" s="181" t="str">
        <f>IFERROR(IF($AE$5="","",IF(F21&lt;&gt;"",(Input!BA22/Input!$BA$6)*100,"")),"NA")</f>
        <v/>
      </c>
      <c r="AG21" s="183" t="str">
        <f>IF(F21&lt;&gt;"",IF(Input!BB22&lt;&gt;"",Input!BB22,""),"")</f>
        <v/>
      </c>
      <c r="AH21" s="181" t="str">
        <f>IFERROR(IF($AG$5="","",IF(F21&lt;&gt;"",(Input!BB22/Input!$BB$6)*100,"")),"NA")</f>
        <v/>
      </c>
      <c r="AI21" s="327">
        <f>IF(Input!BC22="Error","Error",IF(F21="","",IF($AA$5="",0,IF(F21&lt;&gt;"",IFERROR(AVERAGE(AB21,AD21,AF21,AH21)*$AI$4,0),""))))</f>
        <v>0</v>
      </c>
      <c r="AJ21" s="179"/>
      <c r="AK21" s="184" t="str">
        <f>IF(Input!BD22="","",IF(F21&lt;&gt;"",Input!BD22,""))</f>
        <v/>
      </c>
      <c r="AL21" s="185" t="str">
        <f>IF(F21="", "",IF(Input!BE22="Error","Error",IF(ISNUMBER(Input!BE22),Input!BE22*$AL$4,"")))</f>
        <v/>
      </c>
      <c r="AM21" s="332" t="str">
        <f>IF(V21="D","Drp",
IF(F21&lt;&gt;"",
IF(OR(Y21="Error",AI21="Error",AL21="Error"),"Error",
IF(Input!BD22="","-",ROUND(Y21+AI21+AL21,2))),""))</f>
        <v>-</v>
      </c>
      <c r="AN21" s="187" t="str">
        <f>IF(F21&lt;&gt;"",VLOOKUP(AM21,TRANSMUTATION!$A$2:$B$14,2),"")</f>
        <v>INC</v>
      </c>
      <c r="AO21" s="263" t="str">
        <f t="shared" si="1"/>
        <v/>
      </c>
      <c r="AP21" s="189"/>
      <c r="AT21" s="101"/>
    </row>
    <row r="22" spans="1:46" ht="15" customHeight="1" x14ac:dyDescent="0.2">
      <c r="A22" s="101"/>
      <c r="C22" s="268">
        <v>16</v>
      </c>
      <c r="D22" s="215" t="str">
        <f>IF(Input!D23&lt;&gt;"",IF(F22&lt;&gt;"",Input!D23,""),"")</f>
        <v>02000510843</v>
      </c>
      <c r="E22" s="321"/>
      <c r="F22" s="322" t="str">
        <f>(IF(Input!F23&lt;&gt;"",Input!F23,""))</f>
        <v>LAURENTE,WILFRED RUSSELL SAMBAJON</v>
      </c>
      <c r="G22" s="18"/>
      <c r="H22" s="18"/>
      <c r="I22" s="18"/>
      <c r="J22" s="18"/>
      <c r="K22" s="18"/>
      <c r="L22" s="18"/>
      <c r="M22" s="18"/>
      <c r="N22" s="18"/>
      <c r="O22" s="18"/>
      <c r="P22" s="18"/>
      <c r="Q22" s="18"/>
      <c r="R22" s="18"/>
      <c r="S22" s="18"/>
      <c r="T22" s="18"/>
      <c r="U22" s="18"/>
      <c r="V22" s="21"/>
      <c r="W22" s="177"/>
      <c r="X22" s="178" t="str">
        <f>Input!AX23</f>
        <v/>
      </c>
      <c r="Y22" s="329">
        <f t="shared" si="2"/>
        <v>0</v>
      </c>
      <c r="Z22" s="179"/>
      <c r="AA22" s="180" t="str">
        <f>IF(F22&lt;&gt;"",IF(Input!AY23&lt;&gt;"",Input!AY23,""),"")</f>
        <v/>
      </c>
      <c r="AB22" s="181" t="str">
        <f>IFERROR(IF($AA$5="","",IF(F22&lt;&gt;"",(Input!AY23/Input!$AY$6)*100,"")),"NA")</f>
        <v/>
      </c>
      <c r="AC22" s="182" t="str">
        <f>IF(F22&lt;&gt;"",IF(Input!AZ23&lt;&gt;"",Input!AZ23,""),"")</f>
        <v/>
      </c>
      <c r="AD22" s="181" t="str">
        <f>IFERROR(IF($AC$5="","",IF(F22&lt;&gt;"",(Input!AZ23/Input!$AZ$6)*100,"")),"NA")</f>
        <v/>
      </c>
      <c r="AE22" s="182" t="str">
        <f>IF(F22&lt;&gt;"",IF(Input!BA23&lt;&gt;"",Input!BA23,""),"")</f>
        <v/>
      </c>
      <c r="AF22" s="181" t="str">
        <f>IFERROR(IF($AE$5="","",IF(F22&lt;&gt;"",(Input!BA23/Input!$BA$6)*100,"")),"NA")</f>
        <v/>
      </c>
      <c r="AG22" s="183" t="str">
        <f>IF(F22&lt;&gt;"",IF(Input!BB23&lt;&gt;"",Input!BB23,""),"")</f>
        <v/>
      </c>
      <c r="AH22" s="181" t="str">
        <f>IFERROR(IF($AG$5="","",IF(F22&lt;&gt;"",(Input!BB23/Input!$BB$6)*100,"")),"NA")</f>
        <v/>
      </c>
      <c r="AI22" s="327">
        <f>IF(Input!BC23="Error","Error",IF(F22="","",IF($AA$5="",0,IF(F22&lt;&gt;"",IFERROR(AVERAGE(AB22,AD22,AF22,AH22)*$AI$4,0),""))))</f>
        <v>0</v>
      </c>
      <c r="AJ22" s="179"/>
      <c r="AK22" s="184" t="str">
        <f>IF(Input!BD23="","",IF(F22&lt;&gt;"",Input!BD23,""))</f>
        <v/>
      </c>
      <c r="AL22" s="185" t="str">
        <f>IF(F22="", "",IF(Input!BE23="Error","Error",IF(ISNUMBER(Input!BE23),Input!BE23*$AL$4,"")))</f>
        <v/>
      </c>
      <c r="AM22" s="332" t="str">
        <f>IF(V22="D","Drp",
IF(F22&lt;&gt;"",
IF(OR(Y22="Error",AI22="Error",AL22="Error"),"Error",
IF(Input!BD23="","-",ROUND(Y22+AI22+AL22,2))),""))</f>
        <v>-</v>
      </c>
      <c r="AN22" s="187" t="str">
        <f>IF(F22&lt;&gt;"",VLOOKUP(AM22,TRANSMUTATION!$A$2:$B$14,2),"")</f>
        <v>INC</v>
      </c>
      <c r="AO22" s="263" t="str">
        <f t="shared" si="1"/>
        <v/>
      </c>
      <c r="AP22" s="189"/>
      <c r="AT22" s="101"/>
    </row>
    <row r="23" spans="1:46" ht="15" customHeight="1" x14ac:dyDescent="0.2">
      <c r="A23" s="101"/>
      <c r="C23" s="268">
        <v>17</v>
      </c>
      <c r="D23" s="215" t="str">
        <f>IF(Input!D24&lt;&gt;"",IF(F23&lt;&gt;"",Input!D24,""),"")</f>
        <v>02000484250</v>
      </c>
      <c r="E23" s="321"/>
      <c r="F23" s="322" t="str">
        <f>(IF(Input!F24&lt;&gt;"",Input!F24,""))</f>
        <v>LOYOLA,RAMIL JR. BARBARA</v>
      </c>
      <c r="G23" s="18"/>
      <c r="H23" s="18"/>
      <c r="I23" s="18"/>
      <c r="J23" s="18"/>
      <c r="K23" s="18"/>
      <c r="L23" s="18"/>
      <c r="M23" s="18"/>
      <c r="N23" s="18"/>
      <c r="O23" s="18"/>
      <c r="P23" s="18"/>
      <c r="Q23" s="18"/>
      <c r="R23" s="18"/>
      <c r="S23" s="18"/>
      <c r="T23" s="18"/>
      <c r="U23" s="18"/>
      <c r="V23" s="21"/>
      <c r="W23" s="177"/>
      <c r="X23" s="178" t="str">
        <f>Input!AX24</f>
        <v/>
      </c>
      <c r="Y23" s="329">
        <f t="shared" si="2"/>
        <v>0</v>
      </c>
      <c r="Z23" s="179"/>
      <c r="AA23" s="180" t="str">
        <f>IF(F23&lt;&gt;"",IF(Input!AY24&lt;&gt;"",Input!AY24,""),"")</f>
        <v/>
      </c>
      <c r="AB23" s="181" t="str">
        <f>IFERROR(IF($AA$5="","",IF(F23&lt;&gt;"",(Input!AY24/Input!$AY$6)*100,"")),"NA")</f>
        <v/>
      </c>
      <c r="AC23" s="182" t="str">
        <f>IF(F23&lt;&gt;"",IF(Input!AZ24&lt;&gt;"",Input!AZ24,""),"")</f>
        <v/>
      </c>
      <c r="AD23" s="181" t="str">
        <f>IFERROR(IF($AC$5="","",IF(F23&lt;&gt;"",(Input!AZ24/Input!$AZ$6)*100,"")),"NA")</f>
        <v/>
      </c>
      <c r="AE23" s="182" t="str">
        <f>IF(F23&lt;&gt;"",IF(Input!BA24&lt;&gt;"",Input!BA24,""),"")</f>
        <v/>
      </c>
      <c r="AF23" s="181" t="str">
        <f>IFERROR(IF($AE$5="","",IF(F23&lt;&gt;"",(Input!BA24/Input!$BA$6)*100,"")),"NA")</f>
        <v/>
      </c>
      <c r="AG23" s="183" t="str">
        <f>IF(F23&lt;&gt;"",IF(Input!BB24&lt;&gt;"",Input!BB24,""),"")</f>
        <v/>
      </c>
      <c r="AH23" s="181" t="str">
        <f>IFERROR(IF($AG$5="","",IF(F23&lt;&gt;"",(Input!BB24/Input!$BB$6)*100,"")),"NA")</f>
        <v/>
      </c>
      <c r="AI23" s="327">
        <f>IF(Input!BC24="Error","Error",IF(F23="","",IF($AA$5="",0,IF(F23&lt;&gt;"",IFERROR(AVERAGE(AB23,AD23,AF23,AH23)*$AI$4,0),""))))</f>
        <v>0</v>
      </c>
      <c r="AJ23" s="179"/>
      <c r="AK23" s="184" t="str">
        <f>IF(Input!BD24="","",IF(F23&lt;&gt;"",Input!BD24,""))</f>
        <v/>
      </c>
      <c r="AL23" s="185" t="str">
        <f>IF(F23="", "",IF(Input!BE24="Error","Error",IF(ISNUMBER(Input!BE24),Input!BE24*$AL$4,"")))</f>
        <v/>
      </c>
      <c r="AM23" s="332" t="str">
        <f>IF(V23="D","Drp",
IF(F23&lt;&gt;"",
IF(OR(Y23="Error",AI23="Error",AL23="Error"),"Error",
IF(Input!BD24="","-",ROUND(Y23+AI23+AL23,2))),""))</f>
        <v>-</v>
      </c>
      <c r="AN23" s="187" t="str">
        <f>IF(F23&lt;&gt;"",VLOOKUP(AM23,TRANSMUTATION!$A$2:$B$14,2),"")</f>
        <v>INC</v>
      </c>
      <c r="AO23" s="263" t="str">
        <f t="shared" si="1"/>
        <v/>
      </c>
      <c r="AP23" s="189"/>
      <c r="AT23" s="101"/>
    </row>
    <row r="24" spans="1:46" ht="15" customHeight="1" x14ac:dyDescent="0.2">
      <c r="A24" s="101"/>
      <c r="C24" s="268">
        <v>18</v>
      </c>
      <c r="D24" s="215" t="str">
        <f>IF(Input!D25&lt;&gt;"",IF(F24&lt;&gt;"",Input!D25,""),"")</f>
        <v>02000388196</v>
      </c>
      <c r="E24" s="321"/>
      <c r="F24" s="322" t="str">
        <f>(IF(Input!F25&lt;&gt;"",Input!F25,""))</f>
        <v>MACALINDONG,IAN DANA</v>
      </c>
      <c r="G24" s="18"/>
      <c r="H24" s="18"/>
      <c r="I24" s="18"/>
      <c r="J24" s="18"/>
      <c r="K24" s="18"/>
      <c r="L24" s="18"/>
      <c r="M24" s="18"/>
      <c r="N24" s="18"/>
      <c r="O24" s="18"/>
      <c r="P24" s="18"/>
      <c r="Q24" s="18"/>
      <c r="R24" s="18"/>
      <c r="S24" s="18"/>
      <c r="T24" s="18"/>
      <c r="U24" s="18"/>
      <c r="V24" s="21"/>
      <c r="W24" s="177"/>
      <c r="X24" s="178" t="str">
        <f>Input!AX25</f>
        <v/>
      </c>
      <c r="Y24" s="329">
        <f t="shared" si="2"/>
        <v>0</v>
      </c>
      <c r="Z24" s="179"/>
      <c r="AA24" s="180" t="str">
        <f>IF(F24&lt;&gt;"",IF(Input!AY25&lt;&gt;"",Input!AY25,""),"")</f>
        <v/>
      </c>
      <c r="AB24" s="181" t="str">
        <f>IFERROR(IF($AA$5="","",IF(F24&lt;&gt;"",(Input!AY25/Input!$AY$6)*100,"")),"NA")</f>
        <v/>
      </c>
      <c r="AC24" s="182" t="str">
        <f>IF(F24&lt;&gt;"",IF(Input!AZ25&lt;&gt;"",Input!AZ25,""),"")</f>
        <v/>
      </c>
      <c r="AD24" s="181" t="str">
        <f>IFERROR(IF($AC$5="","",IF(F24&lt;&gt;"",(Input!AZ25/Input!$AZ$6)*100,"")),"NA")</f>
        <v/>
      </c>
      <c r="AE24" s="182" t="str">
        <f>IF(F24&lt;&gt;"",IF(Input!BA25&lt;&gt;"",Input!BA25,""),"")</f>
        <v/>
      </c>
      <c r="AF24" s="181" t="str">
        <f>IFERROR(IF($AE$5="","",IF(F24&lt;&gt;"",(Input!BA25/Input!$BA$6)*100,"")),"NA")</f>
        <v/>
      </c>
      <c r="AG24" s="183" t="str">
        <f>IF(F24&lt;&gt;"",IF(Input!BB25&lt;&gt;"",Input!BB25,""),"")</f>
        <v/>
      </c>
      <c r="AH24" s="181" t="str">
        <f>IFERROR(IF($AG$5="","",IF(F24&lt;&gt;"",(Input!BB25/Input!$BB$6)*100,"")),"NA")</f>
        <v/>
      </c>
      <c r="AI24" s="327">
        <f>IF(Input!BC25="Error","Error",IF(F24="","",IF($AA$5="",0,IF(F24&lt;&gt;"",IFERROR(AVERAGE(AB24,AD24,AF24,AH24)*$AI$4,0),""))))</f>
        <v>0</v>
      </c>
      <c r="AJ24" s="179"/>
      <c r="AK24" s="184" t="str">
        <f>IF(Input!BD25="","",IF(F24&lt;&gt;"",Input!BD25,""))</f>
        <v/>
      </c>
      <c r="AL24" s="185" t="str">
        <f>IF(F24="", "",IF(Input!BE25="Error","Error",IF(ISNUMBER(Input!BE25),Input!BE25*$AL$4,"")))</f>
        <v/>
      </c>
      <c r="AM24" s="332" t="str">
        <f>IF(V24="D","Drp",
IF(F24&lt;&gt;"",
IF(OR(Y24="Error",AI24="Error",AL24="Error"),"Error",
IF(Input!BD25="","-",ROUND(Y24+AI24+AL24,2))),""))</f>
        <v>-</v>
      </c>
      <c r="AN24" s="187" t="str">
        <f>IF(F24&lt;&gt;"",VLOOKUP(AM24,TRANSMUTATION!$A$2:$B$14,2),"")</f>
        <v>INC</v>
      </c>
      <c r="AO24" s="263" t="str">
        <f t="shared" si="1"/>
        <v/>
      </c>
      <c r="AP24" s="189"/>
      <c r="AT24" s="101"/>
    </row>
    <row r="25" spans="1:46" ht="15" customHeight="1" x14ac:dyDescent="0.2">
      <c r="A25" s="101"/>
      <c r="C25" s="268">
        <v>19</v>
      </c>
      <c r="D25" s="215" t="str">
        <f>IF(Input!D26&lt;&gt;"",IF(F25&lt;&gt;"",Input!D26,""),"")</f>
        <v>02000491101</v>
      </c>
      <c r="E25" s="321"/>
      <c r="F25" s="322" t="str">
        <f>(IF(Input!F26&lt;&gt;"",Input!F26,""))</f>
        <v>MAHAYHAY,KAREN CAPILI</v>
      </c>
      <c r="G25" s="18"/>
      <c r="H25" s="18"/>
      <c r="I25" s="18"/>
      <c r="J25" s="18"/>
      <c r="K25" s="18"/>
      <c r="L25" s="18"/>
      <c r="M25" s="18"/>
      <c r="N25" s="18"/>
      <c r="O25" s="18"/>
      <c r="P25" s="18"/>
      <c r="Q25" s="18"/>
      <c r="R25" s="18"/>
      <c r="S25" s="18"/>
      <c r="T25" s="18"/>
      <c r="U25" s="18"/>
      <c r="V25" s="21"/>
      <c r="W25" s="177"/>
      <c r="X25" s="178" t="str">
        <f>Input!AX26</f>
        <v/>
      </c>
      <c r="Y25" s="329">
        <f t="shared" si="2"/>
        <v>0</v>
      </c>
      <c r="Z25" s="179"/>
      <c r="AA25" s="180" t="str">
        <f>IF(F25&lt;&gt;"",IF(Input!AY26&lt;&gt;"",Input!AY26,""),"")</f>
        <v/>
      </c>
      <c r="AB25" s="181" t="str">
        <f>IFERROR(IF($AA$5="","",IF(F25&lt;&gt;"",(Input!AY26/Input!$AY$6)*100,"")),"NA")</f>
        <v/>
      </c>
      <c r="AC25" s="182" t="str">
        <f>IF(F25&lt;&gt;"",IF(Input!AZ26&lt;&gt;"",Input!AZ26,""),"")</f>
        <v/>
      </c>
      <c r="AD25" s="181" t="str">
        <f>IFERROR(IF($AC$5="","",IF(F25&lt;&gt;"",(Input!AZ26/Input!$AZ$6)*100,"")),"NA")</f>
        <v/>
      </c>
      <c r="AE25" s="182" t="str">
        <f>IF(F25&lt;&gt;"",IF(Input!BA26&lt;&gt;"",Input!BA26,""),"")</f>
        <v/>
      </c>
      <c r="AF25" s="181" t="str">
        <f>IFERROR(IF($AE$5="","",IF(F25&lt;&gt;"",(Input!BA26/Input!$BA$6)*100,"")),"NA")</f>
        <v/>
      </c>
      <c r="AG25" s="183" t="str">
        <f>IF(F25&lt;&gt;"",IF(Input!BB26&lt;&gt;"",Input!BB26,""),"")</f>
        <v/>
      </c>
      <c r="AH25" s="181" t="str">
        <f>IFERROR(IF($AG$5="","",IF(F25&lt;&gt;"",(Input!BB26/Input!$BB$6)*100,"")),"NA")</f>
        <v/>
      </c>
      <c r="AI25" s="327">
        <f>IF(Input!BC26="Error","Error",IF(F25="","",IF($AA$5="",0,IF(F25&lt;&gt;"",IFERROR(AVERAGE(AB25,AD25,AF25,AH25)*$AI$4,0),""))))</f>
        <v>0</v>
      </c>
      <c r="AJ25" s="179"/>
      <c r="AK25" s="184" t="str">
        <f>IF(Input!BD26="","",IF(F25&lt;&gt;"",Input!BD26,""))</f>
        <v/>
      </c>
      <c r="AL25" s="185" t="str">
        <f>IF(F25="", "",IF(Input!BE26="Error","Error",IF(ISNUMBER(Input!BE26),Input!BE26*$AL$4,"")))</f>
        <v/>
      </c>
      <c r="AM25" s="332" t="str">
        <f>IF(V25="D","Drp",
IF(F25&lt;&gt;"",
IF(OR(Y25="Error",AI25="Error",AL25="Error"),"Error",
IF(Input!BD26="","-",ROUND(Y25+AI25+AL25,2))),""))</f>
        <v>-</v>
      </c>
      <c r="AN25" s="187" t="str">
        <f>IF(F25&lt;&gt;"",VLOOKUP(AM25,TRANSMUTATION!$A$2:$B$14,2),"")</f>
        <v>INC</v>
      </c>
      <c r="AO25" s="263" t="str">
        <f t="shared" si="1"/>
        <v/>
      </c>
      <c r="AP25" s="189"/>
      <c r="AT25" s="101"/>
    </row>
    <row r="26" spans="1:46" ht="15" customHeight="1" x14ac:dyDescent="0.2">
      <c r="A26" s="101"/>
      <c r="C26" s="268">
        <v>20</v>
      </c>
      <c r="D26" s="215" t="str">
        <f>IF(Input!D27&lt;&gt;"",IF(F26&lt;&gt;"",Input!D27,""),"")</f>
        <v>02000510558</v>
      </c>
      <c r="E26" s="321"/>
      <c r="F26" s="322" t="str">
        <f>(IF(Input!F27&lt;&gt;"",Input!F27,""))</f>
        <v>MASMELA,MARK IVAN GERBOLINGON</v>
      </c>
      <c r="G26" s="18"/>
      <c r="H26" s="18"/>
      <c r="I26" s="18"/>
      <c r="J26" s="18"/>
      <c r="K26" s="18"/>
      <c r="L26" s="18"/>
      <c r="M26" s="18"/>
      <c r="N26" s="18"/>
      <c r="O26" s="18"/>
      <c r="P26" s="18"/>
      <c r="Q26" s="18"/>
      <c r="R26" s="18"/>
      <c r="S26" s="18"/>
      <c r="T26" s="18"/>
      <c r="U26" s="18"/>
      <c r="V26" s="21"/>
      <c r="W26" s="177"/>
      <c r="X26" s="178" t="str">
        <f>Input!AX27</f>
        <v/>
      </c>
      <c r="Y26" s="329">
        <f t="shared" si="2"/>
        <v>0</v>
      </c>
      <c r="Z26" s="179"/>
      <c r="AA26" s="180" t="str">
        <f>IF(F26&lt;&gt;"",IF(Input!AY27&lt;&gt;"",Input!AY27,""),"")</f>
        <v/>
      </c>
      <c r="AB26" s="181" t="str">
        <f>IFERROR(IF($AA$5="","",IF(F26&lt;&gt;"",(Input!AY27/Input!$AY$6)*100,"")),"NA")</f>
        <v/>
      </c>
      <c r="AC26" s="182" t="str">
        <f>IF(F26&lt;&gt;"",IF(Input!AZ27&lt;&gt;"",Input!AZ27,""),"")</f>
        <v/>
      </c>
      <c r="AD26" s="181" t="str">
        <f>IFERROR(IF($AC$5="","",IF(F26&lt;&gt;"",(Input!AZ27/Input!$AZ$6)*100,"")),"NA")</f>
        <v/>
      </c>
      <c r="AE26" s="182" t="str">
        <f>IF(F26&lt;&gt;"",IF(Input!BA27&lt;&gt;"",Input!BA27,""),"")</f>
        <v/>
      </c>
      <c r="AF26" s="181" t="str">
        <f>IFERROR(IF($AE$5="","",IF(F26&lt;&gt;"",(Input!BA27/Input!$BA$6)*100,"")),"NA")</f>
        <v/>
      </c>
      <c r="AG26" s="183" t="str">
        <f>IF(F26&lt;&gt;"",IF(Input!BB27&lt;&gt;"",Input!BB27,""),"")</f>
        <v/>
      </c>
      <c r="AH26" s="181" t="str">
        <f>IFERROR(IF($AG$5="","",IF(F26&lt;&gt;"",(Input!BB27/Input!$BB$6)*100,"")),"NA")</f>
        <v/>
      </c>
      <c r="AI26" s="327">
        <f>IF(Input!BC27="Error","Error",IF(F26="","",IF($AA$5="",0,IF(F26&lt;&gt;"",IFERROR(AVERAGE(AB26,AD26,AF26,AH26)*$AI$4,0),""))))</f>
        <v>0</v>
      </c>
      <c r="AJ26" s="179"/>
      <c r="AK26" s="184" t="str">
        <f>IF(Input!BD27="","",IF(F26&lt;&gt;"",Input!BD27,""))</f>
        <v/>
      </c>
      <c r="AL26" s="185" t="str">
        <f>IF(F26="", "",IF(Input!BE27="Error","Error",IF(ISNUMBER(Input!BE27),Input!BE27*$AL$4,"")))</f>
        <v/>
      </c>
      <c r="AM26" s="332" t="str">
        <f>IF(V26="D","Drp",
IF(F26&lt;&gt;"",
IF(OR(Y26="Error",AI26="Error",AL26="Error"),"Error",
IF(Input!BD27="","-",ROUND(Y26+AI26+AL26,2))),""))</f>
        <v>-</v>
      </c>
      <c r="AN26" s="187" t="str">
        <f>IF(F26&lt;&gt;"",VLOOKUP(AM26,TRANSMUTATION!$A$2:$B$14,2),"")</f>
        <v>INC</v>
      </c>
      <c r="AO26" s="263" t="str">
        <f t="shared" si="1"/>
        <v/>
      </c>
      <c r="AP26" s="189"/>
      <c r="AT26" s="101"/>
    </row>
    <row r="27" spans="1:46" ht="15" customHeight="1" x14ac:dyDescent="0.2">
      <c r="A27" s="101"/>
      <c r="C27" s="268">
        <v>21</v>
      </c>
      <c r="D27" s="215" t="str">
        <f>IF(Input!D28&lt;&gt;"",IF(F27&lt;&gt;"",Input!D28,""),"")</f>
        <v>02000503091</v>
      </c>
      <c r="E27" s="321"/>
      <c r="F27" s="322" t="str">
        <f>(IF(Input!F28&lt;&gt;"",Input!F28,""))</f>
        <v>NOLLORA,ABEGAIL ALARCON</v>
      </c>
      <c r="G27" s="18"/>
      <c r="H27" s="18"/>
      <c r="I27" s="18"/>
      <c r="J27" s="18"/>
      <c r="K27" s="18"/>
      <c r="L27" s="18"/>
      <c r="M27" s="18"/>
      <c r="N27" s="18"/>
      <c r="O27" s="18"/>
      <c r="P27" s="18"/>
      <c r="Q27" s="18"/>
      <c r="R27" s="18"/>
      <c r="S27" s="18"/>
      <c r="T27" s="18"/>
      <c r="U27" s="18"/>
      <c r="V27" s="21"/>
      <c r="W27" s="177"/>
      <c r="X27" s="178" t="str">
        <f>Input!AX28</f>
        <v/>
      </c>
      <c r="Y27" s="329">
        <f t="shared" si="2"/>
        <v>0</v>
      </c>
      <c r="Z27" s="179"/>
      <c r="AA27" s="180" t="str">
        <f>IF(F27&lt;&gt;"",IF(Input!AY28&lt;&gt;"",Input!AY28,""),"")</f>
        <v/>
      </c>
      <c r="AB27" s="181" t="str">
        <f>IFERROR(IF($AA$5="","",IF(F27&lt;&gt;"",(Input!AY28/Input!$AY$6)*100,"")),"NA")</f>
        <v/>
      </c>
      <c r="AC27" s="182" t="str">
        <f>IF(F27&lt;&gt;"",IF(Input!AZ28&lt;&gt;"",Input!AZ28,""),"")</f>
        <v/>
      </c>
      <c r="AD27" s="181" t="str">
        <f>IFERROR(IF($AC$5="","",IF(F27&lt;&gt;"",(Input!AZ28/Input!$AZ$6)*100,"")),"NA")</f>
        <v/>
      </c>
      <c r="AE27" s="182" t="str">
        <f>IF(F27&lt;&gt;"",IF(Input!BA28&lt;&gt;"",Input!BA28,""),"")</f>
        <v/>
      </c>
      <c r="AF27" s="181" t="str">
        <f>IFERROR(IF($AE$5="","",IF(F27&lt;&gt;"",(Input!BA28/Input!$BA$6)*100,"")),"NA")</f>
        <v/>
      </c>
      <c r="AG27" s="183" t="str">
        <f>IF(F27&lt;&gt;"",IF(Input!BB28&lt;&gt;"",Input!BB28,""),"")</f>
        <v/>
      </c>
      <c r="AH27" s="181" t="str">
        <f>IFERROR(IF($AG$5="","",IF(F27&lt;&gt;"",(Input!BB28/Input!$BB$6)*100,"")),"NA")</f>
        <v/>
      </c>
      <c r="AI27" s="327">
        <f>IF(Input!BC28="Error","Error",IF(F27="","",IF($AA$5="",0,IF(F27&lt;&gt;"",IFERROR(AVERAGE(AB27,AD27,AF27,AH27)*$AI$4,0),""))))</f>
        <v>0</v>
      </c>
      <c r="AJ27" s="179"/>
      <c r="AK27" s="184" t="str">
        <f>IF(Input!BD28="","",IF(F27&lt;&gt;"",Input!BD28,""))</f>
        <v/>
      </c>
      <c r="AL27" s="185" t="str">
        <f>IF(F27="", "",IF(Input!BE28="Error","Error",IF(ISNUMBER(Input!BE28),Input!BE28*$AL$4,"")))</f>
        <v/>
      </c>
      <c r="AM27" s="332" t="str">
        <f>IF(V27="D","Drp",
IF(F27&lt;&gt;"",
IF(OR(Y27="Error",AI27="Error",AL27="Error"),"Error",
IF(Input!BD28="","-",ROUND(Y27+AI27+AL27,2))),""))</f>
        <v>-</v>
      </c>
      <c r="AN27" s="187" t="str">
        <f>IF(F27&lt;&gt;"",VLOOKUP(AM27,TRANSMUTATION!$A$2:$B$14,2),"")</f>
        <v>INC</v>
      </c>
      <c r="AO27" s="263" t="str">
        <f t="shared" si="1"/>
        <v/>
      </c>
      <c r="AP27" s="189"/>
      <c r="AT27" s="101"/>
    </row>
    <row r="28" spans="1:46" ht="15" customHeight="1" x14ac:dyDescent="0.2">
      <c r="A28" s="101"/>
      <c r="C28" s="268">
        <v>22</v>
      </c>
      <c r="D28" s="215" t="str">
        <f>IF(Input!D29&lt;&gt;"",IF(F28&lt;&gt;"",Input!D29,""),"")</f>
        <v>02000510390</v>
      </c>
      <c r="E28" s="321"/>
      <c r="F28" s="322" t="str">
        <f>(IF(Input!F29&lt;&gt;"",Input!F29,""))</f>
        <v>QUIOM,JELSIE DIMASAYAO</v>
      </c>
      <c r="G28" s="18"/>
      <c r="H28" s="18"/>
      <c r="I28" s="18"/>
      <c r="J28" s="18"/>
      <c r="K28" s="18"/>
      <c r="L28" s="18"/>
      <c r="M28" s="18"/>
      <c r="N28" s="18"/>
      <c r="O28" s="18"/>
      <c r="P28" s="18"/>
      <c r="Q28" s="18"/>
      <c r="R28" s="18"/>
      <c r="S28" s="18"/>
      <c r="T28" s="18"/>
      <c r="U28" s="18"/>
      <c r="V28" s="21"/>
      <c r="W28" s="177"/>
      <c r="X28" s="178" t="str">
        <f>Input!AX29</f>
        <v/>
      </c>
      <c r="Y28" s="329">
        <f t="shared" si="2"/>
        <v>0</v>
      </c>
      <c r="Z28" s="179"/>
      <c r="AA28" s="180" t="str">
        <f>IF(F28&lt;&gt;"",IF(Input!AY29&lt;&gt;"",Input!AY29,""),"")</f>
        <v/>
      </c>
      <c r="AB28" s="181" t="str">
        <f>IFERROR(IF($AA$5="","",IF(F28&lt;&gt;"",(Input!AY29/Input!$AY$6)*100,"")),"NA")</f>
        <v/>
      </c>
      <c r="AC28" s="182" t="str">
        <f>IF(F28&lt;&gt;"",IF(Input!AZ29&lt;&gt;"",Input!AZ29,""),"")</f>
        <v/>
      </c>
      <c r="AD28" s="181" t="str">
        <f>IFERROR(IF($AC$5="","",IF(F28&lt;&gt;"",(Input!AZ29/Input!$AZ$6)*100,"")),"NA")</f>
        <v/>
      </c>
      <c r="AE28" s="182" t="str">
        <f>IF(F28&lt;&gt;"",IF(Input!BA29&lt;&gt;"",Input!BA29,""),"")</f>
        <v/>
      </c>
      <c r="AF28" s="181" t="str">
        <f>IFERROR(IF($AE$5="","",IF(F28&lt;&gt;"",(Input!BA29/Input!$BA$6)*100,"")),"NA")</f>
        <v/>
      </c>
      <c r="AG28" s="183" t="str">
        <f>IF(F28&lt;&gt;"",IF(Input!BB29&lt;&gt;"",Input!BB29,""),"")</f>
        <v/>
      </c>
      <c r="AH28" s="181" t="str">
        <f>IFERROR(IF($AG$5="","",IF(F28&lt;&gt;"",(Input!BB29/Input!$BB$6)*100,"")),"NA")</f>
        <v/>
      </c>
      <c r="AI28" s="327">
        <f>IF(Input!BC29="Error","Error",IF(F28="","",IF($AA$5="",0,IF(F28&lt;&gt;"",IFERROR(AVERAGE(AB28,AD28,AF28,AH28)*$AI$4,0),""))))</f>
        <v>0</v>
      </c>
      <c r="AJ28" s="179"/>
      <c r="AK28" s="184" t="str">
        <f>IF(Input!BD29="","",IF(F28&lt;&gt;"",Input!BD29,""))</f>
        <v/>
      </c>
      <c r="AL28" s="185" t="str">
        <f>IF(F28="", "",IF(Input!BE29="Error","Error",IF(ISNUMBER(Input!BE29),Input!BE29*$AL$4,"")))</f>
        <v/>
      </c>
      <c r="AM28" s="332" t="str">
        <f>IF(V28="D","Drp",
IF(F28&lt;&gt;"",
IF(OR(Y28="Error",AI28="Error",AL28="Error"),"Error",
IF(Input!BD29="","-",ROUND(Y28+AI28+AL28,2))),""))</f>
        <v>-</v>
      </c>
      <c r="AN28" s="187" t="str">
        <f>IF(F28&lt;&gt;"",VLOOKUP(AM28,TRANSMUTATION!$A$2:$B$14,2),"")</f>
        <v>INC</v>
      </c>
      <c r="AO28" s="263" t="str">
        <f t="shared" si="1"/>
        <v/>
      </c>
      <c r="AP28" s="189"/>
      <c r="AT28" s="101"/>
    </row>
    <row r="29" spans="1:46" ht="15" customHeight="1" x14ac:dyDescent="0.2">
      <c r="A29" s="101"/>
      <c r="C29" s="268">
        <v>23</v>
      </c>
      <c r="D29" s="215" t="str">
        <f>IF(Input!D30&lt;&gt;"",IF(F29&lt;&gt;"",Input!D30,""),"")</f>
        <v>02000493122</v>
      </c>
      <c r="E29" s="321"/>
      <c r="F29" s="322" t="str">
        <f>(IF(Input!F30&lt;&gt;"",Input!F30,""))</f>
        <v>ROSENTO,MAE NATHALIE ORCENE</v>
      </c>
      <c r="G29" s="18"/>
      <c r="H29" s="18"/>
      <c r="I29" s="18"/>
      <c r="J29" s="18"/>
      <c r="K29" s="18"/>
      <c r="L29" s="18"/>
      <c r="M29" s="18"/>
      <c r="N29" s="18"/>
      <c r="O29" s="18"/>
      <c r="P29" s="18"/>
      <c r="Q29" s="18"/>
      <c r="R29" s="18"/>
      <c r="S29" s="18"/>
      <c r="T29" s="18"/>
      <c r="U29" s="18"/>
      <c r="V29" s="21"/>
      <c r="W29" s="177"/>
      <c r="X29" s="178" t="str">
        <f>Input!AX30</f>
        <v/>
      </c>
      <c r="Y29" s="329">
        <f t="shared" si="2"/>
        <v>0</v>
      </c>
      <c r="Z29" s="179"/>
      <c r="AA29" s="180" t="str">
        <f>IF(F29&lt;&gt;"",IF(Input!AY30&lt;&gt;"",Input!AY30,""),"")</f>
        <v/>
      </c>
      <c r="AB29" s="181" t="str">
        <f>IFERROR(IF($AA$5="","",IF(F29&lt;&gt;"",(Input!AY30/Input!$AY$6)*100,"")),"NA")</f>
        <v/>
      </c>
      <c r="AC29" s="182" t="str">
        <f>IF(F29&lt;&gt;"",IF(Input!AZ30&lt;&gt;"",Input!AZ30,""),"")</f>
        <v/>
      </c>
      <c r="AD29" s="181" t="str">
        <f>IFERROR(IF($AC$5="","",IF(F29&lt;&gt;"",(Input!AZ30/Input!$AZ$6)*100,"")),"NA")</f>
        <v/>
      </c>
      <c r="AE29" s="182" t="str">
        <f>IF(F29&lt;&gt;"",IF(Input!BA30&lt;&gt;"",Input!BA30,""),"")</f>
        <v/>
      </c>
      <c r="AF29" s="181" t="str">
        <f>IFERROR(IF($AE$5="","",IF(F29&lt;&gt;"",(Input!BA30/Input!$BA$6)*100,"")),"NA")</f>
        <v/>
      </c>
      <c r="AG29" s="183" t="str">
        <f>IF(F29&lt;&gt;"",IF(Input!BB30&lt;&gt;"",Input!BB30,""),"")</f>
        <v/>
      </c>
      <c r="AH29" s="181" t="str">
        <f>IFERROR(IF($AG$5="","",IF(F29&lt;&gt;"",(Input!BB30/Input!$BB$6)*100,"")),"NA")</f>
        <v/>
      </c>
      <c r="AI29" s="327">
        <f>IF(Input!BC30="Error","Error",IF(F29="","",IF($AA$5="",0,IF(F29&lt;&gt;"",IFERROR(AVERAGE(AB29,AD29,AF29,AH29)*$AI$4,0),""))))</f>
        <v>0</v>
      </c>
      <c r="AJ29" s="179"/>
      <c r="AK29" s="184" t="str">
        <f>IF(Input!BD30="","",IF(F29&lt;&gt;"",Input!BD30,""))</f>
        <v/>
      </c>
      <c r="AL29" s="185" t="str">
        <f>IF(F29="", "",IF(Input!BE30="Error","Error",IF(ISNUMBER(Input!BE30),Input!BE30*$AL$4,"")))</f>
        <v/>
      </c>
      <c r="AM29" s="332" t="str">
        <f>IF(V29="D","Drp",
IF(F29&lt;&gt;"",
IF(OR(Y29="Error",AI29="Error",AL29="Error"),"Error",
IF(Input!BD30="","-",ROUND(Y29+AI29+AL29,2))),""))</f>
        <v>-</v>
      </c>
      <c r="AN29" s="187" t="str">
        <f>IF(F29&lt;&gt;"",VLOOKUP(AM29,TRANSMUTATION!$A$2:$B$14,2),"")</f>
        <v>INC</v>
      </c>
      <c r="AO29" s="263" t="str">
        <f t="shared" si="1"/>
        <v/>
      </c>
      <c r="AP29" s="189"/>
      <c r="AT29" s="101"/>
    </row>
    <row r="30" spans="1:46" ht="15" customHeight="1" x14ac:dyDescent="0.2">
      <c r="A30" s="101"/>
      <c r="C30" s="268">
        <v>24</v>
      </c>
      <c r="D30" s="215" t="str">
        <f>IF(Input!D31&lt;&gt;"",IF(F30&lt;&gt;"",Input!D31,""),"")</f>
        <v>02000508992</v>
      </c>
      <c r="E30" s="321"/>
      <c r="F30" s="322" t="str">
        <f>(IF(Input!F31&lt;&gt;"",Input!F31,""))</f>
        <v>UREÑA,KIMBERLY MANLAPAS</v>
      </c>
      <c r="G30" s="18"/>
      <c r="H30" s="18"/>
      <c r="I30" s="18"/>
      <c r="J30" s="18"/>
      <c r="K30" s="18"/>
      <c r="L30" s="18"/>
      <c r="M30" s="18"/>
      <c r="N30" s="18"/>
      <c r="O30" s="18"/>
      <c r="P30" s="18"/>
      <c r="Q30" s="18"/>
      <c r="R30" s="18"/>
      <c r="S30" s="18"/>
      <c r="T30" s="18"/>
      <c r="U30" s="18"/>
      <c r="V30" s="21"/>
      <c r="W30" s="177"/>
      <c r="X30" s="178" t="str">
        <f>Input!AX31</f>
        <v/>
      </c>
      <c r="Y30" s="329">
        <f t="shared" si="2"/>
        <v>0</v>
      </c>
      <c r="Z30" s="179"/>
      <c r="AA30" s="180" t="str">
        <f>IF(F30&lt;&gt;"",IF(Input!AY31&lt;&gt;"",Input!AY31,""),"")</f>
        <v/>
      </c>
      <c r="AB30" s="181" t="str">
        <f>IFERROR(IF($AA$5="","",IF(F30&lt;&gt;"",(Input!AY31/Input!$AY$6)*100,"")),"NA")</f>
        <v/>
      </c>
      <c r="AC30" s="182" t="str">
        <f>IF(F30&lt;&gt;"",IF(Input!AZ31&lt;&gt;"",Input!AZ31,""),"")</f>
        <v/>
      </c>
      <c r="AD30" s="181" t="str">
        <f>IFERROR(IF($AC$5="","",IF(F30&lt;&gt;"",(Input!AZ31/Input!$AZ$6)*100,"")),"NA")</f>
        <v/>
      </c>
      <c r="AE30" s="182" t="str">
        <f>IF(F30&lt;&gt;"",IF(Input!BA31&lt;&gt;"",Input!BA31,""),"")</f>
        <v/>
      </c>
      <c r="AF30" s="181" t="str">
        <f>IFERROR(IF($AE$5="","",IF(F30&lt;&gt;"",(Input!BA31/Input!$BA$6)*100,"")),"NA")</f>
        <v/>
      </c>
      <c r="AG30" s="183" t="str">
        <f>IF(F30&lt;&gt;"",IF(Input!BB31&lt;&gt;"",Input!BB31,""),"")</f>
        <v/>
      </c>
      <c r="AH30" s="181" t="str">
        <f>IFERROR(IF($AG$5="","",IF(F30&lt;&gt;"",(Input!BB31/Input!$BB$6)*100,"")),"NA")</f>
        <v/>
      </c>
      <c r="AI30" s="327">
        <f>IF(Input!BC31="Error","Error",IF(F30="","",IF($AA$5="",0,IF(F30&lt;&gt;"",IFERROR(AVERAGE(AB30,AD30,AF30,AH30)*$AI$4,0),""))))</f>
        <v>0</v>
      </c>
      <c r="AJ30" s="179"/>
      <c r="AK30" s="184" t="str">
        <f>IF(Input!BD31="","",IF(F30&lt;&gt;"",Input!BD31,""))</f>
        <v/>
      </c>
      <c r="AL30" s="185" t="str">
        <f>IF(F30="", "",IF(Input!BE31="Error","Error",IF(ISNUMBER(Input!BE31),Input!BE31*$AL$4,"")))</f>
        <v/>
      </c>
      <c r="AM30" s="332" t="str">
        <f>IF(V30="D","Drp",
IF(F30&lt;&gt;"",
IF(OR(Y30="Error",AI30="Error",AL30="Error"),"Error",
IF(Input!BD31="","-",ROUND(Y30+AI30+AL30,2))),""))</f>
        <v>-</v>
      </c>
      <c r="AN30" s="187" t="str">
        <f>IF(F30&lt;&gt;"",VLOOKUP(AM30,TRANSMUTATION!$A$2:$B$14,2),"")</f>
        <v>INC</v>
      </c>
      <c r="AO30" s="263" t="str">
        <f t="shared" si="1"/>
        <v/>
      </c>
      <c r="AP30" s="189"/>
      <c r="AT30" s="101"/>
    </row>
    <row r="31" spans="1:46" ht="15" customHeight="1" x14ac:dyDescent="0.2">
      <c r="A31" s="101"/>
      <c r="C31" s="268">
        <v>25</v>
      </c>
      <c r="D31" s="215" t="str">
        <f>IF(Input!D32&lt;&gt;"",IF(F31&lt;&gt;"",Input!D32,""),"")</f>
        <v>02000510378</v>
      </c>
      <c r="E31" s="321"/>
      <c r="F31" s="322" t="str">
        <f>(IF(Input!F32&lt;&gt;"",Input!F32,""))</f>
        <v>YABUT,ALIYAH CLAIRE BIEN</v>
      </c>
      <c r="G31" s="18"/>
      <c r="H31" s="18"/>
      <c r="I31" s="18"/>
      <c r="J31" s="18"/>
      <c r="K31" s="18"/>
      <c r="L31" s="18"/>
      <c r="M31" s="18"/>
      <c r="N31" s="18"/>
      <c r="O31" s="18"/>
      <c r="P31" s="18"/>
      <c r="Q31" s="18"/>
      <c r="R31" s="18"/>
      <c r="S31" s="18"/>
      <c r="T31" s="18"/>
      <c r="U31" s="18"/>
      <c r="V31" s="21"/>
      <c r="W31" s="177"/>
      <c r="X31" s="178" t="str">
        <f>Input!AX32</f>
        <v/>
      </c>
      <c r="Y31" s="329">
        <f t="shared" si="2"/>
        <v>0</v>
      </c>
      <c r="Z31" s="179"/>
      <c r="AA31" s="180" t="str">
        <f>IF(F31&lt;&gt;"",IF(Input!AY32&lt;&gt;"",Input!AY32,""),"")</f>
        <v/>
      </c>
      <c r="AB31" s="181" t="str">
        <f>IFERROR(IF($AA$5="","",IF(F31&lt;&gt;"",(Input!AY32/Input!$AY$6)*100,"")),"NA")</f>
        <v/>
      </c>
      <c r="AC31" s="182" t="str">
        <f>IF(F31&lt;&gt;"",IF(Input!AZ32&lt;&gt;"",Input!AZ32,""),"")</f>
        <v/>
      </c>
      <c r="AD31" s="181" t="str">
        <f>IFERROR(IF($AC$5="","",IF(F31&lt;&gt;"",(Input!AZ32/Input!$AZ$6)*100,"")),"NA")</f>
        <v/>
      </c>
      <c r="AE31" s="182" t="str">
        <f>IF(F31&lt;&gt;"",IF(Input!BA32&lt;&gt;"",Input!BA32,""),"")</f>
        <v/>
      </c>
      <c r="AF31" s="181" t="str">
        <f>IFERROR(IF($AE$5="","",IF(F31&lt;&gt;"",(Input!BA32/Input!$BA$6)*100,"")),"NA")</f>
        <v/>
      </c>
      <c r="AG31" s="183" t="str">
        <f>IF(F31&lt;&gt;"",IF(Input!BB32&lt;&gt;"",Input!BB32,""),"")</f>
        <v/>
      </c>
      <c r="AH31" s="181" t="str">
        <f>IFERROR(IF($AG$5="","",IF(F31&lt;&gt;"",(Input!BB32/Input!$BB$6)*100,"")),"NA")</f>
        <v/>
      </c>
      <c r="AI31" s="327">
        <f>IF(Input!BC32="Error","Error",IF(F31="","",IF($AA$5="",0,IF(F31&lt;&gt;"",IFERROR(AVERAGE(AB31,AD31,AF31,AH31)*$AI$4,0),""))))</f>
        <v>0</v>
      </c>
      <c r="AJ31" s="179"/>
      <c r="AK31" s="184" t="str">
        <f>IF(Input!BD32="","",IF(F31&lt;&gt;"",Input!BD32,""))</f>
        <v/>
      </c>
      <c r="AL31" s="185" t="str">
        <f>IF(F31="", "",IF(Input!BE32="Error","Error",IF(ISNUMBER(Input!BE32),Input!BE32*$AL$4,"")))</f>
        <v/>
      </c>
      <c r="AM31" s="332" t="str">
        <f>IF(V31="D","Drp",
IF(F31&lt;&gt;"",
IF(OR(Y31="Error",AI31="Error",AL31="Error"),"Error",
IF(Input!BD32="","-",ROUND(Y31+AI31+AL31,2))),""))</f>
        <v>-</v>
      </c>
      <c r="AN31" s="187" t="str">
        <f>IF(F31&lt;&gt;"",VLOOKUP(AM31,TRANSMUTATION!$A$2:$B$14,2),"")</f>
        <v>INC</v>
      </c>
      <c r="AO31" s="263" t="str">
        <f t="shared" si="1"/>
        <v/>
      </c>
      <c r="AP31" s="189"/>
      <c r="AT31" s="101"/>
    </row>
    <row r="32" spans="1:46" ht="15" customHeight="1" x14ac:dyDescent="0.2">
      <c r="A32" s="101"/>
      <c r="C32" s="268">
        <v>26</v>
      </c>
      <c r="D32" s="215" t="str">
        <f>IF(Input!D33&lt;&gt;"",IF(F32&lt;&gt;"",Input!D33,""),"")</f>
        <v/>
      </c>
      <c r="E32" s="321"/>
      <c r="F32" s="322" t="str">
        <f>(IF(Input!F33&lt;&gt;"",Input!F33,""))</f>
        <v/>
      </c>
      <c r="G32" s="18"/>
      <c r="H32" s="18"/>
      <c r="I32" s="18"/>
      <c r="J32" s="18"/>
      <c r="K32" s="18"/>
      <c r="L32" s="18"/>
      <c r="M32" s="18"/>
      <c r="N32" s="18"/>
      <c r="O32" s="18"/>
      <c r="P32" s="18"/>
      <c r="Q32" s="18"/>
      <c r="R32" s="18"/>
      <c r="S32" s="18"/>
      <c r="T32" s="18"/>
      <c r="U32" s="18"/>
      <c r="V32" s="21"/>
      <c r="W32" s="177"/>
      <c r="X32" s="178" t="str">
        <f>Input!AX33</f>
        <v/>
      </c>
      <c r="Y32" s="329" t="str">
        <f t="shared" si="2"/>
        <v/>
      </c>
      <c r="Z32" s="179"/>
      <c r="AA32" s="180" t="str">
        <f>IF(F32&lt;&gt;"",IF(Input!AY33&lt;&gt;"",Input!AY33,""),"")</f>
        <v/>
      </c>
      <c r="AB32" s="181" t="str">
        <f>IFERROR(IF($AA$5="","",IF(F32&lt;&gt;"",(Input!AY33/Input!$AY$6)*100,"")),"NA")</f>
        <v/>
      </c>
      <c r="AC32" s="182" t="str">
        <f>IF(F32&lt;&gt;"",IF(Input!AZ33&lt;&gt;"",Input!AZ33,""),"")</f>
        <v/>
      </c>
      <c r="AD32" s="181" t="str">
        <f>IFERROR(IF($AC$5="","",IF(F32&lt;&gt;"",(Input!AZ33/Input!$AZ$6)*100,"")),"NA")</f>
        <v/>
      </c>
      <c r="AE32" s="182" t="str">
        <f>IF(F32&lt;&gt;"",IF(Input!BA33&lt;&gt;"",Input!BA33,""),"")</f>
        <v/>
      </c>
      <c r="AF32" s="181" t="str">
        <f>IFERROR(IF($AE$5="","",IF(F32&lt;&gt;"",(Input!BA33/Input!$BA$6)*100,"")),"NA")</f>
        <v/>
      </c>
      <c r="AG32" s="183" t="str">
        <f>IF(F32&lt;&gt;"",IF(Input!BB33&lt;&gt;"",Input!BB33,""),"")</f>
        <v/>
      </c>
      <c r="AH32" s="181" t="str">
        <f>IFERROR(IF($AG$5="","",IF(F32&lt;&gt;"",(Input!BB33/Input!$BB$6)*100,"")),"NA")</f>
        <v/>
      </c>
      <c r="AI32" s="327" t="str">
        <f>IF(Input!BC33="Error","Error",IF(F32="","",IF($AA$5="",0,IF(F32&lt;&gt;"",IFERROR(AVERAGE(AB32,AD32,AF32,AH32)*$AI$4,0),""))))</f>
        <v/>
      </c>
      <c r="AJ32" s="179"/>
      <c r="AK32" s="184" t="str">
        <f>IF(Input!BD33="","",IF(F32&lt;&gt;"",Input!BD33,""))</f>
        <v/>
      </c>
      <c r="AL32" s="185" t="str">
        <f>IF(F32="", "",IF(Input!BE33="Error","Error",IF(ISNUMBER(Input!BE33),Input!BE33*$AL$4,"")))</f>
        <v/>
      </c>
      <c r="AM32" s="332" t="str">
        <f>IF(V32="D","Drp",
IF(F32&lt;&gt;"",
IF(OR(Y32="Error",AI32="Error",AL32="Error"),"Error",
IF(Input!BD33="","-",ROUND(Y32+AI32+AL32,2))),""))</f>
        <v/>
      </c>
      <c r="AN32" s="187" t="str">
        <f>IF(F32&lt;&gt;"",VLOOKUP(AM32,TRANSMUTATION!$A$2:$B$14,2),"")</f>
        <v/>
      </c>
      <c r="AO32" s="263" t="str">
        <f t="shared" si="1"/>
        <v/>
      </c>
      <c r="AP32" s="189"/>
      <c r="AT32" s="101"/>
    </row>
    <row r="33" spans="1:46" ht="15" customHeight="1" x14ac:dyDescent="0.2">
      <c r="A33" s="101"/>
      <c r="C33" s="268">
        <v>27</v>
      </c>
      <c r="D33" s="215" t="str">
        <f>IF(Input!D34&lt;&gt;"",IF(F33&lt;&gt;"",Input!D34,""),"")</f>
        <v/>
      </c>
      <c r="E33" s="321"/>
      <c r="F33" s="322" t="str">
        <f>(IF(Input!F34&lt;&gt;"",Input!F34,""))</f>
        <v/>
      </c>
      <c r="G33" s="18"/>
      <c r="H33" s="18"/>
      <c r="I33" s="18"/>
      <c r="J33" s="18"/>
      <c r="K33" s="18"/>
      <c r="L33" s="18"/>
      <c r="M33" s="18"/>
      <c r="N33" s="18"/>
      <c r="O33" s="18"/>
      <c r="P33" s="18"/>
      <c r="Q33" s="18"/>
      <c r="R33" s="18"/>
      <c r="S33" s="18"/>
      <c r="T33" s="18"/>
      <c r="U33" s="18"/>
      <c r="V33" s="21"/>
      <c r="W33" s="177"/>
      <c r="X33" s="178" t="str">
        <f>Input!AX34</f>
        <v/>
      </c>
      <c r="Y33" s="329" t="str">
        <f t="shared" si="2"/>
        <v/>
      </c>
      <c r="Z33" s="179"/>
      <c r="AA33" s="180" t="str">
        <f>IF(F33&lt;&gt;"",IF(Input!AY34&lt;&gt;"",Input!AY34,""),"")</f>
        <v/>
      </c>
      <c r="AB33" s="181" t="str">
        <f>IFERROR(IF($AA$5="","",IF(F33&lt;&gt;"",(Input!AY34/Input!$AY$6)*100,"")),"NA")</f>
        <v/>
      </c>
      <c r="AC33" s="182" t="str">
        <f>IF(F33&lt;&gt;"",IF(Input!AZ34&lt;&gt;"",Input!AZ34,""),"")</f>
        <v/>
      </c>
      <c r="AD33" s="181" t="str">
        <f>IFERROR(IF($AC$5="","",IF(F33&lt;&gt;"",(Input!AZ34/Input!$AZ$6)*100,"")),"NA")</f>
        <v/>
      </c>
      <c r="AE33" s="182" t="str">
        <f>IF(F33&lt;&gt;"",IF(Input!BA34&lt;&gt;"",Input!BA34,""),"")</f>
        <v/>
      </c>
      <c r="AF33" s="181" t="str">
        <f>IFERROR(IF($AE$5="","",IF(F33&lt;&gt;"",(Input!BA34/Input!$BA$6)*100,"")),"NA")</f>
        <v/>
      </c>
      <c r="AG33" s="183" t="str">
        <f>IF(F33&lt;&gt;"",IF(Input!BB34&lt;&gt;"",Input!BB34,""),"")</f>
        <v/>
      </c>
      <c r="AH33" s="181" t="str">
        <f>IFERROR(IF($AG$5="","",IF(F33&lt;&gt;"",(Input!BB34/Input!$BB$6)*100,"")),"NA")</f>
        <v/>
      </c>
      <c r="AI33" s="327" t="str">
        <f>IF(Input!BC34="Error","Error",IF(F33="","",IF($AA$5="",0,IF(F33&lt;&gt;"",IFERROR(AVERAGE(AB33,AD33,AF33,AH33)*$AI$4,0),""))))</f>
        <v/>
      </c>
      <c r="AJ33" s="179"/>
      <c r="AK33" s="184" t="str">
        <f>IF(Input!BD34="","",IF(F33&lt;&gt;"",Input!BD34,""))</f>
        <v/>
      </c>
      <c r="AL33" s="185" t="str">
        <f>IF(F33="", "",IF(Input!BE34="Error","Error",IF(ISNUMBER(Input!BE34),Input!BE34*$AL$4,"")))</f>
        <v/>
      </c>
      <c r="AM33" s="332" t="str">
        <f>IF(V33="D","Drp",
IF(F33&lt;&gt;"",
IF(OR(Y33="Error",AI33="Error",AL33="Error"),"Error",
IF(Input!BD34="","-",ROUND(Y33+AI33+AL33,2))),""))</f>
        <v/>
      </c>
      <c r="AN33" s="187" t="str">
        <f>IF(F33&lt;&gt;"",VLOOKUP(AM33,TRANSMUTATION!$A$2:$B$14,2),"")</f>
        <v/>
      </c>
      <c r="AO33" s="263" t="str">
        <f t="shared" si="1"/>
        <v/>
      </c>
      <c r="AP33" s="189"/>
      <c r="AT33" s="101"/>
    </row>
    <row r="34" spans="1:46" ht="15" customHeight="1" x14ac:dyDescent="0.2">
      <c r="A34" s="101"/>
      <c r="C34" s="268">
        <v>28</v>
      </c>
      <c r="D34" s="215" t="str">
        <f>IF(Input!D35&lt;&gt;"",IF(F34&lt;&gt;"",Input!D35,""),"")</f>
        <v/>
      </c>
      <c r="E34" s="321"/>
      <c r="F34" s="322" t="str">
        <f>(IF(Input!F35&lt;&gt;"",Input!F35,""))</f>
        <v/>
      </c>
      <c r="G34" s="18"/>
      <c r="H34" s="18"/>
      <c r="I34" s="18"/>
      <c r="J34" s="18"/>
      <c r="K34" s="18"/>
      <c r="L34" s="18"/>
      <c r="M34" s="18"/>
      <c r="N34" s="18"/>
      <c r="O34" s="18"/>
      <c r="P34" s="18"/>
      <c r="Q34" s="18"/>
      <c r="R34" s="18"/>
      <c r="S34" s="18"/>
      <c r="T34" s="18"/>
      <c r="U34" s="18"/>
      <c r="V34" s="21"/>
      <c r="W34" s="177"/>
      <c r="X34" s="178" t="str">
        <f>Input!AX35</f>
        <v/>
      </c>
      <c r="Y34" s="329" t="str">
        <f t="shared" si="2"/>
        <v/>
      </c>
      <c r="Z34" s="179"/>
      <c r="AA34" s="180" t="str">
        <f>IF(F34&lt;&gt;"",IF(Input!AY35&lt;&gt;"",Input!AY35,""),"")</f>
        <v/>
      </c>
      <c r="AB34" s="181" t="str">
        <f>IFERROR(IF($AA$5="","",IF(F34&lt;&gt;"",(Input!AY35/Input!$AY$6)*100,"")),"NA")</f>
        <v/>
      </c>
      <c r="AC34" s="182" t="str">
        <f>IF(F34&lt;&gt;"",IF(Input!AZ35&lt;&gt;"",Input!AZ35,""),"")</f>
        <v/>
      </c>
      <c r="AD34" s="181" t="str">
        <f>IFERROR(IF($AC$5="","",IF(F34&lt;&gt;"",(Input!AZ35/Input!$AZ$6)*100,"")),"NA")</f>
        <v/>
      </c>
      <c r="AE34" s="182" t="str">
        <f>IF(F34&lt;&gt;"",IF(Input!BA35&lt;&gt;"",Input!BA35,""),"")</f>
        <v/>
      </c>
      <c r="AF34" s="181" t="str">
        <f>IFERROR(IF($AE$5="","",IF(F34&lt;&gt;"",(Input!BA35/Input!$BA$6)*100,"")),"NA")</f>
        <v/>
      </c>
      <c r="AG34" s="183" t="str">
        <f>IF(F34&lt;&gt;"",IF(Input!BB35&lt;&gt;"",Input!BB35,""),"")</f>
        <v/>
      </c>
      <c r="AH34" s="181" t="str">
        <f>IFERROR(IF($AG$5="","",IF(F34&lt;&gt;"",(Input!BB35/Input!$BB$6)*100,"")),"NA")</f>
        <v/>
      </c>
      <c r="AI34" s="327" t="str">
        <f>IF(Input!BC35="Error","Error",IF(F34="","",IF($AA$5="",0,IF(F34&lt;&gt;"",IFERROR(AVERAGE(AB34,AD34,AF34,AH34)*$AI$4,0),""))))</f>
        <v/>
      </c>
      <c r="AJ34" s="179"/>
      <c r="AK34" s="184" t="str">
        <f>IF(Input!BD35="","",IF(F34&lt;&gt;"",Input!BD35,""))</f>
        <v/>
      </c>
      <c r="AL34" s="185" t="str">
        <f>IF(F34="", "",IF(Input!BE35="Error","Error",IF(ISNUMBER(Input!BE35),Input!BE35*$AL$4,"")))</f>
        <v/>
      </c>
      <c r="AM34" s="332" t="str">
        <f>IF(V34="D","Drp",
IF(F34&lt;&gt;"",
IF(OR(Y34="Error",AI34="Error",AL34="Error"),"Error",
IF(Input!BD35="","-",ROUND(Y34+AI34+AL34,2))),""))</f>
        <v/>
      </c>
      <c r="AN34" s="187" t="str">
        <f>IF(F34&lt;&gt;"",VLOOKUP(AM34,TRANSMUTATION!$A$2:$B$14,2),"")</f>
        <v/>
      </c>
      <c r="AO34" s="263" t="str">
        <f t="shared" si="1"/>
        <v/>
      </c>
      <c r="AP34" s="189"/>
      <c r="AT34" s="101"/>
    </row>
    <row r="35" spans="1:46" ht="15" customHeight="1" x14ac:dyDescent="0.2">
      <c r="A35" s="101"/>
      <c r="C35" s="268">
        <v>29</v>
      </c>
      <c r="D35" s="215" t="str">
        <f>IF(Input!D36&lt;&gt;"",IF(F35&lt;&gt;"",Input!D36,""),"")</f>
        <v/>
      </c>
      <c r="E35" s="321"/>
      <c r="F35" s="322" t="str">
        <f>(IF(Input!F36&lt;&gt;"",Input!F36,""))</f>
        <v/>
      </c>
      <c r="G35" s="18"/>
      <c r="H35" s="18"/>
      <c r="I35" s="18"/>
      <c r="J35" s="18"/>
      <c r="K35" s="18"/>
      <c r="L35" s="18"/>
      <c r="M35" s="18"/>
      <c r="N35" s="18"/>
      <c r="O35" s="18"/>
      <c r="P35" s="18"/>
      <c r="Q35" s="18"/>
      <c r="R35" s="18"/>
      <c r="S35" s="18"/>
      <c r="T35" s="18"/>
      <c r="U35" s="18"/>
      <c r="V35" s="21"/>
      <c r="W35" s="177"/>
      <c r="X35" s="178" t="str">
        <f>Input!AX36</f>
        <v/>
      </c>
      <c r="Y35" s="329" t="str">
        <f t="shared" si="2"/>
        <v/>
      </c>
      <c r="Z35" s="179"/>
      <c r="AA35" s="180" t="str">
        <f>IF(F35&lt;&gt;"",IF(Input!AY36&lt;&gt;"",Input!AY36,""),"")</f>
        <v/>
      </c>
      <c r="AB35" s="181" t="str">
        <f>IFERROR(IF($AA$5="","",IF(F35&lt;&gt;"",(Input!AY36/Input!$AY$6)*100,"")),"NA")</f>
        <v/>
      </c>
      <c r="AC35" s="182" t="str">
        <f>IF(F35&lt;&gt;"",IF(Input!AZ36&lt;&gt;"",Input!AZ36,""),"")</f>
        <v/>
      </c>
      <c r="AD35" s="181" t="str">
        <f>IFERROR(IF($AC$5="","",IF(F35&lt;&gt;"",(Input!AZ36/Input!$AZ$6)*100,"")),"NA")</f>
        <v/>
      </c>
      <c r="AE35" s="182" t="str">
        <f>IF(F35&lt;&gt;"",IF(Input!BA36&lt;&gt;"",Input!BA36,""),"")</f>
        <v/>
      </c>
      <c r="AF35" s="181" t="str">
        <f>IFERROR(IF($AE$5="","",IF(F35&lt;&gt;"",(Input!BA36/Input!$BA$6)*100,"")),"NA")</f>
        <v/>
      </c>
      <c r="AG35" s="183" t="str">
        <f>IF(F35&lt;&gt;"",IF(Input!BB36&lt;&gt;"",Input!BB36,""),"")</f>
        <v/>
      </c>
      <c r="AH35" s="181" t="str">
        <f>IFERROR(IF($AG$5="","",IF(F35&lt;&gt;"",(Input!BB36/Input!$BB$6)*100,"")),"NA")</f>
        <v/>
      </c>
      <c r="AI35" s="327" t="str">
        <f>IF(Input!BC36="Error","Error",IF(F35="","",IF($AA$5="",0,IF(F35&lt;&gt;"",IFERROR(AVERAGE(AB35,AD35,AF35,AH35)*$AI$4,0),""))))</f>
        <v/>
      </c>
      <c r="AJ35" s="179"/>
      <c r="AK35" s="184" t="str">
        <f>IF(Input!BD36="","",IF(F35&lt;&gt;"",Input!BD36,""))</f>
        <v/>
      </c>
      <c r="AL35" s="185" t="str">
        <f>IF(F35="", "",IF(Input!BE36="Error","Error",IF(ISNUMBER(Input!BE36),Input!BE36*$AL$4,"")))</f>
        <v/>
      </c>
      <c r="AM35" s="332" t="str">
        <f>IF(V35="D","Drp",
IF(F35&lt;&gt;"",
IF(OR(Y35="Error",AI35="Error",AL35="Error"),"Error",
IF(Input!BD36="","-",ROUND(Y35+AI35+AL35,2))),""))</f>
        <v/>
      </c>
      <c r="AN35" s="187" t="str">
        <f>IF(F35&lt;&gt;"",VLOOKUP(AM35,TRANSMUTATION!$A$2:$B$14,2),"")</f>
        <v/>
      </c>
      <c r="AO35" s="263" t="str">
        <f t="shared" si="1"/>
        <v/>
      </c>
      <c r="AP35" s="189"/>
      <c r="AT35" s="101"/>
    </row>
    <row r="36" spans="1:46" ht="15" customHeight="1" x14ac:dyDescent="0.2">
      <c r="A36" s="101"/>
      <c r="C36" s="268">
        <v>30</v>
      </c>
      <c r="D36" s="215" t="str">
        <f>IF(Input!D37&lt;&gt;"",IF(F36&lt;&gt;"",Input!D37,""),"")</f>
        <v/>
      </c>
      <c r="E36" s="321"/>
      <c r="F36" s="322" t="str">
        <f>(IF(Input!F37&lt;&gt;"",Input!F37,""))</f>
        <v/>
      </c>
      <c r="G36" s="18"/>
      <c r="H36" s="18"/>
      <c r="I36" s="18"/>
      <c r="J36" s="18"/>
      <c r="K36" s="18"/>
      <c r="L36" s="18"/>
      <c r="M36" s="18"/>
      <c r="N36" s="18"/>
      <c r="O36" s="18"/>
      <c r="P36" s="18"/>
      <c r="Q36" s="18"/>
      <c r="R36" s="18"/>
      <c r="S36" s="18"/>
      <c r="T36" s="18"/>
      <c r="U36" s="18"/>
      <c r="V36" s="21"/>
      <c r="W36" s="177"/>
      <c r="X36" s="178" t="str">
        <f>Input!AX37</f>
        <v/>
      </c>
      <c r="Y36" s="329" t="str">
        <f t="shared" si="2"/>
        <v/>
      </c>
      <c r="Z36" s="179"/>
      <c r="AA36" s="180" t="str">
        <f>IF(F36&lt;&gt;"",IF(Input!AY37&lt;&gt;"",Input!AY37,""),"")</f>
        <v/>
      </c>
      <c r="AB36" s="181" t="str">
        <f>IFERROR(IF($AA$5="","",IF(F36&lt;&gt;"",(Input!AY37/Input!$AY$6)*100,"")),"NA")</f>
        <v/>
      </c>
      <c r="AC36" s="182" t="str">
        <f>IF(F36&lt;&gt;"",IF(Input!AZ37&lt;&gt;"",Input!AZ37,""),"")</f>
        <v/>
      </c>
      <c r="AD36" s="181" t="str">
        <f>IFERROR(IF($AC$5="","",IF(F36&lt;&gt;"",(Input!AZ37/Input!$AZ$6)*100,"")),"NA")</f>
        <v/>
      </c>
      <c r="AE36" s="182" t="str">
        <f>IF(F36&lt;&gt;"",IF(Input!BA37&lt;&gt;"",Input!BA37,""),"")</f>
        <v/>
      </c>
      <c r="AF36" s="181" t="str">
        <f>IFERROR(IF($AE$5="","",IF(F36&lt;&gt;"",(Input!BA37/Input!$BA$6)*100,"")),"NA")</f>
        <v/>
      </c>
      <c r="AG36" s="183" t="str">
        <f>IF(F36&lt;&gt;"",IF(Input!BB37&lt;&gt;"",Input!BB37,""),"")</f>
        <v/>
      </c>
      <c r="AH36" s="181" t="str">
        <f>IFERROR(IF($AG$5="","",IF(F36&lt;&gt;"",(Input!BB37/Input!$BB$6)*100,"")),"NA")</f>
        <v/>
      </c>
      <c r="AI36" s="327" t="str">
        <f>IF(Input!BC37="Error","Error",IF(F36="","",IF($AA$5="",0,IF(F36&lt;&gt;"",IFERROR(AVERAGE(AB36,AD36,AF36,AH36)*$AI$4,0),""))))</f>
        <v/>
      </c>
      <c r="AJ36" s="179"/>
      <c r="AK36" s="184" t="str">
        <f>IF(Input!BD37="","",IF(F36&lt;&gt;"",Input!BD37,""))</f>
        <v/>
      </c>
      <c r="AL36" s="185" t="str">
        <f>IF(F36="", "",IF(Input!BE37="Error","Error",IF(ISNUMBER(Input!BE37),Input!BE37*$AL$4,"")))</f>
        <v/>
      </c>
      <c r="AM36" s="332" t="str">
        <f>IF(V36="D","Drp",
IF(F36&lt;&gt;"",
IF(OR(Y36="Error",AI36="Error",AL36="Error"),"Error",
IF(Input!BD37="","-",ROUND(Y36+AI36+AL36,2))),""))</f>
        <v/>
      </c>
      <c r="AN36" s="187" t="str">
        <f>IF(F36&lt;&gt;"",VLOOKUP(AM36,TRANSMUTATION!$A$2:$B$14,2),"")</f>
        <v/>
      </c>
      <c r="AO36" s="263" t="str">
        <f t="shared" si="1"/>
        <v/>
      </c>
      <c r="AP36" s="189"/>
      <c r="AT36" s="101"/>
    </row>
    <row r="37" spans="1:46" ht="15" customHeight="1" x14ac:dyDescent="0.2">
      <c r="A37" s="101"/>
      <c r="C37" s="268">
        <v>31</v>
      </c>
      <c r="D37" s="215" t="str">
        <f>IF(Input!D38&lt;&gt;"",IF(F37&lt;&gt;"",Input!D38,""),"")</f>
        <v/>
      </c>
      <c r="E37" s="321"/>
      <c r="F37" s="322" t="str">
        <f>(IF(Input!F38&lt;&gt;"",Input!F38,""))</f>
        <v/>
      </c>
      <c r="G37" s="18"/>
      <c r="H37" s="18"/>
      <c r="I37" s="18"/>
      <c r="J37" s="18"/>
      <c r="K37" s="18"/>
      <c r="L37" s="18"/>
      <c r="M37" s="18"/>
      <c r="N37" s="18"/>
      <c r="O37" s="18"/>
      <c r="P37" s="18"/>
      <c r="Q37" s="18"/>
      <c r="R37" s="18"/>
      <c r="S37" s="18"/>
      <c r="T37" s="18"/>
      <c r="U37" s="18"/>
      <c r="V37" s="21"/>
      <c r="W37" s="177"/>
      <c r="X37" s="178" t="str">
        <f>Input!AX38</f>
        <v/>
      </c>
      <c r="Y37" s="329" t="str">
        <f t="shared" si="2"/>
        <v/>
      </c>
      <c r="Z37" s="179"/>
      <c r="AA37" s="180" t="str">
        <f>IF(F37&lt;&gt;"",IF(Input!AY38&lt;&gt;"",Input!AY38,""),"")</f>
        <v/>
      </c>
      <c r="AB37" s="181" t="str">
        <f>IFERROR(IF($AA$5="","",IF(F37&lt;&gt;"",(Input!AY38/Input!$AY$6)*100,"")),"NA")</f>
        <v/>
      </c>
      <c r="AC37" s="182" t="str">
        <f>IF(F37&lt;&gt;"",IF(Input!AZ38&lt;&gt;"",Input!AZ38,""),"")</f>
        <v/>
      </c>
      <c r="AD37" s="181" t="str">
        <f>IFERROR(IF($AC$5="","",IF(F37&lt;&gt;"",(Input!AZ38/Input!$AZ$6)*100,"")),"NA")</f>
        <v/>
      </c>
      <c r="AE37" s="182" t="str">
        <f>IF(F37&lt;&gt;"",IF(Input!BA38&lt;&gt;"",Input!BA38,""),"")</f>
        <v/>
      </c>
      <c r="AF37" s="181" t="str">
        <f>IFERROR(IF($AE$5="","",IF(F37&lt;&gt;"",(Input!BA38/Input!$BA$6)*100,"")),"NA")</f>
        <v/>
      </c>
      <c r="AG37" s="183" t="str">
        <f>IF(F37&lt;&gt;"",IF(Input!BB38&lt;&gt;"",Input!BB38,""),"")</f>
        <v/>
      </c>
      <c r="AH37" s="181" t="str">
        <f>IFERROR(IF($AG$5="","",IF(F37&lt;&gt;"",(Input!BB38/Input!$BB$6)*100,"")),"NA")</f>
        <v/>
      </c>
      <c r="AI37" s="327" t="str">
        <f>IF(Input!BC38="Error","Error",IF(F37="","",IF($AA$5="",0,IF(F37&lt;&gt;"",IFERROR(AVERAGE(AB37,AD37,AF37,AH37)*$AI$4,0),""))))</f>
        <v/>
      </c>
      <c r="AJ37" s="179"/>
      <c r="AK37" s="184" t="str">
        <f>IF(Input!BD38="","",IF(F37&lt;&gt;"",Input!BD38,""))</f>
        <v/>
      </c>
      <c r="AL37" s="185" t="str">
        <f>IF(F37="", "",IF(Input!BE38="Error","Error",IF(ISNUMBER(Input!BE38),Input!BE38*$AL$4,"")))</f>
        <v/>
      </c>
      <c r="AM37" s="332" t="str">
        <f>IF(V37="D","Drp",
IF(F37&lt;&gt;"",
IF(OR(Y37="Error",AI37="Error",AL37="Error"),"Error",
IF(Input!BD38="","-",ROUND(Y37+AI37+AL37,2))),""))</f>
        <v/>
      </c>
      <c r="AN37" s="187" t="str">
        <f>IF(F37&lt;&gt;"",VLOOKUP(AM37,TRANSMUTATION!$A$2:$B$14,2),"")</f>
        <v/>
      </c>
      <c r="AO37" s="263" t="str">
        <f t="shared" si="1"/>
        <v/>
      </c>
      <c r="AP37" s="189"/>
      <c r="AT37" s="101"/>
    </row>
    <row r="38" spans="1:46" ht="15" customHeight="1" x14ac:dyDescent="0.2">
      <c r="A38" s="101"/>
      <c r="C38" s="268">
        <v>32</v>
      </c>
      <c r="D38" s="215" t="str">
        <f>IF(Input!D39&lt;&gt;"",IF(F38&lt;&gt;"",Input!D39,""),"")</f>
        <v/>
      </c>
      <c r="E38" s="321"/>
      <c r="F38" s="322" t="str">
        <f>(IF(Input!F39&lt;&gt;"",Input!F39,""))</f>
        <v/>
      </c>
      <c r="G38" s="18"/>
      <c r="H38" s="18"/>
      <c r="I38" s="18"/>
      <c r="J38" s="18"/>
      <c r="K38" s="18"/>
      <c r="L38" s="18"/>
      <c r="M38" s="18"/>
      <c r="N38" s="18"/>
      <c r="O38" s="18"/>
      <c r="P38" s="18"/>
      <c r="Q38" s="18"/>
      <c r="R38" s="18"/>
      <c r="S38" s="18"/>
      <c r="T38" s="18"/>
      <c r="U38" s="18"/>
      <c r="V38" s="21"/>
      <c r="W38" s="177"/>
      <c r="X38" s="178" t="str">
        <f>Input!AX39</f>
        <v/>
      </c>
      <c r="Y38" s="329" t="str">
        <f t="shared" si="2"/>
        <v/>
      </c>
      <c r="Z38" s="179"/>
      <c r="AA38" s="180" t="str">
        <f>IF(F38&lt;&gt;"",IF(Input!AY39&lt;&gt;"",Input!AY39,""),"")</f>
        <v/>
      </c>
      <c r="AB38" s="181" t="str">
        <f>IFERROR(IF($AA$5="","",IF(F38&lt;&gt;"",(Input!AY39/Input!$AY$6)*100,"")),"NA")</f>
        <v/>
      </c>
      <c r="AC38" s="182" t="str">
        <f>IF(F38&lt;&gt;"",IF(Input!AZ39&lt;&gt;"",Input!AZ39,""),"")</f>
        <v/>
      </c>
      <c r="AD38" s="181" t="str">
        <f>IFERROR(IF($AC$5="","",IF(F38&lt;&gt;"",(Input!AZ39/Input!$AZ$6)*100,"")),"NA")</f>
        <v/>
      </c>
      <c r="AE38" s="182" t="str">
        <f>IF(F38&lt;&gt;"",IF(Input!BA39&lt;&gt;"",Input!BA39,""),"")</f>
        <v/>
      </c>
      <c r="AF38" s="181" t="str">
        <f>IFERROR(IF($AE$5="","",IF(F38&lt;&gt;"",(Input!BA39/Input!$BA$6)*100,"")),"NA")</f>
        <v/>
      </c>
      <c r="AG38" s="183" t="str">
        <f>IF(F38&lt;&gt;"",IF(Input!BB39&lt;&gt;"",Input!BB39,""),"")</f>
        <v/>
      </c>
      <c r="AH38" s="181" t="str">
        <f>IFERROR(IF($AG$5="","",IF(F38&lt;&gt;"",(Input!BB39/Input!$BB$6)*100,"")),"NA")</f>
        <v/>
      </c>
      <c r="AI38" s="327" t="str">
        <f>IF(Input!BC39="Error","Error",IF(F38="","",IF($AA$5="",0,IF(F38&lt;&gt;"",IFERROR(AVERAGE(AB38,AD38,AF38,AH38)*$AI$4,0),""))))</f>
        <v/>
      </c>
      <c r="AJ38" s="179"/>
      <c r="AK38" s="184" t="str">
        <f>IF(Input!BD39="","",IF(F38&lt;&gt;"",Input!BD39,""))</f>
        <v/>
      </c>
      <c r="AL38" s="185" t="str">
        <f>IF(F38="", "",IF(Input!BE39="Error","Error",IF(ISNUMBER(Input!BE39),Input!BE39*$AL$4,"")))</f>
        <v/>
      </c>
      <c r="AM38" s="332" t="str">
        <f>IF(V38="D","Drp",
IF(F38&lt;&gt;"",
IF(OR(Y38="Error",AI38="Error",AL38="Error"),"Error",
IF(Input!BD39="","-",ROUND(Y38+AI38+AL38,2))),""))</f>
        <v/>
      </c>
      <c r="AN38" s="187" t="str">
        <f>IF(F38&lt;&gt;"",VLOOKUP(AM38,TRANSMUTATION!$A$2:$B$14,2),"")</f>
        <v/>
      </c>
      <c r="AO38" s="263" t="str">
        <f t="shared" si="1"/>
        <v/>
      </c>
      <c r="AP38" s="189"/>
      <c r="AT38" s="101"/>
    </row>
    <row r="39" spans="1:46" ht="15" customHeight="1" x14ac:dyDescent="0.2">
      <c r="A39" s="101"/>
      <c r="C39" s="268">
        <v>33</v>
      </c>
      <c r="D39" s="215" t="str">
        <f>IF(Input!D40&lt;&gt;"",IF(F39&lt;&gt;"",Input!D40,""),"")</f>
        <v/>
      </c>
      <c r="E39" s="321"/>
      <c r="F39" s="322" t="str">
        <f>(IF(Input!F40&lt;&gt;"",Input!F40,""))</f>
        <v/>
      </c>
      <c r="G39" s="18"/>
      <c r="H39" s="18"/>
      <c r="I39" s="18"/>
      <c r="J39" s="18"/>
      <c r="K39" s="18"/>
      <c r="L39" s="18"/>
      <c r="M39" s="18"/>
      <c r="N39" s="18"/>
      <c r="O39" s="18"/>
      <c r="P39" s="18"/>
      <c r="Q39" s="18"/>
      <c r="R39" s="18"/>
      <c r="S39" s="18"/>
      <c r="T39" s="18"/>
      <c r="U39" s="18"/>
      <c r="V39" s="21"/>
      <c r="W39" s="177"/>
      <c r="X39" s="178" t="str">
        <f>Input!AX40</f>
        <v/>
      </c>
      <c r="Y39" s="329" t="str">
        <f t="shared" si="2"/>
        <v/>
      </c>
      <c r="Z39" s="179"/>
      <c r="AA39" s="180" t="str">
        <f>IF(F39&lt;&gt;"",IF(Input!AY40&lt;&gt;"",Input!AY40,""),"")</f>
        <v/>
      </c>
      <c r="AB39" s="181" t="str">
        <f>IFERROR(IF($AA$5="","",IF(F39&lt;&gt;"",(Input!AY40/Input!$AY$6)*100,"")),"NA")</f>
        <v/>
      </c>
      <c r="AC39" s="182" t="str">
        <f>IF(F39&lt;&gt;"",IF(Input!AZ40&lt;&gt;"",Input!AZ40,""),"")</f>
        <v/>
      </c>
      <c r="AD39" s="181" t="str">
        <f>IFERROR(IF($AC$5="","",IF(F39&lt;&gt;"",(Input!AZ40/Input!$AZ$6)*100,"")),"NA")</f>
        <v/>
      </c>
      <c r="AE39" s="182" t="str">
        <f>IF(F39&lt;&gt;"",IF(Input!BA40&lt;&gt;"",Input!BA40,""),"")</f>
        <v/>
      </c>
      <c r="AF39" s="181" t="str">
        <f>IFERROR(IF($AE$5="","",IF(F39&lt;&gt;"",(Input!BA40/Input!$BA$6)*100,"")),"NA")</f>
        <v/>
      </c>
      <c r="AG39" s="183" t="str">
        <f>IF(F39&lt;&gt;"",IF(Input!BB40&lt;&gt;"",Input!BB40,""),"")</f>
        <v/>
      </c>
      <c r="AH39" s="181" t="str">
        <f>IFERROR(IF($AG$5="","",IF(F39&lt;&gt;"",(Input!BB40/Input!$BB$6)*100,"")),"NA")</f>
        <v/>
      </c>
      <c r="AI39" s="327" t="str">
        <f>IF(Input!BC40="Error","Error",IF(F39="","",IF($AA$5="",0,IF(F39&lt;&gt;"",IFERROR(AVERAGE(AB39,AD39,AF39,AH39)*$AI$4,0),""))))</f>
        <v/>
      </c>
      <c r="AJ39" s="179"/>
      <c r="AK39" s="184" t="str">
        <f>IF(Input!BD40="","",IF(F39&lt;&gt;"",Input!BD40,""))</f>
        <v/>
      </c>
      <c r="AL39" s="185" t="str">
        <f>IF(F39="", "",IF(Input!BE40="Error","Error",IF(ISNUMBER(Input!BE40),Input!BE40*$AL$4,"")))</f>
        <v/>
      </c>
      <c r="AM39" s="332" t="str">
        <f>IF(V39="D","Drp",
IF(F39&lt;&gt;"",
IF(OR(Y39="Error",AI39="Error",AL39="Error"),"Error",
IF(Input!BD40="","-",ROUND(Y39+AI39+AL39,2))),""))</f>
        <v/>
      </c>
      <c r="AN39" s="187" t="str">
        <f>IF(F39&lt;&gt;"",VLOOKUP(AM39,TRANSMUTATION!$A$2:$B$14,2),"")</f>
        <v/>
      </c>
      <c r="AO39" s="263" t="str">
        <f t="shared" ref="AO39:AO56" si="3">IF(AN39="Inc","",IF(F39&lt;&gt;"",IF(OR(AN39="Drp",AN39="-"),"",RANK(AM39,$AM$7:$AM$56)),""))</f>
        <v/>
      </c>
      <c r="AP39" s="189"/>
      <c r="AT39" s="101"/>
    </row>
    <row r="40" spans="1:46" ht="15" customHeight="1" x14ac:dyDescent="0.2">
      <c r="A40" s="101"/>
      <c r="C40" s="268">
        <v>34</v>
      </c>
      <c r="D40" s="215" t="str">
        <f>IF(Input!D41&lt;&gt;"",IF(F40&lt;&gt;"",Input!D41,""),"")</f>
        <v/>
      </c>
      <c r="E40" s="321"/>
      <c r="F40" s="322" t="str">
        <f>(IF(Input!F41&lt;&gt;"",Input!F41,""))</f>
        <v/>
      </c>
      <c r="G40" s="18"/>
      <c r="H40" s="18"/>
      <c r="I40" s="18"/>
      <c r="J40" s="18"/>
      <c r="K40" s="18"/>
      <c r="L40" s="18"/>
      <c r="M40" s="18"/>
      <c r="N40" s="18"/>
      <c r="O40" s="18"/>
      <c r="P40" s="18"/>
      <c r="Q40" s="18"/>
      <c r="R40" s="18"/>
      <c r="S40" s="18"/>
      <c r="T40" s="18"/>
      <c r="U40" s="18"/>
      <c r="V40" s="21"/>
      <c r="W40" s="177"/>
      <c r="X40" s="178" t="str">
        <f>Input!AX41</f>
        <v/>
      </c>
      <c r="Y40" s="329" t="str">
        <f t="shared" si="2"/>
        <v/>
      </c>
      <c r="Z40" s="179"/>
      <c r="AA40" s="180" t="str">
        <f>IF(F40&lt;&gt;"",IF(Input!AY41&lt;&gt;"",Input!AY41,""),"")</f>
        <v/>
      </c>
      <c r="AB40" s="181" t="str">
        <f>IFERROR(IF($AA$5="","",IF(F40&lt;&gt;"",(Input!AY41/Input!$AY$6)*100,"")),"NA")</f>
        <v/>
      </c>
      <c r="AC40" s="182" t="str">
        <f>IF(F40&lt;&gt;"",IF(Input!AZ41&lt;&gt;"",Input!AZ41,""),"")</f>
        <v/>
      </c>
      <c r="AD40" s="181" t="str">
        <f>IFERROR(IF($AC$5="","",IF(F40&lt;&gt;"",(Input!AZ41/Input!$AZ$6)*100,"")),"NA")</f>
        <v/>
      </c>
      <c r="AE40" s="182" t="str">
        <f>IF(F40&lt;&gt;"",IF(Input!BA41&lt;&gt;"",Input!BA41,""),"")</f>
        <v/>
      </c>
      <c r="AF40" s="181" t="str">
        <f>IFERROR(IF($AE$5="","",IF(F40&lt;&gt;"",(Input!BA41/Input!$BA$6)*100,"")),"NA")</f>
        <v/>
      </c>
      <c r="AG40" s="183" t="str">
        <f>IF(F40&lt;&gt;"",IF(Input!BB41&lt;&gt;"",Input!BB41,""),"")</f>
        <v/>
      </c>
      <c r="AH40" s="181" t="str">
        <f>IFERROR(IF($AG$5="","",IF(F40&lt;&gt;"",(Input!BB41/Input!$BB$6)*100,"")),"NA")</f>
        <v/>
      </c>
      <c r="AI40" s="327" t="str">
        <f>IF(Input!BC41="Error","Error",IF(F40="","",IF($AA$5="",0,IF(F40&lt;&gt;"",IFERROR(AVERAGE(AB40,AD40,AF40,AH40)*$AI$4,0),""))))</f>
        <v/>
      </c>
      <c r="AJ40" s="179"/>
      <c r="AK40" s="184" t="str">
        <f>IF(Input!BD41="","",IF(F40&lt;&gt;"",Input!BD41,""))</f>
        <v/>
      </c>
      <c r="AL40" s="185" t="str">
        <f>IF(F40="", "",IF(Input!BE41="Error","Error",IF(ISNUMBER(Input!BE41),Input!BE41*$AL$4,"")))</f>
        <v/>
      </c>
      <c r="AM40" s="332" t="str">
        <f>IF(V40="D","Drp",
IF(F40&lt;&gt;"",
IF(OR(Y40="Error",AI40="Error",AL40="Error"),"Error",
IF(Input!BD41="","-",ROUND(Y40+AI40+AL40,2))),""))</f>
        <v/>
      </c>
      <c r="AN40" s="187" t="str">
        <f>IF(F40&lt;&gt;"",VLOOKUP(AM40,TRANSMUTATION!$A$2:$B$14,2),"")</f>
        <v/>
      </c>
      <c r="AO40" s="263" t="str">
        <f t="shared" si="3"/>
        <v/>
      </c>
      <c r="AP40" s="189"/>
      <c r="AT40" s="101"/>
    </row>
    <row r="41" spans="1:46" ht="15" customHeight="1" x14ac:dyDescent="0.2">
      <c r="A41" s="101"/>
      <c r="C41" s="268">
        <v>35</v>
      </c>
      <c r="D41" s="215" t="str">
        <f>IF(Input!D42&lt;&gt;"",IF(F41&lt;&gt;"",Input!D42,""),"")</f>
        <v/>
      </c>
      <c r="E41" s="321"/>
      <c r="F41" s="322" t="str">
        <f>(IF(Input!F42&lt;&gt;"",Input!F42,""))</f>
        <v/>
      </c>
      <c r="G41" s="18"/>
      <c r="H41" s="18"/>
      <c r="I41" s="18"/>
      <c r="J41" s="18"/>
      <c r="K41" s="18"/>
      <c r="L41" s="18"/>
      <c r="M41" s="18"/>
      <c r="N41" s="18"/>
      <c r="O41" s="18"/>
      <c r="P41" s="18"/>
      <c r="Q41" s="18"/>
      <c r="R41" s="18"/>
      <c r="S41" s="18"/>
      <c r="T41" s="18"/>
      <c r="U41" s="18"/>
      <c r="V41" s="21"/>
      <c r="W41" s="177"/>
      <c r="X41" s="178" t="str">
        <f>Input!AX42</f>
        <v/>
      </c>
      <c r="Y41" s="329" t="str">
        <f t="shared" si="2"/>
        <v/>
      </c>
      <c r="Z41" s="179"/>
      <c r="AA41" s="180" t="str">
        <f>IF(F41&lt;&gt;"",IF(Input!AY42&lt;&gt;"",Input!AY42,""),"")</f>
        <v/>
      </c>
      <c r="AB41" s="181" t="str">
        <f>IFERROR(IF($AA$5="","",IF(F41&lt;&gt;"",(Input!AY42/Input!$AY$6)*100,"")),"NA")</f>
        <v/>
      </c>
      <c r="AC41" s="182" t="str">
        <f>IF(F41&lt;&gt;"",IF(Input!AZ42&lt;&gt;"",Input!AZ42,""),"")</f>
        <v/>
      </c>
      <c r="AD41" s="181" t="str">
        <f>IFERROR(IF($AC$5="","",IF(F41&lt;&gt;"",(Input!AZ42/Input!$AZ$6)*100,"")),"NA")</f>
        <v/>
      </c>
      <c r="AE41" s="182" t="str">
        <f>IF(F41&lt;&gt;"",IF(Input!BA42&lt;&gt;"",Input!BA42,""),"")</f>
        <v/>
      </c>
      <c r="AF41" s="181" t="str">
        <f>IFERROR(IF($AE$5="","",IF(F41&lt;&gt;"",(Input!BA42/Input!$BA$6)*100,"")),"NA")</f>
        <v/>
      </c>
      <c r="AG41" s="183" t="str">
        <f>IF(F41&lt;&gt;"",IF(Input!BB42&lt;&gt;"",Input!BB42,""),"")</f>
        <v/>
      </c>
      <c r="AH41" s="181" t="str">
        <f>IFERROR(IF($AG$5="","",IF(F41&lt;&gt;"",(Input!BB42/Input!$BB$6)*100,"")),"NA")</f>
        <v/>
      </c>
      <c r="AI41" s="327" t="str">
        <f>IF(Input!BC42="Error","Error",IF(F41="","",IF($AA$5="",0,IF(F41&lt;&gt;"",IFERROR(AVERAGE(AB41,AD41,AF41,AH41)*$AI$4,0),""))))</f>
        <v/>
      </c>
      <c r="AJ41" s="179"/>
      <c r="AK41" s="184" t="str">
        <f>IF(Input!BD42="","",IF(F41&lt;&gt;"",Input!BD42,""))</f>
        <v/>
      </c>
      <c r="AL41" s="185" t="str">
        <f>IF(F41="", "",IF(Input!BE42="Error","Error",IF(ISNUMBER(Input!BE42),Input!BE42*$AL$4,"")))</f>
        <v/>
      </c>
      <c r="AM41" s="332" t="str">
        <f>IF(V41="D","Drp",
IF(F41&lt;&gt;"",
IF(OR(Y41="Error",AI41="Error",AL41="Error"),"Error",
IF(Input!BD42="","-",ROUND(Y41+AI41+AL41,2))),""))</f>
        <v/>
      </c>
      <c r="AN41" s="187" t="str">
        <f>IF(F41&lt;&gt;"",VLOOKUP(AM41,TRANSMUTATION!$A$2:$B$14,2),"")</f>
        <v/>
      </c>
      <c r="AO41" s="263" t="str">
        <f t="shared" si="3"/>
        <v/>
      </c>
      <c r="AP41" s="189"/>
      <c r="AT41" s="101"/>
    </row>
    <row r="42" spans="1:46" ht="15" customHeight="1" x14ac:dyDescent="0.2">
      <c r="A42" s="101"/>
      <c r="C42" s="268">
        <v>36</v>
      </c>
      <c r="D42" s="215" t="str">
        <f>IF(Input!D43&lt;&gt;"",IF(F42&lt;&gt;"",Input!D43,""),"")</f>
        <v/>
      </c>
      <c r="E42" s="321"/>
      <c r="F42" s="322" t="str">
        <f>(IF(Input!F43&lt;&gt;"",Input!F43,""))</f>
        <v/>
      </c>
      <c r="G42" s="18"/>
      <c r="H42" s="18"/>
      <c r="I42" s="18"/>
      <c r="J42" s="18"/>
      <c r="K42" s="18"/>
      <c r="L42" s="18"/>
      <c r="M42" s="18"/>
      <c r="N42" s="18"/>
      <c r="O42" s="18"/>
      <c r="P42" s="18"/>
      <c r="Q42" s="18"/>
      <c r="R42" s="18"/>
      <c r="S42" s="18"/>
      <c r="T42" s="18"/>
      <c r="U42" s="18"/>
      <c r="V42" s="21"/>
      <c r="W42" s="177"/>
      <c r="X42" s="178" t="str">
        <f>Input!AX43</f>
        <v/>
      </c>
      <c r="Y42" s="329" t="str">
        <f t="shared" si="2"/>
        <v/>
      </c>
      <c r="Z42" s="179"/>
      <c r="AA42" s="180" t="str">
        <f>IF(F42&lt;&gt;"",IF(Input!AY43&lt;&gt;"",Input!AY43,""),"")</f>
        <v/>
      </c>
      <c r="AB42" s="181" t="str">
        <f>IFERROR(IF($AA$5="","",IF(F42&lt;&gt;"",(Input!AY43/Input!$AY$6)*100,"")),"NA")</f>
        <v/>
      </c>
      <c r="AC42" s="182" t="str">
        <f>IF(F42&lt;&gt;"",IF(Input!AZ43&lt;&gt;"",Input!AZ43,""),"")</f>
        <v/>
      </c>
      <c r="AD42" s="181" t="str">
        <f>IFERROR(IF($AC$5="","",IF(F42&lt;&gt;"",(Input!AZ43/Input!$AZ$6)*100,"")),"NA")</f>
        <v/>
      </c>
      <c r="AE42" s="182" t="str">
        <f>IF(F42&lt;&gt;"",IF(Input!BA43&lt;&gt;"",Input!BA43,""),"")</f>
        <v/>
      </c>
      <c r="AF42" s="181" t="str">
        <f>IFERROR(IF($AE$5="","",IF(F42&lt;&gt;"",(Input!BA43/Input!$BA$6)*100,"")),"NA")</f>
        <v/>
      </c>
      <c r="AG42" s="183" t="str">
        <f>IF(F42&lt;&gt;"",IF(Input!BB43&lt;&gt;"",Input!BB43,""),"")</f>
        <v/>
      </c>
      <c r="AH42" s="181" t="str">
        <f>IFERROR(IF($AG$5="","",IF(F42&lt;&gt;"",(Input!BB43/Input!$BB$6)*100,"")),"NA")</f>
        <v/>
      </c>
      <c r="AI42" s="327" t="str">
        <f>IF(Input!BC43="Error","Error",IF(F42="","",IF($AA$5="",0,IF(F42&lt;&gt;"",IFERROR(AVERAGE(AB42,AD42,AF42,AH42)*$AI$4,0),""))))</f>
        <v/>
      </c>
      <c r="AJ42" s="179"/>
      <c r="AK42" s="184" t="str">
        <f>IF(Input!BD43="","",IF(F42&lt;&gt;"",Input!BD43,""))</f>
        <v/>
      </c>
      <c r="AL42" s="185" t="str">
        <f>IF(F42="", "",IF(Input!BE43="Error","Error",IF(ISNUMBER(Input!BE43),Input!BE43*$AL$4,"")))</f>
        <v/>
      </c>
      <c r="AM42" s="332" t="str">
        <f>IF(V42="D","Drp",
IF(F42&lt;&gt;"",
IF(OR(Y42="Error",AI42="Error",AL42="Error"),"Error",
IF(Input!BD43="","-",ROUND(Y42+AI42+AL42,2))),""))</f>
        <v/>
      </c>
      <c r="AN42" s="187" t="str">
        <f>IF(F42&lt;&gt;"",VLOOKUP(AM42,TRANSMUTATION!$A$2:$B$14,2),"")</f>
        <v/>
      </c>
      <c r="AO42" s="263" t="str">
        <f t="shared" si="3"/>
        <v/>
      </c>
      <c r="AP42" s="189"/>
      <c r="AT42" s="101"/>
    </row>
    <row r="43" spans="1:46" ht="15" customHeight="1" x14ac:dyDescent="0.2">
      <c r="A43" s="101"/>
      <c r="C43" s="268">
        <v>37</v>
      </c>
      <c r="D43" s="215" t="str">
        <f>IF(Input!D44&lt;&gt;"",IF(F43&lt;&gt;"",Input!D44,""),"")</f>
        <v/>
      </c>
      <c r="E43" s="321"/>
      <c r="F43" s="322" t="str">
        <f>(IF(Input!F44&lt;&gt;"",Input!F44,""))</f>
        <v/>
      </c>
      <c r="G43" s="18"/>
      <c r="H43" s="18"/>
      <c r="I43" s="18"/>
      <c r="J43" s="18"/>
      <c r="K43" s="18"/>
      <c r="L43" s="18"/>
      <c r="M43" s="18"/>
      <c r="N43" s="18"/>
      <c r="O43" s="18"/>
      <c r="P43" s="18"/>
      <c r="Q43" s="18"/>
      <c r="R43" s="18"/>
      <c r="S43" s="18"/>
      <c r="T43" s="18"/>
      <c r="U43" s="18"/>
      <c r="V43" s="21"/>
      <c r="W43" s="177"/>
      <c r="X43" s="178" t="str">
        <f>Input!AX44</f>
        <v/>
      </c>
      <c r="Y43" s="329" t="str">
        <f t="shared" si="2"/>
        <v/>
      </c>
      <c r="Z43" s="179"/>
      <c r="AA43" s="180" t="str">
        <f>IF(F43&lt;&gt;"",IF(Input!AY44&lt;&gt;"",Input!AY44,""),"")</f>
        <v/>
      </c>
      <c r="AB43" s="181" t="str">
        <f>IFERROR(IF($AA$5="","",IF(F43&lt;&gt;"",(Input!AY44/Input!$AY$6)*100,"")),"NA")</f>
        <v/>
      </c>
      <c r="AC43" s="182" t="str">
        <f>IF(F43&lt;&gt;"",IF(Input!AZ44&lt;&gt;"",Input!AZ44,""),"")</f>
        <v/>
      </c>
      <c r="AD43" s="181" t="str">
        <f>IFERROR(IF($AC$5="","",IF(F43&lt;&gt;"",(Input!AZ44/Input!$AZ$6)*100,"")),"NA")</f>
        <v/>
      </c>
      <c r="AE43" s="182" t="str">
        <f>IF(F43&lt;&gt;"",IF(Input!BA44&lt;&gt;"",Input!BA44,""),"")</f>
        <v/>
      </c>
      <c r="AF43" s="181" t="str">
        <f>IFERROR(IF($AE$5="","",IF(F43&lt;&gt;"",(Input!BA44/Input!$BA$6)*100,"")),"NA")</f>
        <v/>
      </c>
      <c r="AG43" s="183" t="str">
        <f>IF(F43&lt;&gt;"",IF(Input!BB44&lt;&gt;"",Input!BB44,""),"")</f>
        <v/>
      </c>
      <c r="AH43" s="181" t="str">
        <f>IFERROR(IF($AG$5="","",IF(F43&lt;&gt;"",(Input!BB44/Input!$BB$6)*100,"")),"NA")</f>
        <v/>
      </c>
      <c r="AI43" s="327" t="str">
        <f>IF(Input!BC44="Error","Error",IF(F43="","",IF($AA$5="",0,IF(F43&lt;&gt;"",IFERROR(AVERAGE(AB43,AD43,AF43,AH43)*$AI$4,0),""))))</f>
        <v/>
      </c>
      <c r="AJ43" s="179"/>
      <c r="AK43" s="184" t="str">
        <f>IF(Input!BD44="","",IF(F43&lt;&gt;"",Input!BD44,""))</f>
        <v/>
      </c>
      <c r="AL43" s="185" t="str">
        <f>IF(F43="", "",IF(Input!BE44="Error","Error",IF(ISNUMBER(Input!BE44),Input!BE44*$AL$4,"")))</f>
        <v/>
      </c>
      <c r="AM43" s="332" t="str">
        <f>IF(V43="D","Drp",
IF(F43&lt;&gt;"",
IF(OR(Y43="Error",AI43="Error",AL43="Error"),"Error",
IF(Input!BD44="","-",ROUND(Y43+AI43+AL43,2))),""))</f>
        <v/>
      </c>
      <c r="AN43" s="187" t="str">
        <f>IF(F43&lt;&gt;"",VLOOKUP(AM43,TRANSMUTATION!$A$2:$B$14,2),"")</f>
        <v/>
      </c>
      <c r="AO43" s="263" t="str">
        <f t="shared" si="3"/>
        <v/>
      </c>
      <c r="AP43" s="189"/>
      <c r="AT43" s="101"/>
    </row>
    <row r="44" spans="1:46" ht="15" customHeight="1" x14ac:dyDescent="0.2">
      <c r="A44" s="101"/>
      <c r="C44" s="268">
        <v>38</v>
      </c>
      <c r="D44" s="215" t="str">
        <f>IF(Input!D45&lt;&gt;"",IF(F44&lt;&gt;"",Input!D45,""),"")</f>
        <v/>
      </c>
      <c r="E44" s="321"/>
      <c r="F44" s="322" t="str">
        <f>(IF(Input!F45&lt;&gt;"",Input!F45,""))</f>
        <v/>
      </c>
      <c r="G44" s="18"/>
      <c r="H44" s="18"/>
      <c r="I44" s="18"/>
      <c r="J44" s="18"/>
      <c r="K44" s="18"/>
      <c r="L44" s="18"/>
      <c r="M44" s="18"/>
      <c r="N44" s="18"/>
      <c r="O44" s="18"/>
      <c r="P44" s="18"/>
      <c r="Q44" s="18"/>
      <c r="R44" s="18"/>
      <c r="S44" s="18"/>
      <c r="T44" s="18"/>
      <c r="U44" s="18"/>
      <c r="V44" s="21"/>
      <c r="W44" s="177"/>
      <c r="X44" s="178" t="str">
        <f>Input!AX45</f>
        <v/>
      </c>
      <c r="Y44" s="329" t="str">
        <f t="shared" si="2"/>
        <v/>
      </c>
      <c r="Z44" s="179"/>
      <c r="AA44" s="180" t="str">
        <f>IF(F44&lt;&gt;"",IF(Input!AY45&lt;&gt;"",Input!AY45,""),"")</f>
        <v/>
      </c>
      <c r="AB44" s="181" t="str">
        <f>IFERROR(IF($AA$5="","",IF(F44&lt;&gt;"",(Input!AY45/Input!$AY$6)*100,"")),"NA")</f>
        <v/>
      </c>
      <c r="AC44" s="182" t="str">
        <f>IF(F44&lt;&gt;"",IF(Input!AZ45&lt;&gt;"",Input!AZ45,""),"")</f>
        <v/>
      </c>
      <c r="AD44" s="181" t="str">
        <f>IFERROR(IF($AC$5="","",IF(F44&lt;&gt;"",(Input!AZ45/Input!$AZ$6)*100,"")),"NA")</f>
        <v/>
      </c>
      <c r="AE44" s="182" t="str">
        <f>IF(F44&lt;&gt;"",IF(Input!BA45&lt;&gt;"",Input!BA45,""),"")</f>
        <v/>
      </c>
      <c r="AF44" s="181" t="str">
        <f>IFERROR(IF($AE$5="","",IF(F44&lt;&gt;"",(Input!BA45/Input!$BA$6)*100,"")),"NA")</f>
        <v/>
      </c>
      <c r="AG44" s="183" t="str">
        <f>IF(F44&lt;&gt;"",IF(Input!BB45&lt;&gt;"",Input!BB45,""),"")</f>
        <v/>
      </c>
      <c r="AH44" s="181" t="str">
        <f>IFERROR(IF($AG$5="","",IF(F44&lt;&gt;"",(Input!BB45/Input!$BB$6)*100,"")),"NA")</f>
        <v/>
      </c>
      <c r="AI44" s="327" t="str">
        <f>IF(Input!BC45="Error","Error",IF(F44="","",IF($AA$5="",0,IF(F44&lt;&gt;"",IFERROR(AVERAGE(AB44,AD44,AF44,AH44)*$AI$4,0),""))))</f>
        <v/>
      </c>
      <c r="AJ44" s="179"/>
      <c r="AK44" s="184" t="str">
        <f>IF(Input!BD45="","",IF(F44&lt;&gt;"",Input!BD45,""))</f>
        <v/>
      </c>
      <c r="AL44" s="185" t="str">
        <f>IF(F44="", "",IF(Input!BE45="Error","Error",IF(ISNUMBER(Input!BE45),Input!BE45*$AL$4,"")))</f>
        <v/>
      </c>
      <c r="AM44" s="332" t="str">
        <f>IF(V44="D","Drp",
IF(F44&lt;&gt;"",
IF(OR(Y44="Error",AI44="Error",AL44="Error"),"Error",
IF(Input!BD45="","-",ROUND(Y44+AI44+AL44,2))),""))</f>
        <v/>
      </c>
      <c r="AN44" s="187" t="str">
        <f>IF(F44&lt;&gt;"",VLOOKUP(AM44,TRANSMUTATION!$A$2:$B$14,2),"")</f>
        <v/>
      </c>
      <c r="AO44" s="263" t="str">
        <f t="shared" si="3"/>
        <v/>
      </c>
      <c r="AP44" s="189"/>
      <c r="AT44" s="101"/>
    </row>
    <row r="45" spans="1:46" ht="15" customHeight="1" x14ac:dyDescent="0.2">
      <c r="A45" s="101"/>
      <c r="C45" s="268">
        <v>39</v>
      </c>
      <c r="D45" s="215" t="str">
        <f>IF(Input!D46&lt;&gt;"",IF(F45&lt;&gt;"",Input!D46,""),"")</f>
        <v/>
      </c>
      <c r="E45" s="321"/>
      <c r="F45" s="322" t="str">
        <f>(IF(Input!F46&lt;&gt;"",Input!F46,""))</f>
        <v/>
      </c>
      <c r="G45" s="18"/>
      <c r="H45" s="18"/>
      <c r="I45" s="18"/>
      <c r="J45" s="18"/>
      <c r="K45" s="18"/>
      <c r="L45" s="18"/>
      <c r="M45" s="18"/>
      <c r="N45" s="18"/>
      <c r="O45" s="18"/>
      <c r="P45" s="18"/>
      <c r="Q45" s="18"/>
      <c r="R45" s="18"/>
      <c r="S45" s="18"/>
      <c r="T45" s="18"/>
      <c r="U45" s="18"/>
      <c r="V45" s="21"/>
      <c r="W45" s="177"/>
      <c r="X45" s="178" t="str">
        <f>Input!AX46</f>
        <v/>
      </c>
      <c r="Y45" s="329" t="str">
        <f t="shared" si="2"/>
        <v/>
      </c>
      <c r="Z45" s="179"/>
      <c r="AA45" s="180" t="str">
        <f>IF(F45&lt;&gt;"",IF(Input!AY46&lt;&gt;"",Input!AY46,""),"")</f>
        <v/>
      </c>
      <c r="AB45" s="181" t="str">
        <f>IFERROR(IF($AA$5="","",IF(F45&lt;&gt;"",(Input!AY46/Input!$AY$6)*100,"")),"NA")</f>
        <v/>
      </c>
      <c r="AC45" s="182" t="str">
        <f>IF(F45&lt;&gt;"",IF(Input!AZ46&lt;&gt;"",Input!AZ46,""),"")</f>
        <v/>
      </c>
      <c r="AD45" s="181" t="str">
        <f>IFERROR(IF($AC$5="","",IF(F45&lt;&gt;"",(Input!AZ46/Input!$AZ$6)*100,"")),"NA")</f>
        <v/>
      </c>
      <c r="AE45" s="182" t="str">
        <f>IF(F45&lt;&gt;"",IF(Input!BA46&lt;&gt;"",Input!BA46,""),"")</f>
        <v/>
      </c>
      <c r="AF45" s="181" t="str">
        <f>IFERROR(IF($AE$5="","",IF(F45&lt;&gt;"",(Input!BA46/Input!$BA$6)*100,"")),"NA")</f>
        <v/>
      </c>
      <c r="AG45" s="183" t="str">
        <f>IF(F45&lt;&gt;"",IF(Input!BB46&lt;&gt;"",Input!BB46,""),"")</f>
        <v/>
      </c>
      <c r="AH45" s="181" t="str">
        <f>IFERROR(IF($AG$5="","",IF(F45&lt;&gt;"",(Input!BB46/Input!$BB$6)*100,"")),"NA")</f>
        <v/>
      </c>
      <c r="AI45" s="327" t="str">
        <f>IF(Input!BC46="Error","Error",IF(F45="","",IF($AA$5="",0,IF(F45&lt;&gt;"",IFERROR(AVERAGE(AB45,AD45,AF45,AH45)*$AI$4,0),""))))</f>
        <v/>
      </c>
      <c r="AJ45" s="179"/>
      <c r="AK45" s="184" t="str">
        <f>IF(Input!BD46="","",IF(F45&lt;&gt;"",Input!BD46,""))</f>
        <v/>
      </c>
      <c r="AL45" s="185" t="str">
        <f>IF(F45="", "",IF(Input!BE46="Error","Error",IF(ISNUMBER(Input!BE46),Input!BE46*$AL$4,"")))</f>
        <v/>
      </c>
      <c r="AM45" s="332" t="str">
        <f>IF(V45="D","Drp",
IF(F45&lt;&gt;"",
IF(OR(Y45="Error",AI45="Error",AL45="Error"),"Error",
IF(Input!BD46="","-",ROUND(Y45+AI45+AL45,2))),""))</f>
        <v/>
      </c>
      <c r="AN45" s="187" t="str">
        <f>IF(F45&lt;&gt;"",VLOOKUP(AM45,TRANSMUTATION!$A$2:$B$14,2),"")</f>
        <v/>
      </c>
      <c r="AO45" s="263" t="str">
        <f t="shared" si="3"/>
        <v/>
      </c>
      <c r="AP45" s="189"/>
      <c r="AT45" s="101"/>
    </row>
    <row r="46" spans="1:46" ht="15" customHeight="1" x14ac:dyDescent="0.2">
      <c r="A46" s="101"/>
      <c r="C46" s="268">
        <v>40</v>
      </c>
      <c r="D46" s="215" t="str">
        <f>IF(Input!D47&lt;&gt;"",IF(F46&lt;&gt;"",Input!D47,""),"")</f>
        <v/>
      </c>
      <c r="E46" s="321"/>
      <c r="F46" s="322" t="str">
        <f>(IF(Input!F47&lt;&gt;"",Input!F47,""))</f>
        <v/>
      </c>
      <c r="G46" s="18"/>
      <c r="H46" s="18"/>
      <c r="I46" s="18"/>
      <c r="J46" s="18"/>
      <c r="K46" s="18"/>
      <c r="L46" s="18"/>
      <c r="M46" s="18"/>
      <c r="N46" s="18"/>
      <c r="O46" s="18"/>
      <c r="P46" s="18"/>
      <c r="Q46" s="18"/>
      <c r="R46" s="18"/>
      <c r="S46" s="18"/>
      <c r="T46" s="18"/>
      <c r="U46" s="18"/>
      <c r="V46" s="21"/>
      <c r="W46" s="177"/>
      <c r="X46" s="178" t="str">
        <f>Input!AX47</f>
        <v/>
      </c>
      <c r="Y46" s="329" t="str">
        <f t="shared" si="2"/>
        <v/>
      </c>
      <c r="Z46" s="179"/>
      <c r="AA46" s="180" t="str">
        <f>IF(F46&lt;&gt;"",IF(Input!AY47&lt;&gt;"",Input!AY47,""),"")</f>
        <v/>
      </c>
      <c r="AB46" s="181" t="str">
        <f>IFERROR(IF($AA$5="","",IF(F46&lt;&gt;"",(Input!AY47/Input!$AY$6)*100,"")),"NA")</f>
        <v/>
      </c>
      <c r="AC46" s="182" t="str">
        <f>IF(F46&lt;&gt;"",IF(Input!AZ47&lt;&gt;"",Input!AZ47,""),"")</f>
        <v/>
      </c>
      <c r="AD46" s="181" t="str">
        <f>IFERROR(IF($AC$5="","",IF(F46&lt;&gt;"",(Input!AZ47/Input!$AZ$6)*100,"")),"NA")</f>
        <v/>
      </c>
      <c r="AE46" s="182" t="str">
        <f>IF(F46&lt;&gt;"",IF(Input!BA47&lt;&gt;"",Input!BA47,""),"")</f>
        <v/>
      </c>
      <c r="AF46" s="181" t="str">
        <f>IFERROR(IF($AE$5="","",IF(F46&lt;&gt;"",(Input!BA47/Input!$BA$6)*100,"")),"NA")</f>
        <v/>
      </c>
      <c r="AG46" s="183" t="str">
        <f>IF(F46&lt;&gt;"",IF(Input!BB47&lt;&gt;"",Input!BB47,""),"")</f>
        <v/>
      </c>
      <c r="AH46" s="181" t="str">
        <f>IFERROR(IF($AG$5="","",IF(F46&lt;&gt;"",(Input!BB47/Input!$BB$6)*100,"")),"NA")</f>
        <v/>
      </c>
      <c r="AI46" s="327" t="str">
        <f>IF(Input!BC47="Error","Error",IF(F46="","",IF($AA$5="",0,IF(F46&lt;&gt;"",IFERROR(AVERAGE(AB46,AD46,AF46,AH46)*$AI$4,0),""))))</f>
        <v/>
      </c>
      <c r="AJ46" s="179"/>
      <c r="AK46" s="184" t="str">
        <f>IF(Input!BD47="","",IF(F46&lt;&gt;"",Input!BD47,""))</f>
        <v/>
      </c>
      <c r="AL46" s="185" t="str">
        <f>IF(F46="", "",IF(Input!BE47="Error","Error",IF(ISNUMBER(Input!BE47),Input!BE47*$AL$4,"")))</f>
        <v/>
      </c>
      <c r="AM46" s="332" t="str">
        <f>IF(V46="D","Drp",
IF(F46&lt;&gt;"",
IF(OR(Y46="Error",AI46="Error",AL46="Error"),"Error",
IF(Input!BD47="","-",ROUND(Y46+AI46+AL46,2))),""))</f>
        <v/>
      </c>
      <c r="AN46" s="187" t="str">
        <f>IF(F46&lt;&gt;"",VLOOKUP(AM46,TRANSMUTATION!$A$2:$B$14,2),"")</f>
        <v/>
      </c>
      <c r="AO46" s="263" t="str">
        <f t="shared" si="3"/>
        <v/>
      </c>
      <c r="AP46" s="189"/>
      <c r="AT46" s="101"/>
    </row>
    <row r="47" spans="1:46" ht="15" customHeight="1" x14ac:dyDescent="0.2">
      <c r="A47" s="101"/>
      <c r="C47" s="268">
        <v>41</v>
      </c>
      <c r="D47" s="215" t="str">
        <f>IF(Input!D48&lt;&gt;"",IF(F47&lt;&gt;"",Input!D48,""),"")</f>
        <v/>
      </c>
      <c r="E47" s="321"/>
      <c r="F47" s="322" t="str">
        <f>(IF(Input!F48&lt;&gt;"",Input!F48,""))</f>
        <v/>
      </c>
      <c r="G47" s="18"/>
      <c r="H47" s="18"/>
      <c r="I47" s="18"/>
      <c r="J47" s="18"/>
      <c r="K47" s="18"/>
      <c r="L47" s="18"/>
      <c r="M47" s="18"/>
      <c r="N47" s="18"/>
      <c r="O47" s="18"/>
      <c r="P47" s="18"/>
      <c r="Q47" s="18"/>
      <c r="R47" s="18"/>
      <c r="S47" s="18"/>
      <c r="T47" s="18"/>
      <c r="U47" s="18"/>
      <c r="V47" s="21"/>
      <c r="W47" s="177"/>
      <c r="X47" s="178" t="str">
        <f>Input!AX48</f>
        <v/>
      </c>
      <c r="Y47" s="329" t="str">
        <f t="shared" si="2"/>
        <v/>
      </c>
      <c r="Z47" s="179"/>
      <c r="AA47" s="180" t="str">
        <f>IF(F47&lt;&gt;"",IF(Input!AY48&lt;&gt;"",Input!AY48,""),"")</f>
        <v/>
      </c>
      <c r="AB47" s="181" t="str">
        <f>IFERROR(IF($AA$5="","",IF(F47&lt;&gt;"",(Input!AY48/Input!$AY$6)*100,"")),"NA")</f>
        <v/>
      </c>
      <c r="AC47" s="182" t="str">
        <f>IF(F47&lt;&gt;"",IF(Input!AZ48&lt;&gt;"",Input!AZ48,""),"")</f>
        <v/>
      </c>
      <c r="AD47" s="181" t="str">
        <f>IFERROR(IF($AC$5="","",IF(F47&lt;&gt;"",(Input!AZ48/Input!$AZ$6)*100,"")),"NA")</f>
        <v/>
      </c>
      <c r="AE47" s="182" t="str">
        <f>IF(F47&lt;&gt;"",IF(Input!BA48&lt;&gt;"",Input!BA48,""),"")</f>
        <v/>
      </c>
      <c r="AF47" s="181" t="str">
        <f>IFERROR(IF($AE$5="","",IF(F47&lt;&gt;"",(Input!BA48/Input!$BA$6)*100,"")),"NA")</f>
        <v/>
      </c>
      <c r="AG47" s="183" t="str">
        <f>IF(F47&lt;&gt;"",IF(Input!BB48&lt;&gt;"",Input!BB48,""),"")</f>
        <v/>
      </c>
      <c r="AH47" s="181" t="str">
        <f>IFERROR(IF($AG$5="","",IF(F47&lt;&gt;"",(Input!BB48/Input!$BB$6)*100,"")),"NA")</f>
        <v/>
      </c>
      <c r="AI47" s="327" t="str">
        <f>IF(Input!BC48="Error","Error",IF(F47="","",IF($AA$5="",0,IF(F47&lt;&gt;"",IFERROR(AVERAGE(AB47,AD47,AF47,AH47)*$AI$4,0),""))))</f>
        <v/>
      </c>
      <c r="AJ47" s="179"/>
      <c r="AK47" s="184" t="str">
        <f>IF(Input!BD48="","",IF(F47&lt;&gt;"",Input!BD48,""))</f>
        <v/>
      </c>
      <c r="AL47" s="185" t="str">
        <f>IF(F47="", "",IF(Input!BE48="Error","Error",IF(ISNUMBER(Input!BE48),Input!BE48*$AL$4,"")))</f>
        <v/>
      </c>
      <c r="AM47" s="332" t="str">
        <f>IF(V47="D","Drp",
IF(F47&lt;&gt;"",
IF(OR(Y47="Error",AI47="Error",AL47="Error"),"Error",
IF(Input!BD48="","-",ROUND(Y47+AI47+AL47,2))),""))</f>
        <v/>
      </c>
      <c r="AN47" s="187" t="str">
        <f>IF(F47&lt;&gt;"",VLOOKUP(AM47,TRANSMUTATION!$A$2:$B$14,2),"")</f>
        <v/>
      </c>
      <c r="AO47" s="263" t="str">
        <f t="shared" si="3"/>
        <v/>
      </c>
      <c r="AP47" s="189"/>
      <c r="AT47" s="101"/>
    </row>
    <row r="48" spans="1:46" ht="15" customHeight="1" x14ac:dyDescent="0.2">
      <c r="A48" s="101"/>
      <c r="C48" s="268">
        <v>42</v>
      </c>
      <c r="D48" s="215" t="str">
        <f>IF(Input!D49&lt;&gt;"",IF(F48&lt;&gt;"",Input!D49,""),"")</f>
        <v/>
      </c>
      <c r="E48" s="321"/>
      <c r="F48" s="322" t="str">
        <f>(IF(Input!F49&lt;&gt;"",Input!F49,""))</f>
        <v/>
      </c>
      <c r="G48" s="18"/>
      <c r="H48" s="18"/>
      <c r="I48" s="18"/>
      <c r="J48" s="18"/>
      <c r="K48" s="18"/>
      <c r="L48" s="18"/>
      <c r="M48" s="18"/>
      <c r="N48" s="18"/>
      <c r="O48" s="18"/>
      <c r="P48" s="18"/>
      <c r="Q48" s="18"/>
      <c r="R48" s="18"/>
      <c r="S48" s="18"/>
      <c r="T48" s="18"/>
      <c r="U48" s="18"/>
      <c r="V48" s="21"/>
      <c r="W48" s="177"/>
      <c r="X48" s="178" t="str">
        <f>Input!AX49</f>
        <v/>
      </c>
      <c r="Y48" s="329" t="str">
        <f t="shared" si="2"/>
        <v/>
      </c>
      <c r="Z48" s="179"/>
      <c r="AA48" s="180" t="str">
        <f>IF(F48&lt;&gt;"",IF(Input!AY49&lt;&gt;"",Input!AY49,""),"")</f>
        <v/>
      </c>
      <c r="AB48" s="181" t="str">
        <f>IFERROR(IF($AA$5="","",IF(F48&lt;&gt;"",(Input!AY49/Input!$AY$6)*100,"")),"NA")</f>
        <v/>
      </c>
      <c r="AC48" s="182" t="str">
        <f>IF(F48&lt;&gt;"",IF(Input!AZ49&lt;&gt;"",Input!AZ49,""),"")</f>
        <v/>
      </c>
      <c r="AD48" s="181" t="str">
        <f>IFERROR(IF($AC$5="","",IF(F48&lt;&gt;"",(Input!AZ49/Input!$AZ$6)*100,"")),"NA")</f>
        <v/>
      </c>
      <c r="AE48" s="182" t="str">
        <f>IF(F48&lt;&gt;"",IF(Input!BA49&lt;&gt;"",Input!BA49,""),"")</f>
        <v/>
      </c>
      <c r="AF48" s="181" t="str">
        <f>IFERROR(IF($AE$5="","",IF(F48&lt;&gt;"",(Input!BA49/Input!$BA$6)*100,"")),"NA")</f>
        <v/>
      </c>
      <c r="AG48" s="183" t="str">
        <f>IF(F48&lt;&gt;"",IF(Input!BB49&lt;&gt;"",Input!BB49,""),"")</f>
        <v/>
      </c>
      <c r="AH48" s="181" t="str">
        <f>IFERROR(IF($AG$5="","",IF(F48&lt;&gt;"",(Input!BB49/Input!$BB$6)*100,"")),"NA")</f>
        <v/>
      </c>
      <c r="AI48" s="327" t="str">
        <f>IF(Input!BC49="Error","Error",IF(F48="","",IF($AA$5="",0,IF(F48&lt;&gt;"",IFERROR(AVERAGE(AB48,AD48,AF48,AH48)*$AI$4,0),""))))</f>
        <v/>
      </c>
      <c r="AJ48" s="179"/>
      <c r="AK48" s="184" t="str">
        <f>IF(Input!BD49="","",IF(F48&lt;&gt;"",Input!BD49,""))</f>
        <v/>
      </c>
      <c r="AL48" s="185" t="str">
        <f>IF(F48="", "",IF(Input!BE49="Error","Error",IF(ISNUMBER(Input!BE49),Input!BE49*$AL$4,"")))</f>
        <v/>
      </c>
      <c r="AM48" s="332" t="str">
        <f>IF(V48="D","Drp",
IF(F48&lt;&gt;"",
IF(OR(Y48="Error",AI48="Error",AL48="Error"),"Error",
IF(Input!BD49="","-",ROUND(Y48+AI48+AL48,2))),""))</f>
        <v/>
      </c>
      <c r="AN48" s="187" t="str">
        <f>IF(F48&lt;&gt;"",VLOOKUP(AM48,TRANSMUTATION!$A$2:$B$14,2),"")</f>
        <v/>
      </c>
      <c r="AO48" s="263" t="str">
        <f t="shared" si="3"/>
        <v/>
      </c>
      <c r="AP48" s="189"/>
      <c r="AT48" s="101"/>
    </row>
    <row r="49" spans="1:46" ht="15" customHeight="1" x14ac:dyDescent="0.2">
      <c r="A49" s="101"/>
      <c r="C49" s="268">
        <v>43</v>
      </c>
      <c r="D49" s="215" t="str">
        <f>IF(Input!D50&lt;&gt;"",IF(F49&lt;&gt;"",Input!D50,""),"")</f>
        <v/>
      </c>
      <c r="E49" s="321"/>
      <c r="F49" s="322" t="str">
        <f>(IF(Input!F50&lt;&gt;"",Input!F50,""))</f>
        <v/>
      </c>
      <c r="G49" s="18"/>
      <c r="H49" s="18"/>
      <c r="I49" s="18"/>
      <c r="J49" s="18"/>
      <c r="K49" s="18"/>
      <c r="L49" s="18"/>
      <c r="M49" s="18"/>
      <c r="N49" s="18"/>
      <c r="O49" s="18"/>
      <c r="P49" s="18"/>
      <c r="Q49" s="18"/>
      <c r="R49" s="18"/>
      <c r="S49" s="18"/>
      <c r="T49" s="18"/>
      <c r="U49" s="18"/>
      <c r="V49" s="21"/>
      <c r="W49" s="177"/>
      <c r="X49" s="178" t="str">
        <f>Input!AX50</f>
        <v/>
      </c>
      <c r="Y49" s="329" t="str">
        <f t="shared" si="2"/>
        <v/>
      </c>
      <c r="Z49" s="179"/>
      <c r="AA49" s="180" t="str">
        <f>IF(F49&lt;&gt;"",IF(Input!AY50&lt;&gt;"",Input!AY50,""),"")</f>
        <v/>
      </c>
      <c r="AB49" s="181" t="str">
        <f>IFERROR(IF($AA$5="","",IF(F49&lt;&gt;"",(Input!AY50/Input!$AY$6)*100,"")),"NA")</f>
        <v/>
      </c>
      <c r="AC49" s="182" t="str">
        <f>IF(F49&lt;&gt;"",IF(Input!AZ50&lt;&gt;"",Input!AZ50,""),"")</f>
        <v/>
      </c>
      <c r="AD49" s="181" t="str">
        <f>IFERROR(IF($AC$5="","",IF(F49&lt;&gt;"",(Input!AZ50/Input!$AZ$6)*100,"")),"NA")</f>
        <v/>
      </c>
      <c r="AE49" s="182" t="str">
        <f>IF(F49&lt;&gt;"",IF(Input!BA50&lt;&gt;"",Input!BA50,""),"")</f>
        <v/>
      </c>
      <c r="AF49" s="181" t="str">
        <f>IFERROR(IF($AE$5="","",IF(F49&lt;&gt;"",(Input!BA50/Input!$BA$6)*100,"")),"NA")</f>
        <v/>
      </c>
      <c r="AG49" s="183" t="str">
        <f>IF(F49&lt;&gt;"",IF(Input!BB50&lt;&gt;"",Input!BB50,""),"")</f>
        <v/>
      </c>
      <c r="AH49" s="181" t="str">
        <f>IFERROR(IF($AG$5="","",IF(F49&lt;&gt;"",(Input!BB50/Input!$BB$6)*100,"")),"NA")</f>
        <v/>
      </c>
      <c r="AI49" s="327" t="str">
        <f>IF(Input!BC50="Error","Error",IF(F49="","",IF($AA$5="",0,IF(F49&lt;&gt;"",IFERROR(AVERAGE(AB49,AD49,AF49,AH49)*$AI$4,0),""))))</f>
        <v/>
      </c>
      <c r="AJ49" s="179"/>
      <c r="AK49" s="184" t="str">
        <f>IF(Input!BD50="","",IF(F49&lt;&gt;"",Input!BD50,""))</f>
        <v/>
      </c>
      <c r="AL49" s="185" t="str">
        <f>IF(F49="", "",IF(Input!BE50="Error","Error",IF(ISNUMBER(Input!BE50),Input!BE50*$AL$4,"")))</f>
        <v/>
      </c>
      <c r="AM49" s="332" t="str">
        <f>IF(V49="D","Drp",
IF(F49&lt;&gt;"",
IF(OR(Y49="Error",AI49="Error",AL49="Error"),"Error",
IF(Input!BD50="","-",ROUND(Y49+AI49+AL49,2))),""))</f>
        <v/>
      </c>
      <c r="AN49" s="187" t="str">
        <f>IF(F49&lt;&gt;"",VLOOKUP(AM49,TRANSMUTATION!$A$2:$B$14,2),"")</f>
        <v/>
      </c>
      <c r="AO49" s="263" t="str">
        <f t="shared" si="3"/>
        <v/>
      </c>
      <c r="AP49" s="189"/>
      <c r="AT49" s="101"/>
    </row>
    <row r="50" spans="1:46" ht="15" customHeight="1" x14ac:dyDescent="0.2">
      <c r="A50" s="101"/>
      <c r="C50" s="268">
        <v>44</v>
      </c>
      <c r="D50" s="215" t="str">
        <f>IF(Input!D51&lt;&gt;"",IF(F50&lt;&gt;"",Input!D51,""),"")</f>
        <v/>
      </c>
      <c r="E50" s="321"/>
      <c r="F50" s="322" t="str">
        <f>(IF(Input!F51&lt;&gt;"",Input!F51,""))</f>
        <v/>
      </c>
      <c r="G50" s="18"/>
      <c r="H50" s="18"/>
      <c r="I50" s="18"/>
      <c r="J50" s="18"/>
      <c r="K50" s="18"/>
      <c r="L50" s="18"/>
      <c r="M50" s="18"/>
      <c r="N50" s="18"/>
      <c r="O50" s="18"/>
      <c r="P50" s="18"/>
      <c r="Q50" s="18"/>
      <c r="R50" s="18"/>
      <c r="S50" s="18"/>
      <c r="T50" s="18"/>
      <c r="U50" s="18"/>
      <c r="V50" s="21"/>
      <c r="W50" s="177"/>
      <c r="X50" s="178" t="str">
        <f>Input!AX51</f>
        <v/>
      </c>
      <c r="Y50" s="329" t="str">
        <f t="shared" si="2"/>
        <v/>
      </c>
      <c r="Z50" s="179"/>
      <c r="AA50" s="180" t="str">
        <f>IF(F50&lt;&gt;"",IF(Input!AY51&lt;&gt;"",Input!AY51,""),"")</f>
        <v/>
      </c>
      <c r="AB50" s="181" t="str">
        <f>IFERROR(IF($AA$5="","",IF(F50&lt;&gt;"",(Input!AY51/Input!$AY$6)*100,"")),"NA")</f>
        <v/>
      </c>
      <c r="AC50" s="182" t="str">
        <f>IF(F50&lt;&gt;"",IF(Input!AZ51&lt;&gt;"",Input!AZ51,""),"")</f>
        <v/>
      </c>
      <c r="AD50" s="181" t="str">
        <f>IFERROR(IF($AC$5="","",IF(F50&lt;&gt;"",(Input!AZ51/Input!$AZ$6)*100,"")),"NA")</f>
        <v/>
      </c>
      <c r="AE50" s="182" t="str">
        <f>IF(F50&lt;&gt;"",IF(Input!BA51&lt;&gt;"",Input!BA51,""),"")</f>
        <v/>
      </c>
      <c r="AF50" s="181" t="str">
        <f>IFERROR(IF($AE$5="","",IF(F50&lt;&gt;"",(Input!BA51/Input!$BA$6)*100,"")),"NA")</f>
        <v/>
      </c>
      <c r="AG50" s="183" t="str">
        <f>IF(F50&lt;&gt;"",IF(Input!BB51&lt;&gt;"",Input!BB51,""),"")</f>
        <v/>
      </c>
      <c r="AH50" s="181" t="str">
        <f>IFERROR(IF($AG$5="","",IF(F50&lt;&gt;"",(Input!BB51/Input!$BB$6)*100,"")),"NA")</f>
        <v/>
      </c>
      <c r="AI50" s="327" t="str">
        <f>IF(Input!BC51="Error","Error",IF(F50="","",IF($AA$5="",0,IF(F50&lt;&gt;"",IFERROR(AVERAGE(AB50,AD50,AF50,AH50)*$AI$4,0),""))))</f>
        <v/>
      </c>
      <c r="AJ50" s="179"/>
      <c r="AK50" s="184" t="str">
        <f>IF(Input!BD51="","",IF(F50&lt;&gt;"",Input!BD51,""))</f>
        <v/>
      </c>
      <c r="AL50" s="185" t="str">
        <f>IF(F50="", "",IF(Input!BE51="Error","Error",IF(ISNUMBER(Input!BE51),Input!BE51*$AL$4,"")))</f>
        <v/>
      </c>
      <c r="AM50" s="332" t="str">
        <f>IF(V50="D","Drp",
IF(F50&lt;&gt;"",
IF(OR(Y50="Error",AI50="Error",AL50="Error"),"Error",
IF(Input!BD51="","-",ROUND(Y50+AI50+AL50,2))),""))</f>
        <v/>
      </c>
      <c r="AN50" s="187" t="str">
        <f>IF(F50&lt;&gt;"",VLOOKUP(AM50,TRANSMUTATION!$A$2:$B$14,2),"")</f>
        <v/>
      </c>
      <c r="AO50" s="263" t="str">
        <f t="shared" si="3"/>
        <v/>
      </c>
      <c r="AP50" s="189"/>
      <c r="AT50" s="101"/>
    </row>
    <row r="51" spans="1:46" ht="15" customHeight="1" x14ac:dyDescent="0.2">
      <c r="A51" s="101"/>
      <c r="C51" s="268">
        <v>45</v>
      </c>
      <c r="D51" s="215" t="str">
        <f>IF(Input!D52&lt;&gt;"",IF(F51&lt;&gt;"",Input!D52,""),"")</f>
        <v/>
      </c>
      <c r="E51" s="321"/>
      <c r="F51" s="322" t="str">
        <f>(IF(Input!F52&lt;&gt;"",Input!F52,""))</f>
        <v/>
      </c>
      <c r="G51" s="18"/>
      <c r="H51" s="18"/>
      <c r="I51" s="18"/>
      <c r="J51" s="18"/>
      <c r="K51" s="18"/>
      <c r="L51" s="18"/>
      <c r="M51" s="18"/>
      <c r="N51" s="18"/>
      <c r="O51" s="18"/>
      <c r="P51" s="18"/>
      <c r="Q51" s="18"/>
      <c r="R51" s="18"/>
      <c r="S51" s="18"/>
      <c r="T51" s="18"/>
      <c r="U51" s="18"/>
      <c r="V51" s="21"/>
      <c r="W51" s="177"/>
      <c r="X51" s="178" t="str">
        <f>Input!AX52</f>
        <v/>
      </c>
      <c r="Y51" s="329" t="str">
        <f t="shared" si="2"/>
        <v/>
      </c>
      <c r="Z51" s="179"/>
      <c r="AA51" s="180" t="str">
        <f>IF(F51&lt;&gt;"",IF(Input!AY52&lt;&gt;"",Input!AY52,""),"")</f>
        <v/>
      </c>
      <c r="AB51" s="181" t="str">
        <f>IFERROR(IF($AA$5="","",IF(F51&lt;&gt;"",(Input!AY52/Input!$AY$6)*100,"")),"NA")</f>
        <v/>
      </c>
      <c r="AC51" s="182" t="str">
        <f>IF(F51&lt;&gt;"",IF(Input!AZ52&lt;&gt;"",Input!AZ52,""),"")</f>
        <v/>
      </c>
      <c r="AD51" s="181" t="str">
        <f>IFERROR(IF($AC$5="","",IF(F51&lt;&gt;"",(Input!AZ52/Input!$AZ$6)*100,"")),"NA")</f>
        <v/>
      </c>
      <c r="AE51" s="182" t="str">
        <f>IF(F51&lt;&gt;"",IF(Input!BA52&lt;&gt;"",Input!BA52,""),"")</f>
        <v/>
      </c>
      <c r="AF51" s="181" t="str">
        <f>IFERROR(IF($AE$5="","",IF(F51&lt;&gt;"",(Input!BA52/Input!$BA$6)*100,"")),"NA")</f>
        <v/>
      </c>
      <c r="AG51" s="183" t="str">
        <f>IF(F51&lt;&gt;"",IF(Input!BB52&lt;&gt;"",Input!BB52,""),"")</f>
        <v/>
      </c>
      <c r="AH51" s="181" t="str">
        <f>IFERROR(IF($AG$5="","",IF(F51&lt;&gt;"",(Input!BB52/Input!$BB$6)*100,"")),"NA")</f>
        <v/>
      </c>
      <c r="AI51" s="327" t="str">
        <f>IF(Input!BC52="Error","Error",IF(F51="","",IF($AA$5="",0,IF(F51&lt;&gt;"",IFERROR(AVERAGE(AB51,AD51,AF51,AH51)*$AI$4,0),""))))</f>
        <v/>
      </c>
      <c r="AJ51" s="179"/>
      <c r="AK51" s="184" t="str">
        <f>IF(Input!BD52="","",IF(F51&lt;&gt;"",Input!BD52,""))</f>
        <v/>
      </c>
      <c r="AL51" s="185" t="str">
        <f>IF(F51="", "",IF(Input!BE52="Error","Error",IF(ISNUMBER(Input!BE52),Input!BE52*$AL$4,"")))</f>
        <v/>
      </c>
      <c r="AM51" s="332" t="str">
        <f>IF(V51="D","Drp",
IF(F51&lt;&gt;"",
IF(OR(Y51="Error",AI51="Error",AL51="Error"),"Error",
IF(Input!BD52="","-",ROUND(Y51+AI51+AL51,2))),""))</f>
        <v/>
      </c>
      <c r="AN51" s="187" t="str">
        <f>IF(F51&lt;&gt;"",VLOOKUP(AM51,TRANSMUTATION!$A$2:$B$14,2),"")</f>
        <v/>
      </c>
      <c r="AO51" s="263" t="str">
        <f t="shared" si="3"/>
        <v/>
      </c>
      <c r="AP51" s="189"/>
      <c r="AT51" s="101"/>
    </row>
    <row r="52" spans="1:46" ht="15" customHeight="1" x14ac:dyDescent="0.2">
      <c r="A52" s="101"/>
      <c r="C52" s="268">
        <v>46</v>
      </c>
      <c r="D52" s="215" t="str">
        <f>IF(Input!D53&lt;&gt;"",IF(F52&lt;&gt;"",Input!D53,""),"")</f>
        <v/>
      </c>
      <c r="E52" s="321"/>
      <c r="F52" s="322" t="str">
        <f>(IF(Input!F53&lt;&gt;"",Input!F53,""))</f>
        <v/>
      </c>
      <c r="G52" s="18"/>
      <c r="H52" s="18"/>
      <c r="I52" s="18"/>
      <c r="J52" s="18"/>
      <c r="K52" s="18"/>
      <c r="L52" s="18"/>
      <c r="M52" s="18"/>
      <c r="N52" s="18"/>
      <c r="O52" s="18"/>
      <c r="P52" s="18"/>
      <c r="Q52" s="18"/>
      <c r="R52" s="18"/>
      <c r="S52" s="18"/>
      <c r="T52" s="18"/>
      <c r="U52" s="18"/>
      <c r="V52" s="21"/>
      <c r="W52" s="177"/>
      <c r="X52" s="178" t="str">
        <f>Input!AX53</f>
        <v/>
      </c>
      <c r="Y52" s="329" t="str">
        <f t="shared" si="2"/>
        <v/>
      </c>
      <c r="Z52" s="179"/>
      <c r="AA52" s="180" t="str">
        <f>IF(F52&lt;&gt;"",IF(Input!AY53&lt;&gt;"",Input!AY53,""),"")</f>
        <v/>
      </c>
      <c r="AB52" s="181" t="str">
        <f>IFERROR(IF($AA$5="","",IF(F52&lt;&gt;"",(Input!AY53/Input!$AY$6)*100,"")),"NA")</f>
        <v/>
      </c>
      <c r="AC52" s="182" t="str">
        <f>IF(F52&lt;&gt;"",IF(Input!AZ53&lt;&gt;"",Input!AZ53,""),"")</f>
        <v/>
      </c>
      <c r="AD52" s="181" t="str">
        <f>IFERROR(IF($AC$5="","",IF(F52&lt;&gt;"",(Input!AZ53/Input!$AZ$6)*100,"")),"NA")</f>
        <v/>
      </c>
      <c r="AE52" s="182" t="str">
        <f>IF(F52&lt;&gt;"",IF(Input!BA53&lt;&gt;"",Input!BA53,""),"")</f>
        <v/>
      </c>
      <c r="AF52" s="181" t="str">
        <f>IFERROR(IF($AE$5="","",IF(F52&lt;&gt;"",(Input!BA53/Input!$BA$6)*100,"")),"NA")</f>
        <v/>
      </c>
      <c r="AG52" s="183" t="str">
        <f>IF(F52&lt;&gt;"",IF(Input!BB53&lt;&gt;"",Input!BB53,""),"")</f>
        <v/>
      </c>
      <c r="AH52" s="181" t="str">
        <f>IFERROR(IF($AG$5="","",IF(F52&lt;&gt;"",(Input!BB53/Input!$BB$6)*100,"")),"NA")</f>
        <v/>
      </c>
      <c r="AI52" s="327" t="str">
        <f>IF(Input!BC53="Error","Error",IF(F52="","",IF($AA$5="",0,IF(F52&lt;&gt;"",IFERROR(AVERAGE(AB52,AD52,AF52,AH52)*$AI$4,0),""))))</f>
        <v/>
      </c>
      <c r="AJ52" s="179"/>
      <c r="AK52" s="184" t="str">
        <f>IF(Input!BD53="","",IF(F52&lt;&gt;"",Input!BD53,""))</f>
        <v/>
      </c>
      <c r="AL52" s="185" t="str">
        <f>IF(F52="", "",IF(Input!BE53="Error","Error",IF(ISNUMBER(Input!BE53),Input!BE53*$AL$4,"")))</f>
        <v/>
      </c>
      <c r="AM52" s="332" t="str">
        <f>IF(V52="D","Drp",
IF(F52&lt;&gt;"",
IF(OR(Y52="Error",AI52="Error",AL52="Error"),"Error",
IF(Input!BD53="","-",ROUND(Y52+AI52+AL52,2))),""))</f>
        <v/>
      </c>
      <c r="AN52" s="187" t="str">
        <f>IF(F52&lt;&gt;"",VLOOKUP(AM52,TRANSMUTATION!$A$2:$B$14,2),"")</f>
        <v/>
      </c>
      <c r="AO52" s="263" t="str">
        <f t="shared" si="3"/>
        <v/>
      </c>
      <c r="AP52" s="189"/>
      <c r="AT52" s="101"/>
    </row>
    <row r="53" spans="1:46" ht="15" customHeight="1" x14ac:dyDescent="0.2">
      <c r="A53" s="101"/>
      <c r="C53" s="268">
        <v>47</v>
      </c>
      <c r="D53" s="215" t="str">
        <f>IF(Input!D54&lt;&gt;"",IF(F53&lt;&gt;"",Input!D54,""),"")</f>
        <v/>
      </c>
      <c r="E53" s="321"/>
      <c r="F53" s="322" t="str">
        <f>(IF(Input!F54&lt;&gt;"",Input!F54,""))</f>
        <v/>
      </c>
      <c r="G53" s="18"/>
      <c r="H53" s="18"/>
      <c r="I53" s="18"/>
      <c r="J53" s="18"/>
      <c r="K53" s="18"/>
      <c r="L53" s="18"/>
      <c r="M53" s="18"/>
      <c r="N53" s="18"/>
      <c r="O53" s="18"/>
      <c r="P53" s="18"/>
      <c r="Q53" s="18"/>
      <c r="R53" s="18"/>
      <c r="S53" s="18"/>
      <c r="T53" s="18"/>
      <c r="U53" s="18"/>
      <c r="V53" s="21"/>
      <c r="W53" s="177"/>
      <c r="X53" s="178" t="str">
        <f>Input!AX54</f>
        <v/>
      </c>
      <c r="Y53" s="329" t="str">
        <f t="shared" si="2"/>
        <v/>
      </c>
      <c r="Z53" s="179"/>
      <c r="AA53" s="180" t="str">
        <f>IF(F53&lt;&gt;"",IF(Input!AY54&lt;&gt;"",Input!AY54,""),"")</f>
        <v/>
      </c>
      <c r="AB53" s="181" t="str">
        <f>IFERROR(IF($AA$5="","",IF(F53&lt;&gt;"",(Input!AY54/Input!$AY$6)*100,"")),"NA")</f>
        <v/>
      </c>
      <c r="AC53" s="182" t="str">
        <f>IF(F53&lt;&gt;"",IF(Input!AZ54&lt;&gt;"",Input!AZ54,""),"")</f>
        <v/>
      </c>
      <c r="AD53" s="181" t="str">
        <f>IFERROR(IF($AC$5="","",IF(F53&lt;&gt;"",(Input!AZ54/Input!$AZ$6)*100,"")),"NA")</f>
        <v/>
      </c>
      <c r="AE53" s="182" t="str">
        <f>IF(F53&lt;&gt;"",IF(Input!BA54&lt;&gt;"",Input!BA54,""),"")</f>
        <v/>
      </c>
      <c r="AF53" s="181" t="str">
        <f>IFERROR(IF($AE$5="","",IF(F53&lt;&gt;"",(Input!BA54/Input!$BA$6)*100,"")),"NA")</f>
        <v/>
      </c>
      <c r="AG53" s="183" t="str">
        <f>IF(F53&lt;&gt;"",IF(Input!BB54&lt;&gt;"",Input!BB54,""),"")</f>
        <v/>
      </c>
      <c r="AH53" s="181" t="str">
        <f>IFERROR(IF($AG$5="","",IF(F53&lt;&gt;"",(Input!BB54/Input!$BB$6)*100,"")),"NA")</f>
        <v/>
      </c>
      <c r="AI53" s="327" t="str">
        <f>IF(Input!BC54="Error","Error",IF(F53="","",IF($AA$5="",0,IF(F53&lt;&gt;"",IFERROR(AVERAGE(AB53,AD53,AF53,AH53)*$AI$4,0),""))))</f>
        <v/>
      </c>
      <c r="AJ53" s="179"/>
      <c r="AK53" s="184" t="str">
        <f>IF(Input!BD54="","",IF(F53&lt;&gt;"",Input!BD54,""))</f>
        <v/>
      </c>
      <c r="AL53" s="185" t="str">
        <f>IF(F53="", "",IF(Input!BE54="Error","Error",IF(ISNUMBER(Input!BE54),Input!BE54*$AL$4,"")))</f>
        <v/>
      </c>
      <c r="AM53" s="332" t="str">
        <f>IF(V53="D","Drp",
IF(F53&lt;&gt;"",
IF(OR(Y53="Error",AI53="Error",AL53="Error"),"Error",
IF(Input!BD54="","-",ROUND(Y53+AI53+AL53,2))),""))</f>
        <v/>
      </c>
      <c r="AN53" s="187" t="str">
        <f>IF(F53&lt;&gt;"",VLOOKUP(AM53,TRANSMUTATION!$A$2:$B$14,2),"")</f>
        <v/>
      </c>
      <c r="AO53" s="263" t="str">
        <f t="shared" si="3"/>
        <v/>
      </c>
      <c r="AP53" s="189"/>
      <c r="AT53" s="101"/>
    </row>
    <row r="54" spans="1:46" ht="15" customHeight="1" x14ac:dyDescent="0.2">
      <c r="A54" s="101"/>
      <c r="C54" s="268">
        <v>48</v>
      </c>
      <c r="D54" s="215" t="str">
        <f>IF(Input!D55&lt;&gt;"",IF(F54&lt;&gt;"",Input!D55,""),"")</f>
        <v/>
      </c>
      <c r="E54" s="321"/>
      <c r="F54" s="322" t="str">
        <f>(IF(Input!F55&lt;&gt;"",Input!F55,""))</f>
        <v/>
      </c>
      <c r="G54" s="18"/>
      <c r="H54" s="18"/>
      <c r="I54" s="18"/>
      <c r="J54" s="18"/>
      <c r="K54" s="18"/>
      <c r="L54" s="18"/>
      <c r="M54" s="18"/>
      <c r="N54" s="18"/>
      <c r="O54" s="18"/>
      <c r="P54" s="18"/>
      <c r="Q54" s="18"/>
      <c r="R54" s="18"/>
      <c r="S54" s="18"/>
      <c r="T54" s="18"/>
      <c r="U54" s="18"/>
      <c r="V54" s="21"/>
      <c r="W54" s="177"/>
      <c r="X54" s="178" t="str">
        <f>Input!AX55</f>
        <v/>
      </c>
      <c r="Y54" s="329" t="str">
        <f t="shared" si="2"/>
        <v/>
      </c>
      <c r="Z54" s="179"/>
      <c r="AA54" s="180" t="str">
        <f>IF(F54&lt;&gt;"",IF(Input!AY55&lt;&gt;"",Input!AY55,""),"")</f>
        <v/>
      </c>
      <c r="AB54" s="181" t="str">
        <f>IFERROR(IF($AA$5="","",IF(F54&lt;&gt;"",(Input!AY55/Input!$AY$6)*100,"")),"NA")</f>
        <v/>
      </c>
      <c r="AC54" s="182" t="str">
        <f>IF(F54&lt;&gt;"",IF(Input!AZ55&lt;&gt;"",Input!AZ55,""),"")</f>
        <v/>
      </c>
      <c r="AD54" s="181" t="str">
        <f>IFERROR(IF($AC$5="","",IF(F54&lt;&gt;"",(Input!AZ55/Input!$AZ$6)*100,"")),"NA")</f>
        <v/>
      </c>
      <c r="AE54" s="182" t="str">
        <f>IF(F54&lt;&gt;"",IF(Input!BA55&lt;&gt;"",Input!BA55,""),"")</f>
        <v/>
      </c>
      <c r="AF54" s="181" t="str">
        <f>IFERROR(IF($AE$5="","",IF(F54&lt;&gt;"",(Input!BA55/Input!$BA$6)*100,"")),"NA")</f>
        <v/>
      </c>
      <c r="AG54" s="183" t="str">
        <f>IF(F54&lt;&gt;"",IF(Input!BB55&lt;&gt;"",Input!BB55,""),"")</f>
        <v/>
      </c>
      <c r="AH54" s="181" t="str">
        <f>IFERROR(IF($AG$5="","",IF(F54&lt;&gt;"",(Input!BB55/Input!$BB$6)*100,"")),"NA")</f>
        <v/>
      </c>
      <c r="AI54" s="327" t="str">
        <f>IF(Input!BC55="Error","Error",IF(F54="","",IF($AA$5="",0,IF(F54&lt;&gt;"",IFERROR(AVERAGE(AB54,AD54,AF54,AH54)*$AI$4,0),""))))</f>
        <v/>
      </c>
      <c r="AJ54" s="179"/>
      <c r="AK54" s="184" t="str">
        <f>IF(Input!BD55="","",IF(F54&lt;&gt;"",Input!BD55,""))</f>
        <v/>
      </c>
      <c r="AL54" s="185" t="str">
        <f>IF(F54="", "",IF(Input!BE55="Error","Error",IF(ISNUMBER(Input!BE55),Input!BE55*$AL$4,"")))</f>
        <v/>
      </c>
      <c r="AM54" s="332" t="str">
        <f>IF(V54="D","Drp",
IF(F54&lt;&gt;"",
IF(OR(Y54="Error",AI54="Error",AL54="Error"),"Error",
IF(Input!BD55="","-",ROUND(Y54+AI54+AL54,2))),""))</f>
        <v/>
      </c>
      <c r="AN54" s="187" t="str">
        <f>IF(F54&lt;&gt;"",VLOOKUP(AM54,TRANSMUTATION!$A$2:$B$14,2),"")</f>
        <v/>
      </c>
      <c r="AO54" s="263" t="str">
        <f t="shared" si="3"/>
        <v/>
      </c>
      <c r="AP54" s="189"/>
      <c r="AT54" s="101"/>
    </row>
    <row r="55" spans="1:46" ht="15" customHeight="1" x14ac:dyDescent="0.2">
      <c r="A55" s="101"/>
      <c r="C55" s="268">
        <v>49</v>
      </c>
      <c r="D55" s="215" t="str">
        <f>IF(Input!D56&lt;&gt;"",IF(F55&lt;&gt;"",Input!D56,""),"")</f>
        <v/>
      </c>
      <c r="E55" s="321"/>
      <c r="F55" s="322" t="str">
        <f>(IF(Input!F56&lt;&gt;"",Input!F56,""))</f>
        <v/>
      </c>
      <c r="G55" s="18"/>
      <c r="H55" s="18"/>
      <c r="I55" s="18"/>
      <c r="J55" s="18"/>
      <c r="K55" s="18"/>
      <c r="L55" s="18"/>
      <c r="M55" s="18"/>
      <c r="N55" s="18"/>
      <c r="O55" s="18"/>
      <c r="P55" s="18"/>
      <c r="Q55" s="18"/>
      <c r="R55" s="18"/>
      <c r="S55" s="18"/>
      <c r="T55" s="18"/>
      <c r="U55" s="18"/>
      <c r="V55" s="21"/>
      <c r="W55" s="177"/>
      <c r="X55" s="178" t="str">
        <f>Input!AX56</f>
        <v/>
      </c>
      <c r="Y55" s="329" t="str">
        <f t="shared" si="2"/>
        <v/>
      </c>
      <c r="Z55" s="179"/>
      <c r="AA55" s="180" t="str">
        <f>IF(F55&lt;&gt;"",IF(Input!AY56&lt;&gt;"",Input!AY56,""),"")</f>
        <v/>
      </c>
      <c r="AB55" s="181" t="str">
        <f>IFERROR(IF($AA$5="","",IF(F55&lt;&gt;"",(Input!AY56/Input!$AY$6)*100,"")),"NA")</f>
        <v/>
      </c>
      <c r="AC55" s="182" t="str">
        <f>IF(F55&lt;&gt;"",IF(Input!AZ56&lt;&gt;"",Input!AZ56,""),"")</f>
        <v/>
      </c>
      <c r="AD55" s="181" t="str">
        <f>IFERROR(IF($AC$5="","",IF(F55&lt;&gt;"",(Input!AZ56/Input!$AZ$6)*100,"")),"NA")</f>
        <v/>
      </c>
      <c r="AE55" s="182" t="str">
        <f>IF(F55&lt;&gt;"",IF(Input!BA56&lt;&gt;"",Input!BA56,""),"")</f>
        <v/>
      </c>
      <c r="AF55" s="181" t="str">
        <f>IFERROR(IF($AE$5="","",IF(F55&lt;&gt;"",(Input!BA56/Input!$BA$6)*100,"")),"NA")</f>
        <v/>
      </c>
      <c r="AG55" s="183" t="str">
        <f>IF(F55&lt;&gt;"",IF(Input!BB56&lt;&gt;"",Input!BB56,""),"")</f>
        <v/>
      </c>
      <c r="AH55" s="181" t="str">
        <f>IFERROR(IF($AG$5="","",IF(F55&lt;&gt;"",(Input!BB56/Input!$BB$6)*100,"")),"NA")</f>
        <v/>
      </c>
      <c r="AI55" s="327" t="str">
        <f>IF(Input!BC56="Error","Error",IF(F55="","",IF($AA$5="",0,IF(F55&lt;&gt;"",IFERROR(AVERAGE(AB55,AD55,AF55,AH55)*$AI$4,0),""))))</f>
        <v/>
      </c>
      <c r="AJ55" s="179"/>
      <c r="AK55" s="184" t="str">
        <f>IF(Input!BD56="","",IF(F55&lt;&gt;"",Input!BD56,""))</f>
        <v/>
      </c>
      <c r="AL55" s="185" t="str">
        <f>IF(F55="", "",IF(Input!BE56="Error","Error",IF(ISNUMBER(Input!BE56),Input!BE56*$AL$4,"")))</f>
        <v/>
      </c>
      <c r="AM55" s="332" t="str">
        <f>IF(V55="D","Drp",
IF(F55&lt;&gt;"",
IF(OR(Y55="Error",AI55="Error",AL55="Error"),"Error",
IF(Input!BD56="","-",ROUND(Y55+AI55+AL55,2))),""))</f>
        <v/>
      </c>
      <c r="AN55" s="187" t="str">
        <f>IF(F55&lt;&gt;"",VLOOKUP(AM55,TRANSMUTATION!$A$2:$B$14,2),"")</f>
        <v/>
      </c>
      <c r="AO55" s="263" t="str">
        <f t="shared" si="3"/>
        <v/>
      </c>
      <c r="AP55" s="189"/>
      <c r="AT55" s="101"/>
    </row>
    <row r="56" spans="1:46" ht="15" customHeight="1" thickBot="1" x14ac:dyDescent="0.25">
      <c r="A56" s="101"/>
      <c r="C56" s="269">
        <v>50</v>
      </c>
      <c r="D56" s="323" t="str">
        <f>IF(Input!D57&lt;&gt;"",IF(F56&lt;&gt;"",Input!D57,""),"")</f>
        <v/>
      </c>
      <c r="E56" s="324"/>
      <c r="F56" s="325" t="str">
        <f>(IF(Input!F57&lt;&gt;"",Input!F57,""))</f>
        <v/>
      </c>
      <c r="G56" s="19"/>
      <c r="H56" s="19"/>
      <c r="I56" s="19"/>
      <c r="J56" s="19"/>
      <c r="K56" s="19"/>
      <c r="L56" s="19"/>
      <c r="M56" s="19"/>
      <c r="N56" s="19"/>
      <c r="O56" s="19"/>
      <c r="P56" s="19"/>
      <c r="Q56" s="19"/>
      <c r="R56" s="19"/>
      <c r="S56" s="19"/>
      <c r="T56" s="19"/>
      <c r="U56" s="19"/>
      <c r="V56" s="22"/>
      <c r="W56" s="177"/>
      <c r="X56" s="197" t="str">
        <f>Input!AX57</f>
        <v/>
      </c>
      <c r="Y56" s="264" t="str">
        <f t="shared" si="2"/>
        <v/>
      </c>
      <c r="Z56" s="179"/>
      <c r="AA56" s="198" t="str">
        <f>IF(F56&lt;&gt;"",IF(Input!AY57&lt;&gt;"",Input!AY57,""),"")</f>
        <v/>
      </c>
      <c r="AB56" s="199" t="str">
        <f>IFERROR(IF($AA$5="","",IF(F56&lt;&gt;"",(Input!AY57/Input!$AY$6)*100,"")),"NA")</f>
        <v/>
      </c>
      <c r="AC56" s="200" t="str">
        <f>IF(F56&lt;&gt;"",IF(Input!AZ57&lt;&gt;"",Input!AZ57,""),"")</f>
        <v/>
      </c>
      <c r="AD56" s="199" t="str">
        <f>IFERROR(IF($AC$5="","",IF(F56&lt;&gt;"",(Input!AZ57/Input!$AZ$6)*100,"")),"NA")</f>
        <v/>
      </c>
      <c r="AE56" s="200" t="str">
        <f>IF(F56&lt;&gt;"",IF(Input!BA57&lt;&gt;"",Input!BA57,""),"")</f>
        <v/>
      </c>
      <c r="AF56" s="199" t="str">
        <f>IFERROR(IF($AE$5="","",IF(F56&lt;&gt;"",(Input!BA57/Input!$BA$6)*100,"")),"NA")</f>
        <v/>
      </c>
      <c r="AG56" s="201" t="str">
        <f>IF(F56&lt;&gt;"",IF(Input!BB57&lt;&gt;"",Input!BB57,""),"")</f>
        <v/>
      </c>
      <c r="AH56" s="199" t="str">
        <f>IFERROR(IF($AG$5="","",IF(F56&lt;&gt;"",(Input!BB57/Input!$BB$6)*100,"")),"NA")</f>
        <v/>
      </c>
      <c r="AI56" s="265" t="str">
        <f>IF(Input!BC57="Error","Error",IF(F56="","",IF($AA$5="",0,IF(F56&lt;&gt;"",IFERROR(AVERAGE(AB56,AD56,AF56,AH56)*$AI$4,0),""))))</f>
        <v/>
      </c>
      <c r="AJ56" s="179"/>
      <c r="AK56" s="202" t="str">
        <f>IF(Input!BD57="","",IF(F56&lt;&gt;"",Input!BD57,""))</f>
        <v/>
      </c>
      <c r="AL56" s="203" t="str">
        <f>IF(F56="", "",IF(Input!BE57="Error","Error",IF(ISNUMBER(Input!BE57),Input!BE57*$AL$4,"")))</f>
        <v/>
      </c>
      <c r="AM56" s="266" t="str">
        <f>IF(V56="D","Drp",
IF(F56&lt;&gt;"",
IF(OR(Y56="Error",AI56="Error",AL56="Error"),"Error",
IF(Input!BD57="","-",ROUND(Y56+AI56+AL56,2))),""))</f>
        <v/>
      </c>
      <c r="AN56" s="204" t="str">
        <f>IF(F56&lt;&gt;"",VLOOKUP(AM56,TRANSMUTATION!$A$2:$B$14,2),"")</f>
        <v/>
      </c>
      <c r="AO56" s="267" t="str">
        <f t="shared" si="3"/>
        <v/>
      </c>
      <c r="AP56" s="189"/>
      <c r="AT56" s="101"/>
    </row>
    <row r="57" spans="1:46" s="103" customFormat="1" ht="15" hidden="1" customHeight="1" thickBot="1" x14ac:dyDescent="0.25">
      <c r="A57" s="257"/>
      <c r="B57" s="135"/>
      <c r="C57" s="136"/>
      <c r="D57" s="137"/>
      <c r="E57" s="137"/>
      <c r="F57" s="138"/>
      <c r="G57" s="139">
        <f t="shared" ref="G57:U57" si="4">COUNT(G7:G56)</f>
        <v>0</v>
      </c>
      <c r="H57" s="139">
        <f t="shared" si="4"/>
        <v>0</v>
      </c>
      <c r="I57" s="139">
        <f t="shared" si="4"/>
        <v>1</v>
      </c>
      <c r="J57" s="139">
        <f t="shared" si="4"/>
        <v>0</v>
      </c>
      <c r="K57" s="139">
        <f t="shared" si="4"/>
        <v>0</v>
      </c>
      <c r="L57" s="139">
        <f t="shared" si="4"/>
        <v>1</v>
      </c>
      <c r="M57" s="139">
        <f t="shared" si="4"/>
        <v>0</v>
      </c>
      <c r="N57" s="139">
        <f t="shared" si="4"/>
        <v>0</v>
      </c>
      <c r="O57" s="139">
        <f t="shared" si="4"/>
        <v>1</v>
      </c>
      <c r="P57" s="139">
        <f t="shared" si="4"/>
        <v>0</v>
      </c>
      <c r="Q57" s="139">
        <f t="shared" si="4"/>
        <v>0</v>
      </c>
      <c r="R57" s="139">
        <f t="shared" si="4"/>
        <v>0</v>
      </c>
      <c r="S57" s="139">
        <f t="shared" si="4"/>
        <v>0</v>
      </c>
      <c r="T57" s="139">
        <f t="shared" si="4"/>
        <v>0</v>
      </c>
      <c r="U57" s="140">
        <f t="shared" si="4"/>
        <v>0</v>
      </c>
      <c r="V57" s="141"/>
      <c r="W57" s="258"/>
      <c r="X57" s="136"/>
      <c r="Y57" s="143"/>
      <c r="Z57" s="259"/>
      <c r="AA57" s="462" t="e">
        <f>AVERAGE(AB7:AB56)</f>
        <v>#DIV/0!</v>
      </c>
      <c r="AB57" s="461"/>
      <c r="AC57" s="460"/>
      <c r="AD57" s="461"/>
      <c r="AE57" s="226" t="str">
        <f>IF(F57&lt;&gt;"",IF(Input!BA58&lt;&gt;"",Input!BA58,""),"")</f>
        <v/>
      </c>
      <c r="AF57" s="145" t="str">
        <f>IF($AE$5="","",IF(F57&lt;&gt;"",(Input!BA58/Input!$BA$6)*100,""))</f>
        <v/>
      </c>
      <c r="AG57" s="460"/>
      <c r="AH57" s="461"/>
      <c r="AI57" s="146"/>
      <c r="AJ57" s="260"/>
      <c r="AK57" s="147"/>
      <c r="AL57" s="261" t="str">
        <f>IF(F57&lt;&gt;"", IF(Input!BE58="Error", "Error", Input!BE58*$AL$4), "")</f>
        <v/>
      </c>
      <c r="AM57" s="149" t="str">
        <f>IF(V57="D", "Drp", IF(F57&lt;&gt;"", IF(Input!BD58="", "-", IF(OR(Y57="Error", AI57="Error", AL57="Error"), "Error", Y57+AI57+AL57)), ""))</f>
        <v/>
      </c>
      <c r="AN57" s="150"/>
      <c r="AO57" s="262"/>
      <c r="AT57" s="106"/>
    </row>
    <row r="58" spans="1:46" ht="15" customHeight="1" x14ac:dyDescent="0.2">
      <c r="A58" s="101"/>
      <c r="AT58" s="101"/>
    </row>
    <row r="59" spans="1:46" ht="9.9499999999999993" customHeight="1" x14ac:dyDescent="0.2">
      <c r="A59" s="101"/>
      <c r="B59" s="101"/>
      <c r="C59" s="106"/>
      <c r="D59" s="107"/>
      <c r="E59" s="107"/>
      <c r="F59" s="101"/>
      <c r="G59" s="165"/>
      <c r="H59" s="165"/>
      <c r="I59" s="165"/>
      <c r="J59" s="166"/>
      <c r="K59" s="166"/>
      <c r="L59" s="166"/>
      <c r="M59" s="166"/>
      <c r="N59" s="166"/>
      <c r="O59" s="166"/>
      <c r="P59" s="166"/>
      <c r="Q59" s="166"/>
      <c r="R59" s="166"/>
      <c r="S59" s="166"/>
      <c r="T59" s="166"/>
      <c r="U59" s="166"/>
      <c r="V59" s="166"/>
      <c r="W59" s="166"/>
      <c r="X59" s="106"/>
      <c r="Y59" s="106"/>
      <c r="Z59" s="106"/>
      <c r="AA59" s="106"/>
      <c r="AB59" s="106"/>
      <c r="AC59" s="106"/>
      <c r="AD59" s="106"/>
      <c r="AE59" s="106"/>
      <c r="AF59" s="106"/>
      <c r="AG59" s="106"/>
      <c r="AH59" s="106"/>
      <c r="AI59" s="167"/>
      <c r="AJ59" s="106"/>
      <c r="AK59" s="168"/>
      <c r="AL59" s="169"/>
      <c r="AM59" s="170"/>
      <c r="AN59" s="171"/>
      <c r="AO59" s="233"/>
      <c r="AP59" s="101"/>
      <c r="AQ59" s="101"/>
      <c r="AR59" s="101"/>
      <c r="AS59" s="101"/>
      <c r="AT59" s="101"/>
    </row>
  </sheetData>
  <sheetProtection algorithmName="SHA-512" hashValue="jqtS1ITlV7glJpmyOQElwaxdd3L43VtqT/cgDO+PPnWXww7gCaiR88Kq3w2wGvIDGmmJMyt8qRfi2G5N8PirlQ==" saltValue="mW+nBLMU5Wly9zFKQtQ9Ow==" spinCount="100000" sheet="1" objects="1" scenarios="1"/>
  <mergeCells count="52">
    <mergeCell ref="AQ3:AR3"/>
    <mergeCell ref="AG57:AH57"/>
    <mergeCell ref="C3:C6"/>
    <mergeCell ref="D3:F3"/>
    <mergeCell ref="D4:F5"/>
    <mergeCell ref="G5:G6"/>
    <mergeCell ref="H5:H6"/>
    <mergeCell ref="Q5:Q6"/>
    <mergeCell ref="M5:M6"/>
    <mergeCell ref="N5:N6"/>
    <mergeCell ref="I5:I6"/>
    <mergeCell ref="L5:L6"/>
    <mergeCell ref="O5:O6"/>
    <mergeCell ref="S5:S6"/>
    <mergeCell ref="T5:T6"/>
    <mergeCell ref="AA57:AB57"/>
    <mergeCell ref="AC57:AD57"/>
    <mergeCell ref="E1:AJ1"/>
    <mergeCell ref="E2:AJ2"/>
    <mergeCell ref="AA3:AI3"/>
    <mergeCell ref="G3:K3"/>
    <mergeCell ref="L3:P3"/>
    <mergeCell ref="Q3:U3"/>
    <mergeCell ref="X3:Y3"/>
    <mergeCell ref="V4:V6"/>
    <mergeCell ref="AM3:AM6"/>
    <mergeCell ref="AN3:AN6"/>
    <mergeCell ref="AO3:AO6"/>
    <mergeCell ref="AI4:AI5"/>
    <mergeCell ref="J5:J6"/>
    <mergeCell ref="K5:K6"/>
    <mergeCell ref="AG4:AH4"/>
    <mergeCell ref="AG5:AH5"/>
    <mergeCell ref="P5:P6"/>
    <mergeCell ref="U5:U6"/>
    <mergeCell ref="R5:R6"/>
    <mergeCell ref="AK3:AL3"/>
    <mergeCell ref="AA5:AB5"/>
    <mergeCell ref="X4:Y4"/>
    <mergeCell ref="X5:X6"/>
    <mergeCell ref="Y5:Y6"/>
    <mergeCell ref="AK4:AK5"/>
    <mergeCell ref="AL4:AL5"/>
    <mergeCell ref="AC6:AD6"/>
    <mergeCell ref="AA4:AB4"/>
    <mergeCell ref="AC4:AD4"/>
    <mergeCell ref="AG6:AH6"/>
    <mergeCell ref="AA6:AB6"/>
    <mergeCell ref="AC5:AD5"/>
    <mergeCell ref="AE4:AF4"/>
    <mergeCell ref="AE5:AF5"/>
    <mergeCell ref="AE6:AF6"/>
  </mergeCells>
  <phoneticPr fontId="4" type="noConversion"/>
  <conditionalFormatting sqref="G7:W56">
    <cfRule type="cellIs" dxfId="28" priority="5" stopIfTrue="1" operator="lessThan">
      <formula>1</formula>
    </cfRule>
  </conditionalFormatting>
  <conditionalFormatting sqref="I46:I56">
    <cfRule type="cellIs" dxfId="27" priority="61" stopIfTrue="1" operator="lessThan">
      <formula>1</formula>
    </cfRule>
  </conditionalFormatting>
  <conditionalFormatting sqref="L46:L56">
    <cfRule type="cellIs" dxfId="26" priority="60" stopIfTrue="1" operator="lessThan">
      <formula>1</formula>
    </cfRule>
  </conditionalFormatting>
  <conditionalFormatting sqref="X7:X56">
    <cfRule type="expression" dxfId="25" priority="11">
      <formula>AND(X7&gt;$X$5,X7&lt;&gt;"")</formula>
    </cfRule>
  </conditionalFormatting>
  <conditionalFormatting sqref="AA7:AA56 AC7:AC56 AE7:AE56 AG7:AG56 AK7:AK56">
    <cfRule type="expression" dxfId="24" priority="2">
      <formula>AND(ISTEXT(AA7),AA7&lt;&gt;"")</formula>
    </cfRule>
  </conditionalFormatting>
  <conditionalFormatting sqref="AA7:AA56">
    <cfRule type="expression" dxfId="23" priority="10">
      <formula>AND(AA7&gt;$AA$5,AA7&lt;&gt;"")</formula>
    </cfRule>
  </conditionalFormatting>
  <conditionalFormatting sqref="AA5:AH5">
    <cfRule type="expression" dxfId="22" priority="4">
      <formula>AND(ISTEXT(AA5),AA5&lt;&gt;"")</formula>
    </cfRule>
  </conditionalFormatting>
  <conditionalFormatting sqref="AB1:AB6 AH1:AH6 AD1:AF3 Z1:Z56 AB57:AB1048576 AH57:AH1048576 Z58:Z1048576">
    <cfRule type="cellIs" dxfId="21" priority="65" stopIfTrue="1" operator="lessThan">
      <formula>75</formula>
    </cfRule>
  </conditionalFormatting>
  <conditionalFormatting sqref="AB7:AB56 AD7:AD56 AF7:AF56 AH7:AH56">
    <cfRule type="cellIs" dxfId="20" priority="1" operator="lessThan">
      <formula>75</formula>
    </cfRule>
  </conditionalFormatting>
  <conditionalFormatting sqref="AC7:AC56">
    <cfRule type="expression" dxfId="19" priority="9">
      <formula>AND(AC7&gt;$AC$5,AC7&lt;&gt;"")</formula>
    </cfRule>
  </conditionalFormatting>
  <conditionalFormatting sqref="AD4:AD6 AF4:AF6 AD57 AF57 AD58:AF1048576">
    <cfRule type="cellIs" dxfId="18" priority="14" stopIfTrue="1" operator="lessThan">
      <formula>75</formula>
    </cfRule>
  </conditionalFormatting>
  <conditionalFormatting sqref="AE7:AE56">
    <cfRule type="expression" dxfId="17" priority="8">
      <formula>AND(AE7&gt;$AE$5,AE7&lt;&gt;"")</formula>
    </cfRule>
  </conditionalFormatting>
  <conditionalFormatting sqref="AG7:AG56">
    <cfRule type="expression" dxfId="16" priority="7">
      <formula>AND(AG7&gt;$AG$5,AG7&lt;&gt;"")</formula>
    </cfRule>
  </conditionalFormatting>
  <conditionalFormatting sqref="AK4:AK5">
    <cfRule type="expression" dxfId="15" priority="3">
      <formula>AND(ISTEXT(AK4),AK4&lt;&gt;"")</formula>
    </cfRule>
  </conditionalFormatting>
  <conditionalFormatting sqref="AK7:AK56">
    <cfRule type="expression" dxfId="14" priority="6">
      <formula>AND(AK7&gt;$AK$4,AK7&lt;&gt;"")</formula>
    </cfRule>
  </conditionalFormatting>
  <conditionalFormatting sqref="AN1:AN1048576">
    <cfRule type="cellIs" dxfId="13" priority="12" stopIfTrue="1" operator="lessThanOrEqual">
      <formula>1.75</formula>
    </cfRule>
    <cfRule type="cellIs" dxfId="12" priority="13" stopIfTrue="1" operator="equal">
      <formula>5</formula>
    </cfRule>
  </conditionalFormatting>
  <dataValidations count="3">
    <dataValidation type="decimal" allowBlank="1" showInputMessage="1" showErrorMessage="1" errorTitle="Invalid Data" error="The data you entered is invalid!" sqref="P8:P56 G7:H56 S7:T56 J8:K56 Q7:Q56 M8:N56 I7:P7" xr:uid="{00000000-0002-0000-0500-000000000000}">
      <formula1>0</formula1>
      <formula2>3</formula2>
    </dataValidation>
    <dataValidation type="decimal" allowBlank="1" showInputMessage="1" showErrorMessage="1" sqref="I8:I56 R7:R56 U7:U56 L8:L56 O8:O56" xr:uid="{00000000-0002-0000-0500-000001000000}">
      <formula1>0</formula1>
      <formula2>3</formula2>
    </dataValidation>
    <dataValidation type="whole" allowBlank="1" showInputMessage="1" showErrorMessage="1" sqref="G4:U4" xr:uid="{22C1F174-87FD-4A40-93F7-23CB55F288A5}">
      <formula1>0</formula1>
      <formula2>31</formula2>
    </dataValidation>
  </dataValidations>
  <pageMargins left="0.09" right="0.13" top="0.16" bottom="0.38" header="0.14000000000000001" footer="0.14000000000000001"/>
  <pageSetup scale="52" orientation="landscape" horizontalDpi="300" verticalDpi="300" r:id="rId1"/>
  <headerFooter alignWithMargins="0">
    <oddFooter>&amp;C&amp;F
&amp;D &amp;T&amp;R&amp;P/&amp;N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9" tint="0.39997558519241921"/>
  </sheetPr>
  <dimension ref="B1:AQ58"/>
  <sheetViews>
    <sheetView showGridLines="0" workbookViewId="0">
      <pane xSplit="7" ySplit="6" topLeftCell="H7" activePane="bottomRight" state="frozen"/>
      <selection pane="topRight" activeCell="H1" sqref="H1"/>
      <selection pane="bottomLeft" activeCell="A7" sqref="A7"/>
      <selection pane="bottomRight" activeCell="H21" sqref="H21"/>
    </sheetView>
  </sheetViews>
  <sheetFormatPr defaultColWidth="9.140625" defaultRowHeight="15.75" x14ac:dyDescent="0.2"/>
  <cols>
    <col min="1" max="1" width="1.7109375" style="102" customWidth="1"/>
    <col min="2" max="2" width="2.7109375" style="102" customWidth="1"/>
    <col min="3" max="3" width="3.7109375" style="103" customWidth="1"/>
    <col min="4" max="4" width="4.5703125" style="318" customWidth="1"/>
    <col min="5" max="5" width="12.28515625" style="104" customWidth="1"/>
    <col min="6" max="6" width="2.7109375" style="104" hidden="1" customWidth="1"/>
    <col min="7" max="7" width="49.7109375" style="102" customWidth="1"/>
    <col min="8" max="8" width="10.7109375" style="319" customWidth="1"/>
    <col min="9" max="9" width="6.7109375" style="103" customWidth="1"/>
    <col min="10" max="10" width="10.7109375" style="319" customWidth="1"/>
    <col min="11" max="11" width="6.7109375" style="176" customWidth="1"/>
    <col min="12" max="12" width="10.7109375" style="316" customWidth="1"/>
    <col min="13" max="13" width="6.7109375" style="316" customWidth="1"/>
    <col min="14" max="14" width="10.7109375" style="176" customWidth="1"/>
    <col min="15" max="15" width="6.7109375" style="176" customWidth="1"/>
    <col min="16" max="16" width="1.7109375" style="176" customWidth="1"/>
    <col min="17" max="17" width="7" style="176" hidden="1" customWidth="1"/>
    <col min="18" max="19" width="8.7109375" style="320" customWidth="1"/>
    <col min="20" max="20" width="10.7109375" style="176" customWidth="1"/>
    <col min="21" max="21" width="2.7109375" style="102" customWidth="1"/>
    <col min="22" max="22" width="1.7109375" style="102" customWidth="1"/>
    <col min="23" max="16384" width="9.140625" style="102"/>
  </cols>
  <sheetData>
    <row r="1" spans="2:43" ht="9.75" customHeight="1" thickBot="1" x14ac:dyDescent="0.25">
      <c r="D1" s="270"/>
      <c r="E1" s="271"/>
      <c r="F1" s="272"/>
      <c r="G1" s="272"/>
      <c r="H1" s="272"/>
      <c r="I1" s="272"/>
      <c r="J1" s="272"/>
      <c r="K1" s="272"/>
      <c r="L1" s="272"/>
      <c r="M1" s="272"/>
      <c r="N1" s="272"/>
      <c r="O1" s="272"/>
      <c r="P1" s="272"/>
      <c r="Q1" s="272"/>
      <c r="R1" s="272"/>
      <c r="S1" s="272"/>
      <c r="T1" s="272"/>
      <c r="U1" s="272"/>
      <c r="V1" s="272"/>
      <c r="W1" s="272"/>
      <c r="X1" s="272"/>
      <c r="Y1" s="272"/>
      <c r="Z1" s="272"/>
      <c r="AA1" s="272"/>
      <c r="AB1" s="272"/>
      <c r="AC1" s="272"/>
      <c r="AD1" s="272"/>
      <c r="AE1" s="272"/>
      <c r="AF1" s="272"/>
      <c r="AG1" s="272"/>
      <c r="AH1" s="272"/>
      <c r="AI1" s="272"/>
      <c r="AJ1" s="272"/>
      <c r="AK1" s="272"/>
      <c r="AL1" s="272"/>
      <c r="AM1" s="272"/>
      <c r="AN1" s="272"/>
      <c r="AO1" s="272"/>
      <c r="AP1" s="272"/>
      <c r="AQ1" s="272"/>
    </row>
    <row r="2" spans="2:43" ht="15" customHeight="1" thickTop="1" thickBot="1" x14ac:dyDescent="0.25">
      <c r="B2" s="273"/>
      <c r="C2" s="274"/>
      <c r="D2" s="275"/>
      <c r="E2" s="276"/>
      <c r="F2" s="277"/>
      <c r="G2" s="277"/>
      <c r="H2" s="277"/>
      <c r="I2" s="277"/>
      <c r="J2" s="277"/>
      <c r="K2" s="277"/>
      <c r="L2" s="277"/>
      <c r="M2" s="277"/>
      <c r="N2" s="277"/>
      <c r="O2" s="277"/>
      <c r="P2" s="277"/>
      <c r="Q2" s="277"/>
      <c r="R2" s="277"/>
      <c r="S2" s="277"/>
      <c r="T2" s="277"/>
      <c r="U2" s="278"/>
      <c r="V2" s="118"/>
      <c r="W2" s="118"/>
      <c r="X2" s="118"/>
      <c r="Y2" s="118"/>
      <c r="Z2" s="118"/>
      <c r="AA2" s="118"/>
      <c r="AB2" s="118"/>
      <c r="AC2" s="118"/>
      <c r="AD2" s="118"/>
      <c r="AE2" s="118"/>
      <c r="AF2" s="118"/>
      <c r="AG2" s="118"/>
      <c r="AH2" s="118"/>
      <c r="AI2" s="118"/>
      <c r="AJ2" s="118"/>
      <c r="AK2" s="118"/>
      <c r="AL2" s="118"/>
      <c r="AM2" s="118"/>
      <c r="AN2" s="118"/>
      <c r="AO2" s="118"/>
      <c r="AP2" s="118"/>
      <c r="AQ2" s="118"/>
    </row>
    <row r="3" spans="2:43" ht="30" customHeight="1" x14ac:dyDescent="0.2">
      <c r="B3" s="279"/>
      <c r="C3" s="344"/>
      <c r="D3" s="350" t="s">
        <v>92</v>
      </c>
      <c r="E3" s="354" t="str">
        <f>Settings!E8&amp;" - "&amp;Settings!P5</f>
        <v>Mathematics in the Modern World - BSHM1A</v>
      </c>
      <c r="F3" s="354"/>
      <c r="G3" s="354"/>
      <c r="H3" s="348" t="s">
        <v>24</v>
      </c>
      <c r="I3" s="346" t="s">
        <v>83</v>
      </c>
      <c r="J3" s="348" t="s">
        <v>78</v>
      </c>
      <c r="K3" s="346" t="s">
        <v>83</v>
      </c>
      <c r="L3" s="346" t="s">
        <v>25</v>
      </c>
      <c r="M3" s="346" t="s">
        <v>83</v>
      </c>
      <c r="N3" s="346" t="s">
        <v>26</v>
      </c>
      <c r="O3" s="346" t="s">
        <v>83</v>
      </c>
      <c r="P3" s="352"/>
      <c r="Q3" s="280"/>
      <c r="R3" s="346" t="s">
        <v>101</v>
      </c>
      <c r="S3" s="346" t="s">
        <v>83</v>
      </c>
      <c r="T3" s="342" t="s">
        <v>102</v>
      </c>
      <c r="U3" s="281"/>
    </row>
    <row r="4" spans="2:43" ht="15" customHeight="1" x14ac:dyDescent="0.2">
      <c r="B4" s="279"/>
      <c r="C4" s="345"/>
      <c r="D4" s="351"/>
      <c r="E4" s="355" t="str">
        <f>IF(Settings!P4="","",Settings!P4)</f>
        <v>GEDC1005</v>
      </c>
      <c r="F4" s="355"/>
      <c r="G4" s="355"/>
      <c r="H4" s="349"/>
      <c r="I4" s="347"/>
      <c r="J4" s="349"/>
      <c r="K4" s="347"/>
      <c r="L4" s="347"/>
      <c r="M4" s="347"/>
      <c r="N4" s="347"/>
      <c r="O4" s="347"/>
      <c r="P4" s="353"/>
      <c r="Q4" s="282"/>
      <c r="R4" s="347"/>
      <c r="S4" s="347"/>
      <c r="T4" s="343"/>
      <c r="U4" s="281"/>
    </row>
    <row r="5" spans="2:43" s="103" customFormat="1" ht="15" customHeight="1" x14ac:dyDescent="0.2">
      <c r="B5" s="283"/>
      <c r="C5" s="345"/>
      <c r="D5" s="351"/>
      <c r="E5" s="355"/>
      <c r="F5" s="355"/>
      <c r="G5" s="355"/>
      <c r="H5" s="349"/>
      <c r="I5" s="347"/>
      <c r="J5" s="349"/>
      <c r="K5" s="347"/>
      <c r="L5" s="347"/>
      <c r="M5" s="347"/>
      <c r="N5" s="347"/>
      <c r="O5" s="347"/>
      <c r="P5" s="353"/>
      <c r="Q5" s="282"/>
      <c r="R5" s="347"/>
      <c r="S5" s="347"/>
      <c r="T5" s="343"/>
      <c r="U5" s="284"/>
    </row>
    <row r="6" spans="2:43" ht="15.75" customHeight="1" x14ac:dyDescent="0.2">
      <c r="B6" s="279"/>
      <c r="C6" s="345"/>
      <c r="D6" s="351" t="str">
        <f>IF(S6&lt;74.5,"Failed","Passed")</f>
        <v>Failed</v>
      </c>
      <c r="E6" s="285" t="s">
        <v>84</v>
      </c>
      <c r="F6" s="128"/>
      <c r="G6" s="286" t="s">
        <v>85</v>
      </c>
      <c r="H6" s="356">
        <v>0.2</v>
      </c>
      <c r="I6" s="356"/>
      <c r="J6" s="356">
        <v>0.2</v>
      </c>
      <c r="K6" s="356"/>
      <c r="L6" s="356">
        <v>0.2</v>
      </c>
      <c r="M6" s="356"/>
      <c r="N6" s="356">
        <v>0.4</v>
      </c>
      <c r="O6" s="356"/>
      <c r="P6" s="353"/>
      <c r="Q6" s="282"/>
      <c r="R6" s="347">
        <f>AVERAGE(H6:N6)</f>
        <v>0.25</v>
      </c>
      <c r="S6" s="347">
        <f>AVERAGE(I6:P6)</f>
        <v>0.26666666666666666</v>
      </c>
      <c r="T6" s="343" t="str">
        <f>IF(R6&lt;74.5,"Failed","Passed")</f>
        <v>Failed</v>
      </c>
      <c r="U6" s="281"/>
    </row>
    <row r="7" spans="2:43" s="103" customFormat="1" ht="15" customHeight="1" x14ac:dyDescent="0.2">
      <c r="B7" s="283"/>
      <c r="C7" s="287">
        <f>+C5+1</f>
        <v>1</v>
      </c>
      <c r="D7" s="288" t="str">
        <f>IFERROR(IF(OR(R7="",R7="Drp"),"",RANK(R7,$R$7:$R$56,0)),"")</f>
        <v/>
      </c>
      <c r="E7" s="286" t="str">
        <f>(IF(Input!D8&lt;&gt;"",Input!D8,""))</f>
        <v>02000500651</v>
      </c>
      <c r="F7" s="289"/>
      <c r="G7" s="290" t="str">
        <f>(IF(Input!F8&lt;&gt;"",Input!F8,""))</f>
        <v>ADAO,ANGELICA MAE BAAL</v>
      </c>
      <c r="H7" s="291">
        <f>IF(G7&lt;&gt;"",PRELIMS!AM7,"")</f>
        <v>71.19</v>
      </c>
      <c r="I7" s="292">
        <f>IF(G7&lt;&gt;"",VLOOKUP(H7,TRANSMUTATION!$A$2:$B$14,2),"")</f>
        <v>2.5</v>
      </c>
      <c r="J7" s="291">
        <f>IF(G7&lt;&gt;"",MIDTERM!AM7,"")</f>
        <v>66.48</v>
      </c>
      <c r="K7" s="292">
        <f>IF(G7&lt;&gt;"",VLOOKUP(J7,TRANSMUTATION!$A$2:$B$14,2),"")</f>
        <v>2.75</v>
      </c>
      <c r="L7" s="291" t="str">
        <f>IF(G7&lt;&gt;"",'PRE-FINALS'!AM7,"")</f>
        <v>-</v>
      </c>
      <c r="M7" s="292" t="str">
        <f>IF(G7&lt;&gt;"",VLOOKUP(L7,TRANSMUTATION!$A$2:$B$14,2),"")</f>
        <v>INC</v>
      </c>
      <c r="N7" s="291" t="str">
        <f>IF(G7&lt;&gt;"",FINALS!AM7,"")</f>
        <v>-</v>
      </c>
      <c r="O7" s="292" t="str">
        <f>IF(G7&lt;&gt;"",VLOOKUP(N7,TRANSMUTATION!$A$2:$B$14,2),"")</f>
        <v>INC</v>
      </c>
      <c r="P7" s="293"/>
      <c r="Q7" s="291" t="b">
        <f>IF(H7="Drp","Drp",IF(J7="Drp","Drp",IF(L7="Drp","Drp",IF(N7="Drp","Drp"))))</f>
        <v>0</v>
      </c>
      <c r="R7" s="291" t="str">
        <f>IF(G7="","",
 IF(Q7="Drp","Drp",
 IF(G7&lt;&gt;"",
 IF(OR(H7="Error",J7="Error",L7="Error",N7="Error"),"Error",
 IF(OR(O7="Inc",I7="Inc",K7="Inc",M7="Inc"),"",
 ROUND((H7*$H$6)+(J7*$J$6)+(L7*$L$6)+(N7*$N$6),2))),"")))</f>
        <v/>
      </c>
      <c r="S7" s="291" t="str">
        <f>IF(G7&lt;&gt;"",IF(R7="","",VLOOKUP(R7,TRANSMUTATION!$A$2:$B$14,2)),"")</f>
        <v/>
      </c>
      <c r="T7" s="294" t="str">
        <f>IF(G7&lt;&gt;"",
 IF(R7="", "",
 IF(R7="Error", "Error",
 IF(R7="Drp", "Dropped",
 IF(R7&lt;59.5, "Failed", "Passed")))),"")</f>
        <v/>
      </c>
      <c r="U7" s="284"/>
    </row>
    <row r="8" spans="2:43" s="103" customFormat="1" ht="15" customHeight="1" x14ac:dyDescent="0.2">
      <c r="B8" s="283"/>
      <c r="C8" s="287">
        <f>C7+1</f>
        <v>2</v>
      </c>
      <c r="D8" s="288" t="str">
        <f t="shared" ref="D8:D56" si="0">IFERROR(IF(OR(R8="",R8="Drp"),"",RANK(R8,$R$7:$R$56,0)),"")</f>
        <v/>
      </c>
      <c r="E8" s="286" t="str">
        <f>(IF(Input!D9&lt;&gt;"",Input!D9,""))</f>
        <v>02000508012</v>
      </c>
      <c r="F8" s="289"/>
      <c r="G8" s="290" t="str">
        <f>(IF(Input!F9&lt;&gt;"",Input!F9,""))</f>
        <v>AMELANO,EUNICE MAE LUMBRE</v>
      </c>
      <c r="H8" s="291">
        <f>IF(G8&lt;&gt;"",PRELIMS!AM8,"")</f>
        <v>90.19</v>
      </c>
      <c r="I8" s="292">
        <f>IF(G8&lt;&gt;"",VLOOKUP(H8,TRANSMUTATION!$A$2:$B$14,2),"")</f>
        <v>1.75</v>
      </c>
      <c r="J8" s="291">
        <f>IF(G8&lt;&gt;"",MIDTERM!AM8,"")</f>
        <v>80.569999999999993</v>
      </c>
      <c r="K8" s="292">
        <f>IF(G8&lt;&gt;"",VLOOKUP(J8,TRANSMUTATION!$A$2:$B$14,2),"")</f>
        <v>2.25</v>
      </c>
      <c r="L8" s="291" t="str">
        <f>IF(G8&lt;&gt;"",'PRE-FINALS'!AM8,"")</f>
        <v>-</v>
      </c>
      <c r="M8" s="292" t="str">
        <f>IF(G8&lt;&gt;"",VLOOKUP(L8,TRANSMUTATION!$A$2:$B$14,2),"")</f>
        <v>INC</v>
      </c>
      <c r="N8" s="291" t="str">
        <f>IF(G8&lt;&gt;"",FINALS!AM8,"")</f>
        <v>-</v>
      </c>
      <c r="O8" s="292" t="str">
        <f>IF(G8&lt;&gt;"",VLOOKUP(N8,TRANSMUTATION!$A$2:$B$14,2),"")</f>
        <v>INC</v>
      </c>
      <c r="P8" s="293"/>
      <c r="Q8" s="291" t="b">
        <f>IF(H8="Drp","Drp",IF(J8="Drp","Drp",IF(L8="Drp","Drp",IF(N8="Drp","Drp"))))</f>
        <v>0</v>
      </c>
      <c r="R8" s="291" t="str">
        <f t="shared" ref="R8:R56" si="1">IF(G8="","",
 IF(Q8="Drp","Drp",
 IF(G8&lt;&gt;"",
 IF(OR(H8="Error",J8="Error",L8="Error",N8="Error"),"Error",
 IF(OR(O8="Inc",I8="Inc",K8="Inc",M8="Inc"),"",
 ROUND((H8*$H$6)+(J8*$J$6)+(L8*$L$6)+(N8*$N$6),2))),"")))</f>
        <v/>
      </c>
      <c r="S8" s="291" t="str">
        <f>IF(G8&lt;&gt;"",IF(R8="","",VLOOKUP(R8,TRANSMUTATION!$A$2:$B$14,2)),"")</f>
        <v/>
      </c>
      <c r="T8" s="294" t="str">
        <f t="shared" ref="T8:T56" si="2">IF(G8&lt;&gt;"",
 IF(R8="", "",
 IF(R8="Error", "Error",
 IF(R8="Drp", "Dropped",
 IF(R8&lt;59.5, "Failed", "Passed")))),"")</f>
        <v/>
      </c>
      <c r="U8" s="284"/>
    </row>
    <row r="9" spans="2:43" s="103" customFormat="1" ht="15" customHeight="1" x14ac:dyDescent="0.2">
      <c r="B9" s="283"/>
      <c r="C9" s="287">
        <f t="shared" ref="C9:C56" si="3">C8+1</f>
        <v>3</v>
      </c>
      <c r="D9" s="288" t="str">
        <f t="shared" si="0"/>
        <v/>
      </c>
      <c r="E9" s="286" t="str">
        <f>(IF(Input!D10&lt;&gt;"",Input!D10,""))</f>
        <v>02000510545</v>
      </c>
      <c r="F9" s="289"/>
      <c r="G9" s="290" t="str">
        <f>(IF(Input!F10&lt;&gt;"",Input!F10,""))</f>
        <v>ANDAYA,RICO BRON</v>
      </c>
      <c r="H9" s="291">
        <f>IF(G9&lt;&gt;"",PRELIMS!AM9,"")</f>
        <v>82.62</v>
      </c>
      <c r="I9" s="292">
        <f>IF(G9&lt;&gt;"",VLOOKUP(H9,TRANSMUTATION!$A$2:$B$14,2),"")</f>
        <v>2</v>
      </c>
      <c r="J9" s="291">
        <f>IF(G9&lt;&gt;"",MIDTERM!AM9,"")</f>
        <v>68.930000000000007</v>
      </c>
      <c r="K9" s="292">
        <f>IF(G9&lt;&gt;"",VLOOKUP(J9,TRANSMUTATION!$A$2:$B$14,2),"")</f>
        <v>2.75</v>
      </c>
      <c r="L9" s="291" t="str">
        <f>IF(G9&lt;&gt;"",'PRE-FINALS'!AM9,"")</f>
        <v>-</v>
      </c>
      <c r="M9" s="292" t="str">
        <f>IF(G9&lt;&gt;"",VLOOKUP(L9,TRANSMUTATION!$A$2:$B$14,2),"")</f>
        <v>INC</v>
      </c>
      <c r="N9" s="291" t="str">
        <f>IF(G9&lt;&gt;"",FINALS!AM9,"")</f>
        <v>-</v>
      </c>
      <c r="O9" s="292" t="str">
        <f>IF(G9&lt;&gt;"",VLOOKUP(N9,TRANSMUTATION!$A$2:$B$14,2),"")</f>
        <v>INC</v>
      </c>
      <c r="P9" s="293"/>
      <c r="Q9" s="291" t="b">
        <f t="shared" ref="Q9:Q36" si="4">IF(H9="Drp","Drp",IF(J9="Drp","Drp",IF(L9="Drp","Drp",IF(N9="Drp","Drp"))))</f>
        <v>0</v>
      </c>
      <c r="R9" s="291" t="str">
        <f t="shared" si="1"/>
        <v/>
      </c>
      <c r="S9" s="291" t="str">
        <f>IF(G9&lt;&gt;"",IF(R9="","",VLOOKUP(R9,TRANSMUTATION!$A$2:$B$14,2)),"")</f>
        <v/>
      </c>
      <c r="T9" s="294" t="str">
        <f t="shared" si="2"/>
        <v/>
      </c>
      <c r="U9" s="284"/>
    </row>
    <row r="10" spans="2:43" s="103" customFormat="1" ht="15" customHeight="1" x14ac:dyDescent="0.2">
      <c r="B10" s="283"/>
      <c r="C10" s="287">
        <f t="shared" si="3"/>
        <v>4</v>
      </c>
      <c r="D10" s="288" t="str">
        <f t="shared" si="0"/>
        <v/>
      </c>
      <c r="E10" s="286" t="str">
        <f>(IF(Input!D11&lt;&gt;"",Input!D11,""))</f>
        <v>02000500688</v>
      </c>
      <c r="F10" s="289"/>
      <c r="G10" s="290" t="str">
        <f>(IF(Input!F11&lt;&gt;"",Input!F11,""))</f>
        <v>AREJOLA,JESSICA SELPO</v>
      </c>
      <c r="H10" s="291">
        <f>IF(G10&lt;&gt;"",PRELIMS!AM10,"")</f>
        <v>66.900000000000006</v>
      </c>
      <c r="I10" s="292">
        <f>IF(G10&lt;&gt;"",VLOOKUP(H10,TRANSMUTATION!$A$2:$B$14,2),"")</f>
        <v>2.75</v>
      </c>
      <c r="J10" s="291">
        <f>IF(G10&lt;&gt;"",MIDTERM!AM10,"")</f>
        <v>33.67</v>
      </c>
      <c r="K10" s="292">
        <f>IF(G10&lt;&gt;"",VLOOKUP(J10,TRANSMUTATION!$A$2:$B$14,2),"")</f>
        <v>5</v>
      </c>
      <c r="L10" s="291" t="str">
        <f>IF(G10&lt;&gt;"",'PRE-FINALS'!AM10,"")</f>
        <v>-</v>
      </c>
      <c r="M10" s="292" t="str">
        <f>IF(G10&lt;&gt;"",VLOOKUP(L10,TRANSMUTATION!$A$2:$B$14,2),"")</f>
        <v>INC</v>
      </c>
      <c r="N10" s="291" t="str">
        <f>IF(G10&lt;&gt;"",FINALS!AM10,"")</f>
        <v>-</v>
      </c>
      <c r="O10" s="292" t="str">
        <f>IF(G10&lt;&gt;"",VLOOKUP(N10,TRANSMUTATION!$A$2:$B$14,2),"")</f>
        <v>INC</v>
      </c>
      <c r="P10" s="293"/>
      <c r="Q10" s="291" t="b">
        <f t="shared" si="4"/>
        <v>0</v>
      </c>
      <c r="R10" s="291" t="str">
        <f t="shared" si="1"/>
        <v/>
      </c>
      <c r="S10" s="291" t="str">
        <f>IF(G10&lt;&gt;"",IF(R10="","",VLOOKUP(R10,TRANSMUTATION!$A$2:$B$14,2)),"")</f>
        <v/>
      </c>
      <c r="T10" s="294" t="str">
        <f t="shared" si="2"/>
        <v/>
      </c>
      <c r="U10" s="284"/>
    </row>
    <row r="11" spans="2:43" s="103" customFormat="1" ht="15" customHeight="1" x14ac:dyDescent="0.2">
      <c r="B11" s="283"/>
      <c r="C11" s="287">
        <f t="shared" si="3"/>
        <v>5</v>
      </c>
      <c r="D11" s="288" t="str">
        <f t="shared" si="0"/>
        <v/>
      </c>
      <c r="E11" s="286" t="str">
        <f>(IF(Input!D12&lt;&gt;"",Input!D12,""))</f>
        <v>02000491309</v>
      </c>
      <c r="F11" s="289"/>
      <c r="G11" s="290" t="str">
        <f>(IF(Input!F12&lt;&gt;"",Input!F12,""))</f>
        <v>BAGAMASBAD,KYLA ANGELICA</v>
      </c>
      <c r="H11" s="291">
        <f>IF(G11&lt;&gt;"",PRELIMS!AM11,"")</f>
        <v>88.33</v>
      </c>
      <c r="I11" s="292">
        <f>IF(G11&lt;&gt;"",VLOOKUP(H11,TRANSMUTATION!$A$2:$B$14,2),"")</f>
        <v>1.75</v>
      </c>
      <c r="J11" s="291">
        <f>IF(G11&lt;&gt;"",MIDTERM!AM11,"")</f>
        <v>69.23</v>
      </c>
      <c r="K11" s="292">
        <f>IF(G11&lt;&gt;"",VLOOKUP(J11,TRANSMUTATION!$A$2:$B$14,2),"")</f>
        <v>2.75</v>
      </c>
      <c r="L11" s="291" t="str">
        <f>IF(G11&lt;&gt;"",'PRE-FINALS'!AM11,"")</f>
        <v>-</v>
      </c>
      <c r="M11" s="292" t="str">
        <f>IF(G11&lt;&gt;"",VLOOKUP(L11,TRANSMUTATION!$A$2:$B$14,2),"")</f>
        <v>INC</v>
      </c>
      <c r="N11" s="291" t="str">
        <f>IF(G11&lt;&gt;"",FINALS!AM11,"")</f>
        <v>-</v>
      </c>
      <c r="O11" s="292" t="str">
        <f>IF(G11&lt;&gt;"",VLOOKUP(N11,TRANSMUTATION!$A$2:$B$14,2),"")</f>
        <v>INC</v>
      </c>
      <c r="P11" s="293"/>
      <c r="Q11" s="291" t="b">
        <f t="shared" si="4"/>
        <v>0</v>
      </c>
      <c r="R11" s="291" t="str">
        <f t="shared" si="1"/>
        <v/>
      </c>
      <c r="S11" s="291" t="str">
        <f>IF(G11&lt;&gt;"",IF(R11="","",VLOOKUP(R11,TRANSMUTATION!$A$2:$B$14,2)),"")</f>
        <v/>
      </c>
      <c r="T11" s="294" t="str">
        <f t="shared" si="2"/>
        <v/>
      </c>
      <c r="U11" s="284"/>
    </row>
    <row r="12" spans="2:43" s="103" customFormat="1" ht="15" customHeight="1" x14ac:dyDescent="0.2">
      <c r="B12" s="283"/>
      <c r="C12" s="287">
        <f t="shared" si="3"/>
        <v>6</v>
      </c>
      <c r="D12" s="288" t="str">
        <f t="shared" si="0"/>
        <v/>
      </c>
      <c r="E12" s="286" t="str">
        <f>(IF(Input!D13&lt;&gt;"",Input!D13,""))</f>
        <v>02000496750</v>
      </c>
      <c r="F12" s="289"/>
      <c r="G12" s="290" t="str">
        <f>(IF(Input!F13&lt;&gt;"",Input!F13,""))</f>
        <v>BALTE,LYZA MAE LOMA</v>
      </c>
      <c r="H12" s="291">
        <f>IF(G12&lt;&gt;"",PRELIMS!AM12,"")</f>
        <v>92.55</v>
      </c>
      <c r="I12" s="292">
        <f>IF(G12&lt;&gt;"",VLOOKUP(H12,TRANSMUTATION!$A$2:$B$14,2),"")</f>
        <v>1.5</v>
      </c>
      <c r="J12" s="291">
        <f>IF(G12&lt;&gt;"",MIDTERM!AM12,"")</f>
        <v>68.67</v>
      </c>
      <c r="K12" s="292">
        <f>IF(G12&lt;&gt;"",VLOOKUP(J12,TRANSMUTATION!$A$2:$B$14,2),"")</f>
        <v>2.75</v>
      </c>
      <c r="L12" s="291" t="str">
        <f>IF(G12&lt;&gt;"",'PRE-FINALS'!AM12,"")</f>
        <v>-</v>
      </c>
      <c r="M12" s="292" t="str">
        <f>IF(G12&lt;&gt;"",VLOOKUP(L12,TRANSMUTATION!$A$2:$B$14,2),"")</f>
        <v>INC</v>
      </c>
      <c r="N12" s="291" t="str">
        <f>IF(G12&lt;&gt;"",FINALS!AM12,"")</f>
        <v>-</v>
      </c>
      <c r="O12" s="292" t="str">
        <f>IF(G12&lt;&gt;"",VLOOKUP(N12,TRANSMUTATION!$A$2:$B$14,2),"")</f>
        <v>INC</v>
      </c>
      <c r="P12" s="293"/>
      <c r="Q12" s="291" t="b">
        <f t="shared" si="4"/>
        <v>0</v>
      </c>
      <c r="R12" s="291" t="str">
        <f t="shared" si="1"/>
        <v/>
      </c>
      <c r="S12" s="291" t="str">
        <f>IF(G12&lt;&gt;"",IF(R12="","",VLOOKUP(R12,TRANSMUTATION!$A$2:$B$14,2)),"")</f>
        <v/>
      </c>
      <c r="T12" s="294" t="str">
        <f t="shared" si="2"/>
        <v/>
      </c>
      <c r="U12" s="284"/>
    </row>
    <row r="13" spans="2:43" s="103" customFormat="1" ht="15" customHeight="1" x14ac:dyDescent="0.2">
      <c r="B13" s="283"/>
      <c r="C13" s="287">
        <f t="shared" si="3"/>
        <v>7</v>
      </c>
      <c r="D13" s="288" t="str">
        <f t="shared" si="0"/>
        <v/>
      </c>
      <c r="E13" s="286" t="str">
        <f>(IF(Input!D14&lt;&gt;"",Input!D14,""))</f>
        <v>02000486779</v>
      </c>
      <c r="F13" s="289"/>
      <c r="G13" s="290" t="str">
        <f>(IF(Input!F14&lt;&gt;"",Input!F14,""))</f>
        <v>BUENAAGUA,AIRA ALANA AMPARADO</v>
      </c>
      <c r="H13" s="291">
        <f>IF(G13&lt;&gt;"",PRELIMS!AM13,"")</f>
        <v>84.05</v>
      </c>
      <c r="I13" s="292">
        <f>IF(G13&lt;&gt;"",VLOOKUP(H13,TRANSMUTATION!$A$2:$B$14,2),"")</f>
        <v>2</v>
      </c>
      <c r="J13" s="291">
        <f>IF(G13&lt;&gt;"",MIDTERM!AM13,"")</f>
        <v>58.21</v>
      </c>
      <c r="K13" s="292">
        <f>IF(G13&lt;&gt;"",VLOOKUP(J13,TRANSMUTATION!$A$2:$B$14,2),"")</f>
        <v>5</v>
      </c>
      <c r="L13" s="291" t="str">
        <f>IF(G13&lt;&gt;"",'PRE-FINALS'!AM13,"")</f>
        <v>-</v>
      </c>
      <c r="M13" s="292" t="str">
        <f>IF(G13&lt;&gt;"",VLOOKUP(L13,TRANSMUTATION!$A$2:$B$14,2),"")</f>
        <v>INC</v>
      </c>
      <c r="N13" s="291" t="str">
        <f>IF(G13&lt;&gt;"",FINALS!AM13,"")</f>
        <v>-</v>
      </c>
      <c r="O13" s="292" t="str">
        <f>IF(G13&lt;&gt;"",VLOOKUP(N13,TRANSMUTATION!$A$2:$B$14,2),"")</f>
        <v>INC</v>
      </c>
      <c r="P13" s="293"/>
      <c r="Q13" s="291" t="b">
        <f t="shared" si="4"/>
        <v>0</v>
      </c>
      <c r="R13" s="291" t="str">
        <f t="shared" si="1"/>
        <v/>
      </c>
      <c r="S13" s="291" t="str">
        <f>IF(G13&lt;&gt;"",IF(R13="","",VLOOKUP(R13,TRANSMUTATION!$A$2:$B$14,2)),"")</f>
        <v/>
      </c>
      <c r="T13" s="294" t="str">
        <f t="shared" si="2"/>
        <v/>
      </c>
      <c r="U13" s="284"/>
    </row>
    <row r="14" spans="2:43" s="103" customFormat="1" ht="15" customHeight="1" x14ac:dyDescent="0.2">
      <c r="B14" s="283"/>
      <c r="C14" s="287">
        <f t="shared" si="3"/>
        <v>8</v>
      </c>
      <c r="D14" s="288" t="str">
        <f t="shared" si="0"/>
        <v/>
      </c>
      <c r="E14" s="286" t="str">
        <f>(IF(Input!D15&lt;&gt;"",Input!D15,""))</f>
        <v>02000483633</v>
      </c>
      <c r="F14" s="289"/>
      <c r="G14" s="290" t="str">
        <f>(IF(Input!F15&lt;&gt;"",Input!F15,""))</f>
        <v>BULAO,JANNA MAE CUSTODIO</v>
      </c>
      <c r="H14" s="291">
        <f>IF(G14&lt;&gt;"",PRELIMS!AM14,"")</f>
        <v>93.81</v>
      </c>
      <c r="I14" s="292">
        <f>IF(G14&lt;&gt;"",VLOOKUP(H14,TRANSMUTATION!$A$2:$B$14,2),"")</f>
        <v>1.5</v>
      </c>
      <c r="J14" s="291">
        <f>IF(G14&lt;&gt;"",MIDTERM!AM14,"")</f>
        <v>90.33</v>
      </c>
      <c r="K14" s="292">
        <f>IF(G14&lt;&gt;"",VLOOKUP(J14,TRANSMUTATION!$A$2:$B$14,2),"")</f>
        <v>1.75</v>
      </c>
      <c r="L14" s="291" t="str">
        <f>IF(G14&lt;&gt;"",'PRE-FINALS'!AM14,"")</f>
        <v>-</v>
      </c>
      <c r="M14" s="292" t="str">
        <f>IF(G14&lt;&gt;"",VLOOKUP(L14,TRANSMUTATION!$A$2:$B$14,2),"")</f>
        <v>INC</v>
      </c>
      <c r="N14" s="291" t="str">
        <f>IF(G14&lt;&gt;"",FINALS!AM14,"")</f>
        <v>-</v>
      </c>
      <c r="O14" s="292" t="str">
        <f>IF(G14&lt;&gt;"",VLOOKUP(N14,TRANSMUTATION!$A$2:$B$14,2),"")</f>
        <v>INC</v>
      </c>
      <c r="P14" s="293"/>
      <c r="Q14" s="291" t="b">
        <f t="shared" si="4"/>
        <v>0</v>
      </c>
      <c r="R14" s="291" t="str">
        <f t="shared" si="1"/>
        <v/>
      </c>
      <c r="S14" s="291" t="str">
        <f>IF(G14&lt;&gt;"",IF(R14="","",VLOOKUP(R14,TRANSMUTATION!$A$2:$B$14,2)),"")</f>
        <v/>
      </c>
      <c r="T14" s="294" t="str">
        <f t="shared" si="2"/>
        <v/>
      </c>
      <c r="U14" s="284"/>
    </row>
    <row r="15" spans="2:43" s="103" customFormat="1" ht="15" customHeight="1" x14ac:dyDescent="0.2">
      <c r="B15" s="283"/>
      <c r="C15" s="287">
        <f t="shared" si="3"/>
        <v>9</v>
      </c>
      <c r="D15" s="288" t="str">
        <f t="shared" si="0"/>
        <v/>
      </c>
      <c r="E15" s="286" t="str">
        <f>(IF(Input!D16&lt;&gt;"",Input!D16,""))</f>
        <v>02000500732</v>
      </c>
      <c r="F15" s="289"/>
      <c r="G15" s="290" t="str">
        <f>(IF(Input!F16&lt;&gt;"",Input!F16,""))</f>
        <v>CLAUDIO,JAMES YUAN BURCE</v>
      </c>
      <c r="H15" s="291">
        <f>IF(G15&lt;&gt;"",PRELIMS!AM15,"")</f>
        <v>91.13</v>
      </c>
      <c r="I15" s="292">
        <f>IF(G15&lt;&gt;"",VLOOKUP(H15,TRANSMUTATION!$A$2:$B$14,2),"")</f>
        <v>1.75</v>
      </c>
      <c r="J15" s="291">
        <f>IF(G15&lt;&gt;"",MIDTERM!AM15,"")</f>
        <v>90.88</v>
      </c>
      <c r="K15" s="292">
        <f>IF(G15&lt;&gt;"",VLOOKUP(J15,TRANSMUTATION!$A$2:$B$14,2),"")</f>
        <v>1.75</v>
      </c>
      <c r="L15" s="291" t="str">
        <f>IF(G15&lt;&gt;"",'PRE-FINALS'!AM15,"")</f>
        <v>-</v>
      </c>
      <c r="M15" s="292" t="str">
        <f>IF(G15&lt;&gt;"",VLOOKUP(L15,TRANSMUTATION!$A$2:$B$14,2),"")</f>
        <v>INC</v>
      </c>
      <c r="N15" s="291" t="str">
        <f>IF(G15&lt;&gt;"",FINALS!AM15,"")</f>
        <v>-</v>
      </c>
      <c r="O15" s="292" t="str">
        <f>IF(G15&lt;&gt;"",VLOOKUP(N15,TRANSMUTATION!$A$2:$B$14,2),"")</f>
        <v>INC</v>
      </c>
      <c r="P15" s="293"/>
      <c r="Q15" s="291" t="b">
        <f t="shared" si="4"/>
        <v>0</v>
      </c>
      <c r="R15" s="291" t="str">
        <f t="shared" si="1"/>
        <v/>
      </c>
      <c r="S15" s="291" t="str">
        <f>IF(G15&lt;&gt;"",IF(R15="","",VLOOKUP(R15,TRANSMUTATION!$A$2:$B$14,2)),"")</f>
        <v/>
      </c>
      <c r="T15" s="294" t="str">
        <f t="shared" si="2"/>
        <v/>
      </c>
      <c r="U15" s="284"/>
    </row>
    <row r="16" spans="2:43" s="103" customFormat="1" ht="15" customHeight="1" x14ac:dyDescent="0.2">
      <c r="B16" s="283"/>
      <c r="C16" s="287">
        <f t="shared" si="3"/>
        <v>10</v>
      </c>
      <c r="D16" s="288" t="str">
        <f t="shared" si="0"/>
        <v/>
      </c>
      <c r="E16" s="286" t="str">
        <f>(IF(Input!D17&lt;&gt;"",Input!D17,""))</f>
        <v>02000491156</v>
      </c>
      <c r="F16" s="289"/>
      <c r="G16" s="290" t="str">
        <f>(IF(Input!F17&lt;&gt;"",Input!F17,""))</f>
        <v>DACUBA,ANNEZA MAYE DANCIL</v>
      </c>
      <c r="H16" s="291">
        <f>IF(G16&lt;&gt;"",PRELIMS!AM16,"")</f>
        <v>90.19</v>
      </c>
      <c r="I16" s="292">
        <f>IF(G16&lt;&gt;"",VLOOKUP(H16,TRANSMUTATION!$A$2:$B$14,2),"")</f>
        <v>1.75</v>
      </c>
      <c r="J16" s="291">
        <f>IF(G16&lt;&gt;"",MIDTERM!AM16,"")</f>
        <v>41.48</v>
      </c>
      <c r="K16" s="292">
        <f>IF(G16&lt;&gt;"",VLOOKUP(J16,TRANSMUTATION!$A$2:$B$14,2),"")</f>
        <v>5</v>
      </c>
      <c r="L16" s="291" t="str">
        <f>IF(G16&lt;&gt;"",'PRE-FINALS'!AM16,"")</f>
        <v>-</v>
      </c>
      <c r="M16" s="292" t="str">
        <f>IF(G16&lt;&gt;"",VLOOKUP(L16,TRANSMUTATION!$A$2:$B$14,2),"")</f>
        <v>INC</v>
      </c>
      <c r="N16" s="291" t="str">
        <f>IF(G16&lt;&gt;"",FINALS!AM16,"")</f>
        <v>-</v>
      </c>
      <c r="O16" s="292" t="str">
        <f>IF(G16&lt;&gt;"",VLOOKUP(N16,TRANSMUTATION!$A$2:$B$14,2),"")</f>
        <v>INC</v>
      </c>
      <c r="P16" s="293"/>
      <c r="Q16" s="291" t="b">
        <f t="shared" si="4"/>
        <v>0</v>
      </c>
      <c r="R16" s="291" t="str">
        <f t="shared" si="1"/>
        <v/>
      </c>
      <c r="S16" s="291" t="str">
        <f>IF(G16&lt;&gt;"",IF(R16="","",VLOOKUP(R16,TRANSMUTATION!$A$2:$B$14,2)),"")</f>
        <v/>
      </c>
      <c r="T16" s="294" t="str">
        <f t="shared" si="2"/>
        <v/>
      </c>
      <c r="U16" s="284"/>
    </row>
    <row r="17" spans="2:21" s="103" customFormat="1" ht="15" customHeight="1" x14ac:dyDescent="0.2">
      <c r="B17" s="283"/>
      <c r="C17" s="287">
        <f t="shared" si="3"/>
        <v>11</v>
      </c>
      <c r="D17" s="288" t="str">
        <f t="shared" si="0"/>
        <v/>
      </c>
      <c r="E17" s="286" t="str">
        <f>(IF(Input!D18&lt;&gt;"",Input!D18,""))</f>
        <v>02000487748</v>
      </c>
      <c r="F17" s="289"/>
      <c r="G17" s="290" t="str">
        <f>(IF(Input!F18&lt;&gt;"",Input!F18,""))</f>
        <v>DESALISA,IVY ABANIL</v>
      </c>
      <c r="H17" s="291">
        <f>IF(G17&lt;&gt;"",PRELIMS!AM17,"")</f>
        <v>48.04</v>
      </c>
      <c r="I17" s="292">
        <f>IF(G17&lt;&gt;"",VLOOKUP(H17,TRANSMUTATION!$A$2:$B$14,2),"")</f>
        <v>5</v>
      </c>
      <c r="J17" s="291" t="str">
        <f>IF(G17&lt;&gt;"",MIDTERM!AM17,"")</f>
        <v>-</v>
      </c>
      <c r="K17" s="292" t="str">
        <f>IF(G17&lt;&gt;"",VLOOKUP(J17,TRANSMUTATION!$A$2:$B$14,2),"")</f>
        <v>INC</v>
      </c>
      <c r="L17" s="291" t="str">
        <f>IF(G17&lt;&gt;"",'PRE-FINALS'!AM17,"")</f>
        <v>-</v>
      </c>
      <c r="M17" s="292" t="str">
        <f>IF(G17&lt;&gt;"",VLOOKUP(L17,TRANSMUTATION!$A$2:$B$14,2),"")</f>
        <v>INC</v>
      </c>
      <c r="N17" s="291" t="str">
        <f>IF(G17&lt;&gt;"",FINALS!AM17,"")</f>
        <v>-</v>
      </c>
      <c r="O17" s="292" t="str">
        <f>IF(G17&lt;&gt;"",VLOOKUP(N17,TRANSMUTATION!$A$2:$B$14,2),"")</f>
        <v>INC</v>
      </c>
      <c r="P17" s="293"/>
      <c r="Q17" s="291" t="b">
        <f t="shared" si="4"/>
        <v>0</v>
      </c>
      <c r="R17" s="291" t="str">
        <f t="shared" si="1"/>
        <v/>
      </c>
      <c r="S17" s="291" t="str">
        <f>IF(G17&lt;&gt;"",IF(R17="","",VLOOKUP(R17,TRANSMUTATION!$A$2:$B$14,2)),"")</f>
        <v/>
      </c>
      <c r="T17" s="294" t="str">
        <f t="shared" si="2"/>
        <v/>
      </c>
      <c r="U17" s="284"/>
    </row>
    <row r="18" spans="2:21" s="103" customFormat="1" ht="15" customHeight="1" x14ac:dyDescent="0.2">
      <c r="B18" s="283"/>
      <c r="C18" s="287">
        <f t="shared" si="3"/>
        <v>12</v>
      </c>
      <c r="D18" s="288" t="str">
        <f t="shared" si="0"/>
        <v/>
      </c>
      <c r="E18" s="286" t="str">
        <f>(IF(Input!D19&lt;&gt;"",Input!D19,""))</f>
        <v>02000504031</v>
      </c>
      <c r="F18" s="289"/>
      <c r="G18" s="290" t="str">
        <f>(IF(Input!F19&lt;&gt;"",Input!F19,""))</f>
        <v>DOMINGUEZ,ADJA</v>
      </c>
      <c r="H18" s="291">
        <f>IF(G18&lt;&gt;"",PRELIMS!AM18,"")</f>
        <v>62.62</v>
      </c>
      <c r="I18" s="292">
        <f>IF(G18&lt;&gt;"",VLOOKUP(H18,TRANSMUTATION!$A$2:$B$14,2),"")</f>
        <v>3</v>
      </c>
      <c r="J18" s="291">
        <f>IF(G18&lt;&gt;"",MIDTERM!AM18,"")</f>
        <v>31.95</v>
      </c>
      <c r="K18" s="292">
        <f>IF(G18&lt;&gt;"",VLOOKUP(J18,TRANSMUTATION!$A$2:$B$14,2),"")</f>
        <v>5</v>
      </c>
      <c r="L18" s="291" t="str">
        <f>IF(G18&lt;&gt;"",'PRE-FINALS'!AM18,"")</f>
        <v>-</v>
      </c>
      <c r="M18" s="292" t="str">
        <f>IF(G18&lt;&gt;"",VLOOKUP(L18,TRANSMUTATION!$A$2:$B$14,2),"")</f>
        <v>INC</v>
      </c>
      <c r="N18" s="291" t="str">
        <f>IF(G18&lt;&gt;"",FINALS!AM18,"")</f>
        <v>-</v>
      </c>
      <c r="O18" s="292" t="str">
        <f>IF(G18&lt;&gt;"",VLOOKUP(N18,TRANSMUTATION!$A$2:$B$14,2),"")</f>
        <v>INC</v>
      </c>
      <c r="P18" s="293"/>
      <c r="Q18" s="291" t="b">
        <f t="shared" si="4"/>
        <v>0</v>
      </c>
      <c r="R18" s="291" t="str">
        <f t="shared" si="1"/>
        <v/>
      </c>
      <c r="S18" s="291" t="str">
        <f>IF(G18&lt;&gt;"",IF(R18="","",VLOOKUP(R18,TRANSMUTATION!$A$2:$B$14,2)),"")</f>
        <v/>
      </c>
      <c r="T18" s="294" t="str">
        <f t="shared" si="2"/>
        <v/>
      </c>
      <c r="U18" s="284"/>
    </row>
    <row r="19" spans="2:21" s="103" customFormat="1" ht="15" customHeight="1" x14ac:dyDescent="0.2">
      <c r="B19" s="283"/>
      <c r="C19" s="287">
        <f t="shared" si="3"/>
        <v>13</v>
      </c>
      <c r="D19" s="288" t="str">
        <f t="shared" si="0"/>
        <v/>
      </c>
      <c r="E19" s="286" t="str">
        <f>(IF(Input!D20&lt;&gt;"",Input!D20,""))</f>
        <v>02000504595</v>
      </c>
      <c r="F19" s="289"/>
      <c r="G19" s="290" t="str">
        <f>(IF(Input!F20&lt;&gt;"",Input!F20,""))</f>
        <v>ELEGADO,RAQUEL JILLIAN BURCER</v>
      </c>
      <c r="H19" s="291">
        <f>IF(G19&lt;&gt;"",PRELIMS!AM19,"")</f>
        <v>81.19</v>
      </c>
      <c r="I19" s="292">
        <f>IF(G19&lt;&gt;"",VLOOKUP(H19,TRANSMUTATION!$A$2:$B$14,2),"")</f>
        <v>2.25</v>
      </c>
      <c r="J19" s="291">
        <f>IF(G19&lt;&gt;"",MIDTERM!AM19,"")</f>
        <v>65.88</v>
      </c>
      <c r="K19" s="292">
        <f>IF(G19&lt;&gt;"",VLOOKUP(J19,TRANSMUTATION!$A$2:$B$14,2),"")</f>
        <v>2.75</v>
      </c>
      <c r="L19" s="291" t="str">
        <f>IF(G19&lt;&gt;"",'PRE-FINALS'!AM19,"")</f>
        <v>-</v>
      </c>
      <c r="M19" s="292" t="str">
        <f>IF(G19&lt;&gt;"",VLOOKUP(L19,TRANSMUTATION!$A$2:$B$14,2),"")</f>
        <v>INC</v>
      </c>
      <c r="N19" s="291" t="str">
        <f>IF(G19&lt;&gt;"",FINALS!AM19,"")</f>
        <v>-</v>
      </c>
      <c r="O19" s="292" t="str">
        <f>IF(G19&lt;&gt;"",VLOOKUP(N19,TRANSMUTATION!$A$2:$B$14,2),"")</f>
        <v>INC</v>
      </c>
      <c r="P19" s="293"/>
      <c r="Q19" s="291" t="b">
        <f t="shared" si="4"/>
        <v>0</v>
      </c>
      <c r="R19" s="291" t="str">
        <f t="shared" si="1"/>
        <v/>
      </c>
      <c r="S19" s="291" t="str">
        <f>IF(G19&lt;&gt;"",IF(R19="","",VLOOKUP(R19,TRANSMUTATION!$A$2:$B$14,2)),"")</f>
        <v/>
      </c>
      <c r="T19" s="294" t="str">
        <f t="shared" si="2"/>
        <v/>
      </c>
      <c r="U19" s="284"/>
    </row>
    <row r="20" spans="2:21" s="103" customFormat="1" ht="15" customHeight="1" x14ac:dyDescent="0.2">
      <c r="B20" s="283"/>
      <c r="C20" s="287">
        <f t="shared" si="3"/>
        <v>14</v>
      </c>
      <c r="D20" s="288" t="str">
        <f t="shared" si="0"/>
        <v/>
      </c>
      <c r="E20" s="286" t="str">
        <f>(IF(Input!D21&lt;&gt;"",Input!D21,""))</f>
        <v>02000493811</v>
      </c>
      <c r="F20" s="289"/>
      <c r="G20" s="290" t="str">
        <f>(IF(Input!F21&lt;&gt;"",Input!F21,""))</f>
        <v>FRANCE,KRISTEL CASSANDRA BASALLOTE</v>
      </c>
      <c r="H20" s="291">
        <f>IF(G20&lt;&gt;"",PRELIMS!AM20,"")</f>
        <v>47.44</v>
      </c>
      <c r="I20" s="292">
        <f>IF(G20&lt;&gt;"",VLOOKUP(H20,TRANSMUTATION!$A$2:$B$14,2),"")</f>
        <v>5</v>
      </c>
      <c r="J20" s="291" t="str">
        <f>IF(G20&lt;&gt;"",MIDTERM!AM20,"")</f>
        <v>-</v>
      </c>
      <c r="K20" s="292" t="str">
        <f>IF(G20&lt;&gt;"",VLOOKUP(J20,TRANSMUTATION!$A$2:$B$14,2),"")</f>
        <v>INC</v>
      </c>
      <c r="L20" s="291" t="str">
        <f>IF(G20&lt;&gt;"",'PRE-FINALS'!AM20,"")</f>
        <v>-</v>
      </c>
      <c r="M20" s="292" t="str">
        <f>IF(G20&lt;&gt;"",VLOOKUP(L20,TRANSMUTATION!$A$2:$B$14,2),"")</f>
        <v>INC</v>
      </c>
      <c r="N20" s="291" t="str">
        <f>IF(G20&lt;&gt;"",FINALS!AM20,"")</f>
        <v>-</v>
      </c>
      <c r="O20" s="292" t="str">
        <f>IF(G20&lt;&gt;"",VLOOKUP(N20,TRANSMUTATION!$A$2:$B$14,2),"")</f>
        <v>INC</v>
      </c>
      <c r="P20" s="293"/>
      <c r="Q20" s="291" t="b">
        <f t="shared" si="4"/>
        <v>0</v>
      </c>
      <c r="R20" s="291" t="str">
        <f t="shared" si="1"/>
        <v/>
      </c>
      <c r="S20" s="291" t="str">
        <f>IF(G20&lt;&gt;"",IF(R20="","",VLOOKUP(R20,TRANSMUTATION!$A$2:$B$14,2)),"")</f>
        <v/>
      </c>
      <c r="T20" s="294" t="str">
        <f t="shared" si="2"/>
        <v/>
      </c>
      <c r="U20" s="284"/>
    </row>
    <row r="21" spans="2:21" s="103" customFormat="1" ht="15" customHeight="1" x14ac:dyDescent="0.2">
      <c r="B21" s="283"/>
      <c r="C21" s="287">
        <f t="shared" si="3"/>
        <v>15</v>
      </c>
      <c r="D21" s="288" t="str">
        <f t="shared" si="0"/>
        <v/>
      </c>
      <c r="E21" s="286" t="str">
        <f>(IF(Input!D22&lt;&gt;"",Input!D22,""))</f>
        <v>02000501320</v>
      </c>
      <c r="F21" s="289"/>
      <c r="G21" s="290" t="str">
        <f>(IF(Input!F22&lt;&gt;"",Input!F22,""))</f>
        <v>LAMESERIA,DIVINA RUFFA ABRAHAM</v>
      </c>
      <c r="H21" s="291">
        <f>IF(G21&lt;&gt;"",PRELIMS!AM21,"")</f>
        <v>84.05</v>
      </c>
      <c r="I21" s="292">
        <f>IF(G21&lt;&gt;"",VLOOKUP(H21,TRANSMUTATION!$A$2:$B$14,2),"")</f>
        <v>2</v>
      </c>
      <c r="J21" s="291">
        <f>IF(G21&lt;&gt;"",MIDTERM!AM21,"")</f>
        <v>66.05</v>
      </c>
      <c r="K21" s="292">
        <f>IF(G21&lt;&gt;"",VLOOKUP(J21,TRANSMUTATION!$A$2:$B$14,2),"")</f>
        <v>2.75</v>
      </c>
      <c r="L21" s="291" t="str">
        <f>IF(G21&lt;&gt;"",'PRE-FINALS'!AM21,"")</f>
        <v>-</v>
      </c>
      <c r="M21" s="292" t="str">
        <f>IF(G21&lt;&gt;"",VLOOKUP(L21,TRANSMUTATION!$A$2:$B$14,2),"")</f>
        <v>INC</v>
      </c>
      <c r="N21" s="291" t="str">
        <f>IF(G21&lt;&gt;"",FINALS!AM21,"")</f>
        <v>-</v>
      </c>
      <c r="O21" s="292" t="str">
        <f>IF(G21&lt;&gt;"",VLOOKUP(N21,TRANSMUTATION!$A$2:$B$14,2),"")</f>
        <v>INC</v>
      </c>
      <c r="P21" s="293"/>
      <c r="Q21" s="291" t="b">
        <f t="shared" si="4"/>
        <v>0</v>
      </c>
      <c r="R21" s="291" t="str">
        <f t="shared" si="1"/>
        <v/>
      </c>
      <c r="S21" s="291" t="str">
        <f>IF(G21&lt;&gt;"",IF(R21="","",VLOOKUP(R21,TRANSMUTATION!$A$2:$B$14,2)),"")</f>
        <v/>
      </c>
      <c r="T21" s="294" t="str">
        <f t="shared" si="2"/>
        <v/>
      </c>
      <c r="U21" s="284"/>
    </row>
    <row r="22" spans="2:21" s="103" customFormat="1" ht="15" customHeight="1" x14ac:dyDescent="0.2">
      <c r="B22" s="283"/>
      <c r="C22" s="287">
        <f t="shared" si="3"/>
        <v>16</v>
      </c>
      <c r="D22" s="288" t="str">
        <f t="shared" si="0"/>
        <v/>
      </c>
      <c r="E22" s="286" t="str">
        <f>(IF(Input!D23&lt;&gt;"",Input!D23,""))</f>
        <v>02000510843</v>
      </c>
      <c r="F22" s="289"/>
      <c r="G22" s="290" t="str">
        <f>(IF(Input!F23&lt;&gt;"",Input!F23,""))</f>
        <v>LAURENTE,WILFRED RUSSELL SAMBAJON</v>
      </c>
      <c r="H22" s="291">
        <f>IF(G22&lt;&gt;"",PRELIMS!AM22,"")</f>
        <v>87.33</v>
      </c>
      <c r="I22" s="292">
        <f>IF(G22&lt;&gt;"",VLOOKUP(H22,TRANSMUTATION!$A$2:$B$14,2),"")</f>
        <v>1.75</v>
      </c>
      <c r="J22" s="291" t="str">
        <f>IF(G22&lt;&gt;"",MIDTERM!AM22,"")</f>
        <v>-</v>
      </c>
      <c r="K22" s="292" t="str">
        <f>IF(G22&lt;&gt;"",VLOOKUP(J22,TRANSMUTATION!$A$2:$B$14,2),"")</f>
        <v>INC</v>
      </c>
      <c r="L22" s="291" t="str">
        <f>IF(G22&lt;&gt;"",'PRE-FINALS'!AM22,"")</f>
        <v>-</v>
      </c>
      <c r="M22" s="292" t="str">
        <f>IF(G22&lt;&gt;"",VLOOKUP(L22,TRANSMUTATION!$A$2:$B$14,2),"")</f>
        <v>INC</v>
      </c>
      <c r="N22" s="291" t="str">
        <f>IF(G22&lt;&gt;"",FINALS!AM22,"")</f>
        <v>-</v>
      </c>
      <c r="O22" s="292" t="str">
        <f>IF(G22&lt;&gt;"",VLOOKUP(N22,TRANSMUTATION!$A$2:$B$14,2),"")</f>
        <v>INC</v>
      </c>
      <c r="P22" s="293"/>
      <c r="Q22" s="291" t="b">
        <f t="shared" si="4"/>
        <v>0</v>
      </c>
      <c r="R22" s="291" t="str">
        <f t="shared" si="1"/>
        <v/>
      </c>
      <c r="S22" s="291" t="str">
        <f>IF(G22&lt;&gt;"",IF(R22="","",VLOOKUP(R22,TRANSMUTATION!$A$2:$B$14,2)),"")</f>
        <v/>
      </c>
      <c r="T22" s="294" t="str">
        <f t="shared" si="2"/>
        <v/>
      </c>
      <c r="U22" s="284"/>
    </row>
    <row r="23" spans="2:21" s="103" customFormat="1" ht="15" customHeight="1" x14ac:dyDescent="0.2">
      <c r="B23" s="283"/>
      <c r="C23" s="287">
        <f t="shared" si="3"/>
        <v>17</v>
      </c>
      <c r="D23" s="288" t="str">
        <f t="shared" si="0"/>
        <v/>
      </c>
      <c r="E23" s="286" t="str">
        <f>(IF(Input!D24&lt;&gt;"",Input!D24,""))</f>
        <v>02000484250</v>
      </c>
      <c r="F23" s="289"/>
      <c r="G23" s="290" t="str">
        <f>(IF(Input!F24&lt;&gt;"",Input!F24,""))</f>
        <v>LOYOLA,RAMIL JR. BARBARA</v>
      </c>
      <c r="H23" s="291">
        <f>IF(G23&lt;&gt;"",PRELIMS!AM23,"")</f>
        <v>48.76</v>
      </c>
      <c r="I23" s="292">
        <f>IF(G23&lt;&gt;"",VLOOKUP(H23,TRANSMUTATION!$A$2:$B$14,2),"")</f>
        <v>5</v>
      </c>
      <c r="J23" s="291">
        <f>IF(G23&lt;&gt;"",MIDTERM!AM23,"")</f>
        <v>66.209999999999994</v>
      </c>
      <c r="K23" s="292">
        <f>IF(G23&lt;&gt;"",VLOOKUP(J23,TRANSMUTATION!$A$2:$B$14,2),"")</f>
        <v>2.75</v>
      </c>
      <c r="L23" s="291" t="str">
        <f>IF(G23&lt;&gt;"",'PRE-FINALS'!AM23,"")</f>
        <v>-</v>
      </c>
      <c r="M23" s="292" t="str">
        <f>IF(G23&lt;&gt;"",VLOOKUP(L23,TRANSMUTATION!$A$2:$B$14,2),"")</f>
        <v>INC</v>
      </c>
      <c r="N23" s="291" t="str">
        <f>IF(G23&lt;&gt;"",FINALS!AM23,"")</f>
        <v>-</v>
      </c>
      <c r="O23" s="292" t="str">
        <f>IF(G23&lt;&gt;"",VLOOKUP(N23,TRANSMUTATION!$A$2:$B$14,2),"")</f>
        <v>INC</v>
      </c>
      <c r="P23" s="293"/>
      <c r="Q23" s="291" t="b">
        <f t="shared" si="4"/>
        <v>0</v>
      </c>
      <c r="R23" s="291" t="str">
        <f t="shared" si="1"/>
        <v/>
      </c>
      <c r="S23" s="291" t="str">
        <f>IF(G23&lt;&gt;"",IF(R23="","",VLOOKUP(R23,TRANSMUTATION!$A$2:$B$14,2)),"")</f>
        <v/>
      </c>
      <c r="T23" s="294" t="str">
        <f t="shared" si="2"/>
        <v/>
      </c>
      <c r="U23" s="284"/>
    </row>
    <row r="24" spans="2:21" s="103" customFormat="1" ht="15" customHeight="1" x14ac:dyDescent="0.2">
      <c r="B24" s="283"/>
      <c r="C24" s="287">
        <f t="shared" si="3"/>
        <v>18</v>
      </c>
      <c r="D24" s="288" t="str">
        <f t="shared" si="0"/>
        <v/>
      </c>
      <c r="E24" s="286" t="str">
        <f>(IF(Input!D25&lt;&gt;"",Input!D25,""))</f>
        <v>02000388196</v>
      </c>
      <c r="F24" s="289"/>
      <c r="G24" s="290" t="str">
        <f>(IF(Input!F25&lt;&gt;"",Input!F25,""))</f>
        <v>MACALINDONG,IAN DANA</v>
      </c>
      <c r="H24" s="291">
        <f>IF(G24&lt;&gt;"",PRELIMS!AM24,"")</f>
        <v>45.24</v>
      </c>
      <c r="I24" s="292">
        <f>IF(G24&lt;&gt;"",VLOOKUP(H24,TRANSMUTATION!$A$2:$B$14,2),"")</f>
        <v>5</v>
      </c>
      <c r="J24" s="291" t="str">
        <f>IF(G24&lt;&gt;"",MIDTERM!AM24,"")</f>
        <v>-</v>
      </c>
      <c r="K24" s="292" t="str">
        <f>IF(G24&lt;&gt;"",VLOOKUP(J24,TRANSMUTATION!$A$2:$B$14,2),"")</f>
        <v>INC</v>
      </c>
      <c r="L24" s="291" t="str">
        <f>IF(G24&lt;&gt;"",'PRE-FINALS'!AM24,"")</f>
        <v>-</v>
      </c>
      <c r="M24" s="292" t="str">
        <f>IF(G24&lt;&gt;"",VLOOKUP(L24,TRANSMUTATION!$A$2:$B$14,2),"")</f>
        <v>INC</v>
      </c>
      <c r="N24" s="291" t="str">
        <f>IF(G24&lt;&gt;"",FINALS!AM24,"")</f>
        <v>-</v>
      </c>
      <c r="O24" s="292" t="str">
        <f>IF(G24&lt;&gt;"",VLOOKUP(N24,TRANSMUTATION!$A$2:$B$14,2),"")</f>
        <v>INC</v>
      </c>
      <c r="P24" s="293"/>
      <c r="Q24" s="291" t="b">
        <f t="shared" si="4"/>
        <v>0</v>
      </c>
      <c r="R24" s="291" t="str">
        <f t="shared" si="1"/>
        <v/>
      </c>
      <c r="S24" s="291" t="str">
        <f>IF(G24&lt;&gt;"",IF(R24="","",VLOOKUP(R24,TRANSMUTATION!$A$2:$B$14,2)),"")</f>
        <v/>
      </c>
      <c r="T24" s="294" t="str">
        <f t="shared" si="2"/>
        <v/>
      </c>
      <c r="U24" s="284"/>
    </row>
    <row r="25" spans="2:21" s="103" customFormat="1" ht="15" customHeight="1" x14ac:dyDescent="0.2">
      <c r="B25" s="283"/>
      <c r="C25" s="287">
        <f t="shared" si="3"/>
        <v>19</v>
      </c>
      <c r="D25" s="288" t="str">
        <f t="shared" si="0"/>
        <v/>
      </c>
      <c r="E25" s="286" t="str">
        <f>(IF(Input!D26&lt;&gt;"",Input!D26,""))</f>
        <v>02000491101</v>
      </c>
      <c r="F25" s="289"/>
      <c r="G25" s="290" t="str">
        <f>(IF(Input!F26&lt;&gt;"",Input!F26,""))</f>
        <v>MAHAYHAY,KAREN CAPILI</v>
      </c>
      <c r="H25" s="291">
        <f>IF(G25&lt;&gt;"",PRELIMS!AM25,"")</f>
        <v>93.7</v>
      </c>
      <c r="I25" s="292">
        <f>IF(G25&lt;&gt;"",VLOOKUP(H25,TRANSMUTATION!$A$2:$B$14,2),"")</f>
        <v>1.5</v>
      </c>
      <c r="J25" s="291">
        <f>IF(G25&lt;&gt;"",MIDTERM!AM25,"")</f>
        <v>82.14</v>
      </c>
      <c r="K25" s="292">
        <f>IF(G25&lt;&gt;"",VLOOKUP(J25,TRANSMUTATION!$A$2:$B$14,2),"")</f>
        <v>2</v>
      </c>
      <c r="L25" s="291" t="str">
        <f>IF(G25&lt;&gt;"",'PRE-FINALS'!AM25,"")</f>
        <v>-</v>
      </c>
      <c r="M25" s="292" t="str">
        <f>IF(G25&lt;&gt;"",VLOOKUP(L25,TRANSMUTATION!$A$2:$B$14,2),"")</f>
        <v>INC</v>
      </c>
      <c r="N25" s="291" t="str">
        <f>IF(G25&lt;&gt;"",FINALS!AM25,"")</f>
        <v>-</v>
      </c>
      <c r="O25" s="292" t="str">
        <f>IF(G25&lt;&gt;"",VLOOKUP(N25,TRANSMUTATION!$A$2:$B$14,2),"")</f>
        <v>INC</v>
      </c>
      <c r="P25" s="293"/>
      <c r="Q25" s="291" t="b">
        <f t="shared" si="4"/>
        <v>0</v>
      </c>
      <c r="R25" s="291" t="str">
        <f t="shared" si="1"/>
        <v/>
      </c>
      <c r="S25" s="291" t="str">
        <f>IF(G25&lt;&gt;"",IF(R25="","",VLOOKUP(R25,TRANSMUTATION!$A$2:$B$14,2)),"")</f>
        <v/>
      </c>
      <c r="T25" s="294" t="str">
        <f t="shared" si="2"/>
        <v/>
      </c>
      <c r="U25" s="284"/>
    </row>
    <row r="26" spans="2:21" s="103" customFormat="1" ht="15" customHeight="1" x14ac:dyDescent="0.2">
      <c r="B26" s="283"/>
      <c r="C26" s="287">
        <f t="shared" si="3"/>
        <v>20</v>
      </c>
      <c r="D26" s="288" t="str">
        <f t="shared" si="0"/>
        <v/>
      </c>
      <c r="E26" s="286" t="str">
        <f>(IF(Input!D27&lt;&gt;"",Input!D27,""))</f>
        <v>02000510558</v>
      </c>
      <c r="F26" s="289"/>
      <c r="G26" s="290" t="str">
        <f>(IF(Input!F27&lt;&gt;"",Input!F27,""))</f>
        <v>MASMELA,MARK IVAN GERBOLINGON</v>
      </c>
      <c r="H26" s="291">
        <f>IF(G26&lt;&gt;"",PRELIMS!AM26,"")</f>
        <v>48.76</v>
      </c>
      <c r="I26" s="292">
        <f>IF(G26&lt;&gt;"",VLOOKUP(H26,TRANSMUTATION!$A$2:$B$14,2),"")</f>
        <v>5</v>
      </c>
      <c r="J26" s="291">
        <f>IF(G26&lt;&gt;"",MIDTERM!AM26,"")</f>
        <v>80.05</v>
      </c>
      <c r="K26" s="292">
        <f>IF(G26&lt;&gt;"",VLOOKUP(J26,TRANSMUTATION!$A$2:$B$14,2),"")</f>
        <v>2.25</v>
      </c>
      <c r="L26" s="291" t="str">
        <f>IF(G26&lt;&gt;"",'PRE-FINALS'!AM26,"")</f>
        <v>-</v>
      </c>
      <c r="M26" s="292" t="str">
        <f>IF(G26&lt;&gt;"",VLOOKUP(L26,TRANSMUTATION!$A$2:$B$14,2),"")</f>
        <v>INC</v>
      </c>
      <c r="N26" s="291" t="str">
        <f>IF(G26&lt;&gt;"",FINALS!AM26,"")</f>
        <v>-</v>
      </c>
      <c r="O26" s="292" t="str">
        <f>IF(G26&lt;&gt;"",VLOOKUP(N26,TRANSMUTATION!$A$2:$B$14,2),"")</f>
        <v>INC</v>
      </c>
      <c r="P26" s="293"/>
      <c r="Q26" s="291" t="b">
        <f t="shared" si="4"/>
        <v>0</v>
      </c>
      <c r="R26" s="291" t="str">
        <f t="shared" si="1"/>
        <v/>
      </c>
      <c r="S26" s="291" t="str">
        <f>IF(G26&lt;&gt;"",IF(R26="","",VLOOKUP(R26,TRANSMUTATION!$A$2:$B$14,2)),"")</f>
        <v/>
      </c>
      <c r="T26" s="294" t="str">
        <f t="shared" si="2"/>
        <v/>
      </c>
      <c r="U26" s="284"/>
    </row>
    <row r="27" spans="2:21" s="103" customFormat="1" ht="15" customHeight="1" x14ac:dyDescent="0.2">
      <c r="B27" s="283"/>
      <c r="C27" s="287">
        <f t="shared" si="3"/>
        <v>21</v>
      </c>
      <c r="D27" s="288" t="str">
        <f t="shared" si="0"/>
        <v/>
      </c>
      <c r="E27" s="286" t="str">
        <f>(IF(Input!D28&lt;&gt;"",Input!D28,""))</f>
        <v>02000503091</v>
      </c>
      <c r="F27" s="289"/>
      <c r="G27" s="290" t="str">
        <f>(IF(Input!F28&lt;&gt;"",Input!F28,""))</f>
        <v>NOLLORA,ABEGAIL ALARCON</v>
      </c>
      <c r="H27" s="291">
        <f>IF(G27&lt;&gt;"",PRELIMS!AM27,"")</f>
        <v>48.76</v>
      </c>
      <c r="I27" s="292">
        <f>IF(G27&lt;&gt;"",VLOOKUP(H27,TRANSMUTATION!$A$2:$B$14,2),"")</f>
        <v>5</v>
      </c>
      <c r="J27" s="291">
        <f>IF(G27&lt;&gt;"",MIDTERM!AM27,"")</f>
        <v>58.38</v>
      </c>
      <c r="K27" s="292">
        <f>IF(G27&lt;&gt;"",VLOOKUP(J27,TRANSMUTATION!$A$2:$B$14,2),"")</f>
        <v>5</v>
      </c>
      <c r="L27" s="291" t="str">
        <f>IF(G27&lt;&gt;"",'PRE-FINALS'!AM27,"")</f>
        <v>-</v>
      </c>
      <c r="M27" s="292" t="str">
        <f>IF(G27&lt;&gt;"",VLOOKUP(L27,TRANSMUTATION!$A$2:$B$14,2),"")</f>
        <v>INC</v>
      </c>
      <c r="N27" s="291" t="str">
        <f>IF(G27&lt;&gt;"",FINALS!AM27,"")</f>
        <v>-</v>
      </c>
      <c r="O27" s="292" t="str">
        <f>IF(G27&lt;&gt;"",VLOOKUP(N27,TRANSMUTATION!$A$2:$B$14,2),"")</f>
        <v>INC</v>
      </c>
      <c r="P27" s="293"/>
      <c r="Q27" s="291" t="b">
        <f t="shared" si="4"/>
        <v>0</v>
      </c>
      <c r="R27" s="291" t="str">
        <f t="shared" si="1"/>
        <v/>
      </c>
      <c r="S27" s="291" t="str">
        <f>IF(G27&lt;&gt;"",IF(R27="","",VLOOKUP(R27,TRANSMUTATION!$A$2:$B$14,2)),"")</f>
        <v/>
      </c>
      <c r="T27" s="294" t="str">
        <f t="shared" si="2"/>
        <v/>
      </c>
      <c r="U27" s="284"/>
    </row>
    <row r="28" spans="2:21" s="103" customFormat="1" ht="15" customHeight="1" x14ac:dyDescent="0.2">
      <c r="B28" s="283"/>
      <c r="C28" s="287">
        <f t="shared" si="3"/>
        <v>22</v>
      </c>
      <c r="D28" s="288" t="str">
        <f t="shared" si="0"/>
        <v/>
      </c>
      <c r="E28" s="286" t="str">
        <f>(IF(Input!D29&lt;&gt;"",Input!D29,""))</f>
        <v>02000510390</v>
      </c>
      <c r="F28" s="289"/>
      <c r="G28" s="290" t="str">
        <f>(IF(Input!F29&lt;&gt;"",Input!F29,""))</f>
        <v>QUIOM,JELSIE DIMASAYAO</v>
      </c>
      <c r="H28" s="291">
        <f>IF(G28&lt;&gt;"",PRELIMS!AM28,"")</f>
        <v>66.900000000000006</v>
      </c>
      <c r="I28" s="292">
        <f>IF(G28&lt;&gt;"",VLOOKUP(H28,TRANSMUTATION!$A$2:$B$14,2),"")</f>
        <v>2.75</v>
      </c>
      <c r="J28" s="291">
        <f>IF(G28&lt;&gt;"",MIDTERM!AM28,"")</f>
        <v>63.36</v>
      </c>
      <c r="K28" s="292">
        <f>IF(G28&lt;&gt;"",VLOOKUP(J28,TRANSMUTATION!$A$2:$B$14,2),"")</f>
        <v>3</v>
      </c>
      <c r="L28" s="291" t="str">
        <f>IF(G28&lt;&gt;"",'PRE-FINALS'!AM28,"")</f>
        <v>-</v>
      </c>
      <c r="M28" s="292" t="str">
        <f>IF(G28&lt;&gt;"",VLOOKUP(L28,TRANSMUTATION!$A$2:$B$14,2),"")</f>
        <v>INC</v>
      </c>
      <c r="N28" s="291" t="str">
        <f>IF(G28&lt;&gt;"",FINALS!AM28,"")</f>
        <v>-</v>
      </c>
      <c r="O28" s="292" t="str">
        <f>IF(G28&lt;&gt;"",VLOOKUP(N28,TRANSMUTATION!$A$2:$B$14,2),"")</f>
        <v>INC</v>
      </c>
      <c r="P28" s="293"/>
      <c r="Q28" s="291" t="b">
        <f t="shared" si="4"/>
        <v>0</v>
      </c>
      <c r="R28" s="291" t="str">
        <f t="shared" si="1"/>
        <v/>
      </c>
      <c r="S28" s="291" t="str">
        <f>IF(G28&lt;&gt;"",IF(R28="","",VLOOKUP(R28,TRANSMUTATION!$A$2:$B$14,2)),"")</f>
        <v/>
      </c>
      <c r="T28" s="294" t="str">
        <f t="shared" si="2"/>
        <v/>
      </c>
      <c r="U28" s="284"/>
    </row>
    <row r="29" spans="2:21" s="103" customFormat="1" ht="15" customHeight="1" x14ac:dyDescent="0.2">
      <c r="B29" s="283"/>
      <c r="C29" s="287">
        <f t="shared" si="3"/>
        <v>23</v>
      </c>
      <c r="D29" s="288" t="str">
        <f t="shared" si="0"/>
        <v/>
      </c>
      <c r="E29" s="286" t="str">
        <f>(IF(Input!D30&lt;&gt;"",Input!D30,""))</f>
        <v>02000493122</v>
      </c>
      <c r="F29" s="289"/>
      <c r="G29" s="290" t="str">
        <f>(IF(Input!F30&lt;&gt;"",Input!F30,""))</f>
        <v>ROSENTO,MAE NATHALIE ORCENE</v>
      </c>
      <c r="H29" s="291">
        <f>IF(G29&lt;&gt;"",PRELIMS!AM29,"")</f>
        <v>91.19</v>
      </c>
      <c r="I29" s="292">
        <f>IF(G29&lt;&gt;"",VLOOKUP(H29,TRANSMUTATION!$A$2:$B$14,2),"")</f>
        <v>1.75</v>
      </c>
      <c r="J29" s="291">
        <f>IF(G29&lt;&gt;"",MIDTERM!AM29,"")</f>
        <v>81.05</v>
      </c>
      <c r="K29" s="292">
        <f>IF(G29&lt;&gt;"",VLOOKUP(J29,TRANSMUTATION!$A$2:$B$14,2),"")</f>
        <v>2.25</v>
      </c>
      <c r="L29" s="291" t="str">
        <f>IF(G29&lt;&gt;"",'PRE-FINALS'!AM29,"")</f>
        <v>-</v>
      </c>
      <c r="M29" s="292" t="str">
        <f>IF(G29&lt;&gt;"",VLOOKUP(L29,TRANSMUTATION!$A$2:$B$14,2),"")</f>
        <v>INC</v>
      </c>
      <c r="N29" s="291" t="str">
        <f>IF(G29&lt;&gt;"",FINALS!AM29,"")</f>
        <v>-</v>
      </c>
      <c r="O29" s="292" t="str">
        <f>IF(G29&lt;&gt;"",VLOOKUP(N29,TRANSMUTATION!$A$2:$B$14,2),"")</f>
        <v>INC</v>
      </c>
      <c r="P29" s="293"/>
      <c r="Q29" s="291" t="b">
        <f t="shared" si="4"/>
        <v>0</v>
      </c>
      <c r="R29" s="291" t="str">
        <f t="shared" si="1"/>
        <v/>
      </c>
      <c r="S29" s="291" t="str">
        <f>IF(G29&lt;&gt;"",IF(R29="","",VLOOKUP(R29,TRANSMUTATION!$A$2:$B$14,2)),"")</f>
        <v/>
      </c>
      <c r="T29" s="294" t="str">
        <f t="shared" si="2"/>
        <v/>
      </c>
      <c r="U29" s="284"/>
    </row>
    <row r="30" spans="2:21" s="103" customFormat="1" ht="15" customHeight="1" x14ac:dyDescent="0.2">
      <c r="B30" s="283"/>
      <c r="C30" s="287">
        <f t="shared" si="3"/>
        <v>24</v>
      </c>
      <c r="D30" s="288" t="str">
        <f t="shared" si="0"/>
        <v/>
      </c>
      <c r="E30" s="286" t="str">
        <f>(IF(Input!D31&lt;&gt;"",Input!D31,""))</f>
        <v>02000508992</v>
      </c>
      <c r="F30" s="289"/>
      <c r="G30" s="290" t="str">
        <f>(IF(Input!F31&lt;&gt;"",Input!F31,""))</f>
        <v>UREÑA,KIMBERLY MANLAPAS</v>
      </c>
      <c r="H30" s="291">
        <f>IF(G30&lt;&gt;"",PRELIMS!AM30,"")</f>
        <v>93.15</v>
      </c>
      <c r="I30" s="292">
        <f>IF(G30&lt;&gt;"",VLOOKUP(H30,TRANSMUTATION!$A$2:$B$14,2),"")</f>
        <v>1.5</v>
      </c>
      <c r="J30" s="291">
        <f>IF(G30&lt;&gt;"",MIDTERM!AM30,"")</f>
        <v>63.76</v>
      </c>
      <c r="K30" s="292">
        <f>IF(G30&lt;&gt;"",VLOOKUP(J30,TRANSMUTATION!$A$2:$B$14,2),"")</f>
        <v>3</v>
      </c>
      <c r="L30" s="291" t="str">
        <f>IF(G30&lt;&gt;"",'PRE-FINALS'!AM30,"")</f>
        <v>-</v>
      </c>
      <c r="M30" s="292" t="str">
        <f>IF(G30&lt;&gt;"",VLOOKUP(L30,TRANSMUTATION!$A$2:$B$14,2),"")</f>
        <v>INC</v>
      </c>
      <c r="N30" s="291" t="str">
        <f>IF(G30&lt;&gt;"",FINALS!AM30,"")</f>
        <v>-</v>
      </c>
      <c r="O30" s="292" t="str">
        <f>IF(G30&lt;&gt;"",VLOOKUP(N30,TRANSMUTATION!$A$2:$B$14,2),"")</f>
        <v>INC</v>
      </c>
      <c r="P30" s="293"/>
      <c r="Q30" s="291" t="b">
        <f t="shared" si="4"/>
        <v>0</v>
      </c>
      <c r="R30" s="291" t="str">
        <f t="shared" si="1"/>
        <v/>
      </c>
      <c r="S30" s="291" t="str">
        <f>IF(G30&lt;&gt;"",IF(R30="","",VLOOKUP(R30,TRANSMUTATION!$A$2:$B$14,2)),"")</f>
        <v/>
      </c>
      <c r="T30" s="294" t="str">
        <f t="shared" si="2"/>
        <v/>
      </c>
      <c r="U30" s="284"/>
    </row>
    <row r="31" spans="2:21" s="103" customFormat="1" ht="15" customHeight="1" x14ac:dyDescent="0.2">
      <c r="B31" s="283"/>
      <c r="C31" s="287">
        <f t="shared" si="3"/>
        <v>25</v>
      </c>
      <c r="D31" s="288" t="str">
        <f t="shared" si="0"/>
        <v/>
      </c>
      <c r="E31" s="286" t="str">
        <f>(IF(Input!D32&lt;&gt;"",Input!D32,""))</f>
        <v>02000510378</v>
      </c>
      <c r="F31" s="289"/>
      <c r="G31" s="290" t="str">
        <f>(IF(Input!F32&lt;&gt;"",Input!F32,""))</f>
        <v>YABUT,ALIYAH CLAIRE BIEN</v>
      </c>
      <c r="H31" s="291">
        <f>IF(G31&lt;&gt;"",PRELIMS!AM31,"")</f>
        <v>93.39</v>
      </c>
      <c r="I31" s="292">
        <f>IF(G31&lt;&gt;"",VLOOKUP(H31,TRANSMUTATION!$A$2:$B$14,2),"")</f>
        <v>1.5</v>
      </c>
      <c r="J31" s="291">
        <f>IF(G31&lt;&gt;"",MIDTERM!AM31,"")</f>
        <v>71.69</v>
      </c>
      <c r="K31" s="292">
        <f>IF(G31&lt;&gt;"",VLOOKUP(J31,TRANSMUTATION!$A$2:$B$14,2),"")</f>
        <v>2.5</v>
      </c>
      <c r="L31" s="291" t="str">
        <f>IF(G31&lt;&gt;"",'PRE-FINALS'!AM31,"")</f>
        <v>-</v>
      </c>
      <c r="M31" s="292" t="str">
        <f>IF(G31&lt;&gt;"",VLOOKUP(L31,TRANSMUTATION!$A$2:$B$14,2),"")</f>
        <v>INC</v>
      </c>
      <c r="N31" s="291" t="str">
        <f>IF(G31&lt;&gt;"",FINALS!AM31,"")</f>
        <v>-</v>
      </c>
      <c r="O31" s="292" t="str">
        <f>IF(G31&lt;&gt;"",VLOOKUP(N31,TRANSMUTATION!$A$2:$B$14,2),"")</f>
        <v>INC</v>
      </c>
      <c r="P31" s="293"/>
      <c r="Q31" s="291" t="b">
        <f t="shared" si="4"/>
        <v>0</v>
      </c>
      <c r="R31" s="291" t="str">
        <f t="shared" si="1"/>
        <v/>
      </c>
      <c r="S31" s="291" t="str">
        <f>IF(G31&lt;&gt;"",IF(R31="","",VLOOKUP(R31,TRANSMUTATION!$A$2:$B$14,2)),"")</f>
        <v/>
      </c>
      <c r="T31" s="294" t="str">
        <f t="shared" si="2"/>
        <v/>
      </c>
      <c r="U31" s="284"/>
    </row>
    <row r="32" spans="2:21" s="103" customFormat="1" ht="15" customHeight="1" x14ac:dyDescent="0.2">
      <c r="B32" s="283"/>
      <c r="C32" s="287">
        <f t="shared" si="3"/>
        <v>26</v>
      </c>
      <c r="D32" s="288" t="str">
        <f t="shared" si="0"/>
        <v/>
      </c>
      <c r="E32" s="286" t="str">
        <f>(IF(Input!D33&lt;&gt;"",Input!D33,""))</f>
        <v/>
      </c>
      <c r="F32" s="289"/>
      <c r="G32" s="290" t="str">
        <f>(IF(Input!F33&lt;&gt;"",Input!F33,""))</f>
        <v/>
      </c>
      <c r="H32" s="291" t="str">
        <f>IF(G32&lt;&gt;"",PRELIMS!AM32,"")</f>
        <v/>
      </c>
      <c r="I32" s="292" t="str">
        <f>IF(G32&lt;&gt;"",VLOOKUP(H32,TRANSMUTATION!$A$2:$B$14,2),"")</f>
        <v/>
      </c>
      <c r="J32" s="291" t="str">
        <f>IF(G32&lt;&gt;"",MIDTERM!AM32,"")</f>
        <v/>
      </c>
      <c r="K32" s="292" t="str">
        <f>IF(G32&lt;&gt;"",VLOOKUP(J32,TRANSMUTATION!$A$2:$B$14,2),"")</f>
        <v/>
      </c>
      <c r="L32" s="291" t="str">
        <f>IF(G32&lt;&gt;"",'PRE-FINALS'!AM32,"")</f>
        <v/>
      </c>
      <c r="M32" s="292" t="str">
        <f>IF(G32&lt;&gt;"",VLOOKUP(L32,TRANSMUTATION!$A$2:$B$14,2),"")</f>
        <v/>
      </c>
      <c r="N32" s="291" t="str">
        <f>IF(G32&lt;&gt;"",FINALS!AM32,"")</f>
        <v/>
      </c>
      <c r="O32" s="292" t="str">
        <f>IF(G32&lt;&gt;"",VLOOKUP(N32,TRANSMUTATION!$A$2:$B$14,2),"")</f>
        <v/>
      </c>
      <c r="P32" s="293"/>
      <c r="Q32" s="291" t="b">
        <f t="shared" si="4"/>
        <v>0</v>
      </c>
      <c r="R32" s="291" t="str">
        <f t="shared" si="1"/>
        <v/>
      </c>
      <c r="S32" s="291" t="str">
        <f>IF(G32&lt;&gt;"",IF(R32="","",VLOOKUP(R32,TRANSMUTATION!$A$2:$B$14,2)),"")</f>
        <v/>
      </c>
      <c r="T32" s="294" t="str">
        <f t="shared" si="2"/>
        <v/>
      </c>
      <c r="U32" s="284"/>
    </row>
    <row r="33" spans="2:21" s="103" customFormat="1" ht="15" customHeight="1" x14ac:dyDescent="0.2">
      <c r="B33" s="283"/>
      <c r="C33" s="287">
        <f t="shared" si="3"/>
        <v>27</v>
      </c>
      <c r="D33" s="288" t="str">
        <f t="shared" si="0"/>
        <v/>
      </c>
      <c r="E33" s="286" t="str">
        <f>(IF(Input!D34&lt;&gt;"",Input!D34,""))</f>
        <v/>
      </c>
      <c r="F33" s="289"/>
      <c r="G33" s="290" t="str">
        <f>(IF(Input!F34&lt;&gt;"",Input!F34,""))</f>
        <v/>
      </c>
      <c r="H33" s="291" t="str">
        <f>IF(G33&lt;&gt;"",PRELIMS!AM33,"")</f>
        <v/>
      </c>
      <c r="I33" s="292" t="str">
        <f>IF(G33&lt;&gt;"",VLOOKUP(H33,TRANSMUTATION!$A$2:$B$14,2),"")</f>
        <v/>
      </c>
      <c r="J33" s="291" t="str">
        <f>IF(G33&lt;&gt;"",MIDTERM!AM33,"")</f>
        <v/>
      </c>
      <c r="K33" s="292" t="str">
        <f>IF(G33&lt;&gt;"",VLOOKUP(J33,TRANSMUTATION!$A$2:$B$14,2),"")</f>
        <v/>
      </c>
      <c r="L33" s="291" t="str">
        <f>IF(G33&lt;&gt;"",'PRE-FINALS'!AM33,"")</f>
        <v/>
      </c>
      <c r="M33" s="292" t="str">
        <f>IF(G33&lt;&gt;"",VLOOKUP(L33,TRANSMUTATION!$A$2:$B$14,2),"")</f>
        <v/>
      </c>
      <c r="N33" s="291" t="str">
        <f>IF(G33&lt;&gt;"",FINALS!AM33,"")</f>
        <v/>
      </c>
      <c r="O33" s="292" t="str">
        <f>IF(G33&lt;&gt;"",VLOOKUP(N33,TRANSMUTATION!$A$2:$B$14,2),"")</f>
        <v/>
      </c>
      <c r="P33" s="293"/>
      <c r="Q33" s="291" t="b">
        <f t="shared" si="4"/>
        <v>0</v>
      </c>
      <c r="R33" s="291" t="str">
        <f t="shared" si="1"/>
        <v/>
      </c>
      <c r="S33" s="291" t="str">
        <f>IF(G33&lt;&gt;"",IF(R33="","",VLOOKUP(R33,TRANSMUTATION!$A$2:$B$14,2)),"")</f>
        <v/>
      </c>
      <c r="T33" s="294" t="str">
        <f t="shared" si="2"/>
        <v/>
      </c>
      <c r="U33" s="284"/>
    </row>
    <row r="34" spans="2:21" s="103" customFormat="1" ht="15" customHeight="1" x14ac:dyDescent="0.2">
      <c r="B34" s="283"/>
      <c r="C34" s="287">
        <f t="shared" si="3"/>
        <v>28</v>
      </c>
      <c r="D34" s="288" t="str">
        <f t="shared" si="0"/>
        <v/>
      </c>
      <c r="E34" s="286" t="str">
        <f>(IF(Input!D35&lt;&gt;"",Input!D35,""))</f>
        <v/>
      </c>
      <c r="F34" s="289"/>
      <c r="G34" s="290" t="str">
        <f>(IF(Input!F35&lt;&gt;"",Input!F35,""))</f>
        <v/>
      </c>
      <c r="H34" s="291" t="str">
        <f>IF(G34&lt;&gt;"",PRELIMS!AM34,"")</f>
        <v/>
      </c>
      <c r="I34" s="292" t="str">
        <f>IF(G34&lt;&gt;"",VLOOKUP(H34,TRANSMUTATION!$A$2:$B$14,2),"")</f>
        <v/>
      </c>
      <c r="J34" s="291" t="str">
        <f>IF(G34&lt;&gt;"",MIDTERM!AM34,"")</f>
        <v/>
      </c>
      <c r="K34" s="292" t="str">
        <f>IF(G34&lt;&gt;"",VLOOKUP(J34,TRANSMUTATION!$A$2:$B$14,2),"")</f>
        <v/>
      </c>
      <c r="L34" s="291" t="str">
        <f>IF(G34&lt;&gt;"",'PRE-FINALS'!AM34,"")</f>
        <v/>
      </c>
      <c r="M34" s="292" t="str">
        <f>IF(G34&lt;&gt;"",VLOOKUP(L34,TRANSMUTATION!$A$2:$B$14,2),"")</f>
        <v/>
      </c>
      <c r="N34" s="291" t="str">
        <f>IF(G34&lt;&gt;"",FINALS!AM34,"")</f>
        <v/>
      </c>
      <c r="O34" s="292" t="str">
        <f>IF(G34&lt;&gt;"",VLOOKUP(N34,TRANSMUTATION!$A$2:$B$14,2),"")</f>
        <v/>
      </c>
      <c r="P34" s="293"/>
      <c r="Q34" s="291" t="b">
        <f t="shared" si="4"/>
        <v>0</v>
      </c>
      <c r="R34" s="291" t="str">
        <f t="shared" si="1"/>
        <v/>
      </c>
      <c r="S34" s="291" t="str">
        <f>IF(G34&lt;&gt;"",IF(R34="","",VLOOKUP(R34,TRANSMUTATION!$A$2:$B$14,2)),"")</f>
        <v/>
      </c>
      <c r="T34" s="294" t="str">
        <f t="shared" si="2"/>
        <v/>
      </c>
      <c r="U34" s="284"/>
    </row>
    <row r="35" spans="2:21" s="103" customFormat="1" ht="15" customHeight="1" x14ac:dyDescent="0.2">
      <c r="B35" s="283"/>
      <c r="C35" s="287">
        <f t="shared" si="3"/>
        <v>29</v>
      </c>
      <c r="D35" s="288" t="str">
        <f t="shared" si="0"/>
        <v/>
      </c>
      <c r="E35" s="286" t="str">
        <f>(IF(Input!D36&lt;&gt;"",Input!D36,""))</f>
        <v/>
      </c>
      <c r="F35" s="289"/>
      <c r="G35" s="290" t="str">
        <f>(IF(Input!F36&lt;&gt;"",Input!F36,""))</f>
        <v/>
      </c>
      <c r="H35" s="291" t="str">
        <f>IF(G35&lt;&gt;"",PRELIMS!AM35,"")</f>
        <v/>
      </c>
      <c r="I35" s="292" t="str">
        <f>IF(G35&lt;&gt;"",VLOOKUP(H35,TRANSMUTATION!$A$2:$B$14,2),"")</f>
        <v/>
      </c>
      <c r="J35" s="291" t="str">
        <f>IF(G35&lt;&gt;"",MIDTERM!AM35,"")</f>
        <v/>
      </c>
      <c r="K35" s="292" t="str">
        <f>IF(G35&lt;&gt;"",VLOOKUP(J35,TRANSMUTATION!$A$2:$B$14,2),"")</f>
        <v/>
      </c>
      <c r="L35" s="291" t="str">
        <f>IF(G35&lt;&gt;"",'PRE-FINALS'!AM35,"")</f>
        <v/>
      </c>
      <c r="M35" s="292" t="str">
        <f>IF(G35&lt;&gt;"",VLOOKUP(L35,TRANSMUTATION!$A$2:$B$14,2),"")</f>
        <v/>
      </c>
      <c r="N35" s="291" t="str">
        <f>IF(G35&lt;&gt;"",FINALS!AM35,"")</f>
        <v/>
      </c>
      <c r="O35" s="292" t="str">
        <f>IF(G35&lt;&gt;"",VLOOKUP(N35,TRANSMUTATION!$A$2:$B$14,2),"")</f>
        <v/>
      </c>
      <c r="P35" s="293"/>
      <c r="Q35" s="291" t="b">
        <f t="shared" si="4"/>
        <v>0</v>
      </c>
      <c r="R35" s="291" t="str">
        <f t="shared" si="1"/>
        <v/>
      </c>
      <c r="S35" s="291" t="str">
        <f>IF(G35&lt;&gt;"",IF(R35="","",VLOOKUP(R35,TRANSMUTATION!$A$2:$B$14,2)),"")</f>
        <v/>
      </c>
      <c r="T35" s="294" t="str">
        <f t="shared" si="2"/>
        <v/>
      </c>
      <c r="U35" s="284"/>
    </row>
    <row r="36" spans="2:21" s="103" customFormat="1" ht="15" customHeight="1" x14ac:dyDescent="0.2">
      <c r="B36" s="283"/>
      <c r="C36" s="287">
        <f t="shared" si="3"/>
        <v>30</v>
      </c>
      <c r="D36" s="288" t="str">
        <f t="shared" si="0"/>
        <v/>
      </c>
      <c r="E36" s="286" t="str">
        <f>(IF(Input!D37&lt;&gt;"",Input!D37,""))</f>
        <v/>
      </c>
      <c r="F36" s="289"/>
      <c r="G36" s="290" t="str">
        <f>(IF(Input!F37&lt;&gt;"",Input!F37,""))</f>
        <v/>
      </c>
      <c r="H36" s="291" t="str">
        <f>IF(G36&lt;&gt;"",PRELIMS!AM36,"")</f>
        <v/>
      </c>
      <c r="I36" s="292" t="str">
        <f>IF(G36&lt;&gt;"",VLOOKUP(H36,TRANSMUTATION!$A$2:$B$14,2),"")</f>
        <v/>
      </c>
      <c r="J36" s="291" t="str">
        <f>IF(G36&lt;&gt;"",MIDTERM!AM36,"")</f>
        <v/>
      </c>
      <c r="K36" s="292" t="str">
        <f>IF(G36&lt;&gt;"",VLOOKUP(J36,TRANSMUTATION!$A$2:$B$14,2),"")</f>
        <v/>
      </c>
      <c r="L36" s="291" t="str">
        <f>IF(G36&lt;&gt;"",'PRE-FINALS'!AM36,"")</f>
        <v/>
      </c>
      <c r="M36" s="292" t="str">
        <f>IF(G36&lt;&gt;"",VLOOKUP(L36,TRANSMUTATION!$A$2:$B$14,2),"")</f>
        <v/>
      </c>
      <c r="N36" s="291" t="str">
        <f>IF(G36&lt;&gt;"",FINALS!AM36,"")</f>
        <v/>
      </c>
      <c r="O36" s="292" t="str">
        <f>IF(G36&lt;&gt;"",VLOOKUP(N36,TRANSMUTATION!$A$2:$B$14,2),"")</f>
        <v/>
      </c>
      <c r="P36" s="293"/>
      <c r="Q36" s="291" t="b">
        <f t="shared" si="4"/>
        <v>0</v>
      </c>
      <c r="R36" s="291" t="str">
        <f t="shared" si="1"/>
        <v/>
      </c>
      <c r="S36" s="291" t="str">
        <f>IF(G36&lt;&gt;"",IF(R36="","",VLOOKUP(R36,TRANSMUTATION!$A$2:$B$14,2)),"")</f>
        <v/>
      </c>
      <c r="T36" s="294" t="str">
        <f t="shared" si="2"/>
        <v/>
      </c>
      <c r="U36" s="284"/>
    </row>
    <row r="37" spans="2:21" s="103" customFormat="1" ht="15" customHeight="1" x14ac:dyDescent="0.2">
      <c r="B37" s="283"/>
      <c r="C37" s="287">
        <f t="shared" si="3"/>
        <v>31</v>
      </c>
      <c r="D37" s="288" t="str">
        <f t="shared" si="0"/>
        <v/>
      </c>
      <c r="E37" s="286" t="str">
        <f>(IF(Input!D38&lt;&gt;"",Input!D38,""))</f>
        <v/>
      </c>
      <c r="F37" s="289"/>
      <c r="G37" s="290" t="str">
        <f>(IF(Input!F38&lt;&gt;"",Input!F38,""))</f>
        <v/>
      </c>
      <c r="H37" s="291" t="str">
        <f>IF(G37&lt;&gt;"",PRELIMS!AM37,"")</f>
        <v/>
      </c>
      <c r="I37" s="292" t="str">
        <f>IF(G37&lt;&gt;"",VLOOKUP(H37,TRANSMUTATION!$A$2:$B$14,2),"")</f>
        <v/>
      </c>
      <c r="J37" s="291" t="str">
        <f>IF(G37&lt;&gt;"",MIDTERM!AM37,"")</f>
        <v/>
      </c>
      <c r="K37" s="292" t="str">
        <f>IF(G37&lt;&gt;"",VLOOKUP(J37,TRANSMUTATION!$A$2:$B$14,2),"")</f>
        <v/>
      </c>
      <c r="L37" s="291" t="str">
        <f>IF(G37&lt;&gt;"",'PRE-FINALS'!AM37,"")</f>
        <v/>
      </c>
      <c r="M37" s="292" t="str">
        <f>IF(G37&lt;&gt;"",VLOOKUP(L37,TRANSMUTATION!$A$2:$B$14,2),"")</f>
        <v/>
      </c>
      <c r="N37" s="291" t="str">
        <f>IF(G37&lt;&gt;"",FINALS!AM37,"")</f>
        <v/>
      </c>
      <c r="O37" s="292" t="str">
        <f>IF(G37&lt;&gt;"",VLOOKUP(N37,TRANSMUTATION!$A$2:$B$14,2),"")</f>
        <v/>
      </c>
      <c r="P37" s="293"/>
      <c r="Q37" s="291" t="b">
        <f t="shared" ref="Q37:Q49" si="5">IF(H37="Drp","Drp",IF(J37="Drp","Drp",IF(L37="Drp","Drp",IF(N37="Drp","Drp"))))</f>
        <v>0</v>
      </c>
      <c r="R37" s="291" t="str">
        <f t="shared" si="1"/>
        <v/>
      </c>
      <c r="S37" s="291" t="str">
        <f>IF(G37&lt;&gt;"",IF(R37="","",VLOOKUP(R37,TRANSMUTATION!$A$2:$B$14,2)),"")</f>
        <v/>
      </c>
      <c r="T37" s="294" t="str">
        <f t="shared" si="2"/>
        <v/>
      </c>
      <c r="U37" s="284"/>
    </row>
    <row r="38" spans="2:21" s="103" customFormat="1" ht="15" customHeight="1" x14ac:dyDescent="0.2">
      <c r="B38" s="283"/>
      <c r="C38" s="287">
        <f t="shared" si="3"/>
        <v>32</v>
      </c>
      <c r="D38" s="288" t="str">
        <f t="shared" si="0"/>
        <v/>
      </c>
      <c r="E38" s="286" t="str">
        <f>(IF(Input!D39&lt;&gt;"",Input!D39,""))</f>
        <v/>
      </c>
      <c r="F38" s="289"/>
      <c r="G38" s="290" t="str">
        <f>(IF(Input!F39&lt;&gt;"",Input!F39,""))</f>
        <v/>
      </c>
      <c r="H38" s="291" t="str">
        <f>IF(G38&lt;&gt;"",PRELIMS!AM38,"")</f>
        <v/>
      </c>
      <c r="I38" s="292" t="str">
        <f>IF(G38&lt;&gt;"",VLOOKUP(H38,TRANSMUTATION!$A$2:$B$14,2),"")</f>
        <v/>
      </c>
      <c r="J38" s="291" t="str">
        <f>IF(G38&lt;&gt;"",MIDTERM!AM38,"")</f>
        <v/>
      </c>
      <c r="K38" s="292" t="str">
        <f>IF(G38&lt;&gt;"",VLOOKUP(J38,TRANSMUTATION!$A$2:$B$14,2),"")</f>
        <v/>
      </c>
      <c r="L38" s="291" t="str">
        <f>IF(G38&lt;&gt;"",'PRE-FINALS'!AM38,"")</f>
        <v/>
      </c>
      <c r="M38" s="292" t="str">
        <f>IF(G38&lt;&gt;"",VLOOKUP(L38,TRANSMUTATION!$A$2:$B$14,2),"")</f>
        <v/>
      </c>
      <c r="N38" s="291" t="str">
        <f>IF(G38&lt;&gt;"",FINALS!AM38,"")</f>
        <v/>
      </c>
      <c r="O38" s="292" t="str">
        <f>IF(G38&lt;&gt;"",VLOOKUP(N38,TRANSMUTATION!$A$2:$B$14,2),"")</f>
        <v/>
      </c>
      <c r="P38" s="293"/>
      <c r="Q38" s="291" t="b">
        <f t="shared" si="5"/>
        <v>0</v>
      </c>
      <c r="R38" s="291" t="str">
        <f t="shared" si="1"/>
        <v/>
      </c>
      <c r="S38" s="291" t="str">
        <f>IF(G38&lt;&gt;"",IF(R38="","",VLOOKUP(R38,TRANSMUTATION!$A$2:$B$14,2)),"")</f>
        <v/>
      </c>
      <c r="T38" s="294" t="str">
        <f t="shared" si="2"/>
        <v/>
      </c>
      <c r="U38" s="284"/>
    </row>
    <row r="39" spans="2:21" s="103" customFormat="1" ht="15" customHeight="1" x14ac:dyDescent="0.2">
      <c r="B39" s="283"/>
      <c r="C39" s="287">
        <f t="shared" si="3"/>
        <v>33</v>
      </c>
      <c r="D39" s="288" t="str">
        <f t="shared" si="0"/>
        <v/>
      </c>
      <c r="E39" s="286" t="str">
        <f>(IF(Input!D40&lt;&gt;"",Input!D40,""))</f>
        <v/>
      </c>
      <c r="F39" s="289"/>
      <c r="G39" s="290" t="str">
        <f>(IF(Input!F40&lt;&gt;"",Input!F40,""))</f>
        <v/>
      </c>
      <c r="H39" s="291" t="str">
        <f>IF(G39&lt;&gt;"",PRELIMS!AM39,"")</f>
        <v/>
      </c>
      <c r="I39" s="292" t="str">
        <f>IF(G39&lt;&gt;"",VLOOKUP(H39,TRANSMUTATION!$A$2:$B$14,2),"")</f>
        <v/>
      </c>
      <c r="J39" s="291" t="str">
        <f>IF(G39&lt;&gt;"",MIDTERM!AM39,"")</f>
        <v/>
      </c>
      <c r="K39" s="292" t="str">
        <f>IF(G39&lt;&gt;"",VLOOKUP(J39,TRANSMUTATION!$A$2:$B$14,2),"")</f>
        <v/>
      </c>
      <c r="L39" s="291" t="str">
        <f>IF(G39&lt;&gt;"",'PRE-FINALS'!AM39,"")</f>
        <v/>
      </c>
      <c r="M39" s="292" t="str">
        <f>IF(G39&lt;&gt;"",VLOOKUP(L39,TRANSMUTATION!$A$2:$B$14,2),"")</f>
        <v/>
      </c>
      <c r="N39" s="291" t="str">
        <f>IF(G39&lt;&gt;"",FINALS!AM39,"")</f>
        <v/>
      </c>
      <c r="O39" s="292" t="str">
        <f>IF(G39&lt;&gt;"",VLOOKUP(N39,TRANSMUTATION!$A$2:$B$14,2),"")</f>
        <v/>
      </c>
      <c r="P39" s="293"/>
      <c r="Q39" s="291" t="b">
        <f t="shared" si="5"/>
        <v>0</v>
      </c>
      <c r="R39" s="291" t="str">
        <f t="shared" si="1"/>
        <v/>
      </c>
      <c r="S39" s="291" t="str">
        <f>IF(G39&lt;&gt;"",IF(R39="","",VLOOKUP(R39,TRANSMUTATION!$A$2:$B$14,2)),"")</f>
        <v/>
      </c>
      <c r="T39" s="294" t="str">
        <f t="shared" si="2"/>
        <v/>
      </c>
      <c r="U39" s="284"/>
    </row>
    <row r="40" spans="2:21" s="103" customFormat="1" ht="15" customHeight="1" x14ac:dyDescent="0.2">
      <c r="B40" s="283"/>
      <c r="C40" s="287">
        <f t="shared" si="3"/>
        <v>34</v>
      </c>
      <c r="D40" s="288" t="str">
        <f t="shared" si="0"/>
        <v/>
      </c>
      <c r="E40" s="286" t="str">
        <f>(IF(Input!D41&lt;&gt;"",Input!D41,""))</f>
        <v/>
      </c>
      <c r="F40" s="289"/>
      <c r="G40" s="290" t="str">
        <f>(IF(Input!F41&lt;&gt;"",Input!F41,""))</f>
        <v/>
      </c>
      <c r="H40" s="291" t="str">
        <f>IF(G40&lt;&gt;"",PRELIMS!AM40,"")</f>
        <v/>
      </c>
      <c r="I40" s="292" t="str">
        <f>IF(G40&lt;&gt;"",VLOOKUP(H40,TRANSMUTATION!$A$2:$B$14,2),"")</f>
        <v/>
      </c>
      <c r="J40" s="291" t="str">
        <f>IF(G40&lt;&gt;"",MIDTERM!AM40,"")</f>
        <v/>
      </c>
      <c r="K40" s="292" t="str">
        <f>IF(G40&lt;&gt;"",VLOOKUP(J40,TRANSMUTATION!$A$2:$B$14,2),"")</f>
        <v/>
      </c>
      <c r="L40" s="291" t="str">
        <f>IF(G40&lt;&gt;"",'PRE-FINALS'!AM40,"")</f>
        <v/>
      </c>
      <c r="M40" s="292" t="str">
        <f>IF(G40&lt;&gt;"",VLOOKUP(L40,TRANSMUTATION!$A$2:$B$14,2),"")</f>
        <v/>
      </c>
      <c r="N40" s="291" t="str">
        <f>IF(G40&lt;&gt;"",FINALS!AM40,"")</f>
        <v/>
      </c>
      <c r="O40" s="292" t="str">
        <f>IF(G40&lt;&gt;"",VLOOKUP(N40,TRANSMUTATION!$A$2:$B$14,2),"")</f>
        <v/>
      </c>
      <c r="P40" s="293"/>
      <c r="Q40" s="291" t="b">
        <f t="shared" si="5"/>
        <v>0</v>
      </c>
      <c r="R40" s="291" t="str">
        <f t="shared" si="1"/>
        <v/>
      </c>
      <c r="S40" s="291" t="str">
        <f>IF(G40&lt;&gt;"",IF(R40="","",VLOOKUP(R40,TRANSMUTATION!$A$2:$B$14,2)),"")</f>
        <v/>
      </c>
      <c r="T40" s="294" t="str">
        <f t="shared" si="2"/>
        <v/>
      </c>
      <c r="U40" s="284"/>
    </row>
    <row r="41" spans="2:21" s="103" customFormat="1" ht="15" customHeight="1" x14ac:dyDescent="0.2">
      <c r="B41" s="283"/>
      <c r="C41" s="287">
        <f t="shared" si="3"/>
        <v>35</v>
      </c>
      <c r="D41" s="288" t="str">
        <f t="shared" si="0"/>
        <v/>
      </c>
      <c r="E41" s="286" t="str">
        <f>(IF(Input!D42&lt;&gt;"",Input!D42,""))</f>
        <v/>
      </c>
      <c r="F41" s="289"/>
      <c r="G41" s="290" t="str">
        <f>(IF(Input!F42&lt;&gt;"",Input!F42,""))</f>
        <v/>
      </c>
      <c r="H41" s="291" t="str">
        <f>IF(G41&lt;&gt;"",PRELIMS!AM41,"")</f>
        <v/>
      </c>
      <c r="I41" s="292" t="str">
        <f>IF(G41&lt;&gt;"",VLOOKUP(H41,TRANSMUTATION!$A$2:$B$14,2),"")</f>
        <v/>
      </c>
      <c r="J41" s="291" t="str">
        <f>IF(G41&lt;&gt;"",MIDTERM!AM41,"")</f>
        <v/>
      </c>
      <c r="K41" s="292" t="str">
        <f>IF(G41&lt;&gt;"",VLOOKUP(J41,TRANSMUTATION!$A$2:$B$14,2),"")</f>
        <v/>
      </c>
      <c r="L41" s="291" t="str">
        <f>IF(G41&lt;&gt;"",'PRE-FINALS'!AM41,"")</f>
        <v/>
      </c>
      <c r="M41" s="292" t="str">
        <f>IF(G41&lt;&gt;"",VLOOKUP(L41,TRANSMUTATION!$A$2:$B$14,2),"")</f>
        <v/>
      </c>
      <c r="N41" s="291" t="str">
        <f>IF(G41&lt;&gt;"",FINALS!AM41,"")</f>
        <v/>
      </c>
      <c r="O41" s="292" t="str">
        <f>IF(G41&lt;&gt;"",VLOOKUP(N41,TRANSMUTATION!$A$2:$B$14,2),"")</f>
        <v/>
      </c>
      <c r="P41" s="293"/>
      <c r="Q41" s="291" t="b">
        <f t="shared" si="5"/>
        <v>0</v>
      </c>
      <c r="R41" s="291" t="str">
        <f t="shared" si="1"/>
        <v/>
      </c>
      <c r="S41" s="291" t="str">
        <f>IF(G41&lt;&gt;"",IF(R41="","",VLOOKUP(R41,TRANSMUTATION!$A$2:$B$14,2)),"")</f>
        <v/>
      </c>
      <c r="T41" s="294" t="str">
        <f t="shared" si="2"/>
        <v/>
      </c>
      <c r="U41" s="284"/>
    </row>
    <row r="42" spans="2:21" s="103" customFormat="1" ht="15" customHeight="1" x14ac:dyDescent="0.2">
      <c r="B42" s="283"/>
      <c r="C42" s="287">
        <f t="shared" si="3"/>
        <v>36</v>
      </c>
      <c r="D42" s="288" t="str">
        <f t="shared" si="0"/>
        <v/>
      </c>
      <c r="E42" s="286" t="str">
        <f>(IF(Input!D43&lt;&gt;"",Input!D43,""))</f>
        <v/>
      </c>
      <c r="F42" s="289"/>
      <c r="G42" s="290" t="str">
        <f>(IF(Input!F43&lt;&gt;"",Input!F43,""))</f>
        <v/>
      </c>
      <c r="H42" s="291" t="str">
        <f>IF(G42&lt;&gt;"",PRELIMS!AM42,"")</f>
        <v/>
      </c>
      <c r="I42" s="292" t="str">
        <f>IF(G42&lt;&gt;"",VLOOKUP(H42,TRANSMUTATION!$A$2:$B$14,2),"")</f>
        <v/>
      </c>
      <c r="J42" s="291" t="str">
        <f>IF(G42&lt;&gt;"",MIDTERM!AM42,"")</f>
        <v/>
      </c>
      <c r="K42" s="292" t="str">
        <f>IF(G42&lt;&gt;"",VLOOKUP(J42,TRANSMUTATION!$A$2:$B$14,2),"")</f>
        <v/>
      </c>
      <c r="L42" s="291" t="str">
        <f>IF(G42&lt;&gt;"",'PRE-FINALS'!AM42,"")</f>
        <v/>
      </c>
      <c r="M42" s="292" t="str">
        <f>IF(G42&lt;&gt;"",VLOOKUP(L42,TRANSMUTATION!$A$2:$B$14,2),"")</f>
        <v/>
      </c>
      <c r="N42" s="291" t="str">
        <f>IF(G42&lt;&gt;"",FINALS!AM42,"")</f>
        <v/>
      </c>
      <c r="O42" s="292" t="str">
        <f>IF(G42&lt;&gt;"",VLOOKUP(N42,TRANSMUTATION!$A$2:$B$14,2),"")</f>
        <v/>
      </c>
      <c r="P42" s="293"/>
      <c r="Q42" s="291" t="b">
        <f t="shared" si="5"/>
        <v>0</v>
      </c>
      <c r="R42" s="291" t="str">
        <f t="shared" si="1"/>
        <v/>
      </c>
      <c r="S42" s="291" t="str">
        <f>IF(G42&lt;&gt;"",IF(R42="","",VLOOKUP(R42,TRANSMUTATION!$A$2:$B$14,2)),"")</f>
        <v/>
      </c>
      <c r="T42" s="294" t="str">
        <f t="shared" si="2"/>
        <v/>
      </c>
      <c r="U42" s="284"/>
    </row>
    <row r="43" spans="2:21" s="103" customFormat="1" ht="15" customHeight="1" x14ac:dyDescent="0.2">
      <c r="B43" s="283"/>
      <c r="C43" s="287">
        <f t="shared" si="3"/>
        <v>37</v>
      </c>
      <c r="D43" s="288" t="str">
        <f t="shared" si="0"/>
        <v/>
      </c>
      <c r="E43" s="286" t="str">
        <f>(IF(Input!D44&lt;&gt;"",Input!D44,""))</f>
        <v/>
      </c>
      <c r="F43" s="289"/>
      <c r="G43" s="290" t="str">
        <f>(IF(Input!F44&lt;&gt;"",Input!F44,""))</f>
        <v/>
      </c>
      <c r="H43" s="291" t="str">
        <f>IF(G43&lt;&gt;"",PRELIMS!AM43,"")</f>
        <v/>
      </c>
      <c r="I43" s="292" t="str">
        <f>IF(G43&lt;&gt;"",VLOOKUP(H43,TRANSMUTATION!$A$2:$B$14,2),"")</f>
        <v/>
      </c>
      <c r="J43" s="291" t="str">
        <f>IF(G43&lt;&gt;"",MIDTERM!AM43,"")</f>
        <v/>
      </c>
      <c r="K43" s="292" t="str">
        <f>IF(G43&lt;&gt;"",VLOOKUP(J43,TRANSMUTATION!$A$2:$B$14,2),"")</f>
        <v/>
      </c>
      <c r="L43" s="291" t="str">
        <f>IF(G43&lt;&gt;"",'PRE-FINALS'!AM43,"")</f>
        <v/>
      </c>
      <c r="M43" s="292" t="str">
        <f>IF(G43&lt;&gt;"",VLOOKUP(L43,TRANSMUTATION!$A$2:$B$14,2),"")</f>
        <v/>
      </c>
      <c r="N43" s="291" t="str">
        <f>IF(G43&lt;&gt;"",FINALS!AM43,"")</f>
        <v/>
      </c>
      <c r="O43" s="292" t="str">
        <f>IF(G43&lt;&gt;"",VLOOKUP(N43,TRANSMUTATION!$A$2:$B$14,2),"")</f>
        <v/>
      </c>
      <c r="P43" s="293"/>
      <c r="Q43" s="291" t="b">
        <f t="shared" si="5"/>
        <v>0</v>
      </c>
      <c r="R43" s="291" t="str">
        <f t="shared" si="1"/>
        <v/>
      </c>
      <c r="S43" s="291" t="str">
        <f>IF(G43&lt;&gt;"",IF(R43="","",VLOOKUP(R43,TRANSMUTATION!$A$2:$B$14,2)),"")</f>
        <v/>
      </c>
      <c r="T43" s="294" t="str">
        <f t="shared" si="2"/>
        <v/>
      </c>
      <c r="U43" s="284"/>
    </row>
    <row r="44" spans="2:21" s="103" customFormat="1" ht="15" customHeight="1" x14ac:dyDescent="0.2">
      <c r="B44" s="283"/>
      <c r="C44" s="287">
        <f t="shared" si="3"/>
        <v>38</v>
      </c>
      <c r="D44" s="288" t="str">
        <f t="shared" si="0"/>
        <v/>
      </c>
      <c r="E44" s="286" t="str">
        <f>(IF(Input!D45&lt;&gt;"",Input!D45,""))</f>
        <v/>
      </c>
      <c r="F44" s="289"/>
      <c r="G44" s="290" t="str">
        <f>(IF(Input!F45&lt;&gt;"",Input!F45,""))</f>
        <v/>
      </c>
      <c r="H44" s="291" t="str">
        <f>IF(G44&lt;&gt;"",PRELIMS!AM44,"")</f>
        <v/>
      </c>
      <c r="I44" s="292" t="str">
        <f>IF(G44&lt;&gt;"",VLOOKUP(H44,TRANSMUTATION!$A$2:$B$14,2),"")</f>
        <v/>
      </c>
      <c r="J44" s="291" t="str">
        <f>IF(G44&lt;&gt;"",MIDTERM!AM44,"")</f>
        <v/>
      </c>
      <c r="K44" s="292" t="str">
        <f>IF(G44&lt;&gt;"",VLOOKUP(J44,TRANSMUTATION!$A$2:$B$14,2),"")</f>
        <v/>
      </c>
      <c r="L44" s="291" t="str">
        <f>IF(G44&lt;&gt;"",'PRE-FINALS'!AM44,"")</f>
        <v/>
      </c>
      <c r="M44" s="292" t="str">
        <f>IF(G44&lt;&gt;"",VLOOKUP(L44,TRANSMUTATION!$A$2:$B$14,2),"")</f>
        <v/>
      </c>
      <c r="N44" s="291" t="str">
        <f>IF(G44&lt;&gt;"",FINALS!AM44,"")</f>
        <v/>
      </c>
      <c r="O44" s="292" t="str">
        <f>IF(G44&lt;&gt;"",VLOOKUP(N44,TRANSMUTATION!$A$2:$B$14,2),"")</f>
        <v/>
      </c>
      <c r="P44" s="293"/>
      <c r="Q44" s="291" t="b">
        <f t="shared" si="5"/>
        <v>0</v>
      </c>
      <c r="R44" s="291" t="str">
        <f t="shared" si="1"/>
        <v/>
      </c>
      <c r="S44" s="291" t="str">
        <f>IF(G44&lt;&gt;"",IF(R44="","",VLOOKUP(R44,TRANSMUTATION!$A$2:$B$14,2)),"")</f>
        <v/>
      </c>
      <c r="T44" s="294" t="str">
        <f t="shared" si="2"/>
        <v/>
      </c>
      <c r="U44" s="284"/>
    </row>
    <row r="45" spans="2:21" s="103" customFormat="1" ht="15" customHeight="1" x14ac:dyDescent="0.2">
      <c r="B45" s="283"/>
      <c r="C45" s="287">
        <f t="shared" si="3"/>
        <v>39</v>
      </c>
      <c r="D45" s="288" t="str">
        <f t="shared" si="0"/>
        <v/>
      </c>
      <c r="E45" s="286" t="str">
        <f>(IF(Input!D46&lt;&gt;"",Input!D46,""))</f>
        <v/>
      </c>
      <c r="F45" s="289"/>
      <c r="G45" s="290" t="str">
        <f>(IF(Input!F46&lt;&gt;"",Input!F46,""))</f>
        <v/>
      </c>
      <c r="H45" s="291" t="str">
        <f>IF(G45&lt;&gt;"",PRELIMS!AM45,"")</f>
        <v/>
      </c>
      <c r="I45" s="292" t="str">
        <f>IF(G45&lt;&gt;"",VLOOKUP(H45,TRANSMUTATION!$A$2:$B$14,2),"")</f>
        <v/>
      </c>
      <c r="J45" s="291" t="str">
        <f>IF(G45&lt;&gt;"",MIDTERM!AM45,"")</f>
        <v/>
      </c>
      <c r="K45" s="292" t="str">
        <f>IF(G45&lt;&gt;"",VLOOKUP(J45,TRANSMUTATION!$A$2:$B$14,2),"")</f>
        <v/>
      </c>
      <c r="L45" s="291" t="str">
        <f>IF(G45&lt;&gt;"",'PRE-FINALS'!AM45,"")</f>
        <v/>
      </c>
      <c r="M45" s="292" t="str">
        <f>IF(G45&lt;&gt;"",VLOOKUP(L45,TRANSMUTATION!$A$2:$B$14,2),"")</f>
        <v/>
      </c>
      <c r="N45" s="291" t="str">
        <f>IF(G45&lt;&gt;"",FINALS!AM45,"")</f>
        <v/>
      </c>
      <c r="O45" s="292" t="str">
        <f>IF(G45&lt;&gt;"",VLOOKUP(N45,TRANSMUTATION!$A$2:$B$14,2),"")</f>
        <v/>
      </c>
      <c r="P45" s="293"/>
      <c r="Q45" s="291" t="b">
        <f t="shared" si="5"/>
        <v>0</v>
      </c>
      <c r="R45" s="291" t="str">
        <f t="shared" si="1"/>
        <v/>
      </c>
      <c r="S45" s="291" t="str">
        <f>IF(G45&lt;&gt;"",IF(R45="","",VLOOKUP(R45,TRANSMUTATION!$A$2:$B$14,2)),"")</f>
        <v/>
      </c>
      <c r="T45" s="294" t="str">
        <f t="shared" si="2"/>
        <v/>
      </c>
      <c r="U45" s="284"/>
    </row>
    <row r="46" spans="2:21" s="103" customFormat="1" ht="15" customHeight="1" x14ac:dyDescent="0.2">
      <c r="B46" s="283"/>
      <c r="C46" s="287">
        <f t="shared" si="3"/>
        <v>40</v>
      </c>
      <c r="D46" s="288" t="str">
        <f t="shared" si="0"/>
        <v/>
      </c>
      <c r="E46" s="286" t="str">
        <f>(IF(Input!D47&lt;&gt;"",Input!D47,""))</f>
        <v/>
      </c>
      <c r="F46" s="289"/>
      <c r="G46" s="290" t="str">
        <f>(IF(Input!F47&lt;&gt;"",Input!F47,""))</f>
        <v/>
      </c>
      <c r="H46" s="291" t="str">
        <f>IF(G46&lt;&gt;"",PRELIMS!AM46,"")</f>
        <v/>
      </c>
      <c r="I46" s="292" t="str">
        <f>IF(G46&lt;&gt;"",VLOOKUP(H46,TRANSMUTATION!$A$2:$B$14,2),"")</f>
        <v/>
      </c>
      <c r="J46" s="291" t="str">
        <f>IF(G46&lt;&gt;"",MIDTERM!AM46,"")</f>
        <v/>
      </c>
      <c r="K46" s="292" t="str">
        <f>IF(G46&lt;&gt;"",VLOOKUP(J46,TRANSMUTATION!$A$2:$B$14,2),"")</f>
        <v/>
      </c>
      <c r="L46" s="291" t="str">
        <f>IF(G46&lt;&gt;"",'PRE-FINALS'!AM46,"")</f>
        <v/>
      </c>
      <c r="M46" s="292" t="str">
        <f>IF(G46&lt;&gt;"",VLOOKUP(L46,TRANSMUTATION!$A$2:$B$14,2),"")</f>
        <v/>
      </c>
      <c r="N46" s="291" t="str">
        <f>IF(G46&lt;&gt;"",FINALS!AM46,"")</f>
        <v/>
      </c>
      <c r="O46" s="292" t="str">
        <f>IF(G46&lt;&gt;"",VLOOKUP(N46,TRANSMUTATION!$A$2:$B$14,2),"")</f>
        <v/>
      </c>
      <c r="P46" s="293"/>
      <c r="Q46" s="291" t="b">
        <f t="shared" si="5"/>
        <v>0</v>
      </c>
      <c r="R46" s="291" t="str">
        <f t="shared" si="1"/>
        <v/>
      </c>
      <c r="S46" s="291" t="str">
        <f>IF(G46&lt;&gt;"",IF(R46="","",VLOOKUP(R46,TRANSMUTATION!$A$2:$B$14,2)),"")</f>
        <v/>
      </c>
      <c r="T46" s="294" t="str">
        <f t="shared" si="2"/>
        <v/>
      </c>
      <c r="U46" s="284"/>
    </row>
    <row r="47" spans="2:21" s="103" customFormat="1" ht="15" customHeight="1" x14ac:dyDescent="0.2">
      <c r="B47" s="283"/>
      <c r="C47" s="287">
        <f t="shared" si="3"/>
        <v>41</v>
      </c>
      <c r="D47" s="288" t="str">
        <f t="shared" si="0"/>
        <v/>
      </c>
      <c r="E47" s="286" t="str">
        <f>(IF(Input!D48&lt;&gt;"",Input!D48,""))</f>
        <v/>
      </c>
      <c r="F47" s="289"/>
      <c r="G47" s="290" t="str">
        <f>(IF(Input!F48&lt;&gt;"",Input!F48,""))</f>
        <v/>
      </c>
      <c r="H47" s="291" t="str">
        <f>IF(G47&lt;&gt;"",PRELIMS!AM47,"")</f>
        <v/>
      </c>
      <c r="I47" s="292" t="str">
        <f>IF(G47&lt;&gt;"",VLOOKUP(H47,TRANSMUTATION!$A$2:$B$14,2),"")</f>
        <v/>
      </c>
      <c r="J47" s="291" t="str">
        <f>IF(G47&lt;&gt;"",MIDTERM!AM47,"")</f>
        <v/>
      </c>
      <c r="K47" s="292" t="str">
        <f>IF(G47&lt;&gt;"",VLOOKUP(J47,TRANSMUTATION!$A$2:$B$14,2),"")</f>
        <v/>
      </c>
      <c r="L47" s="291" t="str">
        <f>IF(G47&lt;&gt;"",'PRE-FINALS'!AM47,"")</f>
        <v/>
      </c>
      <c r="M47" s="292" t="str">
        <f>IF(G47&lt;&gt;"",VLOOKUP(L47,TRANSMUTATION!$A$2:$B$14,2),"")</f>
        <v/>
      </c>
      <c r="N47" s="291" t="str">
        <f>IF(G47&lt;&gt;"",FINALS!AM47,"")</f>
        <v/>
      </c>
      <c r="O47" s="292" t="str">
        <f>IF(G47&lt;&gt;"",VLOOKUP(N47,TRANSMUTATION!$A$2:$B$14,2),"")</f>
        <v/>
      </c>
      <c r="P47" s="293"/>
      <c r="Q47" s="291" t="b">
        <f t="shared" si="5"/>
        <v>0</v>
      </c>
      <c r="R47" s="291" t="str">
        <f t="shared" si="1"/>
        <v/>
      </c>
      <c r="S47" s="291" t="str">
        <f>IF(G47&lt;&gt;"",IF(R47="","",VLOOKUP(R47,TRANSMUTATION!$A$2:$B$14,2)),"")</f>
        <v/>
      </c>
      <c r="T47" s="294" t="str">
        <f t="shared" si="2"/>
        <v/>
      </c>
      <c r="U47" s="284"/>
    </row>
    <row r="48" spans="2:21" s="103" customFormat="1" ht="15" customHeight="1" x14ac:dyDescent="0.2">
      <c r="B48" s="283"/>
      <c r="C48" s="287">
        <f t="shared" si="3"/>
        <v>42</v>
      </c>
      <c r="D48" s="288" t="str">
        <f t="shared" si="0"/>
        <v/>
      </c>
      <c r="E48" s="286" t="str">
        <f>(IF(Input!D49&lt;&gt;"",Input!D49,""))</f>
        <v/>
      </c>
      <c r="F48" s="289"/>
      <c r="G48" s="290" t="str">
        <f>(IF(Input!F49&lt;&gt;"",Input!F49,""))</f>
        <v/>
      </c>
      <c r="H48" s="291" t="str">
        <f>IF(G48&lt;&gt;"",PRELIMS!AM48,"")</f>
        <v/>
      </c>
      <c r="I48" s="292" t="str">
        <f>IF(G48&lt;&gt;"",VLOOKUP(H48,TRANSMUTATION!$A$2:$B$14,2),"")</f>
        <v/>
      </c>
      <c r="J48" s="291" t="str">
        <f>IF(G48&lt;&gt;"",MIDTERM!AM48,"")</f>
        <v/>
      </c>
      <c r="K48" s="292" t="str">
        <f>IF(G48&lt;&gt;"",VLOOKUP(J48,TRANSMUTATION!$A$2:$B$14,2),"")</f>
        <v/>
      </c>
      <c r="L48" s="291" t="str">
        <f>IF(G48&lt;&gt;"",'PRE-FINALS'!AM48,"")</f>
        <v/>
      </c>
      <c r="M48" s="292" t="str">
        <f>IF(G48&lt;&gt;"",VLOOKUP(L48,TRANSMUTATION!$A$2:$B$14,2),"")</f>
        <v/>
      </c>
      <c r="N48" s="291" t="str">
        <f>IF(G48&lt;&gt;"",FINALS!AM48,"")</f>
        <v/>
      </c>
      <c r="O48" s="292" t="str">
        <f>IF(G48&lt;&gt;"",VLOOKUP(N48,TRANSMUTATION!$A$2:$B$14,2),"")</f>
        <v/>
      </c>
      <c r="P48" s="293"/>
      <c r="Q48" s="291" t="b">
        <f t="shared" si="5"/>
        <v>0</v>
      </c>
      <c r="R48" s="291" t="str">
        <f t="shared" si="1"/>
        <v/>
      </c>
      <c r="S48" s="291" t="str">
        <f>IF(G48&lt;&gt;"",IF(R48="","",VLOOKUP(R48,TRANSMUTATION!$A$2:$B$14,2)),"")</f>
        <v/>
      </c>
      <c r="T48" s="294" t="str">
        <f t="shared" si="2"/>
        <v/>
      </c>
      <c r="U48" s="284"/>
    </row>
    <row r="49" spans="2:21" s="103" customFormat="1" ht="15" customHeight="1" x14ac:dyDescent="0.2">
      <c r="B49" s="283"/>
      <c r="C49" s="287">
        <f t="shared" si="3"/>
        <v>43</v>
      </c>
      <c r="D49" s="288" t="str">
        <f t="shared" si="0"/>
        <v/>
      </c>
      <c r="E49" s="286" t="str">
        <f>(IF(Input!D50&lt;&gt;"",Input!D50,""))</f>
        <v/>
      </c>
      <c r="F49" s="289"/>
      <c r="G49" s="290" t="str">
        <f>(IF(Input!F50&lt;&gt;"",Input!F50,""))</f>
        <v/>
      </c>
      <c r="H49" s="291" t="str">
        <f>IF(G49&lt;&gt;"",PRELIMS!AM49,"")</f>
        <v/>
      </c>
      <c r="I49" s="292" t="str">
        <f>IF(G49&lt;&gt;"",VLOOKUP(H49,TRANSMUTATION!$A$2:$B$14,2),"")</f>
        <v/>
      </c>
      <c r="J49" s="291" t="str">
        <f>IF(G49&lt;&gt;"",MIDTERM!AM49,"")</f>
        <v/>
      </c>
      <c r="K49" s="292" t="str">
        <f>IF(G49&lt;&gt;"",VLOOKUP(J49,TRANSMUTATION!$A$2:$B$14,2),"")</f>
        <v/>
      </c>
      <c r="L49" s="291" t="str">
        <f>IF(G49&lt;&gt;"",'PRE-FINALS'!AM49,"")</f>
        <v/>
      </c>
      <c r="M49" s="292" t="str">
        <f>IF(G49&lt;&gt;"",VLOOKUP(L49,TRANSMUTATION!$A$2:$B$14,2),"")</f>
        <v/>
      </c>
      <c r="N49" s="291" t="str">
        <f>IF(G49&lt;&gt;"",FINALS!AM49,"")</f>
        <v/>
      </c>
      <c r="O49" s="292" t="str">
        <f>IF(G49&lt;&gt;"",VLOOKUP(N49,TRANSMUTATION!$A$2:$B$14,2),"")</f>
        <v/>
      </c>
      <c r="P49" s="293"/>
      <c r="Q49" s="291" t="b">
        <f t="shared" si="5"/>
        <v>0</v>
      </c>
      <c r="R49" s="291" t="str">
        <f t="shared" si="1"/>
        <v/>
      </c>
      <c r="S49" s="291" t="str">
        <f>IF(G49&lt;&gt;"",IF(R49="","",VLOOKUP(R49,TRANSMUTATION!$A$2:$B$14,2)),"")</f>
        <v/>
      </c>
      <c r="T49" s="294" t="str">
        <f t="shared" si="2"/>
        <v/>
      </c>
      <c r="U49" s="284"/>
    </row>
    <row r="50" spans="2:21" s="103" customFormat="1" ht="15" customHeight="1" x14ac:dyDescent="0.2">
      <c r="B50" s="283"/>
      <c r="C50" s="287">
        <f t="shared" si="3"/>
        <v>44</v>
      </c>
      <c r="D50" s="288" t="str">
        <f t="shared" si="0"/>
        <v/>
      </c>
      <c r="E50" s="286" t="str">
        <f>(IF(Input!D51&lt;&gt;"",Input!D51,""))</f>
        <v/>
      </c>
      <c r="F50" s="289"/>
      <c r="G50" s="290" t="str">
        <f>(IF(Input!F51&lt;&gt;"",Input!F51,""))</f>
        <v/>
      </c>
      <c r="H50" s="291" t="str">
        <f>IF(G50&lt;&gt;"",PRELIMS!AM50,"")</f>
        <v/>
      </c>
      <c r="I50" s="292" t="str">
        <f>IF(G50&lt;&gt;"",VLOOKUP(H50,TRANSMUTATION!$A$2:$B$14,2),"")</f>
        <v/>
      </c>
      <c r="J50" s="291" t="str">
        <f>IF(G50&lt;&gt;"",MIDTERM!AM50,"")</f>
        <v/>
      </c>
      <c r="K50" s="292" t="str">
        <f>IF(G50&lt;&gt;"",VLOOKUP(J50,TRANSMUTATION!$A$2:$B$14,2),"")</f>
        <v/>
      </c>
      <c r="L50" s="291" t="str">
        <f>IF(G50&lt;&gt;"",'PRE-FINALS'!AM50,"")</f>
        <v/>
      </c>
      <c r="M50" s="292" t="str">
        <f>IF(G50&lt;&gt;"",VLOOKUP(L50,TRANSMUTATION!$A$2:$B$14,2),"")</f>
        <v/>
      </c>
      <c r="N50" s="291" t="str">
        <f>IF(G50&lt;&gt;"",FINALS!AM50,"")</f>
        <v/>
      </c>
      <c r="O50" s="292" t="str">
        <f>IF(G50&lt;&gt;"",VLOOKUP(N50,TRANSMUTATION!$A$2:$B$14,2),"")</f>
        <v/>
      </c>
      <c r="P50" s="293"/>
      <c r="Q50" s="291" t="b">
        <f t="shared" ref="Q50:Q56" si="6">IF(H50="Drp","Drp",IF(J50="Drp","Drp",IF(L50="Drp","Drp",IF(N50="Drp","Drp"))))</f>
        <v>0</v>
      </c>
      <c r="R50" s="291" t="str">
        <f t="shared" si="1"/>
        <v/>
      </c>
      <c r="S50" s="291" t="str">
        <f>IF(G50&lt;&gt;"",IF(R50="","",VLOOKUP(R50,TRANSMUTATION!$A$2:$B$14,2)),"")</f>
        <v/>
      </c>
      <c r="T50" s="294" t="str">
        <f t="shared" si="2"/>
        <v/>
      </c>
      <c r="U50" s="284"/>
    </row>
    <row r="51" spans="2:21" s="103" customFormat="1" ht="15" customHeight="1" x14ac:dyDescent="0.2">
      <c r="B51" s="283"/>
      <c r="C51" s="287">
        <f t="shared" si="3"/>
        <v>45</v>
      </c>
      <c r="D51" s="288" t="str">
        <f t="shared" si="0"/>
        <v/>
      </c>
      <c r="E51" s="286" t="str">
        <f>(IF(Input!D52&lt;&gt;"",Input!D52,""))</f>
        <v/>
      </c>
      <c r="F51" s="289"/>
      <c r="G51" s="290" t="str">
        <f>(IF(Input!F52&lt;&gt;"",Input!F52,""))</f>
        <v/>
      </c>
      <c r="H51" s="291" t="str">
        <f>IF(G51&lt;&gt;"",PRELIMS!AM51,"")</f>
        <v/>
      </c>
      <c r="I51" s="292" t="str">
        <f>IF(G51&lt;&gt;"",VLOOKUP(H51,TRANSMUTATION!$A$2:$B$14,2),"")</f>
        <v/>
      </c>
      <c r="J51" s="291" t="str">
        <f>IF(G51&lt;&gt;"",MIDTERM!AM51,"")</f>
        <v/>
      </c>
      <c r="K51" s="292" t="str">
        <f>IF(G51&lt;&gt;"",VLOOKUP(J51,TRANSMUTATION!$A$2:$B$14,2),"")</f>
        <v/>
      </c>
      <c r="L51" s="291" t="str">
        <f>IF(G51&lt;&gt;"",'PRE-FINALS'!AM51,"")</f>
        <v/>
      </c>
      <c r="M51" s="292" t="str">
        <f>IF(G51&lt;&gt;"",VLOOKUP(L51,TRANSMUTATION!$A$2:$B$14,2),"")</f>
        <v/>
      </c>
      <c r="N51" s="291" t="str">
        <f>IF(G51&lt;&gt;"",FINALS!AM51,"")</f>
        <v/>
      </c>
      <c r="O51" s="292" t="str">
        <f>IF(G51&lt;&gt;"",VLOOKUP(N51,TRANSMUTATION!$A$2:$B$14,2),"")</f>
        <v/>
      </c>
      <c r="P51" s="293"/>
      <c r="Q51" s="291" t="b">
        <f t="shared" si="6"/>
        <v>0</v>
      </c>
      <c r="R51" s="291" t="str">
        <f t="shared" si="1"/>
        <v/>
      </c>
      <c r="S51" s="291" t="str">
        <f>IF(G51&lt;&gt;"",IF(R51="","",VLOOKUP(R51,TRANSMUTATION!$A$2:$B$14,2)),"")</f>
        <v/>
      </c>
      <c r="T51" s="294" t="str">
        <f t="shared" si="2"/>
        <v/>
      </c>
      <c r="U51" s="284"/>
    </row>
    <row r="52" spans="2:21" s="103" customFormat="1" ht="15" customHeight="1" x14ac:dyDescent="0.2">
      <c r="B52" s="283"/>
      <c r="C52" s="287">
        <f t="shared" si="3"/>
        <v>46</v>
      </c>
      <c r="D52" s="288" t="str">
        <f t="shared" si="0"/>
        <v/>
      </c>
      <c r="E52" s="286" t="str">
        <f>(IF(Input!D53&lt;&gt;"",Input!D53,""))</f>
        <v/>
      </c>
      <c r="F52" s="289"/>
      <c r="G52" s="290" t="str">
        <f>(IF(Input!F53&lt;&gt;"",Input!F53,""))</f>
        <v/>
      </c>
      <c r="H52" s="291" t="str">
        <f>IF(G52&lt;&gt;"",PRELIMS!AM52,"")</f>
        <v/>
      </c>
      <c r="I52" s="292" t="str">
        <f>IF(G52&lt;&gt;"",VLOOKUP(H52,TRANSMUTATION!$A$2:$B$14,2),"")</f>
        <v/>
      </c>
      <c r="J52" s="291" t="str">
        <f>IF(G52&lt;&gt;"",MIDTERM!AM52,"")</f>
        <v/>
      </c>
      <c r="K52" s="292" t="str">
        <f>IF(G52&lt;&gt;"",VLOOKUP(J52,TRANSMUTATION!$A$2:$B$14,2),"")</f>
        <v/>
      </c>
      <c r="L52" s="291" t="str">
        <f>IF(G52&lt;&gt;"",'PRE-FINALS'!AM52,"")</f>
        <v/>
      </c>
      <c r="M52" s="292" t="str">
        <f>IF(G52&lt;&gt;"",VLOOKUP(L52,TRANSMUTATION!$A$2:$B$14,2),"")</f>
        <v/>
      </c>
      <c r="N52" s="291" t="str">
        <f>IF(G52&lt;&gt;"",FINALS!AM52,"")</f>
        <v/>
      </c>
      <c r="O52" s="292" t="str">
        <f>IF(G52&lt;&gt;"",VLOOKUP(N52,TRANSMUTATION!$A$2:$B$14,2),"")</f>
        <v/>
      </c>
      <c r="P52" s="293"/>
      <c r="Q52" s="291" t="b">
        <f t="shared" si="6"/>
        <v>0</v>
      </c>
      <c r="R52" s="291" t="str">
        <f t="shared" si="1"/>
        <v/>
      </c>
      <c r="S52" s="291" t="str">
        <f>IF(G52&lt;&gt;"",IF(R52="","",VLOOKUP(R52,TRANSMUTATION!$A$2:$B$14,2)),"")</f>
        <v/>
      </c>
      <c r="T52" s="294" t="str">
        <f t="shared" si="2"/>
        <v/>
      </c>
      <c r="U52" s="284"/>
    </row>
    <row r="53" spans="2:21" s="103" customFormat="1" ht="15" customHeight="1" x14ac:dyDescent="0.2">
      <c r="B53" s="283"/>
      <c r="C53" s="287">
        <f t="shared" si="3"/>
        <v>47</v>
      </c>
      <c r="D53" s="288" t="str">
        <f t="shared" si="0"/>
        <v/>
      </c>
      <c r="E53" s="286" t="str">
        <f>(IF(Input!D54&lt;&gt;"",Input!D54,""))</f>
        <v/>
      </c>
      <c r="F53" s="289"/>
      <c r="G53" s="290" t="str">
        <f>(IF(Input!F54&lt;&gt;"",Input!F54,""))</f>
        <v/>
      </c>
      <c r="H53" s="291" t="str">
        <f>IF(G53&lt;&gt;"",PRELIMS!AM53,"")</f>
        <v/>
      </c>
      <c r="I53" s="292" t="str">
        <f>IF(G53&lt;&gt;"",VLOOKUP(H53,TRANSMUTATION!$A$2:$B$14,2),"")</f>
        <v/>
      </c>
      <c r="J53" s="291" t="str">
        <f>IF(G53&lt;&gt;"",MIDTERM!AM53,"")</f>
        <v/>
      </c>
      <c r="K53" s="292" t="str">
        <f>IF(G53&lt;&gt;"",VLOOKUP(J53,TRANSMUTATION!$A$2:$B$14,2),"")</f>
        <v/>
      </c>
      <c r="L53" s="291" t="str">
        <f>IF(G53&lt;&gt;"",'PRE-FINALS'!AM53,"")</f>
        <v/>
      </c>
      <c r="M53" s="292" t="str">
        <f>IF(G53&lt;&gt;"",VLOOKUP(L53,TRANSMUTATION!$A$2:$B$14,2),"")</f>
        <v/>
      </c>
      <c r="N53" s="291" t="str">
        <f>IF(G53&lt;&gt;"",FINALS!AM53,"")</f>
        <v/>
      </c>
      <c r="O53" s="292" t="str">
        <f>IF(G53&lt;&gt;"",VLOOKUP(N53,TRANSMUTATION!$A$2:$B$14,2),"")</f>
        <v/>
      </c>
      <c r="P53" s="293"/>
      <c r="Q53" s="291" t="b">
        <f t="shared" si="6"/>
        <v>0</v>
      </c>
      <c r="R53" s="291" t="str">
        <f t="shared" si="1"/>
        <v/>
      </c>
      <c r="S53" s="291" t="str">
        <f>IF(G53&lt;&gt;"",IF(R53="","",VLOOKUP(R53,TRANSMUTATION!$A$2:$B$14,2)),"")</f>
        <v/>
      </c>
      <c r="T53" s="294" t="str">
        <f t="shared" si="2"/>
        <v/>
      </c>
      <c r="U53" s="284"/>
    </row>
    <row r="54" spans="2:21" s="103" customFormat="1" ht="15" customHeight="1" x14ac:dyDescent="0.2">
      <c r="B54" s="283"/>
      <c r="C54" s="287">
        <f t="shared" si="3"/>
        <v>48</v>
      </c>
      <c r="D54" s="288" t="str">
        <f t="shared" si="0"/>
        <v/>
      </c>
      <c r="E54" s="286" t="str">
        <f>(IF(Input!D55&lt;&gt;"",Input!D55,""))</f>
        <v/>
      </c>
      <c r="F54" s="289"/>
      <c r="G54" s="290" t="str">
        <f>(IF(Input!F55&lt;&gt;"",Input!F55,""))</f>
        <v/>
      </c>
      <c r="H54" s="291" t="str">
        <f>IF(G54&lt;&gt;"",PRELIMS!AM54,"")</f>
        <v/>
      </c>
      <c r="I54" s="292" t="str">
        <f>IF(G54&lt;&gt;"",VLOOKUP(H54,TRANSMUTATION!$A$2:$B$14,2),"")</f>
        <v/>
      </c>
      <c r="J54" s="291" t="str">
        <f>IF(G54&lt;&gt;"",MIDTERM!AM54,"")</f>
        <v/>
      </c>
      <c r="K54" s="292" t="str">
        <f>IF(G54&lt;&gt;"",VLOOKUP(J54,TRANSMUTATION!$A$2:$B$14,2),"")</f>
        <v/>
      </c>
      <c r="L54" s="291" t="str">
        <f>IF(G54&lt;&gt;"",'PRE-FINALS'!AM54,"")</f>
        <v/>
      </c>
      <c r="M54" s="292" t="str">
        <f>IF(G54&lt;&gt;"",VLOOKUP(L54,TRANSMUTATION!$A$2:$B$14,2),"")</f>
        <v/>
      </c>
      <c r="N54" s="291" t="str">
        <f>IF(G54&lt;&gt;"",FINALS!AM54,"")</f>
        <v/>
      </c>
      <c r="O54" s="292" t="str">
        <f>IF(G54&lt;&gt;"",VLOOKUP(N54,TRANSMUTATION!$A$2:$B$14,2),"")</f>
        <v/>
      </c>
      <c r="P54" s="293"/>
      <c r="Q54" s="291" t="b">
        <f t="shared" si="6"/>
        <v>0</v>
      </c>
      <c r="R54" s="291" t="str">
        <f t="shared" si="1"/>
        <v/>
      </c>
      <c r="S54" s="291" t="str">
        <f>IF(G54&lt;&gt;"",IF(R54="","",VLOOKUP(R54,TRANSMUTATION!$A$2:$B$14,2)),"")</f>
        <v/>
      </c>
      <c r="T54" s="294" t="str">
        <f t="shared" si="2"/>
        <v/>
      </c>
      <c r="U54" s="284"/>
    </row>
    <row r="55" spans="2:21" s="103" customFormat="1" ht="15" customHeight="1" x14ac:dyDescent="0.2">
      <c r="B55" s="283"/>
      <c r="C55" s="287">
        <f t="shared" si="3"/>
        <v>49</v>
      </c>
      <c r="D55" s="288" t="str">
        <f t="shared" si="0"/>
        <v/>
      </c>
      <c r="E55" s="286" t="str">
        <f>(IF(Input!D56&lt;&gt;"",Input!D56,""))</f>
        <v/>
      </c>
      <c r="F55" s="289"/>
      <c r="G55" s="290" t="str">
        <f>(IF(Input!F56&lt;&gt;"",Input!F56,""))</f>
        <v/>
      </c>
      <c r="H55" s="291" t="str">
        <f>IF(G55&lt;&gt;"",PRELIMS!AM55,"")</f>
        <v/>
      </c>
      <c r="I55" s="292" t="str">
        <f>IF(G55&lt;&gt;"",VLOOKUP(H55,TRANSMUTATION!$A$2:$B$14,2),"")</f>
        <v/>
      </c>
      <c r="J55" s="291" t="str">
        <f>IF(G55&lt;&gt;"",MIDTERM!AM55,"")</f>
        <v/>
      </c>
      <c r="K55" s="292" t="str">
        <f>IF(G55&lt;&gt;"",VLOOKUP(J55,TRANSMUTATION!$A$2:$B$14,2),"")</f>
        <v/>
      </c>
      <c r="L55" s="291" t="str">
        <f>IF(G55&lt;&gt;"",'PRE-FINALS'!AM55,"")</f>
        <v/>
      </c>
      <c r="M55" s="292" t="str">
        <f>IF(G55&lt;&gt;"",VLOOKUP(L55,TRANSMUTATION!$A$2:$B$14,2),"")</f>
        <v/>
      </c>
      <c r="N55" s="291" t="str">
        <f>IF(G55&lt;&gt;"",FINALS!AM55,"")</f>
        <v/>
      </c>
      <c r="O55" s="292" t="str">
        <f>IF(G55&lt;&gt;"",VLOOKUP(N55,TRANSMUTATION!$A$2:$B$14,2),"")</f>
        <v/>
      </c>
      <c r="P55" s="293"/>
      <c r="Q55" s="291" t="b">
        <f t="shared" si="6"/>
        <v>0</v>
      </c>
      <c r="R55" s="291" t="str">
        <f t="shared" si="1"/>
        <v/>
      </c>
      <c r="S55" s="291" t="str">
        <f>IF(G55&lt;&gt;"",IF(R55="","",VLOOKUP(R55,TRANSMUTATION!$A$2:$B$14,2)),"")</f>
        <v/>
      </c>
      <c r="T55" s="294" t="str">
        <f t="shared" si="2"/>
        <v/>
      </c>
      <c r="U55" s="284"/>
    </row>
    <row r="56" spans="2:21" s="103" customFormat="1" ht="15" customHeight="1" thickBot="1" x14ac:dyDescent="0.25">
      <c r="B56" s="283"/>
      <c r="C56" s="295">
        <f t="shared" si="3"/>
        <v>50</v>
      </c>
      <c r="D56" s="296" t="str">
        <f t="shared" si="0"/>
        <v/>
      </c>
      <c r="E56" s="297" t="str">
        <f>(IF(Input!D57&lt;&gt;"",Input!D57,""))</f>
        <v/>
      </c>
      <c r="F56" s="298"/>
      <c r="G56" s="299" t="str">
        <f>(IF(Input!F57&lt;&gt;"",Input!F57,""))</f>
        <v/>
      </c>
      <c r="H56" s="300" t="str">
        <f>IF(G56&lt;&gt;"",PRELIMS!AM56,"")</f>
        <v/>
      </c>
      <c r="I56" s="301" t="str">
        <f>IF(G56&lt;&gt;"",VLOOKUP(H56,TRANSMUTATION!$A$2:$B$14,2),"")</f>
        <v/>
      </c>
      <c r="J56" s="300" t="str">
        <f>IF(G56&lt;&gt;"",MIDTERM!AM56,"")</f>
        <v/>
      </c>
      <c r="K56" s="301" t="str">
        <f>IF(G56&lt;&gt;"",VLOOKUP(J56,TRANSMUTATION!$A$2:$B$14,2),"")</f>
        <v/>
      </c>
      <c r="L56" s="300" t="str">
        <f>IF(G56&lt;&gt;"",'PRE-FINALS'!AM56,"")</f>
        <v/>
      </c>
      <c r="M56" s="301" t="str">
        <f>IF(G56&lt;&gt;"",VLOOKUP(L56,TRANSMUTATION!$A$2:$B$14,2),"")</f>
        <v/>
      </c>
      <c r="N56" s="300" t="str">
        <f>IF(G56&lt;&gt;"",FINALS!AM56,"")</f>
        <v/>
      </c>
      <c r="O56" s="301" t="str">
        <f>IF(G56&lt;&gt;"",VLOOKUP(N56,TRANSMUTATION!$A$2:$B$14,2),"")</f>
        <v/>
      </c>
      <c r="P56" s="302"/>
      <c r="Q56" s="300" t="b">
        <f t="shared" si="6"/>
        <v>0</v>
      </c>
      <c r="R56" s="300" t="str">
        <f t="shared" si="1"/>
        <v/>
      </c>
      <c r="S56" s="300" t="str">
        <f>IF(G56&lt;&gt;"",IF(R56="","",VLOOKUP(R56,TRANSMUTATION!$A$2:$B$14,2)),"")</f>
        <v/>
      </c>
      <c r="T56" s="303" t="str">
        <f t="shared" si="2"/>
        <v/>
      </c>
      <c r="U56" s="284"/>
    </row>
    <row r="57" spans="2:21" ht="15" customHeight="1" thickBot="1" x14ac:dyDescent="0.25">
      <c r="B57" s="304"/>
      <c r="C57" s="305"/>
      <c r="D57" s="306"/>
      <c r="E57" s="307"/>
      <c r="F57" s="307"/>
      <c r="G57" s="308"/>
      <c r="H57" s="309"/>
      <c r="I57" s="305"/>
      <c r="J57" s="309"/>
      <c r="K57" s="310"/>
      <c r="L57" s="311"/>
      <c r="M57" s="311"/>
      <c r="N57" s="310"/>
      <c r="O57" s="310"/>
      <c r="P57" s="310"/>
      <c r="Q57" s="310"/>
      <c r="R57" s="312"/>
      <c r="S57" s="312"/>
      <c r="T57" s="310"/>
      <c r="U57" s="313"/>
    </row>
    <row r="58" spans="2:21" ht="9.9499999999999993" customHeight="1" thickTop="1" x14ac:dyDescent="0.2">
      <c r="D58" s="314"/>
      <c r="H58" s="315"/>
      <c r="J58" s="315"/>
      <c r="K58" s="316"/>
      <c r="N58" s="316"/>
      <c r="O58" s="316"/>
      <c r="P58" s="316"/>
      <c r="Q58" s="316"/>
      <c r="R58" s="317"/>
      <c r="S58" s="317"/>
      <c r="T58" s="316"/>
    </row>
  </sheetData>
  <sheetProtection algorithmName="SHA-512" hashValue="COEMKfW6EQmWLNh+HgcYaSy9ZEUrGzqN0jecAQv/AtMSLhppUmxcdTn/KCJIye3i3JaHePngF3dtDGxrZs04Jw==" saltValue="Qo4m/B/FZDSgucFokXaklA==" spinCount="100000" sheet="1" objects="1" scenarios="1"/>
  <mergeCells count="20">
    <mergeCell ref="I3:I5"/>
    <mergeCell ref="J6:K6"/>
    <mergeCell ref="K3:K5"/>
    <mergeCell ref="H3:H5"/>
    <mergeCell ref="T3:T6"/>
    <mergeCell ref="C3:C6"/>
    <mergeCell ref="S3:S6"/>
    <mergeCell ref="M3:M5"/>
    <mergeCell ref="J3:J5"/>
    <mergeCell ref="L3:L5"/>
    <mergeCell ref="N3:N5"/>
    <mergeCell ref="D3:D6"/>
    <mergeCell ref="P3:P6"/>
    <mergeCell ref="E3:G3"/>
    <mergeCell ref="E4:G5"/>
    <mergeCell ref="R3:R6"/>
    <mergeCell ref="L6:M6"/>
    <mergeCell ref="O3:O5"/>
    <mergeCell ref="N6:O6"/>
    <mergeCell ref="H6:I6"/>
  </mergeCells>
  <phoneticPr fontId="4" type="noConversion"/>
  <conditionalFormatting sqref="D3 H3:T3 P7:Q56">
    <cfRule type="cellIs" dxfId="11" priority="4641" stopIfTrue="1" operator="lessThan">
      <formula>75</formula>
    </cfRule>
    <cfRule type="cellIs" dxfId="10" priority="4642" stopIfTrue="1" operator="between">
      <formula>90</formula>
      <formula>100</formula>
    </cfRule>
  </conditionalFormatting>
  <conditionalFormatting sqref="D7:D56 T7:T56">
    <cfRule type="cellIs" dxfId="9" priority="4648" stopIfTrue="1" operator="equal">
      <formula>"No Exam"</formula>
    </cfRule>
  </conditionalFormatting>
  <conditionalFormatting sqref="S1:S2 I7:I56 K7:K56 M7:M56 O7:O56 S7:S56">
    <cfRule type="cellIs" dxfId="8" priority="4659" stopIfTrue="1" operator="greaterThan">
      <formula>3</formula>
    </cfRule>
    <cfRule type="cellIs" dxfId="7" priority="4660" stopIfTrue="1" operator="lessThan">
      <formula>2</formula>
    </cfRule>
  </conditionalFormatting>
  <conditionalFormatting sqref="T7:T56 D7:D56">
    <cfRule type="cellIs" dxfId="6" priority="4647" stopIfTrue="1" operator="equal">
      <formula>"Failed"</formula>
    </cfRule>
  </conditionalFormatting>
  <conditionalFormatting sqref="U1:U2 Y1:Y2 AA1:AE2 AG1:AG2 AJ1:AJ2">
    <cfRule type="cellIs" dxfId="4" priority="4651" stopIfTrue="1" operator="lessThan">
      <formula>75</formula>
    </cfRule>
  </conditionalFormatting>
  <conditionalFormatting sqref="W7 H7:H56 J7:J56 L7:L56 N7:N56 R7:R56">
    <cfRule type="cellIs" dxfId="3" priority="4643" stopIfTrue="1" operator="lessThan">
      <formula>59.5</formula>
    </cfRule>
    <cfRule type="cellIs" dxfId="2" priority="4644" stopIfTrue="1" operator="between">
      <formula>86.5</formula>
      <formula>100</formula>
    </cfRule>
  </conditionalFormatting>
  <conditionalFormatting sqref="AK1:AK2 AM1:AM2 AO1:AO2">
    <cfRule type="cellIs" dxfId="1" priority="11" stopIfTrue="1" operator="lessThan">
      <formula>75</formula>
    </cfRule>
  </conditionalFormatting>
  <conditionalFormatting sqref="AK1:AL2">
    <cfRule type="cellIs" dxfId="0" priority="4652" stopIfTrue="1" operator="lessThan">
      <formula>74.5</formula>
    </cfRule>
  </conditionalFormatting>
  <printOptions horizontalCentered="1"/>
  <pageMargins left="0.39" right="0.28999999999999998" top="0.22" bottom="0.17" header="0.18" footer="0.17"/>
  <pageSetup scale="57" orientation="portrait" horizontalDpi="300" verticalDpi="204" r:id="rId1"/>
  <headerFooter alignWithMargins="0">
    <oddFooter>&amp;C&amp;F
&amp;D &amp;T&amp;R&amp;P/&amp;N</oddFooter>
  </headerFooter>
  <extLst>
    <ext xmlns:x14="http://schemas.microsoft.com/office/spreadsheetml/2009/9/main" uri="{78C0D931-6437-407d-A8EE-F0AAD7539E65}">
      <x14:conditionalFormattings>
        <x14:conditionalFormatting xmlns:xm="http://schemas.microsoft.com/office/excel/2006/main">
          <x14:cfRule type="containsText" priority="1" operator="containsText" id="{F64CC85E-EF97-4C0F-A2D3-EFAF1BDC18BD}">
            <xm:f>NOT(ISERROR(SEARCH("Error",T7)))</xm:f>
            <xm:f>"Error"</xm:f>
            <x14:dxf>
              <font>
                <b/>
                <i val="0"/>
                <color theme="0"/>
              </font>
              <fill>
                <patternFill>
                  <bgColor rgb="FFFF0000"/>
                </patternFill>
              </fill>
            </x14:dxf>
          </x14:cfRule>
          <xm:sqref>T7:T56</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B14"/>
  <sheetViews>
    <sheetView showGridLines="0" workbookViewId="0">
      <selection activeCell="B8" sqref="B8"/>
    </sheetView>
  </sheetViews>
  <sheetFormatPr defaultColWidth="9.140625" defaultRowHeight="15" x14ac:dyDescent="0.2"/>
  <cols>
    <col min="1" max="1" width="9.85546875" style="34" customWidth="1"/>
    <col min="2" max="16384" width="9.140625" style="35"/>
  </cols>
  <sheetData>
    <row r="1" spans="1:2" x14ac:dyDescent="0.2">
      <c r="A1" s="36" t="s">
        <v>103</v>
      </c>
      <c r="B1" s="36" t="s">
        <v>104</v>
      </c>
    </row>
    <row r="2" spans="1:2" x14ac:dyDescent="0.2">
      <c r="A2" s="34">
        <v>0</v>
      </c>
      <c r="B2" s="34">
        <v>5</v>
      </c>
    </row>
    <row r="3" spans="1:2" x14ac:dyDescent="0.2">
      <c r="A3" s="34">
        <v>59.5</v>
      </c>
      <c r="B3" s="34">
        <v>3</v>
      </c>
    </row>
    <row r="4" spans="1:2" x14ac:dyDescent="0.2">
      <c r="A4" s="34">
        <v>65</v>
      </c>
      <c r="B4" s="34">
        <v>2.75</v>
      </c>
    </row>
    <row r="5" spans="1:2" x14ac:dyDescent="0.2">
      <c r="A5" s="34">
        <v>70.5</v>
      </c>
      <c r="B5" s="34">
        <v>2.5</v>
      </c>
    </row>
    <row r="6" spans="1:2" x14ac:dyDescent="0.2">
      <c r="A6" s="34">
        <v>76</v>
      </c>
      <c r="B6" s="34">
        <v>2.25</v>
      </c>
    </row>
    <row r="7" spans="1:2" x14ac:dyDescent="0.2">
      <c r="A7" s="34">
        <v>81.5</v>
      </c>
      <c r="B7" s="34">
        <v>2</v>
      </c>
    </row>
    <row r="8" spans="1:2" x14ac:dyDescent="0.2">
      <c r="A8" s="34">
        <v>86.5</v>
      </c>
      <c r="B8" s="34">
        <v>1.75</v>
      </c>
    </row>
    <row r="9" spans="1:2" x14ac:dyDescent="0.2">
      <c r="A9" s="34">
        <v>91.5</v>
      </c>
      <c r="B9" s="34">
        <v>1.5</v>
      </c>
    </row>
    <row r="10" spans="1:2" x14ac:dyDescent="0.2">
      <c r="A10" s="34">
        <v>94.5</v>
      </c>
      <c r="B10" s="34">
        <v>1.25</v>
      </c>
    </row>
    <row r="11" spans="1:2" x14ac:dyDescent="0.2">
      <c r="A11" s="34">
        <v>97.5</v>
      </c>
      <c r="B11" s="34">
        <v>1</v>
      </c>
    </row>
    <row r="12" spans="1:2" x14ac:dyDescent="0.2">
      <c r="A12" s="34" t="s">
        <v>105</v>
      </c>
      <c r="B12" s="34" t="s">
        <v>107</v>
      </c>
    </row>
    <row r="13" spans="1:2" x14ac:dyDescent="0.2">
      <c r="A13" s="34" t="s">
        <v>98</v>
      </c>
      <c r="B13" s="34" t="s">
        <v>108</v>
      </c>
    </row>
    <row r="14" spans="1:2" x14ac:dyDescent="0.2">
      <c r="A14" s="34" t="s">
        <v>106</v>
      </c>
      <c r="B14" s="34" t="s">
        <v>105</v>
      </c>
    </row>
  </sheetData>
  <sheetProtection algorithmName="SHA-512" hashValue="leMpGQFLBzrkRWTpr47fPKsL7+YC01NguSkq0OVKw9OmblzvaDvDioEFDEWywLAOSSo5p53yYzKG+YPZbH31iQ==" saltValue="AlJEScXX7MnioR4Q9wBkeQ==" spinCount="100000" sheet="1" objects="1" scenarios="1"/>
  <phoneticPr fontId="4"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9</vt:i4>
      </vt:variant>
    </vt:vector>
  </HeadingPairs>
  <TitlesOfParts>
    <vt:vector size="18" baseType="lpstr">
      <vt:lpstr>Instructions</vt:lpstr>
      <vt:lpstr>Settings</vt:lpstr>
      <vt:lpstr>Input</vt:lpstr>
      <vt:lpstr>PRELIMS</vt:lpstr>
      <vt:lpstr>MIDTERM</vt:lpstr>
      <vt:lpstr>PRE-FINALS</vt:lpstr>
      <vt:lpstr>FINALS</vt:lpstr>
      <vt:lpstr>Summary</vt:lpstr>
      <vt:lpstr>TRANSMUTATION</vt:lpstr>
      <vt:lpstr>FINALS!Print_Area</vt:lpstr>
      <vt:lpstr>Input!Print_Area</vt:lpstr>
      <vt:lpstr>MIDTERM!Print_Area</vt:lpstr>
      <vt:lpstr>'PRE-FINALS'!Print_Area</vt:lpstr>
      <vt:lpstr>PRELIMS!Print_Area</vt:lpstr>
      <vt:lpstr>Summary!Print_Area</vt:lpstr>
      <vt:lpstr>Input!Print_Titles</vt:lpstr>
      <vt:lpstr>StudentNames</vt:lpstr>
      <vt:lpstr>TRANSMUTATION</vt:lpstr>
    </vt:vector>
  </TitlesOfParts>
  <Manager/>
  <Company>San Sebastian College - Recolletos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June R. Francisco</dc:creator>
  <cp:keywords/>
  <dc:description/>
  <cp:lastModifiedBy>JOHN MARQ RAMOS</cp:lastModifiedBy>
  <cp:revision/>
  <dcterms:created xsi:type="dcterms:W3CDTF">2003-06-28T16:52:05Z</dcterms:created>
  <dcterms:modified xsi:type="dcterms:W3CDTF">2026-10-10T11:14:03Z</dcterms:modified>
  <cp:category/>
  <cp:contentStatus/>
</cp:coreProperties>
</file>