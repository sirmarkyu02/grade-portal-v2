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PC\Desktop\Tertiary\"/>
    </mc:Choice>
  </mc:AlternateContent>
  <xr:revisionPtr revIDLastSave="0" documentId="13_ncr:1_{95D57154-7CFD-4881-8782-03FC4078D20B}" xr6:coauthVersionLast="47" xr6:coauthVersionMax="47" xr10:uidLastSave="{00000000-0000-0000-0000-000000000000}"/>
  <bookViews>
    <workbookView xWindow="-120" yWindow="-120" windowWidth="20730" windowHeight="11040" tabRatio="717" activeTab="2" xr2:uid="{F90F9B58-98AD-433F-B6B8-4E5F9AE0324C}"/>
  </bookViews>
  <sheets>
    <sheet name="Instructions" sheetId="24" r:id="rId1"/>
    <sheet name="Settings" sheetId="17" r:id="rId2"/>
    <sheet name="Input" sheetId="18" r:id="rId3"/>
    <sheet name="PRELIMS" sheetId="16" r:id="rId4"/>
    <sheet name="MIDTERM" sheetId="10" r:id="rId5"/>
    <sheet name="PRE-FINALS" sheetId="13" r:id="rId6"/>
    <sheet name="FINALS" sheetId="14" r:id="rId7"/>
    <sheet name="Summary" sheetId="5" r:id="rId8"/>
    <sheet name="SGI" sheetId="20" r:id="rId9"/>
    <sheet name="Student Helper" sheetId="21" state="hidden" r:id="rId10"/>
    <sheet name="TRANSMUTATION" sheetId="15" state="hidden" r:id="rId11"/>
    <sheet name="LFS" sheetId="23" r:id="rId12"/>
  </sheets>
  <externalReferences>
    <externalReference r:id="rId13"/>
  </externalReferences>
  <definedNames>
    <definedName name="_xlnm.Print_Area" localSheetId="6">FINALS!$C$1:$AV$56</definedName>
    <definedName name="_xlnm.Print_Area" localSheetId="2">Input!$G$3:$BF$57</definedName>
    <definedName name="_xlnm.Print_Area" localSheetId="4">MIDTERM!$C$1:$AV$67</definedName>
    <definedName name="_xlnm.Print_Area" localSheetId="5">'PRE-FINALS'!$C$1:$AV$67</definedName>
    <definedName name="_xlnm.Print_Area" localSheetId="3">PRELIMS!$C$1:$AU$67</definedName>
    <definedName name="_xlnm.Print_Area" localSheetId="8">SGI!$A$1:$AA$41</definedName>
    <definedName name="_xlnm.Print_Area" localSheetId="7">Summary!$B$2:$T$67</definedName>
    <definedName name="_xlnm.Print_Titles" localSheetId="2">Input!$C:$F,Input!$1:$2</definedName>
    <definedName name="Student_List">OFFSET('[1]Student Helper'!$C$2,0,0,COUNTA(_xlfn.ANCHORARRAY('[1]Student Helper'!$C$2)),1)</definedName>
    <definedName name="StudentList">OFFSET([1]Helper!#REF!,0,0, COUNTA([1]Helper!#REF!),1)</definedName>
    <definedName name="StudentNames">Input!$F$8:$F$57</definedName>
    <definedName name="TRANSMUTATION">TRANSMUTATION!$A$2:$B$13</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57" i="14" l="1"/>
  <c r="AS58" i="14"/>
  <c r="AS59" i="14"/>
  <c r="AS60" i="14"/>
  <c r="AS61" i="14"/>
  <c r="AS62" i="14"/>
  <c r="AS63" i="14"/>
  <c r="AS64" i="14"/>
  <c r="AS65" i="14"/>
  <c r="AS66" i="14"/>
  <c r="AS57" i="13"/>
  <c r="AS58" i="13"/>
  <c r="AS59" i="13"/>
  <c r="AS60" i="13"/>
  <c r="AS61" i="13"/>
  <c r="AS62" i="13"/>
  <c r="AS63" i="13"/>
  <c r="AS64" i="13"/>
  <c r="AS65" i="13"/>
  <c r="AS66" i="13"/>
  <c r="AS57" i="10"/>
  <c r="AS58" i="10"/>
  <c r="AS59" i="10"/>
  <c r="AS60" i="10"/>
  <c r="AS61" i="10"/>
  <c r="AS62" i="10"/>
  <c r="AS63" i="10"/>
  <c r="AS64" i="10"/>
  <c r="AS65" i="10"/>
  <c r="AS66" i="10"/>
  <c r="AS57" i="16"/>
  <c r="AS58" i="16"/>
  <c r="AS59" i="16"/>
  <c r="AS60" i="16"/>
  <c r="AS61" i="16"/>
  <c r="AS62" i="16"/>
  <c r="AS63" i="16"/>
  <c r="AS64" i="16"/>
  <c r="AS65" i="16"/>
  <c r="AS66" i="16"/>
  <c r="G7" i="5"/>
  <c r="I13" i="20" l="1"/>
  <c r="I14" i="20"/>
  <c r="I15" i="20"/>
  <c r="I16" i="20"/>
  <c r="I17" i="20" l="1"/>
  <c r="X25" i="20"/>
  <c r="X22" i="20"/>
  <c r="X21" i="20"/>
  <c r="X20" i="20"/>
  <c r="X19" i="20"/>
  <c r="X16" i="20"/>
  <c r="X15" i="20"/>
  <c r="X14" i="20"/>
  <c r="X13" i="20"/>
  <c r="S25" i="20"/>
  <c r="S22" i="20"/>
  <c r="S21" i="20"/>
  <c r="S20" i="20"/>
  <c r="S19" i="20"/>
  <c r="S16" i="20"/>
  <c r="S15" i="20"/>
  <c r="S14" i="20"/>
  <c r="S13" i="20"/>
  <c r="N25" i="20"/>
  <c r="N22" i="20"/>
  <c r="N21" i="20"/>
  <c r="N20" i="20"/>
  <c r="N19" i="20"/>
  <c r="N16" i="20"/>
  <c r="N15" i="20"/>
  <c r="N14" i="20"/>
  <c r="N13" i="20"/>
  <c r="I25" i="20"/>
  <c r="I22" i="20"/>
  <c r="I20" i="20"/>
  <c r="I21" i="20"/>
  <c r="I19" i="20"/>
  <c r="N23" i="20" l="1"/>
  <c r="X23" i="20"/>
  <c r="I23" i="20"/>
  <c r="S23" i="20"/>
  <c r="S17" i="20"/>
  <c r="N17" i="20"/>
  <c r="X17" i="20"/>
  <c r="V24" i="20"/>
  <c r="V18" i="20"/>
  <c r="V12" i="20"/>
  <c r="Q24" i="20"/>
  <c r="Q18" i="20"/>
  <c r="Q12" i="20"/>
  <c r="L24" i="20"/>
  <c r="L18" i="20"/>
  <c r="L12" i="20"/>
  <c r="G18" i="20"/>
  <c r="G24" i="20"/>
  <c r="G12" i="20"/>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52" i="21"/>
  <c r="B53" i="21"/>
  <c r="B54" i="21"/>
  <c r="B55" i="21"/>
  <c r="B56" i="21"/>
  <c r="B57" i="21"/>
  <c r="B58" i="21"/>
  <c r="B59" i="21"/>
  <c r="B60" i="21"/>
  <c r="B61" i="21"/>
  <c r="B2" i="21"/>
  <c r="C3"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2" i="21"/>
  <c r="W6" i="20"/>
  <c r="T6" i="20"/>
  <c r="R6" i="20"/>
  <c r="P6" i="20"/>
  <c r="M5" i="20"/>
  <c r="M6" i="20"/>
  <c r="H6" i="20"/>
  <c r="G66" i="5"/>
  <c r="E66" i="5"/>
  <c r="G65" i="5"/>
  <c r="E65" i="5"/>
  <c r="G64" i="5"/>
  <c r="E64" i="5"/>
  <c r="G63" i="5"/>
  <c r="E63" i="5"/>
  <c r="G62" i="5"/>
  <c r="E62" i="5"/>
  <c r="G61" i="5"/>
  <c r="E61" i="5"/>
  <c r="G60" i="5"/>
  <c r="E60" i="5"/>
  <c r="G59" i="5"/>
  <c r="E59" i="5"/>
  <c r="G58" i="5"/>
  <c r="E58" i="5"/>
  <c r="G57" i="5"/>
  <c r="E57" i="5"/>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D57" i="14" s="1"/>
  <c r="F58" i="14"/>
  <c r="D58" i="14" s="1"/>
  <c r="F59" i="14"/>
  <c r="D59" i="14" s="1"/>
  <c r="F60" i="14"/>
  <c r="D60" i="14" s="1"/>
  <c r="D61" i="14"/>
  <c r="F61" i="14"/>
  <c r="F62" i="14"/>
  <c r="F63" i="14"/>
  <c r="F64" i="14"/>
  <c r="F65" i="14"/>
  <c r="F66" i="14"/>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D57" i="13" s="1"/>
  <c r="F58" i="13"/>
  <c r="D58" i="13" s="1"/>
  <c r="D59" i="13"/>
  <c r="F59" i="13"/>
  <c r="F60" i="13"/>
  <c r="D60" i="13" s="1"/>
  <c r="F61" i="13"/>
  <c r="D61" i="13" s="1"/>
  <c r="F62" i="13"/>
  <c r="F63" i="13"/>
  <c r="F64" i="13"/>
  <c r="F65" i="13"/>
  <c r="F66" i="13"/>
  <c r="D66" i="13" s="1"/>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D45" i="10" s="1"/>
  <c r="F46" i="10"/>
  <c r="F47" i="10"/>
  <c r="F48" i="10"/>
  <c r="F49" i="10"/>
  <c r="F50" i="10"/>
  <c r="F51" i="10"/>
  <c r="F52" i="10"/>
  <c r="F53" i="10"/>
  <c r="F54" i="10"/>
  <c r="F55" i="10"/>
  <c r="F56" i="10"/>
  <c r="F57" i="10"/>
  <c r="D57" i="10" s="1"/>
  <c r="F58" i="10"/>
  <c r="D58" i="10" s="1"/>
  <c r="F59" i="10"/>
  <c r="D59" i="10" s="1"/>
  <c r="F60" i="10"/>
  <c r="D60" i="10" s="1"/>
  <c r="F61" i="10"/>
  <c r="D61" i="10" s="1"/>
  <c r="F62" i="10"/>
  <c r="F63" i="10"/>
  <c r="F64" i="10"/>
  <c r="AB64" i="10" s="1"/>
  <c r="F65" i="10"/>
  <c r="X65" i="10" s="1"/>
  <c r="F66" i="10"/>
  <c r="F8"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F45" i="16"/>
  <c r="F46" i="16"/>
  <c r="F47" i="16"/>
  <c r="F48" i="16"/>
  <c r="D48" i="16" s="1"/>
  <c r="F49" i="16"/>
  <c r="F50" i="16"/>
  <c r="F51" i="16"/>
  <c r="F52" i="16"/>
  <c r="F53" i="16"/>
  <c r="F54" i="16"/>
  <c r="F55" i="16"/>
  <c r="F56" i="16"/>
  <c r="F57" i="16"/>
  <c r="D57" i="16" s="1"/>
  <c r="F58" i="16"/>
  <c r="D58" i="16" s="1"/>
  <c r="F59" i="16"/>
  <c r="D59" i="16" s="1"/>
  <c r="F60" i="16"/>
  <c r="D60" i="16" s="1"/>
  <c r="F61" i="16"/>
  <c r="D61" i="16" s="1"/>
  <c r="F62" i="16"/>
  <c r="F63" i="16"/>
  <c r="F64" i="16"/>
  <c r="F65" i="16"/>
  <c r="D65" i="16" s="1"/>
  <c r="F66" i="16"/>
  <c r="D66" i="16" s="1"/>
  <c r="AG6" i="18"/>
  <c r="X5" i="13" s="1"/>
  <c r="AH6" i="18"/>
  <c r="Z5" i="13" s="1"/>
  <c r="AI6" i="18"/>
  <c r="AB5" i="13" s="1"/>
  <c r="AJ6" i="18"/>
  <c r="AD5" i="13" s="1"/>
  <c r="AL6" i="18"/>
  <c r="R19" i="20" s="1"/>
  <c r="AM6" i="18"/>
  <c r="R20" i="20" s="1"/>
  <c r="AN6" i="18"/>
  <c r="R21" i="20" s="1"/>
  <c r="AO6" i="18"/>
  <c r="R22" i="20" s="1"/>
  <c r="D54" i="13" l="1"/>
  <c r="D56" i="10"/>
  <c r="D54" i="16"/>
  <c r="D55" i="10"/>
  <c r="D56" i="14"/>
  <c r="D54" i="10"/>
  <c r="D55" i="14"/>
  <c r="D54" i="14"/>
  <c r="D56" i="13"/>
  <c r="D56" i="16"/>
  <c r="D55" i="16"/>
  <c r="D55" i="13"/>
  <c r="S60" i="5"/>
  <c r="S64" i="5"/>
  <c r="S57" i="5"/>
  <c r="S58" i="5"/>
  <c r="S62" i="5"/>
  <c r="S66" i="5"/>
  <c r="S65" i="5"/>
  <c r="S61" i="5"/>
  <c r="S59" i="5"/>
  <c r="S63" i="5"/>
  <c r="D52" i="14"/>
  <c r="D12" i="14"/>
  <c r="D53" i="14"/>
  <c r="D53" i="16"/>
  <c r="D53" i="13"/>
  <c r="D34" i="14"/>
  <c r="D52" i="16"/>
  <c r="D52" i="13"/>
  <c r="D16" i="14"/>
  <c r="D52" i="10"/>
  <c r="D53" i="10"/>
  <c r="Q57" i="5"/>
  <c r="Q65" i="5"/>
  <c r="Q61" i="5"/>
  <c r="Q66" i="5"/>
  <c r="Q62" i="5"/>
  <c r="Q58" i="5"/>
  <c r="Q59" i="5"/>
  <c r="Q63" i="5"/>
  <c r="Q60" i="5"/>
  <c r="Q64" i="5"/>
  <c r="D39" i="16"/>
  <c r="D51" i="16"/>
  <c r="D43" i="16"/>
  <c r="D48" i="10"/>
  <c r="D48" i="13"/>
  <c r="D40" i="13"/>
  <c r="D45" i="14"/>
  <c r="D50" i="16"/>
  <c r="D42" i="16"/>
  <c r="D47" i="10"/>
  <c r="D41" i="10"/>
  <c r="D47" i="13"/>
  <c r="D39" i="13"/>
  <c r="D51" i="14"/>
  <c r="D44" i="14"/>
  <c r="D46" i="16"/>
  <c r="D49" i="16"/>
  <c r="D41" i="16"/>
  <c r="D46" i="10"/>
  <c r="D40" i="10"/>
  <c r="D46" i="13"/>
  <c r="D50" i="14"/>
  <c r="D43" i="14"/>
  <c r="D40" i="16"/>
  <c r="D39" i="10"/>
  <c r="D45" i="13"/>
  <c r="D49" i="14"/>
  <c r="D42" i="14"/>
  <c r="D51" i="10"/>
  <c r="D51" i="13"/>
  <c r="D44" i="13"/>
  <c r="D48" i="14"/>
  <c r="D41" i="14"/>
  <c r="D44" i="10"/>
  <c r="D43" i="13"/>
  <c r="D40" i="14"/>
  <c r="D50" i="10"/>
  <c r="D45" i="16"/>
  <c r="D43" i="10"/>
  <c r="D50" i="13"/>
  <c r="D42" i="13"/>
  <c r="D47" i="14"/>
  <c r="D39" i="14"/>
  <c r="D47" i="16"/>
  <c r="D44" i="16"/>
  <c r="D49" i="10"/>
  <c r="D42" i="10"/>
  <c r="D49" i="13"/>
  <c r="D41" i="13"/>
  <c r="D46" i="14"/>
  <c r="D19" i="16"/>
  <c r="D27" i="13"/>
  <c r="D19" i="14"/>
  <c r="D34" i="16"/>
  <c r="D26" i="16"/>
  <c r="D18" i="16"/>
  <c r="D10" i="16"/>
  <c r="D33" i="10"/>
  <c r="D25" i="10"/>
  <c r="D18" i="10"/>
  <c r="D11" i="10"/>
  <c r="D34" i="13"/>
  <c r="D26" i="13"/>
  <c r="D19" i="13"/>
  <c r="D12" i="13"/>
  <c r="D26" i="14"/>
  <c r="D18" i="14"/>
  <c r="D26" i="10"/>
  <c r="D9" i="16"/>
  <c r="D24" i="10"/>
  <c r="D17" i="10"/>
  <c r="D10" i="10"/>
  <c r="D33" i="13"/>
  <c r="D25" i="13"/>
  <c r="D18" i="13"/>
  <c r="D11" i="13"/>
  <c r="D33" i="14"/>
  <c r="D25" i="14"/>
  <c r="D17" i="14"/>
  <c r="D12" i="10"/>
  <c r="D32" i="10"/>
  <c r="D32" i="16"/>
  <c r="D24" i="16"/>
  <c r="D16" i="16"/>
  <c r="D31" i="10"/>
  <c r="D23" i="10"/>
  <c r="D16" i="10"/>
  <c r="D9" i="10"/>
  <c r="D32" i="13"/>
  <c r="D24" i="13"/>
  <c r="D17" i="13"/>
  <c r="D32" i="14"/>
  <c r="D24" i="14"/>
  <c r="D11" i="14"/>
  <c r="D11" i="16"/>
  <c r="D19" i="10"/>
  <c r="D13" i="13"/>
  <c r="D17" i="16"/>
  <c r="D23" i="16"/>
  <c r="D15" i="16"/>
  <c r="D38" i="10"/>
  <c r="D30" i="10"/>
  <c r="D22" i="10"/>
  <c r="D38" i="13"/>
  <c r="D31" i="13"/>
  <c r="D23" i="13"/>
  <c r="D16" i="13"/>
  <c r="D9" i="13"/>
  <c r="D38" i="14"/>
  <c r="D31" i="14"/>
  <c r="D23" i="14"/>
  <c r="D27" i="16"/>
  <c r="D31" i="16"/>
  <c r="D38" i="16"/>
  <c r="D30" i="16"/>
  <c r="D22" i="16"/>
  <c r="D14" i="16"/>
  <c r="D37" i="10"/>
  <c r="D29" i="10"/>
  <c r="D15" i="10"/>
  <c r="D30" i="13"/>
  <c r="D37" i="14"/>
  <c r="D30" i="14"/>
  <c r="D22" i="14"/>
  <c r="D15" i="14"/>
  <c r="D9" i="14"/>
  <c r="D35" i="16"/>
  <c r="D20" i="13"/>
  <c r="D33" i="16"/>
  <c r="D37" i="16"/>
  <c r="D21" i="16"/>
  <c r="D13" i="16"/>
  <c r="D36" i="10"/>
  <c r="D28" i="10"/>
  <c r="D21" i="10"/>
  <c r="D14" i="10"/>
  <c r="D37" i="13"/>
  <c r="D29" i="13"/>
  <c r="D15" i="13"/>
  <c r="D36" i="14"/>
  <c r="D29" i="14"/>
  <c r="D21" i="14"/>
  <c r="D14" i="14"/>
  <c r="D34" i="10"/>
  <c r="D35" i="13"/>
  <c r="D27" i="14"/>
  <c r="D25" i="16"/>
  <c r="D29" i="16"/>
  <c r="D36" i="16"/>
  <c r="D28" i="16"/>
  <c r="D20" i="16"/>
  <c r="D12" i="16"/>
  <c r="D35" i="10"/>
  <c r="D27" i="10"/>
  <c r="D20" i="10"/>
  <c r="D13" i="10"/>
  <c r="D36" i="13"/>
  <c r="D28" i="13"/>
  <c r="D21" i="13"/>
  <c r="D14" i="13"/>
  <c r="D35" i="14"/>
  <c r="D28" i="14"/>
  <c r="D20" i="14"/>
  <c r="D13" i="14"/>
  <c r="D6" i="20"/>
  <c r="D10" i="13"/>
  <c r="D10" i="14"/>
  <c r="Y22" i="13"/>
  <c r="D8" i="10"/>
  <c r="D22" i="13"/>
  <c r="X22" i="13"/>
  <c r="D8" i="13"/>
  <c r="D8" i="14"/>
  <c r="AN8" i="16"/>
  <c r="R23" i="20"/>
  <c r="R13" i="20"/>
  <c r="R14" i="20"/>
  <c r="R15" i="20"/>
  <c r="R16" i="20"/>
  <c r="V26" i="20"/>
  <c r="G26" i="20"/>
  <c r="X8" i="16"/>
  <c r="D8" i="16"/>
  <c r="AR65" i="16"/>
  <c r="AH65" i="16"/>
  <c r="AJ65" i="16"/>
  <c r="AL65" i="16"/>
  <c r="AN65" i="16"/>
  <c r="AD65" i="16"/>
  <c r="Z65" i="16"/>
  <c r="AB65" i="16"/>
  <c r="AR57" i="16"/>
  <c r="AH57" i="16"/>
  <c r="AJ57" i="16"/>
  <c r="AL57" i="16"/>
  <c r="Z57" i="16"/>
  <c r="AN57" i="16"/>
  <c r="AB57" i="16"/>
  <c r="AD57" i="16"/>
  <c r="X49" i="16"/>
  <c r="AR49" i="16"/>
  <c r="AH49" i="16"/>
  <c r="AB49" i="16"/>
  <c r="AJ49" i="16"/>
  <c r="AD49" i="16"/>
  <c r="AL49" i="16"/>
  <c r="AN49" i="16"/>
  <c r="Z49" i="16"/>
  <c r="X41" i="16"/>
  <c r="AR41" i="16"/>
  <c r="AH41" i="16"/>
  <c r="AL41" i="16"/>
  <c r="AJ41" i="16"/>
  <c r="Z41" i="16"/>
  <c r="AN41" i="16"/>
  <c r="AB41" i="16"/>
  <c r="AD41" i="16"/>
  <c r="X33" i="16"/>
  <c r="AR33" i="16"/>
  <c r="AH33" i="16"/>
  <c r="AL33" i="16"/>
  <c r="AJ33" i="16"/>
  <c r="AN33" i="16"/>
  <c r="Z33" i="16"/>
  <c r="AB33" i="16"/>
  <c r="AD33" i="16"/>
  <c r="X25" i="16"/>
  <c r="AR25" i="16"/>
  <c r="AH25" i="16"/>
  <c r="AL25" i="16"/>
  <c r="AJ25" i="16"/>
  <c r="AD25" i="16"/>
  <c r="AN25" i="16"/>
  <c r="Z25" i="16"/>
  <c r="AB25" i="16"/>
  <c r="X17" i="16"/>
  <c r="AR17" i="16"/>
  <c r="AH17" i="16"/>
  <c r="AL17" i="16"/>
  <c r="AB17" i="16"/>
  <c r="AD17" i="16"/>
  <c r="AJ17" i="16"/>
  <c r="AN17" i="16"/>
  <c r="Z17" i="16"/>
  <c r="X9" i="16"/>
  <c r="AR9" i="16"/>
  <c r="AN9" i="16"/>
  <c r="AH9" i="16"/>
  <c r="AJ9" i="16"/>
  <c r="AL9" i="16"/>
  <c r="Z9" i="16"/>
  <c r="AB9" i="16"/>
  <c r="AD9" i="16"/>
  <c r="D64" i="10"/>
  <c r="AR60" i="13"/>
  <c r="AN60" i="13"/>
  <c r="AH60" i="13"/>
  <c r="AJ60" i="13"/>
  <c r="AL60" i="13"/>
  <c r="Y60" i="13"/>
  <c r="Z60" i="13"/>
  <c r="AA60" i="13"/>
  <c r="AB60" i="13"/>
  <c r="AC60" i="13"/>
  <c r="AD60" i="13"/>
  <c r="AE60" i="13"/>
  <c r="X60" i="13"/>
  <c r="AR56" i="13"/>
  <c r="AN56" i="13"/>
  <c r="AH56" i="13"/>
  <c r="AJ56" i="13"/>
  <c r="AL56" i="13"/>
  <c r="Y56" i="13"/>
  <c r="Z56" i="13"/>
  <c r="AA56" i="13"/>
  <c r="AB56" i="13"/>
  <c r="AC56" i="13"/>
  <c r="AD56" i="13"/>
  <c r="AE56" i="13"/>
  <c r="X56" i="13"/>
  <c r="AR52" i="13"/>
  <c r="AN52" i="13"/>
  <c r="AH52" i="13"/>
  <c r="AJ52" i="13"/>
  <c r="AL52" i="13"/>
  <c r="Y52" i="13"/>
  <c r="Z52" i="13"/>
  <c r="AA52" i="13"/>
  <c r="AB52" i="13"/>
  <c r="AC52" i="13"/>
  <c r="AD52" i="13"/>
  <c r="AE52" i="13"/>
  <c r="X52" i="13"/>
  <c r="AR48" i="13"/>
  <c r="AN48" i="13"/>
  <c r="AH48" i="13"/>
  <c r="AJ48" i="13"/>
  <c r="AL48" i="13"/>
  <c r="Y48" i="13"/>
  <c r="Z48" i="13"/>
  <c r="AA48" i="13"/>
  <c r="AB48" i="13"/>
  <c r="AC48" i="13"/>
  <c r="AD48" i="13"/>
  <c r="AE48" i="13"/>
  <c r="X48" i="13"/>
  <c r="AR44" i="13"/>
  <c r="AN44" i="13"/>
  <c r="AH44" i="13"/>
  <c r="AJ44" i="13"/>
  <c r="AL44" i="13"/>
  <c r="Y44" i="13"/>
  <c r="Z44" i="13"/>
  <c r="AA44" i="13"/>
  <c r="AB44" i="13"/>
  <c r="AC44" i="13"/>
  <c r="AD44" i="13"/>
  <c r="AE44" i="13"/>
  <c r="X44" i="13"/>
  <c r="AR40" i="13"/>
  <c r="AN40" i="13"/>
  <c r="AH40" i="13"/>
  <c r="AJ40" i="13"/>
  <c r="AL40" i="13"/>
  <c r="Y40" i="13"/>
  <c r="Z40" i="13"/>
  <c r="AA40" i="13"/>
  <c r="AB40" i="13"/>
  <c r="AC40" i="13"/>
  <c r="AD40" i="13"/>
  <c r="AE40" i="13"/>
  <c r="X40" i="13"/>
  <c r="AR36" i="13"/>
  <c r="AN36" i="13"/>
  <c r="AH36" i="13"/>
  <c r="AJ36" i="13"/>
  <c r="AL36" i="13"/>
  <c r="Y36" i="13"/>
  <c r="Z36" i="13"/>
  <c r="AA36" i="13"/>
  <c r="AB36" i="13"/>
  <c r="AC36" i="13"/>
  <c r="AD36" i="13"/>
  <c r="AE36" i="13"/>
  <c r="X36" i="13"/>
  <c r="AR32" i="13"/>
  <c r="AN32" i="13"/>
  <c r="AH32" i="13"/>
  <c r="AJ32" i="13"/>
  <c r="AL32" i="13"/>
  <c r="Y32" i="13"/>
  <c r="Z32" i="13"/>
  <c r="AA32" i="13"/>
  <c r="AB32" i="13"/>
  <c r="AC32" i="13"/>
  <c r="AD32" i="13"/>
  <c r="AE32" i="13"/>
  <c r="X32" i="13"/>
  <c r="AR28" i="13"/>
  <c r="AN28" i="13"/>
  <c r="AH28" i="13"/>
  <c r="AE28" i="13"/>
  <c r="AJ28" i="13"/>
  <c r="AL28" i="13"/>
  <c r="AA28" i="13"/>
  <c r="AB28" i="13"/>
  <c r="AC28" i="13"/>
  <c r="AD28" i="13"/>
  <c r="X28" i="13"/>
  <c r="Y28" i="13"/>
  <c r="Z28" i="13"/>
  <c r="AR24" i="13"/>
  <c r="AN24" i="13"/>
  <c r="AH24" i="13"/>
  <c r="AE24" i="13"/>
  <c r="X24" i="13"/>
  <c r="AJ24" i="13"/>
  <c r="AL24" i="13"/>
  <c r="AA24" i="13"/>
  <c r="AB24" i="13"/>
  <c r="AC24" i="13"/>
  <c r="AD24" i="13"/>
  <c r="Y24" i="13"/>
  <c r="Z24" i="13"/>
  <c r="AR20" i="13"/>
  <c r="AN20" i="13"/>
  <c r="AH20" i="13"/>
  <c r="AE20" i="13"/>
  <c r="X20" i="13"/>
  <c r="AJ20" i="13"/>
  <c r="AL20" i="13"/>
  <c r="AA20" i="13"/>
  <c r="AB20" i="13"/>
  <c r="AC20" i="13"/>
  <c r="AD20" i="13"/>
  <c r="Y20" i="13"/>
  <c r="Z20" i="13"/>
  <c r="AR16" i="13"/>
  <c r="AL16" i="13"/>
  <c r="AH16" i="13"/>
  <c r="AN16" i="13"/>
  <c r="AE16" i="13"/>
  <c r="X16" i="13"/>
  <c r="AJ16" i="13"/>
  <c r="AA16" i="13"/>
  <c r="AB16" i="13"/>
  <c r="AC16" i="13"/>
  <c r="AD16" i="13"/>
  <c r="Y16" i="13"/>
  <c r="Z16" i="13"/>
  <c r="AL12" i="13"/>
  <c r="AR12" i="13"/>
  <c r="AH12" i="13"/>
  <c r="AC12" i="13"/>
  <c r="AN12" i="13"/>
  <c r="AE12" i="13"/>
  <c r="X12" i="13"/>
  <c r="Y12" i="13"/>
  <c r="AA12" i="13"/>
  <c r="AJ12" i="13"/>
  <c r="AB12" i="13"/>
  <c r="Z12" i="13"/>
  <c r="AD12" i="13"/>
  <c r="AJ8" i="13"/>
  <c r="Y8" i="13"/>
  <c r="AN61" i="14"/>
  <c r="AR61" i="14"/>
  <c r="AH61" i="14"/>
  <c r="AJ61" i="14"/>
  <c r="AD61" i="14"/>
  <c r="AL61" i="14"/>
  <c r="Z61" i="14"/>
  <c r="X61" i="14"/>
  <c r="AB61" i="14"/>
  <c r="AN57" i="14"/>
  <c r="AH57" i="14"/>
  <c r="AR57" i="14"/>
  <c r="AJ57" i="14"/>
  <c r="AD57" i="14"/>
  <c r="X57" i="14"/>
  <c r="Z57" i="14"/>
  <c r="AL57" i="14"/>
  <c r="AB57" i="14"/>
  <c r="AR53" i="14"/>
  <c r="AN53" i="14"/>
  <c r="AH53" i="14"/>
  <c r="AJ53" i="14"/>
  <c r="AD53" i="14"/>
  <c r="AL53" i="14"/>
  <c r="X53" i="14"/>
  <c r="Z53" i="14"/>
  <c r="AB53" i="14"/>
  <c r="AN49" i="14"/>
  <c r="AH49" i="14"/>
  <c r="AR49" i="14"/>
  <c r="AJ49" i="14"/>
  <c r="AL49" i="14"/>
  <c r="AD49" i="14"/>
  <c r="X49" i="14"/>
  <c r="Z49" i="14"/>
  <c r="AB49" i="14"/>
  <c r="AR45" i="14"/>
  <c r="AN45" i="14"/>
  <c r="AH45" i="14"/>
  <c r="AJ45" i="14"/>
  <c r="AL45" i="14"/>
  <c r="AD45" i="14"/>
  <c r="X45" i="14"/>
  <c r="Z45" i="14"/>
  <c r="AB45" i="14"/>
  <c r="AN41" i="14"/>
  <c r="AH41" i="14"/>
  <c r="AR41" i="14"/>
  <c r="AJ41" i="14"/>
  <c r="AL41" i="14"/>
  <c r="AD41" i="14"/>
  <c r="X41" i="14"/>
  <c r="Z41" i="14"/>
  <c r="AB41" i="14"/>
  <c r="AR37" i="14"/>
  <c r="AN37" i="14"/>
  <c r="AH37" i="14"/>
  <c r="AJ37" i="14"/>
  <c r="AL37" i="14"/>
  <c r="AD37" i="14"/>
  <c r="X37" i="14"/>
  <c r="Z37" i="14"/>
  <c r="AB37" i="14"/>
  <c r="AN33" i="14"/>
  <c r="AH33" i="14"/>
  <c r="AR33" i="14"/>
  <c r="AJ33" i="14"/>
  <c r="AL33" i="14"/>
  <c r="AD33" i="14"/>
  <c r="X33" i="14"/>
  <c r="Z33" i="14"/>
  <c r="AB33" i="14"/>
  <c r="AR29" i="14"/>
  <c r="AN29" i="14"/>
  <c r="AH29" i="14"/>
  <c r="AJ29" i="14"/>
  <c r="AL29" i="14"/>
  <c r="AD29" i="14"/>
  <c r="X29" i="14"/>
  <c r="Z29" i="14"/>
  <c r="AB29" i="14"/>
  <c r="AN25" i="14"/>
  <c r="AH25" i="14"/>
  <c r="AR25" i="14"/>
  <c r="AJ25" i="14"/>
  <c r="Z25" i="14"/>
  <c r="AL25" i="14"/>
  <c r="AB25" i="14"/>
  <c r="AD25" i="14"/>
  <c r="X25" i="14"/>
  <c r="AR21" i="14"/>
  <c r="AN21" i="14"/>
  <c r="AH21" i="14"/>
  <c r="AJ21" i="14"/>
  <c r="Z21" i="14"/>
  <c r="AL21" i="14"/>
  <c r="AB21" i="14"/>
  <c r="AD21" i="14"/>
  <c r="X21" i="14"/>
  <c r="AN17" i="14"/>
  <c r="AH17" i="14"/>
  <c r="AR17" i="14"/>
  <c r="AJ17" i="14"/>
  <c r="Z17" i="14"/>
  <c r="AL17" i="14"/>
  <c r="AB17" i="14"/>
  <c r="AD17" i="14"/>
  <c r="X17" i="14"/>
  <c r="AR13" i="14"/>
  <c r="AN13" i="14"/>
  <c r="AH13" i="14"/>
  <c r="X13" i="14"/>
  <c r="AJ13" i="14"/>
  <c r="AB13" i="14"/>
  <c r="Z13" i="14"/>
  <c r="AL13" i="14"/>
  <c r="AD13" i="14"/>
  <c r="AN9" i="14"/>
  <c r="AH9" i="14"/>
  <c r="X9" i="14"/>
  <c r="AR9" i="14"/>
  <c r="AJ9" i="14"/>
  <c r="AB9" i="14"/>
  <c r="AL9" i="14"/>
  <c r="Z9" i="14"/>
  <c r="AD9" i="14"/>
  <c r="AB65" i="10"/>
  <c r="AB61" i="10"/>
  <c r="AB57" i="10"/>
  <c r="AB53" i="10"/>
  <c r="AB49" i="10"/>
  <c r="AR64" i="16"/>
  <c r="AH64" i="16"/>
  <c r="AJ64" i="16"/>
  <c r="X64" i="16"/>
  <c r="AL64" i="16"/>
  <c r="AN64" i="16"/>
  <c r="AB64" i="16"/>
  <c r="Z64" i="16"/>
  <c r="AD64" i="16"/>
  <c r="AR56" i="16"/>
  <c r="AH56" i="16"/>
  <c r="AB56" i="16"/>
  <c r="AJ56" i="16"/>
  <c r="AD56" i="16"/>
  <c r="AL56" i="16"/>
  <c r="X56" i="16"/>
  <c r="AN56" i="16"/>
  <c r="Z56" i="16"/>
  <c r="AR48" i="16"/>
  <c r="AH48" i="16"/>
  <c r="Z48" i="16"/>
  <c r="AJ48" i="16"/>
  <c r="AB48" i="16"/>
  <c r="AL48" i="16"/>
  <c r="AD48" i="16"/>
  <c r="AN48" i="16"/>
  <c r="X48" i="16"/>
  <c r="AH40" i="16"/>
  <c r="AL40" i="16"/>
  <c r="AR40" i="16"/>
  <c r="X40" i="16"/>
  <c r="AJ40" i="16"/>
  <c r="Z40" i="16"/>
  <c r="AN40" i="16"/>
  <c r="AB40" i="16"/>
  <c r="AD40" i="16"/>
  <c r="AH32" i="16"/>
  <c r="AL32" i="16"/>
  <c r="AR32" i="16"/>
  <c r="AD32" i="16"/>
  <c r="X32" i="16"/>
  <c r="AJ32" i="16"/>
  <c r="Z32" i="16"/>
  <c r="AN32" i="16"/>
  <c r="AB32" i="16"/>
  <c r="AH24" i="16"/>
  <c r="AL24" i="16"/>
  <c r="AR24" i="16"/>
  <c r="AB24" i="16"/>
  <c r="AD24" i="16"/>
  <c r="AJ24" i="16"/>
  <c r="X24" i="16"/>
  <c r="AN24" i="16"/>
  <c r="Z24" i="16"/>
  <c r="AH16" i="16"/>
  <c r="AL16" i="16"/>
  <c r="AR16" i="16"/>
  <c r="Z16" i="16"/>
  <c r="AJ16" i="16"/>
  <c r="AB16" i="16"/>
  <c r="AN16" i="16"/>
  <c r="AD16" i="16"/>
  <c r="X16" i="16"/>
  <c r="D63" i="10"/>
  <c r="AH63" i="10"/>
  <c r="AR63" i="10"/>
  <c r="AJ63" i="10"/>
  <c r="Z63" i="10"/>
  <c r="AL63" i="10"/>
  <c r="AN63" i="10"/>
  <c r="AD63" i="10"/>
  <c r="AR58" i="10"/>
  <c r="AJ58" i="10"/>
  <c r="AL58" i="10"/>
  <c r="Z58" i="10"/>
  <c r="AN58" i="10"/>
  <c r="AH58" i="10"/>
  <c r="AD58" i="10"/>
  <c r="AR54" i="10"/>
  <c r="AJ54" i="10"/>
  <c r="AL54" i="10"/>
  <c r="Z54" i="10"/>
  <c r="AN54" i="10"/>
  <c r="AH54" i="10"/>
  <c r="AD54" i="10"/>
  <c r="AR50" i="10"/>
  <c r="AJ50" i="10"/>
  <c r="AL50" i="10"/>
  <c r="Z50" i="10"/>
  <c r="AN50" i="10"/>
  <c r="AH50" i="10"/>
  <c r="AD50" i="10"/>
  <c r="AR46" i="10"/>
  <c r="AJ46" i="10"/>
  <c r="X46" i="10"/>
  <c r="AL46" i="10"/>
  <c r="Z46" i="10"/>
  <c r="AN46" i="10"/>
  <c r="AB46" i="10"/>
  <c r="AH46" i="10"/>
  <c r="AD46" i="10"/>
  <c r="AR42" i="10"/>
  <c r="AJ42" i="10"/>
  <c r="X42" i="10"/>
  <c r="AL42" i="10"/>
  <c r="Z42" i="10"/>
  <c r="AN42" i="10"/>
  <c r="AB42" i="10"/>
  <c r="AH42" i="10"/>
  <c r="AD42" i="10"/>
  <c r="AR38" i="10"/>
  <c r="AJ38" i="10"/>
  <c r="X38" i="10"/>
  <c r="AL38" i="10"/>
  <c r="Z38" i="10"/>
  <c r="AN38" i="10"/>
  <c r="AB38" i="10"/>
  <c r="AH38" i="10"/>
  <c r="AD38" i="10"/>
  <c r="AR34" i="10"/>
  <c r="AJ34" i="10"/>
  <c r="X34" i="10"/>
  <c r="AL34" i="10"/>
  <c r="Z34" i="10"/>
  <c r="AN34" i="10"/>
  <c r="AB34" i="10"/>
  <c r="AH34" i="10"/>
  <c r="AD34" i="10"/>
  <c r="AR30" i="10"/>
  <c r="AJ30" i="10"/>
  <c r="X30" i="10"/>
  <c r="AL30" i="10"/>
  <c r="Z30" i="10"/>
  <c r="AN30" i="10"/>
  <c r="AB30" i="10"/>
  <c r="AH30" i="10"/>
  <c r="AD30" i="10"/>
  <c r="AR26" i="10"/>
  <c r="AJ26" i="10"/>
  <c r="X26" i="10"/>
  <c r="AL26" i="10"/>
  <c r="Z26" i="10"/>
  <c r="AN26" i="10"/>
  <c r="AB26" i="10"/>
  <c r="AH26" i="10"/>
  <c r="AD26" i="10"/>
  <c r="AR22" i="10"/>
  <c r="AJ22" i="10"/>
  <c r="X22" i="10"/>
  <c r="AL22" i="10"/>
  <c r="Z22" i="10"/>
  <c r="AN22" i="10"/>
  <c r="AB22" i="10"/>
  <c r="AH22" i="10"/>
  <c r="AD22" i="10"/>
  <c r="AR18" i="10"/>
  <c r="AJ18" i="10"/>
  <c r="X18" i="10"/>
  <c r="AL18" i="10"/>
  <c r="Z18" i="10"/>
  <c r="AN18" i="10"/>
  <c r="AB18" i="10"/>
  <c r="AH18" i="10"/>
  <c r="AD18" i="10"/>
  <c r="AR14" i="10"/>
  <c r="AJ14" i="10"/>
  <c r="X14" i="10"/>
  <c r="AL14" i="10"/>
  <c r="Z14" i="10"/>
  <c r="AN14" i="10"/>
  <c r="AB14" i="10"/>
  <c r="AH14" i="10"/>
  <c r="AD14" i="10"/>
  <c r="AR10" i="10"/>
  <c r="AJ10" i="10"/>
  <c r="X10" i="10"/>
  <c r="AL10" i="10"/>
  <c r="Z10" i="10"/>
  <c r="AN10" i="10"/>
  <c r="AB10" i="10"/>
  <c r="AH10" i="10"/>
  <c r="AD10" i="10"/>
  <c r="D65" i="13"/>
  <c r="AR65" i="13"/>
  <c r="AN65" i="13"/>
  <c r="AH65" i="13"/>
  <c r="AJ65" i="13"/>
  <c r="AL65" i="13"/>
  <c r="Y65" i="13"/>
  <c r="Z65" i="13"/>
  <c r="AA65" i="13"/>
  <c r="AB65" i="13"/>
  <c r="AC65" i="13"/>
  <c r="AD65" i="13"/>
  <c r="AE65" i="13"/>
  <c r="X65" i="13"/>
  <c r="X64" i="10"/>
  <c r="X60" i="10"/>
  <c r="X56" i="10"/>
  <c r="X52" i="10"/>
  <c r="AR63" i="16"/>
  <c r="AH63" i="16"/>
  <c r="AJ63" i="16"/>
  <c r="X63" i="16"/>
  <c r="AL63" i="16"/>
  <c r="AN63" i="16"/>
  <c r="AB63" i="16"/>
  <c r="Z63" i="16"/>
  <c r="AD63" i="16"/>
  <c r="AR55" i="16"/>
  <c r="AH55" i="16"/>
  <c r="AB55" i="16"/>
  <c r="AJ55" i="16"/>
  <c r="AD55" i="16"/>
  <c r="AL55" i="16"/>
  <c r="X55" i="16"/>
  <c r="AN55" i="16"/>
  <c r="Z55" i="16"/>
  <c r="AR47" i="16"/>
  <c r="AH47" i="16"/>
  <c r="Z47" i="16"/>
  <c r="AJ47" i="16"/>
  <c r="AB47" i="16"/>
  <c r="AL47" i="16"/>
  <c r="AD47" i="16"/>
  <c r="AN47" i="16"/>
  <c r="X47" i="16"/>
  <c r="AH39" i="16"/>
  <c r="AR39" i="16"/>
  <c r="AL39" i="16"/>
  <c r="X39" i="16"/>
  <c r="Z39" i="16"/>
  <c r="AJ39" i="16"/>
  <c r="AB39" i="16"/>
  <c r="AN39" i="16"/>
  <c r="AD39" i="16"/>
  <c r="AH31" i="16"/>
  <c r="AR31" i="16"/>
  <c r="AL31" i="16"/>
  <c r="AJ31" i="16"/>
  <c r="AD31" i="16"/>
  <c r="AN31" i="16"/>
  <c r="X31" i="16"/>
  <c r="Z31" i="16"/>
  <c r="AB31" i="16"/>
  <c r="AH23" i="16"/>
  <c r="AR23" i="16"/>
  <c r="AL23" i="16"/>
  <c r="AJ23" i="16"/>
  <c r="AB23" i="16"/>
  <c r="AN23" i="16"/>
  <c r="AD23" i="16"/>
  <c r="X23" i="16"/>
  <c r="Z23" i="16"/>
  <c r="AH15" i="16"/>
  <c r="AR15" i="16"/>
  <c r="AL15" i="16"/>
  <c r="AJ15" i="16"/>
  <c r="Z15" i="16"/>
  <c r="AN15" i="16"/>
  <c r="AB15" i="16"/>
  <c r="AD15" i="16"/>
  <c r="X15" i="16"/>
  <c r="D62" i="10"/>
  <c r="AR62" i="10"/>
  <c r="AJ62" i="10"/>
  <c r="AL62" i="10"/>
  <c r="Z62" i="10"/>
  <c r="AN62" i="10"/>
  <c r="AH62" i="10"/>
  <c r="AD62" i="10"/>
  <c r="D64" i="13"/>
  <c r="AR64" i="13"/>
  <c r="AN64" i="13"/>
  <c r="AH64" i="13"/>
  <c r="AJ64" i="13"/>
  <c r="AL64" i="13"/>
  <c r="Y64" i="13"/>
  <c r="Z64" i="13"/>
  <c r="AA64" i="13"/>
  <c r="AB64" i="13"/>
  <c r="AC64" i="13"/>
  <c r="AD64" i="13"/>
  <c r="AE64" i="13"/>
  <c r="X64" i="13"/>
  <c r="AR59" i="13"/>
  <c r="AN59" i="13"/>
  <c r="AH59" i="13"/>
  <c r="AJ59" i="13"/>
  <c r="AL59" i="13"/>
  <c r="Y59" i="13"/>
  <c r="Z59" i="13"/>
  <c r="AA59" i="13"/>
  <c r="AB59" i="13"/>
  <c r="AC59" i="13"/>
  <c r="AD59" i="13"/>
  <c r="AE59" i="13"/>
  <c r="X59" i="13"/>
  <c r="AR55" i="13"/>
  <c r="AN55" i="13"/>
  <c r="AH55" i="13"/>
  <c r="AJ55" i="13"/>
  <c r="AL55" i="13"/>
  <c r="Y55" i="13"/>
  <c r="Z55" i="13"/>
  <c r="AA55" i="13"/>
  <c r="AB55" i="13"/>
  <c r="AC55" i="13"/>
  <c r="AD55" i="13"/>
  <c r="AE55" i="13"/>
  <c r="X55" i="13"/>
  <c r="AR51" i="13"/>
  <c r="AN51" i="13"/>
  <c r="AH51" i="13"/>
  <c r="AJ51" i="13"/>
  <c r="AL51" i="13"/>
  <c r="Y51" i="13"/>
  <c r="Z51" i="13"/>
  <c r="AA51" i="13"/>
  <c r="AB51" i="13"/>
  <c r="AC51" i="13"/>
  <c r="AD51" i="13"/>
  <c r="AE51" i="13"/>
  <c r="X51" i="13"/>
  <c r="AR47" i="13"/>
  <c r="AN47" i="13"/>
  <c r="AH47" i="13"/>
  <c r="AJ47" i="13"/>
  <c r="AL47" i="13"/>
  <c r="Y47" i="13"/>
  <c r="Z47" i="13"/>
  <c r="AA47" i="13"/>
  <c r="AB47" i="13"/>
  <c r="AC47" i="13"/>
  <c r="AD47" i="13"/>
  <c r="AE47" i="13"/>
  <c r="X47" i="13"/>
  <c r="AR43" i="13"/>
  <c r="AN43" i="13"/>
  <c r="AH43" i="13"/>
  <c r="AJ43" i="13"/>
  <c r="AL43" i="13"/>
  <c r="Y43" i="13"/>
  <c r="Z43" i="13"/>
  <c r="AA43" i="13"/>
  <c r="AB43" i="13"/>
  <c r="AC43" i="13"/>
  <c r="AD43" i="13"/>
  <c r="AE43" i="13"/>
  <c r="X43" i="13"/>
  <c r="AR39" i="13"/>
  <c r="AN39" i="13"/>
  <c r="AH39" i="13"/>
  <c r="AJ39" i="13"/>
  <c r="AL39" i="13"/>
  <c r="Y39" i="13"/>
  <c r="Z39" i="13"/>
  <c r="AA39" i="13"/>
  <c r="AB39" i="13"/>
  <c r="AC39" i="13"/>
  <c r="AD39" i="13"/>
  <c r="AE39" i="13"/>
  <c r="X39" i="13"/>
  <c r="AR35" i="13"/>
  <c r="AN35" i="13"/>
  <c r="AH35" i="13"/>
  <c r="AJ35" i="13"/>
  <c r="AL35" i="13"/>
  <c r="Y35" i="13"/>
  <c r="Z35" i="13"/>
  <c r="AA35" i="13"/>
  <c r="AB35" i="13"/>
  <c r="AC35" i="13"/>
  <c r="AD35" i="13"/>
  <c r="AE35" i="13"/>
  <c r="X35" i="13"/>
  <c r="AR31" i="13"/>
  <c r="AN31" i="13"/>
  <c r="AH31" i="13"/>
  <c r="AJ31" i="13"/>
  <c r="AL31" i="13"/>
  <c r="Y31" i="13"/>
  <c r="Z31" i="13"/>
  <c r="AA31" i="13"/>
  <c r="AB31" i="13"/>
  <c r="AC31" i="13"/>
  <c r="AD31" i="13"/>
  <c r="AE31" i="13"/>
  <c r="X31" i="13"/>
  <c r="AR27" i="13"/>
  <c r="AN27" i="13"/>
  <c r="AH27" i="13"/>
  <c r="AE27" i="13"/>
  <c r="AJ27" i="13"/>
  <c r="AL27" i="13"/>
  <c r="AA27" i="13"/>
  <c r="Y27" i="13"/>
  <c r="Z27" i="13"/>
  <c r="AB27" i="13"/>
  <c r="AC27" i="13"/>
  <c r="AD27" i="13"/>
  <c r="X27" i="13"/>
  <c r="AR23" i="13"/>
  <c r="AN23" i="13"/>
  <c r="AH23" i="13"/>
  <c r="AE23" i="13"/>
  <c r="X23" i="13"/>
  <c r="AJ23" i="13"/>
  <c r="AL23" i="13"/>
  <c r="AA23" i="13"/>
  <c r="AB23" i="13"/>
  <c r="Y23" i="13"/>
  <c r="Z23" i="13"/>
  <c r="AC23" i="13"/>
  <c r="AD23" i="13"/>
  <c r="AR19" i="13"/>
  <c r="AN19" i="13"/>
  <c r="AH19" i="13"/>
  <c r="AE19" i="13"/>
  <c r="X19" i="13"/>
  <c r="AJ19" i="13"/>
  <c r="AL19" i="13"/>
  <c r="AA19" i="13"/>
  <c r="AB19" i="13"/>
  <c r="Y19" i="13"/>
  <c r="Z19" i="13"/>
  <c r="AC19" i="13"/>
  <c r="AD19" i="13"/>
  <c r="AR15" i="13"/>
  <c r="AL15" i="13"/>
  <c r="AH15" i="13"/>
  <c r="AJ15" i="13"/>
  <c r="AC15" i="13"/>
  <c r="AE15" i="13"/>
  <c r="AN15" i="13"/>
  <c r="X15" i="13"/>
  <c r="Y15" i="13"/>
  <c r="AA15" i="13"/>
  <c r="AB15" i="13"/>
  <c r="Z15" i="13"/>
  <c r="AD15" i="13"/>
  <c r="AL11" i="13"/>
  <c r="AR11" i="13"/>
  <c r="AH11" i="13"/>
  <c r="AC11" i="13"/>
  <c r="AE11" i="13"/>
  <c r="AJ11" i="13"/>
  <c r="X11" i="13"/>
  <c r="Y11" i="13"/>
  <c r="AN11" i="13"/>
  <c r="AA11" i="13"/>
  <c r="AB11" i="13"/>
  <c r="Z11" i="13"/>
  <c r="AD11" i="13"/>
  <c r="AR66" i="14"/>
  <c r="AN66" i="14"/>
  <c r="AH66" i="14"/>
  <c r="AJ66" i="14"/>
  <c r="AL66" i="14"/>
  <c r="AD66" i="14"/>
  <c r="Z66" i="14"/>
  <c r="X66" i="14"/>
  <c r="AB66" i="14"/>
  <c r="AR60" i="14"/>
  <c r="AN60" i="14"/>
  <c r="AH60" i="14"/>
  <c r="AJ60" i="14"/>
  <c r="AL60" i="14"/>
  <c r="AD60" i="14"/>
  <c r="Z60" i="14"/>
  <c r="X60" i="14"/>
  <c r="AB60" i="14"/>
  <c r="AN56" i="14"/>
  <c r="AH56" i="14"/>
  <c r="AR56" i="14"/>
  <c r="AJ56" i="14"/>
  <c r="AD56" i="14"/>
  <c r="X56" i="14"/>
  <c r="AL56" i="14"/>
  <c r="Z56" i="14"/>
  <c r="AB56" i="14"/>
  <c r="AN52" i="14"/>
  <c r="AH52" i="14"/>
  <c r="AJ52" i="14"/>
  <c r="AR52" i="14"/>
  <c r="AL52" i="14"/>
  <c r="AD52" i="14"/>
  <c r="X52" i="14"/>
  <c r="Z52" i="14"/>
  <c r="AB52" i="14"/>
  <c r="AN48" i="14"/>
  <c r="AH48" i="14"/>
  <c r="AR48" i="14"/>
  <c r="AJ48" i="14"/>
  <c r="AD48" i="14"/>
  <c r="X48" i="14"/>
  <c r="Z48" i="14"/>
  <c r="AL48" i="14"/>
  <c r="AB48" i="14"/>
  <c r="AN44" i="14"/>
  <c r="AH44" i="14"/>
  <c r="AJ44" i="14"/>
  <c r="AR44" i="14"/>
  <c r="AD44" i="14"/>
  <c r="X44" i="14"/>
  <c r="Z44" i="14"/>
  <c r="AL44" i="14"/>
  <c r="AB44" i="14"/>
  <c r="AN40" i="14"/>
  <c r="AH40" i="14"/>
  <c r="AR40" i="14"/>
  <c r="AJ40" i="14"/>
  <c r="AD40" i="14"/>
  <c r="X40" i="14"/>
  <c r="Z40" i="14"/>
  <c r="AL40" i="14"/>
  <c r="AB40" i="14"/>
  <c r="AN36" i="14"/>
  <c r="AH36" i="14"/>
  <c r="AJ36" i="14"/>
  <c r="AR36" i="14"/>
  <c r="AD36" i="14"/>
  <c r="X36" i="14"/>
  <c r="Z36" i="14"/>
  <c r="AL36" i="14"/>
  <c r="AB36" i="14"/>
  <c r="AN32" i="14"/>
  <c r="AH32" i="14"/>
  <c r="AR32" i="14"/>
  <c r="AJ32" i="14"/>
  <c r="AD32" i="14"/>
  <c r="X32" i="14"/>
  <c r="Z32" i="14"/>
  <c r="AL32" i="14"/>
  <c r="AB32" i="14"/>
  <c r="AN28" i="14"/>
  <c r="AH28" i="14"/>
  <c r="AJ28" i="14"/>
  <c r="AR28" i="14"/>
  <c r="AD28" i="14"/>
  <c r="X28" i="14"/>
  <c r="Z28" i="14"/>
  <c r="AL28" i="14"/>
  <c r="AB28" i="14"/>
  <c r="AN24" i="14"/>
  <c r="AH24" i="14"/>
  <c r="AR24" i="14"/>
  <c r="AJ24" i="14"/>
  <c r="X24" i="14"/>
  <c r="Z24" i="14"/>
  <c r="AB24" i="14"/>
  <c r="AD24" i="14"/>
  <c r="AL24" i="14"/>
  <c r="AN20" i="14"/>
  <c r="AH20" i="14"/>
  <c r="AJ20" i="14"/>
  <c r="AR20" i="14"/>
  <c r="X20" i="14"/>
  <c r="Z20" i="14"/>
  <c r="AB20" i="14"/>
  <c r="AD20" i="14"/>
  <c r="AL20" i="14"/>
  <c r="AN16" i="14"/>
  <c r="AH16" i="14"/>
  <c r="AR16" i="14"/>
  <c r="AJ16" i="14"/>
  <c r="AB16" i="14"/>
  <c r="X16" i="14"/>
  <c r="Z16" i="14"/>
  <c r="AD16" i="14"/>
  <c r="AL16" i="14"/>
  <c r="AN12" i="14"/>
  <c r="AH12" i="14"/>
  <c r="X12" i="14"/>
  <c r="AJ12" i="14"/>
  <c r="AR12" i="14"/>
  <c r="AB12" i="14"/>
  <c r="Z12" i="14"/>
  <c r="AL12" i="14"/>
  <c r="AD12" i="14"/>
  <c r="AN8" i="14"/>
  <c r="AB66" i="10"/>
  <c r="AB62" i="10"/>
  <c r="AB58" i="10"/>
  <c r="AB54" i="10"/>
  <c r="AB50" i="10"/>
  <c r="AR62" i="16"/>
  <c r="AH62" i="16"/>
  <c r="AJ62" i="16"/>
  <c r="X62" i="16"/>
  <c r="AL62" i="16"/>
  <c r="AN62" i="16"/>
  <c r="AB62" i="16"/>
  <c r="Z62" i="16"/>
  <c r="AD62" i="16"/>
  <c r="AR54" i="16"/>
  <c r="AH54" i="16"/>
  <c r="AB54" i="16"/>
  <c r="AJ54" i="16"/>
  <c r="AD54" i="16"/>
  <c r="AL54" i="16"/>
  <c r="X54" i="16"/>
  <c r="AN54" i="16"/>
  <c r="Z54" i="16"/>
  <c r="AR46" i="16"/>
  <c r="AH46" i="16"/>
  <c r="Z46" i="16"/>
  <c r="AJ46" i="16"/>
  <c r="AB46" i="16"/>
  <c r="AL46" i="16"/>
  <c r="AD46" i="16"/>
  <c r="AN46" i="16"/>
  <c r="X46" i="16"/>
  <c r="AH38" i="16"/>
  <c r="AR38" i="16"/>
  <c r="AL38" i="16"/>
  <c r="AN38" i="16"/>
  <c r="X38" i="16"/>
  <c r="Z38" i="16"/>
  <c r="AB38" i="16"/>
  <c r="AJ38" i="16"/>
  <c r="AD38" i="16"/>
  <c r="AH30" i="16"/>
  <c r="AR30" i="16"/>
  <c r="AL30" i="16"/>
  <c r="AD30" i="16"/>
  <c r="X30" i="16"/>
  <c r="AJ30" i="16"/>
  <c r="Z30" i="16"/>
  <c r="AN30" i="16"/>
  <c r="AB30" i="16"/>
  <c r="AH22" i="16"/>
  <c r="AR22" i="16"/>
  <c r="AL22" i="16"/>
  <c r="AB22" i="16"/>
  <c r="AD22" i="16"/>
  <c r="AJ22" i="16"/>
  <c r="X22" i="16"/>
  <c r="AN22" i="16"/>
  <c r="Z22" i="16"/>
  <c r="AH14" i="16"/>
  <c r="AR14" i="16"/>
  <c r="AL14" i="16"/>
  <c r="AN14" i="16"/>
  <c r="Z14" i="16"/>
  <c r="AB14" i="16"/>
  <c r="AD14" i="16"/>
  <c r="AJ14" i="16"/>
  <c r="X14" i="16"/>
  <c r="AR61" i="10"/>
  <c r="AJ61" i="10"/>
  <c r="AL61" i="10"/>
  <c r="Z61" i="10"/>
  <c r="AN61" i="10"/>
  <c r="AH61" i="10"/>
  <c r="AD61" i="10"/>
  <c r="AJ57" i="10"/>
  <c r="AL57" i="10"/>
  <c r="Z57" i="10"/>
  <c r="AR57" i="10"/>
  <c r="AN57" i="10"/>
  <c r="AH57" i="10"/>
  <c r="AD57" i="10"/>
  <c r="AR53" i="10"/>
  <c r="AJ53" i="10"/>
  <c r="AL53" i="10"/>
  <c r="Z53" i="10"/>
  <c r="AN53" i="10"/>
  <c r="AH53" i="10"/>
  <c r="AD53" i="10"/>
  <c r="AJ49" i="10"/>
  <c r="X49" i="10"/>
  <c r="AL49" i="10"/>
  <c r="Z49" i="10"/>
  <c r="AN49" i="10"/>
  <c r="AR49" i="10"/>
  <c r="AH49" i="10"/>
  <c r="AD49" i="10"/>
  <c r="AJ45" i="10"/>
  <c r="X45" i="10"/>
  <c r="AR45" i="10"/>
  <c r="AL45" i="10"/>
  <c r="Z45" i="10"/>
  <c r="AN45" i="10"/>
  <c r="AB45" i="10"/>
  <c r="AH45" i="10"/>
  <c r="AD45" i="10"/>
  <c r="AR41" i="10"/>
  <c r="AJ41" i="10"/>
  <c r="X41" i="10"/>
  <c r="AL41" i="10"/>
  <c r="Z41" i="10"/>
  <c r="AN41" i="10"/>
  <c r="AB41" i="10"/>
  <c r="AH41" i="10"/>
  <c r="AD41" i="10"/>
  <c r="AJ37" i="10"/>
  <c r="X37" i="10"/>
  <c r="AL37" i="10"/>
  <c r="Z37" i="10"/>
  <c r="AR37" i="10"/>
  <c r="AN37" i="10"/>
  <c r="AB37" i="10"/>
  <c r="AH37" i="10"/>
  <c r="AD37" i="10"/>
  <c r="AJ33" i="10"/>
  <c r="X33" i="10"/>
  <c r="AR33" i="10"/>
  <c r="AL33" i="10"/>
  <c r="Z33" i="10"/>
  <c r="AN33" i="10"/>
  <c r="AB33" i="10"/>
  <c r="AH33" i="10"/>
  <c r="AD33" i="10"/>
  <c r="AJ29" i="10"/>
  <c r="X29" i="10"/>
  <c r="AL29" i="10"/>
  <c r="Z29" i="10"/>
  <c r="AN29" i="10"/>
  <c r="AB29" i="10"/>
  <c r="AR29" i="10"/>
  <c r="AH29" i="10"/>
  <c r="AD29" i="10"/>
  <c r="AJ25" i="10"/>
  <c r="X25" i="10"/>
  <c r="AL25" i="10"/>
  <c r="Z25" i="10"/>
  <c r="AR25" i="10"/>
  <c r="AN25" i="10"/>
  <c r="AB25" i="10"/>
  <c r="AH25" i="10"/>
  <c r="AD25" i="10"/>
  <c r="AR21" i="10"/>
  <c r="AJ21" i="10"/>
  <c r="X21" i="10"/>
  <c r="AL21" i="10"/>
  <c r="Z21" i="10"/>
  <c r="AN21" i="10"/>
  <c r="AB21" i="10"/>
  <c r="AH21" i="10"/>
  <c r="AD21" i="10"/>
  <c r="AJ17" i="10"/>
  <c r="X17" i="10"/>
  <c r="AL17" i="10"/>
  <c r="Z17" i="10"/>
  <c r="AN17" i="10"/>
  <c r="AB17" i="10"/>
  <c r="AR17" i="10"/>
  <c r="AH17" i="10"/>
  <c r="AD17" i="10"/>
  <c r="AJ13" i="10"/>
  <c r="X13" i="10"/>
  <c r="AR13" i="10"/>
  <c r="AL13" i="10"/>
  <c r="Z13" i="10"/>
  <c r="AN13" i="10"/>
  <c r="AB13" i="10"/>
  <c r="AH13" i="10"/>
  <c r="AD13" i="10"/>
  <c r="AR9" i="10"/>
  <c r="AJ9" i="10"/>
  <c r="X9" i="10"/>
  <c r="AL9" i="10"/>
  <c r="Z9" i="10"/>
  <c r="AN9" i="10"/>
  <c r="AB9" i="10"/>
  <c r="AH9" i="10"/>
  <c r="AD9" i="10"/>
  <c r="AR63" i="13"/>
  <c r="AN63" i="13"/>
  <c r="AH63" i="13"/>
  <c r="AJ63" i="13"/>
  <c r="AL63" i="13"/>
  <c r="Y63" i="13"/>
  <c r="Z63" i="13"/>
  <c r="AA63" i="13"/>
  <c r="AB63" i="13"/>
  <c r="AC63" i="13"/>
  <c r="AD63" i="13"/>
  <c r="AE63" i="13"/>
  <c r="X63" i="13"/>
  <c r="D66" i="14"/>
  <c r="X61" i="10"/>
  <c r="X57" i="10"/>
  <c r="X53" i="10"/>
  <c r="AR61" i="16"/>
  <c r="AH61" i="16"/>
  <c r="AJ61" i="16"/>
  <c r="X61" i="16"/>
  <c r="AL61" i="16"/>
  <c r="AN61" i="16"/>
  <c r="AB61" i="16"/>
  <c r="Z61" i="16"/>
  <c r="AD61" i="16"/>
  <c r="AR53" i="16"/>
  <c r="AH53" i="16"/>
  <c r="AB53" i="16"/>
  <c r="AJ53" i="16"/>
  <c r="AD53" i="16"/>
  <c r="AL53" i="16"/>
  <c r="X53" i="16"/>
  <c r="AN53" i="16"/>
  <c r="Z53" i="16"/>
  <c r="AR45" i="16"/>
  <c r="AH45" i="16"/>
  <c r="Z45" i="16"/>
  <c r="AJ45" i="16"/>
  <c r="AB45" i="16"/>
  <c r="AL45" i="16"/>
  <c r="AD45" i="16"/>
  <c r="AN45" i="16"/>
  <c r="X45" i="16"/>
  <c r="AH37" i="16"/>
  <c r="AR37" i="16"/>
  <c r="AL37" i="16"/>
  <c r="AJ37" i="16"/>
  <c r="X37" i="16"/>
  <c r="AN37" i="16"/>
  <c r="Z37" i="16"/>
  <c r="AB37" i="16"/>
  <c r="AD37" i="16"/>
  <c r="AH29" i="16"/>
  <c r="AR29" i="16"/>
  <c r="AL29" i="16"/>
  <c r="AJ29" i="16"/>
  <c r="AD29" i="16"/>
  <c r="AN29" i="16"/>
  <c r="X29" i="16"/>
  <c r="Z29" i="16"/>
  <c r="AB29" i="16"/>
  <c r="AH21" i="16"/>
  <c r="AR21" i="16"/>
  <c r="AL21" i="16"/>
  <c r="AJ21" i="16"/>
  <c r="AB21" i="16"/>
  <c r="AN21" i="16"/>
  <c r="AD21" i="16"/>
  <c r="X21" i="16"/>
  <c r="Z21" i="16"/>
  <c r="AH13" i="16"/>
  <c r="AR13" i="16"/>
  <c r="AJ13" i="16"/>
  <c r="AL13" i="16"/>
  <c r="Z13" i="16"/>
  <c r="AB13" i="16"/>
  <c r="AD13" i="16"/>
  <c r="AN13" i="16"/>
  <c r="X13" i="16"/>
  <c r="D64" i="16"/>
  <c r="D63" i="13"/>
  <c r="AN58" i="13"/>
  <c r="AH58" i="13"/>
  <c r="AJ58" i="13"/>
  <c r="AR58" i="13"/>
  <c r="AL58" i="13"/>
  <c r="Y58" i="13"/>
  <c r="Z58" i="13"/>
  <c r="AA58" i="13"/>
  <c r="AB58" i="13"/>
  <c r="AC58" i="13"/>
  <c r="AD58" i="13"/>
  <c r="AE58" i="13"/>
  <c r="X58" i="13"/>
  <c r="AN54" i="13"/>
  <c r="AH54" i="13"/>
  <c r="AR54" i="13"/>
  <c r="AJ54" i="13"/>
  <c r="AL54" i="13"/>
  <c r="Y54" i="13"/>
  <c r="Z54" i="13"/>
  <c r="AA54" i="13"/>
  <c r="AB54" i="13"/>
  <c r="AC54" i="13"/>
  <c r="AD54" i="13"/>
  <c r="AE54" i="13"/>
  <c r="X54" i="13"/>
  <c r="AN50" i="13"/>
  <c r="AR50" i="13"/>
  <c r="AH50" i="13"/>
  <c r="AJ50" i="13"/>
  <c r="AL50" i="13"/>
  <c r="Y50" i="13"/>
  <c r="Z50" i="13"/>
  <c r="AA50" i="13"/>
  <c r="AB50" i="13"/>
  <c r="AC50" i="13"/>
  <c r="AD50" i="13"/>
  <c r="AE50" i="13"/>
  <c r="X50" i="13"/>
  <c r="AN46" i="13"/>
  <c r="AH46" i="13"/>
  <c r="AJ46" i="13"/>
  <c r="AL46" i="13"/>
  <c r="AR46" i="13"/>
  <c r="Y46" i="13"/>
  <c r="Z46" i="13"/>
  <c r="AA46" i="13"/>
  <c r="AB46" i="13"/>
  <c r="AC46" i="13"/>
  <c r="AD46" i="13"/>
  <c r="AE46" i="13"/>
  <c r="X46" i="13"/>
  <c r="AN42" i="13"/>
  <c r="AH42" i="13"/>
  <c r="AJ42" i="13"/>
  <c r="AR42" i="13"/>
  <c r="AL42" i="13"/>
  <c r="Y42" i="13"/>
  <c r="Z42" i="13"/>
  <c r="AA42" i="13"/>
  <c r="AB42" i="13"/>
  <c r="AC42" i="13"/>
  <c r="AD42" i="13"/>
  <c r="AE42" i="13"/>
  <c r="X42" i="13"/>
  <c r="AN38" i="13"/>
  <c r="AH38" i="13"/>
  <c r="AR38" i="13"/>
  <c r="AJ38" i="13"/>
  <c r="AL38" i="13"/>
  <c r="Y38" i="13"/>
  <c r="Z38" i="13"/>
  <c r="AA38" i="13"/>
  <c r="AB38" i="13"/>
  <c r="AC38" i="13"/>
  <c r="AD38" i="13"/>
  <c r="AE38" i="13"/>
  <c r="X38" i="13"/>
  <c r="AN34" i="13"/>
  <c r="AR34" i="13"/>
  <c r="AH34" i="13"/>
  <c r="AJ34" i="13"/>
  <c r="AL34" i="13"/>
  <c r="Y34" i="13"/>
  <c r="Z34" i="13"/>
  <c r="AA34" i="13"/>
  <c r="AB34" i="13"/>
  <c r="AC34" i="13"/>
  <c r="AD34" i="13"/>
  <c r="AE34" i="13"/>
  <c r="X34" i="13"/>
  <c r="AN30" i="13"/>
  <c r="AH30" i="13"/>
  <c r="AE30" i="13"/>
  <c r="AJ30" i="13"/>
  <c r="AL30" i="13"/>
  <c r="AA30" i="13"/>
  <c r="AR30" i="13"/>
  <c r="X30" i="13"/>
  <c r="Y30" i="13"/>
  <c r="Z30" i="13"/>
  <c r="AB30" i="13"/>
  <c r="AC30" i="13"/>
  <c r="AD30" i="13"/>
  <c r="AN26" i="13"/>
  <c r="AH26" i="13"/>
  <c r="AE26" i="13"/>
  <c r="AJ26" i="13"/>
  <c r="AR26" i="13"/>
  <c r="AL26" i="13"/>
  <c r="AA26" i="13"/>
  <c r="X26" i="13"/>
  <c r="Y26" i="13"/>
  <c r="Z26" i="13"/>
  <c r="AB26" i="13"/>
  <c r="AC26" i="13"/>
  <c r="AD26" i="13"/>
  <c r="AN22" i="13"/>
  <c r="AH22" i="13"/>
  <c r="AE22" i="13"/>
  <c r="AR22" i="13"/>
  <c r="AJ22" i="13"/>
  <c r="AL22" i="13"/>
  <c r="AA22" i="13"/>
  <c r="AB22" i="13"/>
  <c r="AC22" i="13"/>
  <c r="AD22" i="13"/>
  <c r="Z22" i="13"/>
  <c r="AN18" i="13"/>
  <c r="AR18" i="13"/>
  <c r="AH18" i="13"/>
  <c r="AE18" i="13"/>
  <c r="X18" i="13"/>
  <c r="AJ18" i="13"/>
  <c r="AL18" i="13"/>
  <c r="AA18" i="13"/>
  <c r="AB18" i="13"/>
  <c r="AC18" i="13"/>
  <c r="AD18" i="13"/>
  <c r="Y18" i="13"/>
  <c r="Z18" i="13"/>
  <c r="AL14" i="13"/>
  <c r="AH14" i="13"/>
  <c r="AC14" i="13"/>
  <c r="AJ14" i="13"/>
  <c r="AE14" i="13"/>
  <c r="X14" i="13"/>
  <c r="Y14" i="13"/>
  <c r="AN14" i="13"/>
  <c r="AA14" i="13"/>
  <c r="AR14" i="13"/>
  <c r="AB14" i="13"/>
  <c r="Z14" i="13"/>
  <c r="AD14" i="13"/>
  <c r="AL10" i="13"/>
  <c r="AH10" i="13"/>
  <c r="AC10" i="13"/>
  <c r="AN10" i="13"/>
  <c r="AE10" i="13"/>
  <c r="X10" i="13"/>
  <c r="Y10" i="13"/>
  <c r="AR10" i="13"/>
  <c r="AA10" i="13"/>
  <c r="AJ10" i="13"/>
  <c r="AB10" i="13"/>
  <c r="Z10" i="13"/>
  <c r="AD10" i="13"/>
  <c r="D65" i="14"/>
  <c r="AN65" i="14"/>
  <c r="AH65" i="14"/>
  <c r="AJ65" i="14"/>
  <c r="AD65" i="14"/>
  <c r="Z65" i="14"/>
  <c r="AR65" i="14"/>
  <c r="AL65" i="14"/>
  <c r="X65" i="14"/>
  <c r="AB65" i="14"/>
  <c r="AN59" i="14"/>
  <c r="AH59" i="14"/>
  <c r="AJ59" i="14"/>
  <c r="AR59" i="14"/>
  <c r="AD59" i="14"/>
  <c r="AL59" i="14"/>
  <c r="Z59" i="14"/>
  <c r="X59" i="14"/>
  <c r="AB59" i="14"/>
  <c r="AN55" i="14"/>
  <c r="AR55" i="14"/>
  <c r="AH55" i="14"/>
  <c r="AJ55" i="14"/>
  <c r="AL55" i="14"/>
  <c r="AD55" i="14"/>
  <c r="X55" i="14"/>
  <c r="Z55" i="14"/>
  <c r="AB55" i="14"/>
  <c r="AN51" i="14"/>
  <c r="AH51" i="14"/>
  <c r="AJ51" i="14"/>
  <c r="AD51" i="14"/>
  <c r="AR51" i="14"/>
  <c r="X51" i="14"/>
  <c r="AL51" i="14"/>
  <c r="Z51" i="14"/>
  <c r="AB51" i="14"/>
  <c r="AN47" i="14"/>
  <c r="AR47" i="14"/>
  <c r="AH47" i="14"/>
  <c r="AJ47" i="14"/>
  <c r="AD47" i="14"/>
  <c r="X47" i="14"/>
  <c r="AL47" i="14"/>
  <c r="Z47" i="14"/>
  <c r="AB47" i="14"/>
  <c r="AN43" i="14"/>
  <c r="AH43" i="14"/>
  <c r="AJ43" i="14"/>
  <c r="AR43" i="14"/>
  <c r="AD43" i="14"/>
  <c r="X43" i="14"/>
  <c r="AL43" i="14"/>
  <c r="Z43" i="14"/>
  <c r="AB43" i="14"/>
  <c r="AN39" i="14"/>
  <c r="AR39" i="14"/>
  <c r="AH39" i="14"/>
  <c r="AJ39" i="14"/>
  <c r="AD39" i="14"/>
  <c r="X39" i="14"/>
  <c r="AL39" i="14"/>
  <c r="Z39" i="14"/>
  <c r="AB39" i="14"/>
  <c r="AN35" i="14"/>
  <c r="AH35" i="14"/>
  <c r="AJ35" i="14"/>
  <c r="AD35" i="14"/>
  <c r="X35" i="14"/>
  <c r="AL35" i="14"/>
  <c r="Z35" i="14"/>
  <c r="AR35" i="14"/>
  <c r="AB35" i="14"/>
  <c r="AN31" i="14"/>
  <c r="AR31" i="14"/>
  <c r="AH31" i="14"/>
  <c r="AJ31" i="14"/>
  <c r="AD31" i="14"/>
  <c r="X31" i="14"/>
  <c r="AL31" i="14"/>
  <c r="Z31" i="14"/>
  <c r="AB31" i="14"/>
  <c r="AN27" i="14"/>
  <c r="AH27" i="14"/>
  <c r="AJ27" i="14"/>
  <c r="AD27" i="14"/>
  <c r="X27" i="14"/>
  <c r="AR27" i="14"/>
  <c r="AL27" i="14"/>
  <c r="Z27" i="14"/>
  <c r="AB27" i="14"/>
  <c r="AN23" i="14"/>
  <c r="AR23" i="14"/>
  <c r="AH23" i="14"/>
  <c r="AJ23" i="14"/>
  <c r="X23" i="14"/>
  <c r="Z23" i="14"/>
  <c r="AL23" i="14"/>
  <c r="AB23" i="14"/>
  <c r="AD23" i="14"/>
  <c r="AN19" i="14"/>
  <c r="AH19" i="14"/>
  <c r="AJ19" i="14"/>
  <c r="AR19" i="14"/>
  <c r="X19" i="14"/>
  <c r="Z19" i="14"/>
  <c r="AL19" i="14"/>
  <c r="AB19" i="14"/>
  <c r="AD19" i="14"/>
  <c r="AN15" i="14"/>
  <c r="AR15" i="14"/>
  <c r="AH15" i="14"/>
  <c r="X15" i="14"/>
  <c r="AJ15" i="14"/>
  <c r="AB15" i="14"/>
  <c r="AD15" i="14"/>
  <c r="AL15" i="14"/>
  <c r="Z15" i="14"/>
  <c r="AN11" i="14"/>
  <c r="AH11" i="14"/>
  <c r="X11" i="14"/>
  <c r="AJ11" i="14"/>
  <c r="AB11" i="14"/>
  <c r="AR11" i="14"/>
  <c r="Z11" i="14"/>
  <c r="AD11" i="14"/>
  <c r="AL11" i="14"/>
  <c r="AB63" i="10"/>
  <c r="AB59" i="10"/>
  <c r="AB55" i="10"/>
  <c r="AB51" i="10"/>
  <c r="AR60" i="16"/>
  <c r="AH60" i="16"/>
  <c r="AJ60" i="16"/>
  <c r="X60" i="16"/>
  <c r="AL60" i="16"/>
  <c r="AN60" i="16"/>
  <c r="AB60" i="16"/>
  <c r="Z60" i="16"/>
  <c r="AD60" i="16"/>
  <c r="AR52" i="16"/>
  <c r="AH52" i="16"/>
  <c r="AB52" i="16"/>
  <c r="AJ52" i="16"/>
  <c r="AD52" i="16"/>
  <c r="AL52" i="16"/>
  <c r="X52" i="16"/>
  <c r="AN52" i="16"/>
  <c r="Z52" i="16"/>
  <c r="AR44" i="16"/>
  <c r="AH44" i="16"/>
  <c r="Z44" i="16"/>
  <c r="AJ44" i="16"/>
  <c r="AB44" i="16"/>
  <c r="AL44" i="16"/>
  <c r="AD44" i="16"/>
  <c r="AN44" i="16"/>
  <c r="X44" i="16"/>
  <c r="AH36" i="16"/>
  <c r="AR36" i="16"/>
  <c r="AL36" i="16"/>
  <c r="X36" i="16"/>
  <c r="Z36" i="16"/>
  <c r="AJ36" i="16"/>
  <c r="AB36" i="16"/>
  <c r="AN36" i="16"/>
  <c r="AD36" i="16"/>
  <c r="AH28" i="16"/>
  <c r="AR28" i="16"/>
  <c r="AL28" i="16"/>
  <c r="AD28" i="16"/>
  <c r="X28" i="16"/>
  <c r="AJ28" i="16"/>
  <c r="Z28" i="16"/>
  <c r="AN28" i="16"/>
  <c r="AB28" i="16"/>
  <c r="AH20" i="16"/>
  <c r="AR20" i="16"/>
  <c r="AL20" i="16"/>
  <c r="AB20" i="16"/>
  <c r="AD20" i="16"/>
  <c r="AJ20" i="16"/>
  <c r="X20" i="16"/>
  <c r="AN20" i="16"/>
  <c r="Z20" i="16"/>
  <c r="AN12" i="16"/>
  <c r="AH12" i="16"/>
  <c r="AR12" i="16"/>
  <c r="AJ12" i="16"/>
  <c r="AL12" i="16"/>
  <c r="Z12" i="16"/>
  <c r="AB12" i="16"/>
  <c r="AD12" i="16"/>
  <c r="X12" i="16"/>
  <c r="D63" i="16"/>
  <c r="D66" i="10"/>
  <c r="AH66" i="10"/>
  <c r="AJ66" i="10"/>
  <c r="Z66" i="10"/>
  <c r="AL66" i="10"/>
  <c r="AR66" i="10"/>
  <c r="AN66" i="10"/>
  <c r="AD66" i="10"/>
  <c r="AJ60" i="10"/>
  <c r="AL60" i="10"/>
  <c r="Z60" i="10"/>
  <c r="AN60" i="10"/>
  <c r="AR60" i="10"/>
  <c r="AH60" i="10"/>
  <c r="AD60" i="10"/>
  <c r="AJ56" i="10"/>
  <c r="AR56" i="10"/>
  <c r="AL56" i="10"/>
  <c r="Z56" i="10"/>
  <c r="AN56" i="10"/>
  <c r="AH56" i="10"/>
  <c r="AD56" i="10"/>
  <c r="AR52" i="10"/>
  <c r="AJ52" i="10"/>
  <c r="AL52" i="10"/>
  <c r="Z52" i="10"/>
  <c r="AN52" i="10"/>
  <c r="AH52" i="10"/>
  <c r="AD52" i="10"/>
  <c r="AJ48" i="10"/>
  <c r="X48" i="10"/>
  <c r="AL48" i="10"/>
  <c r="Z48" i="10"/>
  <c r="AR48" i="10"/>
  <c r="AN48" i="10"/>
  <c r="AB48" i="10"/>
  <c r="AH48" i="10"/>
  <c r="AD48" i="10"/>
  <c r="AJ44" i="10"/>
  <c r="X44" i="10"/>
  <c r="AR44" i="10"/>
  <c r="AL44" i="10"/>
  <c r="Z44" i="10"/>
  <c r="AN44" i="10"/>
  <c r="AB44" i="10"/>
  <c r="AH44" i="10"/>
  <c r="AD44" i="10"/>
  <c r="AJ40" i="10"/>
  <c r="X40" i="10"/>
  <c r="AL40" i="10"/>
  <c r="Z40" i="10"/>
  <c r="AN40" i="10"/>
  <c r="AB40" i="10"/>
  <c r="AR40" i="10"/>
  <c r="AH40" i="10"/>
  <c r="AD40" i="10"/>
  <c r="AJ36" i="10"/>
  <c r="X36" i="10"/>
  <c r="AL36" i="10"/>
  <c r="Z36" i="10"/>
  <c r="AR36" i="10"/>
  <c r="AN36" i="10"/>
  <c r="AB36" i="10"/>
  <c r="AH36" i="10"/>
  <c r="AD36" i="10"/>
  <c r="AR32" i="10"/>
  <c r="AJ32" i="10"/>
  <c r="X32" i="10"/>
  <c r="AL32" i="10"/>
  <c r="Z32" i="10"/>
  <c r="AN32" i="10"/>
  <c r="AB32" i="10"/>
  <c r="AH32" i="10"/>
  <c r="AD32" i="10"/>
  <c r="AJ28" i="10"/>
  <c r="X28" i="10"/>
  <c r="AL28" i="10"/>
  <c r="Z28" i="10"/>
  <c r="AN28" i="10"/>
  <c r="AB28" i="10"/>
  <c r="AR28" i="10"/>
  <c r="AH28" i="10"/>
  <c r="AD28" i="10"/>
  <c r="AJ24" i="10"/>
  <c r="X24" i="10"/>
  <c r="AR24" i="10"/>
  <c r="AL24" i="10"/>
  <c r="Z24" i="10"/>
  <c r="AN24" i="10"/>
  <c r="AB24" i="10"/>
  <c r="AH24" i="10"/>
  <c r="AD24" i="10"/>
  <c r="AR20" i="10"/>
  <c r="AJ20" i="10"/>
  <c r="X20" i="10"/>
  <c r="AL20" i="10"/>
  <c r="Z20" i="10"/>
  <c r="AN20" i="10"/>
  <c r="AB20" i="10"/>
  <c r="AH20" i="10"/>
  <c r="AD20" i="10"/>
  <c r="AJ16" i="10"/>
  <c r="X16" i="10"/>
  <c r="AL16" i="10"/>
  <c r="Z16" i="10"/>
  <c r="AR16" i="10"/>
  <c r="AN16" i="10"/>
  <c r="AB16" i="10"/>
  <c r="AH16" i="10"/>
  <c r="AD16" i="10"/>
  <c r="AJ12" i="10"/>
  <c r="X12" i="10"/>
  <c r="AR12" i="10"/>
  <c r="AL12" i="10"/>
  <c r="Z12" i="10"/>
  <c r="AN12" i="10"/>
  <c r="AB12" i="10"/>
  <c r="AH12" i="10"/>
  <c r="AD12" i="10"/>
  <c r="AH8" i="10"/>
  <c r="AD8" i="10"/>
  <c r="D62" i="13"/>
  <c r="AN62" i="13"/>
  <c r="AH62" i="13"/>
  <c r="AJ62" i="13"/>
  <c r="AL62" i="13"/>
  <c r="AR62" i="13"/>
  <c r="Y62" i="13"/>
  <c r="Z62" i="13"/>
  <c r="AA62" i="13"/>
  <c r="AB62" i="13"/>
  <c r="AC62" i="13"/>
  <c r="AD62" i="13"/>
  <c r="AE62" i="13"/>
  <c r="X62" i="13"/>
  <c r="D64" i="14"/>
  <c r="AN64" i="14"/>
  <c r="AH64" i="14"/>
  <c r="AJ64" i="14"/>
  <c r="AD64" i="14"/>
  <c r="AL64" i="14"/>
  <c r="AR64" i="14"/>
  <c r="Z64" i="14"/>
  <c r="X64" i="14"/>
  <c r="AB64" i="14"/>
  <c r="X66" i="10"/>
  <c r="X62" i="10"/>
  <c r="X58" i="10"/>
  <c r="X54" i="10"/>
  <c r="X50" i="10"/>
  <c r="AR59" i="16"/>
  <c r="AH59" i="16"/>
  <c r="AJ59" i="16"/>
  <c r="X59" i="16"/>
  <c r="AL59" i="16"/>
  <c r="AN59" i="16"/>
  <c r="AB59" i="16"/>
  <c r="Z59" i="16"/>
  <c r="AD59" i="16"/>
  <c r="AR51" i="16"/>
  <c r="AH51" i="16"/>
  <c r="AB51" i="16"/>
  <c r="AJ51" i="16"/>
  <c r="AD51" i="16"/>
  <c r="AL51" i="16"/>
  <c r="X51" i="16"/>
  <c r="AN51" i="16"/>
  <c r="Z51" i="16"/>
  <c r="AR43" i="16"/>
  <c r="AH43" i="16"/>
  <c r="AL43" i="16"/>
  <c r="Z43" i="16"/>
  <c r="AB43" i="16"/>
  <c r="AJ43" i="16"/>
  <c r="AD43" i="16"/>
  <c r="AN43" i="16"/>
  <c r="X43" i="16"/>
  <c r="AR35" i="16"/>
  <c r="AH35" i="16"/>
  <c r="AL35" i="16"/>
  <c r="AJ35" i="16"/>
  <c r="X35" i="16"/>
  <c r="AN35" i="16"/>
  <c r="Z35" i="16"/>
  <c r="AB35" i="16"/>
  <c r="AD35" i="16"/>
  <c r="AR27" i="16"/>
  <c r="AH27" i="16"/>
  <c r="AL27" i="16"/>
  <c r="AJ27" i="16"/>
  <c r="AD27" i="16"/>
  <c r="AN27" i="16"/>
  <c r="X27" i="16"/>
  <c r="Z27" i="16"/>
  <c r="AB27" i="16"/>
  <c r="AR19" i="16"/>
  <c r="AH19" i="16"/>
  <c r="AL19" i="16"/>
  <c r="AJ19" i="16"/>
  <c r="AB19" i="16"/>
  <c r="AN19" i="16"/>
  <c r="AD19" i="16"/>
  <c r="X19" i="16"/>
  <c r="Z19" i="16"/>
  <c r="AN11" i="16"/>
  <c r="AR11" i="16"/>
  <c r="AH11" i="16"/>
  <c r="AJ11" i="16"/>
  <c r="AL11" i="16"/>
  <c r="Z11" i="16"/>
  <c r="AB11" i="16"/>
  <c r="AD11" i="16"/>
  <c r="X11" i="16"/>
  <c r="D62" i="16"/>
  <c r="D65" i="10"/>
  <c r="AH65" i="10"/>
  <c r="AJ65" i="10"/>
  <c r="Z65" i="10"/>
  <c r="AR65" i="10"/>
  <c r="AL65" i="10"/>
  <c r="AN65" i="10"/>
  <c r="AD65" i="10"/>
  <c r="AN61" i="13"/>
  <c r="AH61" i="13"/>
  <c r="AJ61" i="13"/>
  <c r="AR61" i="13"/>
  <c r="AL61" i="13"/>
  <c r="Y61" i="13"/>
  <c r="Z61" i="13"/>
  <c r="AA61" i="13"/>
  <c r="AB61" i="13"/>
  <c r="AC61" i="13"/>
  <c r="AD61" i="13"/>
  <c r="AE61" i="13"/>
  <c r="X61" i="13"/>
  <c r="AN57" i="13"/>
  <c r="AH57" i="13"/>
  <c r="AR57" i="13"/>
  <c r="AJ57" i="13"/>
  <c r="AL57" i="13"/>
  <c r="Y57" i="13"/>
  <c r="Z57" i="13"/>
  <c r="AA57" i="13"/>
  <c r="AB57" i="13"/>
  <c r="AC57" i="13"/>
  <c r="AD57" i="13"/>
  <c r="AE57" i="13"/>
  <c r="X57" i="13"/>
  <c r="AN53" i="13"/>
  <c r="AR53" i="13"/>
  <c r="AH53" i="13"/>
  <c r="AJ53" i="13"/>
  <c r="AL53" i="13"/>
  <c r="Y53" i="13"/>
  <c r="Z53" i="13"/>
  <c r="AA53" i="13"/>
  <c r="AB53" i="13"/>
  <c r="AC53" i="13"/>
  <c r="AD53" i="13"/>
  <c r="AE53" i="13"/>
  <c r="X53" i="13"/>
  <c r="AR49" i="13"/>
  <c r="AN49" i="13"/>
  <c r="AH49" i="13"/>
  <c r="AJ49" i="13"/>
  <c r="AL49" i="13"/>
  <c r="Y49" i="13"/>
  <c r="Z49" i="13"/>
  <c r="AA49" i="13"/>
  <c r="AB49" i="13"/>
  <c r="AC49" i="13"/>
  <c r="AD49" i="13"/>
  <c r="AE49" i="13"/>
  <c r="X49" i="13"/>
  <c r="AN45" i="13"/>
  <c r="AH45" i="13"/>
  <c r="AJ45" i="13"/>
  <c r="AR45" i="13"/>
  <c r="AL45" i="13"/>
  <c r="Y45" i="13"/>
  <c r="Z45" i="13"/>
  <c r="AA45" i="13"/>
  <c r="AB45" i="13"/>
  <c r="AC45" i="13"/>
  <c r="AD45" i="13"/>
  <c r="AE45" i="13"/>
  <c r="X45" i="13"/>
  <c r="AN41" i="13"/>
  <c r="AH41" i="13"/>
  <c r="AR41" i="13"/>
  <c r="AJ41" i="13"/>
  <c r="AL41" i="13"/>
  <c r="Y41" i="13"/>
  <c r="Z41" i="13"/>
  <c r="AA41" i="13"/>
  <c r="AB41" i="13"/>
  <c r="AC41" i="13"/>
  <c r="AD41" i="13"/>
  <c r="AE41" i="13"/>
  <c r="X41" i="13"/>
  <c r="AN37" i="13"/>
  <c r="AR37" i="13"/>
  <c r="AH37" i="13"/>
  <c r="AJ37" i="13"/>
  <c r="AL37" i="13"/>
  <c r="Y37" i="13"/>
  <c r="Z37" i="13"/>
  <c r="AA37" i="13"/>
  <c r="AB37" i="13"/>
  <c r="AC37" i="13"/>
  <c r="AD37" i="13"/>
  <c r="AE37" i="13"/>
  <c r="X37" i="13"/>
  <c r="AR33" i="13"/>
  <c r="AN33" i="13"/>
  <c r="AH33" i="13"/>
  <c r="AJ33" i="13"/>
  <c r="AL33" i="13"/>
  <c r="Y33" i="13"/>
  <c r="Z33" i="13"/>
  <c r="AA33" i="13"/>
  <c r="AB33" i="13"/>
  <c r="AC33" i="13"/>
  <c r="AD33" i="13"/>
  <c r="AE33" i="13"/>
  <c r="X33" i="13"/>
  <c r="AN29" i="13"/>
  <c r="AH29" i="13"/>
  <c r="AE29" i="13"/>
  <c r="AJ29" i="13"/>
  <c r="AR29" i="13"/>
  <c r="AL29" i="13"/>
  <c r="AA29" i="13"/>
  <c r="AD29" i="13"/>
  <c r="X29" i="13"/>
  <c r="Y29" i="13"/>
  <c r="Z29" i="13"/>
  <c r="AB29" i="13"/>
  <c r="AC29" i="13"/>
  <c r="AN25" i="13"/>
  <c r="AH25" i="13"/>
  <c r="AE25" i="13"/>
  <c r="AR25" i="13"/>
  <c r="AJ25" i="13"/>
  <c r="AL25" i="13"/>
  <c r="AA25" i="13"/>
  <c r="AD25" i="13"/>
  <c r="X25" i="13"/>
  <c r="Y25" i="13"/>
  <c r="Z25" i="13"/>
  <c r="AB25" i="13"/>
  <c r="AC25" i="13"/>
  <c r="AN21" i="13"/>
  <c r="AR21" i="13"/>
  <c r="AH21" i="13"/>
  <c r="AE21" i="13"/>
  <c r="X21" i="13"/>
  <c r="AJ21" i="13"/>
  <c r="AL21" i="13"/>
  <c r="AA21" i="13"/>
  <c r="AB21" i="13"/>
  <c r="Y21" i="13"/>
  <c r="Z21" i="13"/>
  <c r="AC21" i="13"/>
  <c r="AD21" i="13"/>
  <c r="AH17" i="13"/>
  <c r="AR17" i="13"/>
  <c r="AN17" i="13"/>
  <c r="AE17" i="13"/>
  <c r="X17" i="13"/>
  <c r="AJ17" i="13"/>
  <c r="AL17" i="13"/>
  <c r="AA17" i="13"/>
  <c r="AB17" i="13"/>
  <c r="Y17" i="13"/>
  <c r="Z17" i="13"/>
  <c r="AC17" i="13"/>
  <c r="AD17" i="13"/>
  <c r="AL13" i="13"/>
  <c r="AH13" i="13"/>
  <c r="AC13" i="13"/>
  <c r="AE13" i="13"/>
  <c r="X13" i="13"/>
  <c r="AJ13" i="13"/>
  <c r="Y13" i="13"/>
  <c r="AR13" i="13"/>
  <c r="AA13" i="13"/>
  <c r="AN13" i="13"/>
  <c r="AB13" i="13"/>
  <c r="Z13" i="13"/>
  <c r="AD13" i="13"/>
  <c r="AL9" i="13"/>
  <c r="AH9" i="13"/>
  <c r="AC9" i="13"/>
  <c r="AE9" i="13"/>
  <c r="AJ9" i="13"/>
  <c r="X9" i="13"/>
  <c r="AR9" i="13"/>
  <c r="Y9" i="13"/>
  <c r="AN9" i="13"/>
  <c r="AA9" i="13"/>
  <c r="AB9" i="13"/>
  <c r="Z9" i="13"/>
  <c r="AD9" i="13"/>
  <c r="AN63" i="14"/>
  <c r="AH63" i="14"/>
  <c r="AR63" i="14"/>
  <c r="AJ63" i="14"/>
  <c r="AL63" i="14"/>
  <c r="AD63" i="14"/>
  <c r="Z63" i="14"/>
  <c r="X63" i="14"/>
  <c r="AB63" i="14"/>
  <c r="AN58" i="14"/>
  <c r="AH58" i="14"/>
  <c r="AJ58" i="14"/>
  <c r="AL58" i="14"/>
  <c r="AD58" i="14"/>
  <c r="AR58" i="14"/>
  <c r="Z58" i="14"/>
  <c r="X58" i="14"/>
  <c r="AB58" i="14"/>
  <c r="AN54" i="14"/>
  <c r="AR54" i="14"/>
  <c r="AH54" i="14"/>
  <c r="AJ54" i="14"/>
  <c r="AD54" i="14"/>
  <c r="X54" i="14"/>
  <c r="Z54" i="14"/>
  <c r="AL54" i="14"/>
  <c r="AB54" i="14"/>
  <c r="AN50" i="14"/>
  <c r="AH50" i="14"/>
  <c r="AJ50" i="14"/>
  <c r="AD50" i="14"/>
  <c r="AR50" i="14"/>
  <c r="AL50" i="14"/>
  <c r="X50" i="14"/>
  <c r="Z50" i="14"/>
  <c r="AB50" i="14"/>
  <c r="AN46" i="14"/>
  <c r="AR46" i="14"/>
  <c r="AH46" i="14"/>
  <c r="AJ46" i="14"/>
  <c r="AD46" i="14"/>
  <c r="AL46" i="14"/>
  <c r="X46" i="14"/>
  <c r="Z46" i="14"/>
  <c r="AB46" i="14"/>
  <c r="AN42" i="14"/>
  <c r="AH42" i="14"/>
  <c r="AJ42" i="14"/>
  <c r="AR42" i="14"/>
  <c r="AD42" i="14"/>
  <c r="AL42" i="14"/>
  <c r="X42" i="14"/>
  <c r="Z42" i="14"/>
  <c r="AB42" i="14"/>
  <c r="AN38" i="14"/>
  <c r="AR38" i="14"/>
  <c r="AH38" i="14"/>
  <c r="AJ38" i="14"/>
  <c r="AD38" i="14"/>
  <c r="AL38" i="14"/>
  <c r="X38" i="14"/>
  <c r="Z38" i="14"/>
  <c r="AB38" i="14"/>
  <c r="AN34" i="14"/>
  <c r="AH34" i="14"/>
  <c r="AJ34" i="14"/>
  <c r="AD34" i="14"/>
  <c r="AL34" i="14"/>
  <c r="X34" i="14"/>
  <c r="Z34" i="14"/>
  <c r="AR34" i="14"/>
  <c r="AB34" i="14"/>
  <c r="AN30" i="14"/>
  <c r="AR30" i="14"/>
  <c r="AH30" i="14"/>
  <c r="AJ30" i="14"/>
  <c r="AD30" i="14"/>
  <c r="AL30" i="14"/>
  <c r="X30" i="14"/>
  <c r="Z30" i="14"/>
  <c r="AB30" i="14"/>
  <c r="AN26" i="14"/>
  <c r="AH26" i="14"/>
  <c r="AJ26" i="14"/>
  <c r="AB26" i="14"/>
  <c r="AD26" i="14"/>
  <c r="AL26" i="14"/>
  <c r="AR26" i="14"/>
  <c r="X26" i="14"/>
  <c r="Z26" i="14"/>
  <c r="AN22" i="14"/>
  <c r="AR22" i="14"/>
  <c r="AH22" i="14"/>
  <c r="AJ22" i="14"/>
  <c r="AB22" i="14"/>
  <c r="AD22" i="14"/>
  <c r="AL22" i="14"/>
  <c r="X22" i="14"/>
  <c r="Z22" i="14"/>
  <c r="AN18" i="14"/>
  <c r="AH18" i="14"/>
  <c r="AJ18" i="14"/>
  <c r="AB18" i="14"/>
  <c r="AD18" i="14"/>
  <c r="AR18" i="14"/>
  <c r="AL18" i="14"/>
  <c r="X18" i="14"/>
  <c r="Z18" i="14"/>
  <c r="AN14" i="14"/>
  <c r="AR14" i="14"/>
  <c r="AH14" i="14"/>
  <c r="X14" i="14"/>
  <c r="AJ14" i="14"/>
  <c r="AB14" i="14"/>
  <c r="AL14" i="14"/>
  <c r="Z14" i="14"/>
  <c r="AD14" i="14"/>
  <c r="AN10" i="14"/>
  <c r="AH10" i="14"/>
  <c r="X10" i="14"/>
  <c r="AJ10" i="14"/>
  <c r="AB10" i="14"/>
  <c r="AR10" i="14"/>
  <c r="AD10" i="14"/>
  <c r="AL10" i="14"/>
  <c r="Z10" i="14"/>
  <c r="AB60" i="10"/>
  <c r="AB56" i="10"/>
  <c r="AB52" i="10"/>
  <c r="AR66" i="16"/>
  <c r="AH66" i="16"/>
  <c r="AJ66" i="16"/>
  <c r="AL66" i="16"/>
  <c r="AN66" i="16"/>
  <c r="X66" i="16"/>
  <c r="Z66" i="16"/>
  <c r="AB66" i="16"/>
  <c r="AD66" i="16"/>
  <c r="AR58" i="16"/>
  <c r="AH58" i="16"/>
  <c r="AJ58" i="16"/>
  <c r="X58" i="16"/>
  <c r="AL58" i="16"/>
  <c r="AN58" i="16"/>
  <c r="AB58" i="16"/>
  <c r="Z58" i="16"/>
  <c r="AD58" i="16"/>
  <c r="AR50" i="16"/>
  <c r="AH50" i="16"/>
  <c r="AB50" i="16"/>
  <c r="AJ50" i="16"/>
  <c r="AD50" i="16"/>
  <c r="AL50" i="16"/>
  <c r="X50" i="16"/>
  <c r="AN50" i="16"/>
  <c r="Z50" i="16"/>
  <c r="AR42" i="16"/>
  <c r="AH42" i="16"/>
  <c r="AL42" i="16"/>
  <c r="AN42" i="16"/>
  <c r="Z42" i="16"/>
  <c r="AB42" i="16"/>
  <c r="AD42" i="16"/>
  <c r="AJ42" i="16"/>
  <c r="X42" i="16"/>
  <c r="AR34" i="16"/>
  <c r="AH34" i="16"/>
  <c r="AL34" i="16"/>
  <c r="X34" i="16"/>
  <c r="Z34" i="16"/>
  <c r="AJ34" i="16"/>
  <c r="AB34" i="16"/>
  <c r="AN34" i="16"/>
  <c r="AD34" i="16"/>
  <c r="AR26" i="16"/>
  <c r="AH26" i="16"/>
  <c r="AL26" i="16"/>
  <c r="AD26" i="16"/>
  <c r="X26" i="16"/>
  <c r="AJ26" i="16"/>
  <c r="Z26" i="16"/>
  <c r="AN26" i="16"/>
  <c r="AB26" i="16"/>
  <c r="AR18" i="16"/>
  <c r="AH18" i="16"/>
  <c r="AL18" i="16"/>
  <c r="AN18" i="16"/>
  <c r="AB18" i="16"/>
  <c r="AD18" i="16"/>
  <c r="X18" i="16"/>
  <c r="AJ18" i="16"/>
  <c r="Z18" i="16"/>
  <c r="AN10" i="16"/>
  <c r="AR10" i="16"/>
  <c r="AH10" i="16"/>
  <c r="AJ10" i="16"/>
  <c r="AL10" i="16"/>
  <c r="Z10" i="16"/>
  <c r="AB10" i="16"/>
  <c r="AD10" i="16"/>
  <c r="X10" i="16"/>
  <c r="AH64" i="10"/>
  <c r="AJ64" i="10"/>
  <c r="AR64" i="10"/>
  <c r="Z64" i="10"/>
  <c r="AL64" i="10"/>
  <c r="AN64" i="10"/>
  <c r="AD64" i="10"/>
  <c r="AJ59" i="10"/>
  <c r="AL59" i="10"/>
  <c r="Z59" i="10"/>
  <c r="AR59" i="10"/>
  <c r="AN59" i="10"/>
  <c r="AH59" i="10"/>
  <c r="AD59" i="10"/>
  <c r="AJ55" i="10"/>
  <c r="AR55" i="10"/>
  <c r="AL55" i="10"/>
  <c r="Z55" i="10"/>
  <c r="AN55" i="10"/>
  <c r="AH55" i="10"/>
  <c r="AD55" i="10"/>
  <c r="AJ51" i="10"/>
  <c r="AL51" i="10"/>
  <c r="Z51" i="10"/>
  <c r="AN51" i="10"/>
  <c r="AR51" i="10"/>
  <c r="AH51" i="10"/>
  <c r="AD51" i="10"/>
  <c r="AJ47" i="10"/>
  <c r="X47" i="10"/>
  <c r="AL47" i="10"/>
  <c r="Z47" i="10"/>
  <c r="AR47" i="10"/>
  <c r="AN47" i="10"/>
  <c r="AB47" i="10"/>
  <c r="AH47" i="10"/>
  <c r="AD47" i="10"/>
  <c r="AR43" i="10"/>
  <c r="AJ43" i="10"/>
  <c r="X43" i="10"/>
  <c r="AL43" i="10"/>
  <c r="Z43" i="10"/>
  <c r="AN43" i="10"/>
  <c r="AB43" i="10"/>
  <c r="AH43" i="10"/>
  <c r="AD43" i="10"/>
  <c r="AJ39" i="10"/>
  <c r="X39" i="10"/>
  <c r="AL39" i="10"/>
  <c r="Z39" i="10"/>
  <c r="AN39" i="10"/>
  <c r="AB39" i="10"/>
  <c r="AR39" i="10"/>
  <c r="AH39" i="10"/>
  <c r="AD39" i="10"/>
  <c r="AJ35" i="10"/>
  <c r="X35" i="10"/>
  <c r="AR35" i="10"/>
  <c r="AL35" i="10"/>
  <c r="Z35" i="10"/>
  <c r="AN35" i="10"/>
  <c r="AB35" i="10"/>
  <c r="AH35" i="10"/>
  <c r="AD35" i="10"/>
  <c r="AR31" i="10"/>
  <c r="AJ31" i="10"/>
  <c r="X31" i="10"/>
  <c r="AL31" i="10"/>
  <c r="Z31" i="10"/>
  <c r="AN31" i="10"/>
  <c r="AB31" i="10"/>
  <c r="AH31" i="10"/>
  <c r="AD31" i="10"/>
  <c r="AJ27" i="10"/>
  <c r="X27" i="10"/>
  <c r="AL27" i="10"/>
  <c r="Z27" i="10"/>
  <c r="AR27" i="10"/>
  <c r="AN27" i="10"/>
  <c r="AB27" i="10"/>
  <c r="AH27" i="10"/>
  <c r="AD27" i="10"/>
  <c r="AJ23" i="10"/>
  <c r="X23" i="10"/>
  <c r="AR23" i="10"/>
  <c r="AL23" i="10"/>
  <c r="Z23" i="10"/>
  <c r="AN23" i="10"/>
  <c r="AB23" i="10"/>
  <c r="AH23" i="10"/>
  <c r="AD23" i="10"/>
  <c r="AJ19" i="10"/>
  <c r="X19" i="10"/>
  <c r="AL19" i="10"/>
  <c r="Z19" i="10"/>
  <c r="AN19" i="10"/>
  <c r="AB19" i="10"/>
  <c r="AR19" i="10"/>
  <c r="AH19" i="10"/>
  <c r="AD19" i="10"/>
  <c r="AJ15" i="10"/>
  <c r="X15" i="10"/>
  <c r="AL15" i="10"/>
  <c r="Z15" i="10"/>
  <c r="AR15" i="10"/>
  <c r="AN15" i="10"/>
  <c r="AB15" i="10"/>
  <c r="AH15" i="10"/>
  <c r="AD15" i="10"/>
  <c r="AR11" i="10"/>
  <c r="AJ11" i="10"/>
  <c r="X11" i="10"/>
  <c r="AL11" i="10"/>
  <c r="Z11" i="10"/>
  <c r="AN11" i="10"/>
  <c r="AB11" i="10"/>
  <c r="AH11" i="10"/>
  <c r="AD11" i="10"/>
  <c r="AN66" i="13"/>
  <c r="AR66" i="13"/>
  <c r="AH66" i="13"/>
  <c r="AJ66" i="13"/>
  <c r="AL66" i="13"/>
  <c r="Y66" i="13"/>
  <c r="Z66" i="13"/>
  <c r="AA66" i="13"/>
  <c r="AB66" i="13"/>
  <c r="AC66" i="13"/>
  <c r="AD66" i="13"/>
  <c r="AE66" i="13"/>
  <c r="X66" i="13"/>
  <c r="D62" i="14"/>
  <c r="AN62" i="14"/>
  <c r="AH62" i="14"/>
  <c r="AR62" i="14"/>
  <c r="AJ62" i="14"/>
  <c r="AD62" i="14"/>
  <c r="AL62" i="14"/>
  <c r="Z62" i="14"/>
  <c r="X62" i="14"/>
  <c r="AB62" i="14"/>
  <c r="X63" i="10"/>
  <c r="X59" i="10"/>
  <c r="X55" i="10"/>
  <c r="X51" i="10"/>
  <c r="AR8" i="16"/>
  <c r="AN8" i="10"/>
  <c r="AB8" i="16"/>
  <c r="AL8" i="16"/>
  <c r="X8" i="13"/>
  <c r="AH8" i="13"/>
  <c r="AB8" i="14"/>
  <c r="AL8" i="14"/>
  <c r="AB8" i="10"/>
  <c r="AE8" i="13"/>
  <c r="AL8" i="10"/>
  <c r="Z8" i="16"/>
  <c r="AJ8" i="16"/>
  <c r="AD8" i="13"/>
  <c r="AN8" i="13"/>
  <c r="Z8" i="14"/>
  <c r="AJ8" i="14"/>
  <c r="AR8" i="14"/>
  <c r="Z8" i="10"/>
  <c r="AR8" i="10"/>
  <c r="AC8" i="13"/>
  <c r="AR8" i="13"/>
  <c r="AJ8" i="10"/>
  <c r="AH8" i="16"/>
  <c r="AB8" i="13"/>
  <c r="AL8" i="13"/>
  <c r="X8" i="14"/>
  <c r="AH8" i="14"/>
  <c r="X8" i="10"/>
  <c r="AA8" i="13"/>
  <c r="AD8" i="16"/>
  <c r="Z8" i="13"/>
  <c r="AD8" i="14"/>
  <c r="X65" i="16"/>
  <c r="X57" i="16"/>
  <c r="D63" i="14"/>
  <c r="R17" i="20" l="1"/>
  <c r="L26" i="20"/>
  <c r="E4" i="5"/>
  <c r="D4" i="14"/>
  <c r="D4" i="13"/>
  <c r="D4" i="10"/>
  <c r="D4" i="16"/>
  <c r="D4" i="18"/>
  <c r="E8" i="5"/>
  <c r="J6" i="18"/>
  <c r="K41" i="17"/>
  <c r="G6" i="18"/>
  <c r="H13" i="20" s="1"/>
  <c r="AD5" i="16" l="1"/>
  <c r="AE25" i="16" s="1"/>
  <c r="H16" i="20"/>
  <c r="Q26" i="20"/>
  <c r="X5" i="16"/>
  <c r="Q6" i="18"/>
  <c r="O6" i="18"/>
  <c r="N6" i="18"/>
  <c r="M6" i="18"/>
  <c r="L6" i="18"/>
  <c r="H19" i="20" s="1"/>
  <c r="H6" i="18"/>
  <c r="I6" i="18"/>
  <c r="AE11" i="16" l="1"/>
  <c r="AE13" i="16"/>
  <c r="AE15" i="16"/>
  <c r="AE57" i="16"/>
  <c r="AE48" i="16"/>
  <c r="AE19" i="16"/>
  <c r="AE49" i="16"/>
  <c r="AE24" i="16"/>
  <c r="AE66" i="16"/>
  <c r="AE63" i="16"/>
  <c r="AE47" i="16"/>
  <c r="AE30" i="16"/>
  <c r="AE39" i="16"/>
  <c r="AE45" i="16"/>
  <c r="AE42" i="16"/>
  <c r="H25" i="20"/>
  <c r="R10" i="18"/>
  <c r="AS9" i="16" s="1"/>
  <c r="AE27" i="16"/>
  <c r="AE43" i="16"/>
  <c r="AE33" i="16"/>
  <c r="AE51" i="16"/>
  <c r="AE20" i="16"/>
  <c r="AE60" i="16"/>
  <c r="AE23" i="16"/>
  <c r="AE65" i="16"/>
  <c r="AE53" i="16"/>
  <c r="AE21" i="16"/>
  <c r="AE59" i="16"/>
  <c r="AE61" i="16"/>
  <c r="AE32" i="16"/>
  <c r="AE22" i="16"/>
  <c r="AE62" i="16"/>
  <c r="AE58" i="16"/>
  <c r="AE9" i="16"/>
  <c r="AE38" i="16"/>
  <c r="AE12" i="16"/>
  <c r="AE56" i="16"/>
  <c r="AE28" i="16"/>
  <c r="AE35" i="16"/>
  <c r="AE29" i="16"/>
  <c r="Z5" i="16"/>
  <c r="AA44" i="16" s="1"/>
  <c r="H14" i="20"/>
  <c r="AB5" i="16"/>
  <c r="AC51" i="16" s="1"/>
  <c r="H15" i="20"/>
  <c r="AE40" i="16"/>
  <c r="AE26" i="16"/>
  <c r="AE14" i="16"/>
  <c r="AE54" i="16"/>
  <c r="AE31" i="16"/>
  <c r="AE17" i="16"/>
  <c r="AE10" i="16"/>
  <c r="AE64" i="16"/>
  <c r="AE36" i="16"/>
  <c r="AE41" i="16"/>
  <c r="AE55" i="16"/>
  <c r="AE46" i="16"/>
  <c r="AE16" i="16"/>
  <c r="AE52" i="16"/>
  <c r="AE18" i="16"/>
  <c r="AE34" i="16"/>
  <c r="AE44" i="16"/>
  <c r="AE8" i="16"/>
  <c r="AE37" i="16"/>
  <c r="AE50" i="16"/>
  <c r="AN5" i="16"/>
  <c r="AO47" i="16" s="1"/>
  <c r="H22" i="20"/>
  <c r="AL5" i="16"/>
  <c r="AM54" i="16" s="1"/>
  <c r="H21" i="20"/>
  <c r="AJ5" i="16"/>
  <c r="AK19" i="16" s="1"/>
  <c r="H20" i="20"/>
  <c r="R61" i="18"/>
  <c r="R63" i="18"/>
  <c r="R65" i="18"/>
  <c r="R58" i="18"/>
  <c r="R60" i="18"/>
  <c r="R62" i="18"/>
  <c r="R64" i="18"/>
  <c r="R67" i="18"/>
  <c r="R59" i="18"/>
  <c r="R66" i="18"/>
  <c r="AC43" i="16"/>
  <c r="AC19" i="16"/>
  <c r="AC36" i="16"/>
  <c r="AC59" i="16"/>
  <c r="AC25" i="16"/>
  <c r="AC62" i="16"/>
  <c r="AC66" i="16"/>
  <c r="AC63" i="16"/>
  <c r="AC64" i="16"/>
  <c r="AC48" i="16"/>
  <c r="AC18" i="16"/>
  <c r="AC9" i="16"/>
  <c r="AC38" i="16"/>
  <c r="AC30" i="16"/>
  <c r="AC29" i="16"/>
  <c r="AC27" i="16"/>
  <c r="AC8" i="16"/>
  <c r="AA29" i="16"/>
  <c r="Y30" i="16"/>
  <c r="Y14" i="16"/>
  <c r="Y45" i="16"/>
  <c r="Y29" i="16"/>
  <c r="Y12" i="16"/>
  <c r="Y59" i="16"/>
  <c r="Y51" i="16"/>
  <c r="Y35" i="16"/>
  <c r="Y25" i="16"/>
  <c r="Y64" i="16"/>
  <c r="Y23" i="16"/>
  <c r="Y60" i="16"/>
  <c r="Y42" i="16"/>
  <c r="Y34" i="16"/>
  <c r="Y19" i="16"/>
  <c r="Y48" i="16"/>
  <c r="Y63" i="16"/>
  <c r="Y55" i="16"/>
  <c r="Y15" i="16"/>
  <c r="Y62" i="16"/>
  <c r="Y44" i="16"/>
  <c r="Y11" i="16"/>
  <c r="Y18" i="16"/>
  <c r="Y8" i="16"/>
  <c r="Y57" i="16"/>
  <c r="Y17" i="16"/>
  <c r="Y28" i="16"/>
  <c r="Y9" i="16"/>
  <c r="Y40" i="16"/>
  <c r="Y37" i="16"/>
  <c r="Y21" i="16"/>
  <c r="Y36" i="16"/>
  <c r="Y66" i="16"/>
  <c r="Y33" i="16"/>
  <c r="Y58" i="16"/>
  <c r="Y24" i="16"/>
  <c r="Y46" i="16"/>
  <c r="Y61" i="16"/>
  <c r="Y53" i="16"/>
  <c r="Y20" i="16"/>
  <c r="Y43" i="16"/>
  <c r="Y27" i="16"/>
  <c r="Y50" i="16"/>
  <c r="Y49" i="16"/>
  <c r="Y32" i="16"/>
  <c r="Y38" i="16"/>
  <c r="Y22" i="16"/>
  <c r="Y13" i="16"/>
  <c r="Y26" i="16"/>
  <c r="Y41" i="16"/>
  <c r="Y65" i="16"/>
  <c r="Y56" i="16"/>
  <c r="Y16" i="16"/>
  <c r="Y47" i="16"/>
  <c r="Y39" i="16"/>
  <c r="Y31" i="16"/>
  <c r="Y52" i="16"/>
  <c r="Y10" i="16"/>
  <c r="Y54" i="16"/>
  <c r="R13" i="18"/>
  <c r="AS12" i="16" s="1"/>
  <c r="R21" i="18"/>
  <c r="AS20" i="16" s="1"/>
  <c r="R29" i="18"/>
  <c r="AS28" i="16" s="1"/>
  <c r="R37" i="18"/>
  <c r="AS36" i="16" s="1"/>
  <c r="R45" i="18"/>
  <c r="AS44" i="16" s="1"/>
  <c r="R53" i="18"/>
  <c r="AS52" i="16" s="1"/>
  <c r="R36" i="18"/>
  <c r="AS35" i="16" s="1"/>
  <c r="R14" i="18"/>
  <c r="AS13" i="16" s="1"/>
  <c r="R22" i="18"/>
  <c r="AS21" i="16" s="1"/>
  <c r="R30" i="18"/>
  <c r="AS29" i="16" s="1"/>
  <c r="R38" i="18"/>
  <c r="AS37" i="16" s="1"/>
  <c r="R46" i="18"/>
  <c r="AS45" i="16" s="1"/>
  <c r="R54" i="18"/>
  <c r="AS53" i="16" s="1"/>
  <c r="R15" i="18"/>
  <c r="AS14" i="16" s="1"/>
  <c r="R23" i="18"/>
  <c r="AS22" i="16" s="1"/>
  <c r="R31" i="18"/>
  <c r="AS30" i="16" s="1"/>
  <c r="R39" i="18"/>
  <c r="AS38" i="16" s="1"/>
  <c r="R47" i="18"/>
  <c r="AS46" i="16" s="1"/>
  <c r="R55" i="18"/>
  <c r="AS54" i="16" s="1"/>
  <c r="R52" i="18"/>
  <c r="AS51" i="16" s="1"/>
  <c r="R16" i="18"/>
  <c r="AS15" i="16" s="1"/>
  <c r="R24" i="18"/>
  <c r="AS23" i="16" s="1"/>
  <c r="R32" i="18"/>
  <c r="AS31" i="16" s="1"/>
  <c r="R40" i="18"/>
  <c r="AS39" i="16" s="1"/>
  <c r="R48" i="18"/>
  <c r="AS47" i="16" s="1"/>
  <c r="R56" i="18"/>
  <c r="AS55" i="16" s="1"/>
  <c r="R9" i="18"/>
  <c r="AS8" i="16" s="1"/>
  <c r="R17" i="18"/>
  <c r="AS16" i="16" s="1"/>
  <c r="R25" i="18"/>
  <c r="AS24" i="16" s="1"/>
  <c r="R33" i="18"/>
  <c r="AS32" i="16" s="1"/>
  <c r="R41" i="18"/>
  <c r="AS40" i="16" s="1"/>
  <c r="R49" i="18"/>
  <c r="AS48" i="16" s="1"/>
  <c r="R57" i="18"/>
  <c r="AS56" i="16" s="1"/>
  <c r="R18" i="18"/>
  <c r="AS17" i="16" s="1"/>
  <c r="R26" i="18"/>
  <c r="AS25" i="16" s="1"/>
  <c r="R34" i="18"/>
  <c r="AS33" i="16" s="1"/>
  <c r="R42" i="18"/>
  <c r="AS41" i="16" s="1"/>
  <c r="R50" i="18"/>
  <c r="AS49" i="16" s="1"/>
  <c r="R28" i="18"/>
  <c r="AS27" i="16" s="1"/>
  <c r="R11" i="18"/>
  <c r="AS10" i="16" s="1"/>
  <c r="R19" i="18"/>
  <c r="AS18" i="16" s="1"/>
  <c r="R27" i="18"/>
  <c r="AS26" i="16" s="1"/>
  <c r="R35" i="18"/>
  <c r="AS34" i="16" s="1"/>
  <c r="R43" i="18"/>
  <c r="AS42" i="16" s="1"/>
  <c r="R51" i="18"/>
  <c r="AS50" i="16" s="1"/>
  <c r="R8" i="18"/>
  <c r="R12" i="18"/>
  <c r="AS11" i="16" s="1"/>
  <c r="R20" i="18"/>
  <c r="AS19" i="16" s="1"/>
  <c r="R44" i="18"/>
  <c r="AS43" i="16" s="1"/>
  <c r="AH5" i="16"/>
  <c r="AM32" i="16" l="1"/>
  <c r="AM62" i="16"/>
  <c r="AM44" i="16"/>
  <c r="AM26" i="16"/>
  <c r="AA48" i="16"/>
  <c r="AC60" i="16"/>
  <c r="AC41" i="16"/>
  <c r="AC61" i="16"/>
  <c r="AA55" i="16"/>
  <c r="AC44" i="16"/>
  <c r="AC23" i="16"/>
  <c r="AC45" i="16"/>
  <c r="AC35" i="16"/>
  <c r="AC52" i="16"/>
  <c r="AC55" i="16"/>
  <c r="AM28" i="16"/>
  <c r="AM19" i="16"/>
  <c r="AM47" i="16"/>
  <c r="AM61" i="16"/>
  <c r="AC28" i="16"/>
  <c r="AC58" i="16"/>
  <c r="AC57" i="16"/>
  <c r="AC11" i="16"/>
  <c r="AC31" i="16"/>
  <c r="AA20" i="16"/>
  <c r="AK36" i="16"/>
  <c r="AK12" i="16"/>
  <c r="AC21" i="16"/>
  <c r="AC46" i="16"/>
  <c r="AC12" i="16"/>
  <c r="AC49" i="16"/>
  <c r="AC40" i="16"/>
  <c r="AC54" i="16"/>
  <c r="AK65" i="16"/>
  <c r="AK39" i="16"/>
  <c r="AC22" i="16"/>
  <c r="AC42" i="16"/>
  <c r="AC17" i="16"/>
  <c r="AC34" i="16"/>
  <c r="AC24" i="16"/>
  <c r="AA53" i="16"/>
  <c r="AA45" i="16"/>
  <c r="AA9" i="16"/>
  <c r="AA28" i="16"/>
  <c r="AA15" i="16"/>
  <c r="AA39" i="16"/>
  <c r="AA57" i="16"/>
  <c r="AA26" i="16"/>
  <c r="AA58" i="16"/>
  <c r="AA8" i="16"/>
  <c r="AA60" i="16"/>
  <c r="AA19" i="16"/>
  <c r="AA38" i="16"/>
  <c r="AA54" i="16"/>
  <c r="AA27" i="16"/>
  <c r="AA64" i="16"/>
  <c r="AA47" i="16"/>
  <c r="AA66" i="16"/>
  <c r="AA51" i="16"/>
  <c r="AA33" i="16"/>
  <c r="AA40" i="16"/>
  <c r="AA21" i="16"/>
  <c r="AA32" i="16"/>
  <c r="AA18" i="16"/>
  <c r="AA12" i="16"/>
  <c r="AK51" i="16"/>
  <c r="AK16" i="16"/>
  <c r="AK27" i="16"/>
  <c r="AK56" i="16"/>
  <c r="AK55" i="16"/>
  <c r="AK20" i="16"/>
  <c r="AK46" i="16"/>
  <c r="AK60" i="16"/>
  <c r="AK31" i="16"/>
  <c r="AK58" i="16"/>
  <c r="AK43" i="16"/>
  <c r="AK63" i="16"/>
  <c r="AK35" i="16"/>
  <c r="AK44" i="16"/>
  <c r="AK11" i="16"/>
  <c r="AK33" i="16"/>
  <c r="AK15" i="16"/>
  <c r="AK38" i="16"/>
  <c r="AK32" i="16"/>
  <c r="AK37" i="16"/>
  <c r="AK61" i="16"/>
  <c r="AK42" i="16"/>
  <c r="AK49" i="16"/>
  <c r="AK54" i="16"/>
  <c r="AK30" i="16"/>
  <c r="AK50" i="16"/>
  <c r="AC33" i="16"/>
  <c r="AC13" i="16"/>
  <c r="H17" i="20"/>
  <c r="AA30" i="16"/>
  <c r="AA42" i="16"/>
  <c r="AA22" i="16"/>
  <c r="AA37" i="16"/>
  <c r="AA61" i="16"/>
  <c r="AA25" i="16"/>
  <c r="AA65" i="16"/>
  <c r="AA62" i="16"/>
  <c r="AA43" i="16"/>
  <c r="AA23" i="16"/>
  <c r="AA52" i="16"/>
  <c r="AA11" i="16"/>
  <c r="AA46" i="16"/>
  <c r="AA36" i="16"/>
  <c r="AA35" i="16"/>
  <c r="AA56" i="16"/>
  <c r="AA63" i="16"/>
  <c r="AA34" i="16"/>
  <c r="AA50" i="16"/>
  <c r="AA49" i="16"/>
  <c r="AA10" i="16"/>
  <c r="AA24" i="16"/>
  <c r="AA14" i="16"/>
  <c r="AA31" i="16"/>
  <c r="AA13" i="16"/>
  <c r="AA59" i="16"/>
  <c r="AA16" i="16"/>
  <c r="AA17" i="16"/>
  <c r="AA41" i="16"/>
  <c r="AO32" i="16"/>
  <c r="AO16" i="16"/>
  <c r="AO21" i="16"/>
  <c r="AO41" i="16"/>
  <c r="AO24" i="16"/>
  <c r="AO49" i="16"/>
  <c r="AO66" i="16"/>
  <c r="AO22" i="16"/>
  <c r="AO14" i="16"/>
  <c r="AO48" i="16"/>
  <c r="AO31" i="16"/>
  <c r="AO10" i="16"/>
  <c r="AO35" i="16"/>
  <c r="AM13" i="16"/>
  <c r="AM66" i="16"/>
  <c r="AM23" i="16"/>
  <c r="AM53" i="16"/>
  <c r="AM27" i="16"/>
  <c r="AM57" i="16"/>
  <c r="AM64" i="16"/>
  <c r="AM22" i="16"/>
  <c r="AM59" i="16"/>
  <c r="AM8" i="16"/>
  <c r="AM46" i="16"/>
  <c r="AM49" i="16"/>
  <c r="AM58" i="16"/>
  <c r="AM15" i="16"/>
  <c r="AM51" i="16"/>
  <c r="AM34" i="16"/>
  <c r="AM17" i="16"/>
  <c r="AM55" i="16"/>
  <c r="AM10" i="16"/>
  <c r="AM56" i="16"/>
  <c r="AM52" i="16"/>
  <c r="AM38" i="16"/>
  <c r="AM33" i="16"/>
  <c r="AM40" i="16"/>
  <c r="AM60" i="16"/>
  <c r="AM45" i="16"/>
  <c r="AM20" i="16"/>
  <c r="AM63" i="16"/>
  <c r="AM11" i="16"/>
  <c r="AM41" i="16"/>
  <c r="AM42" i="16"/>
  <c r="AM35" i="16"/>
  <c r="AM25" i="16"/>
  <c r="AM21" i="16"/>
  <c r="AM31" i="16"/>
  <c r="AM16" i="16"/>
  <c r="AM39" i="16"/>
  <c r="AM12" i="16"/>
  <c r="AM65" i="16"/>
  <c r="AM30" i="16"/>
  <c r="AM36" i="16"/>
  <c r="AM18" i="16"/>
  <c r="AM24" i="16"/>
  <c r="AM50" i="16"/>
  <c r="AM29" i="16"/>
  <c r="AM43" i="16"/>
  <c r="AM9" i="16"/>
  <c r="AM14" i="16"/>
  <c r="AM37" i="16"/>
  <c r="AM48" i="16"/>
  <c r="AK59" i="16"/>
  <c r="AK21" i="16"/>
  <c r="AK18" i="16"/>
  <c r="AK17" i="16"/>
  <c r="AK9" i="16"/>
  <c r="AK40" i="16"/>
  <c r="AK62" i="16"/>
  <c r="AK53" i="16"/>
  <c r="AK14" i="16"/>
  <c r="AK26" i="16"/>
  <c r="AK8" i="16"/>
  <c r="AK28" i="16"/>
  <c r="AK25" i="16"/>
  <c r="AK41" i="16"/>
  <c r="AK24" i="16"/>
  <c r="AK47" i="16"/>
  <c r="AK22" i="16"/>
  <c r="AK52" i="16"/>
  <c r="AK10" i="16"/>
  <c r="AK29" i="16"/>
  <c r="AK34" i="16"/>
  <c r="AK57" i="16"/>
  <c r="AK66" i="16"/>
  <c r="AK48" i="16"/>
  <c r="AK64" i="16"/>
  <c r="AK45" i="16"/>
  <c r="AK23" i="16"/>
  <c r="AK13" i="16"/>
  <c r="AO51" i="16"/>
  <c r="AO54" i="16"/>
  <c r="H23" i="20"/>
  <c r="AO63" i="16"/>
  <c r="AO26" i="16"/>
  <c r="AC39" i="16"/>
  <c r="AC10" i="16"/>
  <c r="AC50" i="16"/>
  <c r="AC15" i="16"/>
  <c r="AC47" i="16"/>
  <c r="AC20" i="16"/>
  <c r="AC32" i="16"/>
  <c r="AC53" i="16"/>
  <c r="AC37" i="16"/>
  <c r="AC16" i="16"/>
  <c r="AC56" i="16"/>
  <c r="AC65" i="16"/>
  <c r="AC26" i="16"/>
  <c r="AC14" i="16"/>
  <c r="AO57" i="16"/>
  <c r="AO8" i="16"/>
  <c r="AO64" i="16"/>
  <c r="AO12" i="16"/>
  <c r="AO13" i="16"/>
  <c r="AO19" i="16"/>
  <c r="AO17" i="16"/>
  <c r="AO56" i="16"/>
  <c r="AO42" i="16"/>
  <c r="AO9" i="16"/>
  <c r="AO44" i="16"/>
  <c r="AO23" i="16"/>
  <c r="AO30" i="16"/>
  <c r="AO60" i="16"/>
  <c r="AO18" i="16"/>
  <c r="AO65" i="16"/>
  <c r="AO58" i="16"/>
  <c r="AO25" i="16"/>
  <c r="AO37" i="16"/>
  <c r="AO45" i="16"/>
  <c r="AO61" i="16"/>
  <c r="AO50" i="16"/>
  <c r="AO52" i="16"/>
  <c r="AO55" i="16"/>
  <c r="AO34" i="16"/>
  <c r="AO59" i="16"/>
  <c r="AO46" i="16"/>
  <c r="AO43" i="16"/>
  <c r="AO27" i="16"/>
  <c r="AO36" i="16"/>
  <c r="AO40" i="16"/>
  <c r="AO62" i="16"/>
  <c r="AO15" i="16"/>
  <c r="AO11" i="16"/>
  <c r="AO53" i="16"/>
  <c r="AO20" i="16"/>
  <c r="AO39" i="16"/>
  <c r="AO28" i="16"/>
  <c r="AO38" i="16"/>
  <c r="AO29" i="16"/>
  <c r="AO33" i="16"/>
  <c r="AI9" i="16"/>
  <c r="AI16" i="16"/>
  <c r="AI15" i="16"/>
  <c r="AI38" i="16"/>
  <c r="AI45" i="16"/>
  <c r="AI11" i="16"/>
  <c r="AI66" i="16"/>
  <c r="AI26" i="16"/>
  <c r="AI57" i="16"/>
  <c r="AI56" i="16"/>
  <c r="AI55" i="16"/>
  <c r="AI14" i="16"/>
  <c r="AI52" i="16"/>
  <c r="AI36" i="16"/>
  <c r="AI59" i="16"/>
  <c r="AI19" i="16"/>
  <c r="AI48" i="16"/>
  <c r="AI47" i="16"/>
  <c r="AI30" i="16"/>
  <c r="AI17" i="16"/>
  <c r="AI40" i="16"/>
  <c r="AI24" i="16"/>
  <c r="AI23" i="16"/>
  <c r="AI54" i="16"/>
  <c r="AI37" i="16"/>
  <c r="AI13" i="16"/>
  <c r="AI12" i="16"/>
  <c r="AI41" i="16"/>
  <c r="AI64" i="16"/>
  <c r="AI63" i="16"/>
  <c r="AI22" i="16"/>
  <c r="AI53" i="16"/>
  <c r="AI60" i="16"/>
  <c r="AI20" i="16"/>
  <c r="AI50" i="16"/>
  <c r="AI34" i="16"/>
  <c r="AI28" i="16"/>
  <c r="AI25" i="16"/>
  <c r="AI39" i="16"/>
  <c r="AI62" i="16"/>
  <c r="AI21" i="16"/>
  <c r="AI27" i="16"/>
  <c r="AI42" i="16"/>
  <c r="AI10" i="16"/>
  <c r="AI65" i="16"/>
  <c r="AI32" i="16"/>
  <c r="AI31" i="16"/>
  <c r="AI61" i="16"/>
  <c r="AI43" i="16"/>
  <c r="AI58" i="16"/>
  <c r="AI49" i="16"/>
  <c r="AI33" i="16"/>
  <c r="AI46" i="16"/>
  <c r="AI29" i="16"/>
  <c r="AI51" i="16"/>
  <c r="AI35" i="16"/>
  <c r="AI8" i="16"/>
  <c r="AI44" i="16"/>
  <c r="AI18" i="16"/>
  <c r="AT67" i="14"/>
  <c r="AS67" i="14"/>
  <c r="AT67" i="16"/>
  <c r="AF67" i="10"/>
  <c r="AR6" i="14" l="1"/>
  <c r="AR6" i="13"/>
  <c r="AR6" i="10"/>
  <c r="AR6" i="16"/>
  <c r="AL67" i="10" l="1"/>
  <c r="AL67" i="14"/>
  <c r="AL67" i="13"/>
  <c r="AL67" i="16"/>
  <c r="BA7" i="18"/>
  <c r="BA6" i="18"/>
  <c r="AN7" i="18"/>
  <c r="AL5" i="13"/>
  <c r="AA7" i="18"/>
  <c r="AA6" i="18"/>
  <c r="N7" i="18"/>
  <c r="M7" i="18"/>
  <c r="G20" i="20" s="1"/>
  <c r="AL5" i="14" l="1"/>
  <c r="AM59" i="14" s="1"/>
  <c r="W21" i="20"/>
  <c r="AL6" i="14"/>
  <c r="V21" i="20"/>
  <c r="AL6" i="13"/>
  <c r="Q21" i="20"/>
  <c r="AL5" i="10"/>
  <c r="AM15" i="10" s="1"/>
  <c r="M21" i="20"/>
  <c r="AL6" i="10"/>
  <c r="L21" i="20"/>
  <c r="AL6" i="16"/>
  <c r="G21" i="20"/>
  <c r="AM40" i="13"/>
  <c r="AM20" i="13"/>
  <c r="AM51" i="13"/>
  <c r="AM27" i="13"/>
  <c r="AM46" i="13"/>
  <c r="AM14" i="13"/>
  <c r="AM33" i="13"/>
  <c r="AM13" i="13"/>
  <c r="AM9" i="13"/>
  <c r="AM61" i="13"/>
  <c r="AM60" i="13"/>
  <c r="AM36" i="13"/>
  <c r="AM16" i="13"/>
  <c r="AM47" i="13"/>
  <c r="AM42" i="13"/>
  <c r="AM22" i="13"/>
  <c r="AM55" i="13"/>
  <c r="AM50" i="13"/>
  <c r="AM32" i="13"/>
  <c r="AM43" i="13"/>
  <c r="AM23" i="13"/>
  <c r="AM38" i="13"/>
  <c r="AM18" i="13"/>
  <c r="AM57" i="13"/>
  <c r="AM24" i="13"/>
  <c r="AM37" i="13"/>
  <c r="AM17" i="13"/>
  <c r="AM12" i="13"/>
  <c r="AM64" i="13"/>
  <c r="AM39" i="13"/>
  <c r="AM19" i="13"/>
  <c r="AM58" i="13"/>
  <c r="AM34" i="13"/>
  <c r="AM53" i="13"/>
  <c r="AM29" i="13"/>
  <c r="AM44" i="13"/>
  <c r="AM56" i="13"/>
  <c r="AM59" i="13"/>
  <c r="AM35" i="13"/>
  <c r="AM11" i="13"/>
  <c r="AM49" i="13"/>
  <c r="AM25" i="13"/>
  <c r="AM66" i="13"/>
  <c r="AM26" i="13"/>
  <c r="AM52" i="13"/>
  <c r="AM28" i="13"/>
  <c r="AM31" i="13"/>
  <c r="AM63" i="13"/>
  <c r="AM10" i="13"/>
  <c r="AM45" i="13"/>
  <c r="AM8" i="13"/>
  <c r="AM48" i="13"/>
  <c r="AM65" i="13"/>
  <c r="AM54" i="13"/>
  <c r="AM30" i="13"/>
  <c r="AM62" i="13"/>
  <c r="AM41" i="13"/>
  <c r="AM21" i="13"/>
  <c r="AM15" i="13"/>
  <c r="AM67" i="13"/>
  <c r="AM67" i="16"/>
  <c r="AM64" i="10" l="1"/>
  <c r="AM20" i="10"/>
  <c r="AM59" i="10"/>
  <c r="AM40" i="10"/>
  <c r="AM35" i="10"/>
  <c r="AM48" i="10"/>
  <c r="AM13" i="10"/>
  <c r="AM56" i="10"/>
  <c r="AM32" i="10"/>
  <c r="AM44" i="10"/>
  <c r="AM17" i="10"/>
  <c r="AM33" i="10"/>
  <c r="AM45" i="10"/>
  <c r="AM25" i="10"/>
  <c r="AM66" i="10"/>
  <c r="AM60" i="10"/>
  <c r="AM53" i="10"/>
  <c r="AM38" i="10"/>
  <c r="AM18" i="10"/>
  <c r="AM30" i="10"/>
  <c r="AM37" i="10"/>
  <c r="AM47" i="10"/>
  <c r="AM28" i="10"/>
  <c r="AM57" i="10"/>
  <c r="AM16" i="10"/>
  <c r="AM65" i="10"/>
  <c r="AM67" i="10"/>
  <c r="AM21" i="10"/>
  <c r="AM26" i="10"/>
  <c r="AM61" i="10"/>
  <c r="AM39" i="10"/>
  <c r="AM50" i="10"/>
  <c r="AM54" i="10"/>
  <c r="AM58" i="10"/>
  <c r="AM49" i="10"/>
  <c r="AM36" i="10"/>
  <c r="AM27" i="10"/>
  <c r="AM8" i="10"/>
  <c r="AM52" i="10"/>
  <c r="AM12" i="10"/>
  <c r="AM14" i="10"/>
  <c r="AM51" i="10"/>
  <c r="AM19" i="10"/>
  <c r="AM11" i="10"/>
  <c r="AM63" i="10"/>
  <c r="AM62" i="10"/>
  <c r="AM9" i="10"/>
  <c r="AM46" i="10"/>
  <c r="AM55" i="10"/>
  <c r="AM31" i="10"/>
  <c r="AM43" i="10"/>
  <c r="AM23" i="10"/>
  <c r="AM42" i="10"/>
  <c r="AM41" i="10"/>
  <c r="AM36" i="14"/>
  <c r="AM64" i="14"/>
  <c r="AM9" i="14"/>
  <c r="AM49" i="14"/>
  <c r="AM63" i="14"/>
  <c r="AM16" i="14"/>
  <c r="AM67" i="14"/>
  <c r="AM45" i="14"/>
  <c r="AM31" i="14"/>
  <c r="AM20" i="14"/>
  <c r="AM58" i="14"/>
  <c r="AM22" i="14"/>
  <c r="AM23" i="14"/>
  <c r="AM48" i="14"/>
  <c r="AM46" i="14"/>
  <c r="AM57" i="14"/>
  <c r="AM12" i="14"/>
  <c r="AM43" i="14"/>
  <c r="AM66" i="14"/>
  <c r="AM19" i="14"/>
  <c r="AM34" i="14"/>
  <c r="AM21" i="14"/>
  <c r="AM60" i="14"/>
  <c r="AM18" i="14"/>
  <c r="AM33" i="14"/>
  <c r="AM32" i="14"/>
  <c r="AM29" i="14"/>
  <c r="AM39" i="14"/>
  <c r="AM15" i="14"/>
  <c r="AM10" i="14"/>
  <c r="AM13" i="14"/>
  <c r="AM38" i="14"/>
  <c r="AM51" i="14"/>
  <c r="AM25" i="14"/>
  <c r="AM55" i="14"/>
  <c r="AM41" i="14"/>
  <c r="AM35" i="14"/>
  <c r="AM65" i="14"/>
  <c r="AM54" i="14"/>
  <c r="AM8" i="14"/>
  <c r="AM50" i="14"/>
  <c r="AM53" i="14"/>
  <c r="AM24" i="14"/>
  <c r="AM40" i="14"/>
  <c r="AM28" i="14"/>
  <c r="AM27" i="14"/>
  <c r="AM30" i="14"/>
  <c r="AM56" i="14"/>
  <c r="AM62" i="14"/>
  <c r="AM11" i="14"/>
  <c r="AM52" i="14"/>
  <c r="AM37" i="14"/>
  <c r="AM47" i="14"/>
  <c r="AM42" i="14"/>
  <c r="AM14" i="14"/>
  <c r="AM26" i="14"/>
  <c r="AM44" i="14"/>
  <c r="AM17" i="14"/>
  <c r="AM61" i="14"/>
  <c r="AM24" i="10"/>
  <c r="AM29" i="10"/>
  <c r="AM22" i="10"/>
  <c r="AM34" i="10"/>
  <c r="AM10" i="10"/>
  <c r="O14" i="17"/>
  <c r="S14" i="17"/>
  <c r="S41" i="17" s="1"/>
  <c r="K14" i="17"/>
  <c r="G14" i="17"/>
  <c r="U67" i="14"/>
  <c r="T67" i="14"/>
  <c r="S67" i="14"/>
  <c r="R67" i="14"/>
  <c r="Q67" i="14"/>
  <c r="P67" i="14"/>
  <c r="O67" i="14"/>
  <c r="N67" i="14"/>
  <c r="M67" i="14"/>
  <c r="L67" i="14"/>
  <c r="K67" i="14"/>
  <c r="J67" i="14"/>
  <c r="I67" i="14"/>
  <c r="H67" i="14"/>
  <c r="G67" i="14"/>
  <c r="G67" i="16" l="1"/>
  <c r="H67" i="16"/>
  <c r="I67" i="16"/>
  <c r="J67" i="16"/>
  <c r="K67" i="16"/>
  <c r="L67" i="16"/>
  <c r="M67" i="16"/>
  <c r="N67" i="16"/>
  <c r="O67" i="16"/>
  <c r="P67" i="16"/>
  <c r="Q67" i="16"/>
  <c r="R67" i="16"/>
  <c r="S67" i="16"/>
  <c r="T67" i="16"/>
  <c r="U67" i="16"/>
  <c r="G67" i="10"/>
  <c r="H67" i="10"/>
  <c r="I67" i="10"/>
  <c r="J67" i="10"/>
  <c r="K67" i="10"/>
  <c r="L67" i="10"/>
  <c r="M67" i="10"/>
  <c r="N67" i="10"/>
  <c r="O67" i="10"/>
  <c r="P67" i="10"/>
  <c r="Q67" i="10"/>
  <c r="R67" i="10"/>
  <c r="S67" i="10"/>
  <c r="T67" i="10"/>
  <c r="U67" i="10"/>
  <c r="G67" i="13"/>
  <c r="H67" i="13"/>
  <c r="I67" i="13"/>
  <c r="J67" i="13"/>
  <c r="K67" i="13"/>
  <c r="L67" i="13"/>
  <c r="M67" i="13"/>
  <c r="N67" i="13"/>
  <c r="O67" i="13"/>
  <c r="P67" i="13"/>
  <c r="Q67" i="13"/>
  <c r="R67" i="13"/>
  <c r="S67" i="13"/>
  <c r="T67" i="13"/>
  <c r="U67" i="13"/>
  <c r="O41" i="17"/>
  <c r="E37" i="5" l="1"/>
  <c r="G37" i="5"/>
  <c r="E38" i="5"/>
  <c r="G38" i="5"/>
  <c r="E39" i="5"/>
  <c r="G39" i="5"/>
  <c r="E40" i="5"/>
  <c r="G40" i="5"/>
  <c r="E41" i="5"/>
  <c r="G41" i="5"/>
  <c r="E42" i="5"/>
  <c r="G42" i="5"/>
  <c r="E43" i="5"/>
  <c r="G43" i="5"/>
  <c r="E44" i="5"/>
  <c r="G44" i="5"/>
  <c r="E45" i="5"/>
  <c r="G45" i="5"/>
  <c r="E46" i="5"/>
  <c r="G46" i="5"/>
  <c r="E47" i="5"/>
  <c r="G47" i="5"/>
  <c r="E48" i="5"/>
  <c r="G48" i="5"/>
  <c r="E49" i="5"/>
  <c r="G49" i="5"/>
  <c r="E50" i="5"/>
  <c r="G50" i="5"/>
  <c r="E51" i="5"/>
  <c r="G51" i="5"/>
  <c r="E52" i="5"/>
  <c r="G52" i="5"/>
  <c r="E53" i="5"/>
  <c r="G53" i="5"/>
  <c r="E54" i="5"/>
  <c r="G54" i="5"/>
  <c r="E55" i="5"/>
  <c r="G55" i="5"/>
  <c r="E56" i="5"/>
  <c r="G56" i="5"/>
  <c r="AW5" i="18" l="1"/>
  <c r="AV5" i="18"/>
  <c r="AU5" i="18"/>
  <c r="AT5" i="18"/>
  <c r="AJ5" i="18"/>
  <c r="AI5" i="18"/>
  <c r="AH5" i="18"/>
  <c r="AG5" i="18"/>
  <c r="W5" i="18"/>
  <c r="V5" i="18"/>
  <c r="U5" i="18"/>
  <c r="T5" i="18"/>
  <c r="J5" i="18"/>
  <c r="I5" i="18"/>
  <c r="H5" i="18"/>
  <c r="G5" i="18"/>
  <c r="AX4" i="18" l="1"/>
  <c r="AF4" i="14" s="1"/>
  <c r="AK4" i="18"/>
  <c r="AF4" i="13" s="1"/>
  <c r="X4" i="18"/>
  <c r="AF4" i="10" s="1"/>
  <c r="K4" i="18"/>
  <c r="AF4" i="16" s="1"/>
  <c r="G41" i="17"/>
  <c r="AW7" i="18" l="1"/>
  <c r="AV7" i="18"/>
  <c r="AU7" i="18"/>
  <c r="AT7" i="18"/>
  <c r="AW6" i="18"/>
  <c r="AV6" i="18"/>
  <c r="AU6" i="18"/>
  <c r="AT6" i="18"/>
  <c r="W13" i="20" s="1"/>
  <c r="AJ7" i="18"/>
  <c r="AI7" i="18"/>
  <c r="AH7" i="18"/>
  <c r="AG7" i="18"/>
  <c r="W6" i="18"/>
  <c r="V6" i="18"/>
  <c r="U6" i="18"/>
  <c r="T6" i="18"/>
  <c r="M13" i="20" s="1"/>
  <c r="W7" i="18"/>
  <c r="V7" i="18"/>
  <c r="U7" i="18"/>
  <c r="T7" i="18"/>
  <c r="I7" i="18"/>
  <c r="J7" i="18"/>
  <c r="H7" i="18"/>
  <c r="G7" i="18"/>
  <c r="BE4" i="18"/>
  <c r="AS4" i="14" s="1"/>
  <c r="BC4" i="18"/>
  <c r="AP4" i="14" s="1"/>
  <c r="AR4" i="18"/>
  <c r="AS4" i="13" s="1"/>
  <c r="AP4" i="18"/>
  <c r="AP4" i="13" s="1"/>
  <c r="AE4" i="18"/>
  <c r="AS4" i="10" s="1"/>
  <c r="AC4" i="18"/>
  <c r="AP4" i="10" s="1"/>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AR4" i="14"/>
  <c r="F7" i="14"/>
  <c r="D3" i="14"/>
  <c r="BD7" i="18"/>
  <c r="V25" i="20" s="1"/>
  <c r="BB7" i="18"/>
  <c r="AZ7" i="18"/>
  <c r="AY7" i="18"/>
  <c r="BD6" i="18"/>
  <c r="W25" i="20" s="1"/>
  <c r="BB6" i="18"/>
  <c r="AZ6" i="18"/>
  <c r="W20" i="20" s="1"/>
  <c r="AY6" i="18"/>
  <c r="W19" i="20" s="1"/>
  <c r="AR4" i="13"/>
  <c r="F7" i="13"/>
  <c r="D3" i="13"/>
  <c r="AQ7" i="18"/>
  <c r="Q25" i="20" s="1"/>
  <c r="AO7" i="18"/>
  <c r="AM7" i="18"/>
  <c r="AL7" i="18"/>
  <c r="AQ6" i="18"/>
  <c r="R25" i="20" s="1"/>
  <c r="AJ5" i="13"/>
  <c r="AR4" i="10"/>
  <c r="F7" i="10"/>
  <c r="D3" i="10"/>
  <c r="R4" i="18"/>
  <c r="AS4" i="16" s="1"/>
  <c r="P4" i="18"/>
  <c r="AP4" i="16" s="1"/>
  <c r="AD7" i="18"/>
  <c r="L25" i="20" s="1"/>
  <c r="AB7" i="18"/>
  <c r="Z7" i="18"/>
  <c r="Y7" i="18"/>
  <c r="AD6" i="18"/>
  <c r="M25" i="20" s="1"/>
  <c r="AB6" i="18"/>
  <c r="Z6" i="18"/>
  <c r="Y6" i="18"/>
  <c r="M19" i="20" s="1"/>
  <c r="C8" i="18"/>
  <c r="C9" i="18" s="1"/>
  <c r="C10" i="18" s="1"/>
  <c r="C11" i="18" s="1"/>
  <c r="C12" i="18" s="1"/>
  <c r="C13" i="18" s="1"/>
  <c r="C14" i="18" s="1"/>
  <c r="C15" i="18" s="1"/>
  <c r="C16" i="18" s="1"/>
  <c r="C17" i="18" s="1"/>
  <c r="C18" i="18" s="1"/>
  <c r="C19" i="18" s="1"/>
  <c r="C20" i="18" s="1"/>
  <c r="C21" i="18" s="1"/>
  <c r="C22" i="18" s="1"/>
  <c r="C23" i="18" s="1"/>
  <c r="C24" i="18" s="1"/>
  <c r="C25" i="18" s="1"/>
  <c r="C26" i="18" s="1"/>
  <c r="C27" i="18" s="1"/>
  <c r="C28" i="18" s="1"/>
  <c r="C29" i="18" s="1"/>
  <c r="C30" i="18" s="1"/>
  <c r="C31" i="18" s="1"/>
  <c r="C32" i="18" s="1"/>
  <c r="C33" i="18" s="1"/>
  <c r="C34" i="18" s="1"/>
  <c r="C35" i="18" s="1"/>
  <c r="C36" i="18" s="1"/>
  <c r="C37" i="18" s="1"/>
  <c r="C38" i="18" s="1"/>
  <c r="C39" i="18" s="1"/>
  <c r="C40" i="18" s="1"/>
  <c r="C41" i="18" s="1"/>
  <c r="C42" i="18" s="1"/>
  <c r="C43" i="18" s="1"/>
  <c r="C44" i="18" s="1"/>
  <c r="C45" i="18" s="1"/>
  <c r="C46" i="18" s="1"/>
  <c r="C47" i="18" s="1"/>
  <c r="C48" i="18" s="1"/>
  <c r="C49" i="18" s="1"/>
  <c r="C50" i="18" s="1"/>
  <c r="C51" i="18" s="1"/>
  <c r="C52" i="18" s="1"/>
  <c r="C53" i="18" s="1"/>
  <c r="C54" i="18" s="1"/>
  <c r="C55" i="18" s="1"/>
  <c r="C56" i="18" s="1"/>
  <c r="C57" i="18" s="1"/>
  <c r="C58" i="18" s="1"/>
  <c r="C59" i="18" s="1"/>
  <c r="C60" i="18" s="1"/>
  <c r="C61" i="18" s="1"/>
  <c r="C62" i="18" s="1"/>
  <c r="C63" i="18" s="1"/>
  <c r="C64" i="18" s="1"/>
  <c r="C65" i="18" s="1"/>
  <c r="C66" i="18" s="1"/>
  <c r="C67" i="18" s="1"/>
  <c r="AR4" i="16"/>
  <c r="Q7" i="18"/>
  <c r="G25" i="20" s="1"/>
  <c r="O7" i="18"/>
  <c r="AJ6" i="16"/>
  <c r="L7" i="18"/>
  <c r="F7" i="16"/>
  <c r="AS7" i="16" s="1"/>
  <c r="G8" i="5"/>
  <c r="D3" i="18"/>
  <c r="E3" i="5"/>
  <c r="D3" i="16"/>
  <c r="D6" i="5"/>
  <c r="C7" i="5"/>
  <c r="C8" i="5" s="1"/>
  <c r="C9" i="5" s="1"/>
  <c r="C10" i="5" s="1"/>
  <c r="C11" i="5" s="1"/>
  <c r="C12" i="5" s="1"/>
  <c r="C13" i="5" s="1"/>
  <c r="C14" i="5" s="1"/>
  <c r="C15" i="5" s="1"/>
  <c r="C16" i="5" s="1"/>
  <c r="C17" i="5" s="1"/>
  <c r="C18" i="5" s="1"/>
  <c r="C19" i="5" s="1"/>
  <c r="C20" i="5" s="1"/>
  <c r="C21" i="5" s="1"/>
  <c r="C22" i="5" s="1"/>
  <c r="C23" i="5" s="1"/>
  <c r="C24" i="5" s="1"/>
  <c r="C25" i="5" s="1"/>
  <c r="C26" i="5" s="1"/>
  <c r="C27" i="5" s="1"/>
  <c r="C28" i="5" s="1"/>
  <c r="C29" i="5" s="1"/>
  <c r="E7" i="5"/>
  <c r="AH6" i="16" l="1"/>
  <c r="G19" i="20"/>
  <c r="X6" i="16"/>
  <c r="G13" i="20"/>
  <c r="I38" i="20"/>
  <c r="I39" i="20"/>
  <c r="I37" i="20"/>
  <c r="I36" i="20"/>
  <c r="N37" i="20"/>
  <c r="N39" i="20"/>
  <c r="N36" i="20"/>
  <c r="N38" i="20"/>
  <c r="AE7" i="13"/>
  <c r="S37" i="20"/>
  <c r="S39" i="20"/>
  <c r="S36" i="20"/>
  <c r="S38" i="20"/>
  <c r="X38" i="20"/>
  <c r="X37" i="20"/>
  <c r="X39" i="20"/>
  <c r="X36" i="20"/>
  <c r="AN5" i="14"/>
  <c r="AO64" i="14" s="1"/>
  <c r="W22" i="20"/>
  <c r="W23" i="20" s="1"/>
  <c r="AJ6" i="14"/>
  <c r="V20" i="20"/>
  <c r="AN6" i="14"/>
  <c r="V22" i="20"/>
  <c r="AH6" i="14"/>
  <c r="V19" i="20"/>
  <c r="AH6" i="13"/>
  <c r="Q19" i="20"/>
  <c r="AN6" i="13"/>
  <c r="Q22" i="20"/>
  <c r="AJ6" i="13"/>
  <c r="Q20" i="20"/>
  <c r="AJ5" i="10"/>
  <c r="M20" i="20"/>
  <c r="AN5" i="10"/>
  <c r="AO21" i="10" s="1"/>
  <c r="M22" i="20"/>
  <c r="AH6" i="10"/>
  <c r="L19" i="20"/>
  <c r="AJ6" i="10"/>
  <c r="L20" i="20"/>
  <c r="AN6" i="10"/>
  <c r="L22" i="20"/>
  <c r="AN6" i="16"/>
  <c r="G22" i="20"/>
  <c r="Z5" i="14"/>
  <c r="AA10" i="14" s="1"/>
  <c r="W14" i="20"/>
  <c r="AB5" i="14"/>
  <c r="AC60" i="14" s="1"/>
  <c r="W15" i="20"/>
  <c r="AD5" i="14"/>
  <c r="AE53" i="14" s="1"/>
  <c r="W16" i="20"/>
  <c r="X6" i="14"/>
  <c r="V13" i="20"/>
  <c r="Z6" i="14"/>
  <c r="V14" i="20"/>
  <c r="AB6" i="14"/>
  <c r="V15" i="20"/>
  <c r="AD6" i="14"/>
  <c r="V16" i="20"/>
  <c r="X6" i="13"/>
  <c r="Q13" i="20"/>
  <c r="X6" i="10"/>
  <c r="L13" i="20"/>
  <c r="Z6" i="13"/>
  <c r="Q14" i="20"/>
  <c r="AB6" i="13"/>
  <c r="Q15" i="20"/>
  <c r="AD6" i="13"/>
  <c r="Q16" i="20"/>
  <c r="AB5" i="10"/>
  <c r="AC48" i="10" s="1"/>
  <c r="M15" i="20"/>
  <c r="AD5" i="10"/>
  <c r="AE40" i="10" s="1"/>
  <c r="M16" i="20"/>
  <c r="Z5" i="10"/>
  <c r="M14" i="20"/>
  <c r="AB6" i="10"/>
  <c r="L15" i="20"/>
  <c r="Z6" i="10"/>
  <c r="L14" i="20"/>
  <c r="AD6" i="10"/>
  <c r="L16" i="20"/>
  <c r="AD6" i="16"/>
  <c r="G16" i="20"/>
  <c r="AB6" i="16"/>
  <c r="G15" i="20"/>
  <c r="Z6" i="16"/>
  <c r="G14" i="20"/>
  <c r="BE64" i="18"/>
  <c r="BE63" i="18"/>
  <c r="BE62" i="18"/>
  <c r="BE58" i="18"/>
  <c r="BE61" i="18"/>
  <c r="BE67" i="18"/>
  <c r="BE66" i="18"/>
  <c r="BE60" i="18"/>
  <c r="BE59" i="18"/>
  <c r="BE65" i="18"/>
  <c r="BE10" i="18"/>
  <c r="AS9" i="14" s="1"/>
  <c r="BE18" i="18"/>
  <c r="AS17" i="14" s="1"/>
  <c r="BE26" i="18"/>
  <c r="AS25" i="14" s="1"/>
  <c r="BE34" i="18"/>
  <c r="AS33" i="14" s="1"/>
  <c r="BE42" i="18"/>
  <c r="AS41" i="14" s="1"/>
  <c r="BE50" i="18"/>
  <c r="AS49" i="14" s="1"/>
  <c r="BE51" i="18"/>
  <c r="AS50" i="14" s="1"/>
  <c r="BE11" i="18"/>
  <c r="AS10" i="14" s="1"/>
  <c r="BE19" i="18"/>
  <c r="AS18" i="14" s="1"/>
  <c r="BE27" i="18"/>
  <c r="AS26" i="14" s="1"/>
  <c r="BE35" i="18"/>
  <c r="AS34" i="14" s="1"/>
  <c r="BE12" i="18"/>
  <c r="AS11" i="14" s="1"/>
  <c r="BE20" i="18"/>
  <c r="AS19" i="14" s="1"/>
  <c r="BE28" i="18"/>
  <c r="AS27" i="14" s="1"/>
  <c r="BE36" i="18"/>
  <c r="AS35" i="14" s="1"/>
  <c r="BE44" i="18"/>
  <c r="AS43" i="14" s="1"/>
  <c r="BE52" i="18"/>
  <c r="AS51" i="14" s="1"/>
  <c r="BE56" i="18"/>
  <c r="AS55" i="14" s="1"/>
  <c r="BE13" i="18"/>
  <c r="AS12" i="14" s="1"/>
  <c r="BE21" i="18"/>
  <c r="AS20" i="14" s="1"/>
  <c r="BE29" i="18"/>
  <c r="AS28" i="14" s="1"/>
  <c r="BE37" i="18"/>
  <c r="AS36" i="14" s="1"/>
  <c r="BE45" i="18"/>
  <c r="AS44" i="14" s="1"/>
  <c r="BE53" i="18"/>
  <c r="AS52" i="14" s="1"/>
  <c r="BE47" i="18"/>
  <c r="AS46" i="14" s="1"/>
  <c r="BE14" i="18"/>
  <c r="AS13" i="14" s="1"/>
  <c r="BE22" i="18"/>
  <c r="AS21" i="14" s="1"/>
  <c r="BE30" i="18"/>
  <c r="AS29" i="14" s="1"/>
  <c r="BE38" i="18"/>
  <c r="AS37" i="14" s="1"/>
  <c r="BE46" i="18"/>
  <c r="AS45" i="14" s="1"/>
  <c r="BE54" i="18"/>
  <c r="AS53" i="14" s="1"/>
  <c r="BE55" i="18"/>
  <c r="AS54" i="14" s="1"/>
  <c r="BE15" i="18"/>
  <c r="AS14" i="14" s="1"/>
  <c r="BE23" i="18"/>
  <c r="AS22" i="14" s="1"/>
  <c r="BE31" i="18"/>
  <c r="AS30" i="14" s="1"/>
  <c r="BE39" i="18"/>
  <c r="AS38" i="14" s="1"/>
  <c r="BE16" i="18"/>
  <c r="AS15" i="14" s="1"/>
  <c r="BE24" i="18"/>
  <c r="AS23" i="14" s="1"/>
  <c r="BE32" i="18"/>
  <c r="AS31" i="14" s="1"/>
  <c r="BE40" i="18"/>
  <c r="AS39" i="14" s="1"/>
  <c r="BE48" i="18"/>
  <c r="AS47" i="14" s="1"/>
  <c r="BE17" i="18"/>
  <c r="AS16" i="14" s="1"/>
  <c r="BE25" i="18"/>
  <c r="AS24" i="14" s="1"/>
  <c r="BE33" i="18"/>
  <c r="AS32" i="14" s="1"/>
  <c r="BE41" i="18"/>
  <c r="AS40" i="14" s="1"/>
  <c r="BE49" i="18"/>
  <c r="AS48" i="14" s="1"/>
  <c r="BE57" i="18"/>
  <c r="AS56" i="14" s="1"/>
  <c r="BE43" i="18"/>
  <c r="AS42" i="14" s="1"/>
  <c r="AO33" i="14"/>
  <c r="AO21" i="14"/>
  <c r="AO47" i="14"/>
  <c r="AO15" i="14"/>
  <c r="AO46" i="14"/>
  <c r="X5" i="14"/>
  <c r="Y7" i="14" s="1"/>
  <c r="AC49" i="14"/>
  <c r="AC65" i="14"/>
  <c r="AC51" i="14"/>
  <c r="AC45" i="14"/>
  <c r="AC21" i="14"/>
  <c r="AC17" i="14"/>
  <c r="AC56" i="14"/>
  <c r="AC52" i="14"/>
  <c r="AC55" i="14"/>
  <c r="AC26" i="14"/>
  <c r="AC61" i="14"/>
  <c r="AC41" i="14"/>
  <c r="AC48" i="14"/>
  <c r="AC24" i="14"/>
  <c r="AC64" i="14"/>
  <c r="AC46" i="14"/>
  <c r="AC22" i="14"/>
  <c r="AC62" i="14"/>
  <c r="AC37" i="14"/>
  <c r="AC13" i="14"/>
  <c r="AC9" i="14"/>
  <c r="AC44" i="14"/>
  <c r="AC20" i="14"/>
  <c r="AC47" i="14"/>
  <c r="AC43" i="14"/>
  <c r="AC23" i="14"/>
  <c r="AC42" i="14"/>
  <c r="AC18" i="14"/>
  <c r="AC33" i="14"/>
  <c r="AC40" i="14"/>
  <c r="AC16" i="14"/>
  <c r="AC19" i="14"/>
  <c r="AC38" i="14"/>
  <c r="AC34" i="14"/>
  <c r="AC14" i="14"/>
  <c r="AC53" i="14"/>
  <c r="AC29" i="14"/>
  <c r="AC36" i="14"/>
  <c r="AC12" i="14"/>
  <c r="AC39" i="14"/>
  <c r="AC35" i="14"/>
  <c r="AC15" i="14"/>
  <c r="AC10" i="14"/>
  <c r="AC57" i="14"/>
  <c r="AC32" i="14"/>
  <c r="AC11" i="14"/>
  <c r="AC58" i="14"/>
  <c r="AC30" i="14"/>
  <c r="AC25" i="14"/>
  <c r="AC66" i="14"/>
  <c r="AC28" i="14"/>
  <c r="AC8" i="14"/>
  <c r="AC59" i="14"/>
  <c r="AC31" i="14"/>
  <c r="AC27" i="14"/>
  <c r="AC63" i="14"/>
  <c r="AC54" i="14"/>
  <c r="AE30" i="14"/>
  <c r="AE58" i="14"/>
  <c r="AE41" i="14"/>
  <c r="AE40" i="14"/>
  <c r="AE17" i="14"/>
  <c r="AE34" i="14"/>
  <c r="AR65" i="18"/>
  <c r="AR63" i="18"/>
  <c r="AR61" i="18"/>
  <c r="AR59" i="18"/>
  <c r="AR62" i="18"/>
  <c r="AR66" i="18"/>
  <c r="AR64" i="18"/>
  <c r="AR60" i="18"/>
  <c r="AR58" i="18"/>
  <c r="AR67" i="18"/>
  <c r="AK32" i="13"/>
  <c r="AK43" i="13"/>
  <c r="AK19" i="13"/>
  <c r="AK38" i="13"/>
  <c r="AK57" i="13"/>
  <c r="AK16" i="13"/>
  <c r="AK39" i="13"/>
  <c r="AK34" i="13"/>
  <c r="AK10" i="13"/>
  <c r="AK53" i="13"/>
  <c r="AK25" i="13"/>
  <c r="AK36" i="13"/>
  <c r="AK18" i="13"/>
  <c r="AK56" i="13"/>
  <c r="AK28" i="13"/>
  <c r="AK35" i="13"/>
  <c r="AK11" i="13"/>
  <c r="AK58" i="13"/>
  <c r="AK30" i="13"/>
  <c r="AK49" i="13"/>
  <c r="AK45" i="13"/>
  <c r="AK8" i="13"/>
  <c r="AK47" i="13"/>
  <c r="AK52" i="13"/>
  <c r="AK65" i="13"/>
  <c r="AK31" i="13"/>
  <c r="AK21" i="13"/>
  <c r="AK66" i="13"/>
  <c r="AK12" i="13"/>
  <c r="AK23" i="13"/>
  <c r="AK29" i="13"/>
  <c r="AK60" i="13"/>
  <c r="AK48" i="13"/>
  <c r="AK24" i="13"/>
  <c r="AK54" i="13"/>
  <c r="AK26" i="13"/>
  <c r="AK61" i="13"/>
  <c r="AK41" i="13"/>
  <c r="AK17" i="13"/>
  <c r="AK44" i="13"/>
  <c r="AK20" i="13"/>
  <c r="AK59" i="13"/>
  <c r="AK55" i="13"/>
  <c r="AK27" i="13"/>
  <c r="AK50" i="13"/>
  <c r="AK46" i="13"/>
  <c r="AK62" i="13"/>
  <c r="AK37" i="13"/>
  <c r="AK40" i="13"/>
  <c r="AK64" i="13"/>
  <c r="AK51" i="13"/>
  <c r="AK15" i="13"/>
  <c r="AK63" i="13"/>
  <c r="AK22" i="13"/>
  <c r="AK14" i="13"/>
  <c r="AK33" i="13"/>
  <c r="AK13" i="13"/>
  <c r="AK9" i="13"/>
  <c r="AK42" i="13"/>
  <c r="AE65" i="18"/>
  <c r="AE66" i="18"/>
  <c r="AE58" i="18"/>
  <c r="AE67" i="18"/>
  <c r="AE59" i="18"/>
  <c r="AE60" i="18"/>
  <c r="AE61" i="18"/>
  <c r="AE62" i="18"/>
  <c r="AE63" i="18"/>
  <c r="AE64" i="18"/>
  <c r="AO37" i="10"/>
  <c r="AO16" i="10"/>
  <c r="AO59" i="10"/>
  <c r="AO55" i="10"/>
  <c r="AO35" i="10"/>
  <c r="AO65" i="10"/>
  <c r="AO49" i="10"/>
  <c r="AO33" i="10"/>
  <c r="AO12" i="10"/>
  <c r="AO47" i="10"/>
  <c r="AO31" i="10"/>
  <c r="AO15" i="10"/>
  <c r="AO58" i="10"/>
  <c r="AO18" i="10"/>
  <c r="AO29" i="10"/>
  <c r="AO40" i="10"/>
  <c r="AO63" i="10"/>
  <c r="AO45" i="10"/>
  <c r="AO27" i="10"/>
  <c r="AO11" i="10"/>
  <c r="AO46" i="10"/>
  <c r="AO30" i="10"/>
  <c r="AO14" i="10"/>
  <c r="AO62" i="10"/>
  <c r="AO60" i="10"/>
  <c r="AO25" i="10"/>
  <c r="AO9" i="10"/>
  <c r="AO56" i="10"/>
  <c r="AO52" i="10"/>
  <c r="AO36" i="10"/>
  <c r="AO20" i="10"/>
  <c r="AO39" i="10"/>
  <c r="AO23" i="10"/>
  <c r="AO42" i="10"/>
  <c r="AO26" i="10"/>
  <c r="AO10" i="10"/>
  <c r="AO66" i="10"/>
  <c r="AO8" i="10"/>
  <c r="AO51" i="10"/>
  <c r="AO19" i="10"/>
  <c r="AE62" i="10"/>
  <c r="AE8" i="10"/>
  <c r="AE35" i="10"/>
  <c r="AE27" i="10"/>
  <c r="AE14" i="10"/>
  <c r="AE17" i="10"/>
  <c r="AA18" i="10"/>
  <c r="AA14" i="10"/>
  <c r="AA10" i="10"/>
  <c r="AA12" i="10"/>
  <c r="AA63" i="10"/>
  <c r="AA26" i="10"/>
  <c r="AA15" i="10"/>
  <c r="AA54" i="10"/>
  <c r="AA51" i="10"/>
  <c r="AA22" i="10"/>
  <c r="AA56" i="10"/>
  <c r="AA29" i="10"/>
  <c r="AA39" i="10"/>
  <c r="AA62" i="10"/>
  <c r="AA59" i="10"/>
  <c r="AA61" i="10"/>
  <c r="AA50" i="10"/>
  <c r="AA46" i="10"/>
  <c r="AA52" i="10"/>
  <c r="AA38" i="10"/>
  <c r="AA40" i="10"/>
  <c r="AA27" i="10"/>
  <c r="AA47" i="10"/>
  <c r="AA60" i="10"/>
  <c r="AA36" i="10"/>
  <c r="AA23" i="10"/>
  <c r="AA57" i="10"/>
  <c r="AA19" i="10"/>
  <c r="AA8" i="10"/>
  <c r="BE8" i="18"/>
  <c r="AS7" i="14" s="1"/>
  <c r="BE9" i="18"/>
  <c r="AS8" i="14" s="1"/>
  <c r="AC7" i="14"/>
  <c r="AE7" i="14"/>
  <c r="Z7" i="14"/>
  <c r="X7" i="14"/>
  <c r="AD7" i="14"/>
  <c r="AB7" i="14"/>
  <c r="AD7" i="10"/>
  <c r="AB7" i="10"/>
  <c r="Z7" i="10"/>
  <c r="X7" i="10"/>
  <c r="X7" i="13"/>
  <c r="AA7" i="13"/>
  <c r="Y7" i="13"/>
  <c r="AC7" i="13"/>
  <c r="AD7" i="13"/>
  <c r="AB7" i="13"/>
  <c r="Z7" i="13"/>
  <c r="AE7" i="16"/>
  <c r="AA7" i="16"/>
  <c r="AC7" i="16"/>
  <c r="X5" i="10"/>
  <c r="Y7" i="16"/>
  <c r="X7" i="16"/>
  <c r="AB7" i="16"/>
  <c r="AD7" i="16"/>
  <c r="Z7" i="16"/>
  <c r="AR9" i="18"/>
  <c r="AS8" i="13" s="1"/>
  <c r="AR17" i="18"/>
  <c r="AS16" i="13" s="1"/>
  <c r="AR25" i="18"/>
  <c r="AS24" i="13" s="1"/>
  <c r="AR33" i="18"/>
  <c r="AS32" i="13" s="1"/>
  <c r="AR41" i="18"/>
  <c r="AS40" i="13" s="1"/>
  <c r="AR49" i="18"/>
  <c r="AS48" i="13" s="1"/>
  <c r="AR57" i="18"/>
  <c r="AS56" i="13" s="1"/>
  <c r="AR10" i="18"/>
  <c r="AS9" i="13" s="1"/>
  <c r="AR18" i="18"/>
  <c r="AS17" i="13" s="1"/>
  <c r="AR26" i="18"/>
  <c r="AS25" i="13" s="1"/>
  <c r="AR34" i="18"/>
  <c r="AS33" i="13" s="1"/>
  <c r="AR42" i="18"/>
  <c r="AS41" i="13" s="1"/>
  <c r="AR50" i="18"/>
  <c r="AS49" i="13" s="1"/>
  <c r="AR8" i="18"/>
  <c r="AS7" i="13" s="1"/>
  <c r="AR11" i="18"/>
  <c r="AS10" i="13" s="1"/>
  <c r="AR19" i="18"/>
  <c r="AS18" i="13" s="1"/>
  <c r="AR27" i="18"/>
  <c r="AS26" i="13" s="1"/>
  <c r="AR35" i="18"/>
  <c r="AS34" i="13" s="1"/>
  <c r="AR43" i="18"/>
  <c r="AS42" i="13" s="1"/>
  <c r="AR51" i="18"/>
  <c r="AS50" i="13" s="1"/>
  <c r="AR12" i="18"/>
  <c r="AS11" i="13" s="1"/>
  <c r="AR20" i="18"/>
  <c r="AS19" i="13" s="1"/>
  <c r="AR28" i="18"/>
  <c r="AS27" i="13" s="1"/>
  <c r="AR36" i="18"/>
  <c r="AS35" i="13" s="1"/>
  <c r="AR44" i="18"/>
  <c r="AS43" i="13" s="1"/>
  <c r="AR52" i="18"/>
  <c r="AS51" i="13" s="1"/>
  <c r="AR13" i="18"/>
  <c r="AS12" i="13" s="1"/>
  <c r="AR21" i="18"/>
  <c r="AS20" i="13" s="1"/>
  <c r="AR29" i="18"/>
  <c r="AS28" i="13" s="1"/>
  <c r="AR37" i="18"/>
  <c r="AS36" i="13" s="1"/>
  <c r="AR45" i="18"/>
  <c r="AS44" i="13" s="1"/>
  <c r="AR53" i="18"/>
  <c r="AS52" i="13" s="1"/>
  <c r="AR14" i="18"/>
  <c r="AS13" i="13" s="1"/>
  <c r="AR22" i="18"/>
  <c r="AS21" i="13" s="1"/>
  <c r="AR30" i="18"/>
  <c r="AS29" i="13" s="1"/>
  <c r="AR38" i="18"/>
  <c r="AS37" i="13" s="1"/>
  <c r="AR46" i="18"/>
  <c r="AS45" i="13" s="1"/>
  <c r="AR54" i="18"/>
  <c r="AS53" i="13" s="1"/>
  <c r="AR48" i="18"/>
  <c r="AS47" i="13" s="1"/>
  <c r="AR15" i="18"/>
  <c r="AS14" i="13" s="1"/>
  <c r="AR23" i="18"/>
  <c r="AS22" i="13" s="1"/>
  <c r="AR31" i="18"/>
  <c r="AS30" i="13" s="1"/>
  <c r="AR39" i="18"/>
  <c r="AS38" i="13" s="1"/>
  <c r="AR47" i="18"/>
  <c r="AS46" i="13" s="1"/>
  <c r="AR55" i="18"/>
  <c r="AS54" i="13" s="1"/>
  <c r="AR16" i="18"/>
  <c r="AS15" i="13" s="1"/>
  <c r="AR24" i="18"/>
  <c r="AS23" i="13" s="1"/>
  <c r="AR32" i="18"/>
  <c r="AS31" i="13" s="1"/>
  <c r="AR40" i="18"/>
  <c r="AS39" i="13" s="1"/>
  <c r="AR56" i="18"/>
  <c r="AS55" i="13" s="1"/>
  <c r="AE15" i="18"/>
  <c r="AS14" i="10" s="1"/>
  <c r="AE23" i="18"/>
  <c r="AS22" i="10" s="1"/>
  <c r="AE31" i="18"/>
  <c r="AS30" i="10" s="1"/>
  <c r="AE39" i="18"/>
  <c r="AS38" i="10" s="1"/>
  <c r="AE47" i="18"/>
  <c r="AS46" i="10" s="1"/>
  <c r="AE55" i="18"/>
  <c r="AS54" i="10" s="1"/>
  <c r="AE16" i="18"/>
  <c r="AS15" i="10" s="1"/>
  <c r="AE24" i="18"/>
  <c r="AS23" i="10" s="1"/>
  <c r="AE32" i="18"/>
  <c r="AS31" i="10" s="1"/>
  <c r="AE40" i="18"/>
  <c r="AS39" i="10" s="1"/>
  <c r="AE48" i="18"/>
  <c r="AS47" i="10" s="1"/>
  <c r="AE56" i="18"/>
  <c r="AS55" i="10" s="1"/>
  <c r="AE9" i="18"/>
  <c r="AS8" i="10" s="1"/>
  <c r="AE17" i="18"/>
  <c r="AS16" i="10" s="1"/>
  <c r="AE25" i="18"/>
  <c r="AS24" i="10" s="1"/>
  <c r="AE33" i="18"/>
  <c r="AS32" i="10" s="1"/>
  <c r="AE41" i="18"/>
  <c r="AS40" i="10" s="1"/>
  <c r="AE49" i="18"/>
  <c r="AS48" i="10" s="1"/>
  <c r="AE57" i="18"/>
  <c r="AS56" i="10" s="1"/>
  <c r="AE10" i="18"/>
  <c r="AS9" i="10" s="1"/>
  <c r="AE18" i="18"/>
  <c r="AS17" i="10" s="1"/>
  <c r="AE26" i="18"/>
  <c r="AS25" i="10" s="1"/>
  <c r="AE34" i="18"/>
  <c r="AS33" i="10" s="1"/>
  <c r="AE42" i="18"/>
  <c r="AS41" i="10" s="1"/>
  <c r="AE50" i="18"/>
  <c r="AS49" i="10" s="1"/>
  <c r="AE8" i="18"/>
  <c r="AS7" i="10" s="1"/>
  <c r="AE11" i="18"/>
  <c r="AS10" i="10" s="1"/>
  <c r="AE19" i="18"/>
  <c r="AS18" i="10" s="1"/>
  <c r="AE27" i="18"/>
  <c r="AS26" i="10" s="1"/>
  <c r="AE35" i="18"/>
  <c r="AS34" i="10" s="1"/>
  <c r="AE43" i="18"/>
  <c r="AS42" i="10" s="1"/>
  <c r="AE51" i="18"/>
  <c r="AS50" i="10" s="1"/>
  <c r="AE12" i="18"/>
  <c r="AS11" i="10" s="1"/>
  <c r="AE20" i="18"/>
  <c r="AS19" i="10" s="1"/>
  <c r="AE28" i="18"/>
  <c r="AS27" i="10" s="1"/>
  <c r="AE36" i="18"/>
  <c r="AS35" i="10" s="1"/>
  <c r="AE44" i="18"/>
  <c r="AS43" i="10" s="1"/>
  <c r="AE52" i="18"/>
  <c r="AS51" i="10" s="1"/>
  <c r="AE54" i="18"/>
  <c r="AS53" i="10" s="1"/>
  <c r="AE13" i="18"/>
  <c r="AS12" i="10" s="1"/>
  <c r="AE21" i="18"/>
  <c r="AS20" i="10" s="1"/>
  <c r="AE29" i="18"/>
  <c r="AS28" i="10" s="1"/>
  <c r="AE37" i="18"/>
  <c r="AS36" i="10" s="1"/>
  <c r="AE45" i="18"/>
  <c r="AS44" i="10" s="1"/>
  <c r="AE53" i="18"/>
  <c r="AS52" i="10" s="1"/>
  <c r="AE14" i="18"/>
  <c r="AS13" i="10" s="1"/>
  <c r="AE22" i="18"/>
  <c r="AS21" i="10" s="1"/>
  <c r="AE30" i="18"/>
  <c r="AS29" i="10" s="1"/>
  <c r="AE38" i="18"/>
  <c r="AS37" i="10" s="1"/>
  <c r="AE46" i="18"/>
  <c r="AS45" i="10" s="1"/>
  <c r="D7" i="14"/>
  <c r="AH7" i="16"/>
  <c r="AI7" i="16"/>
  <c r="AO7" i="14"/>
  <c r="AM7" i="14"/>
  <c r="AJ7" i="16"/>
  <c r="AM7" i="16"/>
  <c r="AM7" i="10"/>
  <c r="AK7" i="13"/>
  <c r="AM7" i="13"/>
  <c r="AO7" i="10"/>
  <c r="AK7" i="16"/>
  <c r="AO7" i="16"/>
  <c r="AH5" i="14"/>
  <c r="AH5" i="13"/>
  <c r="AH5" i="10"/>
  <c r="AL7" i="14"/>
  <c r="AL7" i="13"/>
  <c r="AL7" i="10"/>
  <c r="AL7" i="16"/>
  <c r="AN7" i="16"/>
  <c r="D7" i="13"/>
  <c r="D7" i="10"/>
  <c r="D7" i="16"/>
  <c r="AR7" i="14"/>
  <c r="AJ7" i="14"/>
  <c r="AR7" i="13"/>
  <c r="AR7" i="16"/>
  <c r="AN7" i="13"/>
  <c r="AH7" i="14"/>
  <c r="AX7" i="18"/>
  <c r="AX9" i="18" s="1"/>
  <c r="AJ7" i="13"/>
  <c r="AH7" i="13"/>
  <c r="AR7" i="10"/>
  <c r="AJ7" i="10"/>
  <c r="AK7" i="18"/>
  <c r="AK50" i="18" s="1"/>
  <c r="AF49" i="13" s="1"/>
  <c r="AJ5" i="14"/>
  <c r="BC7" i="18"/>
  <c r="BC8" i="18" s="1"/>
  <c r="AN7" i="14"/>
  <c r="X7" i="18"/>
  <c r="X25" i="18" s="1"/>
  <c r="AC7" i="18"/>
  <c r="AC42" i="18" s="1"/>
  <c r="P7" i="18"/>
  <c r="AH7" i="10"/>
  <c r="AN7" i="10"/>
  <c r="C30" i="5"/>
  <c r="C31" i="5" s="1"/>
  <c r="C32" i="5" s="1"/>
  <c r="C33" i="5" s="1"/>
  <c r="C34" i="5" s="1"/>
  <c r="C35" i="5" s="1"/>
  <c r="C36" i="5" s="1"/>
  <c r="C37" i="5" s="1"/>
  <c r="C38" i="5" s="1"/>
  <c r="C39" i="5" s="1"/>
  <c r="C40" i="5" s="1"/>
  <c r="C41" i="5" s="1"/>
  <c r="C42" i="5" s="1"/>
  <c r="C43" i="5" s="1"/>
  <c r="C44" i="5" s="1"/>
  <c r="C45" i="5" s="1"/>
  <c r="C46" i="5" s="1"/>
  <c r="C47" i="5" s="1"/>
  <c r="C48" i="5" s="1"/>
  <c r="C49" i="5" s="1"/>
  <c r="C50" i="5" s="1"/>
  <c r="C51" i="5" s="1"/>
  <c r="C52" i="5" s="1"/>
  <c r="C53" i="5" s="1"/>
  <c r="C54" i="5" s="1"/>
  <c r="C55" i="5" s="1"/>
  <c r="C56" i="5" s="1"/>
  <c r="C57" i="5" s="1"/>
  <c r="C58" i="5" s="1"/>
  <c r="C59" i="5" s="1"/>
  <c r="C60" i="5" s="1"/>
  <c r="C61" i="5" s="1"/>
  <c r="C62" i="5" s="1"/>
  <c r="C63" i="5" s="1"/>
  <c r="C64" i="5" s="1"/>
  <c r="C65" i="5" s="1"/>
  <c r="C66" i="5" s="1"/>
  <c r="AN5" i="13"/>
  <c r="AP7" i="18"/>
  <c r="K7" i="18"/>
  <c r="AK46" i="10" l="1"/>
  <c r="AK36" i="10"/>
  <c r="AK39" i="10"/>
  <c r="AA43" i="10"/>
  <c r="AA32" i="10"/>
  <c r="AE57" i="10"/>
  <c r="AE31" i="10"/>
  <c r="AE7" i="10"/>
  <c r="AE61" i="10"/>
  <c r="AE26" i="10"/>
  <c r="AE13" i="10"/>
  <c r="AE54" i="10"/>
  <c r="AE66" i="10"/>
  <c r="AE30" i="10"/>
  <c r="AE20" i="10"/>
  <c r="AE14" i="14"/>
  <c r="AE38" i="14"/>
  <c r="AE50" i="14"/>
  <c r="AE33" i="14"/>
  <c r="AE43" i="14"/>
  <c r="AE15" i="14"/>
  <c r="AE47" i="14"/>
  <c r="AE55" i="14"/>
  <c r="AE42" i="14"/>
  <c r="AE25" i="14"/>
  <c r="AE20" i="14"/>
  <c r="AE35" i="14"/>
  <c r="AE9" i="14"/>
  <c r="AE48" i="14"/>
  <c r="AE24" i="14"/>
  <c r="AE39" i="14"/>
  <c r="AE21" i="14"/>
  <c r="AE45" i="14"/>
  <c r="AE65" i="14"/>
  <c r="AE37" i="14"/>
  <c r="AE26" i="14"/>
  <c r="AE32" i="14"/>
  <c r="AE51" i="14"/>
  <c r="AE60" i="14"/>
  <c r="AE59" i="14"/>
  <c r="AE11" i="14"/>
  <c r="AE27" i="14"/>
  <c r="AO64" i="10"/>
  <c r="AO53" i="10"/>
  <c r="AO57" i="10"/>
  <c r="M23" i="20"/>
  <c r="AO11" i="14"/>
  <c r="AO54" i="14"/>
  <c r="AO39" i="14"/>
  <c r="AO43" i="14"/>
  <c r="AO53" i="14"/>
  <c r="AO34" i="14"/>
  <c r="AO22" i="14"/>
  <c r="AO60" i="14"/>
  <c r="AO27" i="14"/>
  <c r="AO18" i="14"/>
  <c r="AO31" i="14"/>
  <c r="AO45" i="14"/>
  <c r="AO32" i="14"/>
  <c r="AO42" i="14"/>
  <c r="AO38" i="14"/>
  <c r="AO66" i="14"/>
  <c r="AO65" i="14"/>
  <c r="AO50" i="14"/>
  <c r="AO51" i="14"/>
  <c r="AO19" i="14"/>
  <c r="AO9" i="14"/>
  <c r="AO28" i="14"/>
  <c r="AO16" i="14"/>
  <c r="AO61" i="14"/>
  <c r="AO63" i="14"/>
  <c r="AO37" i="14"/>
  <c r="AO12" i="14"/>
  <c r="AO20" i="14"/>
  <c r="AO29" i="14"/>
  <c r="AO52" i="14"/>
  <c r="AO48" i="14"/>
  <c r="AO35" i="14"/>
  <c r="AO23" i="14"/>
  <c r="AO49" i="14"/>
  <c r="AO44" i="14"/>
  <c r="AO58" i="14"/>
  <c r="AO59" i="14"/>
  <c r="AO17" i="14"/>
  <c r="AO40" i="14"/>
  <c r="AO14" i="14"/>
  <c r="AO41" i="14"/>
  <c r="AO10" i="14"/>
  <c r="AO13" i="14"/>
  <c r="AO36" i="14"/>
  <c r="AO55" i="14"/>
  <c r="AO8" i="14"/>
  <c r="AO26" i="14"/>
  <c r="AO57" i="14"/>
  <c r="AO30" i="14"/>
  <c r="AO25" i="14"/>
  <c r="AO56" i="14"/>
  <c r="AO24" i="14"/>
  <c r="AO62" i="14"/>
  <c r="AE36" i="14"/>
  <c r="AE13" i="14"/>
  <c r="AE44" i="14"/>
  <c r="AE52" i="14"/>
  <c r="AE16" i="14"/>
  <c r="AE31" i="14"/>
  <c r="AE12" i="14"/>
  <c r="AE18" i="14"/>
  <c r="AE61" i="14"/>
  <c r="AE57" i="14"/>
  <c r="AE19" i="14"/>
  <c r="AE54" i="14"/>
  <c r="AE28" i="14"/>
  <c r="AE56" i="14"/>
  <c r="AE22" i="14"/>
  <c r="AE8" i="14"/>
  <c r="AE23" i="14"/>
  <c r="AE63" i="14"/>
  <c r="AE66" i="14"/>
  <c r="AE29" i="14"/>
  <c r="AE46" i="14"/>
  <c r="AE62" i="14"/>
  <c r="AE49" i="14"/>
  <c r="AE64" i="14"/>
  <c r="AE10" i="14"/>
  <c r="AC50" i="14"/>
  <c r="AA21" i="14"/>
  <c r="AA31" i="14"/>
  <c r="AA56" i="14"/>
  <c r="AA38" i="14"/>
  <c r="AA8" i="14"/>
  <c r="AA62" i="14"/>
  <c r="AA25" i="14"/>
  <c r="AA48" i="14"/>
  <c r="AA13" i="14"/>
  <c r="AA30" i="14"/>
  <c r="AA40" i="14"/>
  <c r="AA22" i="14"/>
  <c r="AA39" i="14"/>
  <c r="AA51" i="14"/>
  <c r="AA20" i="14"/>
  <c r="AA12" i="14"/>
  <c r="AA54" i="14"/>
  <c r="AA32" i="14"/>
  <c r="AA44" i="14"/>
  <c r="AA52" i="14"/>
  <c r="AA59" i="14"/>
  <c r="AA60" i="14"/>
  <c r="AA15" i="14"/>
  <c r="AA42" i="14"/>
  <c r="AA14" i="14"/>
  <c r="AA37" i="14"/>
  <c r="AA9" i="14"/>
  <c r="AA45" i="14"/>
  <c r="W17" i="20"/>
  <c r="AA35" i="14"/>
  <c r="AA24" i="14"/>
  <c r="AA11" i="14"/>
  <c r="AA26" i="14"/>
  <c r="AA58" i="14"/>
  <c r="AA66" i="14"/>
  <c r="AA50" i="14"/>
  <c r="AA64" i="14"/>
  <c r="AA27" i="14"/>
  <c r="AA16" i="14"/>
  <c r="AA53" i="14"/>
  <c r="AA43" i="14"/>
  <c r="AA63" i="14"/>
  <c r="AA18" i="14"/>
  <c r="AA57" i="14"/>
  <c r="AA41" i="14"/>
  <c r="AA36" i="14"/>
  <c r="AA23" i="14"/>
  <c r="AA17" i="14"/>
  <c r="AA19" i="14"/>
  <c r="AA28" i="14"/>
  <c r="AA29" i="14"/>
  <c r="AA33" i="14"/>
  <c r="AA55" i="14"/>
  <c r="AA7" i="14"/>
  <c r="AA49" i="14"/>
  <c r="AA34" i="14"/>
  <c r="AA65" i="14"/>
  <c r="AA47" i="14"/>
  <c r="AA46" i="14"/>
  <c r="AA61" i="14"/>
  <c r="AO41" i="10"/>
  <c r="AO43" i="10"/>
  <c r="AO34" i="10"/>
  <c r="AO28" i="10"/>
  <c r="AO61" i="10"/>
  <c r="AO32" i="10"/>
  <c r="AO24" i="10"/>
  <c r="AO50" i="10"/>
  <c r="AO44" i="10"/>
  <c r="AO22" i="10"/>
  <c r="AO48" i="10"/>
  <c r="AO13" i="10"/>
  <c r="AO54" i="10"/>
  <c r="AO17" i="10"/>
  <c r="AO38" i="10"/>
  <c r="AC21" i="10"/>
  <c r="AC30" i="10"/>
  <c r="AC42" i="10"/>
  <c r="AC12" i="10"/>
  <c r="AC31" i="10"/>
  <c r="AC27" i="10"/>
  <c r="AC24" i="10"/>
  <c r="AC60" i="10"/>
  <c r="AC14" i="10"/>
  <c r="AC37" i="10"/>
  <c r="AC43" i="10"/>
  <c r="AC55" i="10"/>
  <c r="AC32" i="10"/>
  <c r="AC56" i="10"/>
  <c r="AC49" i="10"/>
  <c r="AC63" i="10"/>
  <c r="AC34" i="10"/>
  <c r="AC58" i="10"/>
  <c r="AC8" i="10"/>
  <c r="AC13" i="10"/>
  <c r="AC46" i="10"/>
  <c r="AC59" i="10"/>
  <c r="AC7" i="10"/>
  <c r="AC65" i="10"/>
  <c r="AC25" i="10"/>
  <c r="AC23" i="10"/>
  <c r="AC10" i="10"/>
  <c r="AC15" i="10"/>
  <c r="AC33" i="10"/>
  <c r="AC9" i="10"/>
  <c r="AC50" i="10"/>
  <c r="AC28" i="10"/>
  <c r="AC41" i="10"/>
  <c r="AC39" i="10"/>
  <c r="AC57" i="10"/>
  <c r="AC19" i="10"/>
  <c r="AC45" i="10"/>
  <c r="AC66" i="10"/>
  <c r="AC62" i="10"/>
  <c r="AC29" i="10"/>
  <c r="AC54" i="10"/>
  <c r="AC64" i="10"/>
  <c r="AC20" i="10"/>
  <c r="AC35" i="10"/>
  <c r="AC44" i="10"/>
  <c r="AC26" i="10"/>
  <c r="AC22" i="10"/>
  <c r="AC18" i="10"/>
  <c r="AC40" i="10"/>
  <c r="AC36" i="10"/>
  <c r="AC52" i="10"/>
  <c r="AC61" i="10"/>
  <c r="AC47" i="10"/>
  <c r="AC38" i="10"/>
  <c r="AC53" i="10"/>
  <c r="AC51" i="10"/>
  <c r="AC17" i="10"/>
  <c r="AC16" i="10"/>
  <c r="AC11" i="10"/>
  <c r="AK66" i="10"/>
  <c r="AK47" i="10"/>
  <c r="AK26" i="10"/>
  <c r="AK43" i="10"/>
  <c r="AK63" i="10"/>
  <c r="AK13" i="10"/>
  <c r="AK23" i="10"/>
  <c r="AK49" i="10"/>
  <c r="AK31" i="10"/>
  <c r="AK58" i="10"/>
  <c r="AA30" i="10"/>
  <c r="AA34" i="10"/>
  <c r="AA44" i="10"/>
  <c r="AA35" i="10"/>
  <c r="AA53" i="10"/>
  <c r="AA66" i="10"/>
  <c r="AA20" i="10"/>
  <c r="AA41" i="10"/>
  <c r="AA16" i="10"/>
  <c r="AA42" i="10"/>
  <c r="AA49" i="10"/>
  <c r="AA25" i="10"/>
  <c r="AA65" i="10"/>
  <c r="AA28" i="10"/>
  <c r="AA9" i="10"/>
  <c r="AA7" i="10"/>
  <c r="AA17" i="10"/>
  <c r="AA55" i="10"/>
  <c r="AA31" i="10"/>
  <c r="AA64" i="10"/>
  <c r="AA24" i="10"/>
  <c r="AA37" i="10"/>
  <c r="AA13" i="10"/>
  <c r="AA45" i="10"/>
  <c r="AA58" i="10"/>
  <c r="AA21" i="10"/>
  <c r="AA48" i="10"/>
  <c r="AA33" i="10"/>
  <c r="AA11" i="10"/>
  <c r="AK8" i="10"/>
  <c r="AK9" i="10"/>
  <c r="AK34" i="10"/>
  <c r="AK51" i="10"/>
  <c r="AK17" i="10"/>
  <c r="AK56" i="10"/>
  <c r="AK32" i="10"/>
  <c r="AK29" i="10"/>
  <c r="AK12" i="10"/>
  <c r="AK25" i="10"/>
  <c r="AK64" i="10"/>
  <c r="AK62" i="10"/>
  <c r="AK57" i="10"/>
  <c r="AK35" i="10"/>
  <c r="AK50" i="10"/>
  <c r="AK40" i="10"/>
  <c r="AK10" i="10"/>
  <c r="AK52" i="10"/>
  <c r="AK33" i="10"/>
  <c r="AK55" i="10"/>
  <c r="AK38" i="10"/>
  <c r="AK59" i="10"/>
  <c r="AK42" i="10"/>
  <c r="AK53" i="10"/>
  <c r="AK60" i="10"/>
  <c r="AK37" i="10"/>
  <c r="AK61" i="10"/>
  <c r="AK20" i="10"/>
  <c r="AK19" i="10"/>
  <c r="AK14" i="10"/>
  <c r="AK21" i="10"/>
  <c r="AK16" i="10"/>
  <c r="AK45" i="10"/>
  <c r="AK54" i="10"/>
  <c r="AK44" i="10"/>
  <c r="AK27" i="10"/>
  <c r="AK22" i="10"/>
  <c r="AK24" i="10"/>
  <c r="AK65" i="10"/>
  <c r="AK30" i="10"/>
  <c r="AK7" i="10"/>
  <c r="AK15" i="10"/>
  <c r="AK48" i="10"/>
  <c r="AK18" i="10"/>
  <c r="AK11" i="10"/>
  <c r="AK41" i="10"/>
  <c r="AK28" i="10"/>
  <c r="D39" i="20"/>
  <c r="D36" i="20"/>
  <c r="D37" i="20"/>
  <c r="D38" i="20"/>
  <c r="AE44" i="10"/>
  <c r="AE19" i="10"/>
  <c r="AE38" i="10"/>
  <c r="AE56" i="10"/>
  <c r="AE22" i="10"/>
  <c r="AE53" i="10"/>
  <c r="AE41" i="10"/>
  <c r="AE63" i="10"/>
  <c r="AE12" i="10"/>
  <c r="AE25" i="10"/>
  <c r="AE29" i="10"/>
  <c r="AE24" i="10"/>
  <c r="AE39" i="10"/>
  <c r="AE42" i="10"/>
  <c r="M17" i="20"/>
  <c r="AE36" i="10"/>
  <c r="AE23" i="10"/>
  <c r="AE65" i="10"/>
  <c r="AE15" i="10"/>
  <c r="AE50" i="10"/>
  <c r="AE59" i="10"/>
  <c r="AE32" i="10"/>
  <c r="AE43" i="10"/>
  <c r="AE45" i="10"/>
  <c r="AE48" i="10"/>
  <c r="AE64" i="10"/>
  <c r="AE49" i="10"/>
  <c r="AE33" i="10"/>
  <c r="AE28" i="10"/>
  <c r="AE18" i="10"/>
  <c r="AE34" i="10"/>
  <c r="AE21" i="10"/>
  <c r="AE51" i="10"/>
  <c r="AE9" i="10"/>
  <c r="AE55" i="10"/>
  <c r="AE37" i="10"/>
  <c r="AE46" i="10"/>
  <c r="AE58" i="10"/>
  <c r="AE16" i="10"/>
  <c r="AE47" i="10"/>
  <c r="AE52" i="10"/>
  <c r="AE10" i="10"/>
  <c r="AE60" i="10"/>
  <c r="AE11" i="10"/>
  <c r="Y25" i="20"/>
  <c r="T25" i="20"/>
  <c r="O25" i="20"/>
  <c r="J25" i="20"/>
  <c r="AK32" i="18"/>
  <c r="AF31" i="13" s="1"/>
  <c r="AK36" i="18"/>
  <c r="AF35" i="13" s="1"/>
  <c r="AK27" i="18"/>
  <c r="AF26" i="13" s="1"/>
  <c r="AX52" i="18"/>
  <c r="AX51" i="18"/>
  <c r="AX16" i="18"/>
  <c r="X64" i="18"/>
  <c r="AF63" i="10" s="1"/>
  <c r="AK18" i="18"/>
  <c r="AF17" i="13" s="1"/>
  <c r="AX43" i="18"/>
  <c r="BC46" i="18"/>
  <c r="X60" i="18"/>
  <c r="AF59" i="10" s="1"/>
  <c r="AX54" i="18"/>
  <c r="AX42" i="18"/>
  <c r="BC12" i="18"/>
  <c r="X61" i="18"/>
  <c r="AF60" i="10" s="1"/>
  <c r="BC31" i="18"/>
  <c r="BC21" i="18"/>
  <c r="AK17" i="18"/>
  <c r="AF16" i="13" s="1"/>
  <c r="AX46" i="18"/>
  <c r="AX34" i="18"/>
  <c r="BC51" i="18"/>
  <c r="AX58" i="18"/>
  <c r="AF57" i="14" s="1"/>
  <c r="AX22" i="18"/>
  <c r="AX33" i="18"/>
  <c r="BC54" i="18"/>
  <c r="AC67" i="18"/>
  <c r="AP66" i="10" s="1"/>
  <c r="AX63" i="18"/>
  <c r="AF62" i="14" s="1"/>
  <c r="AK48" i="18"/>
  <c r="AF47" i="13" s="1"/>
  <c r="AX14" i="18"/>
  <c r="AX25" i="18"/>
  <c r="BC49" i="18"/>
  <c r="AK53" i="18"/>
  <c r="AF52" i="13" s="1"/>
  <c r="AX13" i="18"/>
  <c r="AX24" i="18"/>
  <c r="BC40" i="18"/>
  <c r="BC58" i="18"/>
  <c r="AP57" i="14" s="1"/>
  <c r="BC13" i="18"/>
  <c r="BC38" i="18"/>
  <c r="BC50" i="18"/>
  <c r="BC41" i="18"/>
  <c r="BC32" i="18"/>
  <c r="BC23" i="18"/>
  <c r="BC60" i="18"/>
  <c r="AP59" i="14" s="1"/>
  <c r="BC59" i="18"/>
  <c r="AP58" i="14" s="1"/>
  <c r="BC42" i="18"/>
  <c r="BC33" i="18"/>
  <c r="BC24" i="18"/>
  <c r="BC15" i="18"/>
  <c r="BC67" i="18"/>
  <c r="AP66" i="14" s="1"/>
  <c r="BC62" i="18"/>
  <c r="AP61" i="14" s="1"/>
  <c r="BC52" i="18"/>
  <c r="BC43" i="18"/>
  <c r="BC34" i="18"/>
  <c r="BC25" i="18"/>
  <c r="BC16" i="18"/>
  <c r="BC63" i="18"/>
  <c r="AP62" i="14" s="1"/>
  <c r="BC53" i="18"/>
  <c r="BC44" i="18"/>
  <c r="BC35" i="18"/>
  <c r="BC26" i="18"/>
  <c r="BC17" i="18"/>
  <c r="BC14" i="18"/>
  <c r="BC64" i="18"/>
  <c r="AP63" i="14" s="1"/>
  <c r="BC45" i="18"/>
  <c r="BC36" i="18"/>
  <c r="BC27" i="18"/>
  <c r="BC18" i="18"/>
  <c r="BC22" i="18"/>
  <c r="BC55" i="18"/>
  <c r="BC61" i="18"/>
  <c r="AP60" i="14" s="1"/>
  <c r="BC37" i="18"/>
  <c r="BC28" i="18"/>
  <c r="BC19" i="18"/>
  <c r="BC10" i="18"/>
  <c r="BC56" i="18"/>
  <c r="BC47" i="18"/>
  <c r="BC66" i="18"/>
  <c r="AP65" i="14" s="1"/>
  <c r="BC29" i="18"/>
  <c r="BC20" i="18"/>
  <c r="BC11" i="18"/>
  <c r="BC30" i="18"/>
  <c r="BC48" i="18"/>
  <c r="BC39" i="18"/>
  <c r="BC65" i="18"/>
  <c r="AP64" i="14" s="1"/>
  <c r="AP9" i="18"/>
  <c r="AP58" i="18"/>
  <c r="AP57" i="13" s="1"/>
  <c r="AP61" i="18"/>
  <c r="AP60" i="13" s="1"/>
  <c r="AP64" i="18"/>
  <c r="AP63" i="13" s="1"/>
  <c r="AP67" i="18"/>
  <c r="AP66" i="13" s="1"/>
  <c r="AP66" i="18"/>
  <c r="AP65" i="13" s="1"/>
  <c r="AP60" i="18"/>
  <c r="AP59" i="13" s="1"/>
  <c r="AP59" i="18"/>
  <c r="AP58" i="13" s="1"/>
  <c r="AP63" i="18"/>
  <c r="AP62" i="13" s="1"/>
  <c r="AP65" i="18"/>
  <c r="AP64" i="13" s="1"/>
  <c r="AP62" i="18"/>
  <c r="AP61" i="13" s="1"/>
  <c r="AP15" i="18"/>
  <c r="AP23" i="18"/>
  <c r="AP31" i="18"/>
  <c r="AP39" i="18"/>
  <c r="AP47" i="18"/>
  <c r="AP55" i="18"/>
  <c r="AP16" i="18"/>
  <c r="AP24" i="18"/>
  <c r="AP32" i="18"/>
  <c r="AP40" i="18"/>
  <c r="AP48" i="18"/>
  <c r="AP56" i="18"/>
  <c r="AP17" i="18"/>
  <c r="AP25" i="18"/>
  <c r="AP33" i="18"/>
  <c r="AP41" i="18"/>
  <c r="AP49" i="18"/>
  <c r="AP50" i="18"/>
  <c r="AP46" i="18"/>
  <c r="AP10" i="18"/>
  <c r="AP18" i="18"/>
  <c r="AP26" i="18"/>
  <c r="AP34" i="18"/>
  <c r="AP42" i="18"/>
  <c r="AP51" i="18"/>
  <c r="AP11" i="18"/>
  <c r="AP19" i="18"/>
  <c r="AP27" i="18"/>
  <c r="AP35" i="18"/>
  <c r="AP43" i="18"/>
  <c r="AP38" i="18"/>
  <c r="AP12" i="18"/>
  <c r="AP20" i="18"/>
  <c r="AP28" i="18"/>
  <c r="AP36" i="18"/>
  <c r="AP44" i="18"/>
  <c r="AP52" i="18"/>
  <c r="AP30" i="18"/>
  <c r="AP13" i="18"/>
  <c r="AP21" i="18"/>
  <c r="AP29" i="18"/>
  <c r="AP37" i="18"/>
  <c r="AP45" i="18"/>
  <c r="AP53" i="18"/>
  <c r="AP22" i="18"/>
  <c r="AP14" i="18"/>
  <c r="AP54" i="18"/>
  <c r="AC58" i="18"/>
  <c r="AP57" i="10" s="1"/>
  <c r="AC60" i="18"/>
  <c r="AP59" i="10" s="1"/>
  <c r="AC66" i="18"/>
  <c r="AP65" i="10" s="1"/>
  <c r="AC59" i="18"/>
  <c r="AP58" i="10" s="1"/>
  <c r="AC65" i="18"/>
  <c r="AP64" i="10" s="1"/>
  <c r="AC63" i="18"/>
  <c r="AP62" i="10" s="1"/>
  <c r="AC61" i="18"/>
  <c r="AP60" i="10" s="1"/>
  <c r="AC62" i="18"/>
  <c r="AP61" i="10" s="1"/>
  <c r="AC64" i="18"/>
  <c r="AP63" i="10" s="1"/>
  <c r="AX39" i="18"/>
  <c r="AX44" i="18"/>
  <c r="AX35" i="18"/>
  <c r="AX26" i="18"/>
  <c r="AX17" i="18"/>
  <c r="AX67" i="18"/>
  <c r="AF66" i="14" s="1"/>
  <c r="AX55" i="18"/>
  <c r="AX53" i="18"/>
  <c r="AX36" i="18"/>
  <c r="AX27" i="18"/>
  <c r="AX18" i="18"/>
  <c r="AX15" i="18"/>
  <c r="AX61" i="18"/>
  <c r="AF60" i="14" s="1"/>
  <c r="AX45" i="18"/>
  <c r="AX28" i="18"/>
  <c r="AX19" i="18"/>
  <c r="AX10" i="18"/>
  <c r="AX56" i="18"/>
  <c r="AX64" i="18"/>
  <c r="AF63" i="14" s="1"/>
  <c r="AX37" i="18"/>
  <c r="AX20" i="18"/>
  <c r="AX11" i="18"/>
  <c r="AX31" i="18"/>
  <c r="AX48" i="18"/>
  <c r="AX60" i="18"/>
  <c r="AF59" i="14" s="1"/>
  <c r="AX38" i="18"/>
  <c r="AX29" i="18"/>
  <c r="AX12" i="18"/>
  <c r="AX47" i="18"/>
  <c r="AX49" i="18"/>
  <c r="AX40" i="18"/>
  <c r="AX62" i="18"/>
  <c r="AF61" i="14" s="1"/>
  <c r="AX66" i="18"/>
  <c r="AF65" i="14" s="1"/>
  <c r="AX30" i="18"/>
  <c r="AX21" i="18"/>
  <c r="AX23" i="18"/>
  <c r="AX50" i="18"/>
  <c r="AX41" i="18"/>
  <c r="AX32" i="18"/>
  <c r="AX65" i="18"/>
  <c r="AF64" i="14" s="1"/>
  <c r="AX59" i="18"/>
  <c r="AF58" i="14" s="1"/>
  <c r="AK25" i="18"/>
  <c r="AF24" i="13" s="1"/>
  <c r="AK15" i="18"/>
  <c r="AF14" i="13" s="1"/>
  <c r="AK24" i="18"/>
  <c r="AF23" i="13" s="1"/>
  <c r="AK44" i="18"/>
  <c r="AF43" i="13" s="1"/>
  <c r="AK35" i="18"/>
  <c r="AF34" i="13" s="1"/>
  <c r="AK26" i="18"/>
  <c r="AF25" i="13" s="1"/>
  <c r="AK54" i="18"/>
  <c r="AF53" i="13" s="1"/>
  <c r="AK45" i="18"/>
  <c r="AF44" i="13" s="1"/>
  <c r="AK28" i="18"/>
  <c r="AF27" i="13" s="1"/>
  <c r="AK19" i="18"/>
  <c r="AF18" i="13" s="1"/>
  <c r="AK10" i="18"/>
  <c r="AF9" i="13" s="1"/>
  <c r="AK55" i="18"/>
  <c r="AF54" i="13" s="1"/>
  <c r="AK46" i="18"/>
  <c r="AF45" i="13" s="1"/>
  <c r="AK37" i="18"/>
  <c r="AF36" i="13" s="1"/>
  <c r="AK20" i="18"/>
  <c r="AF19" i="13" s="1"/>
  <c r="AK11" i="18"/>
  <c r="AF10" i="13" s="1"/>
  <c r="AK40" i="18"/>
  <c r="AF39" i="13" s="1"/>
  <c r="AK47" i="18"/>
  <c r="AF46" i="13" s="1"/>
  <c r="AK38" i="18"/>
  <c r="AF37" i="13" s="1"/>
  <c r="AK29" i="18"/>
  <c r="AF28" i="13" s="1"/>
  <c r="AK12" i="18"/>
  <c r="AF11" i="13" s="1"/>
  <c r="AK56" i="18"/>
  <c r="AF55" i="13" s="1"/>
  <c r="AK49" i="18"/>
  <c r="AF48" i="13" s="1"/>
  <c r="AK39" i="18"/>
  <c r="AF38" i="13" s="1"/>
  <c r="AK30" i="18"/>
  <c r="AF29" i="13" s="1"/>
  <c r="AK21" i="18"/>
  <c r="AF20" i="13" s="1"/>
  <c r="AK16" i="18"/>
  <c r="AF15" i="13" s="1"/>
  <c r="AK57" i="18"/>
  <c r="AF56" i="13" s="1"/>
  <c r="AK58" i="18"/>
  <c r="AF57" i="13" s="1"/>
  <c r="AK66" i="18"/>
  <c r="AF65" i="13" s="1"/>
  <c r="AK62" i="18"/>
  <c r="AF61" i="13" s="1"/>
  <c r="AK65" i="18"/>
  <c r="AF64" i="13" s="1"/>
  <c r="AK61" i="18"/>
  <c r="AF60" i="13" s="1"/>
  <c r="AK60" i="18"/>
  <c r="AF59" i="13" s="1"/>
  <c r="AK59" i="18"/>
  <c r="AF58" i="13" s="1"/>
  <c r="AK64" i="18"/>
  <c r="AF63" i="13" s="1"/>
  <c r="AK63" i="18"/>
  <c r="AF62" i="13" s="1"/>
  <c r="AK67" i="18"/>
  <c r="AF66" i="13" s="1"/>
  <c r="AK41" i="18"/>
  <c r="AF40" i="13" s="1"/>
  <c r="AK31" i="18"/>
  <c r="AF30" i="13" s="1"/>
  <c r="AK22" i="18"/>
  <c r="AF21" i="13" s="1"/>
  <c r="AK13" i="18"/>
  <c r="AF12" i="13" s="1"/>
  <c r="AK51" i="18"/>
  <c r="AF50" i="13" s="1"/>
  <c r="AK42" i="18"/>
  <c r="AF41" i="13" s="1"/>
  <c r="AK33" i="18"/>
  <c r="AF32" i="13" s="1"/>
  <c r="AK23" i="18"/>
  <c r="AF22" i="13" s="1"/>
  <c r="AK14" i="18"/>
  <c r="AF13" i="13" s="1"/>
  <c r="AK52" i="18"/>
  <c r="AF51" i="13" s="1"/>
  <c r="AK43" i="18"/>
  <c r="AF42" i="13" s="1"/>
  <c r="AK34" i="18"/>
  <c r="AF33" i="13" s="1"/>
  <c r="X65" i="18"/>
  <c r="AF64" i="10" s="1"/>
  <c r="X62" i="18"/>
  <c r="AF61" i="10" s="1"/>
  <c r="X58" i="18"/>
  <c r="AF57" i="10" s="1"/>
  <c r="X63" i="18"/>
  <c r="AF62" i="10" s="1"/>
  <c r="X66" i="18"/>
  <c r="AF65" i="10" s="1"/>
  <c r="X59" i="18"/>
  <c r="AF58" i="10" s="1"/>
  <c r="X67" i="18"/>
  <c r="AF66" i="10" s="1"/>
  <c r="AK45" i="14"/>
  <c r="AK52" i="14"/>
  <c r="AK32" i="14"/>
  <c r="AK20" i="14"/>
  <c r="AK43" i="14"/>
  <c r="AK23" i="14"/>
  <c r="AK50" i="14"/>
  <c r="AK28" i="14"/>
  <c r="AK51" i="14"/>
  <c r="AK19" i="14"/>
  <c r="AK46" i="14"/>
  <c r="AK25" i="14"/>
  <c r="AK44" i="14"/>
  <c r="AK12" i="14"/>
  <c r="AK35" i="14"/>
  <c r="AK11" i="14"/>
  <c r="AK30" i="14"/>
  <c r="AK18" i="14"/>
  <c r="AK8" i="14"/>
  <c r="AK61" i="14"/>
  <c r="AK37" i="14"/>
  <c r="AK13" i="14"/>
  <c r="AK59" i="14"/>
  <c r="AK42" i="14"/>
  <c r="AK65" i="14"/>
  <c r="AK62" i="14"/>
  <c r="AK53" i="14"/>
  <c r="AK21" i="14"/>
  <c r="AK40" i="14"/>
  <c r="AK55" i="14"/>
  <c r="AK26" i="14"/>
  <c r="AK14" i="14"/>
  <c r="AK49" i="14"/>
  <c r="AK17" i="14"/>
  <c r="AK36" i="14"/>
  <c r="AK24" i="14"/>
  <c r="AK47" i="14"/>
  <c r="AK27" i="14"/>
  <c r="AK58" i="14"/>
  <c r="AK54" i="14"/>
  <c r="AK34" i="14"/>
  <c r="AK57" i="14"/>
  <c r="AK29" i="14"/>
  <c r="AK66" i="14"/>
  <c r="AK48" i="14"/>
  <c r="AK15" i="14"/>
  <c r="AK22" i="14"/>
  <c r="AK10" i="14"/>
  <c r="AK41" i="14"/>
  <c r="AK16" i="14"/>
  <c r="AK64" i="14"/>
  <c r="AK33" i="14"/>
  <c r="AK9" i="14"/>
  <c r="AK56" i="14"/>
  <c r="AK31" i="14"/>
  <c r="AK63" i="14"/>
  <c r="AK38" i="14"/>
  <c r="AK60" i="14"/>
  <c r="AK39" i="14"/>
  <c r="AI40" i="14"/>
  <c r="AI20" i="14"/>
  <c r="AI39" i="14"/>
  <c r="AI19" i="14"/>
  <c r="AI58" i="14"/>
  <c r="AI30" i="14"/>
  <c r="AI28" i="14"/>
  <c r="AI16" i="14"/>
  <c r="AI41" i="14"/>
  <c r="AI29" i="14"/>
  <c r="AI9" i="14"/>
  <c r="AI66" i="14"/>
  <c r="AI46" i="14"/>
  <c r="AI26" i="14"/>
  <c r="AI14" i="14"/>
  <c r="AI62" i="14"/>
  <c r="AI53" i="14"/>
  <c r="AI44" i="14"/>
  <c r="AI32" i="14"/>
  <c r="AI12" i="14"/>
  <c r="AI43" i="14"/>
  <c r="AI31" i="14"/>
  <c r="AI11" i="14"/>
  <c r="AI64" i="14"/>
  <c r="AI54" i="14"/>
  <c r="AI8" i="14"/>
  <c r="AI57" i="14"/>
  <c r="AI33" i="14"/>
  <c r="AI21" i="14"/>
  <c r="AI56" i="14"/>
  <c r="AI55" i="14"/>
  <c r="AI63" i="14"/>
  <c r="AI50" i="14"/>
  <c r="AI38" i="14"/>
  <c r="AI18" i="14"/>
  <c r="AI36" i="14"/>
  <c r="AI24" i="14"/>
  <c r="AI35" i="14"/>
  <c r="AI23" i="14"/>
  <c r="AI25" i="14"/>
  <c r="AI59" i="14"/>
  <c r="AI10" i="14"/>
  <c r="AI48" i="14"/>
  <c r="AI27" i="14"/>
  <c r="AI15" i="14"/>
  <c r="AI61" i="14"/>
  <c r="AI49" i="14"/>
  <c r="AI37" i="14"/>
  <c r="AI17" i="14"/>
  <c r="AI52" i="14"/>
  <c r="AI65" i="14"/>
  <c r="AI51" i="14"/>
  <c r="AI34" i="14"/>
  <c r="AI22" i="14"/>
  <c r="AI45" i="14"/>
  <c r="AI13" i="14"/>
  <c r="AI42" i="14"/>
  <c r="AI60" i="14"/>
  <c r="AI47" i="14"/>
  <c r="Y61" i="14"/>
  <c r="Y37" i="14"/>
  <c r="Y56" i="14"/>
  <c r="Y40" i="14"/>
  <c r="Y24" i="14"/>
  <c r="Y20" i="14"/>
  <c r="Y47" i="14"/>
  <c r="Y64" i="14"/>
  <c r="Y46" i="14"/>
  <c r="Y22" i="14"/>
  <c r="Y18" i="14"/>
  <c r="Y33" i="14"/>
  <c r="Y36" i="14"/>
  <c r="Y43" i="14"/>
  <c r="Y23" i="14"/>
  <c r="Y19" i="14"/>
  <c r="Y42" i="14"/>
  <c r="Y8" i="14"/>
  <c r="Y29" i="14"/>
  <c r="Y13" i="14"/>
  <c r="Y32" i="14"/>
  <c r="Y16" i="14"/>
  <c r="Y39" i="14"/>
  <c r="Y35" i="14"/>
  <c r="Y38" i="14"/>
  <c r="Y34" i="14"/>
  <c r="Y9" i="14"/>
  <c r="Y60" i="14"/>
  <c r="Y28" i="14"/>
  <c r="Y54" i="14"/>
  <c r="Y53" i="14"/>
  <c r="Y12" i="14"/>
  <c r="Y59" i="14"/>
  <c r="Y31" i="14"/>
  <c r="Y27" i="14"/>
  <c r="Y15" i="14"/>
  <c r="Y58" i="14"/>
  <c r="Y30" i="14"/>
  <c r="Y14" i="14"/>
  <c r="Y10" i="14"/>
  <c r="Y57" i="14"/>
  <c r="Y49" i="14"/>
  <c r="Y25" i="14"/>
  <c r="Y66" i="14"/>
  <c r="Y11" i="14"/>
  <c r="Y63" i="14"/>
  <c r="Y45" i="14"/>
  <c r="Y21" i="14"/>
  <c r="Y52" i="14"/>
  <c r="Y48" i="14"/>
  <c r="Y65" i="14"/>
  <c r="Y51" i="14"/>
  <c r="Y26" i="14"/>
  <c r="Y62" i="14"/>
  <c r="Y41" i="14"/>
  <c r="Y17" i="14"/>
  <c r="Y44" i="14"/>
  <c r="Y55" i="14"/>
  <c r="Y50" i="14"/>
  <c r="AI56" i="13"/>
  <c r="AI28" i="13"/>
  <c r="AI64" i="13"/>
  <c r="AI35" i="13"/>
  <c r="AI11" i="13"/>
  <c r="AI30" i="13"/>
  <c r="AI49" i="13"/>
  <c r="AI45" i="13"/>
  <c r="AI21" i="13"/>
  <c r="AI34" i="13"/>
  <c r="AI52" i="13"/>
  <c r="AI24" i="13"/>
  <c r="AI8" i="13"/>
  <c r="AI59" i="13"/>
  <c r="AI31" i="13"/>
  <c r="AI26" i="13"/>
  <c r="AI41" i="13"/>
  <c r="AI17" i="13"/>
  <c r="AI66" i="13"/>
  <c r="AI48" i="13"/>
  <c r="AI20" i="13"/>
  <c r="AI12" i="13"/>
  <c r="AI63" i="13"/>
  <c r="AI54" i="13"/>
  <c r="AI62" i="13"/>
  <c r="AI13" i="13"/>
  <c r="AI58" i="13"/>
  <c r="AI53" i="13"/>
  <c r="AI44" i="13"/>
  <c r="AI65" i="13"/>
  <c r="AI55" i="13"/>
  <c r="AI27" i="13"/>
  <c r="AI50" i="13"/>
  <c r="AI46" i="13"/>
  <c r="AI22" i="13"/>
  <c r="AI14" i="13"/>
  <c r="AI61" i="13"/>
  <c r="AI37" i="13"/>
  <c r="AI9" i="13"/>
  <c r="AI40" i="13"/>
  <c r="AI51" i="13"/>
  <c r="AI23" i="13"/>
  <c r="AI42" i="13"/>
  <c r="AI18" i="13"/>
  <c r="AI10" i="13"/>
  <c r="AI33" i="13"/>
  <c r="AI36" i="13"/>
  <c r="AI47" i="13"/>
  <c r="AI19" i="13"/>
  <c r="AI57" i="13"/>
  <c r="AI29" i="13"/>
  <c r="AI60" i="13"/>
  <c r="AI32" i="13"/>
  <c r="AI16" i="13"/>
  <c r="AI43" i="13"/>
  <c r="AI15" i="13"/>
  <c r="AI38" i="13"/>
  <c r="AI25" i="13"/>
  <c r="AI39" i="13"/>
  <c r="AO48" i="13"/>
  <c r="AO64" i="13"/>
  <c r="AO27" i="13"/>
  <c r="AO63" i="13"/>
  <c r="AO37" i="13"/>
  <c r="AO9" i="13"/>
  <c r="AO44" i="13"/>
  <c r="AO55" i="13"/>
  <c r="AO23" i="13"/>
  <c r="AO50" i="13"/>
  <c r="AO46" i="13"/>
  <c r="AO18" i="13"/>
  <c r="AO52" i="13"/>
  <c r="AO31" i="13"/>
  <c r="AO41" i="13"/>
  <c r="AO13" i="13"/>
  <c r="AO40" i="13"/>
  <c r="AO51" i="13"/>
  <c r="AO19" i="13"/>
  <c r="AO42" i="13"/>
  <c r="AO33" i="13"/>
  <c r="AO29" i="13"/>
  <c r="AO36" i="13"/>
  <c r="AO16" i="13"/>
  <c r="AO47" i="13"/>
  <c r="AO15" i="13"/>
  <c r="AO38" i="13"/>
  <c r="AO14" i="13"/>
  <c r="AO10" i="13"/>
  <c r="AO57" i="13"/>
  <c r="AO25" i="13"/>
  <c r="AO59" i="13"/>
  <c r="AO54" i="13"/>
  <c r="AO8" i="13"/>
  <c r="AO32" i="13"/>
  <c r="AO43" i="13"/>
  <c r="AO58" i="13"/>
  <c r="AO53" i="13"/>
  <c r="AO21" i="13"/>
  <c r="AO17" i="13"/>
  <c r="AO28" i="13"/>
  <c r="AO65" i="13"/>
  <c r="AO39" i="13"/>
  <c r="AO11" i="13"/>
  <c r="AO34" i="13"/>
  <c r="AO30" i="13"/>
  <c r="AO66" i="13"/>
  <c r="AO60" i="13"/>
  <c r="AO56" i="13"/>
  <c r="AO24" i="13"/>
  <c r="AO12" i="13"/>
  <c r="AO35" i="13"/>
  <c r="AO26" i="13"/>
  <c r="AO61" i="13"/>
  <c r="AO49" i="13"/>
  <c r="AO45" i="13"/>
  <c r="AO20" i="13"/>
  <c r="AO22" i="13"/>
  <c r="AO62" i="13"/>
  <c r="AI50" i="10"/>
  <c r="AI42" i="10"/>
  <c r="AI10" i="10"/>
  <c r="AI37" i="10"/>
  <c r="AI32" i="10"/>
  <c r="AI20" i="10"/>
  <c r="AI51" i="10"/>
  <c r="AI43" i="10"/>
  <c r="AI31" i="10"/>
  <c r="AI11" i="10"/>
  <c r="AI18" i="10"/>
  <c r="AI22" i="10"/>
  <c r="AI17" i="10"/>
  <c r="AI66" i="10"/>
  <c r="AI44" i="10"/>
  <c r="AI12" i="10"/>
  <c r="AI59" i="10"/>
  <c r="AI23" i="10"/>
  <c r="AI45" i="10"/>
  <c r="AI58" i="10"/>
  <c r="AI34" i="10"/>
  <c r="AI61" i="10"/>
  <c r="AI49" i="10"/>
  <c r="AI29" i="10"/>
  <c r="AI52" i="10"/>
  <c r="AI24" i="10"/>
  <c r="AI35" i="10"/>
  <c r="AI8" i="10"/>
  <c r="AI46" i="10"/>
  <c r="AI14" i="10"/>
  <c r="AI62" i="10"/>
  <c r="AI60" i="10"/>
  <c r="AI36" i="10"/>
  <c r="AI47" i="10"/>
  <c r="AI15" i="10"/>
  <c r="AI40" i="10"/>
  <c r="AI26" i="10"/>
  <c r="AI57" i="10"/>
  <c r="AI41" i="10"/>
  <c r="AI21" i="10"/>
  <c r="AI9" i="10"/>
  <c r="AI48" i="10"/>
  <c r="AI16" i="10"/>
  <c r="AI27" i="10"/>
  <c r="AI54" i="10"/>
  <c r="AI38" i="10"/>
  <c r="AI33" i="10"/>
  <c r="AI28" i="10"/>
  <c r="AI65" i="10"/>
  <c r="AI55" i="10"/>
  <c r="AI39" i="10"/>
  <c r="AI19" i="10"/>
  <c r="AI63" i="10"/>
  <c r="AI30" i="10"/>
  <c r="AI53" i="10"/>
  <c r="AI25" i="10"/>
  <c r="AI64" i="10"/>
  <c r="AI13" i="10"/>
  <c r="AI56" i="10"/>
  <c r="Y61" i="10"/>
  <c r="Y51" i="10"/>
  <c r="Y41" i="10"/>
  <c r="Y28" i="10"/>
  <c r="Y33" i="10"/>
  <c r="Y57" i="10"/>
  <c r="Y47" i="10"/>
  <c r="Y56" i="10"/>
  <c r="Y22" i="10"/>
  <c r="Y18" i="10"/>
  <c r="Y65" i="10"/>
  <c r="Y58" i="10"/>
  <c r="Y12" i="10"/>
  <c r="Y8" i="10"/>
  <c r="Y59" i="10"/>
  <c r="Y11" i="10"/>
  <c r="Y53" i="10"/>
  <c r="Y43" i="10"/>
  <c r="Y26" i="10"/>
  <c r="Y14" i="10"/>
  <c r="Y17" i="10"/>
  <c r="Y36" i="10"/>
  <c r="Y32" i="10"/>
  <c r="Y42" i="10"/>
  <c r="Y49" i="10"/>
  <c r="Y52" i="10"/>
  <c r="Y30" i="10"/>
  <c r="Y10" i="10"/>
  <c r="Y25" i="10"/>
  <c r="Y21" i="10"/>
  <c r="Y13" i="10"/>
  <c r="Y54" i="10"/>
  <c r="Y40" i="10"/>
  <c r="Y63" i="10"/>
  <c r="Y48" i="10"/>
  <c r="Y19" i="10"/>
  <c r="Y37" i="10"/>
  <c r="Y45" i="10"/>
  <c r="Y64" i="10"/>
  <c r="Y34" i="10"/>
  <c r="Y29" i="10"/>
  <c r="Y46" i="10"/>
  <c r="Y27" i="10"/>
  <c r="Y23" i="10"/>
  <c r="Y15" i="10"/>
  <c r="Y66" i="10"/>
  <c r="Y38" i="10"/>
  <c r="Y9" i="10"/>
  <c r="Y50" i="10"/>
  <c r="Y44" i="10"/>
  <c r="Y35" i="10"/>
  <c r="Y55" i="10"/>
  <c r="Y60" i="10"/>
  <c r="Y62" i="10"/>
  <c r="Y24" i="10"/>
  <c r="Y20" i="10"/>
  <c r="Y16" i="10"/>
  <c r="Y39" i="10"/>
  <c r="Y31" i="10"/>
  <c r="K63" i="18"/>
  <c r="AF62" i="16" s="1"/>
  <c r="K64" i="18"/>
  <c r="AF63" i="16" s="1"/>
  <c r="K61" i="18"/>
  <c r="AF60" i="16" s="1"/>
  <c r="K58" i="18"/>
  <c r="AF57" i="16" s="1"/>
  <c r="K66" i="18"/>
  <c r="AF65" i="16" s="1"/>
  <c r="K67" i="18"/>
  <c r="AF66" i="16" s="1"/>
  <c r="K62" i="18"/>
  <c r="AF61" i="16" s="1"/>
  <c r="K65" i="18"/>
  <c r="AF64" i="16" s="1"/>
  <c r="K60" i="18"/>
  <c r="AF59" i="16" s="1"/>
  <c r="K59" i="18"/>
  <c r="AF58" i="16" s="1"/>
  <c r="P60" i="18"/>
  <c r="AP59" i="16" s="1"/>
  <c r="P65" i="18"/>
  <c r="AP64" i="16" s="1"/>
  <c r="P8" i="18"/>
  <c r="AP7" i="16" s="1"/>
  <c r="P64" i="18"/>
  <c r="AP63" i="16" s="1"/>
  <c r="P67" i="18"/>
  <c r="AP66" i="16" s="1"/>
  <c r="P58" i="18"/>
  <c r="AP57" i="16" s="1"/>
  <c r="P59" i="18"/>
  <c r="AP58" i="16" s="1"/>
  <c r="P61" i="18"/>
  <c r="AP60" i="16" s="1"/>
  <c r="P66" i="18"/>
  <c r="AP65" i="16" s="1"/>
  <c r="P63" i="18"/>
  <c r="AP62" i="16" s="1"/>
  <c r="P62" i="18"/>
  <c r="AP61" i="16" s="1"/>
  <c r="AO7" i="13"/>
  <c r="Y7" i="10"/>
  <c r="BC57" i="18"/>
  <c r="AP56" i="14" s="1"/>
  <c r="AK9" i="18"/>
  <c r="AF8" i="13" s="1"/>
  <c r="X40" i="18"/>
  <c r="AF39" i="10" s="1"/>
  <c r="X45" i="18"/>
  <c r="AF44" i="10" s="1"/>
  <c r="X24" i="18"/>
  <c r="X32" i="18"/>
  <c r="X10" i="18"/>
  <c r="X17" i="18"/>
  <c r="AC24" i="18"/>
  <c r="AC15" i="18"/>
  <c r="AC29" i="18"/>
  <c r="AC28" i="18"/>
  <c r="AC27" i="18"/>
  <c r="AC34" i="18"/>
  <c r="AP8" i="18"/>
  <c r="X16" i="18"/>
  <c r="X54" i="18"/>
  <c r="X13" i="18"/>
  <c r="X29" i="18"/>
  <c r="X53" i="18"/>
  <c r="AF52" i="10" s="1"/>
  <c r="X48" i="18"/>
  <c r="X9" i="18"/>
  <c r="AC16" i="18"/>
  <c r="AC17" i="18"/>
  <c r="AC21" i="18"/>
  <c r="AC20" i="18"/>
  <c r="AC19" i="18"/>
  <c r="AC26" i="18"/>
  <c r="AP57" i="18"/>
  <c r="X55" i="18"/>
  <c r="AF54" i="10" s="1"/>
  <c r="X46" i="18"/>
  <c r="X52" i="18"/>
  <c r="X51" i="18"/>
  <c r="X21" i="18"/>
  <c r="X37" i="18"/>
  <c r="X8" i="18"/>
  <c r="AC41" i="18"/>
  <c r="AC57" i="18"/>
  <c r="AP56" i="10" s="1"/>
  <c r="AC13" i="18"/>
  <c r="AC12" i="18"/>
  <c r="AC11" i="18"/>
  <c r="AC18" i="18"/>
  <c r="P56" i="18"/>
  <c r="AP55" i="16" s="1"/>
  <c r="P41" i="18"/>
  <c r="AP40" i="16" s="1"/>
  <c r="P34" i="18"/>
  <c r="AP33" i="16" s="1"/>
  <c r="P35" i="18"/>
  <c r="AP34" i="16" s="1"/>
  <c r="P29" i="18"/>
  <c r="AP28" i="16" s="1"/>
  <c r="P38" i="18"/>
  <c r="AP37" i="16" s="1"/>
  <c r="P12" i="18"/>
  <c r="AP11" i="16" s="1"/>
  <c r="P49" i="18"/>
  <c r="AP48" i="16" s="1"/>
  <c r="P42" i="18"/>
  <c r="AP41" i="16" s="1"/>
  <c r="P43" i="18"/>
  <c r="AP42" i="16" s="1"/>
  <c r="P37" i="18"/>
  <c r="AP36" i="16" s="1"/>
  <c r="P46" i="18"/>
  <c r="AP45" i="16" s="1"/>
  <c r="P36" i="18"/>
  <c r="AP35" i="16" s="1"/>
  <c r="P57" i="18"/>
  <c r="AP56" i="16" s="1"/>
  <c r="P50" i="18"/>
  <c r="AP49" i="16" s="1"/>
  <c r="P51" i="18"/>
  <c r="AP50" i="16" s="1"/>
  <c r="P45" i="18"/>
  <c r="AP44" i="16" s="1"/>
  <c r="P54" i="18"/>
  <c r="AP53" i="16" s="1"/>
  <c r="P16" i="18"/>
  <c r="AP15" i="16" s="1"/>
  <c r="P31" i="18"/>
  <c r="AP30" i="16" s="1"/>
  <c r="P44" i="18"/>
  <c r="AP43" i="16" s="1"/>
  <c r="P20" i="18"/>
  <c r="AP19" i="16" s="1"/>
  <c r="P28" i="18"/>
  <c r="AP27" i="16" s="1"/>
  <c r="P53" i="18"/>
  <c r="AP52" i="16" s="1"/>
  <c r="P15" i="18"/>
  <c r="AP14" i="16" s="1"/>
  <c r="P24" i="18"/>
  <c r="AP23" i="16" s="1"/>
  <c r="P9" i="18"/>
  <c r="AP8" i="16" s="1"/>
  <c r="P55" i="18"/>
  <c r="AP54" i="16" s="1"/>
  <c r="P23" i="18"/>
  <c r="AP22" i="16" s="1"/>
  <c r="P52" i="18"/>
  <c r="AP51" i="16" s="1"/>
  <c r="P47" i="18"/>
  <c r="AP46" i="16" s="1"/>
  <c r="P32" i="18"/>
  <c r="AP31" i="16" s="1"/>
  <c r="P17" i="18"/>
  <c r="AP16" i="16" s="1"/>
  <c r="P10" i="18"/>
  <c r="AP9" i="16" s="1"/>
  <c r="P11" i="18"/>
  <c r="AP10" i="16" s="1"/>
  <c r="P39" i="18"/>
  <c r="AP38" i="16" s="1"/>
  <c r="P14" i="18"/>
  <c r="AP13" i="16" s="1"/>
  <c r="P40" i="18"/>
  <c r="AP39" i="16" s="1"/>
  <c r="P25" i="18"/>
  <c r="AP24" i="16" s="1"/>
  <c r="P18" i="18"/>
  <c r="AP17" i="16" s="1"/>
  <c r="P19" i="18"/>
  <c r="AP18" i="16" s="1"/>
  <c r="P13" i="18"/>
  <c r="AP12" i="16" s="1"/>
  <c r="P22" i="18"/>
  <c r="AP21" i="16" s="1"/>
  <c r="P48" i="18"/>
  <c r="AP47" i="16" s="1"/>
  <c r="P33" i="18"/>
  <c r="AP32" i="16" s="1"/>
  <c r="P26" i="18"/>
  <c r="AP25" i="16" s="1"/>
  <c r="P27" i="18"/>
  <c r="AP26" i="16" s="1"/>
  <c r="P21" i="18"/>
  <c r="AP20" i="16" s="1"/>
  <c r="P30" i="18"/>
  <c r="AP29" i="16" s="1"/>
  <c r="X47" i="18"/>
  <c r="AF46" i="10" s="1"/>
  <c r="X38" i="18"/>
  <c r="X44" i="18"/>
  <c r="AF43" i="10" s="1"/>
  <c r="X43" i="18"/>
  <c r="AF42" i="10" s="1"/>
  <c r="X50" i="18"/>
  <c r="X57" i="18"/>
  <c r="AC9" i="18"/>
  <c r="AC55" i="18"/>
  <c r="AC46" i="18"/>
  <c r="AC33" i="18"/>
  <c r="AC25" i="18"/>
  <c r="AC49" i="18"/>
  <c r="AC10" i="18"/>
  <c r="AC8" i="18"/>
  <c r="X39" i="18"/>
  <c r="X30" i="18"/>
  <c r="X36" i="18"/>
  <c r="X35" i="18"/>
  <c r="AF34" i="10" s="1"/>
  <c r="X42" i="18"/>
  <c r="AF41" i="10" s="1"/>
  <c r="X49" i="18"/>
  <c r="AC56" i="18"/>
  <c r="AC47" i="18"/>
  <c r="AP46" i="10" s="1"/>
  <c r="AC14" i="18"/>
  <c r="AC30" i="18"/>
  <c r="AC22" i="18"/>
  <c r="AC54" i="18"/>
  <c r="X31" i="18"/>
  <c r="X22" i="18"/>
  <c r="X28" i="18"/>
  <c r="X27" i="18"/>
  <c r="X34" i="18"/>
  <c r="X41" i="18"/>
  <c r="AC48" i="18"/>
  <c r="AC39" i="18"/>
  <c r="AC53" i="18"/>
  <c r="AC52" i="18"/>
  <c r="AC51" i="18"/>
  <c r="AC38" i="18"/>
  <c r="AX8" i="18"/>
  <c r="AF7" i="14" s="1"/>
  <c r="K27" i="18"/>
  <c r="AF26" i="16" s="1"/>
  <c r="K17" i="18"/>
  <c r="AF16" i="16" s="1"/>
  <c r="K20" i="18"/>
  <c r="AF19" i="16" s="1"/>
  <c r="K35" i="18"/>
  <c r="AF34" i="16" s="1"/>
  <c r="K49" i="18"/>
  <c r="AF48" i="16" s="1"/>
  <c r="K21" i="18"/>
  <c r="AF20" i="16" s="1"/>
  <c r="K11" i="18"/>
  <c r="AF10" i="16" s="1"/>
  <c r="K45" i="18"/>
  <c r="AF44" i="16" s="1"/>
  <c r="K52" i="18"/>
  <c r="AF51" i="16" s="1"/>
  <c r="K53" i="18"/>
  <c r="AF52" i="16" s="1"/>
  <c r="K34" i="18"/>
  <c r="AF33" i="16" s="1"/>
  <c r="K38" i="18"/>
  <c r="AF37" i="16" s="1"/>
  <c r="K28" i="18"/>
  <c r="AF27" i="16" s="1"/>
  <c r="K15" i="18"/>
  <c r="AF14" i="16" s="1"/>
  <c r="K16" i="18"/>
  <c r="AF15" i="16" s="1"/>
  <c r="K51" i="18"/>
  <c r="AF50" i="16" s="1"/>
  <c r="K42" i="18"/>
  <c r="AF41" i="16" s="1"/>
  <c r="K46" i="18"/>
  <c r="AF45" i="16" s="1"/>
  <c r="K29" i="18"/>
  <c r="AF28" i="16" s="1"/>
  <c r="K39" i="18"/>
  <c r="AF38" i="16" s="1"/>
  <c r="K47" i="18"/>
  <c r="AF46" i="16" s="1"/>
  <c r="K22" i="18"/>
  <c r="AF21" i="16" s="1"/>
  <c r="K30" i="18"/>
  <c r="AF29" i="16" s="1"/>
  <c r="K10" i="18"/>
  <c r="AF9" i="16" s="1"/>
  <c r="K40" i="18"/>
  <c r="AF39" i="16" s="1"/>
  <c r="K36" i="18"/>
  <c r="AF35" i="16" s="1"/>
  <c r="K23" i="18"/>
  <c r="AF22" i="16" s="1"/>
  <c r="K33" i="18"/>
  <c r="AF32" i="16" s="1"/>
  <c r="K48" i="18"/>
  <c r="AF47" i="16" s="1"/>
  <c r="K13" i="18"/>
  <c r="AF12" i="16" s="1"/>
  <c r="K12" i="18"/>
  <c r="AF11" i="16" s="1"/>
  <c r="K55" i="18"/>
  <c r="AF54" i="16" s="1"/>
  <c r="K26" i="18"/>
  <c r="AF25" i="16" s="1"/>
  <c r="K24" i="18"/>
  <c r="AF23" i="16" s="1"/>
  <c r="K37" i="18"/>
  <c r="AF36" i="16" s="1"/>
  <c r="K44" i="18"/>
  <c r="AF43" i="16" s="1"/>
  <c r="K56" i="18"/>
  <c r="AF55" i="16" s="1"/>
  <c r="K43" i="18"/>
  <c r="AF42" i="16" s="1"/>
  <c r="K25" i="18"/>
  <c r="AF24" i="16" s="1"/>
  <c r="K32" i="18"/>
  <c r="AF31" i="16" s="1"/>
  <c r="K57" i="18"/>
  <c r="AF56" i="16" s="1"/>
  <c r="K31" i="18"/>
  <c r="AF30" i="16" s="1"/>
  <c r="K18" i="18"/>
  <c r="AF17" i="16" s="1"/>
  <c r="K14" i="18"/>
  <c r="AF13" i="16" s="1"/>
  <c r="K50" i="18"/>
  <c r="AF49" i="16" s="1"/>
  <c r="K41" i="18"/>
  <c r="AF40" i="16" s="1"/>
  <c r="K19" i="18"/>
  <c r="AF18" i="16" s="1"/>
  <c r="K54" i="18"/>
  <c r="AF53" i="16" s="1"/>
  <c r="BC9" i="18"/>
  <c r="AK8" i="18"/>
  <c r="AF7" i="13" s="1"/>
  <c r="X23" i="18"/>
  <c r="X14" i="18"/>
  <c r="AF13" i="10" s="1"/>
  <c r="X20" i="18"/>
  <c r="X19" i="18"/>
  <c r="X26" i="18"/>
  <c r="X33" i="18"/>
  <c r="AF32" i="10" s="1"/>
  <c r="AC40" i="18"/>
  <c r="AP39" i="10" s="1"/>
  <c r="AC31" i="18"/>
  <c r="AC45" i="18"/>
  <c r="AC44" i="18"/>
  <c r="AC43" i="18"/>
  <c r="AC50" i="18"/>
  <c r="AX57" i="18"/>
  <c r="X15" i="18"/>
  <c r="X56" i="18"/>
  <c r="X12" i="18"/>
  <c r="X11" i="18"/>
  <c r="X18" i="18"/>
  <c r="AC32" i="18"/>
  <c r="AC23" i="18"/>
  <c r="AC37" i="18"/>
  <c r="AC36" i="18"/>
  <c r="AC35" i="18"/>
  <c r="AP34" i="10" s="1"/>
  <c r="K8" i="18"/>
  <c r="AF7" i="16" s="1"/>
  <c r="K9" i="18"/>
  <c r="AF8" i="16" s="1"/>
  <c r="AI7" i="14"/>
  <c r="AK7" i="14"/>
  <c r="AI7" i="13"/>
  <c r="AI7" i="10"/>
  <c r="AP67" i="10"/>
  <c r="AF11" i="10" l="1"/>
  <c r="AP30" i="10"/>
  <c r="AF19" i="10"/>
  <c r="AF14" i="10"/>
  <c r="AF20" i="10"/>
  <c r="AP29" i="10"/>
  <c r="AP17" i="10"/>
  <c r="AF25" i="10"/>
  <c r="AP44" i="10"/>
  <c r="AP43" i="10"/>
  <c r="AF48" i="10"/>
  <c r="AP49" i="10"/>
  <c r="AF8" i="14"/>
  <c r="AF56" i="14"/>
  <c r="AP56" i="13"/>
  <c r="AP38" i="10"/>
  <c r="AP54" i="10"/>
  <c r="AP41" i="10"/>
  <c r="AT41" i="10" s="1"/>
  <c r="AU41" i="10" s="1"/>
  <c r="AP55" i="10"/>
  <c r="AP45" i="10"/>
  <c r="AP25" i="10"/>
  <c r="AP10" i="10"/>
  <c r="AP35" i="10"/>
  <c r="AP16" i="10"/>
  <c r="AP12" i="10"/>
  <c r="AP15" i="10"/>
  <c r="AF47" i="10"/>
  <c r="AF7" i="10"/>
  <c r="AF18" i="10"/>
  <c r="AF27" i="10"/>
  <c r="AF51" i="10"/>
  <c r="AF55" i="10"/>
  <c r="AF56" i="10"/>
  <c r="AT56" i="10" s="1"/>
  <c r="AU56" i="10" s="1"/>
  <c r="AP7" i="14"/>
  <c r="AT7" i="14" s="1"/>
  <c r="N7" i="5" s="1"/>
  <c r="AF55" i="14"/>
  <c r="AF54" i="14"/>
  <c r="AF15" i="10"/>
  <c r="AP54" i="13"/>
  <c r="AT54" i="13" s="1"/>
  <c r="AP54" i="14"/>
  <c r="AF49" i="14"/>
  <c r="AF46" i="14"/>
  <c r="AF19" i="14"/>
  <c r="AP55" i="13"/>
  <c r="AP55" i="14"/>
  <c r="AP23" i="10"/>
  <c r="AP47" i="10"/>
  <c r="AP11" i="10"/>
  <c r="AP42" i="10"/>
  <c r="AT42" i="10" s="1"/>
  <c r="AU42" i="10" s="1"/>
  <c r="AP48" i="10"/>
  <c r="AP24" i="10"/>
  <c r="AF16" i="14"/>
  <c r="AF33" i="14"/>
  <c r="AF53" i="14"/>
  <c r="AF51" i="14"/>
  <c r="AP21" i="14"/>
  <c r="AP42" i="14"/>
  <c r="AP26" i="10"/>
  <c r="AP18" i="10"/>
  <c r="AP20" i="10"/>
  <c r="AP51" i="10"/>
  <c r="AP31" i="10"/>
  <c r="AP53" i="10"/>
  <c r="AP36" i="10"/>
  <c r="AP9" i="10"/>
  <c r="AP52" i="10"/>
  <c r="AP33" i="10"/>
  <c r="AF10" i="10"/>
  <c r="AF36" i="10"/>
  <c r="AF28" i="10"/>
  <c r="AF26" i="10"/>
  <c r="AF38" i="10"/>
  <c r="AF21" i="10"/>
  <c r="AF45" i="10"/>
  <c r="AF9" i="10"/>
  <c r="AF17" i="10"/>
  <c r="AF30" i="10"/>
  <c r="AF8" i="10"/>
  <c r="AF31" i="10"/>
  <c r="AF22" i="14"/>
  <c r="AF11" i="14"/>
  <c r="AF36" i="14"/>
  <c r="AF14" i="14"/>
  <c r="AF25" i="14"/>
  <c r="AP52" i="13"/>
  <c r="AT52" i="13" s="1"/>
  <c r="AP38" i="14"/>
  <c r="AP17" i="14"/>
  <c r="AP34" i="14"/>
  <c r="AP51" i="14"/>
  <c r="AP39" i="14"/>
  <c r="AF45" i="14"/>
  <c r="AF22" i="10"/>
  <c r="AP32" i="10"/>
  <c r="AT32" i="10" s="1"/>
  <c r="AU32" i="10" s="1"/>
  <c r="AF37" i="10"/>
  <c r="AP40" i="10"/>
  <c r="AF24" i="10"/>
  <c r="AF20" i="14"/>
  <c r="AF28" i="14"/>
  <c r="AF17" i="14"/>
  <c r="AF34" i="14"/>
  <c r="AP47" i="14"/>
  <c r="AP9" i="14"/>
  <c r="AP26" i="14"/>
  <c r="AP43" i="14"/>
  <c r="AP22" i="14"/>
  <c r="AF23" i="14"/>
  <c r="AP45" i="14"/>
  <c r="AP21" i="10"/>
  <c r="AF35" i="10"/>
  <c r="AF29" i="14"/>
  <c r="AF37" i="14"/>
  <c r="AF26" i="14"/>
  <c r="AF43" i="14"/>
  <c r="AP29" i="14"/>
  <c r="AP18" i="14"/>
  <c r="AP35" i="14"/>
  <c r="AP52" i="14"/>
  <c r="AP31" i="14"/>
  <c r="AF12" i="14"/>
  <c r="AP53" i="14"/>
  <c r="AP20" i="14"/>
  <c r="AF42" i="14"/>
  <c r="AP8" i="14"/>
  <c r="AF40" i="10"/>
  <c r="AF29" i="10"/>
  <c r="AP28" i="10"/>
  <c r="AF9" i="14"/>
  <c r="AF35" i="14"/>
  <c r="AF38" i="14"/>
  <c r="AP10" i="14"/>
  <c r="AP27" i="14"/>
  <c r="AP44" i="14"/>
  <c r="AP14" i="14"/>
  <c r="AP40" i="14"/>
  <c r="AF32" i="14"/>
  <c r="AP30" i="14"/>
  <c r="AF33" i="10"/>
  <c r="AP13" i="10"/>
  <c r="AT13" i="10" s="1"/>
  <c r="AU13" i="10" s="1"/>
  <c r="AP8" i="10"/>
  <c r="AP19" i="10"/>
  <c r="AF12" i="10"/>
  <c r="AP14" i="10"/>
  <c r="AT14" i="10" s="1"/>
  <c r="AF47" i="14"/>
  <c r="AF18" i="14"/>
  <c r="AF52" i="14"/>
  <c r="AP19" i="14"/>
  <c r="AP36" i="14"/>
  <c r="AP15" i="14"/>
  <c r="AP23" i="14"/>
  <c r="AP49" i="14"/>
  <c r="AP48" i="14"/>
  <c r="AF21" i="14"/>
  <c r="AP46" i="14"/>
  <c r="AP37" i="10"/>
  <c r="AF50" i="10"/>
  <c r="AF53" i="10"/>
  <c r="AF31" i="14"/>
  <c r="AF39" i="14"/>
  <c r="AF30" i="14"/>
  <c r="AF27" i="14"/>
  <c r="AP53" i="13"/>
  <c r="AT53" i="13" s="1"/>
  <c r="AP12" i="13"/>
  <c r="AP28" i="14"/>
  <c r="AP13" i="14"/>
  <c r="AP24" i="14"/>
  <c r="AP32" i="14"/>
  <c r="AP37" i="14"/>
  <c r="AF24" i="14"/>
  <c r="AP11" i="14"/>
  <c r="AF15" i="14"/>
  <c r="AP25" i="14"/>
  <c r="AP22" i="10"/>
  <c r="AP50" i="10"/>
  <c r="AF49" i="10"/>
  <c r="AF16" i="10"/>
  <c r="AF40" i="14"/>
  <c r="AF48" i="14"/>
  <c r="AF10" i="14"/>
  <c r="AF44" i="14"/>
  <c r="AP13" i="13"/>
  <c r="AP16" i="14"/>
  <c r="AP33" i="14"/>
  <c r="AP41" i="14"/>
  <c r="AP12" i="14"/>
  <c r="AF13" i="14"/>
  <c r="AP50" i="14"/>
  <c r="AF41" i="14"/>
  <c r="AF50" i="14"/>
  <c r="AP37" i="13"/>
  <c r="AP33" i="13"/>
  <c r="AT33" i="13" s="1"/>
  <c r="AP32" i="13"/>
  <c r="AT32" i="13" s="1"/>
  <c r="AP15" i="13"/>
  <c r="AT15" i="13" s="1"/>
  <c r="AP29" i="13"/>
  <c r="AP42" i="13"/>
  <c r="AP25" i="13"/>
  <c r="AT25" i="13" s="1"/>
  <c r="AP24" i="13"/>
  <c r="AP8" i="13"/>
  <c r="AT8" i="13" s="1"/>
  <c r="AP7" i="13"/>
  <c r="AT7" i="13" s="1"/>
  <c r="L7" i="5" s="1"/>
  <c r="M7" i="5" s="1"/>
  <c r="AP21" i="13"/>
  <c r="AP51" i="13"/>
  <c r="AP34" i="13"/>
  <c r="AP17" i="13"/>
  <c r="AP16" i="13"/>
  <c r="AP46" i="13"/>
  <c r="AT46" i="13" s="1"/>
  <c r="AP43" i="13"/>
  <c r="AP26" i="13"/>
  <c r="AP9" i="13"/>
  <c r="AT9" i="13" s="1"/>
  <c r="AP38" i="13"/>
  <c r="AP44" i="13"/>
  <c r="AT44" i="13" s="1"/>
  <c r="AP35" i="13"/>
  <c r="AP18" i="13"/>
  <c r="AT18" i="13" s="1"/>
  <c r="AP45" i="13"/>
  <c r="AT45" i="13" s="1"/>
  <c r="AP47" i="13"/>
  <c r="AP30" i="13"/>
  <c r="AP36" i="13"/>
  <c r="AT36" i="13" s="1"/>
  <c r="AP27" i="13"/>
  <c r="AT27" i="13" s="1"/>
  <c r="AP10" i="13"/>
  <c r="AT10" i="13" s="1"/>
  <c r="AP49" i="13"/>
  <c r="AP39" i="13"/>
  <c r="AT39" i="13" s="1"/>
  <c r="AP22" i="13"/>
  <c r="AT22" i="13" s="1"/>
  <c r="AP28" i="13"/>
  <c r="AT28" i="13" s="1"/>
  <c r="AP19" i="13"/>
  <c r="AT19" i="13" s="1"/>
  <c r="AP50" i="13"/>
  <c r="AT50" i="13" s="1"/>
  <c r="AP48" i="13"/>
  <c r="AT48" i="13" s="1"/>
  <c r="AP31" i="13"/>
  <c r="AP14" i="13"/>
  <c r="AT14" i="13" s="1"/>
  <c r="AP20" i="13"/>
  <c r="AP11" i="13"/>
  <c r="AP41" i="13"/>
  <c r="AT41" i="13" s="1"/>
  <c r="AP40" i="13"/>
  <c r="AT40" i="13" s="1"/>
  <c r="AP23" i="13"/>
  <c r="AT23" i="13" s="1"/>
  <c r="AP27" i="10"/>
  <c r="AP7" i="10"/>
  <c r="AF23" i="10"/>
  <c r="AT25" i="16"/>
  <c r="AU25" i="16" s="1"/>
  <c r="AT39" i="16"/>
  <c r="AU39" i="16" s="1"/>
  <c r="AT41" i="16"/>
  <c r="AU41" i="16" s="1"/>
  <c r="AT51" i="16"/>
  <c r="AU51" i="16" s="1"/>
  <c r="AT26" i="16"/>
  <c r="AU26" i="16" s="1"/>
  <c r="AT13" i="16"/>
  <c r="AU13" i="16" s="1"/>
  <c r="AT38" i="16"/>
  <c r="AU38" i="16" s="1"/>
  <c r="AT22" i="16"/>
  <c r="AU22" i="16" s="1"/>
  <c r="AT28" i="16"/>
  <c r="AU28" i="16" s="1"/>
  <c r="AT35" i="16"/>
  <c r="AU35" i="16" s="1"/>
  <c r="AT56" i="16"/>
  <c r="AU56" i="16" s="1"/>
  <c r="AT53" i="16"/>
  <c r="AU53" i="16" s="1"/>
  <c r="AT31" i="16"/>
  <c r="AU31" i="16" s="1"/>
  <c r="AT50" i="16"/>
  <c r="AU50" i="16" s="1"/>
  <c r="AT15" i="16"/>
  <c r="AU15" i="16" s="1"/>
  <c r="AT43" i="16"/>
  <c r="AU43" i="16" s="1"/>
  <c r="AT32" i="16"/>
  <c r="AU32" i="16" s="1"/>
  <c r="AT8" i="16"/>
  <c r="AU8" i="16" s="1"/>
  <c r="AT36" i="16"/>
  <c r="AU36" i="16" s="1"/>
  <c r="AT23" i="16"/>
  <c r="AU23" i="16" s="1"/>
  <c r="AT24" i="16"/>
  <c r="AU24" i="16" s="1"/>
  <c r="AT11" i="16"/>
  <c r="AU11" i="16" s="1"/>
  <c r="AT40" i="16"/>
  <c r="AU40" i="16" s="1"/>
  <c r="AT42" i="16"/>
  <c r="AU42" i="16" s="1"/>
  <c r="AT21" i="16"/>
  <c r="AU21" i="16" s="1"/>
  <c r="AT49" i="16"/>
  <c r="AU49" i="16" s="1"/>
  <c r="AT55" i="16"/>
  <c r="AU55" i="16" s="1"/>
  <c r="AT46" i="16"/>
  <c r="AU46" i="16" s="1"/>
  <c r="AT27" i="16"/>
  <c r="AU27" i="16" s="1"/>
  <c r="AT48" i="16"/>
  <c r="AU48" i="16" s="1"/>
  <c r="AT29" i="16"/>
  <c r="AU29" i="16" s="1"/>
  <c r="AT17" i="16"/>
  <c r="AU17" i="16" s="1"/>
  <c r="AT44" i="16"/>
  <c r="AU44" i="16" s="1"/>
  <c r="AT18" i="16"/>
  <c r="AU18" i="16" s="1"/>
  <c r="AT14" i="16"/>
  <c r="AU14" i="16" s="1"/>
  <c r="AT37" i="16"/>
  <c r="AU37" i="16" s="1"/>
  <c r="AT19" i="16"/>
  <c r="AU19" i="16" s="1"/>
  <c r="AT30" i="16"/>
  <c r="AU30" i="16" s="1"/>
  <c r="AT45" i="16"/>
  <c r="AU45" i="16" s="1"/>
  <c r="AT52" i="16"/>
  <c r="AU52" i="16" s="1"/>
  <c r="AT16" i="16"/>
  <c r="AU16" i="16" s="1"/>
  <c r="J13" i="20"/>
  <c r="AT54" i="16"/>
  <c r="AU54" i="16" s="1"/>
  <c r="AT9" i="16"/>
  <c r="AU9" i="16" s="1"/>
  <c r="AT39" i="10"/>
  <c r="AU39" i="10" s="1"/>
  <c r="AT58" i="16"/>
  <c r="AU58" i="16" s="1"/>
  <c r="AT63" i="16"/>
  <c r="H63" i="5" s="1"/>
  <c r="AT59" i="16"/>
  <c r="AU59" i="16" s="1"/>
  <c r="AT62" i="16"/>
  <c r="AT64" i="16"/>
  <c r="H64" i="5" s="1"/>
  <c r="AT61" i="16"/>
  <c r="AT12" i="16"/>
  <c r="AU12" i="16" s="1"/>
  <c r="AT20" i="16"/>
  <c r="AU20" i="16" s="1"/>
  <c r="AT47" i="16"/>
  <c r="AU47" i="16" s="1"/>
  <c r="AT66" i="16"/>
  <c r="AT65" i="16"/>
  <c r="AT57" i="16"/>
  <c r="AT60" i="16"/>
  <c r="H60" i="5" s="1"/>
  <c r="AT33" i="16"/>
  <c r="AU33" i="16" s="1"/>
  <c r="AT10" i="16"/>
  <c r="AU10" i="16" s="1"/>
  <c r="AT34" i="16"/>
  <c r="AU34" i="16" s="1"/>
  <c r="T13" i="20"/>
  <c r="AT54" i="10"/>
  <c r="AU54" i="10" s="1"/>
  <c r="AT46" i="10"/>
  <c r="AU46" i="10" s="1"/>
  <c r="AT57" i="14"/>
  <c r="AU57" i="14" s="1"/>
  <c r="AT62" i="14"/>
  <c r="AT56" i="14"/>
  <c r="AT58" i="13"/>
  <c r="AT59" i="13"/>
  <c r="AT66" i="13"/>
  <c r="AT61" i="13"/>
  <c r="AT60" i="13"/>
  <c r="AT64" i="13"/>
  <c r="AT57" i="13"/>
  <c r="AT62" i="13"/>
  <c r="AT63" i="14"/>
  <c r="AU57" i="16"/>
  <c r="AU61" i="16"/>
  <c r="H62" i="5"/>
  <c r="AU65" i="16"/>
  <c r="J19" i="20"/>
  <c r="AH67" i="14"/>
  <c r="AH67" i="13"/>
  <c r="AH67" i="10"/>
  <c r="AH67" i="16"/>
  <c r="AT20" i="10" l="1"/>
  <c r="AU20" i="10" s="1"/>
  <c r="AT27" i="10"/>
  <c r="AT8" i="14"/>
  <c r="AT29" i="10"/>
  <c r="AU29" i="10" s="1"/>
  <c r="AT18" i="10"/>
  <c r="AU18" i="10" s="1"/>
  <c r="AT31" i="14"/>
  <c r="AT14" i="14"/>
  <c r="AU14" i="14" s="1"/>
  <c r="AT10" i="14"/>
  <c r="AT51" i="10"/>
  <c r="AU51" i="10" s="1"/>
  <c r="AT38" i="10"/>
  <c r="AU38" i="10" s="1"/>
  <c r="AT39" i="14"/>
  <c r="AT49" i="14"/>
  <c r="AU49" i="14" s="1"/>
  <c r="AT52" i="14"/>
  <c r="AU52" i="14" s="1"/>
  <c r="AT47" i="14"/>
  <c r="AT51" i="14"/>
  <c r="AU51" i="14" s="1"/>
  <c r="AT10" i="10"/>
  <c r="AU10" i="10" s="1"/>
  <c r="AT26" i="10"/>
  <c r="AU26" i="10" s="1"/>
  <c r="AT33" i="10"/>
  <c r="AU33" i="10" s="1"/>
  <c r="AT45" i="14"/>
  <c r="AU45" i="14" s="1"/>
  <c r="AT24" i="10"/>
  <c r="AU24" i="10" s="1"/>
  <c r="AT18" i="14"/>
  <c r="AU18" i="14" s="1"/>
  <c r="AT30" i="14"/>
  <c r="AU30" i="14" s="1"/>
  <c r="AT11" i="10"/>
  <c r="AU11" i="10" s="1"/>
  <c r="AT27" i="14"/>
  <c r="AU27" i="14" s="1"/>
  <c r="AT23" i="14"/>
  <c r="AU23" i="14" s="1"/>
  <c r="O7" i="5"/>
  <c r="T29" i="20"/>
  <c r="AT22" i="10"/>
  <c r="AU22" i="10" s="1"/>
  <c r="AT21" i="10"/>
  <c r="AU21" i="10" s="1"/>
  <c r="AT19" i="14"/>
  <c r="AU19" i="14" s="1"/>
  <c r="AT46" i="14"/>
  <c r="AU46" i="14" s="1"/>
  <c r="AT36" i="14"/>
  <c r="AU36" i="14" s="1"/>
  <c r="AT58" i="10"/>
  <c r="AU58" i="10" s="1"/>
  <c r="AT34" i="10"/>
  <c r="AU34" i="10" s="1"/>
  <c r="AT12" i="10"/>
  <c r="AU12" i="10" s="1"/>
  <c r="AT47" i="10"/>
  <c r="AU47" i="10" s="1"/>
  <c r="Y13" i="20"/>
  <c r="AT66" i="14"/>
  <c r="AU66" i="14" s="1"/>
  <c r="AT53" i="10"/>
  <c r="AU53" i="10" s="1"/>
  <c r="AT8" i="10"/>
  <c r="AU8" i="10" s="1"/>
  <c r="AT45" i="10"/>
  <c r="AU45" i="10" s="1"/>
  <c r="AT23" i="10"/>
  <c r="AU23" i="10" s="1"/>
  <c r="AT43" i="14"/>
  <c r="AU43" i="14" s="1"/>
  <c r="AT38" i="14"/>
  <c r="AU38" i="14" s="1"/>
  <c r="AT52" i="10"/>
  <c r="AU52" i="10" s="1"/>
  <c r="AT11" i="14"/>
  <c r="AU11" i="14" s="1"/>
  <c r="AT22" i="14"/>
  <c r="AU22" i="14" s="1"/>
  <c r="AU10" i="13"/>
  <c r="AT50" i="10"/>
  <c r="AU50" i="10" s="1"/>
  <c r="AT30" i="10"/>
  <c r="AU30" i="10" s="1"/>
  <c r="AT7" i="10"/>
  <c r="J7" i="5" s="1"/>
  <c r="AT7" i="16"/>
  <c r="AU7" i="16" s="1"/>
  <c r="AV7" i="16" s="1"/>
  <c r="AT60" i="14"/>
  <c r="AT16" i="14"/>
  <c r="AU16" i="14" s="1"/>
  <c r="AT9" i="14"/>
  <c r="AU9" i="14" s="1"/>
  <c r="AT29" i="14"/>
  <c r="AU29" i="14" s="1"/>
  <c r="AT59" i="14"/>
  <c r="AU59" i="14" s="1"/>
  <c r="AT37" i="14"/>
  <c r="AU37" i="14" s="1"/>
  <c r="AT64" i="10"/>
  <c r="AU64" i="10" s="1"/>
  <c r="AT60" i="10"/>
  <c r="AT49" i="10"/>
  <c r="AU49" i="10" s="1"/>
  <c r="AT61" i="14"/>
  <c r="AT32" i="14"/>
  <c r="AU32" i="14" s="1"/>
  <c r="AT64" i="14"/>
  <c r="AT13" i="14"/>
  <c r="AU13" i="14" s="1"/>
  <c r="AU62" i="14"/>
  <c r="AT65" i="14"/>
  <c r="AU65" i="14" s="1"/>
  <c r="AT58" i="14"/>
  <c r="AT28" i="14"/>
  <c r="AU28" i="14" s="1"/>
  <c r="AT44" i="14"/>
  <c r="AU44" i="14" s="1"/>
  <c r="AT33" i="14"/>
  <c r="AU33" i="14" s="1"/>
  <c r="AT35" i="14"/>
  <c r="AU35" i="14" s="1"/>
  <c r="AT53" i="14"/>
  <c r="AU53" i="14" s="1"/>
  <c r="AU56" i="14"/>
  <c r="AT15" i="14"/>
  <c r="AU15" i="14" s="1"/>
  <c r="AT50" i="14"/>
  <c r="AU50" i="14" s="1"/>
  <c r="AT12" i="14"/>
  <c r="AU12" i="14" s="1"/>
  <c r="AT26" i="14"/>
  <c r="AU26" i="14" s="1"/>
  <c r="AT40" i="14"/>
  <c r="AU40" i="14" s="1"/>
  <c r="AT24" i="14"/>
  <c r="AU24" i="14" s="1"/>
  <c r="AT41" i="14"/>
  <c r="AU41" i="14" s="1"/>
  <c r="AT55" i="14"/>
  <c r="AU55" i="14" s="1"/>
  <c r="AT17" i="14"/>
  <c r="AU17" i="14" s="1"/>
  <c r="AT25" i="14"/>
  <c r="AU25" i="14" s="1"/>
  <c r="AT21" i="14"/>
  <c r="AU21" i="14" s="1"/>
  <c r="AT20" i="14"/>
  <c r="AU20" i="14" s="1"/>
  <c r="AT42" i="14"/>
  <c r="AU42" i="14" s="1"/>
  <c r="AU53" i="13"/>
  <c r="AU22" i="13"/>
  <c r="AU9" i="13"/>
  <c r="AT38" i="13"/>
  <c r="AU38" i="13" s="1"/>
  <c r="AT29" i="13"/>
  <c r="AU29" i="13" s="1"/>
  <c r="AT37" i="13"/>
  <c r="AU37" i="13" s="1"/>
  <c r="AT56" i="13"/>
  <c r="AU56" i="13" s="1"/>
  <c r="AU14" i="13"/>
  <c r="AU39" i="13"/>
  <c r="AT20" i="13"/>
  <c r="AU20" i="13" s="1"/>
  <c r="AT63" i="13"/>
  <c r="AU63" i="13" s="1"/>
  <c r="AU28" i="13"/>
  <c r="AU62" i="13"/>
  <c r="AT49" i="13"/>
  <c r="AU49" i="13" s="1"/>
  <c r="AU18" i="13"/>
  <c r="AT30" i="13"/>
  <c r="AU30" i="13" s="1"/>
  <c r="AT21" i="13"/>
  <c r="AU21" i="13" s="1"/>
  <c r="AU52" i="13"/>
  <c r="AT51" i="13"/>
  <c r="AU51" i="13" s="1"/>
  <c r="AT42" i="13"/>
  <c r="AU42" i="13" s="1"/>
  <c r="AT12" i="13"/>
  <c r="AU12" i="13" s="1"/>
  <c r="AT34" i="13"/>
  <c r="AU34" i="13" s="1"/>
  <c r="AT55" i="13"/>
  <c r="AU55" i="13" s="1"/>
  <c r="AU54" i="13"/>
  <c r="AU23" i="13"/>
  <c r="AU32" i="13"/>
  <c r="AU40" i="13"/>
  <c r="AU50" i="13"/>
  <c r="AU27" i="13"/>
  <c r="AU44" i="13"/>
  <c r="AT31" i="13"/>
  <c r="AU31" i="13" s="1"/>
  <c r="AT35" i="13"/>
  <c r="AU35" i="13" s="1"/>
  <c r="AT47" i="13"/>
  <c r="AU47" i="13" s="1"/>
  <c r="AT65" i="13"/>
  <c r="AU65" i="13" s="1"/>
  <c r="AT13" i="13"/>
  <c r="AU13" i="13" s="1"/>
  <c r="AU15" i="13"/>
  <c r="AU48" i="13"/>
  <c r="AU25" i="13"/>
  <c r="AU33" i="13"/>
  <c r="AU41" i="13"/>
  <c r="AU19" i="13"/>
  <c r="AU36" i="13"/>
  <c r="AU59" i="13"/>
  <c r="AU46" i="13"/>
  <c r="AT17" i="13"/>
  <c r="AU17" i="13" s="1"/>
  <c r="AT24" i="13"/>
  <c r="AU24" i="13" s="1"/>
  <c r="AT16" i="13"/>
  <c r="AU16" i="13" s="1"/>
  <c r="AT26" i="13"/>
  <c r="AU26" i="13" s="1"/>
  <c r="AT43" i="13"/>
  <c r="AU43" i="13" s="1"/>
  <c r="AT11" i="13"/>
  <c r="AU11" i="13" s="1"/>
  <c r="AT63" i="10"/>
  <c r="AT40" i="10"/>
  <c r="AU40" i="10" s="1"/>
  <c r="AT17" i="10"/>
  <c r="AU17" i="10" s="1"/>
  <c r="AT9" i="10"/>
  <c r="AU9" i="10" s="1"/>
  <c r="AT19" i="10"/>
  <c r="AU19" i="10" s="1"/>
  <c r="AT61" i="10"/>
  <c r="AU61" i="10" s="1"/>
  <c r="AT31" i="10"/>
  <c r="AU31" i="10" s="1"/>
  <c r="AT59" i="10"/>
  <c r="J59" i="5" s="1"/>
  <c r="K59" i="5" s="1"/>
  <c r="AT43" i="10"/>
  <c r="AU43" i="10" s="1"/>
  <c r="AT65" i="10"/>
  <c r="AU65" i="10" s="1"/>
  <c r="AT44" i="10"/>
  <c r="AU44" i="10" s="1"/>
  <c r="AT62" i="10"/>
  <c r="AU62" i="10" s="1"/>
  <c r="AT37" i="10"/>
  <c r="AU37" i="10" s="1"/>
  <c r="AT25" i="10"/>
  <c r="AU25" i="10" s="1"/>
  <c r="AT36" i="10"/>
  <c r="AU36" i="10" s="1"/>
  <c r="AT54" i="14"/>
  <c r="AU54" i="14" s="1"/>
  <c r="AT34" i="14"/>
  <c r="AU34" i="14" s="1"/>
  <c r="AT48" i="14"/>
  <c r="AU48" i="14" s="1"/>
  <c r="AT15" i="10"/>
  <c r="AU15" i="10" s="1"/>
  <c r="AT16" i="10"/>
  <c r="AU16" i="10" s="1"/>
  <c r="AT28" i="10"/>
  <c r="AU28" i="10" s="1"/>
  <c r="AT35" i="10"/>
  <c r="AU35" i="10" s="1"/>
  <c r="AT55" i="10"/>
  <c r="AU55" i="10" s="1"/>
  <c r="AT66" i="10"/>
  <c r="AU66" i="10" s="1"/>
  <c r="AT48" i="10"/>
  <c r="AU48" i="10" s="1"/>
  <c r="AT57" i="10"/>
  <c r="AU57" i="10" s="1"/>
  <c r="I64" i="5"/>
  <c r="I60" i="5"/>
  <c r="I62" i="5"/>
  <c r="I63" i="5"/>
  <c r="O19" i="20"/>
  <c r="O13" i="20"/>
  <c r="AU60" i="10"/>
  <c r="AU8" i="14"/>
  <c r="Y19" i="20"/>
  <c r="AU8" i="13"/>
  <c r="T19" i="20"/>
  <c r="AU27" i="10"/>
  <c r="AU63" i="10"/>
  <c r="AU61" i="14"/>
  <c r="N57" i="5"/>
  <c r="O57" i="5" s="1"/>
  <c r="AU10" i="14"/>
  <c r="AU39" i="14"/>
  <c r="AU31" i="14"/>
  <c r="AU60" i="14"/>
  <c r="AU64" i="14"/>
  <c r="AU63" i="14"/>
  <c r="AU58" i="14"/>
  <c r="AU14" i="10"/>
  <c r="AU60" i="16"/>
  <c r="AU47" i="14"/>
  <c r="AU58" i="13"/>
  <c r="L58" i="5"/>
  <c r="M58" i="5" s="1"/>
  <c r="AU62" i="16"/>
  <c r="AU45" i="13"/>
  <c r="AU66" i="16"/>
  <c r="L63" i="5"/>
  <c r="M63" i="5" s="1"/>
  <c r="AU64" i="13"/>
  <c r="L64" i="5"/>
  <c r="M64" i="5" s="1"/>
  <c r="AU60" i="13"/>
  <c r="L60" i="5"/>
  <c r="M60" i="5" s="1"/>
  <c r="AU61" i="13"/>
  <c r="L61" i="5"/>
  <c r="M61" i="5" s="1"/>
  <c r="AU66" i="13"/>
  <c r="L66" i="5"/>
  <c r="M66" i="5" s="1"/>
  <c r="AU57" i="13"/>
  <c r="L57" i="5"/>
  <c r="M57" i="5" s="1"/>
  <c r="H57" i="5"/>
  <c r="H61" i="5"/>
  <c r="AU64" i="16"/>
  <c r="H59" i="5"/>
  <c r="AU63" i="16"/>
  <c r="H66" i="5"/>
  <c r="H65" i="5"/>
  <c r="H58" i="5"/>
  <c r="N62" i="5"/>
  <c r="O62" i="5" s="1"/>
  <c r="L62" i="5"/>
  <c r="M62" i="5" s="1"/>
  <c r="J60" i="5"/>
  <c r="L59" i="5"/>
  <c r="M59" i="5" s="1"/>
  <c r="L44" i="5"/>
  <c r="L14" i="5"/>
  <c r="M14" i="5" s="1"/>
  <c r="H23" i="5"/>
  <c r="H20" i="5"/>
  <c r="H38" i="5"/>
  <c r="H44" i="5"/>
  <c r="H48" i="5"/>
  <c r="H47" i="5"/>
  <c r="H50" i="5"/>
  <c r="H43" i="5"/>
  <c r="H55" i="5"/>
  <c r="H46" i="5"/>
  <c r="H45" i="5"/>
  <c r="AV25" i="16" l="1"/>
  <c r="K7" i="5"/>
  <c r="O29" i="20"/>
  <c r="Y29" i="20"/>
  <c r="J66" i="5"/>
  <c r="K66" i="5" s="1"/>
  <c r="L65" i="5"/>
  <c r="M65" i="5" s="1"/>
  <c r="L35" i="5"/>
  <c r="M35" i="5" s="1"/>
  <c r="H29" i="20"/>
  <c r="G30" i="20" s="1"/>
  <c r="J29" i="20"/>
  <c r="J57" i="5"/>
  <c r="K57" i="5" s="1"/>
  <c r="I47" i="5"/>
  <c r="I46" i="5"/>
  <c r="I55" i="5"/>
  <c r="I58" i="5"/>
  <c r="I61" i="5"/>
  <c r="I48" i="5"/>
  <c r="I43" i="5"/>
  <c r="I38" i="5"/>
  <c r="I65" i="5"/>
  <c r="I57" i="5"/>
  <c r="I45" i="5"/>
  <c r="I59" i="5"/>
  <c r="I20" i="5"/>
  <c r="I66" i="5"/>
  <c r="I44" i="5"/>
  <c r="I50" i="5"/>
  <c r="I23" i="5"/>
  <c r="AU59" i="10"/>
  <c r="AV59" i="10" s="1"/>
  <c r="AV13" i="16"/>
  <c r="AV17" i="16"/>
  <c r="AV23" i="16"/>
  <c r="AV15" i="16"/>
  <c r="AV65" i="16"/>
  <c r="AV16" i="16"/>
  <c r="AV14" i="16"/>
  <c r="N20" i="5"/>
  <c r="O20" i="5" s="1"/>
  <c r="N33" i="5"/>
  <c r="O33" i="5" s="1"/>
  <c r="N61" i="5"/>
  <c r="O61" i="5" s="1"/>
  <c r="N60" i="5"/>
  <c r="O60" i="5" s="1"/>
  <c r="AV16" i="13"/>
  <c r="J62" i="5"/>
  <c r="J58" i="5"/>
  <c r="K58" i="5" s="1"/>
  <c r="J63" i="5"/>
  <c r="J9" i="5"/>
  <c r="K9" i="5" s="1"/>
  <c r="AV61" i="16"/>
  <c r="AV32" i="16"/>
  <c r="AV52" i="16"/>
  <c r="AV27" i="16"/>
  <c r="AV59" i="16"/>
  <c r="AV54" i="16"/>
  <c r="AV51" i="16"/>
  <c r="AV8" i="16"/>
  <c r="AV11" i="16"/>
  <c r="AV40" i="16"/>
  <c r="AV44" i="16"/>
  <c r="AV55" i="16"/>
  <c r="AV46" i="16"/>
  <c r="AV45" i="16"/>
  <c r="AV36" i="16"/>
  <c r="AV56" i="16"/>
  <c r="AV53" i="16"/>
  <c r="AV63" i="16"/>
  <c r="AV47" i="16"/>
  <c r="AV38" i="16"/>
  <c r="AV37" i="16"/>
  <c r="AV28" i="16"/>
  <c r="AV24" i="16"/>
  <c r="AV39" i="16"/>
  <c r="AV30" i="16"/>
  <c r="AV29" i="16"/>
  <c r="AV12" i="16"/>
  <c r="AV18" i="16"/>
  <c r="AV64" i="16"/>
  <c r="AV31" i="16"/>
  <c r="AV22" i="16"/>
  <c r="AV21" i="16"/>
  <c r="AV48" i="16"/>
  <c r="AV10" i="16"/>
  <c r="AV9" i="16"/>
  <c r="AV58" i="16"/>
  <c r="AV57" i="16"/>
  <c r="AV43" i="16"/>
  <c r="AV50" i="16"/>
  <c r="AV49" i="16"/>
  <c r="AV35" i="16"/>
  <c r="AV42" i="16"/>
  <c r="AV41" i="16"/>
  <c r="AV60" i="16"/>
  <c r="AV34" i="16"/>
  <c r="AV33" i="16"/>
  <c r="AV62" i="16"/>
  <c r="AV20" i="16"/>
  <c r="AV19" i="16"/>
  <c r="AV26" i="16"/>
  <c r="N59" i="5"/>
  <c r="O59" i="5" s="1"/>
  <c r="N58" i="5"/>
  <c r="O58" i="5" s="1"/>
  <c r="N64" i="5"/>
  <c r="O64" i="5" s="1"/>
  <c r="N65" i="5"/>
  <c r="O65" i="5" s="1"/>
  <c r="N63" i="5"/>
  <c r="O63" i="5" s="1"/>
  <c r="N66" i="5"/>
  <c r="O66" i="5" s="1"/>
  <c r="J65" i="5"/>
  <c r="K65" i="5" s="1"/>
  <c r="AV52" i="14"/>
  <c r="AV26" i="14"/>
  <c r="AV19" i="14"/>
  <c r="AV27" i="14"/>
  <c r="AV34" i="14"/>
  <c r="AV33" i="14"/>
  <c r="AV47" i="14"/>
  <c r="AV46" i="14"/>
  <c r="AV37" i="14"/>
  <c r="AV44" i="14"/>
  <c r="AV25" i="14"/>
  <c r="AV39" i="14"/>
  <c r="AV38" i="14"/>
  <c r="AV29" i="14"/>
  <c r="AV36" i="14"/>
  <c r="AV40" i="14"/>
  <c r="AV11" i="14"/>
  <c r="AV18" i="14"/>
  <c r="AV17" i="14"/>
  <c r="AV31" i="14"/>
  <c r="AV30" i="14"/>
  <c r="AV21" i="14"/>
  <c r="AV28" i="14"/>
  <c r="AV48" i="14"/>
  <c r="AV10" i="14"/>
  <c r="AV9" i="14"/>
  <c r="AV23" i="14"/>
  <c r="AV22" i="14"/>
  <c r="AV13" i="14"/>
  <c r="AV20" i="14"/>
  <c r="AV59" i="14"/>
  <c r="AV66" i="14"/>
  <c r="AV65" i="14"/>
  <c r="AV56" i="14"/>
  <c r="AV15" i="14"/>
  <c r="AV14" i="14"/>
  <c r="AV24" i="14"/>
  <c r="AV12" i="14"/>
  <c r="AV51" i="14"/>
  <c r="AV58" i="14"/>
  <c r="AV57" i="14"/>
  <c r="AV16" i="14"/>
  <c r="AV64" i="14"/>
  <c r="AV32" i="14"/>
  <c r="AV8" i="14"/>
  <c r="AV43" i="14"/>
  <c r="AV50" i="14"/>
  <c r="AV49" i="14"/>
  <c r="AV63" i="14"/>
  <c r="AV62" i="14"/>
  <c r="AV61" i="14"/>
  <c r="AV60" i="14"/>
  <c r="AV35" i="14"/>
  <c r="AV42" i="14"/>
  <c r="AV41" i="14"/>
  <c r="AV55" i="14"/>
  <c r="AV54" i="14"/>
  <c r="AV53" i="14"/>
  <c r="AV66" i="13"/>
  <c r="AV12" i="13"/>
  <c r="AV63" i="13"/>
  <c r="AV31" i="13"/>
  <c r="AV54" i="13"/>
  <c r="AV37" i="13"/>
  <c r="AV43" i="13"/>
  <c r="AV42" i="13"/>
  <c r="AV57" i="13"/>
  <c r="AV8" i="13"/>
  <c r="AV55" i="13"/>
  <c r="AV29" i="13"/>
  <c r="AV35" i="13"/>
  <c r="AV34" i="13"/>
  <c r="AV49" i="13"/>
  <c r="AV64" i="13"/>
  <c r="AV47" i="13"/>
  <c r="AV38" i="13"/>
  <c r="AV21" i="13"/>
  <c r="AV27" i="13"/>
  <c r="AV26" i="13"/>
  <c r="AV41" i="13"/>
  <c r="AV56" i="13"/>
  <c r="AV46" i="13"/>
  <c r="AV39" i="13"/>
  <c r="AV30" i="13"/>
  <c r="AV13" i="13"/>
  <c r="AV19" i="13"/>
  <c r="AV18" i="13"/>
  <c r="AV33" i="13"/>
  <c r="AV48" i="13"/>
  <c r="AV11" i="13"/>
  <c r="AV10" i="13"/>
  <c r="AV25" i="13"/>
  <c r="AV40" i="13"/>
  <c r="AV23" i="13"/>
  <c r="AV14" i="13"/>
  <c r="AV44" i="13"/>
  <c r="AV60" i="13"/>
  <c r="AV17" i="13"/>
  <c r="AV32" i="13"/>
  <c r="AV36" i="13"/>
  <c r="AV15" i="13"/>
  <c r="AV28" i="13"/>
  <c r="AV59" i="13"/>
  <c r="AV58" i="13"/>
  <c r="AV20" i="13"/>
  <c r="AV9" i="13"/>
  <c r="AV24" i="13"/>
  <c r="AV22" i="13"/>
  <c r="AV61" i="13"/>
  <c r="AV62" i="13"/>
  <c r="AV53" i="13"/>
  <c r="AV51" i="13"/>
  <c r="AV50" i="13"/>
  <c r="AV65" i="13"/>
  <c r="AV52" i="13"/>
  <c r="AV61" i="10"/>
  <c r="AV18" i="10"/>
  <c r="AV41" i="10"/>
  <c r="AV56" i="10"/>
  <c r="AV66" i="10"/>
  <c r="AV31" i="10"/>
  <c r="AV60" i="10"/>
  <c r="AV10" i="10"/>
  <c r="AV33" i="10"/>
  <c r="AV48" i="10"/>
  <c r="AV62" i="10"/>
  <c r="AV52" i="10"/>
  <c r="AV51" i="10"/>
  <c r="AV47" i="10"/>
  <c r="AV25" i="10"/>
  <c r="AV40" i="10"/>
  <c r="AV54" i="10"/>
  <c r="AV53" i="10"/>
  <c r="AV44" i="10"/>
  <c r="AV43" i="10"/>
  <c r="AV58" i="10"/>
  <c r="AV17" i="10"/>
  <c r="AV32" i="10"/>
  <c r="AV46" i="10"/>
  <c r="AV37" i="10"/>
  <c r="AV36" i="10"/>
  <c r="AV35" i="10"/>
  <c r="AV15" i="10"/>
  <c r="AV26" i="10"/>
  <c r="AV9" i="10"/>
  <c r="AV24" i="10"/>
  <c r="AV38" i="10"/>
  <c r="AV29" i="10"/>
  <c r="AV28" i="10"/>
  <c r="AV27" i="10"/>
  <c r="AV65" i="10"/>
  <c r="AV55" i="10"/>
  <c r="AV16" i="10"/>
  <c r="AV30" i="10"/>
  <c r="AV21" i="10"/>
  <c r="AV20" i="10"/>
  <c r="AV19" i="10"/>
  <c r="AV50" i="10"/>
  <c r="AV57" i="10"/>
  <c r="AV42" i="10"/>
  <c r="AV8" i="10"/>
  <c r="AV22" i="10"/>
  <c r="AV13" i="10"/>
  <c r="AV12" i="10"/>
  <c r="AV11" i="10"/>
  <c r="AV34" i="10"/>
  <c r="AV49" i="10"/>
  <c r="AV64" i="10"/>
  <c r="AV63" i="10"/>
  <c r="AV14" i="10"/>
  <c r="AV39" i="10"/>
  <c r="AV23" i="10"/>
  <c r="AV45" i="14"/>
  <c r="AV45" i="13"/>
  <c r="AV45" i="10"/>
  <c r="AV66" i="16"/>
  <c r="J61" i="5"/>
  <c r="J64" i="5"/>
  <c r="AU7" i="14"/>
  <c r="W29" i="20" s="1"/>
  <c r="AU7" i="13"/>
  <c r="AU7" i="10"/>
  <c r="K63" i="5"/>
  <c r="K60" i="5"/>
  <c r="N35" i="5"/>
  <c r="O35" i="5" s="1"/>
  <c r="L47" i="5"/>
  <c r="M47" i="5" s="1"/>
  <c r="L8" i="5"/>
  <c r="M8" i="5" s="1"/>
  <c r="J35" i="5"/>
  <c r="K35" i="5" s="1"/>
  <c r="J38" i="5"/>
  <c r="K38" i="5" s="1"/>
  <c r="L11" i="5"/>
  <c r="M11" i="5" s="1"/>
  <c r="L9" i="5"/>
  <c r="M9" i="5" s="1"/>
  <c r="N30" i="5"/>
  <c r="O30" i="5" s="1"/>
  <c r="N22" i="5"/>
  <c r="O22" i="5" s="1"/>
  <c r="N14" i="5"/>
  <c r="O14" i="5" s="1"/>
  <c r="L20" i="5"/>
  <c r="M20" i="5" s="1"/>
  <c r="L10" i="5"/>
  <c r="M10" i="5" s="1"/>
  <c r="J15" i="5"/>
  <c r="K15" i="5" s="1"/>
  <c r="L23" i="5"/>
  <c r="M23" i="5" s="1"/>
  <c r="N17" i="5"/>
  <c r="O17" i="5" s="1"/>
  <c r="J29" i="5"/>
  <c r="K29" i="5" s="1"/>
  <c r="L19" i="5"/>
  <c r="M19" i="5" s="1"/>
  <c r="N16" i="5"/>
  <c r="O16" i="5" s="1"/>
  <c r="L21" i="5"/>
  <c r="M21" i="5" s="1"/>
  <c r="L28" i="5"/>
  <c r="M28" i="5" s="1"/>
  <c r="L24" i="5"/>
  <c r="M24" i="5" s="1"/>
  <c r="J8" i="5"/>
  <c r="K8" i="5" s="1"/>
  <c r="J13" i="5"/>
  <c r="K13" i="5" s="1"/>
  <c r="J23" i="5"/>
  <c r="K23" i="5" s="1"/>
  <c r="J32" i="5"/>
  <c r="K32" i="5" s="1"/>
  <c r="J18" i="5"/>
  <c r="K18" i="5" s="1"/>
  <c r="J11" i="5"/>
  <c r="K11" i="5" s="1"/>
  <c r="N29" i="5"/>
  <c r="O29" i="5" s="1"/>
  <c r="N36" i="5"/>
  <c r="O36" i="5" s="1"/>
  <c r="J34" i="5"/>
  <c r="K34" i="5" s="1"/>
  <c r="J14" i="5"/>
  <c r="K14" i="5" s="1"/>
  <c r="N28" i="5"/>
  <c r="O28" i="5" s="1"/>
  <c r="L32" i="5"/>
  <c r="M32" i="5" s="1"/>
  <c r="L31" i="5"/>
  <c r="M31" i="5" s="1"/>
  <c r="L34" i="5"/>
  <c r="M34" i="5" s="1"/>
  <c r="L13" i="5"/>
  <c r="M13" i="5" s="1"/>
  <c r="N9" i="5"/>
  <c r="O9" i="5" s="1"/>
  <c r="N15" i="5"/>
  <c r="O15" i="5" s="1"/>
  <c r="N32" i="5"/>
  <c r="O32" i="5" s="1"/>
  <c r="L17" i="5"/>
  <c r="M17" i="5" s="1"/>
  <c r="H11" i="5"/>
  <c r="N10" i="5"/>
  <c r="O10" i="5" s="1"/>
  <c r="H28" i="5"/>
  <c r="H21" i="5"/>
  <c r="H42" i="5"/>
  <c r="N8" i="5"/>
  <c r="O8" i="5" s="1"/>
  <c r="N13" i="5"/>
  <c r="O13" i="5" s="1"/>
  <c r="H16" i="5"/>
  <c r="H18" i="5"/>
  <c r="H34" i="5"/>
  <c r="H10" i="5"/>
  <c r="H41" i="5"/>
  <c r="H13" i="5"/>
  <c r="H32" i="5"/>
  <c r="H12" i="5"/>
  <c r="H17" i="5"/>
  <c r="H19" i="5"/>
  <c r="H24" i="5"/>
  <c r="H33" i="5"/>
  <c r="H26" i="5"/>
  <c r="H37" i="5"/>
  <c r="H22" i="5"/>
  <c r="H40" i="5"/>
  <c r="H25" i="5"/>
  <c r="H36" i="5"/>
  <c r="H29" i="5"/>
  <c r="H27" i="5"/>
  <c r="H35" i="5"/>
  <c r="H30" i="5"/>
  <c r="H14" i="5"/>
  <c r="H39" i="5"/>
  <c r="H31" i="5"/>
  <c r="H49" i="5"/>
  <c r="H52" i="5"/>
  <c r="H56" i="5"/>
  <c r="L12" i="5"/>
  <c r="M12" i="5" s="1"/>
  <c r="N45" i="5"/>
  <c r="O45" i="5" s="1"/>
  <c r="H53" i="5"/>
  <c r="H54" i="5"/>
  <c r="N49" i="5"/>
  <c r="O49" i="5" s="1"/>
  <c r="N51" i="5"/>
  <c r="O51" i="5" s="1"/>
  <c r="N27" i="5"/>
  <c r="O27" i="5" s="1"/>
  <c r="N43" i="5"/>
  <c r="O43" i="5" s="1"/>
  <c r="N56" i="5"/>
  <c r="O56" i="5" s="1"/>
  <c r="N48" i="5"/>
  <c r="O48" i="5" s="1"/>
  <c r="N34" i="5"/>
  <c r="O34" i="5" s="1"/>
  <c r="N37" i="5"/>
  <c r="O37" i="5" s="1"/>
  <c r="N44" i="5"/>
  <c r="O44" i="5" s="1"/>
  <c r="N55" i="5"/>
  <c r="O55" i="5" s="1"/>
  <c r="N52" i="5"/>
  <c r="O52" i="5" s="1"/>
  <c r="N47" i="5"/>
  <c r="O47" i="5" s="1"/>
  <c r="L54" i="5"/>
  <c r="M54" i="5" s="1"/>
  <c r="L30" i="5"/>
  <c r="M30" i="5" s="1"/>
  <c r="L39" i="5"/>
  <c r="M39" i="5" s="1"/>
  <c r="L38" i="5"/>
  <c r="M38" i="5" s="1"/>
  <c r="L52" i="5"/>
  <c r="M52" i="5" s="1"/>
  <c r="L18" i="5"/>
  <c r="M18" i="5" s="1"/>
  <c r="J25" i="5"/>
  <c r="K25" i="5" s="1"/>
  <c r="J16" i="5"/>
  <c r="K16" i="5" s="1"/>
  <c r="J21" i="5"/>
  <c r="K21" i="5" s="1"/>
  <c r="N53" i="5"/>
  <c r="O53" i="5" s="1"/>
  <c r="N41" i="5"/>
  <c r="O41" i="5" s="1"/>
  <c r="N25" i="5"/>
  <c r="O25" i="5" s="1"/>
  <c r="N26" i="5"/>
  <c r="O26" i="5" s="1"/>
  <c r="N54" i="5"/>
  <c r="O54" i="5" s="1"/>
  <c r="N50" i="5"/>
  <c r="O50" i="5" s="1"/>
  <c r="N18" i="5"/>
  <c r="O18" i="5" s="1"/>
  <c r="N39" i="5"/>
  <c r="O39" i="5" s="1"/>
  <c r="N11" i="5"/>
  <c r="O11" i="5" s="1"/>
  <c r="N24" i="5"/>
  <c r="O24" i="5" s="1"/>
  <c r="N12" i="5"/>
  <c r="O12" i="5" s="1"/>
  <c r="N40" i="5"/>
  <c r="O40" i="5" s="1"/>
  <c r="N19" i="5"/>
  <c r="O19" i="5" s="1"/>
  <c r="N31" i="5"/>
  <c r="O31" i="5" s="1"/>
  <c r="N38" i="5"/>
  <c r="O38" i="5" s="1"/>
  <c r="N21" i="5"/>
  <c r="O21" i="5" s="1"/>
  <c r="N42" i="5"/>
  <c r="O42" i="5" s="1"/>
  <c r="N46" i="5"/>
  <c r="O46" i="5" s="1"/>
  <c r="N23" i="5"/>
  <c r="O23" i="5" s="1"/>
  <c r="L43" i="5"/>
  <c r="M43" i="5" s="1"/>
  <c r="L16" i="5"/>
  <c r="M16" i="5" s="1"/>
  <c r="L27" i="5"/>
  <c r="M27" i="5" s="1"/>
  <c r="L51" i="5"/>
  <c r="M51" i="5" s="1"/>
  <c r="L40" i="5"/>
  <c r="M40" i="5" s="1"/>
  <c r="L50" i="5"/>
  <c r="M50" i="5" s="1"/>
  <c r="L55" i="5"/>
  <c r="M55" i="5" s="1"/>
  <c r="M44" i="5"/>
  <c r="L56" i="5"/>
  <c r="M56" i="5" s="1"/>
  <c r="L37" i="5"/>
  <c r="M37" i="5" s="1"/>
  <c r="L53" i="5"/>
  <c r="M53" i="5" s="1"/>
  <c r="L48" i="5"/>
  <c r="M48" i="5" s="1"/>
  <c r="L41" i="5"/>
  <c r="M41" i="5" s="1"/>
  <c r="L45" i="5"/>
  <c r="M45" i="5" s="1"/>
  <c r="L33" i="5"/>
  <c r="M33" i="5" s="1"/>
  <c r="L25" i="5"/>
  <c r="M25" i="5" s="1"/>
  <c r="L26" i="5"/>
  <c r="M26" i="5" s="1"/>
  <c r="L46" i="5"/>
  <c r="M46" i="5" s="1"/>
  <c r="L22" i="5"/>
  <c r="M22" i="5" s="1"/>
  <c r="L36" i="5"/>
  <c r="M36" i="5" s="1"/>
  <c r="L29" i="5"/>
  <c r="M29" i="5" s="1"/>
  <c r="L15" i="5"/>
  <c r="M15" i="5" s="1"/>
  <c r="L49" i="5"/>
  <c r="M49" i="5" s="1"/>
  <c r="L42" i="5"/>
  <c r="M42" i="5" s="1"/>
  <c r="J53" i="5"/>
  <c r="K53" i="5" s="1"/>
  <c r="J31" i="5"/>
  <c r="K31" i="5" s="1"/>
  <c r="J44" i="5"/>
  <c r="K44" i="5" s="1"/>
  <c r="J22" i="5"/>
  <c r="K22" i="5" s="1"/>
  <c r="J30" i="5"/>
  <c r="K30" i="5" s="1"/>
  <c r="J27" i="5"/>
  <c r="K27" i="5" s="1"/>
  <c r="J46" i="5"/>
  <c r="K46" i="5" s="1"/>
  <c r="J28" i="5"/>
  <c r="K28" i="5" s="1"/>
  <c r="J54" i="5"/>
  <c r="K54" i="5" s="1"/>
  <c r="J55" i="5"/>
  <c r="K55" i="5" s="1"/>
  <c r="J56" i="5"/>
  <c r="K56" i="5" s="1"/>
  <c r="J10" i="5"/>
  <c r="K10" i="5" s="1"/>
  <c r="J42" i="5"/>
  <c r="K42" i="5" s="1"/>
  <c r="J17" i="5"/>
  <c r="K17" i="5" s="1"/>
  <c r="J26" i="5"/>
  <c r="K26" i="5" s="1"/>
  <c r="J19" i="5"/>
  <c r="K19" i="5" s="1"/>
  <c r="J40" i="5"/>
  <c r="K40" i="5" s="1"/>
  <c r="J24" i="5"/>
  <c r="K24" i="5" s="1"/>
  <c r="J50" i="5"/>
  <c r="K50" i="5" s="1"/>
  <c r="J39" i="5"/>
  <c r="K39" i="5" s="1"/>
  <c r="J12" i="5"/>
  <c r="K12" i="5" s="1"/>
  <c r="J20" i="5"/>
  <c r="K20" i="5" s="1"/>
  <c r="J48" i="5"/>
  <c r="K48" i="5" s="1"/>
  <c r="J41" i="5"/>
  <c r="K41" i="5" s="1"/>
  <c r="J43" i="5"/>
  <c r="K43" i="5" s="1"/>
  <c r="J52" i="5"/>
  <c r="K52" i="5" s="1"/>
  <c r="J45" i="5"/>
  <c r="K45" i="5" s="1"/>
  <c r="J37" i="5"/>
  <c r="K37" i="5" s="1"/>
  <c r="J36" i="5"/>
  <c r="K36" i="5" s="1"/>
  <c r="J51" i="5"/>
  <c r="K51" i="5" s="1"/>
  <c r="J33" i="5"/>
  <c r="K33" i="5" s="1"/>
  <c r="J47" i="5"/>
  <c r="K47" i="5" s="1"/>
  <c r="J49" i="5"/>
  <c r="K49" i="5" s="1"/>
  <c r="H51" i="5"/>
  <c r="H9" i="5"/>
  <c r="H8" i="5"/>
  <c r="H15" i="5"/>
  <c r="Q55" i="5" l="1"/>
  <c r="S55" i="5" s="1"/>
  <c r="Q47" i="5"/>
  <c r="Q46" i="5"/>
  <c r="S46" i="5" s="1"/>
  <c r="Q43" i="5"/>
  <c r="S43" i="5" s="1"/>
  <c r="Q45" i="5"/>
  <c r="S45" i="5" s="1"/>
  <c r="Q50" i="5"/>
  <c r="Q48" i="5"/>
  <c r="Q44" i="5"/>
  <c r="Q23" i="5"/>
  <c r="S23" i="5" s="1"/>
  <c r="Q20" i="5"/>
  <c r="S20" i="5" s="1"/>
  <c r="Q38" i="5"/>
  <c r="S38" i="5" s="1"/>
  <c r="AV7" i="13"/>
  <c r="Q29" i="20" s="1"/>
  <c r="R29" i="20"/>
  <c r="Q30" i="20" s="1"/>
  <c r="AY8" i="10"/>
  <c r="M29" i="20"/>
  <c r="L30" i="20" s="1"/>
  <c r="R58" i="5"/>
  <c r="I14" i="5"/>
  <c r="Q14" i="5" s="1"/>
  <c r="S14" i="5" s="1"/>
  <c r="I56" i="5"/>
  <c r="Q56" i="5" s="1"/>
  <c r="S56" i="5" s="1"/>
  <c r="I30" i="5"/>
  <c r="Q30" i="5" s="1"/>
  <c r="I40" i="5"/>
  <c r="Q40" i="5" s="1"/>
  <c r="S40" i="5" s="1"/>
  <c r="I19" i="5"/>
  <c r="Q19" i="5" s="1"/>
  <c r="S19" i="5" s="1"/>
  <c r="I10" i="5"/>
  <c r="Q10" i="5" s="1"/>
  <c r="S10" i="5" s="1"/>
  <c r="I42" i="5"/>
  <c r="Q42" i="5" s="1"/>
  <c r="S42" i="5" s="1"/>
  <c r="K64" i="5"/>
  <c r="I25" i="5"/>
  <c r="Q25" i="5" s="1"/>
  <c r="I52" i="5"/>
  <c r="Q52" i="5" s="1"/>
  <c r="I35" i="5"/>
  <c r="Q35" i="5" s="1"/>
  <c r="S35" i="5" s="1"/>
  <c r="I22" i="5"/>
  <c r="Q22" i="5" s="1"/>
  <c r="I17" i="5"/>
  <c r="Q17" i="5" s="1"/>
  <c r="S17" i="5" s="1"/>
  <c r="I34" i="5"/>
  <c r="Q34" i="5" s="1"/>
  <c r="S34" i="5" s="1"/>
  <c r="I21" i="5"/>
  <c r="Q21" i="5" s="1"/>
  <c r="S21" i="5" s="1"/>
  <c r="I54" i="5"/>
  <c r="Q54" i="5" s="1"/>
  <c r="S54" i="5" s="1"/>
  <c r="I49" i="5"/>
  <c r="Q49" i="5" s="1"/>
  <c r="I27" i="5"/>
  <c r="Q27" i="5" s="1"/>
  <c r="S27" i="5" s="1"/>
  <c r="I37" i="5"/>
  <c r="Q37" i="5" s="1"/>
  <c r="S37" i="5" s="1"/>
  <c r="I12" i="5"/>
  <c r="Q12" i="5" s="1"/>
  <c r="I18" i="5"/>
  <c r="Q18" i="5" s="1"/>
  <c r="S18" i="5" s="1"/>
  <c r="I28" i="5"/>
  <c r="Q28" i="5" s="1"/>
  <c r="R63" i="5"/>
  <c r="I51" i="5"/>
  <c r="Q51" i="5" s="1"/>
  <c r="S51" i="5" s="1"/>
  <c r="I41" i="5"/>
  <c r="Q41" i="5" s="1"/>
  <c r="I8" i="5"/>
  <c r="Q8" i="5" s="1"/>
  <c r="S8" i="5" s="1"/>
  <c r="I53" i="5"/>
  <c r="Q53" i="5" s="1"/>
  <c r="I31" i="5"/>
  <c r="Q31" i="5" s="1"/>
  <c r="I29" i="5"/>
  <c r="Q29" i="5" s="1"/>
  <c r="I26" i="5"/>
  <c r="Q26" i="5" s="1"/>
  <c r="I32" i="5"/>
  <c r="Q32" i="5" s="1"/>
  <c r="S32" i="5" s="1"/>
  <c r="I16" i="5"/>
  <c r="Q16" i="5" s="1"/>
  <c r="I24" i="5"/>
  <c r="Q24" i="5" s="1"/>
  <c r="S24" i="5" s="1"/>
  <c r="I15" i="5"/>
  <c r="Q15" i="5" s="1"/>
  <c r="I9" i="5"/>
  <c r="Q9" i="5" s="1"/>
  <c r="S9" i="5" s="1"/>
  <c r="I39" i="5"/>
  <c r="Q39" i="5" s="1"/>
  <c r="S39" i="5" s="1"/>
  <c r="I36" i="5"/>
  <c r="Q36" i="5" s="1"/>
  <c r="I33" i="5"/>
  <c r="Q33" i="5" s="1"/>
  <c r="S33" i="5" s="1"/>
  <c r="I13" i="5"/>
  <c r="Q13" i="5" s="1"/>
  <c r="I11" i="5"/>
  <c r="Q11" i="5" s="1"/>
  <c r="K62" i="5"/>
  <c r="AY14" i="16"/>
  <c r="AV7" i="14"/>
  <c r="AY5" i="16"/>
  <c r="AY13" i="16"/>
  <c r="AY8" i="16"/>
  <c r="AY10" i="16"/>
  <c r="AY6" i="16"/>
  <c r="AY9" i="16"/>
  <c r="AY16" i="16"/>
  <c r="AY12" i="16"/>
  <c r="AY15" i="16"/>
  <c r="AY11" i="16"/>
  <c r="AY7" i="16"/>
  <c r="V30" i="20"/>
  <c r="K61" i="5"/>
  <c r="AY10" i="14"/>
  <c r="AY13" i="14"/>
  <c r="AY12" i="14"/>
  <c r="AY15" i="14"/>
  <c r="AY11" i="14"/>
  <c r="AY7" i="14"/>
  <c r="AY5" i="14"/>
  <c r="AY14" i="14"/>
  <c r="AY9" i="14"/>
  <c r="AY6" i="14"/>
  <c r="AY16" i="14"/>
  <c r="AY8" i="14"/>
  <c r="AY10" i="13"/>
  <c r="AY15" i="13"/>
  <c r="AY7" i="13"/>
  <c r="AY6" i="13"/>
  <c r="AY5" i="13"/>
  <c r="AY13" i="13"/>
  <c r="AY9" i="13"/>
  <c r="AY14" i="13"/>
  <c r="AY16" i="13"/>
  <c r="AY12" i="13"/>
  <c r="AY8" i="13"/>
  <c r="AY11" i="13"/>
  <c r="AY15" i="10"/>
  <c r="AY7" i="10"/>
  <c r="AY12" i="10"/>
  <c r="AY14" i="10"/>
  <c r="AY11" i="10"/>
  <c r="AY6" i="10"/>
  <c r="AY10" i="10"/>
  <c r="AY5" i="10"/>
  <c r="AY16" i="10"/>
  <c r="AY9" i="10"/>
  <c r="AV7" i="10"/>
  <c r="L29" i="20" s="1"/>
  <c r="AY13" i="10"/>
  <c r="S47" i="5" l="1"/>
  <c r="S52" i="5"/>
  <c r="S26" i="5"/>
  <c r="S50" i="5"/>
  <c r="S16" i="5"/>
  <c r="S11" i="5"/>
  <c r="S49" i="5"/>
  <c r="S41" i="5"/>
  <c r="S30" i="5"/>
  <c r="S44" i="5"/>
  <c r="S53" i="5"/>
  <c r="S13" i="5"/>
  <c r="S48" i="5"/>
  <c r="S25" i="5"/>
  <c r="S36" i="5"/>
  <c r="S12" i="5"/>
  <c r="S28" i="5"/>
  <c r="S15" i="5"/>
  <c r="S29" i="5"/>
  <c r="S22" i="5"/>
  <c r="S31" i="5"/>
  <c r="G29" i="20"/>
  <c r="V29" i="20"/>
  <c r="R59" i="5"/>
  <c r="R65" i="5"/>
  <c r="R66" i="5"/>
  <c r="R64" i="5"/>
  <c r="R57" i="5"/>
  <c r="R60" i="5"/>
  <c r="R62" i="5"/>
  <c r="R36" i="5"/>
  <c r="R14" i="5"/>
  <c r="R47" i="5"/>
  <c r="R43" i="5"/>
  <c r="R48" i="5"/>
  <c r="R52" i="5"/>
  <c r="R56" i="5"/>
  <c r="R46" i="5"/>
  <c r="R50" i="5"/>
  <c r="R55" i="5"/>
  <c r="R49" i="5"/>
  <c r="R45" i="5"/>
  <c r="AY17" i="13"/>
  <c r="AY17" i="10"/>
  <c r="AY17" i="14"/>
  <c r="R61" i="5" l="1"/>
  <c r="R15" i="5"/>
  <c r="R42" i="5"/>
  <c r="R38" i="5"/>
  <c r="R35" i="5"/>
  <c r="R34" i="5"/>
  <c r="R33" i="5"/>
  <c r="R32" i="5"/>
  <c r="R31" i="5"/>
  <c r="R30" i="5"/>
  <c r="R26" i="5"/>
  <c r="R28" i="5"/>
  <c r="R27" i="5"/>
  <c r="R29" i="5"/>
  <c r="R24" i="5"/>
  <c r="R23" i="5"/>
  <c r="R22" i="5"/>
  <c r="R25" i="5"/>
  <c r="R20" i="5"/>
  <c r="R21" i="5"/>
  <c r="R19" i="5"/>
  <c r="R18" i="5"/>
  <c r="R17" i="5"/>
  <c r="R13" i="5"/>
  <c r="R12" i="5"/>
  <c r="R11" i="5"/>
  <c r="R10" i="5"/>
  <c r="R9" i="5"/>
  <c r="R8" i="5"/>
  <c r="R16" i="5"/>
  <c r="R37" i="5"/>
  <c r="R54" i="5"/>
  <c r="R41" i="5"/>
  <c r="R44" i="5"/>
  <c r="R53" i="5"/>
  <c r="R39" i="5"/>
  <c r="R40" i="5"/>
  <c r="R51" i="5"/>
  <c r="H7" i="5" l="1"/>
  <c r="I7" i="5" l="1"/>
  <c r="Q7" i="5" s="1"/>
  <c r="S7" i="5" l="1"/>
  <c r="C10" i="20"/>
  <c r="AY17" i="16"/>
  <c r="D38" i="5" l="1"/>
  <c r="D35" i="5"/>
  <c r="D34" i="5"/>
  <c r="D19" i="5"/>
  <c r="D25" i="5"/>
  <c r="D60" i="5"/>
  <c r="D52" i="5"/>
  <c r="D44" i="5"/>
  <c r="D22" i="5"/>
  <c r="D11" i="5"/>
  <c r="D30" i="5"/>
  <c r="D32" i="5"/>
  <c r="D43" i="5"/>
  <c r="D42" i="5"/>
  <c r="D41" i="5"/>
  <c r="D26" i="5"/>
  <c r="D39" i="5"/>
  <c r="D7" i="5"/>
  <c r="D59" i="5"/>
  <c r="D51" i="5"/>
  <c r="D15" i="5"/>
  <c r="D17" i="5"/>
  <c r="D21" i="5"/>
  <c r="D47" i="5"/>
  <c r="D50" i="5"/>
  <c r="D49" i="5"/>
  <c r="D37" i="5"/>
  <c r="D33" i="5"/>
  <c r="D8" i="5"/>
  <c r="D40" i="5"/>
  <c r="D66" i="5"/>
  <c r="D58" i="5"/>
  <c r="D31" i="5"/>
  <c r="D9" i="5"/>
  <c r="D63" i="5"/>
  <c r="D57" i="5"/>
  <c r="D23" i="5"/>
  <c r="D64" i="5"/>
  <c r="D36" i="5"/>
  <c r="D24" i="5"/>
  <c r="D10" i="5"/>
  <c r="D48" i="5"/>
  <c r="D65" i="5"/>
  <c r="D16" i="5"/>
  <c r="D14" i="5"/>
  <c r="D55" i="5"/>
  <c r="D29" i="5"/>
  <c r="D20" i="5"/>
  <c r="D13" i="5"/>
  <c r="D56" i="5"/>
  <c r="D62" i="5"/>
  <c r="D54" i="5"/>
  <c r="D46" i="5"/>
  <c r="D28" i="5"/>
  <c r="D27" i="5"/>
  <c r="D12" i="5"/>
  <c r="D18" i="5"/>
  <c r="D61" i="5"/>
  <c r="D53" i="5"/>
  <c r="D45" i="5"/>
  <c r="R7" i="5"/>
  <c r="D10" i="20" s="1"/>
  <c r="E10" i="20" l="1"/>
  <c r="C3" i="23" a="1"/>
  <c r="B3" i="23" s="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<sst xmlns="http://schemas.openxmlformats.org/spreadsheetml/2006/main" count="502" uniqueCount="205">
  <si>
    <t>P60 Class Record Instructions</t>
  </si>
  <si>
    <t>Settings Tab</t>
  </si>
  <si>
    <r>
      <t xml:space="preserve">1. </t>
    </r>
    <r>
      <rPr>
        <sz val="11"/>
        <rFont val="Calibri"/>
        <family val="2"/>
        <scheme val="minor"/>
      </rPr>
      <t>Kindly input your class details as indicated in the row fields. A sample is shown below.</t>
    </r>
  </si>
  <si>
    <r>
      <t xml:space="preserve">2. </t>
    </r>
    <r>
      <rPr>
        <sz val="11"/>
        <rFont val="Calibri"/>
        <family val="2"/>
        <scheme val="minor"/>
      </rPr>
      <t>Grading components, such as major examinations and quizzes, are listed in each row along with their corresponding codes. Please enter the appropriate percentage for each component based on your course syllabus. Also, include the date in its designated column and indicate the highest possible score in the # of POINTS column. These details will reflect in the Input tab. A sample is shown below.</t>
    </r>
  </si>
  <si>
    <t>Input Tab</t>
  </si>
  <si>
    <r>
      <t xml:space="preserve">1. </t>
    </r>
    <r>
      <rPr>
        <sz val="11"/>
        <rFont val="Calibri"/>
        <family val="2"/>
        <scheme val="minor"/>
      </rPr>
      <t>Once the percentages and highest possible scores have been entered in the Settings tab, you may proceed to encode the grades in the Input tab. The information previously entered should now appear in the Input tab, as shown below.</t>
    </r>
  </si>
  <si>
    <r>
      <t xml:space="preserve">2. </t>
    </r>
    <r>
      <rPr>
        <sz val="11"/>
        <rFont val="Calibri"/>
        <family val="2"/>
        <scheme val="minor"/>
      </rPr>
      <t>Enter the student number and name in their respective columns. Once completed, begin entering the students’ actual scores in the appropriate columns. The table should appear as shown.</t>
    </r>
  </si>
  <si>
    <r>
      <t xml:space="preserve">3. </t>
    </r>
    <r>
      <rPr>
        <sz val="11"/>
        <rFont val="Calibri"/>
        <family val="2"/>
        <scheme val="minor"/>
      </rPr>
      <t>If the encoded score exceeds the highest possible score, the entry will be highlighted in red, as shown in the image below. Please correct the score to avoid errors in the computation at the end of each component. Once corrected, the grades will be computed as intended.</t>
    </r>
  </si>
  <si>
    <t>Summary Tab</t>
  </si>
  <si>
    <r>
      <t xml:space="preserve">1. </t>
    </r>
    <r>
      <rPr>
        <sz val="11"/>
        <rFont val="Calibri"/>
        <family val="2"/>
        <scheme val="minor"/>
      </rPr>
      <t>The Summary tab displays the computed grade for each grading period: Prelims, Midterms, Pre-Finals, and Finals.</t>
    </r>
  </si>
  <si>
    <r>
      <t>2.</t>
    </r>
    <r>
      <rPr>
        <sz val="11"/>
        <rFont val="Calibri"/>
        <family val="2"/>
        <scheme val="minor"/>
      </rPr>
      <t xml:space="preserve"> At the end of each period, you are required to enter the percentage equivalent obtained by each student. Refer to the image below.</t>
    </r>
  </si>
  <si>
    <t>Attendance Tab</t>
  </si>
  <si>
    <r>
      <rPr>
        <b/>
        <sz val="11"/>
        <rFont val="Calibri"/>
        <family val="2"/>
        <scheme val="minor"/>
      </rPr>
      <t>1.</t>
    </r>
    <r>
      <rPr>
        <sz val="11"/>
        <rFont val="Calibri"/>
        <family val="2"/>
        <scheme val="minor"/>
      </rPr>
      <t xml:space="preserve"> Attendance can be found under the Prelims, Midterm, Pre-Finals, and Finals tabs. Dropdown menus are provided in the selected cells below to help you select the appropriate month, date, and day.</t>
    </r>
  </si>
  <si>
    <r>
      <rPr>
        <b/>
        <sz val="11"/>
        <rFont val="Calibri"/>
        <family val="2"/>
        <scheme val="minor"/>
      </rPr>
      <t>2.</t>
    </r>
    <r>
      <rPr>
        <sz val="11"/>
        <rFont val="Calibri"/>
        <family val="2"/>
        <scheme val="minor"/>
      </rPr>
      <t xml:space="preserve"> The attendance tagging is defined as follows:</t>
    </r>
  </si>
  <si>
    <t>Tagging</t>
  </si>
  <si>
    <t>Attendance Status</t>
  </si>
  <si>
    <t>P</t>
  </si>
  <si>
    <t>Present</t>
  </si>
  <si>
    <t>A</t>
  </si>
  <si>
    <t>Absent</t>
  </si>
  <si>
    <t>L</t>
  </si>
  <si>
    <t>Late</t>
  </si>
  <si>
    <t>E</t>
  </si>
  <si>
    <t>Excused</t>
  </si>
  <si>
    <t>D</t>
  </si>
  <si>
    <t>Dropped</t>
  </si>
  <si>
    <r>
      <rPr>
        <b/>
        <sz val="11"/>
        <rFont val="Calibri"/>
        <family val="2"/>
        <scheme val="minor"/>
      </rPr>
      <t>3.</t>
    </r>
    <r>
      <rPr>
        <sz val="11"/>
        <rFont val="Calibri"/>
        <family val="2"/>
        <scheme val="minor"/>
      </rPr>
      <t xml:space="preserve"> In the event that a student drops out of class, kindly indicate </t>
    </r>
    <r>
      <rPr>
        <b/>
        <sz val="11"/>
        <rFont val="Calibri"/>
        <family val="2"/>
        <scheme val="minor"/>
      </rPr>
      <t>‘D’</t>
    </r>
    <r>
      <rPr>
        <sz val="11"/>
        <rFont val="Calibri"/>
        <family val="2"/>
        <scheme val="minor"/>
      </rPr>
      <t xml:space="preserve"> in the status column. Please note that </t>
    </r>
    <r>
      <rPr>
        <b/>
        <sz val="11"/>
        <rFont val="Calibri"/>
        <family val="2"/>
        <scheme val="minor"/>
      </rPr>
      <t>only students officially confirmed as dropped by the school registrar</t>
    </r>
    <r>
      <rPr>
        <sz val="11"/>
        <rFont val="Calibri"/>
        <family val="2"/>
        <scheme val="minor"/>
      </rPr>
      <t xml:space="preserve"> may be tagged with this status.</t>
    </r>
  </si>
  <si>
    <t>Student Grade Information Tab</t>
  </si>
  <si>
    <r>
      <rPr>
        <b/>
        <sz val="11"/>
        <rFont val="Calibri"/>
        <family val="2"/>
        <scheme val="minor"/>
      </rPr>
      <t>1.</t>
    </r>
    <r>
      <rPr>
        <sz val="11"/>
        <rFont val="Calibri"/>
        <family val="2"/>
        <scheme val="minor"/>
      </rPr>
      <t xml:space="preserve"> To assist teachers during grade consultations, the Student Grade Information (SGI) tab is available. It displays the student's performance from Prelims to Finals, including the final subject grade and attendance record.</t>
    </r>
  </si>
  <si>
    <r>
      <rPr>
        <b/>
        <sz val="11"/>
        <rFont val="Calibri"/>
        <family val="2"/>
        <scheme val="minor"/>
      </rPr>
      <t>2.</t>
    </r>
    <r>
      <rPr>
        <sz val="11"/>
        <rFont val="Calibri"/>
        <family val="2"/>
        <scheme val="minor"/>
      </rPr>
      <t xml:space="preserve"> Select the student’s name from the dropdown menu to view their grades.</t>
    </r>
  </si>
  <si>
    <t>List of Failed Students Tab</t>
  </si>
  <si>
    <r>
      <rPr>
        <b/>
        <sz val="11"/>
        <rFont val="Calibri"/>
        <family val="2"/>
        <scheme val="minor"/>
      </rPr>
      <t>1.</t>
    </r>
    <r>
      <rPr>
        <sz val="11"/>
        <rFont val="Calibri"/>
        <family val="2"/>
        <scheme val="minor"/>
      </rPr>
      <t xml:space="preserve"> At the end of each term, the List of Failed Students (LFS) tab is available to show students who have failed a subject. The list automatically provides student information, including the final grade received, for easier tracking.</t>
    </r>
  </si>
  <si>
    <r>
      <rPr>
        <b/>
        <sz val="11"/>
        <rFont val="Calibri"/>
        <family val="2"/>
        <scheme val="minor"/>
      </rPr>
      <t>2.</t>
    </r>
    <r>
      <rPr>
        <sz val="11"/>
        <rFont val="Calibri"/>
        <family val="2"/>
        <scheme val="minor"/>
      </rPr>
      <t xml:space="preserve"> Teachers may indicate the reason for failing the subject in Column F and the corresponding intervention in Column G for each student. Please ensure that grades are finalized before encoding any data in these columns to avoid changes to the student list.</t>
    </r>
  </si>
  <si>
    <r>
      <t xml:space="preserve">STI
</t>
    </r>
    <r>
      <rPr>
        <b/>
        <sz val="9"/>
        <color theme="0"/>
        <rFont val="Calibri"/>
        <family val="2"/>
        <scheme val="minor"/>
      </rPr>
      <t>Class Record</t>
    </r>
    <r>
      <rPr>
        <b/>
        <sz val="8"/>
        <color theme="0"/>
        <rFont val="Calibri"/>
        <family val="2"/>
        <scheme val="minor"/>
      </rPr>
      <t xml:space="preserve">
</t>
    </r>
    <r>
      <rPr>
        <b/>
        <sz val="16"/>
        <color theme="0"/>
        <rFont val="Calibri"/>
        <family val="2"/>
        <scheme val="minor"/>
      </rPr>
      <t>P60</t>
    </r>
    <r>
      <rPr>
        <b/>
        <sz val="14"/>
        <color theme="0"/>
        <rFont val="Calibri"/>
        <family val="2"/>
        <scheme val="minor"/>
      </rPr>
      <t xml:space="preserve">
</t>
    </r>
    <r>
      <rPr>
        <b/>
        <sz val="8"/>
        <color theme="0"/>
        <rFont val="Calibri"/>
        <family val="2"/>
        <scheme val="minor"/>
      </rPr>
      <t>v3.0</t>
    </r>
  </si>
  <si>
    <t>Branch</t>
  </si>
  <si>
    <t>Class No.</t>
  </si>
  <si>
    <t>Dept</t>
  </si>
  <si>
    <t>Code</t>
  </si>
  <si>
    <t>SY</t>
  </si>
  <si>
    <t>Section</t>
  </si>
  <si>
    <t>Sem</t>
  </si>
  <si>
    <t xml:space="preserve">Room </t>
  </si>
  <si>
    <t>Instructor</t>
  </si>
  <si>
    <t>Day</t>
  </si>
  <si>
    <t>Subject</t>
  </si>
  <si>
    <t>Time</t>
  </si>
  <si>
    <t>PRELIMS</t>
  </si>
  <si>
    <t>MIDTERM</t>
  </si>
  <si>
    <t>PRE-FINALS</t>
  </si>
  <si>
    <t>FINALS</t>
  </si>
  <si>
    <t>%</t>
  </si>
  <si>
    <t>DATE</t>
  </si>
  <si>
    <t># of POINTS</t>
  </si>
  <si>
    <t>CLASS PARTICIPATION</t>
  </si>
  <si>
    <t>Seatwork 1</t>
  </si>
  <si>
    <t>SW1</t>
  </si>
  <si>
    <t>Seatwork 2</t>
  </si>
  <si>
    <t>SW2</t>
  </si>
  <si>
    <t>Seatwork 3</t>
  </si>
  <si>
    <t>SW3</t>
  </si>
  <si>
    <t>Seatwork 4</t>
  </si>
  <si>
    <t>SW4</t>
  </si>
  <si>
    <t>Seatwork 5</t>
  </si>
  <si>
    <t>SW5</t>
  </si>
  <si>
    <t>Homework 1</t>
  </si>
  <si>
    <t>HW1</t>
  </si>
  <si>
    <t>Homework 2</t>
  </si>
  <si>
    <t>HW2</t>
  </si>
  <si>
    <t>Homework 3</t>
  </si>
  <si>
    <t>HW3</t>
  </si>
  <si>
    <t>Homework 4</t>
  </si>
  <si>
    <t>HW4</t>
  </si>
  <si>
    <t>Homework 5</t>
  </si>
  <si>
    <t>HW5</t>
  </si>
  <si>
    <t>Recitation 1</t>
  </si>
  <si>
    <t>RC1</t>
  </si>
  <si>
    <t>Recitation 2</t>
  </si>
  <si>
    <t>RC2</t>
  </si>
  <si>
    <t>Recitation 3</t>
  </si>
  <si>
    <t>RC3</t>
  </si>
  <si>
    <t>PERFORMANCE TASKS</t>
  </si>
  <si>
    <t>Performance Task/Lab 1</t>
  </si>
  <si>
    <t>PTL1</t>
  </si>
  <si>
    <t>Performance Task/Lab 2</t>
  </si>
  <si>
    <t>PTL2</t>
  </si>
  <si>
    <t>Performance Task/Lab 3</t>
  </si>
  <si>
    <t>PTL3</t>
  </si>
  <si>
    <t>Performance Task/Lab 4</t>
  </si>
  <si>
    <t>PTL4</t>
  </si>
  <si>
    <t>QUIZZES</t>
  </si>
  <si>
    <t>Quiz 1</t>
  </si>
  <si>
    <t>Q1</t>
  </si>
  <si>
    <t>Quiz 2</t>
  </si>
  <si>
    <t>Q2</t>
  </si>
  <si>
    <t>Quiz 3</t>
  </si>
  <si>
    <t>Q3</t>
  </si>
  <si>
    <t>Quiz 4</t>
  </si>
  <si>
    <t>Q4</t>
  </si>
  <si>
    <t>MAJOR EXAMINATION</t>
  </si>
  <si>
    <t>Exam</t>
  </si>
  <si>
    <t>EX</t>
  </si>
  <si>
    <t>PT/LAB EXERCISES</t>
  </si>
  <si>
    <t>EXAM</t>
  </si>
  <si>
    <t>A highlighted cell, as shown in the figure on the left, indicates that the score has exceeded the limit.</t>
  </si>
  <si>
    <t>TTL</t>
  </si>
  <si>
    <t>EQV</t>
  </si>
  <si>
    <t>Student No.</t>
  </si>
  <si>
    <t>Student Name</t>
  </si>
  <si>
    <t>Dela Cruz, Juan</t>
  </si>
  <si>
    <t>PT/LAB</t>
  </si>
  <si>
    <t>GRADE</t>
  </si>
  <si>
    <t>EQUIVALENT</t>
  </si>
  <si>
    <t>RANK</t>
  </si>
  <si>
    <t>SUMMARY</t>
  </si>
  <si>
    <t>STATUS</t>
  </si>
  <si>
    <t>COUNT</t>
  </si>
  <si>
    <t>DRP</t>
  </si>
  <si>
    <t>INC</t>
  </si>
  <si>
    <t>TOTAL</t>
  </si>
  <si>
    <t>FINAL GRADE</t>
  </si>
  <si>
    <t>REMARKS</t>
  </si>
  <si>
    <t>STUDENT GRADE INFORMATION</t>
  </si>
  <si>
    <t>Student Name:</t>
  </si>
  <si>
    <t>Subject:</t>
  </si>
  <si>
    <t>Student ID:</t>
  </si>
  <si>
    <t>Section:</t>
  </si>
  <si>
    <t>Course Code:</t>
  </si>
  <si>
    <t>Room:</t>
  </si>
  <si>
    <t>Day:</t>
  </si>
  <si>
    <t>Time:</t>
  </si>
  <si>
    <t>Date</t>
  </si>
  <si>
    <t>No. of
Items</t>
  </si>
  <si>
    <t>Raw
Score</t>
  </si>
  <si>
    <t>PERFORMANCE TASK</t>
  </si>
  <si>
    <t>Performance Task / Lab 1</t>
  </si>
  <si>
    <t>Performance Task / Lab 2</t>
  </si>
  <si>
    <t>Performance Task / Lab 3</t>
  </si>
  <si>
    <t>Performance Task / Lab 4</t>
  </si>
  <si>
    <t>Total</t>
  </si>
  <si>
    <t>MAJOR EXAMS</t>
  </si>
  <si>
    <t>Examinations</t>
  </si>
  <si>
    <t>ATTENDANCE RECORD</t>
  </si>
  <si>
    <t>PRESENT</t>
  </si>
  <si>
    <t>ABSENT</t>
  </si>
  <si>
    <t>LATE</t>
  </si>
  <si>
    <t>EXCUSED</t>
  </si>
  <si>
    <t>Count</t>
  </si>
  <si>
    <t>Grade</t>
  </si>
  <si>
    <t>Convert</t>
  </si>
  <si>
    <t>-</t>
  </si>
  <si>
    <t>Drp</t>
  </si>
  <si>
    <t>Error</t>
  </si>
  <si>
    <t>LIST OF FAILED STUDENTS</t>
  </si>
  <si>
    <t xml:space="preserve">Final Grade </t>
  </si>
  <si>
    <t>Reason/s for failing the subject</t>
  </si>
  <si>
    <t>Intervention</t>
  </si>
  <si>
    <t>STI COLLEGE NAGA</t>
  </si>
  <si>
    <t>GENERAL EDUCATION</t>
  </si>
  <si>
    <t>2026-2027</t>
  </si>
  <si>
    <t xml:space="preserve">1ST </t>
  </si>
  <si>
    <t>PHILIP JOHN S. TRIÑANES</t>
  </si>
  <si>
    <t>BSHM-1B</t>
  </si>
  <si>
    <t>02000503790</t>
  </si>
  <si>
    <t>BARICAS, CASSANDRA ALAB</t>
  </si>
  <si>
    <t>02000512377</t>
  </si>
  <si>
    <t>BETITA, RUSSEL ANGELO ROJO</t>
  </si>
  <si>
    <t>02000509818</t>
  </si>
  <si>
    <t>DELA CRUZ, ANGEL CANDELARIA</t>
  </si>
  <si>
    <t>02000367567</t>
  </si>
  <si>
    <t>DELMIGUEZ, DANIELLA CORTEZ</t>
  </si>
  <si>
    <t>02000490904</t>
  </si>
  <si>
    <t>GONZAGA, SANDY</t>
  </si>
  <si>
    <t>02000433161</t>
  </si>
  <si>
    <t>MAGADIA, LOURD GAVIN BUEZA</t>
  </si>
  <si>
    <t>02000511375</t>
  </si>
  <si>
    <t>MANZANO, JHON KENNETH</t>
  </si>
  <si>
    <t>02000511957</t>
  </si>
  <si>
    <t>OLAYRES, PRINCESS ENOLVA</t>
  </si>
  <si>
    <t>02000512988</t>
  </si>
  <si>
    <t>OSEA, SANTINO JOSHUA NUYDA</t>
  </si>
  <si>
    <t>02000509944</t>
  </si>
  <si>
    <t>RAMOS, RAFAH MORAL</t>
  </si>
  <si>
    <t>02000492694</t>
  </si>
  <si>
    <t>RAYNES, RAISSEN ISAIAH NOCITO</t>
  </si>
  <si>
    <t>02000512583</t>
  </si>
  <si>
    <t>SANCHEZ, CASEY FIONA NOCUS</t>
  </si>
  <si>
    <t>02000511216</t>
  </si>
  <si>
    <t>TENORIO, JENINA ROSE TIBATIB</t>
  </si>
  <si>
    <t>02000402782</t>
  </si>
  <si>
    <t>TUAZON, PHOEBE RONTAS</t>
  </si>
  <si>
    <t>02000301305</t>
  </si>
  <si>
    <t>UMALI, RINZO CAMU</t>
  </si>
  <si>
    <t>MATH IN THE MODERN WORLD</t>
  </si>
  <si>
    <t>GEDC1005</t>
  </si>
  <si>
    <t>RM307</t>
  </si>
  <si>
    <t>TF</t>
  </si>
  <si>
    <t>1:00 PM - 2:30 PM</t>
  </si>
  <si>
    <t>02000510067</t>
  </si>
  <si>
    <t>SANOY, KARL ASHER MEDINA</t>
  </si>
  <si>
    <t>02000511382</t>
  </si>
  <si>
    <t>TUMACAG, JOHN RAVE VALERA</t>
  </si>
  <si>
    <t>September</t>
  </si>
  <si>
    <t>T</t>
  </si>
  <si>
    <t>F</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</si>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</sst>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mm/dd/yy;@"/>
    <numFmt numFmtId="166" formatCode="mm/dd;@"/>
    <numFmt numFmtId="167" formatCode="mm/dd"/>
    <numFmt numFmtId="168" formatCode="[$-3409]dd\-mmm\-yy;@"/>
    <numFmt numFmtId="169" formatCode="[$-409]d\-mmm\-yy;@"/>
  </numFmts>
  <fonts count="54" x14ac:knownFonts="1">
    <font>
      <sz val="10"/>
      <name val="Arial"/>
    </font>
    <font>
      <sz val="11"/>
      <color theme="1"/>
      <name val="Calibri"/>
      <family val="2"/>
      <scheme val="minor"/>
    </font>
    <font>
      <sz val="10"/>
      <name val="Arial"/>
      <family val="2"/>
    </font>
    <font>
      <sz val="8"/>
      <name val="Arial"/>
      <family val="2"/>
    </font>
    <font>
      <sz val="8"/>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Calibri"/>
      <family val="2"/>
      <scheme val="minor"/>
    </font>
    <font>
      <sz val="10"/>
      <name val="Arial"/>
      <family val="2"/>
    </font>
    <font>
      <sz val="10"/>
      <name val="Arial"/>
      <family val="2"/>
      <charset val="1"/>
    </font>
    <font>
      <sz val="10"/>
      <name val="Calibri"/>
      <family val="2"/>
      <scheme val="minor"/>
    </font>
    <font>
      <sz val="9"/>
      <name val="Calibri"/>
      <family val="2"/>
      <scheme val="minor"/>
    </font>
    <font>
      <b/>
      <sz val="14"/>
      <name val="Calibri"/>
      <family val="2"/>
      <scheme val="minor"/>
    </font>
    <font>
      <b/>
      <sz val="11"/>
      <name val="Calibri"/>
      <family val="2"/>
      <scheme val="minor"/>
    </font>
    <font>
      <sz val="12"/>
      <name val="Calibri"/>
      <family val="2"/>
      <scheme val="minor"/>
    </font>
    <font>
      <b/>
      <sz val="10"/>
      <name val="Calibri"/>
      <family val="2"/>
      <scheme val="minor"/>
    </font>
    <font>
      <b/>
      <sz val="12"/>
      <name val="Calibri"/>
      <family val="2"/>
      <scheme val="minor"/>
    </font>
    <font>
      <b/>
      <sz val="9"/>
      <name val="Calibri"/>
      <family val="2"/>
      <scheme val="minor"/>
    </font>
    <font>
      <b/>
      <sz val="16"/>
      <name val="Calibri"/>
      <family val="2"/>
      <scheme val="minor"/>
    </font>
    <font>
      <b/>
      <sz val="14"/>
      <color theme="0"/>
      <name val="Calibri"/>
      <family val="2"/>
      <scheme val="minor"/>
    </font>
    <font>
      <b/>
      <i/>
      <sz val="10"/>
      <name val="Calibri"/>
      <family val="2"/>
      <scheme val="minor"/>
    </font>
    <font>
      <b/>
      <sz val="8"/>
      <name val="Calibri"/>
      <family val="2"/>
      <scheme val="minor"/>
    </font>
    <font>
      <sz val="14"/>
      <name val="Calibri"/>
      <family val="2"/>
      <scheme val="minor"/>
    </font>
    <font>
      <b/>
      <sz val="12"/>
      <color theme="0"/>
      <name val="Calibri"/>
      <family val="2"/>
      <scheme val="minor"/>
    </font>
    <font>
      <b/>
      <sz val="16"/>
      <color theme="0"/>
      <name val="Calibri"/>
      <family val="2"/>
      <scheme val="minor"/>
    </font>
    <font>
      <sz val="11"/>
      <name val="Calibri"/>
      <family val="2"/>
      <scheme val="minor"/>
    </font>
    <font>
      <sz val="8"/>
      <name val="Calibri"/>
      <family val="2"/>
      <scheme val="minor"/>
    </font>
    <font>
      <sz val="10"/>
      <color indexed="8"/>
      <name val="Calibri"/>
      <family val="2"/>
      <scheme val="minor"/>
    </font>
    <font>
      <sz val="8"/>
      <color indexed="8"/>
      <name val="Calibri"/>
      <family val="2"/>
      <scheme val="minor"/>
    </font>
    <font>
      <b/>
      <sz val="11"/>
      <color theme="1"/>
      <name val="Calibri"/>
      <family val="2"/>
      <scheme val="minor"/>
    </font>
    <font>
      <b/>
      <sz val="28"/>
      <color theme="0"/>
      <name val="Calibri"/>
      <family val="2"/>
      <scheme val="minor"/>
    </font>
    <font>
      <b/>
      <sz val="8"/>
      <color theme="0"/>
      <name val="Calibri"/>
      <family val="2"/>
      <scheme val="minor"/>
    </font>
    <font>
      <i/>
      <sz val="9"/>
      <name val="Calibri"/>
      <family val="2"/>
      <scheme val="minor"/>
    </font>
    <font>
      <sz val="11"/>
      <color indexed="8"/>
      <name val="Calibri"/>
      <family val="2"/>
      <scheme val="minor"/>
    </font>
    <font>
      <b/>
      <sz val="20"/>
      <name val="Calibri"/>
      <family val="2"/>
      <scheme val="minor"/>
    </font>
    <font>
      <b/>
      <sz val="11"/>
      <color theme="0"/>
      <name val="Calibri"/>
      <family val="2"/>
      <scheme val="minor"/>
    </font>
    <font>
      <b/>
      <sz val="9"/>
      <color theme="0"/>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sz val="12"/>
      <color theme="1"/>
      <name val="Calibri"/>
      <family val="2"/>
      <scheme val="minor"/>
    </font>
    <font>
      <b/>
      <sz val="13"/>
      <color theme="1"/>
      <name val="Calibri"/>
      <family val="2"/>
      <scheme val="minor"/>
    </font>
    <font>
      <b/>
      <sz val="18"/>
      <color theme="1"/>
      <name val="Calibri"/>
      <family val="2"/>
      <scheme val="minor"/>
    </font>
    <font>
      <sz val="11"/>
      <color theme="0"/>
      <name val="Calibri"/>
      <family val="2"/>
      <scheme val="minor"/>
    </font>
    <font>
      <b/>
      <sz val="18"/>
      <color theme="0"/>
      <name val="Calibri"/>
      <family val="2"/>
      <scheme val="minor"/>
    </font>
    <font>
      <sz val="10"/>
      <color theme="1"/>
      <name val="Calibri"/>
      <family val="2"/>
      <scheme val="minor"/>
    </font>
    <font>
      <sz val="8"/>
      <color theme="1"/>
      <name val="Calibri"/>
      <family val="2"/>
      <scheme val="minor"/>
    </font>
    <font>
      <sz val="9"/>
      <color rgb="FFFF0000"/>
      <name val="Calibri"/>
      <family val="2"/>
      <scheme val="minor"/>
    </font>
  </fonts>
  <fills count="24">
    <fill>
      <patternFill patternType="none"/>
    </fill>
    <fill>
      <patternFill patternType="gray125"/>
    </fill>
    <fill>
      <patternFill patternType="solid">
        <fgColor indexed="46"/>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indexed="41"/>
        <bgColor indexed="64"/>
      </patternFill>
    </fill>
    <fill>
      <patternFill patternType="solid">
        <fgColor indexed="1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rgb="FFFFC000"/>
        <bgColor indexed="64"/>
      </patternFill>
    </fill>
    <fill>
      <patternFill patternType="solid">
        <fgColor theme="0"/>
        <bgColor indexed="64"/>
      </patternFill>
    </fill>
    <fill>
      <patternFill patternType="solid">
        <fgColor rgb="FF0E2841"/>
        <bgColor indexed="64"/>
      </patternFill>
    </fill>
    <fill>
      <patternFill patternType="solid">
        <fgColor rgb="FFFFFF99"/>
        <bgColor indexed="64"/>
      </patternFill>
    </fill>
    <fill>
      <patternFill patternType="solid">
        <fgColor theme="2"/>
        <bgColor indexed="64"/>
      </patternFill>
    </fill>
    <fill>
      <patternFill patternType="solid">
        <fgColor rgb="FFC5D9F1"/>
        <bgColor indexed="64"/>
      </patternFill>
    </fill>
    <fill>
      <patternFill patternType="solid">
        <fgColor rgb="FFB8D3EF"/>
        <bgColor indexed="64"/>
      </patternFill>
    </fill>
    <fill>
      <patternFill patternType="solid">
        <fgColor rgb="FFCCFFCC"/>
        <bgColor indexed="64"/>
      </patternFill>
    </fill>
    <fill>
      <patternFill patternType="solid">
        <fgColor rgb="FF2A3F66"/>
        <bgColor indexed="64"/>
      </patternFill>
    </fill>
    <fill>
      <patternFill patternType="solid">
        <fgColor rgb="FFF0F0F0"/>
        <bgColor indexed="64"/>
      </patternFill>
    </fill>
  </fills>
  <borders count="19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right/>
      <top style="thin">
        <color indexed="64"/>
      </top>
      <bottom/>
      <diagonal/>
    </border>
    <border>
      <left style="medium">
        <color rgb="FF0E2841"/>
      </left>
      <right/>
      <top style="medium">
        <color rgb="FF0E2841"/>
      </top>
      <bottom style="thin">
        <color indexed="64"/>
      </bottom>
      <diagonal/>
    </border>
    <border>
      <left/>
      <right/>
      <top style="medium">
        <color rgb="FF0E2841"/>
      </top>
      <bottom style="thin">
        <color indexed="64"/>
      </bottom>
      <diagonal/>
    </border>
    <border>
      <left/>
      <right style="medium">
        <color rgb="FF0E2841"/>
      </right>
      <top style="medium">
        <color rgb="FF0E2841"/>
      </top>
      <bottom style="thin">
        <color indexed="64"/>
      </bottom>
      <diagonal/>
    </border>
    <border>
      <left style="medium">
        <color rgb="FF0E2841"/>
      </left>
      <right/>
      <top style="thin">
        <color indexed="64"/>
      </top>
      <bottom style="thin">
        <color indexed="64"/>
      </bottom>
      <diagonal/>
    </border>
    <border>
      <left/>
      <right style="medium">
        <color rgb="FF0E2841"/>
      </right>
      <top style="thin">
        <color indexed="64"/>
      </top>
      <bottom style="thin">
        <color indexed="64"/>
      </bottom>
      <diagonal/>
    </border>
    <border>
      <left style="medium">
        <color rgb="FF0E2841"/>
      </left>
      <right/>
      <top style="thin">
        <color indexed="64"/>
      </top>
      <bottom/>
      <diagonal/>
    </border>
    <border>
      <left/>
      <right style="medium">
        <color rgb="FF0E2841"/>
      </right>
      <top style="thin">
        <color indexed="64"/>
      </top>
      <bottom/>
      <diagonal/>
    </border>
    <border>
      <left style="medium">
        <color rgb="FF0E2841"/>
      </left>
      <right style="thin">
        <color rgb="FF0E2841"/>
      </right>
      <top style="thin">
        <color indexed="64"/>
      </top>
      <bottom style="hair">
        <color rgb="FF0E2841"/>
      </bottom>
      <diagonal/>
    </border>
    <border>
      <left style="thin">
        <color rgb="FF0E2841"/>
      </left>
      <right style="thin">
        <color rgb="FF0E2841"/>
      </right>
      <top style="thin">
        <color indexed="64"/>
      </top>
      <bottom style="hair">
        <color rgb="FF0E2841"/>
      </bottom>
      <diagonal/>
    </border>
    <border>
      <left style="thin">
        <color rgb="FF0E2841"/>
      </left>
      <right style="medium">
        <color rgb="FF0E2841"/>
      </right>
      <top style="thin">
        <color indexed="64"/>
      </top>
      <bottom style="hair">
        <color rgb="FF0E2841"/>
      </bottom>
      <diagonal/>
    </border>
    <border>
      <left style="medium">
        <color rgb="FF0E2841"/>
      </left>
      <right style="thin">
        <color rgb="FF0E2841"/>
      </right>
      <top style="hair">
        <color rgb="FF0E2841"/>
      </top>
      <bottom style="hair">
        <color rgb="FF0E2841"/>
      </bottom>
      <diagonal/>
    </border>
    <border>
      <left style="thin">
        <color rgb="FF0E2841"/>
      </left>
      <right style="thin">
        <color rgb="FF0E2841"/>
      </right>
      <top style="hair">
        <color rgb="FF0E2841"/>
      </top>
      <bottom style="hair">
        <color rgb="FF0E2841"/>
      </bottom>
      <diagonal/>
    </border>
    <border>
      <left style="thin">
        <color rgb="FF0E2841"/>
      </left>
      <right style="medium">
        <color rgb="FF0E2841"/>
      </right>
      <top style="hair">
        <color rgb="FF0E2841"/>
      </top>
      <bottom style="hair">
        <color rgb="FF0E2841"/>
      </bottom>
      <diagonal/>
    </border>
    <border>
      <left style="medium">
        <color rgb="FF0E2841"/>
      </left>
      <right style="thin">
        <color rgb="FF0E2841"/>
      </right>
      <top style="hair">
        <color rgb="FF0E2841"/>
      </top>
      <bottom style="thin">
        <color indexed="64"/>
      </bottom>
      <diagonal/>
    </border>
    <border>
      <left style="thin">
        <color rgb="FF0E2841"/>
      </left>
      <right style="thin">
        <color rgb="FF0E2841"/>
      </right>
      <top style="hair">
        <color rgb="FF0E2841"/>
      </top>
      <bottom style="thin">
        <color indexed="64"/>
      </bottom>
      <diagonal/>
    </border>
    <border>
      <left style="thin">
        <color rgb="FF0E2841"/>
      </left>
      <right style="medium">
        <color rgb="FF0E2841"/>
      </right>
      <top style="hair">
        <color rgb="FF0E2841"/>
      </top>
      <bottom style="thin">
        <color indexed="64"/>
      </bottom>
      <diagonal/>
    </border>
    <border>
      <left style="medium">
        <color rgb="FF0E2841"/>
      </left>
      <right style="thin">
        <color rgb="FF0E2841"/>
      </right>
      <top style="thin">
        <color rgb="FF0E2841"/>
      </top>
      <bottom style="thin">
        <color rgb="FF0E2841"/>
      </bottom>
      <diagonal/>
    </border>
    <border>
      <left style="thin">
        <color rgb="FF0E2841"/>
      </left>
      <right style="thin">
        <color rgb="FF0E2841"/>
      </right>
      <top style="thin">
        <color rgb="FF0E2841"/>
      </top>
      <bottom style="thin">
        <color rgb="FF0E2841"/>
      </bottom>
      <diagonal/>
    </border>
    <border>
      <left style="thin">
        <color rgb="FF0E2841"/>
      </left>
      <right style="medium">
        <color rgb="FF0E2841"/>
      </right>
      <top style="thin">
        <color rgb="FF0E2841"/>
      </top>
      <bottom style="thin">
        <color rgb="FF0E2841"/>
      </bottom>
      <diagonal/>
    </border>
    <border>
      <left style="medium">
        <color rgb="FF0E2841"/>
      </left>
      <right style="thin">
        <color rgb="FF0E2841"/>
      </right>
      <top style="thin">
        <color rgb="FF0E2841"/>
      </top>
      <bottom style="medium">
        <color rgb="FF0E2841"/>
      </bottom>
      <diagonal/>
    </border>
    <border>
      <left style="thin">
        <color rgb="FF0E2841"/>
      </left>
      <right style="thin">
        <color rgb="FF0E2841"/>
      </right>
      <top style="thin">
        <color rgb="FF0E2841"/>
      </top>
      <bottom style="medium">
        <color rgb="FF0E2841"/>
      </bottom>
      <diagonal/>
    </border>
    <border>
      <left style="thin">
        <color rgb="FF0E2841"/>
      </left>
      <right style="medium">
        <color rgb="FF0E2841"/>
      </right>
      <top style="thin">
        <color rgb="FF0E2841"/>
      </top>
      <bottom style="medium">
        <color rgb="FF0E2841"/>
      </bottom>
      <diagonal/>
    </border>
    <border>
      <left style="medium">
        <color rgb="FF0E2841"/>
      </left>
      <right/>
      <top style="thin">
        <color rgb="FF0E2841"/>
      </top>
      <bottom style="thin">
        <color rgb="FF0E2841"/>
      </bottom>
      <diagonal/>
    </border>
    <border>
      <left/>
      <right/>
      <top style="thin">
        <color rgb="FF0E2841"/>
      </top>
      <bottom style="thin">
        <color rgb="FF0E2841"/>
      </bottom>
      <diagonal/>
    </border>
    <border>
      <left/>
      <right style="medium">
        <color rgb="FF0E2841"/>
      </right>
      <top style="thin">
        <color rgb="FF0E2841"/>
      </top>
      <bottom style="thin">
        <color rgb="FF0E2841"/>
      </bottom>
      <diagonal/>
    </border>
    <border>
      <left style="thin">
        <color rgb="FF0E2841"/>
      </left>
      <right/>
      <top style="thin">
        <color rgb="FF0E2841"/>
      </top>
      <bottom style="thin">
        <color rgb="FF0E2841"/>
      </bottom>
      <diagonal/>
    </border>
    <border>
      <left style="medium">
        <color rgb="FF0E2841"/>
      </left>
      <right style="thin">
        <color rgb="FF0E2841"/>
      </right>
      <top style="thin">
        <color rgb="FF0E2841"/>
      </top>
      <bottom/>
      <diagonal/>
    </border>
    <border>
      <left style="medium">
        <color rgb="FF0E2841"/>
      </left>
      <right style="thin">
        <color rgb="FF0E2841"/>
      </right>
      <top/>
      <bottom/>
      <diagonal/>
    </border>
    <border>
      <left style="medium">
        <color rgb="FF0E2841"/>
      </left>
      <right style="thin">
        <color rgb="FF0E2841"/>
      </right>
      <top/>
      <bottom style="thin">
        <color rgb="FF0E2841"/>
      </bottom>
      <diagonal/>
    </border>
    <border>
      <left style="medium">
        <color rgb="FF0E2841"/>
      </left>
      <right style="thin">
        <color rgb="FF0E2841"/>
      </right>
      <top style="medium">
        <color rgb="FF0E2841"/>
      </top>
      <bottom style="thin">
        <color rgb="FF0E2841"/>
      </bottom>
      <diagonal/>
    </border>
    <border>
      <left style="thin">
        <color rgb="FF0E2841"/>
      </left>
      <right style="thin">
        <color rgb="FF0E2841"/>
      </right>
      <top style="medium">
        <color rgb="FF0E2841"/>
      </top>
      <bottom style="thin">
        <color rgb="FF0E2841"/>
      </bottom>
      <diagonal/>
    </border>
    <border>
      <left style="thin">
        <color rgb="FF0E2841"/>
      </left>
      <right style="medium">
        <color rgb="FF0E2841"/>
      </right>
      <top style="medium">
        <color rgb="FF0E2841"/>
      </top>
      <bottom style="thin">
        <color rgb="FF0E2841"/>
      </bottom>
      <diagonal/>
    </border>
    <border>
      <left style="medium">
        <color rgb="FF0E2841"/>
      </left>
      <right/>
      <top style="thin">
        <color rgb="FF0E2841"/>
      </top>
      <bottom/>
      <diagonal/>
    </border>
    <border>
      <left/>
      <right/>
      <top style="thin">
        <color rgb="FF0E2841"/>
      </top>
      <bottom/>
      <diagonal/>
    </border>
    <border>
      <left/>
      <right style="medium">
        <color rgb="FF0E2841"/>
      </right>
      <top style="thin">
        <color rgb="FF0E2841"/>
      </top>
      <bottom/>
      <diagonal/>
    </border>
    <border>
      <left/>
      <right style="medium">
        <color rgb="FF0E2841"/>
      </right>
      <top style="double">
        <color rgb="FF0E2841"/>
      </top>
      <bottom style="medium">
        <color rgb="FF0E2841"/>
      </bottom>
      <diagonal/>
    </border>
    <border>
      <left style="medium">
        <color rgb="FF0E2841"/>
      </left>
      <right/>
      <top style="double">
        <color rgb="FF0E2841"/>
      </top>
      <bottom style="medium">
        <color rgb="FF0E2841"/>
      </bottom>
      <diagonal/>
    </border>
    <border>
      <left/>
      <right/>
      <top style="double">
        <color rgb="FF0E2841"/>
      </top>
      <bottom style="medium">
        <color rgb="FF0E2841"/>
      </bottom>
      <diagonal/>
    </border>
    <border>
      <left style="thin">
        <color rgb="FF0E2841"/>
      </left>
      <right style="thin">
        <color rgb="FF0E2841"/>
      </right>
      <top style="thin">
        <color rgb="FF0E2841"/>
      </top>
      <bottom style="hair">
        <color rgb="FF0E2841"/>
      </bottom>
      <diagonal/>
    </border>
    <border>
      <left style="thin">
        <color rgb="FF0E2841"/>
      </left>
      <right style="medium">
        <color rgb="FF0E2841"/>
      </right>
      <top style="thin">
        <color rgb="FF0E2841"/>
      </top>
      <bottom style="hair">
        <color rgb="FF0E2841"/>
      </bottom>
      <diagonal/>
    </border>
    <border>
      <left style="thin">
        <color rgb="FF0E2841"/>
      </left>
      <right style="thin">
        <color rgb="FF0E2841"/>
      </right>
      <top style="hair">
        <color rgb="FF0E2841"/>
      </top>
      <bottom style="thin">
        <color rgb="FF0E2841"/>
      </bottom>
      <diagonal/>
    </border>
    <border>
      <left style="thin">
        <color rgb="FF0E2841"/>
      </left>
      <right style="medium">
        <color rgb="FF0E2841"/>
      </right>
      <top style="hair">
        <color rgb="FF0E2841"/>
      </top>
      <bottom style="thin">
        <color rgb="FF0E2841"/>
      </bottom>
      <diagonal/>
    </border>
    <border>
      <left style="thin">
        <color rgb="FF0E2841"/>
      </left>
      <right style="medium">
        <color rgb="FF0E2841"/>
      </right>
      <top style="thin">
        <color rgb="FF0E2841"/>
      </top>
      <bottom style="double">
        <color rgb="FF0E2841"/>
      </bottom>
      <diagonal/>
    </border>
    <border>
      <left style="thin">
        <color rgb="FF0E2841"/>
      </left>
      <right style="thin">
        <color rgb="FF0E2841"/>
      </right>
      <top/>
      <bottom style="thin">
        <color rgb="FF0E2841"/>
      </bottom>
      <diagonal/>
    </border>
    <border>
      <left style="thin">
        <color rgb="FF0E2841"/>
      </left>
      <right style="medium">
        <color rgb="FF0E2841"/>
      </right>
      <top/>
      <bottom style="thin">
        <color rgb="FF0E2841"/>
      </bottom>
      <diagonal/>
    </border>
    <border>
      <left style="thin">
        <color rgb="FF0E2841"/>
      </left>
      <right style="thin">
        <color rgb="FF0E2841"/>
      </right>
      <top style="thin">
        <color rgb="FF0E2841"/>
      </top>
      <bottom style="double">
        <color rgb="FF0E2841"/>
      </bottom>
      <diagonal/>
    </border>
    <border>
      <left style="medium">
        <color rgb="FF0E2841"/>
      </left>
      <right style="thin">
        <color rgb="FF0E2841"/>
      </right>
      <top style="thin">
        <color rgb="FF0E2841"/>
      </top>
      <bottom style="double">
        <color rgb="FF0E2841"/>
      </bottom>
      <diagonal/>
    </border>
    <border>
      <left style="thin">
        <color rgb="FF0E2841"/>
      </left>
      <right style="thin">
        <color rgb="FF0E2841"/>
      </right>
      <top style="medium">
        <color rgb="FF0E2841"/>
      </top>
      <bottom/>
      <diagonal/>
    </border>
    <border>
      <left style="thin">
        <color rgb="FF0E2841"/>
      </left>
      <right style="thin">
        <color rgb="FF0E2841"/>
      </right>
      <top/>
      <bottom/>
      <diagonal/>
    </border>
    <border>
      <left style="thin">
        <color rgb="FF0E2841"/>
      </left>
      <right style="thin">
        <color rgb="FF0E2841"/>
      </right>
      <top/>
      <bottom style="medium">
        <color rgb="FF0E2841"/>
      </bottom>
      <diagonal/>
    </border>
    <border>
      <left style="thin">
        <color indexed="64"/>
      </left>
      <right/>
      <top/>
      <bottom/>
      <diagonal/>
    </border>
    <border>
      <left style="medium">
        <color rgb="FF0E2841"/>
      </left>
      <right style="medium">
        <color rgb="FF0E2841"/>
      </right>
      <top/>
      <bottom/>
      <diagonal/>
    </border>
    <border>
      <left style="thin">
        <color rgb="FF0E2841"/>
      </left>
      <right/>
      <top style="medium">
        <color rgb="FF0E2841"/>
      </top>
      <bottom style="thin">
        <color rgb="FF0E2841"/>
      </bottom>
      <diagonal/>
    </border>
    <border>
      <left style="thin">
        <color rgb="FF0E2841"/>
      </left>
      <right/>
      <top style="thin">
        <color rgb="FF0E2841"/>
      </top>
      <bottom style="medium">
        <color rgb="FF0E2841"/>
      </bottom>
      <diagonal/>
    </border>
    <border>
      <left/>
      <right style="thin">
        <color rgb="FF0E2841"/>
      </right>
      <top style="medium">
        <color rgb="FF0E2841"/>
      </top>
      <bottom style="thin">
        <color rgb="FF0E2841"/>
      </bottom>
      <diagonal/>
    </border>
    <border>
      <left/>
      <right style="thin">
        <color rgb="FF0E2841"/>
      </right>
      <top style="thin">
        <color rgb="FF0E2841"/>
      </top>
      <bottom style="thin">
        <color rgb="FF0E2841"/>
      </bottom>
      <diagonal/>
    </border>
    <border>
      <left style="medium">
        <color rgb="FF0E2841"/>
      </left>
      <right/>
      <top/>
      <bottom/>
      <diagonal/>
    </border>
    <border>
      <left style="thin">
        <color rgb="FF0E2841"/>
      </left>
      <right style="medium">
        <color rgb="FF0E2841"/>
      </right>
      <top style="thin">
        <color rgb="FF0E2841"/>
      </top>
      <bottom/>
      <diagonal/>
    </border>
    <border>
      <left/>
      <right/>
      <top style="medium">
        <color rgb="FF0E2841"/>
      </top>
      <bottom/>
      <diagonal/>
    </border>
    <border>
      <left style="medium">
        <color rgb="FF0E2841"/>
      </left>
      <right style="thin">
        <color rgb="FF0E2841"/>
      </right>
      <top style="dashed">
        <color rgb="FF0E2841"/>
      </top>
      <bottom style="medium">
        <color rgb="FF0E2841"/>
      </bottom>
      <diagonal/>
    </border>
    <border>
      <left style="thin">
        <color rgb="FF0E2841"/>
      </left>
      <right style="medium">
        <color rgb="FF0E2841"/>
      </right>
      <top style="dashed">
        <color rgb="FF0E2841"/>
      </top>
      <bottom style="medium">
        <color rgb="FF0E2841"/>
      </bottom>
      <diagonal/>
    </border>
    <border>
      <left style="thin">
        <color rgb="FF0E2841"/>
      </left>
      <right style="medium">
        <color rgb="FF0E2841"/>
      </right>
      <top style="medium">
        <color rgb="FF0E2841"/>
      </top>
      <bottom/>
      <diagonal/>
    </border>
    <border>
      <left style="thin">
        <color rgb="FF0E2841"/>
      </left>
      <right style="medium">
        <color rgb="FF0E2841"/>
      </right>
      <top/>
      <bottom/>
      <diagonal/>
    </border>
    <border>
      <left/>
      <right style="medium">
        <color rgb="FF0E2841"/>
      </right>
      <top/>
      <bottom/>
      <diagonal/>
    </border>
    <border>
      <left style="medium">
        <color rgb="FF0E2841"/>
      </left>
      <right/>
      <top style="medium">
        <color rgb="FF0E2841"/>
      </top>
      <bottom style="medium">
        <color rgb="FF0E2841"/>
      </bottom>
      <diagonal/>
    </border>
    <border>
      <left/>
      <right style="medium">
        <color rgb="FF0E2841"/>
      </right>
      <top style="medium">
        <color rgb="FF0E2841"/>
      </top>
      <bottom style="medium">
        <color rgb="FF0E2841"/>
      </bottom>
      <diagonal/>
    </border>
    <border>
      <left style="double">
        <color rgb="FF0E2841"/>
      </left>
      <right style="thin">
        <color rgb="FF0E2841"/>
      </right>
      <top style="medium">
        <color rgb="FF0E2841"/>
      </top>
      <bottom style="thin">
        <color rgb="FF0E2841"/>
      </bottom>
      <diagonal/>
    </border>
    <border>
      <left style="double">
        <color rgb="FF0E2841"/>
      </left>
      <right style="thin">
        <color rgb="FF0E2841"/>
      </right>
      <top style="thin">
        <color rgb="FF0E2841"/>
      </top>
      <bottom style="thin">
        <color rgb="FF0E2841"/>
      </bottom>
      <diagonal/>
    </border>
    <border>
      <left style="double">
        <color rgb="FF0E2841"/>
      </left>
      <right style="thin">
        <color rgb="FF0E2841"/>
      </right>
      <top style="thin">
        <color rgb="FF0E2841"/>
      </top>
      <bottom style="medium">
        <color rgb="FF0E2841"/>
      </bottom>
      <diagonal/>
    </border>
    <border>
      <left/>
      <right/>
      <top style="double">
        <color auto="1"/>
      </top>
      <bottom/>
      <diagonal/>
    </border>
    <border>
      <left style="double">
        <color auto="1"/>
      </left>
      <right/>
      <top style="double">
        <color auto="1"/>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right style="double">
        <color auto="1"/>
      </right>
      <top style="double">
        <color auto="1"/>
      </top>
      <bottom/>
      <diagonal/>
    </border>
    <border>
      <left/>
      <right style="double">
        <color auto="1"/>
      </right>
      <top/>
      <bottom/>
      <diagonal/>
    </border>
    <border>
      <left/>
      <right style="double">
        <color auto="1"/>
      </right>
      <top/>
      <bottom style="double">
        <color auto="1"/>
      </bottom>
      <diagonal/>
    </border>
    <border>
      <left/>
      <right/>
      <top style="thin">
        <color rgb="FF0E2841"/>
      </top>
      <bottom style="hair">
        <color rgb="FF0E2841"/>
      </bottom>
      <diagonal/>
    </border>
    <border>
      <left/>
      <right style="thin">
        <color rgb="FF0E2841"/>
      </right>
      <top style="thin">
        <color rgb="FF0E2841"/>
      </top>
      <bottom style="hair">
        <color rgb="FF0E2841"/>
      </bottom>
      <diagonal/>
    </border>
    <border>
      <left/>
      <right/>
      <top style="hair">
        <color rgb="FF0E2841"/>
      </top>
      <bottom style="hair">
        <color rgb="FF0E2841"/>
      </bottom>
      <diagonal/>
    </border>
    <border>
      <left/>
      <right style="thin">
        <color rgb="FF0E2841"/>
      </right>
      <top style="hair">
        <color rgb="FF0E2841"/>
      </top>
      <bottom style="hair">
        <color rgb="FF0E2841"/>
      </bottom>
      <diagonal/>
    </border>
    <border>
      <left/>
      <right/>
      <top style="hair">
        <color rgb="FF0E2841"/>
      </top>
      <bottom style="thin">
        <color rgb="FF0E2841"/>
      </bottom>
      <diagonal/>
    </border>
    <border>
      <left/>
      <right style="thin">
        <color rgb="FF0E2841"/>
      </right>
      <top style="hair">
        <color rgb="FF0E2841"/>
      </top>
      <bottom style="thin">
        <color rgb="FF0E2841"/>
      </bottom>
      <diagonal/>
    </border>
    <border>
      <left/>
      <right/>
      <top style="thin">
        <color rgb="FF0E2841"/>
      </top>
      <bottom style="hair">
        <color indexed="64"/>
      </bottom>
      <diagonal/>
    </border>
    <border>
      <left/>
      <right style="thin">
        <color rgb="FF0E2841"/>
      </right>
      <top style="thin">
        <color rgb="FF0E2841"/>
      </top>
      <bottom style="hair">
        <color indexed="64"/>
      </bottom>
      <diagonal/>
    </border>
    <border>
      <left/>
      <right/>
      <top style="hair">
        <color indexed="64"/>
      </top>
      <bottom style="hair">
        <color indexed="64"/>
      </bottom>
      <diagonal/>
    </border>
    <border>
      <left/>
      <right style="thin">
        <color rgb="FF0E2841"/>
      </right>
      <top style="hair">
        <color indexed="64"/>
      </top>
      <bottom style="hair">
        <color indexed="64"/>
      </bottom>
      <diagonal/>
    </border>
    <border>
      <left/>
      <right/>
      <top style="hair">
        <color indexed="64"/>
      </top>
      <bottom style="thin">
        <color rgb="FF0E2841"/>
      </bottom>
      <diagonal/>
    </border>
    <border>
      <left/>
      <right style="thin">
        <color rgb="FF0E2841"/>
      </right>
      <top style="hair">
        <color indexed="64"/>
      </top>
      <bottom style="thin">
        <color rgb="FF0E2841"/>
      </bottom>
      <diagonal/>
    </border>
    <border>
      <left style="thin">
        <color rgb="FF0E2841"/>
      </left>
      <right/>
      <top style="thin">
        <color rgb="FF0E2841"/>
      </top>
      <bottom/>
      <diagonal/>
    </border>
    <border>
      <left style="thin">
        <color rgb="FF0E2841"/>
      </left>
      <right/>
      <top/>
      <bottom/>
      <diagonal/>
    </border>
    <border>
      <left style="thin">
        <color rgb="FF0E2841"/>
      </left>
      <right/>
      <top/>
      <bottom style="thin">
        <color rgb="FF0E2841"/>
      </bottom>
      <diagonal/>
    </border>
    <border>
      <left style="double">
        <color rgb="FF0E2841"/>
      </left>
      <right/>
      <top style="thin">
        <color rgb="FF0E2841"/>
      </top>
      <bottom style="thin">
        <color rgb="FF0E2841"/>
      </bottom>
      <diagonal/>
    </border>
    <border>
      <left style="thin">
        <color rgb="FF0E2841"/>
      </left>
      <right/>
      <top style="thin">
        <color rgb="FF0E2841"/>
      </top>
      <bottom style="hair">
        <color indexed="64"/>
      </bottom>
      <diagonal/>
    </border>
    <border>
      <left style="thin">
        <color rgb="FF0E2841"/>
      </left>
      <right/>
      <top style="hair">
        <color indexed="64"/>
      </top>
      <bottom style="hair">
        <color indexed="64"/>
      </bottom>
      <diagonal/>
    </border>
    <border>
      <left style="thin">
        <color rgb="FF0E2841"/>
      </left>
      <right/>
      <top style="hair">
        <color indexed="64"/>
      </top>
      <bottom style="thin">
        <color rgb="FF0E2841"/>
      </bottom>
      <diagonal/>
    </border>
    <border>
      <left style="thin">
        <color rgb="FF0E2841"/>
      </left>
      <right/>
      <top style="thin">
        <color rgb="FF0E2841"/>
      </top>
      <bottom style="hair">
        <color rgb="FF0E2841"/>
      </bottom>
      <diagonal/>
    </border>
    <border>
      <left style="thin">
        <color rgb="FF0E2841"/>
      </left>
      <right/>
      <top style="hair">
        <color rgb="FF0E2841"/>
      </top>
      <bottom style="hair">
        <color rgb="FF0E2841"/>
      </bottom>
      <diagonal/>
    </border>
    <border>
      <left style="thin">
        <color rgb="FF0E2841"/>
      </left>
      <right/>
      <top style="hair">
        <color rgb="FF0E2841"/>
      </top>
      <bottom style="thin">
        <color rgb="FF0E2841"/>
      </bottom>
      <diagonal/>
    </border>
    <border>
      <left style="thin">
        <color rgb="FF0E2841"/>
      </left>
      <right style="double">
        <color rgb="FF0E2841"/>
      </right>
      <top style="thin">
        <color rgb="FF0E2841"/>
      </top>
      <bottom style="medium">
        <color rgb="FF0E2841"/>
      </bottom>
      <diagonal/>
    </border>
    <border>
      <left/>
      <right/>
      <top style="medium">
        <color rgb="FF0E2841"/>
      </top>
      <bottom style="thin">
        <color rgb="FF0E2841"/>
      </bottom>
      <diagonal/>
    </border>
    <border>
      <left/>
      <right style="medium">
        <color rgb="FF0E2841"/>
      </right>
      <top style="medium">
        <color rgb="FF0E2841"/>
      </top>
      <bottom style="thin">
        <color rgb="FF0E2841"/>
      </bottom>
      <diagonal/>
    </border>
    <border>
      <left style="medium">
        <color rgb="FF0E2841"/>
      </left>
      <right/>
      <top style="medium">
        <color rgb="FF0E2841"/>
      </top>
      <bottom style="thin">
        <color rgb="FF0E2841"/>
      </bottom>
      <diagonal/>
    </border>
    <border>
      <left/>
      <right style="thin">
        <color rgb="FF0E2841"/>
      </right>
      <top style="thin">
        <color rgb="FF0E2841"/>
      </top>
      <bottom/>
      <diagonal/>
    </border>
    <border>
      <left/>
      <right/>
      <top/>
      <bottom style="thin">
        <color rgb="FF0E2841"/>
      </bottom>
      <diagonal/>
    </border>
    <border>
      <left/>
      <right style="thin">
        <color rgb="FF0E2841"/>
      </right>
      <top/>
      <bottom style="thin">
        <color rgb="FF0E2841"/>
      </bottom>
      <diagonal/>
    </border>
    <border>
      <left style="medium">
        <color rgb="FF0E2841"/>
      </left>
      <right/>
      <top/>
      <bottom style="thin">
        <color indexed="64"/>
      </bottom>
      <diagonal/>
    </border>
    <border>
      <left/>
      <right/>
      <top/>
      <bottom style="thin">
        <color indexed="64"/>
      </bottom>
      <diagonal/>
    </border>
    <border>
      <left/>
      <right style="medium">
        <color rgb="FF0E2841"/>
      </right>
      <top/>
      <bottom style="thin">
        <color indexed="64"/>
      </bottom>
      <diagonal/>
    </border>
    <border>
      <left/>
      <right style="thin">
        <color indexed="64"/>
      </right>
      <top style="thin">
        <color indexed="64"/>
      </top>
      <bottom/>
      <diagonal/>
    </border>
    <border>
      <left style="medium">
        <color rgb="FF0E2841"/>
      </left>
      <right style="thin">
        <color rgb="FF0E2841"/>
      </right>
      <top style="thin">
        <color indexed="64"/>
      </top>
      <bottom style="medium">
        <color rgb="FF0E2841"/>
      </bottom>
      <diagonal/>
    </border>
    <border>
      <left style="thin">
        <color rgb="FF0E2841"/>
      </left>
      <right style="thin">
        <color rgb="FF0E2841"/>
      </right>
      <top style="thin">
        <color indexed="64"/>
      </top>
      <bottom style="medium">
        <color rgb="FF0E2841"/>
      </bottom>
      <diagonal/>
    </border>
    <border>
      <left style="thin">
        <color rgb="FF0E2841"/>
      </left>
      <right style="medium">
        <color rgb="FF0E2841"/>
      </right>
      <top style="thin">
        <color indexed="64"/>
      </top>
      <bottom style="medium">
        <color rgb="FF0E2841"/>
      </bottom>
      <diagonal/>
    </border>
    <border>
      <left/>
      <right/>
      <top style="medium">
        <color rgb="FF0E2841"/>
      </top>
      <bottom style="medium">
        <color rgb="FF0E2841"/>
      </bottom>
      <diagonal/>
    </border>
    <border>
      <left style="thin">
        <color rgb="FF0E2841"/>
      </left>
      <right style="double">
        <color rgb="FF0E2841"/>
      </right>
      <top style="thin">
        <color rgb="FF0E2841"/>
      </top>
      <bottom style="thin">
        <color rgb="FF0E2841"/>
      </bottom>
      <diagonal/>
    </border>
    <border>
      <left/>
      <right style="thin">
        <color indexed="64"/>
      </right>
      <top style="thin">
        <color rgb="FF0E2841"/>
      </top>
      <bottom style="thin">
        <color rgb="FF0E2841"/>
      </bottom>
      <diagonal/>
    </border>
    <border>
      <left style="thin">
        <color auto="1"/>
      </left>
      <right style="thin">
        <color auto="1"/>
      </right>
      <top style="thin">
        <color rgb="FF0E2841"/>
      </top>
      <bottom style="thin">
        <color rgb="FF0E2841"/>
      </bottom>
      <diagonal/>
    </border>
    <border>
      <left style="thin">
        <color indexed="64"/>
      </left>
      <right/>
      <top style="thin">
        <color rgb="FF0E2841"/>
      </top>
      <bottom style="thin">
        <color rgb="FF0E2841"/>
      </bottom>
      <diagonal/>
    </border>
    <border>
      <left style="medium">
        <color rgb="FF0E2841"/>
      </left>
      <right style="thin">
        <color rgb="FF0E2841"/>
      </right>
      <top style="thin">
        <color rgb="FF0E2841"/>
      </top>
      <bottom style="hair">
        <color rgb="FF0E2841"/>
      </bottom>
      <diagonal/>
    </border>
    <border>
      <left style="medium">
        <color rgb="FF0E2841"/>
      </left>
      <right style="thin">
        <color rgb="FF0E2841"/>
      </right>
      <top style="hair">
        <color rgb="FF0E2841"/>
      </top>
      <bottom style="thin">
        <color rgb="FF0E2841"/>
      </bottom>
      <diagonal/>
    </border>
    <border>
      <left style="medium">
        <color rgb="FF0E2841"/>
      </left>
      <right style="thin">
        <color rgb="FF0E2841"/>
      </right>
      <top style="medium">
        <color rgb="FF0E2841"/>
      </top>
      <bottom style="hair">
        <color rgb="FF0E2841"/>
      </bottom>
      <diagonal/>
    </border>
    <border>
      <left style="thin">
        <color rgb="FF0E2841"/>
      </left>
      <right style="thin">
        <color rgb="FF0E2841"/>
      </right>
      <top style="medium">
        <color rgb="FF0E2841"/>
      </top>
      <bottom style="hair">
        <color rgb="FF0E2841"/>
      </bottom>
      <diagonal/>
    </border>
    <border>
      <left style="thin">
        <color rgb="FF0E2841"/>
      </left>
      <right style="medium">
        <color rgb="FF0E2841"/>
      </right>
      <top style="medium">
        <color rgb="FF0E2841"/>
      </top>
      <bottom style="hair">
        <color rgb="FF0E2841"/>
      </bottom>
      <diagonal/>
    </border>
    <border>
      <left style="medium">
        <color rgb="FF0E2841"/>
      </left>
      <right style="thin">
        <color rgb="FF0E2841"/>
      </right>
      <top style="hair">
        <color rgb="FF0E2841"/>
      </top>
      <bottom style="medium">
        <color rgb="FF0E2841"/>
      </bottom>
      <diagonal/>
    </border>
    <border>
      <left style="thin">
        <color rgb="FF0E2841"/>
      </left>
      <right style="thin">
        <color rgb="FF0E2841"/>
      </right>
      <top style="hair">
        <color rgb="FF0E2841"/>
      </top>
      <bottom style="medium">
        <color rgb="FF0E2841"/>
      </bottom>
      <diagonal/>
    </border>
    <border>
      <left style="thin">
        <color rgb="FF0E2841"/>
      </left>
      <right style="medium">
        <color rgb="FF0E2841"/>
      </right>
      <top style="hair">
        <color rgb="FF0E2841"/>
      </top>
      <bottom style="medium">
        <color rgb="FF0E2841"/>
      </bottom>
      <diagonal/>
    </border>
    <border>
      <left style="thin">
        <color rgb="FF0E2841"/>
      </left>
      <right style="thin">
        <color rgb="FF0E2841"/>
      </right>
      <top style="thin">
        <color rgb="FF0E2841"/>
      </top>
      <bottom/>
      <diagonal/>
    </border>
    <border>
      <left style="medium">
        <color rgb="FF0E2841"/>
      </left>
      <right style="thin">
        <color rgb="FF0E2841"/>
      </right>
      <top style="medium">
        <color rgb="FF0E2841"/>
      </top>
      <bottom style="medium">
        <color rgb="FF0E2841"/>
      </bottom>
      <diagonal/>
    </border>
    <border>
      <left style="thin">
        <color rgb="FF0E2841"/>
      </left>
      <right style="thin">
        <color rgb="FF0E2841"/>
      </right>
      <top style="medium">
        <color rgb="FF0E2841"/>
      </top>
      <bottom style="medium">
        <color rgb="FF0E2841"/>
      </bottom>
      <diagonal/>
    </border>
    <border>
      <left style="thin">
        <color rgb="FF0E2841"/>
      </left>
      <right style="medium">
        <color rgb="FF0E2841"/>
      </right>
      <top style="medium">
        <color rgb="FF0E2841"/>
      </top>
      <bottom style="medium">
        <color rgb="FF0E2841"/>
      </bottom>
      <diagonal/>
    </border>
    <border>
      <left style="thin">
        <color rgb="FF0E2841"/>
      </left>
      <right style="double">
        <color rgb="FF0E2841"/>
      </right>
      <top style="double">
        <color rgb="FF0E2841"/>
      </top>
      <bottom style="thin">
        <color rgb="FF0E2841"/>
      </bottom>
      <diagonal/>
    </border>
    <border>
      <left style="thin">
        <color rgb="FF0E2841"/>
      </left>
      <right style="double">
        <color rgb="FF0E2841"/>
      </right>
      <top style="thin">
        <color rgb="FF0E2841"/>
      </top>
      <bottom style="hair">
        <color rgb="FF0E2841"/>
      </bottom>
      <diagonal/>
    </border>
    <border>
      <left style="thin">
        <color rgb="FF0E2841"/>
      </left>
      <right style="double">
        <color rgb="FF0E2841"/>
      </right>
      <top style="hair">
        <color rgb="FF0E2841"/>
      </top>
      <bottom style="hair">
        <color rgb="FF0E2841"/>
      </bottom>
      <diagonal/>
    </border>
    <border>
      <left style="medium">
        <color rgb="FF0E2841"/>
      </left>
      <right style="thin">
        <color rgb="FF0E2841"/>
      </right>
      <top style="hair">
        <color rgb="FF0E2841"/>
      </top>
      <bottom style="double">
        <color rgb="FF0E2841"/>
      </bottom>
      <diagonal/>
    </border>
    <border>
      <left style="thin">
        <color rgb="FF0E2841"/>
      </left>
      <right style="thin">
        <color rgb="FF0E2841"/>
      </right>
      <top style="hair">
        <color rgb="FF0E2841"/>
      </top>
      <bottom style="double">
        <color rgb="FF0E2841"/>
      </bottom>
      <diagonal/>
    </border>
    <border>
      <left style="thin">
        <color rgb="FF0E2841"/>
      </left>
      <right style="double">
        <color rgb="FF0E2841"/>
      </right>
      <top style="hair">
        <color rgb="FF0E2841"/>
      </top>
      <bottom style="double">
        <color rgb="FF0E2841"/>
      </bottom>
      <diagonal/>
    </border>
    <border>
      <left style="medium">
        <color rgb="FF0E2841"/>
      </left>
      <right style="thin">
        <color rgb="FF0E2841"/>
      </right>
      <top style="double">
        <color rgb="FF0E2841"/>
      </top>
      <bottom style="medium">
        <color rgb="FF0E2841"/>
      </bottom>
      <diagonal/>
    </border>
    <border>
      <left style="thin">
        <color rgb="FF0E2841"/>
      </left>
      <right style="thin">
        <color rgb="FF0E2841"/>
      </right>
      <top style="double">
        <color rgb="FF0E2841"/>
      </top>
      <bottom style="medium">
        <color rgb="FF0E2841"/>
      </bottom>
      <diagonal/>
    </border>
    <border>
      <left style="thin">
        <color rgb="FF0E2841"/>
      </left>
      <right style="medium">
        <color rgb="FF0E2841"/>
      </right>
      <top style="double">
        <color rgb="FF0E2841"/>
      </top>
      <bottom style="medium">
        <color rgb="FF0E2841"/>
      </bottom>
      <diagonal/>
    </border>
    <border>
      <left style="thin">
        <color rgb="FF0E2841"/>
      </left>
      <right style="medium">
        <color rgb="FF0E2841"/>
      </right>
      <top style="hair">
        <color rgb="FF0E2841"/>
      </top>
      <bottom style="double">
        <color rgb="FF0E2841"/>
      </bottom>
      <diagonal/>
    </border>
    <border>
      <left style="double">
        <color rgb="FF0E2841"/>
      </left>
      <right style="medium">
        <color rgb="FF0E2841"/>
      </right>
      <top style="thin">
        <color rgb="FF0E2841"/>
      </top>
      <bottom style="medium">
        <color rgb="FF0E2841"/>
      </bottom>
      <diagonal/>
    </border>
    <border>
      <left style="medium">
        <color rgb="FF0E2841"/>
      </left>
      <right/>
      <top style="medium">
        <color rgb="FF0E2841"/>
      </top>
      <bottom/>
      <diagonal/>
    </border>
    <border>
      <left/>
      <right style="medium">
        <color rgb="FF0E2841"/>
      </right>
      <top style="medium">
        <color rgb="FF0E2841"/>
      </top>
      <bottom/>
      <diagonal/>
    </border>
    <border>
      <left style="medium">
        <color rgb="FF0E2841"/>
      </left>
      <right/>
      <top/>
      <bottom style="medium">
        <color rgb="FF0E2841"/>
      </bottom>
      <diagonal/>
    </border>
    <border>
      <left/>
      <right/>
      <top/>
      <bottom style="medium">
        <color rgb="FF0E2841"/>
      </bottom>
      <diagonal/>
    </border>
    <border>
      <left/>
      <right style="medium">
        <color rgb="FF0E2841"/>
      </right>
      <top/>
      <bottom style="medium">
        <color rgb="FF0E2841"/>
      </bottom>
      <diagonal/>
    </border>
    <border>
      <left style="medium">
        <color rgb="FF0E2841"/>
      </left>
      <right/>
      <top style="hair">
        <color rgb="FF0E2841"/>
      </top>
      <bottom style="hair">
        <color rgb="FF0E2841"/>
      </bottom>
      <diagonal/>
    </border>
    <border>
      <left style="medium">
        <color rgb="FF0E2841"/>
      </left>
      <right/>
      <top style="hair">
        <color rgb="FF0E2841"/>
      </top>
      <bottom style="medium">
        <color rgb="FF0E2841"/>
      </bottom>
      <diagonal/>
    </border>
    <border>
      <left style="medium">
        <color rgb="FF0E2841"/>
      </left>
      <right/>
      <top/>
      <bottom style="hair">
        <color rgb="FF0E284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rgb="FF0E2841"/>
      </right>
      <top style="hair">
        <color rgb="FF0E2841"/>
      </top>
      <bottom style="medium">
        <color rgb="FF0E2841"/>
      </bottom>
      <diagonal/>
    </border>
    <border>
      <left/>
      <right style="thin">
        <color rgb="FF0E2841"/>
      </right>
      <top/>
      <bottom style="hair">
        <color rgb="FF0E2841"/>
      </bottom>
      <diagonal/>
    </border>
    <border>
      <left style="medium">
        <color indexed="64"/>
      </left>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auto="1"/>
      </bottom>
      <diagonal/>
    </border>
    <border>
      <left style="medium">
        <color auto="1"/>
      </left>
      <right/>
      <top style="medium">
        <color auto="1"/>
      </top>
      <bottom style="thin">
        <color indexed="64"/>
      </bottom>
      <diagonal/>
    </border>
    <border>
      <left/>
      <right/>
      <top style="medium">
        <color auto="1"/>
      </top>
      <bottom style="thin">
        <color indexed="64"/>
      </bottom>
      <diagonal/>
    </border>
    <border>
      <left/>
      <right style="medium">
        <color auto="1"/>
      </right>
      <top style="medium">
        <color auto="1"/>
      </top>
      <bottom style="thin">
        <color indexed="64"/>
      </bottom>
      <diagonal/>
    </border>
    <border>
      <left style="thin">
        <color indexed="64"/>
      </left>
      <right/>
      <top style="thin">
        <color indexed="64"/>
      </top>
      <bottom style="hair">
        <color rgb="FF0E2841"/>
      </bottom>
      <diagonal/>
    </border>
    <border>
      <left/>
      <right style="medium">
        <color auto="1"/>
      </right>
      <top style="thin">
        <color indexed="64"/>
      </top>
      <bottom style="hair">
        <color rgb="FF0E2841"/>
      </bottom>
      <diagonal/>
    </border>
    <border>
      <left style="thin">
        <color indexed="64"/>
      </left>
      <right/>
      <top style="hair">
        <color rgb="FF0E2841"/>
      </top>
      <bottom style="hair">
        <color rgb="FF0E2841"/>
      </bottom>
      <diagonal/>
    </border>
    <border>
      <left/>
      <right style="medium">
        <color auto="1"/>
      </right>
      <top style="hair">
        <color rgb="FF0E2841"/>
      </top>
      <bottom style="hair">
        <color rgb="FF0E2841"/>
      </bottom>
      <diagonal/>
    </border>
    <border>
      <left style="thin">
        <color indexed="64"/>
      </left>
      <right/>
      <top style="hair">
        <color rgb="FF0E2841"/>
      </top>
      <bottom style="medium">
        <color rgb="FF0E2841"/>
      </bottom>
      <diagonal/>
    </border>
    <border>
      <left/>
      <right style="medium">
        <color auto="1"/>
      </right>
      <top style="hair">
        <color rgb="FF0E2841"/>
      </top>
      <bottom style="medium">
        <color rgb="FF0E284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s>
  <cellStyleXfs count="292">
    <xf numFmtId="0" fontId="0" fillId="0" borderId="0"/>
    <xf numFmtId="43" fontId="2"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43" fontId="5" fillId="0" borderId="0" applyFont="0" applyFill="0" applyBorder="0" applyAlignment="0" applyProtection="0"/>
    <xf numFmtId="43" fontId="11"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1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0" fontId="6" fillId="0" borderId="0"/>
    <xf numFmtId="0" fontId="13" fillId="0" borderId="0"/>
    <xf numFmtId="0" fontId="6" fillId="0" borderId="0"/>
    <xf numFmtId="0" fontId="13" fillId="0" borderId="0"/>
    <xf numFmtId="0" fontId="6" fillId="0" borderId="0"/>
    <xf numFmtId="0" fontId="5" fillId="0" borderId="0"/>
    <xf numFmtId="0" fontId="6" fillId="0" borderId="0"/>
    <xf numFmtId="0" fontId="5" fillId="0" borderId="0"/>
    <xf numFmtId="0" fontId="5" fillId="0" borderId="0"/>
    <xf numFmtId="0" fontId="6" fillId="0" borderId="0"/>
    <xf numFmtId="0" fontId="13" fillId="0" borderId="0"/>
    <xf numFmtId="0" fontId="5" fillId="0" borderId="0"/>
    <xf numFmtId="0" fontId="6" fillId="0" borderId="0"/>
    <xf numFmtId="0" fontId="5" fillId="0" borderId="0"/>
    <xf numFmtId="0" fontId="13" fillId="0" borderId="0"/>
    <xf numFmtId="0" fontId="6" fillId="0" borderId="0"/>
    <xf numFmtId="0" fontId="5" fillId="0" borderId="0"/>
    <xf numFmtId="0" fontId="6" fillId="0" borderId="0"/>
    <xf numFmtId="0" fontId="5" fillId="0" borderId="0"/>
    <xf numFmtId="0" fontId="5" fillId="0" borderId="0"/>
    <xf numFmtId="0" fontId="6" fillId="0" borderId="0"/>
    <xf numFmtId="0" fontId="5" fillId="0" borderId="0"/>
    <xf numFmtId="0" fontId="6" fillId="0" borderId="0"/>
    <xf numFmtId="0" fontId="13" fillId="0" borderId="0"/>
    <xf numFmtId="0" fontId="6" fillId="0" borderId="0"/>
    <xf numFmtId="0" fontId="13" fillId="0" borderId="0"/>
    <xf numFmtId="0" fontId="5" fillId="0" borderId="0"/>
    <xf numFmtId="0" fontId="13" fillId="0" borderId="0"/>
    <xf numFmtId="0" fontId="13" fillId="0" borderId="0"/>
    <xf numFmtId="0" fontId="6" fillId="0" borderId="0"/>
    <xf numFmtId="0" fontId="5" fillId="0" borderId="0"/>
    <xf numFmtId="0" fontId="5" fillId="0" borderId="0"/>
    <xf numFmtId="0" fontId="6" fillId="0" borderId="0"/>
    <xf numFmtId="0" fontId="13" fillId="0" borderId="0"/>
    <xf numFmtId="0" fontId="5" fillId="0" borderId="0"/>
    <xf numFmtId="0" fontId="13" fillId="0" borderId="0"/>
    <xf numFmtId="0" fontId="11" fillId="0" borderId="0"/>
    <xf numFmtId="0" fontId="5" fillId="0" borderId="0"/>
    <xf numFmtId="0" fontId="12" fillId="0" borderId="0"/>
    <xf numFmtId="0" fontId="5" fillId="0" borderId="0"/>
    <xf numFmtId="0" fontId="6" fillId="0" borderId="0"/>
    <xf numFmtId="0" fontId="13" fillId="0" borderId="0"/>
    <xf numFmtId="0" fontId="6" fillId="0" borderId="0"/>
    <xf numFmtId="0" fontId="13" fillId="0" borderId="0"/>
    <xf numFmtId="0" fontId="5" fillId="0" borderId="0"/>
    <xf numFmtId="0" fontId="13" fillId="0" borderId="0"/>
    <xf numFmtId="0" fontId="13" fillId="0" borderId="0"/>
    <xf numFmtId="0" fontId="6" fillId="0" borderId="0"/>
    <xf numFmtId="0" fontId="5" fillId="0" borderId="0"/>
    <xf numFmtId="0" fontId="5" fillId="0" borderId="0"/>
    <xf numFmtId="0" fontId="13" fillId="0" borderId="0"/>
    <xf numFmtId="0" fontId="6" fillId="0" borderId="0"/>
    <xf numFmtId="0" fontId="13" fillId="0" borderId="0"/>
    <xf numFmtId="0" fontId="5" fillId="0" borderId="0"/>
    <xf numFmtId="0" fontId="13" fillId="0" borderId="0"/>
    <xf numFmtId="0" fontId="11" fillId="0" borderId="0"/>
    <xf numFmtId="0" fontId="5" fillId="0" borderId="0"/>
    <xf numFmtId="0" fontId="6" fillId="0" borderId="0"/>
    <xf numFmtId="0" fontId="5" fillId="0" borderId="0"/>
    <xf numFmtId="0" fontId="6" fillId="0" borderId="0"/>
    <xf numFmtId="0" fontId="5" fillId="0" borderId="0"/>
    <xf numFmtId="0" fontId="7" fillId="0" borderId="0"/>
    <xf numFmtId="0" fontId="5" fillId="0" borderId="0"/>
    <xf numFmtId="0" fontId="8" fillId="0" borderId="0"/>
    <xf numFmtId="0" fontId="5" fillId="0" borderId="0"/>
    <xf numFmtId="0" fontId="9" fillId="0" borderId="0"/>
    <xf numFmtId="0" fontId="5" fillId="0" borderId="0"/>
    <xf numFmtId="0" fontId="10" fillId="0" borderId="0"/>
    <xf numFmtId="0" fontId="5" fillId="0" borderId="0"/>
    <xf numFmtId="0" fontId="6" fillId="0" borderId="0"/>
    <xf numFmtId="0" fontId="5" fillId="0" borderId="0"/>
    <xf numFmtId="0" fontId="6" fillId="0" borderId="0"/>
    <xf numFmtId="0" fontId="5" fillId="0" borderId="0"/>
    <xf numFmtId="9" fontId="2"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7"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9" fontId="5"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0" fontId="1" fillId="0" borderId="0"/>
    <xf numFmtId="0" fontId="14"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1" fillId="0" borderId="0"/>
    <xf numFmtId="0" fontId="2" fillId="0" borderId="0"/>
    <xf numFmtId="0" fontId="2" fillId="0" borderId="0"/>
    <xf numFmtId="0" fontId="2" fillId="0" borderId="0"/>
    <xf numFmtId="0" fontId="1" fillId="0" borderId="0"/>
    <xf numFmtId="0" fontId="2" fillId="0" borderId="0"/>
    <xf numFmtId="0" fontId="1"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15" fillId="0" borderId="0" applyBorder="0">
      <protection locked="0"/>
    </xf>
  </cellStyleXfs>
  <cellXfs count="727">
    <xf numFmtId="0" fontId="0" fillId="0" borderId="0" xfId="0"/>
    <xf numFmtId="0" fontId="31" fillId="13" borderId="62" xfId="0" applyFont="1" applyFill="1" applyBorder="1" applyAlignment="1" applyProtection="1">
      <alignment horizontal="center" vertical="center"/>
      <protection locked="0"/>
    </xf>
    <xf numFmtId="0" fontId="31" fillId="13" borderId="35" xfId="0" applyFont="1" applyFill="1" applyBorder="1" applyAlignment="1" applyProtection="1">
      <alignment horizontal="center" vertical="center"/>
      <protection locked="0"/>
    </xf>
    <xf numFmtId="0" fontId="31" fillId="13" borderId="64" xfId="0" applyFont="1" applyFill="1" applyBorder="1" applyAlignment="1" applyProtection="1">
      <alignment horizontal="center" vertical="center"/>
      <protection locked="0"/>
    </xf>
    <xf numFmtId="0" fontId="31" fillId="5" borderId="62" xfId="103" applyFont="1" applyFill="1" applyBorder="1" applyAlignment="1" applyProtection="1">
      <alignment horizontal="center" vertical="center"/>
      <protection locked="0"/>
    </xf>
    <xf numFmtId="0" fontId="31" fillId="5" borderId="35" xfId="103" applyFont="1" applyFill="1" applyBorder="1" applyAlignment="1" applyProtection="1">
      <alignment horizontal="center" vertical="center"/>
      <protection locked="0"/>
    </xf>
    <xf numFmtId="0" fontId="31" fillId="5" borderId="64" xfId="103" applyFont="1" applyFill="1" applyBorder="1" applyAlignment="1" applyProtection="1">
      <alignment horizontal="center" vertical="center"/>
      <protection locked="0"/>
    </xf>
    <xf numFmtId="1" fontId="31" fillId="0" borderId="41" xfId="0" applyNumberFormat="1" applyFont="1" applyBorder="1" applyAlignment="1" applyProtection="1">
      <alignment horizontal="center" vertical="center"/>
      <protection locked="0"/>
    </xf>
    <xf numFmtId="0" fontId="21" fillId="0" borderId="40" xfId="0" applyFont="1" applyBorder="1" applyAlignment="1" applyProtection="1">
      <alignment horizontal="center" vertical="center"/>
      <protection locked="0"/>
    </xf>
    <xf numFmtId="0" fontId="21" fillId="0" borderId="43" xfId="0" applyFont="1" applyBorder="1" applyAlignment="1" applyProtection="1">
      <alignment horizontal="center" vertical="center"/>
      <protection locked="0"/>
    </xf>
    <xf numFmtId="0" fontId="17" fillId="13" borderId="40" xfId="103" applyFont="1" applyFill="1" applyBorder="1" applyAlignment="1" applyProtection="1">
      <alignment horizontal="center" vertical="center"/>
      <protection locked="0"/>
    </xf>
    <xf numFmtId="0" fontId="17" fillId="5" borderId="40" xfId="103" applyFont="1" applyFill="1" applyBorder="1" applyAlignment="1" applyProtection="1">
      <alignment horizontal="center" vertical="center"/>
      <protection locked="0"/>
    </xf>
    <xf numFmtId="0" fontId="17" fillId="13" borderId="39" xfId="103" applyFont="1" applyFill="1" applyBorder="1" applyAlignment="1" applyProtection="1">
      <alignment horizontal="center" vertical="center"/>
      <protection locked="0"/>
    </xf>
    <xf numFmtId="0" fontId="17" fillId="13" borderId="43" xfId="103" applyFont="1" applyFill="1" applyBorder="1" applyAlignment="1" applyProtection="1">
      <alignment horizontal="center" vertical="center"/>
      <protection locked="0"/>
    </xf>
    <xf numFmtId="0" fontId="17" fillId="5" borderId="43" xfId="103" applyFont="1" applyFill="1" applyBorder="1" applyAlignment="1" applyProtection="1">
      <alignment horizontal="center" vertical="center"/>
      <protection locked="0"/>
    </xf>
    <xf numFmtId="0" fontId="17" fillId="13" borderId="42" xfId="103" applyFont="1" applyFill="1" applyBorder="1" applyAlignment="1" applyProtection="1">
      <alignment horizontal="center" vertical="center"/>
      <protection locked="0"/>
    </xf>
    <xf numFmtId="0" fontId="17" fillId="17" borderId="40" xfId="103" applyFont="1" applyFill="1" applyBorder="1" applyAlignment="1" applyProtection="1">
      <alignment horizontal="center" vertical="center"/>
      <protection locked="0"/>
    </xf>
    <xf numFmtId="0" fontId="17" fillId="17" borderId="43" xfId="103" applyFont="1" applyFill="1" applyBorder="1" applyAlignment="1" applyProtection="1">
      <alignment horizontal="center" vertical="center"/>
      <protection locked="0"/>
    </xf>
    <xf numFmtId="164" fontId="27" fillId="0" borderId="75" xfId="0" applyNumberFormat="1" applyFont="1" applyBorder="1" applyAlignment="1" applyProtection="1">
      <alignment vertical="center"/>
      <protection locked="0"/>
    </xf>
    <xf numFmtId="164" fontId="27" fillId="0" borderId="75" xfId="0" applyNumberFormat="1" applyFont="1" applyBorder="1" applyAlignment="1" applyProtection="1">
      <alignment horizontal="center" vertical="center"/>
      <protection locked="0"/>
    </xf>
    <xf numFmtId="0" fontId="21" fillId="0" borderId="40" xfId="0" applyFont="1" applyBorder="1" applyAlignment="1" applyProtection="1">
      <alignment vertical="center"/>
      <protection locked="0"/>
    </xf>
    <xf numFmtId="0" fontId="21" fillId="0" borderId="43" xfId="0" applyFont="1" applyBorder="1" applyAlignment="1" applyProtection="1">
      <alignment vertical="center"/>
      <protection locked="0"/>
    </xf>
    <xf numFmtId="0" fontId="17" fillId="15" borderId="40" xfId="0" applyFont="1" applyFill="1" applyBorder="1" applyAlignment="1" applyProtection="1">
      <alignment horizontal="center" vertical="center"/>
      <protection locked="0"/>
    </xf>
    <xf numFmtId="169" fontId="31" fillId="13" borderId="61" xfId="0" applyNumberFormat="1" applyFont="1" applyFill="1" applyBorder="1" applyAlignment="1" applyProtection="1">
      <alignment horizontal="center" vertical="center"/>
      <protection locked="0"/>
    </xf>
    <xf numFmtId="169" fontId="31" fillId="13" borderId="34" xfId="0" applyNumberFormat="1" applyFont="1" applyFill="1" applyBorder="1" applyAlignment="1" applyProtection="1">
      <alignment horizontal="center" vertical="center"/>
      <protection locked="0"/>
    </xf>
    <xf numFmtId="169" fontId="31" fillId="13" borderId="63" xfId="0" applyNumberFormat="1" applyFont="1" applyFill="1" applyBorder="1" applyAlignment="1" applyProtection="1">
      <alignment horizontal="center" vertical="center"/>
      <protection locked="0"/>
    </xf>
    <xf numFmtId="169" fontId="31" fillId="5" borderId="61" xfId="103" applyNumberFormat="1" applyFont="1" applyFill="1" applyBorder="1" applyAlignment="1" applyProtection="1">
      <alignment horizontal="center" vertical="center"/>
      <protection locked="0"/>
    </xf>
    <xf numFmtId="169" fontId="31" fillId="5" borderId="34" xfId="103" applyNumberFormat="1" applyFont="1" applyFill="1" applyBorder="1" applyAlignment="1" applyProtection="1">
      <alignment horizontal="center" vertical="center"/>
      <protection locked="0"/>
    </xf>
    <xf numFmtId="169" fontId="31" fillId="5" borderId="63" xfId="103" applyNumberFormat="1" applyFont="1" applyFill="1" applyBorder="1" applyAlignment="1" applyProtection="1">
      <alignment horizontal="center" vertical="center"/>
      <protection locked="0"/>
    </xf>
    <xf numFmtId="169" fontId="31" fillId="0" borderId="40" xfId="0" applyNumberFormat="1" applyFont="1" applyBorder="1" applyAlignment="1" applyProtection="1">
      <alignment horizontal="center" vertical="center"/>
      <protection locked="0"/>
    </xf>
    <xf numFmtId="2" fontId="31" fillId="0" borderId="0" xfId="0" applyNumberFormat="1" applyFont="1" applyAlignment="1">
      <alignment horizontal="center" vertical="center"/>
    </xf>
    <xf numFmtId="0" fontId="31" fillId="0" borderId="0" xfId="0" applyFont="1" applyAlignment="1">
      <alignment horizontal="center" vertical="center"/>
    </xf>
    <xf numFmtId="0" fontId="19" fillId="0" borderId="0" xfId="0" applyFont="1" applyAlignment="1">
      <alignment horizontal="center" vertical="center"/>
    </xf>
    <xf numFmtId="0" fontId="16" fillId="16" borderId="0" xfId="0" applyFont="1" applyFill="1" applyAlignment="1">
      <alignment vertical="center"/>
    </xf>
    <xf numFmtId="0" fontId="16" fillId="16" borderId="0" xfId="0" applyFont="1" applyFill="1" applyAlignment="1">
      <alignment horizontal="center" vertical="center"/>
    </xf>
    <xf numFmtId="0" fontId="17" fillId="16" borderId="0" xfId="0" applyFont="1" applyFill="1" applyAlignment="1">
      <alignment horizontal="center" vertical="center"/>
    </xf>
    <xf numFmtId="0" fontId="16" fillId="0" borderId="0" xfId="0" applyFont="1" applyAlignment="1">
      <alignment vertical="center"/>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applyAlignment="1">
      <alignment vertical="center"/>
    </xf>
    <xf numFmtId="0" fontId="19" fillId="8" borderId="115" xfId="0" applyFont="1" applyFill="1" applyBorder="1" applyAlignment="1">
      <alignment vertical="center"/>
    </xf>
    <xf numFmtId="0" fontId="19" fillId="8" borderId="48" xfId="0" applyFont="1" applyFill="1" applyBorder="1" applyAlignment="1">
      <alignment vertical="center"/>
    </xf>
    <xf numFmtId="0" fontId="18" fillId="16" borderId="0" xfId="0" applyFont="1" applyFill="1" applyAlignment="1">
      <alignment vertical="center"/>
    </xf>
    <xf numFmtId="0" fontId="19" fillId="0" borderId="0" xfId="0" applyFont="1" applyAlignment="1">
      <alignment vertical="center"/>
    </xf>
    <xf numFmtId="0" fontId="19" fillId="16" borderId="0" xfId="0" applyFont="1" applyFill="1" applyAlignment="1">
      <alignment vertical="center"/>
    </xf>
    <xf numFmtId="0" fontId="20" fillId="16" borderId="0" xfId="0" applyFont="1" applyFill="1" applyAlignment="1">
      <alignment vertical="center"/>
    </xf>
    <xf numFmtId="0" fontId="20" fillId="0" borderId="0" xfId="0" applyFont="1" applyAlignment="1">
      <alignment horizontal="center" vertical="center"/>
    </xf>
    <xf numFmtId="0" fontId="20" fillId="0" borderId="0" xfId="0" applyFont="1" applyAlignment="1">
      <alignment vertical="center"/>
    </xf>
    <xf numFmtId="0" fontId="20" fillId="0" borderId="96" xfId="0" applyFont="1" applyBorder="1" applyAlignment="1">
      <alignment vertical="center"/>
    </xf>
    <xf numFmtId="0" fontId="19" fillId="0" borderId="96" xfId="0" applyFont="1" applyBorder="1" applyAlignment="1">
      <alignment vertical="center"/>
    </xf>
    <xf numFmtId="0" fontId="19" fillId="0" borderId="96" xfId="0" applyFont="1" applyBorder="1" applyAlignment="1">
      <alignment horizontal="left" vertical="center"/>
    </xf>
    <xf numFmtId="0" fontId="22" fillId="0" borderId="0" xfId="0" applyFont="1" applyAlignment="1">
      <alignment vertical="center"/>
    </xf>
    <xf numFmtId="0" fontId="23" fillId="0" borderId="0" xfId="0" applyFont="1" applyAlignment="1">
      <alignment horizontal="center" vertical="center"/>
    </xf>
    <xf numFmtId="0" fontId="24" fillId="16" borderId="0" xfId="0" applyFont="1" applyFill="1" applyAlignment="1">
      <alignment horizontal="center" vertical="center"/>
    </xf>
    <xf numFmtId="0" fontId="24" fillId="0" borderId="0" xfId="0" applyFont="1" applyAlignment="1">
      <alignment horizontal="center" vertical="center"/>
    </xf>
    <xf numFmtId="0" fontId="21" fillId="16" borderId="0" xfId="0" applyFont="1" applyFill="1" applyAlignment="1">
      <alignment horizontal="center" vertical="center" wrapText="1"/>
    </xf>
    <xf numFmtId="0" fontId="19" fillId="0" borderId="51" xfId="0" applyFont="1" applyBorder="1" applyAlignment="1">
      <alignment horizontal="center" vertical="center" wrapText="1"/>
    </xf>
    <xf numFmtId="165" fontId="19" fillId="0" borderId="66" xfId="0" applyNumberFormat="1" applyFont="1" applyBorder="1" applyAlignment="1">
      <alignment horizontal="center" vertical="center" wrapText="1"/>
    </xf>
    <xf numFmtId="0" fontId="21" fillId="0" borderId="67" xfId="0" applyFont="1" applyBorder="1" applyAlignment="1">
      <alignment horizontal="center" vertical="center" wrapText="1"/>
    </xf>
    <xf numFmtId="0" fontId="19" fillId="0" borderId="39" xfId="0" applyFont="1" applyBorder="1" applyAlignment="1">
      <alignment horizontal="center" vertical="center" wrapText="1"/>
    </xf>
    <xf numFmtId="165" fontId="19" fillId="0" borderId="40" xfId="0" applyNumberFormat="1" applyFont="1" applyBorder="1" applyAlignment="1">
      <alignment horizontal="center" vertical="center" wrapText="1"/>
    </xf>
    <xf numFmtId="0" fontId="21" fillId="0" borderId="41" xfId="0" applyFont="1" applyBorder="1" applyAlignment="1">
      <alignment horizontal="center" vertical="center" wrapText="1"/>
    </xf>
    <xf numFmtId="0" fontId="21" fillId="0" borderId="0" xfId="0" applyFont="1" applyAlignment="1">
      <alignment horizontal="center" vertical="center" wrapText="1"/>
    </xf>
    <xf numFmtId="9" fontId="22" fillId="0" borderId="45" xfId="0" applyNumberFormat="1" applyFont="1" applyBorder="1" applyAlignment="1">
      <alignment horizontal="center" vertical="center" wrapText="1"/>
    </xf>
    <xf numFmtId="0" fontId="21" fillId="0" borderId="46" xfId="0" applyFont="1" applyBorder="1" applyAlignment="1">
      <alignment vertical="center" wrapText="1"/>
    </xf>
    <xf numFmtId="0" fontId="21" fillId="0" borderId="47" xfId="0" applyFont="1" applyBorder="1" applyAlignment="1">
      <alignment vertical="center" wrapText="1"/>
    </xf>
    <xf numFmtId="9" fontId="22" fillId="11" borderId="39" xfId="0" applyNumberFormat="1" applyFont="1" applyFill="1" applyBorder="1" applyAlignment="1">
      <alignment horizontal="center" vertical="center" wrapText="1"/>
    </xf>
    <xf numFmtId="0" fontId="21" fillId="12" borderId="40" xfId="0" applyFont="1" applyFill="1" applyBorder="1" applyAlignment="1">
      <alignment vertical="center" wrapText="1"/>
    </xf>
    <xf numFmtId="0" fontId="21" fillId="12" borderId="41" xfId="0" applyFont="1" applyFill="1" applyBorder="1" applyAlignment="1">
      <alignment vertical="center" wrapText="1"/>
    </xf>
    <xf numFmtId="0" fontId="17" fillId="8" borderId="27" xfId="0" applyFont="1" applyFill="1" applyBorder="1" applyAlignment="1">
      <alignment horizontal="center" vertical="center"/>
    </xf>
    <xf numFmtId="168" fontId="16" fillId="3" borderId="40" xfId="0" applyNumberFormat="1" applyFont="1" applyFill="1" applyBorder="1" applyAlignment="1">
      <alignment horizontal="center" vertical="center"/>
    </xf>
    <xf numFmtId="0" fontId="16" fillId="3" borderId="41" xfId="0" applyFont="1" applyFill="1" applyBorder="1" applyAlignment="1">
      <alignment horizontal="center" vertical="center"/>
    </xf>
    <xf numFmtId="168" fontId="16" fillId="4" borderId="40" xfId="0" applyNumberFormat="1" applyFont="1" applyFill="1" applyBorder="1" applyAlignment="1">
      <alignment horizontal="center" vertical="center"/>
    </xf>
    <xf numFmtId="0" fontId="16" fillId="4" borderId="41" xfId="0" applyFont="1" applyFill="1" applyBorder="1" applyAlignment="1">
      <alignment horizontal="center" vertical="center"/>
    </xf>
    <xf numFmtId="168" fontId="16" fillId="10" borderId="40" xfId="0" applyNumberFormat="1" applyFont="1" applyFill="1" applyBorder="1" applyAlignment="1">
      <alignment horizontal="center" vertical="center"/>
    </xf>
    <xf numFmtId="0" fontId="16" fillId="10" borderId="41" xfId="0" applyFont="1" applyFill="1" applyBorder="1" applyAlignment="1">
      <alignment horizontal="center" vertical="center"/>
    </xf>
    <xf numFmtId="0" fontId="17" fillId="8" borderId="29" xfId="0" applyFont="1" applyFill="1" applyBorder="1" applyAlignment="1">
      <alignment horizontal="center" vertical="center"/>
    </xf>
    <xf numFmtId="0" fontId="16" fillId="16" borderId="39" xfId="0" applyFont="1" applyFill="1" applyBorder="1" applyAlignment="1">
      <alignment vertical="center"/>
    </xf>
    <xf numFmtId="0" fontId="31" fillId="0" borderId="32" xfId="0" applyFont="1" applyBorder="1" applyAlignment="1">
      <alignment horizontal="center" vertical="center"/>
    </xf>
    <xf numFmtId="0" fontId="31" fillId="0" borderId="35" xfId="0" applyFont="1" applyBorder="1" applyAlignment="1">
      <alignment horizontal="center" vertical="center"/>
    </xf>
    <xf numFmtId="0" fontId="31" fillId="0" borderId="38" xfId="0" applyFont="1" applyBorder="1" applyAlignment="1">
      <alignment horizontal="center" vertical="center"/>
    </xf>
    <xf numFmtId="169" fontId="21" fillId="16" borderId="48" xfId="0" applyNumberFormat="1" applyFont="1" applyFill="1" applyBorder="1" applyAlignment="1">
      <alignment vertical="center" wrapText="1"/>
    </xf>
    <xf numFmtId="0" fontId="21" fillId="16" borderId="47" xfId="0" applyFont="1" applyFill="1" applyBorder="1" applyAlignment="1">
      <alignment vertical="center" wrapText="1"/>
    </xf>
    <xf numFmtId="0" fontId="21" fillId="16" borderId="51" xfId="0" applyFont="1" applyFill="1" applyBorder="1" applyAlignment="1">
      <alignment vertical="center" wrapText="1"/>
    </xf>
    <xf numFmtId="0" fontId="28" fillId="0" borderId="0" xfId="0" applyFont="1" applyAlignment="1">
      <alignment horizontal="center" vertical="center"/>
    </xf>
    <xf numFmtId="0" fontId="31" fillId="0" borderId="135" xfId="0" applyFont="1" applyBorder="1" applyAlignment="1">
      <alignment horizontal="center" vertical="center"/>
    </xf>
    <xf numFmtId="9" fontId="18" fillId="0" borderId="39" xfId="0" applyNumberFormat="1" applyFont="1" applyBorder="1" applyAlignment="1">
      <alignment horizontal="center" vertical="center" wrapText="1"/>
    </xf>
    <xf numFmtId="0" fontId="16" fillId="0" borderId="129" xfId="0" applyFont="1" applyBorder="1" applyAlignment="1">
      <alignment vertical="center"/>
    </xf>
    <xf numFmtId="0" fontId="16" fillId="0" borderId="130" xfId="0" applyFont="1" applyBorder="1" applyAlignment="1">
      <alignment vertical="center"/>
    </xf>
    <xf numFmtId="0" fontId="17" fillId="0" borderId="131" xfId="0" applyFont="1" applyBorder="1" applyAlignment="1">
      <alignment horizontal="center" vertical="center"/>
    </xf>
    <xf numFmtId="0" fontId="21" fillId="0" borderId="55" xfId="0" applyFont="1" applyBorder="1" applyAlignment="1">
      <alignment vertical="center" wrapText="1"/>
    </xf>
    <xf numFmtId="0" fontId="21" fillId="0" borderId="56" xfId="0" applyFont="1" applyBorder="1" applyAlignment="1">
      <alignment vertical="center" wrapText="1"/>
    </xf>
    <xf numFmtId="0" fontId="21" fillId="0" borderId="57" xfId="0" applyFont="1" applyBorder="1" applyAlignment="1">
      <alignment vertical="center" wrapText="1"/>
    </xf>
    <xf numFmtId="0" fontId="25" fillId="15" borderId="22" xfId="0" applyFont="1" applyFill="1" applyBorder="1" applyAlignment="1">
      <alignment horizontal="center" vertical="center"/>
    </xf>
    <xf numFmtId="0" fontId="23" fillId="16" borderId="0" xfId="0" applyFont="1" applyFill="1" applyAlignment="1">
      <alignment horizontal="center" vertical="center"/>
    </xf>
    <xf numFmtId="0" fontId="33" fillId="0" borderId="40" xfId="0" applyFont="1" applyBorder="1" applyAlignment="1" applyProtection="1">
      <alignment horizontal="center" vertical="center"/>
      <protection locked="0"/>
    </xf>
    <xf numFmtId="0" fontId="33" fillId="0" borderId="43" xfId="0" applyFont="1" applyBorder="1" applyAlignment="1" applyProtection="1">
      <alignment horizontal="center" vertical="center"/>
      <protection locked="0"/>
    </xf>
    <xf numFmtId="0" fontId="32" fillId="16" borderId="0" xfId="0" applyFont="1" applyFill="1" applyAlignment="1" applyProtection="1">
      <alignment vertical="center"/>
      <protection hidden="1"/>
    </xf>
    <xf numFmtId="0" fontId="32" fillId="0" borderId="0" xfId="0" applyFont="1" applyAlignment="1" applyProtection="1">
      <alignment vertical="center"/>
      <protection hidden="1"/>
    </xf>
    <xf numFmtId="0" fontId="32" fillId="0" borderId="0" xfId="0" applyFont="1" applyAlignment="1" applyProtection="1">
      <alignment horizontal="center" vertical="center"/>
      <protection hidden="1"/>
    </xf>
    <xf numFmtId="49" fontId="32" fillId="0" borderId="0" xfId="0" applyNumberFormat="1" applyFont="1" applyAlignment="1" applyProtection="1">
      <alignment horizontal="center" vertical="center"/>
      <protection hidden="1"/>
    </xf>
    <xf numFmtId="2" fontId="17" fillId="0" borderId="0" xfId="0" applyNumberFormat="1" applyFont="1" applyAlignment="1" applyProtection="1">
      <alignment horizontal="center" vertical="center"/>
      <protection hidden="1"/>
    </xf>
    <xf numFmtId="0" fontId="32" fillId="16" borderId="0" xfId="0" applyFont="1" applyFill="1" applyAlignment="1" applyProtection="1">
      <alignment horizontal="center" vertical="center"/>
      <protection hidden="1"/>
    </xf>
    <xf numFmtId="49" fontId="32" fillId="16" borderId="0" xfId="0" applyNumberFormat="1" applyFont="1" applyFill="1" applyAlignment="1" applyProtection="1">
      <alignment horizontal="center" vertical="center"/>
      <protection hidden="1"/>
    </xf>
    <xf numFmtId="2" fontId="17" fillId="16" borderId="0" xfId="0" applyNumberFormat="1" applyFont="1" applyFill="1" applyAlignment="1" applyProtection="1">
      <alignment horizontal="center" vertical="center"/>
      <protection hidden="1"/>
    </xf>
    <xf numFmtId="0" fontId="32" fillId="0" borderId="4" xfId="0" applyFont="1" applyBorder="1" applyAlignment="1" applyProtection="1">
      <alignment vertical="center"/>
      <protection hidden="1"/>
    </xf>
    <xf numFmtId="0" fontId="23" fillId="0" borderId="0" xfId="145" applyFont="1" applyAlignment="1" applyProtection="1">
      <alignment vertical="center"/>
      <protection hidden="1"/>
    </xf>
    <xf numFmtId="0" fontId="32" fillId="0" borderId="1" xfId="0" applyFont="1" applyBorder="1" applyAlignment="1" applyProtection="1">
      <alignment vertical="center"/>
      <protection hidden="1"/>
    </xf>
    <xf numFmtId="2" fontId="23" fillId="8" borderId="41" xfId="0" applyNumberFormat="1" applyFont="1" applyFill="1" applyBorder="1" applyAlignment="1" applyProtection="1">
      <alignment horizontal="center" vertical="center"/>
      <protection hidden="1"/>
    </xf>
    <xf numFmtId="1" fontId="23" fillId="8" borderId="40" xfId="0" applyNumberFormat="1" applyFont="1" applyFill="1" applyBorder="1" applyAlignment="1" applyProtection="1">
      <alignment horizontal="center" vertical="center"/>
      <protection hidden="1"/>
    </xf>
    <xf numFmtId="0" fontId="17" fillId="0" borderId="0" xfId="0" applyFont="1" applyAlignment="1" applyProtection="1">
      <alignment vertical="center"/>
      <protection hidden="1"/>
    </xf>
    <xf numFmtId="0" fontId="23" fillId="8" borderId="39" xfId="0" applyFont="1" applyFill="1" applyBorder="1" applyAlignment="1" applyProtection="1">
      <alignment horizontal="center" vertical="center"/>
      <protection hidden="1"/>
    </xf>
    <xf numFmtId="0" fontId="23" fillId="8" borderId="42" xfId="0" applyFont="1" applyFill="1" applyBorder="1" applyAlignment="1" applyProtection="1">
      <alignment horizontal="center" vertical="center"/>
      <protection hidden="1"/>
    </xf>
    <xf numFmtId="0" fontId="19" fillId="16" borderId="0" xfId="0" applyFont="1" applyFill="1" applyAlignment="1" applyProtection="1">
      <alignment horizontal="left" vertical="center"/>
      <protection hidden="1"/>
    </xf>
    <xf numFmtId="0" fontId="19" fillId="0" borderId="0" xfId="0" applyFont="1" applyAlignment="1" applyProtection="1">
      <alignment horizontal="left" vertical="center"/>
      <protection hidden="1"/>
    </xf>
    <xf numFmtId="9" fontId="22" fillId="8" borderId="68" xfId="0" applyNumberFormat="1" applyFont="1" applyFill="1" applyBorder="1" applyAlignment="1" applyProtection="1">
      <alignment horizontal="center" vertical="center"/>
      <protection hidden="1"/>
    </xf>
    <xf numFmtId="9" fontId="21" fillId="17" borderId="68" xfId="0" applyNumberFormat="1" applyFont="1" applyFill="1" applyBorder="1" applyAlignment="1" applyProtection="1">
      <alignment horizontal="center" vertical="center"/>
      <protection hidden="1"/>
    </xf>
    <xf numFmtId="9" fontId="22" fillId="8" borderId="65" xfId="0" applyNumberFormat="1" applyFont="1" applyFill="1" applyBorder="1" applyAlignment="1" applyProtection="1">
      <alignment horizontal="center" vertical="center"/>
      <protection hidden="1"/>
    </xf>
    <xf numFmtId="0" fontId="17" fillId="13" borderId="66" xfId="103" applyFont="1" applyFill="1" applyBorder="1" applyAlignment="1" applyProtection="1">
      <alignment horizontal="center" vertical="center"/>
      <protection hidden="1"/>
    </xf>
    <xf numFmtId="0" fontId="17" fillId="5" borderId="66" xfId="103" applyFont="1" applyFill="1" applyBorder="1" applyAlignment="1" applyProtection="1">
      <alignment horizontal="center" vertical="center"/>
      <protection hidden="1"/>
    </xf>
    <xf numFmtId="0" fontId="17" fillId="17" borderId="66" xfId="103" applyFont="1" applyFill="1" applyBorder="1" applyAlignment="1" applyProtection="1">
      <alignment horizontal="center" vertical="center"/>
      <protection hidden="1"/>
    </xf>
    <xf numFmtId="0" fontId="17" fillId="13" borderId="51" xfId="103" applyFont="1" applyFill="1" applyBorder="1" applyAlignment="1" applyProtection="1">
      <alignment horizontal="center" vertical="center"/>
      <protection hidden="1"/>
    </xf>
    <xf numFmtId="1" fontId="21" fillId="0" borderId="40" xfId="0" applyNumberFormat="1" applyFont="1" applyBorder="1" applyAlignment="1" applyProtection="1">
      <alignment horizontal="center" vertical="center"/>
      <protection hidden="1"/>
    </xf>
    <xf numFmtId="49" fontId="21" fillId="0" borderId="40" xfId="0" applyNumberFormat="1" applyFont="1" applyBorder="1" applyAlignment="1" applyProtection="1">
      <alignment horizontal="center" vertical="center"/>
      <protection hidden="1"/>
    </xf>
    <xf numFmtId="49" fontId="19" fillId="0" borderId="40" xfId="0" applyNumberFormat="1" applyFont="1" applyBorder="1" applyAlignment="1" applyProtection="1">
      <alignment vertical="center"/>
      <protection hidden="1"/>
    </xf>
    <xf numFmtId="0" fontId="21" fillId="0" borderId="40" xfId="0" applyFont="1" applyBorder="1" applyAlignment="1" applyProtection="1">
      <alignment horizontal="center" vertical="center"/>
      <protection hidden="1"/>
    </xf>
    <xf numFmtId="166" fontId="17" fillId="0" borderId="40" xfId="0" applyNumberFormat="1" applyFont="1" applyBorder="1" applyAlignment="1" applyProtection="1">
      <alignment horizontal="center" vertical="center"/>
      <protection hidden="1"/>
    </xf>
    <xf numFmtId="1" fontId="21" fillId="8" borderId="40" xfId="1" applyNumberFormat="1" applyFont="1" applyFill="1" applyBorder="1" applyAlignment="1" applyProtection="1">
      <alignment horizontal="center" vertical="center"/>
      <protection hidden="1"/>
    </xf>
    <xf numFmtId="1" fontId="23" fillId="8" borderId="41" xfId="1" applyNumberFormat="1" applyFont="1" applyFill="1" applyBorder="1" applyAlignment="1" applyProtection="1">
      <alignment horizontal="center" vertical="center"/>
      <protection hidden="1"/>
    </xf>
    <xf numFmtId="0" fontId="17" fillId="0" borderId="0" xfId="0" applyFont="1" applyAlignment="1" applyProtection="1">
      <alignment horizontal="center" vertical="center"/>
      <protection hidden="1"/>
    </xf>
    <xf numFmtId="166" fontId="17" fillId="0" borderId="39" xfId="0" applyNumberFormat="1" applyFont="1" applyBorder="1" applyAlignment="1" applyProtection="1">
      <alignment horizontal="center" vertical="center"/>
      <protection hidden="1"/>
    </xf>
    <xf numFmtId="0" fontId="32" fillId="0" borderId="15" xfId="0" applyFont="1" applyBorder="1" applyAlignment="1" applyProtection="1">
      <alignment horizontal="center" vertical="center"/>
      <protection hidden="1"/>
    </xf>
    <xf numFmtId="0" fontId="32" fillId="0" borderId="5" xfId="0" applyFont="1" applyBorder="1" applyAlignment="1" applyProtection="1">
      <alignment horizontal="center" vertical="center"/>
      <protection hidden="1"/>
    </xf>
    <xf numFmtId="49" fontId="32" fillId="0" borderId="13" xfId="0" applyNumberFormat="1" applyFont="1" applyBorder="1" applyAlignment="1" applyProtection="1">
      <alignment horizontal="center" vertical="center"/>
      <protection hidden="1"/>
    </xf>
    <xf numFmtId="0" fontId="32" fillId="0" borderId="13" xfId="0" applyFont="1" applyBorder="1" applyAlignment="1" applyProtection="1">
      <alignment horizontal="center" vertical="center"/>
      <protection hidden="1"/>
    </xf>
    <xf numFmtId="1" fontId="27" fillId="6" borderId="13" xfId="0" applyNumberFormat="1" applyFont="1" applyFill="1" applyBorder="1" applyAlignment="1" applyProtection="1">
      <alignment horizontal="center" vertical="center"/>
      <protection hidden="1"/>
    </xf>
    <xf numFmtId="1" fontId="27" fillId="6" borderId="17" xfId="0" applyNumberFormat="1" applyFont="1" applyFill="1" applyBorder="1" applyAlignment="1" applyProtection="1">
      <alignment horizontal="center" vertical="center"/>
      <protection hidden="1"/>
    </xf>
    <xf numFmtId="1" fontId="27" fillId="14" borderId="12" xfId="0" applyNumberFormat="1" applyFont="1" applyFill="1" applyBorder="1" applyAlignment="1" applyProtection="1">
      <alignment horizontal="center" vertical="center"/>
      <protection hidden="1"/>
    </xf>
    <xf numFmtId="1" fontId="27" fillId="6" borderId="0" xfId="0" applyNumberFormat="1" applyFont="1" applyFill="1" applyAlignment="1" applyProtection="1">
      <alignment horizontal="center" vertical="center"/>
      <protection hidden="1"/>
    </xf>
    <xf numFmtId="0" fontId="32" fillId="0" borderId="14" xfId="0" applyFont="1" applyBorder="1" applyAlignment="1" applyProtection="1">
      <alignment horizontal="center" vertical="center"/>
      <protection hidden="1"/>
    </xf>
    <xf numFmtId="1" fontId="32" fillId="5" borderId="4" xfId="0" applyNumberFormat="1" applyFont="1" applyFill="1" applyBorder="1" applyAlignment="1" applyProtection="1">
      <alignment horizontal="center" vertical="center"/>
      <protection hidden="1"/>
    </xf>
    <xf numFmtId="0" fontId="32" fillId="5" borderId="4" xfId="0" applyFont="1" applyFill="1" applyBorder="1" applyAlignment="1" applyProtection="1">
      <alignment horizontal="center" vertical="center"/>
      <protection hidden="1"/>
    </xf>
    <xf numFmtId="0" fontId="17" fillId="0" borderId="14" xfId="1" applyNumberFormat="1" applyFont="1" applyBorder="1" applyAlignment="1" applyProtection="1">
      <alignment horizontal="center" vertical="center"/>
      <protection hidden="1"/>
    </xf>
    <xf numFmtId="1" fontId="32" fillId="0" borderId="13" xfId="0" applyNumberFormat="1" applyFont="1" applyBorder="1" applyAlignment="1" applyProtection="1">
      <alignment horizontal="center" vertical="center"/>
      <protection hidden="1"/>
    </xf>
    <xf numFmtId="2" fontId="23" fillId="0" borderId="13" xfId="0" applyNumberFormat="1" applyFont="1" applyBorder="1" applyAlignment="1" applyProtection="1">
      <alignment horizontal="center" vertical="center"/>
      <protection hidden="1"/>
    </xf>
    <xf numFmtId="2" fontId="23" fillId="7" borderId="114" xfId="1" applyNumberFormat="1" applyFont="1" applyFill="1" applyBorder="1" applyAlignment="1" applyProtection="1">
      <alignment horizontal="center" vertical="center"/>
      <protection hidden="1"/>
    </xf>
    <xf numFmtId="1" fontId="22" fillId="0" borderId="14" xfId="0" applyNumberFormat="1" applyFont="1" applyBorder="1" applyAlignment="1" applyProtection="1">
      <alignment horizontal="center" vertical="center"/>
      <protection hidden="1"/>
    </xf>
    <xf numFmtId="1" fontId="22" fillId="0" borderId="73" xfId="0" applyNumberFormat="1" applyFont="1" applyBorder="1" applyAlignment="1" applyProtection="1">
      <alignment horizontal="center" vertical="center"/>
      <protection hidden="1"/>
    </xf>
    <xf numFmtId="0" fontId="32" fillId="0" borderId="19" xfId="0" applyFont="1" applyBorder="1" applyAlignment="1" applyProtection="1">
      <alignment horizontal="center" vertical="center"/>
      <protection hidden="1"/>
    </xf>
    <xf numFmtId="0" fontId="32" fillId="0" borderId="73" xfId="0" applyFont="1" applyBorder="1" applyAlignment="1" applyProtection="1">
      <alignment horizontal="center" vertical="center"/>
      <protection hidden="1"/>
    </xf>
    <xf numFmtId="0" fontId="32" fillId="0" borderId="22" xfId="0" applyFont="1" applyBorder="1" applyAlignment="1" applyProtection="1">
      <alignment horizontal="center" vertical="center"/>
      <protection hidden="1"/>
    </xf>
    <xf numFmtId="49" fontId="32" fillId="0" borderId="22" xfId="0" applyNumberFormat="1" applyFont="1" applyBorder="1" applyAlignment="1" applyProtection="1">
      <alignment horizontal="center" vertical="center"/>
      <protection hidden="1"/>
    </xf>
    <xf numFmtId="0" fontId="32" fillId="0" borderId="22" xfId="0" applyFont="1" applyBorder="1" applyAlignment="1" applyProtection="1">
      <alignment vertical="center"/>
      <protection hidden="1"/>
    </xf>
    <xf numFmtId="164" fontId="32" fillId="0" borderId="22" xfId="0" applyNumberFormat="1" applyFont="1" applyBorder="1" applyAlignment="1" applyProtection="1">
      <alignment vertical="center"/>
      <protection hidden="1"/>
    </xf>
    <xf numFmtId="164" fontId="32" fillId="0" borderId="22" xfId="0" applyNumberFormat="1" applyFont="1" applyBorder="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0" fontId="17" fillId="0" borderId="22" xfId="1" applyNumberFormat="1" applyFont="1" applyBorder="1" applyAlignment="1" applyProtection="1">
      <alignment horizontal="center" vertical="center"/>
      <protection hidden="1"/>
    </xf>
    <xf numFmtId="1" fontId="32" fillId="0" borderId="22" xfId="0" applyNumberFormat="1" applyFont="1" applyBorder="1" applyAlignment="1" applyProtection="1">
      <alignment horizontal="center" vertical="center"/>
      <protection hidden="1"/>
    </xf>
    <xf numFmtId="2" fontId="23" fillId="0" borderId="22" xfId="0" applyNumberFormat="1" applyFont="1" applyBorder="1" applyAlignment="1" applyProtection="1">
      <alignment horizontal="center" vertical="center"/>
      <protection hidden="1"/>
    </xf>
    <xf numFmtId="2" fontId="23" fillId="0" borderId="22" xfId="1" applyNumberFormat="1" applyFont="1" applyBorder="1" applyAlignment="1" applyProtection="1">
      <alignment horizontal="center" vertical="center"/>
      <protection hidden="1"/>
    </xf>
    <xf numFmtId="0" fontId="21" fillId="0" borderId="0" xfId="0" applyFont="1" applyAlignment="1" applyProtection="1">
      <alignment vertical="center"/>
      <protection hidden="1"/>
    </xf>
    <xf numFmtId="164" fontId="32" fillId="16" borderId="0" xfId="0" applyNumberFormat="1" applyFont="1" applyFill="1" applyAlignment="1" applyProtection="1">
      <alignment vertical="center"/>
      <protection hidden="1"/>
    </xf>
    <xf numFmtId="164" fontId="32" fillId="16" borderId="0" xfId="0" applyNumberFormat="1" applyFont="1" applyFill="1" applyAlignment="1" applyProtection="1">
      <alignment horizontal="center" vertical="center"/>
      <protection hidden="1"/>
    </xf>
    <xf numFmtId="0" fontId="17" fillId="16" borderId="0" xfId="1" applyNumberFormat="1" applyFont="1" applyFill="1" applyBorder="1" applyAlignment="1" applyProtection="1">
      <alignment horizontal="center" vertical="center"/>
      <protection hidden="1"/>
    </xf>
    <xf numFmtId="1" fontId="32" fillId="16" borderId="0" xfId="0" applyNumberFormat="1" applyFont="1" applyFill="1" applyAlignment="1" applyProtection="1">
      <alignment horizontal="center" vertical="center"/>
      <protection hidden="1"/>
    </xf>
    <xf numFmtId="2" fontId="23" fillId="16" borderId="0" xfId="0" applyNumberFormat="1" applyFont="1" applyFill="1" applyAlignment="1" applyProtection="1">
      <alignment horizontal="center" vertical="center"/>
      <protection hidden="1"/>
    </xf>
    <xf numFmtId="2" fontId="23" fillId="16" borderId="0" xfId="1" applyNumberFormat="1" applyFont="1" applyFill="1" applyBorder="1" applyAlignment="1" applyProtection="1">
      <alignment horizontal="center" vertical="center"/>
      <protection hidden="1"/>
    </xf>
    <xf numFmtId="0" fontId="21" fillId="16" borderId="0" xfId="0" applyFont="1" applyFill="1" applyAlignment="1" applyProtection="1">
      <alignment vertical="center"/>
      <protection hidden="1"/>
    </xf>
    <xf numFmtId="164" fontId="32" fillId="0" borderId="0" xfId="0" applyNumberFormat="1" applyFont="1" applyAlignment="1" applyProtection="1">
      <alignment vertical="center"/>
      <protection hidden="1"/>
    </xf>
    <xf numFmtId="0" fontId="17" fillId="0" borderId="0" xfId="1" applyNumberFormat="1" applyFont="1" applyBorder="1" applyAlignment="1" applyProtection="1">
      <alignment horizontal="center" vertical="center"/>
      <protection hidden="1"/>
    </xf>
    <xf numFmtId="1" fontId="32" fillId="0" borderId="0" xfId="0" applyNumberFormat="1" applyFont="1" applyAlignment="1" applyProtection="1">
      <alignment horizontal="center" vertical="center"/>
      <protection hidden="1"/>
    </xf>
    <xf numFmtId="2" fontId="23" fillId="0" borderId="0" xfId="0" applyNumberFormat="1" applyFont="1" applyAlignment="1" applyProtection="1">
      <alignment horizontal="center" vertical="center"/>
      <protection hidden="1"/>
    </xf>
    <xf numFmtId="2" fontId="23" fillId="0" borderId="0" xfId="1" applyNumberFormat="1" applyFont="1" applyBorder="1" applyAlignment="1" applyProtection="1">
      <alignment horizontal="center" vertical="center"/>
      <protection hidden="1"/>
    </xf>
    <xf numFmtId="1" fontId="32" fillId="0" borderId="74" xfId="0" applyNumberFormat="1" applyFont="1" applyBorder="1" applyAlignment="1" applyProtection="1">
      <alignment horizontal="center" vertical="center"/>
      <protection hidden="1"/>
    </xf>
    <xf numFmtId="0" fontId="32" fillId="0" borderId="74" xfId="0" applyFont="1" applyBorder="1" applyAlignment="1" applyProtection="1">
      <alignment horizontal="center" vertical="center"/>
      <protection hidden="1"/>
    </xf>
    <xf numFmtId="0" fontId="17" fillId="5" borderId="78" xfId="103" applyFont="1" applyFill="1" applyBorder="1" applyAlignment="1" applyProtection="1">
      <alignment horizontal="center" vertical="center"/>
      <protection hidden="1"/>
    </xf>
    <xf numFmtId="0" fontId="17" fillId="5" borderId="40" xfId="103" applyFont="1" applyFill="1" applyBorder="1" applyAlignment="1" applyProtection="1">
      <alignment horizontal="center" vertical="center"/>
      <protection hidden="1"/>
    </xf>
    <xf numFmtId="1" fontId="17" fillId="5" borderId="40" xfId="0" applyNumberFormat="1" applyFont="1" applyFill="1" applyBorder="1" applyAlignment="1" applyProtection="1">
      <alignment horizontal="center" vertical="center"/>
      <protection hidden="1"/>
    </xf>
    <xf numFmtId="1" fontId="17" fillId="17" borderId="78" xfId="0" applyNumberFormat="1" applyFont="1" applyFill="1" applyBorder="1" applyAlignment="1" applyProtection="1">
      <alignment horizontal="center" vertical="center"/>
      <protection hidden="1"/>
    </xf>
    <xf numFmtId="2" fontId="23" fillId="8" borderId="40" xfId="0" applyNumberFormat="1" applyFont="1" applyFill="1" applyBorder="1" applyAlignment="1" applyProtection="1">
      <alignment horizontal="center" vertical="center"/>
      <protection hidden="1"/>
    </xf>
    <xf numFmtId="2" fontId="19" fillId="0" borderId="90" xfId="0" applyNumberFormat="1" applyFont="1" applyBorder="1" applyAlignment="1" applyProtection="1">
      <alignment horizontal="center" vertical="center"/>
      <protection hidden="1"/>
    </xf>
    <xf numFmtId="1" fontId="35" fillId="0" borderId="41" xfId="0" applyNumberFormat="1" applyFont="1" applyBorder="1" applyAlignment="1" applyProtection="1">
      <alignment horizontal="center" vertical="center"/>
      <protection hidden="1"/>
    </xf>
    <xf numFmtId="0" fontId="32" fillId="0" borderId="79" xfId="0" applyFont="1" applyBorder="1" applyAlignment="1" applyProtection="1">
      <alignment vertical="center"/>
      <protection hidden="1"/>
    </xf>
    <xf numFmtId="2" fontId="21" fillId="0" borderId="39" xfId="0" applyNumberFormat="1" applyFont="1" applyBorder="1" applyAlignment="1" applyProtection="1">
      <alignment horizontal="center" vertical="center"/>
      <protection hidden="1"/>
    </xf>
    <xf numFmtId="0" fontId="16" fillId="0" borderId="41" xfId="0" applyFont="1" applyBorder="1" applyAlignment="1" applyProtection="1">
      <alignment horizontal="center" vertical="center"/>
      <protection hidden="1"/>
    </xf>
    <xf numFmtId="2" fontId="21" fillId="0" borderId="49" xfId="0" applyNumberFormat="1" applyFont="1" applyBorder="1" applyAlignment="1" applyProtection="1">
      <alignment horizontal="center" vertical="center"/>
      <protection hidden="1"/>
    </xf>
    <xf numFmtId="0" fontId="16" fillId="0" borderId="80" xfId="0" applyFont="1" applyBorder="1" applyAlignment="1" applyProtection="1">
      <alignment horizontal="center" vertical="center"/>
      <protection hidden="1"/>
    </xf>
    <xf numFmtId="0" fontId="22" fillId="0" borderId="82" xfId="0" applyFont="1" applyBorder="1" applyAlignment="1" applyProtection="1">
      <alignment horizontal="center" vertical="center"/>
      <protection hidden="1"/>
    </xf>
    <xf numFmtId="0" fontId="22" fillId="0" borderId="83" xfId="0" applyFont="1" applyBorder="1" applyAlignment="1" applyProtection="1">
      <alignment horizontal="center" vertical="center"/>
      <protection hidden="1"/>
    </xf>
    <xf numFmtId="0" fontId="32" fillId="0" borderId="81" xfId="0" applyFont="1" applyBorder="1" applyAlignment="1" applyProtection="1">
      <alignment vertical="center"/>
      <protection hidden="1"/>
    </xf>
    <xf numFmtId="0" fontId="17" fillId="5" borderId="43" xfId="103" applyFont="1" applyFill="1" applyBorder="1" applyAlignment="1" applyProtection="1">
      <alignment horizontal="center" vertical="center"/>
      <protection hidden="1"/>
    </xf>
    <xf numFmtId="1" fontId="17" fillId="5" borderId="43" xfId="0" applyNumberFormat="1" applyFont="1" applyFill="1" applyBorder="1" applyAlignment="1" applyProtection="1">
      <alignment horizontal="center" vertical="center"/>
      <protection hidden="1"/>
    </xf>
    <xf numFmtId="2" fontId="19" fillId="0" borderId="91" xfId="0" applyNumberFormat="1" applyFont="1" applyBorder="1" applyAlignment="1" applyProtection="1">
      <alignment horizontal="center" vertical="center"/>
      <protection hidden="1"/>
    </xf>
    <xf numFmtId="1" fontId="35" fillId="0" borderId="44" xfId="0" applyNumberFormat="1" applyFont="1" applyBorder="1" applyAlignment="1" applyProtection="1">
      <alignment horizontal="center" vertical="center"/>
      <protection hidden="1"/>
    </xf>
    <xf numFmtId="0" fontId="17" fillId="8" borderId="39" xfId="0" applyFont="1" applyFill="1" applyBorder="1" applyAlignment="1" applyProtection="1">
      <alignment horizontal="center" vertical="center"/>
      <protection hidden="1"/>
    </xf>
    <xf numFmtId="0" fontId="17" fillId="8" borderId="42" xfId="0" applyFont="1" applyFill="1" applyBorder="1" applyAlignment="1" applyProtection="1">
      <alignment horizontal="center" vertical="center"/>
      <protection hidden="1"/>
    </xf>
    <xf numFmtId="1" fontId="19" fillId="16" borderId="0" xfId="0" applyNumberFormat="1" applyFont="1" applyFill="1" applyAlignment="1" applyProtection="1">
      <alignment horizontal="center" vertical="center"/>
      <protection hidden="1"/>
    </xf>
    <xf numFmtId="1" fontId="19" fillId="0" borderId="0" xfId="0" applyNumberFormat="1" applyFont="1" applyAlignment="1" applyProtection="1">
      <alignment horizontal="center" vertical="center"/>
      <protection hidden="1"/>
    </xf>
    <xf numFmtId="164" fontId="27" fillId="0" borderId="74" xfId="0" applyNumberFormat="1" applyFont="1" applyBorder="1" applyAlignment="1" applyProtection="1">
      <alignment horizontal="center" vertical="center"/>
      <protection hidden="1"/>
    </xf>
    <xf numFmtId="0" fontId="21" fillId="8" borderId="39" xfId="0" applyFont="1" applyFill="1" applyBorder="1" applyAlignment="1" applyProtection="1">
      <alignment horizontal="center" vertical="center"/>
      <protection hidden="1"/>
    </xf>
    <xf numFmtId="0" fontId="21" fillId="8" borderId="41" xfId="0" applyFont="1" applyFill="1" applyBorder="1" applyAlignment="1" applyProtection="1">
      <alignment horizontal="center" vertical="center"/>
      <protection hidden="1"/>
    </xf>
    <xf numFmtId="49" fontId="21" fillId="8" borderId="40" xfId="0" applyNumberFormat="1" applyFont="1" applyFill="1" applyBorder="1" applyAlignment="1" applyProtection="1">
      <alignment horizontal="center" vertical="center"/>
      <protection hidden="1"/>
    </xf>
    <xf numFmtId="49" fontId="27" fillId="8" borderId="40" xfId="0" applyNumberFormat="1" applyFont="1" applyFill="1" applyBorder="1" applyAlignment="1" applyProtection="1">
      <alignment vertical="center"/>
      <protection hidden="1"/>
    </xf>
    <xf numFmtId="0" fontId="21" fillId="8" borderId="40" xfId="0" applyFont="1" applyFill="1" applyBorder="1" applyAlignment="1" applyProtection="1">
      <alignment horizontal="center" vertical="center"/>
      <protection hidden="1"/>
    </xf>
    <xf numFmtId="2" fontId="21" fillId="8" borderId="48" xfId="1" applyNumberFormat="1" applyFont="1" applyFill="1" applyBorder="1" applyAlignment="1" applyProtection="1">
      <alignment horizontal="center" vertical="center"/>
      <protection hidden="1"/>
    </xf>
    <xf numFmtId="166" fontId="32" fillId="0" borderId="78" xfId="0" applyNumberFormat="1" applyFont="1" applyBorder="1" applyAlignment="1" applyProtection="1">
      <alignment horizontal="center" vertical="center"/>
      <protection hidden="1"/>
    </xf>
    <xf numFmtId="2" fontId="21" fillId="8" borderId="40" xfId="1" applyNumberFormat="1" applyFont="1" applyFill="1" applyBorder="1" applyAlignment="1" applyProtection="1">
      <alignment horizontal="center" vertical="center"/>
      <protection hidden="1"/>
    </xf>
    <xf numFmtId="0" fontId="32" fillId="0" borderId="79" xfId="0" applyFont="1" applyBorder="1" applyAlignment="1" applyProtection="1">
      <alignment horizontal="center" vertical="center"/>
      <protection hidden="1"/>
    </xf>
    <xf numFmtId="0" fontId="32" fillId="0" borderId="18" xfId="0" applyFont="1" applyBorder="1" applyAlignment="1" applyProtection="1">
      <alignment horizontal="center" vertical="center"/>
      <protection hidden="1"/>
    </xf>
    <xf numFmtId="49" fontId="32" fillId="0" borderId="19" xfId="0" applyNumberFormat="1" applyFont="1" applyBorder="1" applyAlignment="1" applyProtection="1">
      <alignment horizontal="center" vertical="center"/>
      <protection hidden="1"/>
    </xf>
    <xf numFmtId="1" fontId="27" fillId="6" borderId="19" xfId="0" applyNumberFormat="1" applyFont="1" applyFill="1" applyBorder="1" applyAlignment="1" applyProtection="1">
      <alignment horizontal="center" vertical="center"/>
      <protection hidden="1"/>
    </xf>
    <xf numFmtId="1" fontId="27" fillId="14" borderId="21" xfId="0" applyNumberFormat="1" applyFont="1" applyFill="1" applyBorder="1" applyAlignment="1" applyProtection="1">
      <alignment horizontal="center" vertical="center"/>
      <protection hidden="1"/>
    </xf>
    <xf numFmtId="1" fontId="27" fillId="6" borderId="73" xfId="0" applyNumberFormat="1" applyFont="1" applyFill="1" applyBorder="1" applyAlignment="1" applyProtection="1">
      <alignment horizontal="center" vertical="center"/>
      <protection hidden="1"/>
    </xf>
    <xf numFmtId="164" fontId="17" fillId="8" borderId="114" xfId="0" applyNumberFormat="1" applyFont="1" applyFill="1" applyBorder="1" applyAlignment="1" applyProtection="1">
      <alignment horizontal="center" vertical="center"/>
      <protection hidden="1"/>
    </xf>
    <xf numFmtId="0" fontId="32" fillId="5" borderId="4" xfId="103" applyFont="1" applyFill="1" applyBorder="1" applyAlignment="1" applyProtection="1">
      <alignment horizontal="center" vertical="center"/>
      <protection hidden="1"/>
    </xf>
    <xf numFmtId="2" fontId="23" fillId="8" borderId="114" xfId="1" applyNumberFormat="1" applyFont="1" applyFill="1" applyBorder="1" applyAlignment="1" applyProtection="1">
      <alignment horizontal="center" vertical="center"/>
      <protection hidden="1"/>
    </xf>
    <xf numFmtId="1" fontId="32" fillId="0" borderId="19" xfId="0" applyNumberFormat="1" applyFont="1" applyBorder="1" applyAlignment="1" applyProtection="1">
      <alignment horizontal="center" vertical="center"/>
      <protection hidden="1"/>
    </xf>
    <xf numFmtId="2" fontId="23" fillId="0" borderId="19" xfId="0" applyNumberFormat="1" applyFont="1" applyBorder="1" applyAlignment="1" applyProtection="1">
      <alignment horizontal="center" vertical="center"/>
      <protection hidden="1"/>
    </xf>
    <xf numFmtId="2" fontId="19" fillId="2" borderId="19" xfId="1" applyNumberFormat="1" applyFont="1" applyFill="1" applyBorder="1" applyAlignment="1" applyProtection="1">
      <alignment horizontal="center" vertical="center"/>
      <protection hidden="1"/>
    </xf>
    <xf numFmtId="1" fontId="22" fillId="0" borderId="20" xfId="0" applyNumberFormat="1" applyFont="1" applyBorder="1" applyAlignment="1" applyProtection="1">
      <alignment horizontal="center" vertical="center"/>
      <protection hidden="1"/>
    </xf>
    <xf numFmtId="0" fontId="22" fillId="0" borderId="0" xfId="0" applyFont="1" applyAlignment="1" applyProtection="1">
      <alignment vertical="center"/>
      <protection hidden="1"/>
    </xf>
    <xf numFmtId="0" fontId="22" fillId="16" borderId="0" xfId="0" applyFont="1" applyFill="1" applyAlignment="1" applyProtection="1">
      <alignment vertical="center"/>
      <protection hidden="1"/>
    </xf>
    <xf numFmtId="0" fontId="32" fillId="0" borderId="1" xfId="0" applyFont="1" applyBorder="1" applyAlignment="1" applyProtection="1">
      <alignment horizontal="center" vertical="center"/>
      <protection hidden="1"/>
    </xf>
    <xf numFmtId="49" fontId="32" fillId="0" borderId="1" xfId="0" applyNumberFormat="1" applyFont="1" applyBorder="1" applyAlignment="1" applyProtection="1">
      <alignment horizontal="center" vertical="center"/>
      <protection hidden="1"/>
    </xf>
    <xf numFmtId="164" fontId="32" fillId="0" borderId="1" xfId="0" applyNumberFormat="1" applyFont="1" applyBorder="1" applyAlignment="1" applyProtection="1">
      <alignment vertical="center"/>
      <protection hidden="1"/>
    </xf>
    <xf numFmtId="164" fontId="32" fillId="0" borderId="1" xfId="0" applyNumberFormat="1" applyFont="1" applyBorder="1" applyAlignment="1" applyProtection="1">
      <alignment horizontal="center" vertical="center"/>
      <protection hidden="1"/>
    </xf>
    <xf numFmtId="0" fontId="17" fillId="0" borderId="1" xfId="1" applyNumberFormat="1" applyFont="1" applyBorder="1" applyAlignment="1" applyProtection="1">
      <alignment horizontal="center" vertical="center"/>
      <protection hidden="1"/>
    </xf>
    <xf numFmtId="1" fontId="32" fillId="0" borderId="1" xfId="0" applyNumberFormat="1" applyFont="1" applyBorder="1" applyAlignment="1" applyProtection="1">
      <alignment horizontal="center" vertical="center"/>
      <protection hidden="1"/>
    </xf>
    <xf numFmtId="2" fontId="23" fillId="0" borderId="1" xfId="0" applyNumberFormat="1" applyFont="1" applyBorder="1" applyAlignment="1" applyProtection="1">
      <alignment horizontal="center" vertical="center"/>
      <protection hidden="1"/>
    </xf>
    <xf numFmtId="2" fontId="23" fillId="0" borderId="1" xfId="1" applyNumberFormat="1" applyFont="1" applyBorder="1" applyAlignment="1" applyProtection="1">
      <alignment horizontal="center" vertical="center"/>
      <protection hidden="1"/>
    </xf>
    <xf numFmtId="0" fontId="32" fillId="0" borderId="2" xfId="0" applyFont="1" applyBorder="1" applyAlignment="1" applyProtection="1">
      <alignment vertical="center"/>
      <protection hidden="1"/>
    </xf>
    <xf numFmtId="1" fontId="17" fillId="17" borderId="39" xfId="0" applyNumberFormat="1" applyFont="1" applyFill="1" applyBorder="1" applyAlignment="1" applyProtection="1">
      <alignment horizontal="center" vertical="center"/>
      <protection hidden="1"/>
    </xf>
    <xf numFmtId="1" fontId="19" fillId="0" borderId="41" xfId="0" applyNumberFormat="1" applyFont="1" applyBorder="1" applyAlignment="1" applyProtection="1">
      <alignment horizontal="center" vertical="center"/>
      <protection hidden="1"/>
    </xf>
    <xf numFmtId="1" fontId="17" fillId="17" borderId="42" xfId="0" applyNumberFormat="1" applyFont="1" applyFill="1" applyBorder="1" applyAlignment="1" applyProtection="1">
      <alignment horizontal="center" vertical="center"/>
      <protection hidden="1"/>
    </xf>
    <xf numFmtId="1" fontId="19" fillId="0" borderId="44" xfId="0" applyNumberFormat="1" applyFont="1" applyBorder="1" applyAlignment="1" applyProtection="1">
      <alignment horizontal="center" vertical="center"/>
      <protection hidden="1"/>
    </xf>
    <xf numFmtId="166" fontId="32" fillId="0" borderId="39" xfId="0" applyNumberFormat="1" applyFont="1" applyBorder="1" applyAlignment="1" applyProtection="1">
      <alignment horizontal="center" vertical="center"/>
      <protection hidden="1"/>
    </xf>
    <xf numFmtId="1" fontId="18" fillId="16" borderId="0" xfId="0" applyNumberFormat="1" applyFont="1" applyFill="1" applyAlignment="1" applyProtection="1">
      <alignment horizontal="center" vertical="center"/>
      <protection hidden="1"/>
    </xf>
    <xf numFmtId="0" fontId="32" fillId="0" borderId="20" xfId="0" applyFont="1" applyBorder="1" applyAlignment="1" applyProtection="1">
      <alignment horizontal="center" vertical="center"/>
      <protection hidden="1"/>
    </xf>
    <xf numFmtId="0" fontId="17" fillId="0" borderId="20" xfId="1" applyNumberFormat="1" applyFont="1" applyBorder="1" applyAlignment="1" applyProtection="1">
      <alignment horizontal="center" vertical="center"/>
      <protection hidden="1"/>
    </xf>
    <xf numFmtId="0" fontId="32" fillId="0" borderId="86" xfId="0" applyFont="1" applyBorder="1" applyAlignment="1" applyProtection="1">
      <alignment vertical="center"/>
      <protection hidden="1"/>
    </xf>
    <xf numFmtId="0" fontId="21" fillId="8" borderId="52" xfId="0" applyFont="1" applyFill="1" applyBorder="1" applyAlignment="1" applyProtection="1">
      <alignment horizontal="center" vertical="center"/>
      <protection hidden="1"/>
    </xf>
    <xf numFmtId="0" fontId="21" fillId="8" borderId="54" xfId="0" applyFont="1" applyFill="1" applyBorder="1" applyAlignment="1" applyProtection="1">
      <alignment horizontal="center" vertical="center"/>
      <protection hidden="1"/>
    </xf>
    <xf numFmtId="0" fontId="32" fillId="0" borderId="86" xfId="0" applyFont="1" applyBorder="1" applyAlignment="1" applyProtection="1">
      <alignment horizontal="center" vertical="center"/>
      <protection hidden="1"/>
    </xf>
    <xf numFmtId="0" fontId="32" fillId="16" borderId="15" xfId="0" applyFont="1" applyFill="1" applyBorder="1" applyAlignment="1" applyProtection="1">
      <alignment horizontal="center" vertical="center"/>
      <protection hidden="1"/>
    </xf>
    <xf numFmtId="1" fontId="27" fillId="6" borderId="11" xfId="0" applyNumberFormat="1" applyFont="1" applyFill="1" applyBorder="1" applyAlignment="1" applyProtection="1">
      <alignment horizontal="center" vertical="center"/>
      <protection hidden="1"/>
    </xf>
    <xf numFmtId="0" fontId="32" fillId="0" borderId="11" xfId="0" applyFont="1" applyBorder="1" applyAlignment="1" applyProtection="1">
      <alignment horizontal="center" vertical="center"/>
      <protection hidden="1"/>
    </xf>
    <xf numFmtId="0" fontId="32" fillId="0" borderId="16" xfId="0" applyFont="1" applyBorder="1" applyAlignment="1" applyProtection="1">
      <alignment horizontal="center" vertical="center"/>
      <protection hidden="1"/>
    </xf>
    <xf numFmtId="2" fontId="23" fillId="8" borderId="66" xfId="0" applyNumberFormat="1" applyFont="1" applyFill="1" applyBorder="1" applyAlignment="1" applyProtection="1">
      <alignment horizontal="center" vertical="center"/>
      <protection hidden="1"/>
    </xf>
    <xf numFmtId="0" fontId="32" fillId="0" borderId="6" xfId="0" applyFont="1" applyBorder="1" applyAlignment="1" applyProtection="1">
      <alignment horizontal="center" vertical="center"/>
      <protection hidden="1"/>
    </xf>
    <xf numFmtId="1" fontId="19" fillId="0" borderId="48" xfId="0" applyNumberFormat="1" applyFont="1" applyBorder="1" applyAlignment="1" applyProtection="1">
      <alignment horizontal="center" vertical="center"/>
      <protection hidden="1"/>
    </xf>
    <xf numFmtId="0" fontId="22" fillId="0" borderId="8" xfId="0" applyFont="1" applyBorder="1" applyAlignment="1" applyProtection="1">
      <alignment horizontal="left" vertical="center"/>
      <protection hidden="1"/>
    </xf>
    <xf numFmtId="49" fontId="32" fillId="0" borderId="8" xfId="0" applyNumberFormat="1" applyFont="1" applyBorder="1" applyAlignment="1" applyProtection="1">
      <alignment horizontal="center" vertical="center"/>
      <protection hidden="1"/>
    </xf>
    <xf numFmtId="0" fontId="18" fillId="0" borderId="8" xfId="0" applyFont="1" applyBorder="1" applyAlignment="1" applyProtection="1">
      <alignment horizontal="left" vertical="center"/>
      <protection hidden="1"/>
    </xf>
    <xf numFmtId="0" fontId="32" fillId="0" borderId="93" xfId="0" applyFont="1" applyBorder="1" applyAlignment="1" applyProtection="1">
      <alignment vertical="center"/>
      <protection hidden="1"/>
    </xf>
    <xf numFmtId="0" fontId="32" fillId="0" borderId="92" xfId="0" applyFont="1" applyBorder="1" applyAlignment="1" applyProtection="1">
      <alignment horizontal="center" vertical="center"/>
      <protection hidden="1"/>
    </xf>
    <xf numFmtId="0" fontId="22" fillId="0" borderId="92" xfId="0" applyFont="1" applyBorder="1" applyAlignment="1" applyProtection="1">
      <alignment horizontal="left" vertical="center"/>
      <protection hidden="1"/>
    </xf>
    <xf numFmtId="49" fontId="32" fillId="0" borderId="92" xfId="0" applyNumberFormat="1" applyFont="1" applyBorder="1" applyAlignment="1" applyProtection="1">
      <alignment horizontal="center" vertical="center"/>
      <protection hidden="1"/>
    </xf>
    <xf numFmtId="0" fontId="19" fillId="0" borderId="92" xfId="0" applyFont="1" applyBorder="1" applyAlignment="1" applyProtection="1">
      <alignment horizontal="left" vertical="center"/>
      <protection hidden="1"/>
    </xf>
    <xf numFmtId="0" fontId="19" fillId="0" borderId="97" xfId="0" applyFont="1" applyBorder="1" applyAlignment="1" applyProtection="1">
      <alignment horizontal="left" vertical="center"/>
      <protection hidden="1"/>
    </xf>
    <xf numFmtId="0" fontId="32" fillId="0" borderId="94" xfId="0" applyFont="1" applyBorder="1" applyAlignment="1" applyProtection="1">
      <alignment vertical="center"/>
      <protection hidden="1"/>
    </xf>
    <xf numFmtId="0" fontId="32" fillId="0" borderId="98" xfId="0" applyFont="1" applyBorder="1" applyAlignment="1" applyProtection="1">
      <alignment vertical="center"/>
      <protection hidden="1"/>
    </xf>
    <xf numFmtId="0" fontId="32" fillId="0" borderId="94" xfId="0" applyFont="1" applyBorder="1" applyAlignment="1" applyProtection="1">
      <alignment horizontal="center" vertical="center"/>
      <protection hidden="1"/>
    </xf>
    <xf numFmtId="0" fontId="32" fillId="0" borderId="98" xfId="0" applyFont="1" applyBorder="1" applyAlignment="1" applyProtection="1">
      <alignment horizontal="center" vertical="center"/>
      <protection hidden="1"/>
    </xf>
    <xf numFmtId="49" fontId="19" fillId="0" borderId="40" xfId="0" applyNumberFormat="1" applyFont="1" applyBorder="1" applyAlignment="1" applyProtection="1">
      <alignment horizontal="center" vertical="center"/>
      <protection hidden="1"/>
    </xf>
    <xf numFmtId="0" fontId="19" fillId="0" borderId="40" xfId="0" applyFont="1" applyBorder="1" applyAlignment="1" applyProtection="1">
      <alignment horizontal="center" vertical="center"/>
      <protection hidden="1"/>
    </xf>
    <xf numFmtId="1" fontId="19" fillId="13" borderId="40" xfId="1" applyNumberFormat="1" applyFont="1" applyFill="1" applyBorder="1" applyAlignment="1" applyProtection="1">
      <alignment horizontal="center" vertical="center"/>
      <protection hidden="1"/>
    </xf>
    <xf numFmtId="0" fontId="39" fillId="0" borderId="40" xfId="0" applyFont="1" applyBorder="1" applyAlignment="1" applyProtection="1">
      <alignment horizontal="center" vertical="center"/>
      <protection hidden="1"/>
    </xf>
    <xf numFmtId="0" fontId="19" fillId="0" borderId="40" xfId="0" applyFont="1" applyBorder="1" applyAlignment="1" applyProtection="1">
      <alignment vertical="center"/>
      <protection hidden="1"/>
    </xf>
    <xf numFmtId="2" fontId="19" fillId="0" borderId="40" xfId="1" applyNumberFormat="1" applyFont="1" applyFill="1" applyBorder="1" applyAlignment="1" applyProtection="1">
      <alignment horizontal="center" vertical="center"/>
      <protection hidden="1"/>
    </xf>
    <xf numFmtId="2" fontId="19" fillId="0" borderId="40" xfId="20" applyNumberFormat="1" applyFont="1" applyFill="1" applyBorder="1" applyAlignment="1" applyProtection="1">
      <alignment horizontal="center" vertical="center"/>
      <protection hidden="1"/>
    </xf>
    <xf numFmtId="2" fontId="19" fillId="0" borderId="71" xfId="1" applyNumberFormat="1" applyFont="1" applyFill="1" applyBorder="1" applyAlignment="1" applyProtection="1">
      <alignment horizontal="center" vertical="center"/>
      <protection hidden="1"/>
    </xf>
    <xf numFmtId="1" fontId="19" fillId="0" borderId="41" xfId="1" applyNumberFormat="1" applyFont="1" applyFill="1" applyBorder="1" applyAlignment="1" applyProtection="1">
      <alignment horizontal="center" vertical="center"/>
      <protection hidden="1"/>
    </xf>
    <xf numFmtId="1" fontId="19" fillId="13" borderId="43" xfId="1" applyNumberFormat="1" applyFont="1" applyFill="1" applyBorder="1" applyAlignment="1" applyProtection="1">
      <alignment horizontal="center" vertical="center"/>
      <protection hidden="1"/>
    </xf>
    <xf numFmtId="0" fontId="19" fillId="0" borderId="43" xfId="0" applyFont="1" applyBorder="1" applyAlignment="1" applyProtection="1">
      <alignment horizontal="center" vertical="center"/>
      <protection hidden="1"/>
    </xf>
    <xf numFmtId="0" fontId="39" fillId="0" borderId="43" xfId="0" applyFont="1" applyBorder="1" applyAlignment="1" applyProtection="1">
      <alignment horizontal="center" vertical="center"/>
      <protection hidden="1"/>
    </xf>
    <xf numFmtId="0" fontId="19" fillId="0" borderId="43" xfId="0" applyFont="1" applyBorder="1" applyAlignment="1" applyProtection="1">
      <alignment vertical="center"/>
      <protection hidden="1"/>
    </xf>
    <xf numFmtId="2" fontId="19" fillId="0" borderId="43" xfId="1" applyNumberFormat="1" applyFont="1" applyFill="1" applyBorder="1" applyAlignment="1" applyProtection="1">
      <alignment horizontal="center" vertical="center"/>
      <protection hidden="1"/>
    </xf>
    <xf numFmtId="2" fontId="19" fillId="0" borderId="43" xfId="20" applyNumberFormat="1" applyFont="1" applyFill="1" applyBorder="1" applyAlignment="1" applyProtection="1">
      <alignment horizontal="center" vertical="center"/>
      <protection hidden="1"/>
    </xf>
    <xf numFmtId="2" fontId="19" fillId="0" borderId="72" xfId="1" applyNumberFormat="1" applyFont="1" applyFill="1" applyBorder="1" applyAlignment="1" applyProtection="1">
      <alignment horizontal="center" vertical="center"/>
      <protection hidden="1"/>
    </xf>
    <xf numFmtId="1" fontId="19" fillId="0" borderId="44" xfId="1" applyNumberFormat="1" applyFont="1" applyFill="1" applyBorder="1" applyAlignment="1" applyProtection="1">
      <alignment horizontal="center" vertical="center"/>
      <protection hidden="1"/>
    </xf>
    <xf numFmtId="0" fontId="32" fillId="0" borderId="95" xfId="0" applyFont="1" applyBorder="1" applyAlignment="1" applyProtection="1">
      <alignment vertical="center"/>
      <protection hidden="1"/>
    </xf>
    <xf numFmtId="0" fontId="32" fillId="0" borderId="96" xfId="0" applyFont="1" applyBorder="1" applyAlignment="1" applyProtection="1">
      <alignment horizontal="center" vertical="center"/>
      <protection hidden="1"/>
    </xf>
    <xf numFmtId="2" fontId="22" fillId="0" borderId="96" xfId="1" applyNumberFormat="1" applyFont="1" applyBorder="1" applyAlignment="1" applyProtection="1">
      <alignment horizontal="center" vertical="center"/>
      <protection hidden="1"/>
    </xf>
    <xf numFmtId="49" fontId="32" fillId="0" borderId="96" xfId="0" applyNumberFormat="1" applyFont="1" applyBorder="1" applyAlignment="1" applyProtection="1">
      <alignment horizontal="center" vertical="center"/>
      <protection hidden="1"/>
    </xf>
    <xf numFmtId="0" fontId="32" fillId="0" borderId="96" xfId="0" applyFont="1" applyBorder="1" applyAlignment="1" applyProtection="1">
      <alignment vertical="center"/>
      <protection hidden="1"/>
    </xf>
    <xf numFmtId="1" fontId="23" fillId="0" borderId="96" xfId="1" applyNumberFormat="1" applyFont="1" applyBorder="1" applyAlignment="1" applyProtection="1">
      <alignment horizontal="center" vertical="center"/>
      <protection hidden="1"/>
    </xf>
    <xf numFmtId="2" fontId="23" fillId="0" borderId="96" xfId="1" applyNumberFormat="1" applyFont="1" applyBorder="1" applyAlignment="1" applyProtection="1">
      <alignment horizontal="center" vertical="center"/>
      <protection hidden="1"/>
    </xf>
    <xf numFmtId="2" fontId="23" fillId="0" borderId="96" xfId="1" applyNumberFormat="1" applyFont="1" applyFill="1" applyBorder="1" applyAlignment="1" applyProtection="1">
      <alignment horizontal="center" vertical="center"/>
      <protection hidden="1"/>
    </xf>
    <xf numFmtId="1" fontId="22" fillId="0" borderId="96" xfId="1" applyNumberFormat="1" applyFont="1" applyBorder="1" applyAlignment="1" applyProtection="1">
      <alignment horizontal="center" vertical="center"/>
      <protection hidden="1"/>
    </xf>
    <xf numFmtId="0" fontId="32" fillId="0" borderId="99" xfId="0" applyFont="1" applyBorder="1" applyAlignment="1" applyProtection="1">
      <alignment vertical="center"/>
      <protection hidden="1"/>
    </xf>
    <xf numFmtId="2" fontId="22" fillId="0" borderId="0" xfId="1" applyNumberFormat="1" applyFont="1" applyFill="1" applyBorder="1" applyAlignment="1" applyProtection="1">
      <alignment horizontal="center" vertical="center"/>
      <protection hidden="1"/>
    </xf>
    <xf numFmtId="1" fontId="23" fillId="0" borderId="0" xfId="1" applyNumberFormat="1" applyFont="1" applyFill="1" applyBorder="1" applyAlignment="1" applyProtection="1">
      <alignment horizontal="center" vertical="center"/>
      <protection hidden="1"/>
    </xf>
    <xf numFmtId="2" fontId="23" fillId="0" borderId="0" xfId="1" applyNumberFormat="1" applyFont="1" applyFill="1" applyBorder="1" applyAlignment="1" applyProtection="1">
      <alignment horizontal="center" vertical="center"/>
      <protection hidden="1"/>
    </xf>
    <xf numFmtId="1" fontId="22" fillId="0" borderId="0" xfId="1" applyNumberFormat="1" applyFont="1" applyFill="1" applyBorder="1" applyAlignment="1" applyProtection="1">
      <alignment horizontal="center" vertical="center"/>
      <protection hidden="1"/>
    </xf>
    <xf numFmtId="2" fontId="22" fillId="0" borderId="0" xfId="1" applyNumberFormat="1" applyFont="1" applyBorder="1" applyAlignment="1" applyProtection="1">
      <alignment horizontal="center" vertical="center"/>
      <protection hidden="1"/>
    </xf>
    <xf numFmtId="1" fontId="23" fillId="0" borderId="0" xfId="1" applyNumberFormat="1" applyFont="1" applyBorder="1" applyAlignment="1" applyProtection="1">
      <alignment horizontal="center" vertical="center"/>
      <protection hidden="1"/>
    </xf>
    <xf numFmtId="1" fontId="22" fillId="0" borderId="0" xfId="1" applyNumberFormat="1" applyFont="1" applyBorder="1" applyAlignment="1" applyProtection="1">
      <alignment horizontal="center" vertical="center"/>
      <protection hidden="1"/>
    </xf>
    <xf numFmtId="0" fontId="34" fillId="8" borderId="40" xfId="0" applyFont="1" applyFill="1" applyBorder="1" applyAlignment="1" applyProtection="1">
      <alignment horizontal="center" vertical="center"/>
      <protection hidden="1"/>
    </xf>
    <xf numFmtId="0" fontId="21" fillId="8" borderId="40" xfId="0" applyFont="1" applyFill="1" applyBorder="1" applyAlignment="1" applyProtection="1">
      <alignment vertical="center"/>
      <protection hidden="1"/>
    </xf>
    <xf numFmtId="0" fontId="21" fillId="8" borderId="43" xfId="0" applyFont="1" applyFill="1" applyBorder="1" applyAlignment="1" applyProtection="1">
      <alignment horizontal="center" vertical="center"/>
      <protection hidden="1"/>
    </xf>
    <xf numFmtId="0" fontId="34" fillId="8" borderId="43" xfId="0" applyFont="1" applyFill="1" applyBorder="1" applyAlignment="1" applyProtection="1">
      <alignment horizontal="center" vertical="center"/>
      <protection hidden="1"/>
    </xf>
    <xf numFmtId="0" fontId="21" fillId="8" borderId="43" xfId="0" applyFont="1" applyFill="1" applyBorder="1" applyAlignment="1" applyProtection="1">
      <alignment vertical="center"/>
      <protection hidden="1"/>
    </xf>
    <xf numFmtId="0" fontId="17" fillId="5" borderId="42" xfId="103" applyFont="1" applyFill="1" applyBorder="1" applyAlignment="1" applyProtection="1">
      <alignment horizontal="center" vertical="center"/>
      <protection hidden="1"/>
    </xf>
    <xf numFmtId="2" fontId="23" fillId="8" borderId="41" xfId="1" applyNumberFormat="1" applyFont="1" applyFill="1" applyBorder="1" applyAlignment="1" applyProtection="1">
      <alignment horizontal="center" vertical="center"/>
      <protection hidden="1"/>
    </xf>
    <xf numFmtId="1" fontId="16" fillId="0" borderId="40" xfId="0" applyNumberFormat="1" applyFont="1" applyBorder="1" applyAlignment="1" applyProtection="1">
      <alignment horizontal="center" vertical="center"/>
      <protection hidden="1"/>
    </xf>
    <xf numFmtId="1" fontId="23" fillId="0" borderId="40" xfId="0" applyNumberFormat="1" applyFont="1" applyBorder="1" applyAlignment="1" applyProtection="1">
      <alignment horizontal="center" vertical="center"/>
      <protection hidden="1"/>
    </xf>
    <xf numFmtId="1" fontId="23" fillId="0" borderId="39" xfId="0" applyNumberFormat="1" applyFont="1" applyBorder="1" applyAlignment="1" applyProtection="1">
      <alignment horizontal="center" vertical="center"/>
      <protection hidden="1"/>
    </xf>
    <xf numFmtId="1" fontId="23" fillId="8" borderId="43" xfId="0" applyNumberFormat="1" applyFont="1" applyFill="1" applyBorder="1" applyAlignment="1" applyProtection="1">
      <alignment horizontal="center" vertical="center"/>
      <protection hidden="1"/>
    </xf>
    <xf numFmtId="2" fontId="23" fillId="8" borderId="44" xfId="0" applyNumberFormat="1" applyFont="1" applyFill="1" applyBorder="1" applyAlignment="1" applyProtection="1">
      <alignment horizontal="center" vertical="center"/>
      <protection hidden="1"/>
    </xf>
    <xf numFmtId="1" fontId="17" fillId="13" borderId="39" xfId="0" applyNumberFormat="1" applyFont="1" applyFill="1" applyBorder="1" applyAlignment="1" applyProtection="1">
      <alignment horizontal="center" vertical="center"/>
      <protection hidden="1"/>
    </xf>
    <xf numFmtId="1" fontId="17" fillId="13" borderId="40" xfId="0" applyNumberFormat="1" applyFont="1" applyFill="1" applyBorder="1" applyAlignment="1" applyProtection="1">
      <alignment horizontal="center" vertical="center"/>
      <protection hidden="1"/>
    </xf>
    <xf numFmtId="1" fontId="17" fillId="13" borderId="42" xfId="0" applyNumberFormat="1" applyFont="1" applyFill="1" applyBorder="1" applyAlignment="1" applyProtection="1">
      <alignment horizontal="center" vertical="center"/>
      <protection hidden="1"/>
    </xf>
    <xf numFmtId="1" fontId="17" fillId="13" borderId="43" xfId="0" applyNumberFormat="1" applyFont="1" applyFill="1" applyBorder="1" applyAlignment="1" applyProtection="1">
      <alignment horizontal="center" vertical="center"/>
      <protection hidden="1"/>
    </xf>
    <xf numFmtId="9" fontId="21" fillId="8" borderId="48" xfId="109" applyFont="1" applyFill="1" applyBorder="1" applyAlignment="1" applyProtection="1">
      <alignment horizontal="center" vertical="center"/>
      <protection hidden="1"/>
    </xf>
    <xf numFmtId="0" fontId="34" fillId="8" borderId="66" xfId="0" applyFont="1" applyFill="1" applyBorder="1" applyAlignment="1" applyProtection="1">
      <alignment horizontal="center" vertical="center"/>
      <protection hidden="1"/>
    </xf>
    <xf numFmtId="0" fontId="23" fillId="8" borderId="51" xfId="0" applyFont="1" applyFill="1" applyBorder="1" applyAlignment="1" applyProtection="1">
      <alignment horizontal="center" vertical="center"/>
      <protection hidden="1"/>
    </xf>
    <xf numFmtId="0" fontId="21" fillId="0" borderId="66" xfId="0" applyFont="1" applyBorder="1" applyAlignment="1" applyProtection="1">
      <alignment horizontal="center" vertical="center"/>
      <protection locked="0"/>
    </xf>
    <xf numFmtId="0" fontId="33" fillId="0" borderId="66" xfId="0" applyFont="1" applyBorder="1" applyAlignment="1" applyProtection="1">
      <alignment horizontal="center" vertical="center"/>
      <protection locked="0"/>
    </xf>
    <xf numFmtId="0" fontId="21" fillId="0" borderId="66" xfId="0" applyFont="1" applyBorder="1" applyAlignment="1" applyProtection="1">
      <alignment vertical="center"/>
      <protection locked="0"/>
    </xf>
    <xf numFmtId="0" fontId="17" fillId="13" borderId="66" xfId="103" applyFont="1" applyFill="1" applyBorder="1" applyAlignment="1" applyProtection="1">
      <alignment horizontal="center" vertical="center"/>
      <protection locked="0"/>
    </xf>
    <xf numFmtId="1" fontId="23" fillId="8" borderId="66" xfId="0" applyNumberFormat="1" applyFont="1" applyFill="1" applyBorder="1" applyAlignment="1" applyProtection="1">
      <alignment horizontal="center" vertical="center"/>
      <protection hidden="1"/>
    </xf>
    <xf numFmtId="0" fontId="17" fillId="5" borderId="66" xfId="103" applyFont="1" applyFill="1" applyBorder="1" applyAlignment="1" applyProtection="1">
      <alignment horizontal="center" vertical="center"/>
      <protection locked="0"/>
    </xf>
    <xf numFmtId="0" fontId="17" fillId="17" borderId="66" xfId="103" applyFont="1" applyFill="1" applyBorder="1" applyAlignment="1" applyProtection="1">
      <alignment horizontal="center" vertical="center"/>
      <protection locked="0"/>
    </xf>
    <xf numFmtId="2" fontId="23" fillId="8" borderId="67" xfId="0" applyNumberFormat="1" applyFont="1" applyFill="1" applyBorder="1" applyAlignment="1" applyProtection="1">
      <alignment horizontal="center" vertical="center"/>
      <protection hidden="1"/>
    </xf>
    <xf numFmtId="0" fontId="17" fillId="13" borderId="51" xfId="103" applyFont="1" applyFill="1" applyBorder="1" applyAlignment="1" applyProtection="1">
      <alignment horizontal="center" vertical="center"/>
      <protection locked="0"/>
    </xf>
    <xf numFmtId="0" fontId="19" fillId="0" borderId="66" xfId="0" applyFont="1" applyBorder="1" applyAlignment="1" applyProtection="1">
      <alignment horizontal="center" vertical="center"/>
      <protection hidden="1"/>
    </xf>
    <xf numFmtId="0" fontId="39" fillId="0" borderId="66" xfId="0" applyFont="1" applyBorder="1" applyAlignment="1" applyProtection="1">
      <alignment horizontal="center" vertical="center"/>
      <protection hidden="1"/>
    </xf>
    <xf numFmtId="0" fontId="19" fillId="0" borderId="66" xfId="0" applyFont="1" applyBorder="1" applyAlignment="1" applyProtection="1">
      <alignment vertical="center"/>
      <protection hidden="1"/>
    </xf>
    <xf numFmtId="2" fontId="19" fillId="0" borderId="66" xfId="1" applyNumberFormat="1" applyFont="1" applyFill="1" applyBorder="1" applyAlignment="1" applyProtection="1">
      <alignment horizontal="center" vertical="center"/>
      <protection hidden="1"/>
    </xf>
    <xf numFmtId="2" fontId="19" fillId="0" borderId="66" xfId="20" applyNumberFormat="1" applyFont="1" applyFill="1" applyBorder="1" applyAlignment="1" applyProtection="1">
      <alignment horizontal="center" vertical="center"/>
      <protection hidden="1"/>
    </xf>
    <xf numFmtId="2" fontId="19" fillId="7" borderId="48" xfId="1" applyNumberFormat="1" applyFont="1" applyFill="1" applyBorder="1" applyAlignment="1" applyProtection="1">
      <alignment horizontal="center" vertical="center"/>
      <protection hidden="1"/>
    </xf>
    <xf numFmtId="2" fontId="19" fillId="7" borderId="137" xfId="1" applyNumberFormat="1" applyFont="1" applyFill="1" applyBorder="1" applyAlignment="1" applyProtection="1">
      <alignment horizontal="center" vertical="center"/>
      <protection hidden="1"/>
    </xf>
    <xf numFmtId="2" fontId="19" fillId="7" borderId="122" xfId="1" applyNumberFormat="1" applyFont="1" applyFill="1" applyBorder="1" applyAlignment="1" applyProtection="1">
      <alignment horizontal="center" vertical="center"/>
      <protection hidden="1"/>
    </xf>
    <xf numFmtId="164" fontId="16" fillId="15" borderId="40" xfId="0" applyNumberFormat="1" applyFont="1" applyFill="1" applyBorder="1" applyAlignment="1" applyProtection="1">
      <alignment horizontal="center" vertical="center"/>
      <protection locked="0"/>
    </xf>
    <xf numFmtId="164" fontId="16" fillId="15" borderId="66" xfId="0" applyNumberFormat="1" applyFont="1" applyFill="1" applyBorder="1" applyAlignment="1" applyProtection="1">
      <alignment horizontal="center" vertical="center"/>
      <protection locked="0"/>
    </xf>
    <xf numFmtId="164" fontId="16" fillId="15" borderId="43" xfId="0" applyNumberFormat="1" applyFont="1" applyFill="1" applyBorder="1" applyAlignment="1" applyProtection="1">
      <alignment horizontal="center" vertical="center"/>
      <protection locked="0"/>
    </xf>
    <xf numFmtId="164" fontId="16" fillId="14" borderId="48" xfId="0" applyNumberFormat="1" applyFont="1" applyFill="1" applyBorder="1" applyAlignment="1" applyProtection="1">
      <alignment horizontal="center" vertical="center"/>
      <protection locked="0"/>
    </xf>
    <xf numFmtId="164" fontId="16" fillId="14" borderId="41" xfId="0" applyNumberFormat="1" applyFont="1" applyFill="1" applyBorder="1" applyAlignment="1" applyProtection="1">
      <alignment horizontal="center" vertical="center"/>
      <protection locked="0"/>
    </xf>
    <xf numFmtId="164" fontId="16" fillId="14" borderId="114" xfId="0" applyNumberFormat="1" applyFont="1" applyFill="1" applyBorder="1" applyAlignment="1" applyProtection="1">
      <alignment horizontal="center" vertical="center"/>
      <protection locked="0"/>
    </xf>
    <xf numFmtId="164" fontId="16" fillId="14" borderId="76" xfId="0" applyNumberFormat="1" applyFont="1" applyFill="1" applyBorder="1" applyAlignment="1" applyProtection="1">
      <alignment horizontal="center" vertical="center"/>
      <protection locked="0"/>
    </xf>
    <xf numFmtId="0" fontId="16" fillId="0" borderId="39" xfId="0" applyFont="1" applyBorder="1" applyAlignment="1" applyProtection="1">
      <alignment horizontal="center" vertical="center"/>
      <protection hidden="1"/>
    </xf>
    <xf numFmtId="0" fontId="16" fillId="0" borderId="51" xfId="0" applyFont="1" applyBorder="1" applyAlignment="1" applyProtection="1">
      <alignment horizontal="center" vertical="center"/>
      <protection hidden="1"/>
    </xf>
    <xf numFmtId="0" fontId="16" fillId="0" borderId="42" xfId="0" applyFont="1" applyBorder="1" applyAlignment="1" applyProtection="1">
      <alignment horizontal="center" vertical="center"/>
      <protection hidden="1"/>
    </xf>
    <xf numFmtId="0" fontId="1" fillId="0" borderId="92" xfId="184" applyBorder="1" applyAlignment="1" applyProtection="1">
      <alignment vertical="center"/>
      <protection hidden="1"/>
    </xf>
    <xf numFmtId="0" fontId="1" fillId="0" borderId="46" xfId="184" applyBorder="1" applyAlignment="1" applyProtection="1">
      <alignment horizontal="center" vertical="center"/>
      <protection hidden="1"/>
    </xf>
    <xf numFmtId="0" fontId="44" fillId="18" borderId="48" xfId="184" applyFont="1" applyFill="1" applyBorder="1" applyAlignment="1" applyProtection="1">
      <alignment horizontal="center" vertical="center"/>
      <protection hidden="1"/>
    </xf>
    <xf numFmtId="0" fontId="46" fillId="0" borderId="48" xfId="184" applyFont="1" applyBorder="1" applyAlignment="1" applyProtection="1">
      <alignment horizontal="center" vertical="center"/>
      <protection hidden="1"/>
    </xf>
    <xf numFmtId="0" fontId="46" fillId="0" borderId="46" xfId="184" applyFont="1" applyBorder="1" applyAlignment="1" applyProtection="1">
      <alignment horizontal="center" vertical="center"/>
      <protection hidden="1"/>
    </xf>
    <xf numFmtId="0" fontId="44" fillId="18" borderId="40" xfId="184" applyFont="1" applyFill="1" applyBorder="1" applyAlignment="1" applyProtection="1">
      <alignment horizontal="center" vertical="center"/>
      <protection hidden="1"/>
    </xf>
    <xf numFmtId="0" fontId="44" fillId="18" borderId="139" xfId="184" applyFont="1" applyFill="1" applyBorder="1" applyAlignment="1" applyProtection="1">
      <alignment horizontal="center" vertical="center"/>
      <protection hidden="1"/>
    </xf>
    <xf numFmtId="0" fontId="44" fillId="18" borderId="40" xfId="184" applyFont="1" applyFill="1" applyBorder="1" applyAlignment="1" applyProtection="1">
      <alignment vertical="center"/>
      <protection hidden="1"/>
    </xf>
    <xf numFmtId="0" fontId="1" fillId="0" borderId="45" xfId="184" applyBorder="1" applyAlignment="1" applyProtection="1">
      <alignment horizontal="center" vertical="center"/>
      <protection hidden="1"/>
    </xf>
    <xf numFmtId="0" fontId="1" fillId="0" borderId="47" xfId="184" applyBorder="1" applyAlignment="1" applyProtection="1">
      <alignment horizontal="center" vertical="center"/>
      <protection hidden="1"/>
    </xf>
    <xf numFmtId="0" fontId="1" fillId="0" borderId="74" xfId="184" applyBorder="1" applyAlignment="1" applyProtection="1">
      <alignment horizontal="center" vertical="center"/>
      <protection hidden="1"/>
    </xf>
    <xf numFmtId="9" fontId="35" fillId="0" borderId="74" xfId="184" applyNumberFormat="1" applyFont="1" applyBorder="1" applyAlignment="1" applyProtection="1">
      <alignment horizontal="center" vertical="center"/>
      <protection hidden="1"/>
    </xf>
    <xf numFmtId="0" fontId="1" fillId="0" borderId="74" xfId="184" applyBorder="1" applyAlignment="1" applyProtection="1">
      <alignment vertical="center"/>
      <protection hidden="1"/>
    </xf>
    <xf numFmtId="0" fontId="46" fillId="0" borderId="74" xfId="184" applyFont="1" applyBorder="1" applyAlignment="1" applyProtection="1">
      <alignment horizontal="center" vertical="center"/>
      <protection hidden="1"/>
    </xf>
    <xf numFmtId="0" fontId="44" fillId="0" borderId="143" xfId="184" applyFont="1" applyBorder="1" applyAlignment="1" applyProtection="1">
      <alignment horizontal="center" vertical="center"/>
      <protection hidden="1"/>
    </xf>
    <xf numFmtId="0" fontId="44" fillId="0" borderId="145" xfId="184" applyFont="1" applyBorder="1" applyAlignment="1" applyProtection="1">
      <alignment horizontal="center" vertical="center"/>
      <protection hidden="1"/>
    </xf>
    <xf numFmtId="0" fontId="1" fillId="17" borderId="149" xfId="184" applyFill="1" applyBorder="1" applyAlignment="1" applyProtection="1">
      <alignment horizontal="center" vertical="center"/>
      <protection hidden="1"/>
    </xf>
    <xf numFmtId="166" fontId="1" fillId="0" borderId="141" xfId="184" applyNumberFormat="1" applyBorder="1" applyAlignment="1" applyProtection="1">
      <alignment horizontal="center" vertical="center"/>
      <protection hidden="1"/>
    </xf>
    <xf numFmtId="166" fontId="1" fillId="0" borderId="33" xfId="184" applyNumberFormat="1" applyBorder="1" applyAlignment="1" applyProtection="1">
      <alignment horizontal="center" vertical="center"/>
      <protection hidden="1"/>
    </xf>
    <xf numFmtId="166" fontId="1" fillId="0" borderId="156" xfId="184" applyNumberFormat="1" applyBorder="1" applyAlignment="1" applyProtection="1">
      <alignment horizontal="center" vertical="center"/>
      <protection hidden="1"/>
    </xf>
    <xf numFmtId="166" fontId="1" fillId="0" borderId="49" xfId="184" applyNumberFormat="1" applyBorder="1" applyAlignment="1" applyProtection="1">
      <alignment horizontal="center" vertical="center"/>
      <protection hidden="1"/>
    </xf>
    <xf numFmtId="166" fontId="1" fillId="0" borderId="126" xfId="184" applyNumberFormat="1" applyBorder="1" applyAlignment="1" applyProtection="1">
      <alignment horizontal="center" vertical="center"/>
      <protection hidden="1"/>
    </xf>
    <xf numFmtId="0" fontId="1" fillId="17" borderId="112" xfId="184" applyFill="1" applyBorder="1" applyAlignment="1" applyProtection="1">
      <alignment horizontal="center" vertical="center"/>
      <protection hidden="1"/>
    </xf>
    <xf numFmtId="2" fontId="44" fillId="0" borderId="163" xfId="184" applyNumberFormat="1" applyFont="1" applyBorder="1" applyAlignment="1" applyProtection="1">
      <alignment horizontal="center" vertical="center"/>
      <protection hidden="1"/>
    </xf>
    <xf numFmtId="0" fontId="17" fillId="19" borderId="40" xfId="103" applyFont="1" applyFill="1" applyBorder="1" applyAlignment="1" applyProtection="1">
      <alignment horizontal="center" vertical="center"/>
      <protection locked="0"/>
    </xf>
    <xf numFmtId="0" fontId="1" fillId="20" borderId="61" xfId="184" applyFill="1" applyBorder="1" applyAlignment="1" applyProtection="1">
      <alignment horizontal="center" vertical="center"/>
      <protection hidden="1"/>
    </xf>
    <xf numFmtId="0" fontId="1" fillId="20" borderId="34" xfId="184" applyFill="1" applyBorder="1" applyAlignment="1" applyProtection="1">
      <alignment horizontal="center" vertical="center"/>
      <protection hidden="1"/>
    </xf>
    <xf numFmtId="0" fontId="1" fillId="20" borderId="157" xfId="184" applyFill="1" applyBorder="1" applyAlignment="1" applyProtection="1">
      <alignment horizontal="center" vertical="center"/>
      <protection hidden="1"/>
    </xf>
    <xf numFmtId="0" fontId="17" fillId="21" borderId="40" xfId="103" applyFont="1" applyFill="1" applyBorder="1" applyAlignment="1" applyProtection="1">
      <alignment horizontal="center" vertical="center"/>
      <protection locked="0"/>
    </xf>
    <xf numFmtId="0" fontId="1" fillId="21" borderId="61" xfId="184" applyFill="1" applyBorder="1" applyAlignment="1" applyProtection="1">
      <alignment horizontal="center" vertical="center"/>
      <protection hidden="1"/>
    </xf>
    <xf numFmtId="0" fontId="1" fillId="21" borderId="34" xfId="184" applyFill="1" applyBorder="1" applyAlignment="1" applyProtection="1">
      <alignment horizontal="center" vertical="center"/>
      <protection hidden="1"/>
    </xf>
    <xf numFmtId="0" fontId="1" fillId="21" borderId="157" xfId="184" applyFill="1" applyBorder="1" applyAlignment="1" applyProtection="1">
      <alignment horizontal="center" vertical="center"/>
      <protection hidden="1"/>
    </xf>
    <xf numFmtId="0" fontId="44" fillId="8" borderId="156" xfId="184" applyFont="1" applyFill="1" applyBorder="1" applyAlignment="1" applyProtection="1">
      <alignment horizontal="center" vertical="center"/>
      <protection hidden="1"/>
    </xf>
    <xf numFmtId="2" fontId="44" fillId="8" borderId="162" xfId="184" applyNumberFormat="1" applyFont="1" applyFill="1" applyBorder="1" applyAlignment="1" applyProtection="1">
      <alignment horizontal="center" vertical="center"/>
      <protection hidden="1"/>
    </xf>
    <xf numFmtId="0" fontId="35" fillId="20" borderId="154" xfId="184" applyFont="1" applyFill="1" applyBorder="1" applyAlignment="1" applyProtection="1">
      <alignment horizontal="center" vertical="center"/>
      <protection hidden="1"/>
    </xf>
    <xf numFmtId="0" fontId="35" fillId="20" borderId="155" xfId="184" applyFont="1" applyFill="1" applyBorder="1" applyAlignment="1" applyProtection="1">
      <alignment horizontal="center" vertical="center"/>
      <protection hidden="1"/>
    </xf>
    <xf numFmtId="0" fontId="35" fillId="20" borderId="158" xfId="184" applyFont="1" applyFill="1" applyBorder="1" applyAlignment="1" applyProtection="1">
      <alignment horizontal="center" vertical="center"/>
      <protection hidden="1"/>
    </xf>
    <xf numFmtId="0" fontId="35" fillId="21" borderId="154" xfId="184" applyFont="1" applyFill="1" applyBorder="1" applyAlignment="1" applyProtection="1">
      <alignment horizontal="center" vertical="center"/>
      <protection hidden="1"/>
    </xf>
    <xf numFmtId="0" fontId="35" fillId="21" borderId="155" xfId="184" applyFont="1" applyFill="1" applyBorder="1" applyAlignment="1" applyProtection="1">
      <alignment horizontal="center" vertical="center"/>
      <protection hidden="1"/>
    </xf>
    <xf numFmtId="0" fontId="35" fillId="21" borderId="158" xfId="184" applyFont="1" applyFill="1" applyBorder="1" applyAlignment="1" applyProtection="1">
      <alignment horizontal="center" vertical="center"/>
      <protection hidden="1"/>
    </xf>
    <xf numFmtId="0" fontId="46" fillId="20" borderId="61" xfId="184" applyFont="1" applyFill="1" applyBorder="1" applyAlignment="1" applyProtection="1">
      <alignment horizontal="center" vertical="center"/>
      <protection hidden="1"/>
    </xf>
    <xf numFmtId="0" fontId="46" fillId="20" borderId="34" xfId="184" applyFont="1" applyFill="1" applyBorder="1" applyAlignment="1" applyProtection="1">
      <alignment horizontal="center" vertical="center"/>
      <protection hidden="1"/>
    </xf>
    <xf numFmtId="0" fontId="46" fillId="20" borderId="157" xfId="184" applyFont="1" applyFill="1" applyBorder="1" applyAlignment="1" applyProtection="1">
      <alignment horizontal="center" vertical="center"/>
      <protection hidden="1"/>
    </xf>
    <xf numFmtId="0" fontId="35" fillId="0" borderId="51" xfId="184" applyFont="1" applyBorder="1" applyAlignment="1" applyProtection="1">
      <alignment horizontal="center" vertical="center"/>
      <protection hidden="1"/>
    </xf>
    <xf numFmtId="0" fontId="35" fillId="0" borderId="128" xfId="184" applyFont="1" applyBorder="1" applyAlignment="1" applyProtection="1">
      <alignment horizontal="center" vertical="center"/>
      <protection hidden="1"/>
    </xf>
    <xf numFmtId="0" fontId="1" fillId="0" borderId="62" xfId="184" applyBorder="1" applyAlignment="1" applyProtection="1">
      <alignment horizontal="center" vertical="center"/>
      <protection hidden="1"/>
    </xf>
    <xf numFmtId="0" fontId="1" fillId="0" borderId="35" xfId="184" applyBorder="1" applyAlignment="1" applyProtection="1">
      <alignment horizontal="center" vertical="center"/>
      <protection hidden="1"/>
    </xf>
    <xf numFmtId="0" fontId="1" fillId="0" borderId="64" xfId="184" applyBorder="1" applyAlignment="1" applyProtection="1">
      <alignment horizontal="center" vertical="center"/>
      <protection hidden="1"/>
    </xf>
    <xf numFmtId="0" fontId="1" fillId="0" borderId="164" xfId="184" applyBorder="1" applyAlignment="1" applyProtection="1">
      <alignment vertical="center"/>
      <protection hidden="1"/>
    </xf>
    <xf numFmtId="0" fontId="1" fillId="0" borderId="81" xfId="184" applyBorder="1" applyAlignment="1" applyProtection="1">
      <alignment vertical="center"/>
      <protection hidden="1"/>
    </xf>
    <xf numFmtId="0" fontId="1" fillId="0" borderId="165" xfId="184" applyBorder="1" applyAlignment="1" applyProtection="1">
      <alignment vertical="center"/>
      <protection hidden="1"/>
    </xf>
    <xf numFmtId="0" fontId="1" fillId="0" borderId="79" xfId="184" applyBorder="1" applyAlignment="1" applyProtection="1">
      <alignment vertical="center"/>
      <protection hidden="1"/>
    </xf>
    <xf numFmtId="0" fontId="1" fillId="0" borderId="86" xfId="184" applyBorder="1" applyAlignment="1" applyProtection="1">
      <alignment vertical="center"/>
      <protection hidden="1"/>
    </xf>
    <xf numFmtId="0" fontId="1" fillId="0" borderId="0" xfId="184" applyAlignment="1" applyProtection="1">
      <alignment vertical="center"/>
      <protection hidden="1"/>
    </xf>
    <xf numFmtId="0" fontId="35" fillId="0" borderId="0" xfId="184" applyFont="1" applyAlignment="1" applyProtection="1">
      <alignment horizontal="left" vertical="center"/>
      <protection hidden="1"/>
    </xf>
    <xf numFmtId="0" fontId="1" fillId="0" borderId="0" xfId="184" applyAlignment="1" applyProtection="1">
      <alignment horizontal="center" vertical="center"/>
      <protection hidden="1"/>
    </xf>
    <xf numFmtId="0" fontId="35" fillId="0" borderId="0" xfId="184" applyFont="1" applyAlignment="1" applyProtection="1">
      <alignment horizontal="center" vertical="center"/>
      <protection hidden="1"/>
    </xf>
    <xf numFmtId="9" fontId="35" fillId="0" borderId="0" xfId="184" applyNumberFormat="1" applyFont="1" applyAlignment="1" applyProtection="1">
      <alignment horizontal="center" vertical="center"/>
      <protection hidden="1"/>
    </xf>
    <xf numFmtId="9" fontId="1" fillId="0" borderId="0" xfId="184" applyNumberFormat="1" applyAlignment="1" applyProtection="1">
      <alignment horizontal="center" vertical="center"/>
      <protection hidden="1"/>
    </xf>
    <xf numFmtId="0" fontId="35" fillId="0" borderId="0" xfId="184" applyFont="1" applyAlignment="1" applyProtection="1">
      <alignment vertical="center"/>
      <protection hidden="1"/>
    </xf>
    <xf numFmtId="2" fontId="47" fillId="0" borderId="0" xfId="184" applyNumberFormat="1" applyFont="1" applyAlignment="1" applyProtection="1">
      <alignment horizontal="center" vertical="center"/>
      <protection hidden="1"/>
    </xf>
    <xf numFmtId="0" fontId="47" fillId="0" borderId="0" xfId="184" applyFont="1" applyAlignment="1" applyProtection="1">
      <alignment horizontal="center" vertical="center"/>
      <protection hidden="1"/>
    </xf>
    <xf numFmtId="0" fontId="44" fillId="0" borderId="172" xfId="184" applyFont="1" applyBorder="1" applyAlignment="1" applyProtection="1">
      <alignment horizontal="center" vertical="center"/>
      <protection hidden="1"/>
    </xf>
    <xf numFmtId="0" fontId="44" fillId="0" borderId="173" xfId="184" applyFont="1" applyBorder="1" applyAlignment="1" applyProtection="1">
      <alignment horizontal="center" vertical="center"/>
      <protection hidden="1"/>
    </xf>
    <xf numFmtId="0" fontId="44" fillId="0" borderId="174" xfId="184" applyFont="1" applyBorder="1" applyAlignment="1" applyProtection="1">
      <alignment horizontal="center" vertical="center"/>
      <protection hidden="1"/>
    </xf>
    <xf numFmtId="2" fontId="47" fillId="23" borderId="175" xfId="184" applyNumberFormat="1" applyFont="1" applyFill="1" applyBorder="1" applyAlignment="1" applyProtection="1">
      <alignment horizontal="center" vertical="center"/>
      <protection hidden="1"/>
    </xf>
    <xf numFmtId="2" fontId="47" fillId="23" borderId="176" xfId="184" applyNumberFormat="1" applyFont="1" applyFill="1" applyBorder="1" applyAlignment="1" applyProtection="1">
      <alignment horizontal="center" vertical="center"/>
      <protection hidden="1"/>
    </xf>
    <xf numFmtId="0" fontId="47" fillId="23" borderId="177" xfId="184" applyFont="1" applyFill="1" applyBorder="1" applyAlignment="1" applyProtection="1">
      <alignment horizontal="center" vertical="center"/>
      <protection hidden="1"/>
    </xf>
    <xf numFmtId="0" fontId="43" fillId="0" borderId="0" xfId="184" applyFont="1" applyAlignment="1" applyProtection="1">
      <alignment vertical="center"/>
      <protection hidden="1"/>
    </xf>
    <xf numFmtId="0" fontId="45" fillId="0" borderId="0" xfId="184" applyFont="1" applyAlignment="1" applyProtection="1">
      <alignment vertical="center"/>
      <protection hidden="1"/>
    </xf>
    <xf numFmtId="0" fontId="48" fillId="0" borderId="96" xfId="184" applyFont="1" applyBorder="1" applyAlignment="1" applyProtection="1">
      <alignment vertical="top"/>
      <protection hidden="1"/>
    </xf>
    <xf numFmtId="0" fontId="35" fillId="0" borderId="66" xfId="184" applyFont="1" applyBorder="1" applyAlignment="1" applyProtection="1">
      <alignment horizontal="center" vertical="center"/>
      <protection hidden="1"/>
    </xf>
    <xf numFmtId="0" fontId="35" fillId="0" borderId="153" xfId="184" applyFont="1" applyBorder="1" applyAlignment="1" applyProtection="1">
      <alignment horizontal="center" vertical="center"/>
      <protection hidden="1"/>
    </xf>
    <xf numFmtId="0" fontId="31" fillId="16" borderId="0" xfId="0" applyFont="1" applyFill="1" applyAlignment="1" applyProtection="1">
      <alignment vertical="center"/>
      <protection hidden="1"/>
    </xf>
    <xf numFmtId="0" fontId="31" fillId="0" borderId="0" xfId="0" applyFont="1" applyAlignment="1" applyProtection="1">
      <alignment vertical="center"/>
      <protection hidden="1"/>
    </xf>
    <xf numFmtId="0" fontId="40" fillId="0" borderId="0" xfId="0" applyFont="1" applyAlignment="1" applyProtection="1">
      <alignment vertical="center"/>
      <protection hidden="1"/>
    </xf>
    <xf numFmtId="0" fontId="31" fillId="0" borderId="0" xfId="0" applyFont="1" applyAlignment="1" applyProtection="1">
      <alignment horizontal="left" vertical="center"/>
      <protection hidden="1"/>
    </xf>
    <xf numFmtId="0" fontId="41" fillId="0" borderId="0" xfId="0" applyFont="1" applyAlignment="1" applyProtection="1">
      <alignment vertical="center" wrapText="1"/>
      <protection hidden="1"/>
    </xf>
    <xf numFmtId="0" fontId="19" fillId="0" borderId="0" xfId="0" applyFont="1" applyAlignment="1" applyProtection="1">
      <alignment vertical="center" wrapText="1"/>
      <protection hidden="1"/>
    </xf>
    <xf numFmtId="0" fontId="41" fillId="0" borderId="0" xfId="0" applyFont="1" applyAlignment="1" applyProtection="1">
      <alignment vertical="center"/>
      <protection hidden="1"/>
    </xf>
    <xf numFmtId="0" fontId="19" fillId="0" borderId="0" xfId="0" applyFont="1" applyAlignment="1" applyProtection="1">
      <alignment vertical="center"/>
      <protection hidden="1"/>
    </xf>
    <xf numFmtId="0" fontId="0" fillId="0" borderId="0" xfId="0" applyProtection="1">
      <protection hidden="1"/>
    </xf>
    <xf numFmtId="0" fontId="25" fillId="0" borderId="0" xfId="184" applyFont="1" applyAlignment="1" applyProtection="1">
      <alignment vertical="center"/>
      <protection hidden="1"/>
    </xf>
    <xf numFmtId="0" fontId="41" fillId="0" borderId="0" xfId="184" applyFont="1" applyAlignment="1" applyProtection="1">
      <alignment vertical="center"/>
      <protection hidden="1"/>
    </xf>
    <xf numFmtId="0" fontId="1" fillId="0" borderId="180" xfId="184" applyBorder="1" applyAlignment="1" applyProtection="1">
      <alignment horizontal="center" vertical="center"/>
      <protection hidden="1"/>
    </xf>
    <xf numFmtId="0" fontId="44" fillId="0" borderId="0" xfId="184" applyFont="1" applyAlignment="1" applyProtection="1">
      <alignment vertical="center"/>
      <protection hidden="1"/>
    </xf>
    <xf numFmtId="0" fontId="1" fillId="0" borderId="181" xfId="184" applyBorder="1" applyAlignment="1" applyProtection="1">
      <alignment horizontal="center" vertical="center"/>
      <protection hidden="1"/>
    </xf>
    <xf numFmtId="0" fontId="1" fillId="0" borderId="182" xfId="184" applyBorder="1" applyAlignment="1" applyProtection="1">
      <alignment horizontal="center" vertical="center"/>
      <protection hidden="1"/>
    </xf>
    <xf numFmtId="0" fontId="1" fillId="0" borderId="166" xfId="184" applyBorder="1" applyAlignment="1" applyProtection="1">
      <alignment vertical="center"/>
      <protection hidden="1"/>
    </xf>
    <xf numFmtId="0" fontId="1" fillId="0" borderId="167" xfId="184" applyBorder="1" applyAlignment="1" applyProtection="1">
      <alignment horizontal="center" vertical="center"/>
      <protection hidden="1"/>
    </xf>
    <xf numFmtId="0" fontId="1" fillId="0" borderId="168" xfId="184" applyBorder="1" applyAlignment="1" applyProtection="1">
      <alignment vertical="center"/>
      <protection hidden="1"/>
    </xf>
    <xf numFmtId="0" fontId="20" fillId="15" borderId="0" xfId="0" applyFont="1" applyFill="1" applyAlignment="1" applyProtection="1">
      <alignment horizontal="center" vertical="center"/>
      <protection locked="0"/>
    </xf>
    <xf numFmtId="0" fontId="20" fillId="23" borderId="0" xfId="0" applyFont="1" applyFill="1" applyAlignment="1" applyProtection="1">
      <alignment horizontal="center" vertical="center"/>
      <protection hidden="1"/>
    </xf>
    <xf numFmtId="0" fontId="20" fillId="0" borderId="0" xfId="0" applyFont="1" applyAlignment="1" applyProtection="1">
      <alignment horizontal="center" vertical="center"/>
      <protection hidden="1"/>
    </xf>
    <xf numFmtId="0" fontId="20" fillId="15" borderId="0" xfId="0" applyFont="1" applyFill="1" applyAlignment="1" applyProtection="1">
      <alignment horizontal="center" vertical="center"/>
      <protection hidden="1"/>
    </xf>
    <xf numFmtId="2" fontId="20" fillId="15" borderId="0" xfId="0" applyNumberFormat="1" applyFont="1" applyFill="1" applyAlignment="1" applyProtection="1">
      <alignment horizontal="center" vertical="center"/>
      <protection hidden="1"/>
    </xf>
    <xf numFmtId="0" fontId="20" fillId="16" borderId="0" xfId="0" applyFont="1" applyFill="1" applyAlignment="1" applyProtection="1">
      <alignment horizontal="center" vertical="center"/>
      <protection hidden="1"/>
    </xf>
    <xf numFmtId="0" fontId="29" fillId="22" borderId="0" xfId="0" applyFont="1" applyFill="1" applyAlignment="1" applyProtection="1">
      <alignment horizontal="center" vertical="center"/>
      <protection hidden="1"/>
    </xf>
    <xf numFmtId="0" fontId="31" fillId="0" borderId="0" xfId="0" applyFont="1" applyAlignment="1" applyProtection="1">
      <alignment horizontal="center" vertical="center"/>
      <protection hidden="1"/>
    </xf>
    <xf numFmtId="0" fontId="49" fillId="0" borderId="0" xfId="0" applyFont="1" applyAlignment="1" applyProtection="1">
      <alignment horizontal="center" vertical="center"/>
      <protection hidden="1"/>
    </xf>
    <xf numFmtId="2" fontId="16" fillId="0" borderId="0" xfId="0" applyNumberFormat="1" applyFont="1" applyAlignment="1" applyProtection="1">
      <alignment horizontal="center" vertical="center"/>
      <protection hidden="1"/>
    </xf>
    <xf numFmtId="2" fontId="23" fillId="8" borderId="44" xfId="1" applyNumberFormat="1" applyFont="1" applyFill="1" applyBorder="1" applyAlignment="1" applyProtection="1">
      <alignment horizontal="center" vertical="center"/>
      <protection hidden="1"/>
    </xf>
    <xf numFmtId="2" fontId="23" fillId="8" borderId="43" xfId="0" applyNumberFormat="1" applyFont="1" applyFill="1" applyBorder="1" applyAlignment="1" applyProtection="1">
      <alignment horizontal="center" vertical="center"/>
      <protection hidden="1"/>
    </xf>
    <xf numFmtId="0" fontId="51" fillId="0" borderId="0" xfId="0" applyFont="1" applyAlignment="1" applyProtection="1">
      <alignment horizontal="center" vertical="center"/>
      <protection hidden="1"/>
    </xf>
    <xf numFmtId="0" fontId="52" fillId="0" borderId="0" xfId="0" applyFont="1" applyAlignment="1" applyProtection="1">
      <alignment horizontal="center" vertical="center"/>
      <protection hidden="1"/>
    </xf>
    <xf numFmtId="0" fontId="52" fillId="0" borderId="0" xfId="0" applyFont="1" applyAlignment="1" applyProtection="1">
      <alignment vertical="center"/>
      <protection hidden="1"/>
    </xf>
    <xf numFmtId="1" fontId="53" fillId="13" borderId="40" xfId="0" applyNumberFormat="1" applyFont="1" applyFill="1" applyBorder="1" applyAlignment="1" applyProtection="1">
      <alignment horizontal="center" vertical="center"/>
      <protection hidden="1"/>
    </xf>
    <xf numFmtId="1" fontId="53" fillId="13" borderId="43" xfId="0" applyNumberFormat="1" applyFont="1" applyFill="1" applyBorder="1" applyAlignment="1" applyProtection="1">
      <alignment horizontal="center" vertical="center"/>
      <protection hidden="1"/>
    </xf>
    <xf numFmtId="0" fontId="53" fillId="5" borderId="40" xfId="0" applyFont="1" applyFill="1" applyBorder="1" applyAlignment="1" applyProtection="1">
      <alignment horizontal="center" vertical="center"/>
      <protection hidden="1"/>
    </xf>
    <xf numFmtId="0" fontId="53" fillId="5" borderId="43" xfId="0" applyFont="1" applyFill="1" applyBorder="1" applyAlignment="1" applyProtection="1">
      <alignment horizontal="center" vertical="center"/>
      <protection hidden="1"/>
    </xf>
    <xf numFmtId="0" fontId="21" fillId="0" borderId="40" xfId="0" quotePrefix="1" applyFont="1" applyBorder="1" applyAlignment="1" applyProtection="1">
      <alignment horizontal="center" vertical="center"/>
      <protection locked="0"/>
    </xf>
    <xf numFmtId="164" fontId="38" fillId="0" borderId="112" xfId="0" applyNumberFormat="1" applyFont="1" applyBorder="1" applyAlignment="1" applyProtection="1">
      <alignment horizontal="left" vertical="center" wrapText="1" indent="4"/>
      <protection hidden="1"/>
    </xf>
    <xf numFmtId="164" fontId="17" fillId="0" borderId="56" xfId="0" applyNumberFormat="1" applyFont="1" applyBorder="1" applyAlignment="1" applyProtection="1">
      <alignment horizontal="left" vertical="center" wrapText="1" indent="4"/>
      <protection hidden="1"/>
    </xf>
    <xf numFmtId="164" fontId="17" fillId="0" borderId="126" xfId="0" applyNumberFormat="1" applyFont="1" applyBorder="1" applyAlignment="1" applyProtection="1">
      <alignment horizontal="left" vertical="center" wrapText="1" indent="4"/>
      <protection hidden="1"/>
    </xf>
    <xf numFmtId="164" fontId="17" fillId="0" borderId="114" xfId="0" applyNumberFormat="1" applyFont="1" applyBorder="1" applyAlignment="1" applyProtection="1">
      <alignment horizontal="left" vertical="center" wrapText="1" indent="4"/>
      <protection hidden="1"/>
    </xf>
    <xf numFmtId="164" fontId="17" fillId="0" borderId="127" xfId="0" applyNumberFormat="1" applyFont="1" applyBorder="1" applyAlignment="1" applyProtection="1">
      <alignment horizontal="left" vertical="center" wrapText="1" indent="4"/>
      <protection hidden="1"/>
    </xf>
    <xf numFmtId="164" fontId="17" fillId="0" borderId="128" xfId="0" applyNumberFormat="1" applyFont="1" applyBorder="1" applyAlignment="1" applyProtection="1">
      <alignment horizontal="left" vertical="center" wrapText="1" indent="4"/>
      <protection hidden="1"/>
    </xf>
    <xf numFmtId="1" fontId="21" fillId="0" borderId="52" xfId="0" applyNumberFormat="1" applyFont="1" applyBorder="1" applyAlignment="1" applyProtection="1">
      <alignment horizontal="center" vertical="center" textRotation="90"/>
      <protection hidden="1"/>
    </xf>
    <xf numFmtId="1" fontId="21" fillId="0" borderId="39" xfId="0" applyNumberFormat="1" applyFont="1" applyBorder="1" applyAlignment="1" applyProtection="1">
      <alignment horizontal="center" vertical="center" textRotation="90"/>
      <protection hidden="1"/>
    </xf>
    <xf numFmtId="0" fontId="30" fillId="16" borderId="125" xfId="0" applyFont="1" applyFill="1" applyBorder="1" applyAlignment="1" applyProtection="1">
      <alignment horizontal="center" vertical="center"/>
      <protection hidden="1"/>
    </xf>
    <xf numFmtId="0" fontId="30" fillId="16" borderId="123" xfId="0" applyFont="1" applyFill="1" applyBorder="1" applyAlignment="1" applyProtection="1">
      <alignment horizontal="center" vertical="center"/>
      <protection hidden="1"/>
    </xf>
    <xf numFmtId="0" fontId="30" fillId="16" borderId="124" xfId="0" applyFont="1" applyFill="1" applyBorder="1" applyAlignment="1" applyProtection="1">
      <alignment horizontal="center" vertical="center"/>
      <protection hidden="1"/>
    </xf>
    <xf numFmtId="2" fontId="23" fillId="8" borderId="66" xfId="1" applyNumberFormat="1" applyFont="1" applyFill="1" applyBorder="1" applyAlignment="1" applyProtection="1">
      <alignment horizontal="center" vertical="center"/>
      <protection hidden="1"/>
    </xf>
    <xf numFmtId="2" fontId="23" fillId="8" borderId="40" xfId="1" applyNumberFormat="1" applyFont="1" applyFill="1" applyBorder="1" applyAlignment="1" applyProtection="1">
      <alignment horizontal="center" vertical="center"/>
      <protection hidden="1"/>
    </xf>
    <xf numFmtId="2" fontId="23" fillId="8" borderId="67" xfId="1" applyNumberFormat="1" applyFont="1" applyFill="1" applyBorder="1" applyAlignment="1" applyProtection="1">
      <alignment horizontal="center" vertical="center"/>
      <protection hidden="1"/>
    </xf>
    <xf numFmtId="2" fontId="23" fillId="8" borderId="41" xfId="1" applyNumberFormat="1" applyFont="1" applyFill="1" applyBorder="1" applyAlignment="1" applyProtection="1">
      <alignment horizontal="center" vertical="center"/>
      <protection hidden="1"/>
    </xf>
    <xf numFmtId="0" fontId="21" fillId="5" borderId="68" xfId="103" applyFont="1" applyFill="1" applyBorder="1" applyAlignment="1" applyProtection="1">
      <alignment horizontal="center" vertical="center"/>
      <protection hidden="1"/>
    </xf>
    <xf numFmtId="0" fontId="21" fillId="13" borderId="69" xfId="103" applyFont="1" applyFill="1" applyBorder="1" applyAlignment="1" applyProtection="1">
      <alignment horizontal="center" vertical="center"/>
      <protection hidden="1"/>
    </xf>
    <xf numFmtId="0" fontId="21" fillId="13" borderId="68" xfId="103" applyFont="1" applyFill="1" applyBorder="1" applyAlignment="1" applyProtection="1">
      <alignment horizontal="center" vertical="center"/>
      <protection hidden="1"/>
    </xf>
    <xf numFmtId="0" fontId="19" fillId="16" borderId="0" xfId="0" applyFont="1" applyFill="1" applyAlignment="1" applyProtection="1">
      <alignment horizontal="left" vertical="center"/>
      <protection hidden="1"/>
    </xf>
    <xf numFmtId="0" fontId="19" fillId="0" borderId="0" xfId="0" applyFont="1" applyAlignment="1" applyProtection="1">
      <alignment horizontal="left" vertical="center"/>
      <protection hidden="1"/>
    </xf>
    <xf numFmtId="0" fontId="30" fillId="16" borderId="75" xfId="0" applyFont="1" applyFill="1" applyBorder="1" applyAlignment="1" applyProtection="1">
      <alignment horizontal="center" vertical="center"/>
      <protection hidden="1"/>
    </xf>
    <xf numFmtId="2" fontId="19" fillId="0" borderId="53" xfId="0" applyNumberFormat="1" applyFont="1" applyBorder="1" applyAlignment="1" applyProtection="1">
      <alignment horizontal="center" vertical="center" wrapText="1"/>
      <protection hidden="1"/>
    </xf>
    <xf numFmtId="0" fontId="22" fillId="0" borderId="48" xfId="0" applyFont="1" applyBorder="1" applyAlignment="1" applyProtection="1">
      <alignment horizontal="center" vertical="center" wrapText="1"/>
      <protection hidden="1"/>
    </xf>
    <xf numFmtId="0" fontId="22" fillId="0" borderId="46" xfId="0" applyFont="1" applyBorder="1" applyAlignment="1" applyProtection="1">
      <alignment horizontal="center" vertical="center" wrapText="1"/>
      <protection hidden="1"/>
    </xf>
    <xf numFmtId="0" fontId="22" fillId="0" borderId="78" xfId="0" applyFont="1" applyBorder="1" applyAlignment="1" applyProtection="1">
      <alignment horizontal="center" vertical="center" wrapText="1"/>
      <protection hidden="1"/>
    </xf>
    <xf numFmtId="0" fontId="18" fillId="0" borderId="0" xfId="0" applyFont="1" applyAlignment="1" applyProtection="1">
      <alignment horizontal="left" vertical="center"/>
      <protection hidden="1"/>
    </xf>
    <xf numFmtId="0" fontId="31" fillId="0" borderId="0" xfId="0" applyFont="1" applyAlignment="1" applyProtection="1">
      <alignment horizontal="left" vertical="center" wrapText="1"/>
      <protection hidden="1"/>
    </xf>
    <xf numFmtId="0" fontId="31" fillId="0" borderId="194" xfId="0" applyFont="1" applyBorder="1" applyAlignment="1" applyProtection="1">
      <alignment horizontal="center" vertical="center"/>
      <protection hidden="1"/>
    </xf>
    <xf numFmtId="0" fontId="31" fillId="0" borderId="195" xfId="0" applyFont="1" applyBorder="1" applyAlignment="1" applyProtection="1">
      <alignment horizontal="center" vertical="center"/>
      <protection hidden="1"/>
    </xf>
    <xf numFmtId="0" fontId="31" fillId="0" borderId="196" xfId="0" applyFont="1" applyBorder="1" applyAlignment="1" applyProtection="1">
      <alignment horizontal="center" vertical="center"/>
      <protection hidden="1"/>
    </xf>
    <xf numFmtId="0" fontId="31" fillId="0" borderId="192" xfId="0" applyFont="1" applyBorder="1" applyAlignment="1" applyProtection="1">
      <alignment horizontal="center" vertical="center"/>
      <protection hidden="1"/>
    </xf>
    <xf numFmtId="0" fontId="31" fillId="0" borderId="1" xfId="0" applyFont="1" applyBorder="1" applyAlignment="1" applyProtection="1">
      <alignment horizontal="center" vertical="center"/>
      <protection hidden="1"/>
    </xf>
    <xf numFmtId="0" fontId="31" fillId="0" borderId="193" xfId="0" applyFont="1" applyBorder="1" applyAlignment="1" applyProtection="1">
      <alignment horizontal="center" vertical="center"/>
      <protection hidden="1"/>
    </xf>
    <xf numFmtId="0" fontId="41" fillId="16" borderId="125" xfId="0" applyFont="1" applyFill="1" applyBorder="1" applyAlignment="1" applyProtection="1">
      <alignment horizontal="center" vertical="center"/>
      <protection hidden="1"/>
    </xf>
    <xf numFmtId="0" fontId="41" fillId="16" borderId="123" xfId="0" applyFont="1" applyFill="1" applyBorder="1" applyAlignment="1" applyProtection="1">
      <alignment horizontal="center" vertical="center"/>
      <protection hidden="1"/>
    </xf>
    <xf numFmtId="0" fontId="41" fillId="16" borderId="75" xfId="0" applyFont="1" applyFill="1" applyBorder="1" applyAlignment="1" applyProtection="1">
      <alignment horizontal="center" vertical="center"/>
      <protection hidden="1"/>
    </xf>
    <xf numFmtId="0" fontId="41" fillId="16" borderId="124" xfId="0" applyFont="1" applyFill="1" applyBorder="1" applyAlignment="1" applyProtection="1">
      <alignment horizontal="center" vertical="center"/>
      <protection hidden="1"/>
    </xf>
    <xf numFmtId="0" fontId="31" fillId="0" borderId="197" xfId="0" applyFont="1" applyBorder="1" applyAlignment="1" applyProtection="1">
      <alignment horizontal="center" vertical="center"/>
      <protection hidden="1"/>
    </xf>
    <xf numFmtId="0" fontId="31" fillId="0" borderId="4" xfId="0" applyFont="1" applyBorder="1" applyAlignment="1" applyProtection="1">
      <alignment horizontal="center" vertical="center"/>
      <protection hidden="1"/>
    </xf>
    <xf numFmtId="0" fontId="31" fillId="0" borderId="198" xfId="0" applyFont="1" applyBorder="1" applyAlignment="1" applyProtection="1">
      <alignment horizontal="center" vertical="center"/>
      <protection hidden="1"/>
    </xf>
    <xf numFmtId="0" fontId="24" fillId="0" borderId="96" xfId="0" applyFont="1" applyBorder="1" applyAlignment="1" applyProtection="1">
      <alignment horizontal="center" vertical="center"/>
      <protection hidden="1"/>
    </xf>
    <xf numFmtId="0" fontId="19" fillId="0" borderId="0" xfId="0" applyFont="1" applyAlignment="1" applyProtection="1">
      <alignment horizontal="left" vertical="center" wrapText="1"/>
      <protection hidden="1"/>
    </xf>
    <xf numFmtId="0" fontId="30" fillId="15" borderId="130" xfId="0" applyFont="1" applyFill="1" applyBorder="1" applyAlignment="1">
      <alignment horizontal="center" vertical="center" wrapText="1"/>
    </xf>
    <xf numFmtId="0" fontId="19" fillId="0" borderId="118" xfId="0" applyFont="1" applyBorder="1" applyAlignment="1" applyProtection="1">
      <alignment horizontal="left" vertical="center"/>
      <protection locked="0"/>
    </xf>
    <xf numFmtId="0" fontId="19" fillId="0" borderId="110" xfId="0" applyFont="1" applyBorder="1" applyAlignment="1" applyProtection="1">
      <alignment horizontal="left" vertical="center"/>
      <protection locked="0"/>
    </xf>
    <xf numFmtId="0" fontId="19" fillId="0" borderId="111" xfId="0" applyFont="1" applyBorder="1" applyAlignment="1" applyProtection="1">
      <alignment horizontal="left" vertical="center"/>
      <protection locked="0"/>
    </xf>
    <xf numFmtId="0" fontId="19" fillId="0" borderId="117" xfId="0" applyFont="1" applyBorder="1" applyAlignment="1" applyProtection="1">
      <alignment horizontal="left" vertical="center"/>
      <protection locked="0"/>
    </xf>
    <xf numFmtId="0" fontId="19" fillId="0" borderId="108" xfId="0" applyFont="1" applyBorder="1" applyAlignment="1" applyProtection="1">
      <alignment horizontal="left" vertical="center"/>
      <protection locked="0"/>
    </xf>
    <xf numFmtId="0" fontId="19" fillId="0" borderId="109" xfId="0" applyFont="1" applyBorder="1" applyAlignment="1" applyProtection="1">
      <alignment horizontal="left" vertical="center"/>
      <protection locked="0"/>
    </xf>
    <xf numFmtId="0" fontId="16" fillId="8" borderId="26" xfId="0" applyFont="1" applyFill="1" applyBorder="1" applyAlignment="1">
      <alignment horizontal="center" vertical="center"/>
    </xf>
    <xf numFmtId="0" fontId="16" fillId="8" borderId="3" xfId="0" applyFont="1" applyFill="1" applyBorder="1" applyAlignment="1">
      <alignment horizontal="center" vertical="center"/>
    </xf>
    <xf numFmtId="0" fontId="30" fillId="16" borderId="52" xfId="0" applyFont="1" applyFill="1" applyBorder="1" applyAlignment="1">
      <alignment horizontal="center" vertical="center"/>
    </xf>
    <xf numFmtId="0" fontId="30" fillId="16" borderId="53" xfId="0" applyFont="1" applyFill="1" applyBorder="1" applyAlignment="1">
      <alignment horizontal="center" vertical="center"/>
    </xf>
    <xf numFmtId="0" fontId="30" fillId="16" borderId="54" xfId="0" applyFont="1" applyFill="1" applyBorder="1" applyAlignment="1">
      <alignment horizontal="center" vertical="center"/>
    </xf>
    <xf numFmtId="9" fontId="27" fillId="9" borderId="39" xfId="0" applyNumberFormat="1" applyFont="1" applyFill="1" applyBorder="1" applyAlignment="1">
      <alignment horizontal="center" vertical="center" wrapText="1"/>
    </xf>
    <xf numFmtId="20" fontId="19" fillId="0" borderId="121" xfId="0" applyNumberFormat="1" applyFont="1" applyBorder="1" applyAlignment="1" applyProtection="1">
      <alignment horizontal="left" vertical="center"/>
      <protection locked="0"/>
    </xf>
    <xf numFmtId="0" fontId="19" fillId="0" borderId="104" xfId="0" applyFont="1" applyBorder="1" applyAlignment="1" applyProtection="1">
      <alignment horizontal="left" vertical="center"/>
      <protection locked="0"/>
    </xf>
    <xf numFmtId="0" fontId="19" fillId="0" borderId="105" xfId="0" applyFont="1" applyBorder="1" applyAlignment="1" applyProtection="1">
      <alignment horizontal="left" vertical="center"/>
      <protection locked="0"/>
    </xf>
    <xf numFmtId="0" fontId="19" fillId="0" borderId="120" xfId="0" applyFont="1" applyBorder="1" applyAlignment="1" applyProtection="1">
      <alignment horizontal="left" vertical="center"/>
      <protection locked="0"/>
    </xf>
    <xf numFmtId="0" fontId="19" fillId="0" borderId="102" xfId="0" applyFont="1" applyBorder="1" applyAlignment="1" applyProtection="1">
      <alignment horizontal="left" vertical="center"/>
      <protection locked="0"/>
    </xf>
    <xf numFmtId="0" fontId="19" fillId="0" borderId="103" xfId="0" applyFont="1" applyBorder="1" applyAlignment="1" applyProtection="1">
      <alignment horizontal="left" vertical="center"/>
      <protection locked="0"/>
    </xf>
    <xf numFmtId="0" fontId="29" fillId="16" borderId="26" xfId="0" applyFont="1" applyFill="1" applyBorder="1" applyAlignment="1">
      <alignment horizontal="center" vertical="center"/>
    </xf>
    <xf numFmtId="0" fontId="29" fillId="16" borderId="7" xfId="0" applyFont="1" applyFill="1" applyBorder="1" applyAlignment="1">
      <alignment horizontal="center" vertical="center"/>
    </xf>
    <xf numFmtId="0" fontId="29" fillId="16" borderId="27" xfId="0" applyFont="1" applyFill="1" applyBorder="1" applyAlignment="1">
      <alignment horizontal="center" vertical="center"/>
    </xf>
    <xf numFmtId="0" fontId="31" fillId="0" borderId="133" xfId="0" applyFont="1" applyBorder="1" applyAlignment="1">
      <alignment horizontal="center" vertical="center"/>
    </xf>
    <xf numFmtId="0" fontId="31" fillId="0" borderId="134" xfId="0" applyFont="1" applyBorder="1" applyAlignment="1">
      <alignment horizontal="center" vertical="center"/>
    </xf>
    <xf numFmtId="0" fontId="31" fillId="0" borderId="30" xfId="0" applyFont="1" applyBorder="1" applyAlignment="1">
      <alignment horizontal="center" vertical="center"/>
    </xf>
    <xf numFmtId="0" fontId="31" fillId="0" borderId="31" xfId="0" applyFont="1" applyBorder="1" applyAlignment="1">
      <alignment horizontal="center" vertical="center"/>
    </xf>
    <xf numFmtId="0" fontId="31" fillId="0" borderId="33" xfId="0" applyFont="1" applyBorder="1" applyAlignment="1">
      <alignment horizontal="center" vertical="center"/>
    </xf>
    <xf numFmtId="0" fontId="31" fillId="0" borderId="34" xfId="0" applyFont="1" applyBorder="1" applyAlignment="1">
      <alignment horizontal="center" vertical="center"/>
    </xf>
    <xf numFmtId="0" fontId="31" fillId="0" borderId="36" xfId="0" applyFont="1" applyBorder="1" applyAlignment="1">
      <alignment horizontal="center" vertical="center"/>
    </xf>
    <xf numFmtId="0" fontId="31" fillId="0" borderId="37" xfId="0" applyFont="1" applyBorder="1" applyAlignment="1">
      <alignment horizontal="center" vertical="center"/>
    </xf>
    <xf numFmtId="9" fontId="18" fillId="8" borderId="59" xfId="0" applyNumberFormat="1" applyFont="1" applyFill="1" applyBorder="1" applyAlignment="1">
      <alignment horizontal="center" vertical="center"/>
    </xf>
    <xf numFmtId="9" fontId="18" fillId="8" borderId="60" xfId="0" applyNumberFormat="1" applyFont="1" applyFill="1" applyBorder="1" applyAlignment="1">
      <alignment horizontal="center" vertical="center"/>
    </xf>
    <xf numFmtId="9" fontId="18" fillId="8" borderId="58" xfId="0" applyNumberFormat="1" applyFont="1" applyFill="1" applyBorder="1" applyAlignment="1">
      <alignment horizontal="center" vertical="center"/>
    </xf>
    <xf numFmtId="9" fontId="18" fillId="0" borderId="49" xfId="0" applyNumberFormat="1" applyFont="1" applyBorder="1" applyAlignment="1" applyProtection="1">
      <alignment horizontal="center" vertical="center" wrapText="1"/>
      <protection locked="0"/>
    </xf>
    <xf numFmtId="9" fontId="18" fillId="0" borderId="50" xfId="0" applyNumberFormat="1" applyFont="1" applyBorder="1" applyAlignment="1" applyProtection="1">
      <alignment horizontal="center" vertical="center" wrapText="1"/>
      <protection locked="0"/>
    </xf>
    <xf numFmtId="9" fontId="27" fillId="10" borderId="39" xfId="109" applyFont="1" applyFill="1" applyBorder="1" applyAlignment="1" applyProtection="1">
      <alignment horizontal="center" vertical="center" wrapText="1"/>
    </xf>
    <xf numFmtId="0" fontId="25" fillId="15" borderId="22" xfId="0" applyFont="1" applyFill="1" applyBorder="1" applyAlignment="1">
      <alignment horizontal="right" vertical="center"/>
    </xf>
    <xf numFmtId="0" fontId="30" fillId="16" borderId="87" xfId="0" applyFont="1" applyFill="1" applyBorder="1" applyAlignment="1">
      <alignment horizontal="center" vertical="center"/>
    </xf>
    <xf numFmtId="0" fontId="30" fillId="16" borderId="136" xfId="0" applyFont="1" applyFill="1" applyBorder="1" applyAlignment="1">
      <alignment horizontal="center" vertical="center"/>
    </xf>
    <xf numFmtId="0" fontId="30" fillId="16" borderId="88" xfId="0" applyFont="1" applyFill="1" applyBorder="1" applyAlignment="1">
      <alignment horizontal="center" vertical="center"/>
    </xf>
    <xf numFmtId="0" fontId="30" fillId="15" borderId="0" xfId="0" applyFont="1" applyFill="1" applyAlignment="1">
      <alignment horizontal="center" vertical="center" wrapText="1"/>
    </xf>
    <xf numFmtId="9" fontId="18" fillId="0" borderId="51" xfId="0" applyNumberFormat="1" applyFont="1" applyBorder="1" applyAlignment="1" applyProtection="1">
      <alignment horizontal="center" vertical="center" wrapText="1"/>
      <protection locked="0"/>
    </xf>
    <xf numFmtId="165" fontId="16" fillId="16" borderId="40" xfId="0" applyNumberFormat="1" applyFont="1" applyFill="1" applyBorder="1" applyAlignment="1">
      <alignment horizontal="center" vertical="center"/>
    </xf>
    <xf numFmtId="165" fontId="16" fillId="16" borderId="41" xfId="0" applyNumberFormat="1" applyFont="1" applyFill="1" applyBorder="1" applyAlignment="1">
      <alignment horizontal="center" vertical="center"/>
    </xf>
    <xf numFmtId="0" fontId="29" fillId="16" borderId="23" xfId="0" applyFont="1" applyFill="1" applyBorder="1" applyAlignment="1">
      <alignment horizontal="center" vertical="center"/>
    </xf>
    <xf numFmtId="0" fontId="29" fillId="16" borderId="24" xfId="0" applyFont="1" applyFill="1" applyBorder="1" applyAlignment="1">
      <alignment horizontal="center" vertical="center"/>
    </xf>
    <xf numFmtId="0" fontId="29" fillId="16" borderId="25" xfId="0" applyFont="1" applyFill="1" applyBorder="1" applyAlignment="1">
      <alignment horizontal="center" vertical="center"/>
    </xf>
    <xf numFmtId="0" fontId="19" fillId="0" borderId="116" xfId="0" applyFont="1" applyBorder="1" applyAlignment="1" applyProtection="1">
      <alignment horizontal="left" vertical="center"/>
      <protection locked="0"/>
    </xf>
    <xf numFmtId="0" fontId="19" fillId="0" borderId="106" xfId="0" applyFont="1" applyBorder="1" applyAlignment="1" applyProtection="1">
      <alignment horizontal="left" vertical="center"/>
      <protection locked="0"/>
    </xf>
    <xf numFmtId="0" fontId="19" fillId="0" borderId="107" xfId="0" applyFont="1" applyBorder="1" applyAlignment="1" applyProtection="1">
      <alignment horizontal="left" vertical="center"/>
      <protection locked="0"/>
    </xf>
    <xf numFmtId="0" fontId="36" fillId="16" borderId="112" xfId="0" applyFont="1" applyFill="1" applyBorder="1" applyAlignment="1">
      <alignment horizontal="center" vertical="center" wrapText="1"/>
    </xf>
    <xf numFmtId="0" fontId="36" fillId="16" borderId="113" xfId="0" applyFont="1" applyFill="1" applyBorder="1" applyAlignment="1">
      <alignment horizontal="center" vertical="center"/>
    </xf>
    <xf numFmtId="0" fontId="36" fillId="16" borderId="114" xfId="0" applyFont="1" applyFill="1" applyBorder="1" applyAlignment="1">
      <alignment horizontal="center" vertical="center"/>
    </xf>
    <xf numFmtId="0" fontId="19" fillId="0" borderId="119" xfId="0" applyFont="1" applyBorder="1" applyAlignment="1" applyProtection="1">
      <alignment horizontal="left" vertical="center"/>
      <protection locked="0"/>
    </xf>
    <xf numFmtId="0" fontId="19" fillId="0" borderId="100" xfId="0" applyFont="1" applyBorder="1" applyAlignment="1" applyProtection="1">
      <alignment horizontal="left" vertical="center"/>
      <protection locked="0"/>
    </xf>
    <xf numFmtId="0" fontId="19" fillId="0" borderId="101" xfId="0" applyFont="1" applyBorder="1" applyAlignment="1" applyProtection="1">
      <alignment horizontal="left" vertical="center"/>
      <protection locked="0"/>
    </xf>
    <xf numFmtId="0" fontId="16" fillId="8" borderId="28" xfId="0" applyFont="1" applyFill="1" applyBorder="1" applyAlignment="1">
      <alignment horizontal="center" vertical="center"/>
    </xf>
    <xf numFmtId="0" fontId="16" fillId="8" borderId="132" xfId="0" applyFont="1" applyFill="1" applyBorder="1" applyAlignment="1">
      <alignment horizontal="center" vertical="center"/>
    </xf>
    <xf numFmtId="0" fontId="26" fillId="0" borderId="26" xfId="0" applyFont="1" applyBorder="1" applyAlignment="1">
      <alignment horizontal="left" vertical="center"/>
    </xf>
    <xf numFmtId="0" fontId="26" fillId="0" borderId="7" xfId="0" applyFont="1" applyBorder="1" applyAlignment="1">
      <alignment horizontal="left" vertical="center"/>
    </xf>
    <xf numFmtId="0" fontId="26" fillId="0" borderId="27" xfId="0" applyFont="1" applyBorder="1" applyAlignment="1">
      <alignment horizontal="left" vertical="center"/>
    </xf>
    <xf numFmtId="1" fontId="21" fillId="8" borderId="52" xfId="0" applyNumberFormat="1" applyFont="1" applyFill="1" applyBorder="1" applyAlignment="1" applyProtection="1">
      <alignment horizontal="center" vertical="center" textRotation="90"/>
      <protection hidden="1"/>
    </xf>
    <xf numFmtId="1" fontId="21" fillId="8" borderId="39" xfId="0" applyNumberFormat="1" applyFont="1" applyFill="1" applyBorder="1" applyAlignment="1" applyProtection="1">
      <alignment horizontal="center" vertical="center" textRotation="90"/>
      <protection hidden="1"/>
    </xf>
    <xf numFmtId="2" fontId="19" fillId="8" borderId="53" xfId="0" applyNumberFormat="1" applyFont="1" applyFill="1" applyBorder="1" applyAlignment="1" applyProtection="1">
      <alignment horizontal="center" vertical="center" wrapText="1"/>
      <protection hidden="1"/>
    </xf>
    <xf numFmtId="0" fontId="17" fillId="15" borderId="40" xfId="0" applyFont="1" applyFill="1" applyBorder="1" applyAlignment="1" applyProtection="1">
      <alignment horizontal="center" vertical="center"/>
      <protection locked="0"/>
    </xf>
    <xf numFmtId="0" fontId="22" fillId="8" borderId="40" xfId="0" applyFont="1" applyFill="1" applyBorder="1" applyAlignment="1" applyProtection="1">
      <alignment horizontal="center" vertical="center" wrapText="1"/>
      <protection hidden="1"/>
    </xf>
    <xf numFmtId="0" fontId="29" fillId="16" borderId="77" xfId="0" applyFont="1" applyFill="1" applyBorder="1" applyAlignment="1" applyProtection="1">
      <alignment horizontal="center" vertical="center"/>
      <protection hidden="1"/>
    </xf>
    <xf numFmtId="0" fontId="29" fillId="16" borderId="123" xfId="0" applyFont="1" applyFill="1" applyBorder="1" applyAlignment="1" applyProtection="1">
      <alignment horizontal="center" vertical="center"/>
      <protection hidden="1"/>
    </xf>
    <xf numFmtId="0" fontId="29" fillId="16" borderId="75" xfId="0" applyFont="1" applyFill="1" applyBorder="1" applyAlignment="1" applyProtection="1">
      <alignment horizontal="center" vertical="center"/>
      <protection hidden="1"/>
    </xf>
    <xf numFmtId="164" fontId="21" fillId="0" borderId="53" xfId="0" applyNumberFormat="1" applyFont="1" applyBorder="1" applyAlignment="1" applyProtection="1">
      <alignment horizontal="center" vertical="center"/>
      <protection locked="0"/>
    </xf>
    <xf numFmtId="0" fontId="21" fillId="14" borderId="48" xfId="0" applyFont="1" applyFill="1" applyBorder="1" applyAlignment="1" applyProtection="1">
      <alignment horizontal="center" vertical="center" textRotation="90"/>
      <protection locked="0"/>
    </xf>
    <xf numFmtId="2" fontId="21" fillId="0" borderId="17" xfId="0" applyNumberFormat="1" applyFont="1" applyBorder="1" applyAlignment="1" applyProtection="1">
      <alignment horizontal="center" vertical="center"/>
      <protection hidden="1"/>
    </xf>
    <xf numFmtId="2" fontId="21" fillId="0" borderId="16" xfId="0" applyNumberFormat="1" applyFont="1" applyBorder="1" applyAlignment="1" applyProtection="1">
      <alignment horizontal="center" vertical="center"/>
      <protection hidden="1"/>
    </xf>
    <xf numFmtId="167" fontId="32" fillId="0" borderId="40" xfId="0" applyNumberFormat="1" applyFont="1" applyBorder="1" applyAlignment="1" applyProtection="1">
      <alignment horizontal="center" vertical="center"/>
      <protection hidden="1"/>
    </xf>
    <xf numFmtId="2" fontId="21" fillId="0" borderId="10" xfId="0" applyNumberFormat="1" applyFont="1" applyBorder="1" applyAlignment="1" applyProtection="1">
      <alignment horizontal="center" vertical="center"/>
      <protection hidden="1"/>
    </xf>
    <xf numFmtId="1" fontId="16" fillId="0" borderId="40" xfId="0" applyNumberFormat="1" applyFont="1" applyBorder="1" applyAlignment="1" applyProtection="1">
      <alignment horizontal="center" vertical="center"/>
      <protection hidden="1"/>
    </xf>
    <xf numFmtId="1" fontId="16" fillId="0" borderId="78" xfId="0" applyNumberFormat="1" applyFont="1" applyBorder="1" applyAlignment="1" applyProtection="1">
      <alignment horizontal="center" vertical="center"/>
      <protection hidden="1"/>
    </xf>
    <xf numFmtId="16" fontId="21" fillId="5" borderId="40" xfId="0" applyNumberFormat="1" applyFont="1" applyFill="1" applyBorder="1" applyAlignment="1" applyProtection="1">
      <alignment horizontal="center" vertical="center"/>
      <protection hidden="1"/>
    </xf>
    <xf numFmtId="9" fontId="21" fillId="8" borderId="75" xfId="1" applyNumberFormat="1" applyFont="1" applyFill="1" applyBorder="1" applyAlignment="1" applyProtection="1">
      <alignment horizontal="center" vertical="center"/>
      <protection hidden="1"/>
    </xf>
    <xf numFmtId="9" fontId="21" fillId="8" borderId="48" xfId="1" applyNumberFormat="1" applyFont="1" applyFill="1" applyBorder="1" applyAlignment="1" applyProtection="1">
      <alignment horizontal="center" vertical="center"/>
      <protection hidden="1"/>
    </xf>
    <xf numFmtId="0" fontId="29" fillId="16" borderId="53" xfId="0" applyFont="1" applyFill="1" applyBorder="1" applyAlignment="1" applyProtection="1">
      <alignment horizontal="center" vertical="center"/>
      <protection hidden="1"/>
    </xf>
    <xf numFmtId="2" fontId="29" fillId="16" borderId="77" xfId="0" applyNumberFormat="1" applyFont="1" applyFill="1" applyBorder="1" applyAlignment="1" applyProtection="1">
      <alignment horizontal="center" vertical="center"/>
      <protection hidden="1"/>
    </xf>
    <xf numFmtId="2" fontId="29" fillId="16" borderId="53" xfId="0" applyNumberFormat="1" applyFont="1" applyFill="1" applyBorder="1" applyAlignment="1" applyProtection="1">
      <alignment horizontal="center" vertical="center"/>
      <protection hidden="1"/>
    </xf>
    <xf numFmtId="16" fontId="21" fillId="5" borderId="78" xfId="0" applyNumberFormat="1" applyFont="1" applyFill="1" applyBorder="1" applyAlignment="1" applyProtection="1">
      <alignment horizontal="center" vertical="center"/>
      <protection hidden="1"/>
    </xf>
    <xf numFmtId="167" fontId="32" fillId="0" borderId="78" xfId="0" applyNumberFormat="1" applyFont="1" applyBorder="1" applyAlignment="1" applyProtection="1">
      <alignment horizontal="center" vertical="center"/>
      <protection hidden="1"/>
    </xf>
    <xf numFmtId="9" fontId="22" fillId="8" borderId="48" xfId="1" applyNumberFormat="1" applyFont="1" applyFill="1" applyBorder="1" applyAlignment="1" applyProtection="1">
      <alignment horizontal="center" vertical="center"/>
      <protection hidden="1"/>
    </xf>
    <xf numFmtId="0" fontId="29" fillId="16" borderId="52" xfId="0" applyFont="1" applyFill="1" applyBorder="1" applyAlignment="1" applyProtection="1">
      <alignment horizontal="center" vertical="center"/>
      <protection hidden="1"/>
    </xf>
    <xf numFmtId="0" fontId="29" fillId="16" borderId="54" xfId="0" applyFont="1" applyFill="1" applyBorder="1" applyAlignment="1" applyProtection="1">
      <alignment horizontal="center" vertical="center"/>
      <protection hidden="1"/>
    </xf>
    <xf numFmtId="2" fontId="22" fillId="8" borderId="84" xfId="0" applyNumberFormat="1" applyFont="1" applyFill="1" applyBorder="1" applyAlignment="1" applyProtection="1">
      <alignment horizontal="center" vertical="center" textRotation="90"/>
      <protection hidden="1"/>
    </xf>
    <xf numFmtId="2" fontId="22" fillId="8" borderId="85" xfId="0" applyNumberFormat="1" applyFont="1" applyFill="1" applyBorder="1" applyAlignment="1" applyProtection="1">
      <alignment horizontal="center" vertical="center" textRotation="90"/>
      <protection hidden="1"/>
    </xf>
    <xf numFmtId="2" fontId="22" fillId="8" borderId="67" xfId="0" applyNumberFormat="1" applyFont="1" applyFill="1" applyBorder="1" applyAlignment="1" applyProtection="1">
      <alignment horizontal="center" vertical="center" textRotation="90"/>
      <protection hidden="1"/>
    </xf>
    <xf numFmtId="2" fontId="21" fillId="8" borderId="89" xfId="0" applyNumberFormat="1" applyFont="1" applyFill="1" applyBorder="1" applyAlignment="1" applyProtection="1">
      <alignment horizontal="center" vertical="center" textRotation="90"/>
      <protection hidden="1"/>
    </xf>
    <xf numFmtId="2" fontId="21" fillId="8" borderId="90" xfId="0" applyNumberFormat="1" applyFont="1" applyFill="1" applyBorder="1" applyAlignment="1" applyProtection="1">
      <alignment horizontal="center" vertical="center" textRotation="90"/>
      <protection hidden="1"/>
    </xf>
    <xf numFmtId="9" fontId="22" fillId="8" borderId="40" xfId="1" applyNumberFormat="1" applyFont="1" applyFill="1" applyBorder="1" applyAlignment="1" applyProtection="1">
      <alignment horizontal="center" vertical="center"/>
      <protection hidden="1"/>
    </xf>
    <xf numFmtId="167" fontId="32" fillId="0" borderId="39" xfId="0" applyNumberFormat="1" applyFont="1" applyBorder="1" applyAlignment="1" applyProtection="1">
      <alignment horizontal="center" vertical="center"/>
      <protection hidden="1"/>
    </xf>
    <xf numFmtId="1" fontId="16" fillId="0" borderId="39" xfId="0" applyNumberFormat="1" applyFont="1" applyBorder="1" applyAlignment="1" applyProtection="1">
      <alignment horizontal="center" vertical="center"/>
      <protection hidden="1"/>
    </xf>
    <xf numFmtId="0" fontId="21" fillId="13" borderId="40" xfId="0" applyFont="1" applyFill="1" applyBorder="1" applyAlignment="1" applyProtection="1">
      <alignment horizontal="center" vertical="center"/>
      <protection hidden="1"/>
    </xf>
    <xf numFmtId="0" fontId="21" fillId="13" borderId="39" xfId="0" applyFont="1" applyFill="1" applyBorder="1" applyAlignment="1" applyProtection="1">
      <alignment horizontal="center" vertical="center"/>
      <protection hidden="1"/>
    </xf>
    <xf numFmtId="9" fontId="22" fillId="8" borderId="80" xfId="109" applyFont="1" applyFill="1" applyBorder="1" applyAlignment="1" applyProtection="1">
      <alignment horizontal="center" vertical="center"/>
      <protection hidden="1"/>
    </xf>
    <xf numFmtId="9" fontId="22" fillId="8" borderId="67" xfId="109" applyFont="1" applyFill="1" applyBorder="1" applyAlignment="1" applyProtection="1">
      <alignment horizontal="center" vertical="center"/>
      <protection hidden="1"/>
    </xf>
    <xf numFmtId="2" fontId="21" fillId="0" borderId="73" xfId="0" applyNumberFormat="1" applyFont="1" applyBorder="1" applyAlignment="1" applyProtection="1">
      <alignment horizontal="center" vertical="center"/>
      <protection hidden="1"/>
    </xf>
    <xf numFmtId="2" fontId="21" fillId="0" borderId="15" xfId="0" applyNumberFormat="1" applyFont="1" applyBorder="1" applyAlignment="1" applyProtection="1">
      <alignment horizontal="center" vertical="center"/>
      <protection hidden="1"/>
    </xf>
    <xf numFmtId="2" fontId="21" fillId="0" borderId="9" xfId="0" applyNumberFormat="1" applyFont="1" applyBorder="1" applyAlignment="1" applyProtection="1">
      <alignment horizontal="center" vertical="center"/>
      <protection hidden="1"/>
    </xf>
    <xf numFmtId="2" fontId="22" fillId="8" borderId="54" xfId="0" applyNumberFormat="1" applyFont="1" applyFill="1" applyBorder="1" applyAlignment="1" applyProtection="1">
      <alignment horizontal="center" vertical="center" textRotation="90"/>
      <protection hidden="1"/>
    </xf>
    <xf numFmtId="2" fontId="22" fillId="8" borderId="41" xfId="0" applyNumberFormat="1" applyFont="1" applyFill="1" applyBorder="1" applyAlignment="1" applyProtection="1">
      <alignment horizontal="center" vertical="center" textRotation="90"/>
      <protection hidden="1"/>
    </xf>
    <xf numFmtId="2" fontId="29" fillId="16" borderId="52" xfId="0" applyNumberFormat="1" applyFont="1" applyFill="1" applyBorder="1" applyAlignment="1" applyProtection="1">
      <alignment horizontal="center" vertical="center"/>
      <protection hidden="1"/>
    </xf>
    <xf numFmtId="0" fontId="18" fillId="16" borderId="0" xfId="0" applyFont="1" applyFill="1" applyAlignment="1" applyProtection="1">
      <alignment horizontal="left" vertical="center"/>
      <protection hidden="1"/>
    </xf>
    <xf numFmtId="1" fontId="21" fillId="0" borderId="39" xfId="0" applyNumberFormat="1" applyFont="1" applyBorder="1" applyAlignment="1" applyProtection="1">
      <alignment horizontal="center" vertical="center"/>
      <protection hidden="1"/>
    </xf>
    <xf numFmtId="1" fontId="21" fillId="0" borderId="78" xfId="0" applyNumberFormat="1" applyFont="1" applyBorder="1" applyAlignment="1" applyProtection="1">
      <alignment horizontal="center" vertical="center"/>
      <protection hidden="1"/>
    </xf>
    <xf numFmtId="0" fontId="29" fillId="16" borderId="87" xfId="0" applyFont="1" applyFill="1" applyBorder="1" applyAlignment="1" applyProtection="1">
      <alignment horizontal="center" vertical="center"/>
      <protection hidden="1"/>
    </xf>
    <xf numFmtId="0" fontId="29" fillId="16" borderId="88" xfId="0" applyFont="1" applyFill="1" applyBorder="1" applyAlignment="1" applyProtection="1">
      <alignment horizontal="center" vertical="center"/>
      <protection hidden="1"/>
    </xf>
    <xf numFmtId="1" fontId="21" fillId="13" borderId="40" xfId="0" applyNumberFormat="1" applyFont="1" applyFill="1" applyBorder="1" applyAlignment="1" applyProtection="1">
      <alignment horizontal="center" vertical="center"/>
      <protection hidden="1"/>
    </xf>
    <xf numFmtId="1" fontId="21" fillId="13" borderId="39" xfId="0" applyNumberFormat="1" applyFont="1" applyFill="1" applyBorder="1" applyAlignment="1" applyProtection="1">
      <alignment horizontal="center" vertical="center"/>
      <protection hidden="1"/>
    </xf>
    <xf numFmtId="2" fontId="22" fillId="8" borderId="75" xfId="0" applyNumberFormat="1" applyFont="1" applyFill="1" applyBorder="1" applyAlignment="1" applyProtection="1">
      <alignment horizontal="center" vertical="center" textRotation="90"/>
      <protection hidden="1"/>
    </xf>
    <xf numFmtId="2" fontId="22" fillId="8" borderId="48" xfId="0" applyNumberFormat="1" applyFont="1" applyFill="1" applyBorder="1" applyAlignment="1" applyProtection="1">
      <alignment horizontal="center" vertical="center" textRotation="90"/>
      <protection hidden="1"/>
    </xf>
    <xf numFmtId="167" fontId="32" fillId="0" borderId="48" xfId="0" applyNumberFormat="1" applyFont="1" applyBorder="1" applyAlignment="1" applyProtection="1">
      <alignment horizontal="center" vertical="center"/>
      <protection hidden="1"/>
    </xf>
    <xf numFmtId="167" fontId="32" fillId="0" borderId="45" xfId="0" applyNumberFormat="1" applyFont="1" applyBorder="1" applyAlignment="1" applyProtection="1">
      <alignment horizontal="center" vertical="center"/>
      <protection hidden="1"/>
    </xf>
    <xf numFmtId="1" fontId="16" fillId="0" borderId="48" xfId="0" applyNumberFormat="1" applyFont="1" applyBorder="1" applyAlignment="1" applyProtection="1">
      <alignment horizontal="center" vertical="center"/>
      <protection hidden="1"/>
    </xf>
    <xf numFmtId="1" fontId="16" fillId="0" borderId="45" xfId="0" applyNumberFormat="1" applyFont="1" applyBorder="1" applyAlignment="1" applyProtection="1">
      <alignment horizontal="center" vertical="center"/>
      <protection hidden="1"/>
    </xf>
    <xf numFmtId="0" fontId="21" fillId="13" borderId="48" xfId="0" applyFont="1" applyFill="1" applyBorder="1" applyAlignment="1" applyProtection="1">
      <alignment horizontal="center" vertical="center"/>
      <protection hidden="1"/>
    </xf>
    <xf numFmtId="0" fontId="21" fillId="13" borderId="78" xfId="0" applyFont="1" applyFill="1" applyBorder="1" applyAlignment="1" applyProtection="1">
      <alignment horizontal="center" vertical="center"/>
      <protection hidden="1"/>
    </xf>
    <xf numFmtId="0" fontId="21" fillId="13" borderId="45" xfId="0" applyFont="1" applyFill="1" applyBorder="1" applyAlignment="1" applyProtection="1">
      <alignment horizontal="center" vertical="center"/>
      <protection hidden="1"/>
    </xf>
    <xf numFmtId="2" fontId="22" fillId="0" borderId="53" xfId="0" applyNumberFormat="1" applyFont="1" applyBorder="1" applyAlignment="1" applyProtection="1">
      <alignment horizontal="center" vertical="center" wrapText="1"/>
      <protection hidden="1"/>
    </xf>
    <xf numFmtId="2" fontId="22" fillId="0" borderId="40" xfId="0" applyNumberFormat="1" applyFont="1" applyBorder="1" applyAlignment="1" applyProtection="1">
      <alignment horizontal="center" vertical="center" wrapText="1"/>
      <protection hidden="1"/>
    </xf>
    <xf numFmtId="9" fontId="19" fillId="0" borderId="40" xfId="109" applyFont="1" applyBorder="1" applyAlignment="1" applyProtection="1">
      <alignment horizontal="center" vertical="center" wrapText="1"/>
      <protection hidden="1"/>
    </xf>
    <xf numFmtId="1" fontId="22" fillId="0" borderId="53" xfId="0" applyNumberFormat="1" applyFont="1" applyBorder="1" applyAlignment="1" applyProtection="1">
      <alignment horizontal="center" vertical="center" wrapText="1"/>
      <protection hidden="1"/>
    </xf>
    <xf numFmtId="1" fontId="22" fillId="0" borderId="40" xfId="0" applyNumberFormat="1" applyFont="1" applyBorder="1" applyAlignment="1" applyProtection="1">
      <alignment horizontal="center" vertical="center" wrapText="1"/>
      <protection hidden="1"/>
    </xf>
    <xf numFmtId="2" fontId="22" fillId="0" borderId="84" xfId="0" applyNumberFormat="1" applyFont="1" applyBorder="1" applyAlignment="1" applyProtection="1">
      <alignment horizontal="center" vertical="center" wrapText="1"/>
      <protection hidden="1"/>
    </xf>
    <xf numFmtId="2" fontId="22" fillId="0" borderId="85" xfId="0" applyNumberFormat="1" applyFont="1" applyBorder="1" applyAlignment="1" applyProtection="1">
      <alignment horizontal="center" vertical="center" wrapText="1"/>
      <protection hidden="1"/>
    </xf>
    <xf numFmtId="2" fontId="22" fillId="0" borderId="67" xfId="0" applyNumberFormat="1" applyFont="1" applyBorder="1" applyAlignment="1" applyProtection="1">
      <alignment horizontal="center" vertical="center" wrapText="1"/>
      <protection hidden="1"/>
    </xf>
    <xf numFmtId="1" fontId="21" fillId="15" borderId="52" xfId="0" applyNumberFormat="1" applyFont="1" applyFill="1" applyBorder="1" applyAlignment="1" applyProtection="1">
      <alignment horizontal="center" vertical="center" textRotation="90"/>
      <protection hidden="1"/>
    </xf>
    <xf numFmtId="1" fontId="21" fillId="15" borderId="39" xfId="0" applyNumberFormat="1" applyFont="1" applyFill="1" applyBorder="1" applyAlignment="1" applyProtection="1">
      <alignment horizontal="center" vertical="center" textRotation="90"/>
      <protection hidden="1"/>
    </xf>
    <xf numFmtId="2" fontId="22" fillId="0" borderId="70" xfId="0" applyNumberFormat="1" applyFont="1" applyBorder="1" applyAlignment="1" applyProtection="1">
      <alignment horizontal="center" vertical="center" wrapText="1"/>
      <protection hidden="1"/>
    </xf>
    <xf numFmtId="2" fontId="22" fillId="0" borderId="71" xfId="0" applyNumberFormat="1" applyFont="1" applyBorder="1" applyAlignment="1" applyProtection="1">
      <alignment horizontal="center" vertical="center" wrapText="1"/>
      <protection hidden="1"/>
    </xf>
    <xf numFmtId="2" fontId="22" fillId="0" borderId="66" xfId="0" applyNumberFormat="1" applyFont="1" applyBorder="1" applyAlignment="1" applyProtection="1">
      <alignment horizontal="center" vertical="center" wrapText="1"/>
      <protection hidden="1"/>
    </xf>
    <xf numFmtId="2" fontId="22" fillId="0" borderId="53" xfId="0" applyNumberFormat="1" applyFont="1" applyBorder="1" applyAlignment="1" applyProtection="1">
      <alignment horizontal="center" vertical="center" textRotation="90" wrapText="1"/>
      <protection hidden="1"/>
    </xf>
    <xf numFmtId="2" fontId="22" fillId="0" borderId="40" xfId="0" applyNumberFormat="1" applyFont="1" applyBorder="1" applyAlignment="1" applyProtection="1">
      <alignment horizontal="center" vertical="center" textRotation="90" wrapText="1"/>
      <protection hidden="1"/>
    </xf>
    <xf numFmtId="2" fontId="23" fillId="0" borderId="70" xfId="0" applyNumberFormat="1" applyFont="1" applyBorder="1" applyAlignment="1" applyProtection="1">
      <alignment horizontal="center" vertical="center" textRotation="90" wrapText="1"/>
      <protection hidden="1"/>
    </xf>
    <xf numFmtId="2" fontId="23" fillId="0" borderId="71" xfId="0" applyNumberFormat="1" applyFont="1" applyBorder="1" applyAlignment="1" applyProtection="1">
      <alignment horizontal="center" vertical="center" textRotation="90" wrapText="1"/>
      <protection hidden="1"/>
    </xf>
    <xf numFmtId="0" fontId="22" fillId="0" borderId="40" xfId="0" applyFont="1" applyBorder="1" applyAlignment="1" applyProtection="1">
      <alignment horizontal="center" vertical="center" wrapText="1"/>
      <protection hidden="1"/>
    </xf>
    <xf numFmtId="0" fontId="44" fillId="0" borderId="190" xfId="184" applyFont="1" applyBorder="1" applyAlignment="1" applyProtection="1">
      <alignment horizontal="center" vertical="center"/>
      <protection hidden="1"/>
    </xf>
    <xf numFmtId="0" fontId="44" fillId="0" borderId="191" xfId="184" applyFont="1" applyBorder="1" applyAlignment="1" applyProtection="1">
      <alignment horizontal="center" vertical="center"/>
      <protection hidden="1"/>
    </xf>
    <xf numFmtId="0" fontId="44" fillId="0" borderId="188" xfId="184" applyFont="1" applyBorder="1" applyAlignment="1" applyProtection="1">
      <alignment horizontal="center" vertical="center"/>
      <protection hidden="1"/>
    </xf>
    <xf numFmtId="0" fontId="44" fillId="0" borderId="189" xfId="184" applyFont="1" applyBorder="1" applyAlignment="1" applyProtection="1">
      <alignment horizontal="center" vertical="center"/>
      <protection hidden="1"/>
    </xf>
    <xf numFmtId="0" fontId="44" fillId="0" borderId="186" xfId="184" applyFont="1" applyBorder="1" applyAlignment="1" applyProtection="1">
      <alignment horizontal="center" vertical="center"/>
      <protection hidden="1"/>
    </xf>
    <xf numFmtId="0" fontId="44" fillId="0" borderId="187" xfId="184" applyFont="1" applyBorder="1" applyAlignment="1" applyProtection="1">
      <alignment horizontal="center" vertical="center"/>
      <protection hidden="1"/>
    </xf>
    <xf numFmtId="0" fontId="25" fillId="16" borderId="183" xfId="184" applyFont="1" applyFill="1" applyBorder="1" applyAlignment="1" applyProtection="1">
      <alignment horizontal="center" vertical="center"/>
      <protection hidden="1"/>
    </xf>
    <xf numFmtId="0" fontId="25" fillId="16" borderId="184" xfId="184" applyFont="1" applyFill="1" applyBorder="1" applyAlignment="1" applyProtection="1">
      <alignment horizontal="center" vertical="center"/>
      <protection hidden="1"/>
    </xf>
    <xf numFmtId="0" fontId="25" fillId="16" borderId="185" xfId="184" applyFont="1" applyFill="1" applyBorder="1" applyAlignment="1" applyProtection="1">
      <alignment horizontal="center" vertical="center"/>
      <protection hidden="1"/>
    </xf>
    <xf numFmtId="0" fontId="48" fillId="0" borderId="96" xfId="184" applyFont="1" applyBorder="1" applyAlignment="1" applyProtection="1">
      <alignment horizontal="center" vertical="top"/>
      <protection hidden="1"/>
    </xf>
    <xf numFmtId="0" fontId="25" fillId="16" borderId="164" xfId="184" applyFont="1" applyFill="1" applyBorder="1" applyAlignment="1" applyProtection="1">
      <alignment horizontal="center" vertical="center"/>
      <protection hidden="1"/>
    </xf>
    <xf numFmtId="0" fontId="25" fillId="16" borderId="81" xfId="184" applyFont="1" applyFill="1" applyBorder="1" applyAlignment="1" applyProtection="1">
      <alignment horizontal="center" vertical="center"/>
      <protection hidden="1"/>
    </xf>
    <xf numFmtId="0" fontId="25" fillId="16" borderId="165" xfId="184" applyFont="1" applyFill="1" applyBorder="1" applyAlignment="1" applyProtection="1">
      <alignment horizontal="center" vertical="center"/>
      <protection hidden="1"/>
    </xf>
    <xf numFmtId="0" fontId="1" fillId="0" borderId="170" xfId="184" applyBorder="1" applyAlignment="1" applyProtection="1">
      <alignment horizontal="center" vertical="center"/>
      <protection hidden="1"/>
    </xf>
    <xf numFmtId="0" fontId="1" fillId="0" borderId="178" xfId="184" applyBorder="1" applyAlignment="1" applyProtection="1">
      <alignment horizontal="center" vertical="center"/>
      <protection hidden="1"/>
    </xf>
    <xf numFmtId="0" fontId="1" fillId="0" borderId="169" xfId="184" applyBorder="1" applyAlignment="1" applyProtection="1">
      <alignment horizontal="center" vertical="center"/>
      <protection hidden="1"/>
    </xf>
    <xf numFmtId="0" fontId="1" fillId="0" borderId="103" xfId="184" applyBorder="1" applyAlignment="1" applyProtection="1">
      <alignment horizontal="center" vertical="center"/>
      <protection hidden="1"/>
    </xf>
    <xf numFmtId="0" fontId="1" fillId="0" borderId="171" xfId="184" applyBorder="1" applyAlignment="1" applyProtection="1">
      <alignment horizontal="center" vertical="center"/>
      <protection hidden="1"/>
    </xf>
    <xf numFmtId="0" fontId="1" fillId="0" borderId="179" xfId="184" applyBorder="1" applyAlignment="1" applyProtection="1">
      <alignment horizontal="center" vertical="center"/>
      <protection hidden="1"/>
    </xf>
    <xf numFmtId="0" fontId="44" fillId="0" borderId="147" xfId="184" applyFont="1" applyBorder="1" applyAlignment="1" applyProtection="1">
      <alignment horizontal="center" vertical="center"/>
      <protection hidden="1"/>
    </xf>
    <xf numFmtId="0" fontId="44" fillId="0" borderId="148" xfId="184" applyFont="1" applyBorder="1" applyAlignment="1" applyProtection="1">
      <alignment horizontal="center" vertical="center"/>
      <protection hidden="1"/>
    </xf>
    <xf numFmtId="0" fontId="44" fillId="0" borderId="34" xfId="184" applyFont="1" applyBorder="1" applyAlignment="1" applyProtection="1">
      <alignment horizontal="center" vertical="center"/>
      <protection hidden="1"/>
    </xf>
    <xf numFmtId="0" fontId="44" fillId="0" borderId="35" xfId="184" applyFont="1" applyBorder="1" applyAlignment="1" applyProtection="1">
      <alignment horizontal="center" vertical="center"/>
      <protection hidden="1"/>
    </xf>
    <xf numFmtId="0" fontId="44" fillId="0" borderId="61" xfId="184" applyFont="1" applyBorder="1" applyAlignment="1" applyProtection="1">
      <alignment horizontal="center" vertical="center"/>
      <protection hidden="1"/>
    </xf>
    <xf numFmtId="0" fontId="44" fillId="0" borderId="62" xfId="184" applyFont="1" applyBorder="1" applyAlignment="1" applyProtection="1">
      <alignment horizontal="center" vertical="center"/>
      <protection hidden="1"/>
    </xf>
    <xf numFmtId="0" fontId="1" fillId="0" borderId="146" xfId="184" applyBorder="1" applyAlignment="1" applyProtection="1">
      <alignment horizontal="center" vertical="center"/>
      <protection hidden="1"/>
    </xf>
    <xf numFmtId="0" fontId="1" fillId="0" borderId="147" xfId="184" applyBorder="1" applyAlignment="1" applyProtection="1">
      <alignment horizontal="center" vertical="center"/>
      <protection hidden="1"/>
    </xf>
    <xf numFmtId="0" fontId="1" fillId="0" borderId="33" xfId="184" applyBorder="1" applyAlignment="1" applyProtection="1">
      <alignment horizontal="center" vertical="center"/>
      <protection hidden="1"/>
    </xf>
    <xf numFmtId="0" fontId="1" fillId="0" borderId="34" xfId="184" applyBorder="1" applyAlignment="1" applyProtection="1">
      <alignment horizontal="center" vertical="center"/>
      <protection hidden="1"/>
    </xf>
    <xf numFmtId="0" fontId="1" fillId="0" borderId="141" xfId="184" applyBorder="1" applyAlignment="1" applyProtection="1">
      <alignment horizontal="center" vertical="center"/>
      <protection hidden="1"/>
    </xf>
    <xf numFmtId="0" fontId="1" fillId="0" borderId="61" xfId="184" applyBorder="1" applyAlignment="1" applyProtection="1">
      <alignment horizontal="center" vertical="center"/>
      <protection hidden="1"/>
    </xf>
    <xf numFmtId="0" fontId="25" fillId="16" borderId="52" xfId="184" applyFont="1" applyFill="1" applyBorder="1" applyAlignment="1" applyProtection="1">
      <alignment horizontal="center" vertical="center"/>
      <protection hidden="1"/>
    </xf>
    <xf numFmtId="0" fontId="25" fillId="16" borderId="53" xfId="184" applyFont="1" applyFill="1" applyBorder="1" applyAlignment="1" applyProtection="1">
      <alignment horizontal="center" vertical="center"/>
      <protection hidden="1"/>
    </xf>
    <xf numFmtId="0" fontId="25" fillId="16" borderId="75" xfId="184" applyFont="1" applyFill="1" applyBorder="1" applyAlignment="1" applyProtection="1">
      <alignment horizontal="center" vertical="center"/>
      <protection hidden="1"/>
    </xf>
    <xf numFmtId="0" fontId="25" fillId="16" borderId="77" xfId="184" applyFont="1" applyFill="1" applyBorder="1" applyAlignment="1" applyProtection="1">
      <alignment horizontal="center" vertical="center"/>
      <protection hidden="1"/>
    </xf>
    <xf numFmtId="0" fontId="25" fillId="16" borderId="39" xfId="184" applyFont="1" applyFill="1" applyBorder="1" applyAlignment="1" applyProtection="1">
      <alignment horizontal="center" vertical="center"/>
      <protection hidden="1"/>
    </xf>
    <xf numFmtId="0" fontId="25" fillId="16" borderId="40" xfId="184" applyFont="1" applyFill="1" applyBorder="1" applyAlignment="1" applyProtection="1">
      <alignment horizontal="center" vertical="center"/>
      <protection hidden="1"/>
    </xf>
    <xf numFmtId="0" fontId="25" fillId="16" borderId="41" xfId="184" applyFont="1" applyFill="1" applyBorder="1" applyAlignment="1" applyProtection="1">
      <alignment horizontal="center" vertical="center"/>
      <protection hidden="1"/>
    </xf>
    <xf numFmtId="0" fontId="25" fillId="16" borderId="54" xfId="184" applyFont="1" applyFill="1" applyBorder="1" applyAlignment="1" applyProtection="1">
      <alignment horizontal="center" vertical="center"/>
      <protection hidden="1"/>
    </xf>
    <xf numFmtId="0" fontId="45" fillId="0" borderId="0" xfId="184" applyFont="1" applyAlignment="1" applyProtection="1">
      <alignment horizontal="center" vertical="center"/>
      <protection hidden="1"/>
    </xf>
    <xf numFmtId="0" fontId="46" fillId="0" borderId="48" xfId="184" applyFont="1" applyBorder="1" applyAlignment="1" applyProtection="1">
      <alignment horizontal="center" vertical="center"/>
      <protection hidden="1"/>
    </xf>
    <xf numFmtId="0" fontId="46" fillId="0" borderId="78" xfId="184" applyFont="1" applyBorder="1" applyAlignment="1" applyProtection="1">
      <alignment horizontal="center" vertical="center"/>
      <protection hidden="1"/>
    </xf>
    <xf numFmtId="0" fontId="44" fillId="18" borderId="48" xfId="184" applyFont="1" applyFill="1" applyBorder="1" applyAlignment="1" applyProtection="1">
      <alignment horizontal="center" vertical="center"/>
      <protection hidden="1"/>
    </xf>
    <xf numFmtId="0" fontId="44" fillId="18" borderId="78" xfId="184" applyFont="1" applyFill="1" applyBorder="1" applyAlignment="1" applyProtection="1">
      <alignment horizontal="center" vertical="center"/>
      <protection hidden="1"/>
    </xf>
    <xf numFmtId="0" fontId="46" fillId="0" borderId="46" xfId="184" applyFont="1" applyBorder="1" applyAlignment="1" applyProtection="1">
      <alignment horizontal="center" vertical="center"/>
      <protection hidden="1"/>
    </xf>
    <xf numFmtId="0" fontId="46" fillId="0" borderId="138" xfId="184" applyFont="1" applyBorder="1" applyAlignment="1" applyProtection="1">
      <alignment horizontal="center" vertical="center"/>
      <protection hidden="1"/>
    </xf>
    <xf numFmtId="0" fontId="46" fillId="0" borderId="48" xfId="184" applyFont="1" applyBorder="1" applyAlignment="1" applyProtection="1">
      <alignment horizontal="center" vertical="center"/>
      <protection locked="0"/>
    </xf>
    <xf numFmtId="0" fontId="46" fillId="0" borderId="46" xfId="184" applyFont="1" applyBorder="1" applyAlignment="1" applyProtection="1">
      <alignment horizontal="center" vertical="center"/>
      <protection locked="0"/>
    </xf>
    <xf numFmtId="0" fontId="46" fillId="0" borderId="78" xfId="184" applyFont="1" applyBorder="1" applyAlignment="1" applyProtection="1">
      <alignment horizontal="center" vertical="center"/>
      <protection locked="0"/>
    </xf>
    <xf numFmtId="0" fontId="1" fillId="0" borderId="49" xfId="184" applyBorder="1" applyAlignment="1" applyProtection="1">
      <alignment horizontal="center" vertical="center"/>
      <protection hidden="1"/>
    </xf>
    <xf numFmtId="0" fontId="1" fillId="0" borderId="51" xfId="184" applyBorder="1" applyAlignment="1" applyProtection="1">
      <alignment horizontal="center" vertical="center"/>
      <protection hidden="1"/>
    </xf>
    <xf numFmtId="0" fontId="1" fillId="0" borderId="149" xfId="184" applyBorder="1" applyAlignment="1" applyProtection="1">
      <alignment horizontal="center" vertical="center" wrapText="1"/>
      <protection hidden="1"/>
    </xf>
    <xf numFmtId="0" fontId="1" fillId="0" borderId="66" xfId="184" applyBorder="1" applyAlignment="1" applyProtection="1">
      <alignment horizontal="center" vertical="center" wrapText="1"/>
      <protection hidden="1"/>
    </xf>
    <xf numFmtId="0" fontId="1" fillId="0" borderId="80" xfId="184" applyBorder="1" applyAlignment="1" applyProtection="1">
      <alignment horizontal="center" vertical="center"/>
      <protection hidden="1"/>
    </xf>
    <xf numFmtId="0" fontId="1" fillId="0" borderId="67" xfId="184" applyBorder="1" applyAlignment="1" applyProtection="1">
      <alignment horizontal="center" vertical="center"/>
      <protection hidden="1"/>
    </xf>
    <xf numFmtId="0" fontId="46" fillId="0" borderId="140" xfId="184" applyFont="1" applyBorder="1" applyAlignment="1" applyProtection="1">
      <alignment horizontal="center" vertical="center"/>
      <protection hidden="1"/>
    </xf>
    <xf numFmtId="0" fontId="25" fillId="16" borderId="51" xfId="184" applyFont="1" applyFill="1" applyBorder="1" applyAlignment="1" applyProtection="1">
      <alignment horizontal="center" vertical="center"/>
      <protection hidden="1"/>
    </xf>
    <xf numFmtId="0" fontId="25" fillId="16" borderId="66" xfId="184" applyFont="1" applyFill="1" applyBorder="1" applyAlignment="1" applyProtection="1">
      <alignment horizontal="center" vertical="center"/>
      <protection hidden="1"/>
    </xf>
    <xf numFmtId="0" fontId="25" fillId="16" borderId="67" xfId="184" applyFont="1" applyFill="1" applyBorder="1" applyAlignment="1" applyProtection="1">
      <alignment horizontal="center" vertical="center"/>
      <protection hidden="1"/>
    </xf>
    <xf numFmtId="9" fontId="43" fillId="18" borderId="39" xfId="184" applyNumberFormat="1" applyFont="1" applyFill="1" applyBorder="1" applyAlignment="1" applyProtection="1">
      <alignment horizontal="center" vertical="center"/>
      <protection hidden="1"/>
    </xf>
    <xf numFmtId="0" fontId="43" fillId="18" borderId="40" xfId="184" applyFont="1" applyFill="1" applyBorder="1" applyAlignment="1" applyProtection="1">
      <alignment horizontal="center" vertical="center"/>
      <protection hidden="1"/>
    </xf>
    <xf numFmtId="0" fontId="43" fillId="18" borderId="48" xfId="184" applyFont="1" applyFill="1" applyBorder="1" applyAlignment="1" applyProtection="1">
      <alignment horizontal="center" vertical="center"/>
      <protection hidden="1"/>
    </xf>
    <xf numFmtId="9" fontId="43" fillId="18" borderId="78" xfId="184" applyNumberFormat="1" applyFont="1" applyFill="1" applyBorder="1" applyAlignment="1" applyProtection="1">
      <alignment horizontal="center" vertical="center"/>
      <protection hidden="1"/>
    </xf>
    <xf numFmtId="0" fontId="43" fillId="18" borderId="41" xfId="184" applyFont="1" applyFill="1" applyBorder="1" applyAlignment="1" applyProtection="1">
      <alignment horizontal="center" vertical="center"/>
      <protection hidden="1"/>
    </xf>
    <xf numFmtId="9" fontId="35" fillId="0" borderId="0" xfId="184" applyNumberFormat="1" applyFont="1" applyAlignment="1" applyProtection="1">
      <alignment horizontal="center" vertical="center"/>
      <protection hidden="1"/>
    </xf>
    <xf numFmtId="2" fontId="44" fillId="0" borderId="46" xfId="184" applyNumberFormat="1" applyFont="1" applyBorder="1" applyAlignment="1" applyProtection="1">
      <alignment horizontal="center" vertical="center"/>
      <protection hidden="1"/>
    </xf>
    <xf numFmtId="9" fontId="35" fillId="0" borderId="74" xfId="184" applyNumberFormat="1" applyFont="1" applyBorder="1" applyAlignment="1" applyProtection="1">
      <alignment horizontal="center" vertical="center"/>
      <protection hidden="1"/>
    </xf>
    <xf numFmtId="0" fontId="35" fillId="0" borderId="74" xfId="184" applyFont="1" applyBorder="1" applyAlignment="1" applyProtection="1">
      <alignment horizontal="center" vertical="center"/>
      <protection hidden="1"/>
    </xf>
    <xf numFmtId="0" fontId="35" fillId="0" borderId="0" xfId="184" applyFont="1" applyAlignment="1" applyProtection="1">
      <alignment horizontal="center" vertical="center"/>
      <protection hidden="1"/>
    </xf>
    <xf numFmtId="2" fontId="44" fillId="0" borderId="47" xfId="184" applyNumberFormat="1" applyFont="1" applyBorder="1" applyAlignment="1" applyProtection="1">
      <alignment horizontal="center" vertical="center"/>
      <protection hidden="1"/>
    </xf>
    <xf numFmtId="0" fontId="1" fillId="0" borderId="142" xfId="184" applyBorder="1" applyAlignment="1" applyProtection="1">
      <alignment horizontal="center" vertical="center"/>
      <protection hidden="1"/>
    </xf>
    <xf numFmtId="0" fontId="1" fillId="0" borderId="63" xfId="184" applyBorder="1" applyAlignment="1" applyProtection="1">
      <alignment horizontal="center" vertical="center"/>
      <protection hidden="1"/>
    </xf>
    <xf numFmtId="9" fontId="43" fillId="18" borderId="150" xfId="184" applyNumberFormat="1" applyFont="1" applyFill="1" applyBorder="1" applyAlignment="1" applyProtection="1">
      <alignment horizontal="center" vertical="center"/>
      <protection hidden="1"/>
    </xf>
    <xf numFmtId="9" fontId="43" fillId="18" borderId="151" xfId="184" applyNumberFormat="1" applyFont="1" applyFill="1" applyBorder="1" applyAlignment="1" applyProtection="1">
      <alignment horizontal="center" vertical="center"/>
      <protection hidden="1"/>
    </xf>
    <xf numFmtId="9" fontId="43" fillId="18" borderId="152" xfId="184" applyNumberFormat="1" applyFont="1" applyFill="1" applyBorder="1" applyAlignment="1" applyProtection="1">
      <alignment horizontal="center" vertical="center"/>
      <protection hidden="1"/>
    </xf>
    <xf numFmtId="0" fontId="1" fillId="0" borderId="39" xfId="184" applyBorder="1" applyAlignment="1" applyProtection="1">
      <alignment horizontal="center" vertical="center"/>
      <protection hidden="1"/>
    </xf>
    <xf numFmtId="0" fontId="1" fillId="0" borderId="40" xfId="184" applyBorder="1" applyAlignment="1" applyProtection="1">
      <alignment horizontal="center" vertical="center"/>
      <protection hidden="1"/>
    </xf>
    <xf numFmtId="0" fontId="1" fillId="0" borderId="41" xfId="184" applyBorder="1" applyAlignment="1" applyProtection="1">
      <alignment horizontal="center" vertical="center"/>
      <protection hidden="1"/>
    </xf>
    <xf numFmtId="0" fontId="43" fillId="18" borderId="42" xfId="184" applyFont="1" applyFill="1" applyBorder="1" applyAlignment="1" applyProtection="1">
      <alignment horizontal="center" vertical="center"/>
      <protection hidden="1"/>
    </xf>
    <xf numFmtId="0" fontId="43" fillId="18" borderId="43" xfId="184" applyFont="1" applyFill="1" applyBorder="1" applyAlignment="1" applyProtection="1">
      <alignment horizontal="center" vertical="center"/>
      <protection hidden="1"/>
    </xf>
    <xf numFmtId="0" fontId="43" fillId="18" borderId="44" xfId="184" applyFont="1" applyFill="1" applyBorder="1" applyAlignment="1" applyProtection="1">
      <alignment horizontal="center" vertical="center"/>
      <protection hidden="1"/>
    </xf>
    <xf numFmtId="0" fontId="25" fillId="0" borderId="159" xfId="184" applyFont="1" applyBorder="1" applyAlignment="1" applyProtection="1">
      <alignment horizontal="center" vertical="center"/>
      <protection hidden="1"/>
    </xf>
    <xf numFmtId="0" fontId="25" fillId="0" borderId="160" xfId="184" applyFont="1" applyBorder="1" applyAlignment="1" applyProtection="1">
      <alignment horizontal="center" vertical="center"/>
      <protection hidden="1"/>
    </xf>
    <xf numFmtId="0" fontId="25" fillId="0" borderId="161" xfId="184" applyFont="1" applyBorder="1" applyAlignment="1" applyProtection="1">
      <alignment horizontal="center" vertical="center"/>
      <protection hidden="1"/>
    </xf>
    <xf numFmtId="0" fontId="35" fillId="0" borderId="92" xfId="184" applyFont="1" applyBorder="1" applyAlignment="1" applyProtection="1">
      <alignment horizontal="center" vertical="center"/>
      <protection hidden="1"/>
    </xf>
    <xf numFmtId="0" fontId="44" fillId="0" borderId="144" xfId="184" applyFont="1" applyBorder="1" applyAlignment="1" applyProtection="1">
      <alignment horizontal="center" vertical="center"/>
      <protection hidden="1"/>
    </xf>
    <xf numFmtId="2" fontId="44" fillId="8" borderId="157" xfId="184" applyNumberFormat="1" applyFont="1" applyFill="1" applyBorder="1" applyAlignment="1" applyProtection="1">
      <alignment horizontal="center" vertical="center"/>
      <protection hidden="1"/>
    </xf>
    <xf numFmtId="0" fontId="43" fillId="0" borderId="159" xfId="184" applyFont="1" applyBorder="1" applyAlignment="1" applyProtection="1">
      <alignment horizontal="center" vertical="center"/>
      <protection hidden="1"/>
    </xf>
    <xf numFmtId="0" fontId="43" fillId="0" borderId="160" xfId="184" applyFont="1" applyBorder="1" applyAlignment="1" applyProtection="1">
      <alignment horizontal="center" vertical="center"/>
      <protection hidden="1"/>
    </xf>
    <xf numFmtId="0" fontId="43" fillId="0" borderId="161" xfId="184" applyFont="1" applyBorder="1" applyAlignment="1" applyProtection="1">
      <alignment horizontal="center" vertical="center"/>
      <protection hidden="1"/>
    </xf>
    <xf numFmtId="0" fontId="50" fillId="16" borderId="0" xfId="0" applyFont="1" applyFill="1" applyAlignment="1" applyProtection="1">
      <alignment horizontal="center" vertical="center"/>
      <protection hidden="1"/>
    </xf>
  </cellXfs>
  <cellStyles count="292">
    <cellStyle name="Comma" xfId="1" builtinId="3"/>
    <cellStyle name="Comma 10" xfId="2" xr:uid="{00000000-0005-0000-0000-000001000000}"/>
    <cellStyle name="Comma 10 2" xfId="3" xr:uid="{00000000-0005-0000-0000-000002000000}"/>
    <cellStyle name="Comma 10 2 2" xfId="148" xr:uid="{00000000-0005-0000-0000-000003000000}"/>
    <cellStyle name="Comma 10 3" xfId="147" xr:uid="{00000000-0005-0000-0000-000004000000}"/>
    <cellStyle name="Comma 11" xfId="4" xr:uid="{00000000-0005-0000-0000-000005000000}"/>
    <cellStyle name="Comma 11 2" xfId="5" xr:uid="{00000000-0005-0000-0000-000006000000}"/>
    <cellStyle name="Comma 11 2 2" xfId="150" xr:uid="{00000000-0005-0000-0000-000007000000}"/>
    <cellStyle name="Comma 11 3" xfId="149" xr:uid="{00000000-0005-0000-0000-000008000000}"/>
    <cellStyle name="Comma 12" xfId="6" xr:uid="{00000000-0005-0000-0000-000009000000}"/>
    <cellStyle name="Comma 12 2" xfId="7" xr:uid="{00000000-0005-0000-0000-00000A000000}"/>
    <cellStyle name="Comma 12 2 2" xfId="152" xr:uid="{00000000-0005-0000-0000-00000B000000}"/>
    <cellStyle name="Comma 12 3" xfId="151" xr:uid="{00000000-0005-0000-0000-00000C000000}"/>
    <cellStyle name="Comma 13" xfId="8" xr:uid="{00000000-0005-0000-0000-00000D000000}"/>
    <cellStyle name="Comma 13 2" xfId="9" xr:uid="{00000000-0005-0000-0000-00000E000000}"/>
    <cellStyle name="Comma 13 2 2" xfId="154" xr:uid="{00000000-0005-0000-0000-00000F000000}"/>
    <cellStyle name="Comma 13 3" xfId="153" xr:uid="{00000000-0005-0000-0000-000010000000}"/>
    <cellStyle name="Comma 14" xfId="10" xr:uid="{00000000-0005-0000-0000-000011000000}"/>
    <cellStyle name="Comma 14 2" xfId="11" xr:uid="{00000000-0005-0000-0000-000012000000}"/>
    <cellStyle name="Comma 14 2 2" xfId="156" xr:uid="{00000000-0005-0000-0000-000013000000}"/>
    <cellStyle name="Comma 14 3" xfId="155" xr:uid="{00000000-0005-0000-0000-000014000000}"/>
    <cellStyle name="Comma 15" xfId="12" xr:uid="{00000000-0005-0000-0000-000015000000}"/>
    <cellStyle name="Comma 15 2" xfId="13" xr:uid="{00000000-0005-0000-0000-000016000000}"/>
    <cellStyle name="Comma 15 2 2" xfId="158" xr:uid="{00000000-0005-0000-0000-000017000000}"/>
    <cellStyle name="Comma 15 3" xfId="157" xr:uid="{00000000-0005-0000-0000-000018000000}"/>
    <cellStyle name="Comma 16" xfId="14" xr:uid="{00000000-0005-0000-0000-000019000000}"/>
    <cellStyle name="Comma 16 2" xfId="15" xr:uid="{00000000-0005-0000-0000-00001A000000}"/>
    <cellStyle name="Comma 16 2 2" xfId="160" xr:uid="{00000000-0005-0000-0000-00001B000000}"/>
    <cellStyle name="Comma 16 3" xfId="159" xr:uid="{00000000-0005-0000-0000-00001C000000}"/>
    <cellStyle name="Comma 17" xfId="16" xr:uid="{00000000-0005-0000-0000-00001D000000}"/>
    <cellStyle name="Comma 17 2" xfId="17" xr:uid="{00000000-0005-0000-0000-00001E000000}"/>
    <cellStyle name="Comma 17 2 2" xfId="162" xr:uid="{00000000-0005-0000-0000-00001F000000}"/>
    <cellStyle name="Comma 17 3" xfId="161" xr:uid="{00000000-0005-0000-0000-000020000000}"/>
    <cellStyle name="Comma 18" xfId="18" xr:uid="{00000000-0005-0000-0000-000021000000}"/>
    <cellStyle name="Comma 18 2" xfId="19" xr:uid="{00000000-0005-0000-0000-000022000000}"/>
    <cellStyle name="Comma 18 2 2" xfId="164" xr:uid="{00000000-0005-0000-0000-000023000000}"/>
    <cellStyle name="Comma 18 3" xfId="163" xr:uid="{00000000-0005-0000-0000-000024000000}"/>
    <cellStyle name="Comma 19" xfId="146" xr:uid="{00000000-0005-0000-0000-000025000000}"/>
    <cellStyle name="Comma 2" xfId="20" xr:uid="{00000000-0005-0000-0000-000026000000}"/>
    <cellStyle name="Comma 2 2" xfId="21" xr:uid="{00000000-0005-0000-0000-000027000000}"/>
    <cellStyle name="Comma 2 2 2" xfId="166" xr:uid="{00000000-0005-0000-0000-000028000000}"/>
    <cellStyle name="Comma 2 3" xfId="165" xr:uid="{00000000-0005-0000-0000-000029000000}"/>
    <cellStyle name="Comma 3" xfId="22" xr:uid="{00000000-0005-0000-0000-00002A000000}"/>
    <cellStyle name="Comma 3 2" xfId="23" xr:uid="{00000000-0005-0000-0000-00002B000000}"/>
    <cellStyle name="Comma 3 2 2" xfId="168" xr:uid="{00000000-0005-0000-0000-00002C000000}"/>
    <cellStyle name="Comma 3 3" xfId="167" xr:uid="{00000000-0005-0000-0000-00002D000000}"/>
    <cellStyle name="Comma 4" xfId="24" xr:uid="{00000000-0005-0000-0000-00002E000000}"/>
    <cellStyle name="Comma 4 2" xfId="25" xr:uid="{00000000-0005-0000-0000-00002F000000}"/>
    <cellStyle name="Comma 4 2 2" xfId="170" xr:uid="{00000000-0005-0000-0000-000030000000}"/>
    <cellStyle name="Comma 4 3" xfId="169" xr:uid="{00000000-0005-0000-0000-000031000000}"/>
    <cellStyle name="Comma 5" xfId="26" xr:uid="{00000000-0005-0000-0000-000032000000}"/>
    <cellStyle name="Comma 5 2" xfId="27" xr:uid="{00000000-0005-0000-0000-000033000000}"/>
    <cellStyle name="Comma 5 2 2" xfId="172" xr:uid="{00000000-0005-0000-0000-000034000000}"/>
    <cellStyle name="Comma 5 3" xfId="171" xr:uid="{00000000-0005-0000-0000-000035000000}"/>
    <cellStyle name="Comma 6" xfId="28" xr:uid="{00000000-0005-0000-0000-000036000000}"/>
    <cellStyle name="Comma 6 2" xfId="29" xr:uid="{00000000-0005-0000-0000-000037000000}"/>
    <cellStyle name="Comma 6 2 2" xfId="174" xr:uid="{00000000-0005-0000-0000-000038000000}"/>
    <cellStyle name="Comma 6 3" xfId="173" xr:uid="{00000000-0005-0000-0000-000039000000}"/>
    <cellStyle name="Comma 7" xfId="30" xr:uid="{00000000-0005-0000-0000-00003A000000}"/>
    <cellStyle name="Comma 7 2" xfId="31" xr:uid="{00000000-0005-0000-0000-00003B000000}"/>
    <cellStyle name="Comma 7 2 2" xfId="176" xr:uid="{00000000-0005-0000-0000-00003C000000}"/>
    <cellStyle name="Comma 7 3" xfId="175" xr:uid="{00000000-0005-0000-0000-00003D000000}"/>
    <cellStyle name="Comma 8" xfId="32" xr:uid="{00000000-0005-0000-0000-00003E000000}"/>
    <cellStyle name="Comma 8 2" xfId="33" xr:uid="{00000000-0005-0000-0000-00003F000000}"/>
    <cellStyle name="Comma 8 2 2" xfId="178" xr:uid="{00000000-0005-0000-0000-000040000000}"/>
    <cellStyle name="Comma 8 3" xfId="177" xr:uid="{00000000-0005-0000-0000-000041000000}"/>
    <cellStyle name="Comma 9" xfId="34" xr:uid="{00000000-0005-0000-0000-000042000000}"/>
    <cellStyle name="Comma 9 2" xfId="35" xr:uid="{00000000-0005-0000-0000-000043000000}"/>
    <cellStyle name="Comma 9 2 2" xfId="180" xr:uid="{00000000-0005-0000-0000-000044000000}"/>
    <cellStyle name="Comma 9 3" xfId="179" xr:uid="{00000000-0005-0000-0000-000045000000}"/>
    <cellStyle name="Normal" xfId="0" builtinId="0"/>
    <cellStyle name="Normal 2" xfId="145" xr:uid="{00000000-0005-0000-0000-000047000000}"/>
    <cellStyle name="Normal 2 2" xfId="36" xr:uid="{00000000-0005-0000-0000-000048000000}"/>
    <cellStyle name="Normal 2 2 2" xfId="37" xr:uid="{00000000-0005-0000-0000-000049000000}"/>
    <cellStyle name="Normal 2 2 2 2" xfId="38" xr:uid="{00000000-0005-0000-0000-00004A000000}"/>
    <cellStyle name="Normal 2 2 2 2 2" xfId="39" xr:uid="{00000000-0005-0000-0000-00004B000000}"/>
    <cellStyle name="Normal 2 2 2 2 2 2" xfId="40" xr:uid="{00000000-0005-0000-0000-00004C000000}"/>
    <cellStyle name="Normal 2 2 2 2 2 2 2" xfId="41" xr:uid="{00000000-0005-0000-0000-00004D000000}"/>
    <cellStyle name="Normal 2 2 2 2 2 2 2 2" xfId="186" xr:uid="{00000000-0005-0000-0000-00004E000000}"/>
    <cellStyle name="Normal 2 2 2 2 2 2 3" xfId="185" xr:uid="{00000000-0005-0000-0000-00004F000000}"/>
    <cellStyle name="Normal 2 2 2 2 2 3" xfId="184" xr:uid="{00000000-0005-0000-0000-000050000000}"/>
    <cellStyle name="Normal 2 2 2 2 3" xfId="42" xr:uid="{00000000-0005-0000-0000-000051000000}"/>
    <cellStyle name="Normal 2 2 2 2 3 2" xfId="43" xr:uid="{00000000-0005-0000-0000-000052000000}"/>
    <cellStyle name="Normal 2 2 2 2 3 2 2" xfId="188" xr:uid="{00000000-0005-0000-0000-000053000000}"/>
    <cellStyle name="Normal 2 2 2 2 3 3" xfId="187" xr:uid="{00000000-0005-0000-0000-000054000000}"/>
    <cellStyle name="Normal 2 2 2 2 4" xfId="44" xr:uid="{00000000-0005-0000-0000-000055000000}"/>
    <cellStyle name="Normal 2 2 2 2 4 2" xfId="189" xr:uid="{00000000-0005-0000-0000-000056000000}"/>
    <cellStyle name="Normal 2 2 2 2 5" xfId="183" xr:uid="{00000000-0005-0000-0000-000057000000}"/>
    <cellStyle name="Normal 2 2 2 3" xfId="45" xr:uid="{00000000-0005-0000-0000-000058000000}"/>
    <cellStyle name="Normal 2 2 2 3 2" xfId="46" xr:uid="{00000000-0005-0000-0000-000059000000}"/>
    <cellStyle name="Normal 2 2 2 3 2 2" xfId="191" xr:uid="{00000000-0005-0000-0000-00005A000000}"/>
    <cellStyle name="Normal 2 2 2 3 3" xfId="47" xr:uid="{00000000-0005-0000-0000-00005B000000}"/>
    <cellStyle name="Normal 2 2 2 3 3 2" xfId="192" xr:uid="{00000000-0005-0000-0000-00005C000000}"/>
    <cellStyle name="Normal 2 2 2 3 4" xfId="190" xr:uid="{00000000-0005-0000-0000-00005D000000}"/>
    <cellStyle name="Normal 2 2 2 4" xfId="182" xr:uid="{00000000-0005-0000-0000-00005E000000}"/>
    <cellStyle name="Normal 2 2 3" xfId="48" xr:uid="{00000000-0005-0000-0000-00005F000000}"/>
    <cellStyle name="Normal 2 2 3 2" xfId="49" xr:uid="{00000000-0005-0000-0000-000060000000}"/>
    <cellStyle name="Normal 2 2 3 2 2" xfId="194" xr:uid="{00000000-0005-0000-0000-000061000000}"/>
    <cellStyle name="Normal 2 2 3 3" xfId="193" xr:uid="{00000000-0005-0000-0000-000062000000}"/>
    <cellStyle name="Normal 2 2 4" xfId="50" xr:uid="{00000000-0005-0000-0000-000063000000}"/>
    <cellStyle name="Normal 2 2 4 2" xfId="51" xr:uid="{00000000-0005-0000-0000-000064000000}"/>
    <cellStyle name="Normal 2 2 4 2 2" xfId="52" xr:uid="{00000000-0005-0000-0000-000065000000}"/>
    <cellStyle name="Normal 2 2 4 2 2 2" xfId="197" xr:uid="{00000000-0005-0000-0000-000066000000}"/>
    <cellStyle name="Normal 2 2 4 2 3" xfId="196" xr:uid="{00000000-0005-0000-0000-000067000000}"/>
    <cellStyle name="Normal 2 2 4 3" xfId="195" xr:uid="{00000000-0005-0000-0000-000068000000}"/>
    <cellStyle name="Normal 2 2 5" xfId="53" xr:uid="{00000000-0005-0000-0000-000069000000}"/>
    <cellStyle name="Normal 2 2 5 2" xfId="54" xr:uid="{00000000-0005-0000-0000-00006A000000}"/>
    <cellStyle name="Normal 2 2 5 2 2" xfId="199" xr:uid="{00000000-0005-0000-0000-00006B000000}"/>
    <cellStyle name="Normal 2 2 5 3" xfId="198" xr:uid="{00000000-0005-0000-0000-00006C000000}"/>
    <cellStyle name="Normal 2 2 6" xfId="55" xr:uid="{00000000-0005-0000-0000-00006D000000}"/>
    <cellStyle name="Normal 2 2 6 2" xfId="200" xr:uid="{00000000-0005-0000-0000-00006E000000}"/>
    <cellStyle name="Normal 2 2 7" xfId="181" xr:uid="{00000000-0005-0000-0000-00006F000000}"/>
    <cellStyle name="Normal 2 3" xfId="56" xr:uid="{00000000-0005-0000-0000-000070000000}"/>
    <cellStyle name="Normal 2 3 2" xfId="57" xr:uid="{00000000-0005-0000-0000-000071000000}"/>
    <cellStyle name="Normal 2 3 2 2" xfId="202" xr:uid="{00000000-0005-0000-0000-000072000000}"/>
    <cellStyle name="Normal 2 3 3" xfId="201" xr:uid="{00000000-0005-0000-0000-000073000000}"/>
    <cellStyle name="Normal 2 4" xfId="58" xr:uid="{00000000-0005-0000-0000-000074000000}"/>
    <cellStyle name="Normal 2 4 2" xfId="59" xr:uid="{00000000-0005-0000-0000-000075000000}"/>
    <cellStyle name="Normal 2 4 2 2" xfId="60" xr:uid="{00000000-0005-0000-0000-000076000000}"/>
    <cellStyle name="Normal 2 4 2 2 2" xfId="61" xr:uid="{00000000-0005-0000-0000-000077000000}"/>
    <cellStyle name="Normal 2 4 2 2 2 2" xfId="206" xr:uid="{00000000-0005-0000-0000-000078000000}"/>
    <cellStyle name="Normal 2 4 2 2 3" xfId="62" xr:uid="{00000000-0005-0000-0000-000079000000}"/>
    <cellStyle name="Normal 2 4 2 2 3 2" xfId="207" xr:uid="{00000000-0005-0000-0000-00007A000000}"/>
    <cellStyle name="Normal 2 4 2 2 4" xfId="205" xr:uid="{00000000-0005-0000-0000-00007B000000}"/>
    <cellStyle name="Normal 2 4 2 3" xfId="63" xr:uid="{00000000-0005-0000-0000-00007C000000}"/>
    <cellStyle name="Normal 2 4 2 3 2" xfId="208" xr:uid="{00000000-0005-0000-0000-00007D000000}"/>
    <cellStyle name="Normal 2 4 2 4" xfId="204" xr:uid="{00000000-0005-0000-0000-00007E000000}"/>
    <cellStyle name="Normal 2 4 3" xfId="64" xr:uid="{00000000-0005-0000-0000-00007F000000}"/>
    <cellStyle name="Normal 2 4 3 2" xfId="65" xr:uid="{00000000-0005-0000-0000-000080000000}"/>
    <cellStyle name="Normal 2 4 3 2 2" xfId="66" xr:uid="{00000000-0005-0000-0000-000081000000}"/>
    <cellStyle name="Normal 2 4 3 2 2 2" xfId="211" xr:uid="{00000000-0005-0000-0000-000082000000}"/>
    <cellStyle name="Normal 2 4 3 2 3" xfId="210" xr:uid="{00000000-0005-0000-0000-000083000000}"/>
    <cellStyle name="Normal 2 4 3 3" xfId="209" xr:uid="{00000000-0005-0000-0000-000084000000}"/>
    <cellStyle name="Normal 2 4 4" xfId="67" xr:uid="{00000000-0005-0000-0000-000085000000}"/>
    <cellStyle name="Normal 2 4 4 2" xfId="212" xr:uid="{00000000-0005-0000-0000-000086000000}"/>
    <cellStyle name="Normal 2 4 5" xfId="203" xr:uid="{00000000-0005-0000-0000-000087000000}"/>
    <cellStyle name="Normal 2 5" xfId="68" xr:uid="{00000000-0005-0000-0000-000088000000}"/>
    <cellStyle name="Normal 2 5 2" xfId="69" xr:uid="{00000000-0005-0000-0000-000089000000}"/>
    <cellStyle name="Normal 2 5 2 2" xfId="214" xr:uid="{00000000-0005-0000-0000-00008A000000}"/>
    <cellStyle name="Normal 2 5 3" xfId="70" xr:uid="{00000000-0005-0000-0000-00008B000000}"/>
    <cellStyle name="Normal 2 5 3 2" xfId="215" xr:uid="{00000000-0005-0000-0000-00008C000000}"/>
    <cellStyle name="Normal 2 5 4" xfId="213" xr:uid="{00000000-0005-0000-0000-00008D000000}"/>
    <cellStyle name="Normal 2 6" xfId="71" xr:uid="{00000000-0005-0000-0000-00008E000000}"/>
    <cellStyle name="Normal 2 6 2" xfId="216" xr:uid="{00000000-0005-0000-0000-00008F000000}"/>
    <cellStyle name="Normal 2 7" xfId="72" xr:uid="{00000000-0005-0000-0000-000090000000}"/>
    <cellStyle name="Normal 2 7 2" xfId="73" xr:uid="{00000000-0005-0000-0000-000091000000}"/>
    <cellStyle name="Normal 2 7 2 2" xfId="218" xr:uid="{00000000-0005-0000-0000-000092000000}"/>
    <cellStyle name="Normal 2 7 3" xfId="217" xr:uid="{00000000-0005-0000-0000-000093000000}"/>
    <cellStyle name="Normal 2 8" xfId="74" xr:uid="{00000000-0005-0000-0000-000094000000}"/>
    <cellStyle name="Normal 2 8 2" xfId="75" xr:uid="{00000000-0005-0000-0000-000095000000}"/>
    <cellStyle name="Normal 2 8 2 2" xfId="220" xr:uid="{00000000-0005-0000-0000-000096000000}"/>
    <cellStyle name="Normal 2 8 3" xfId="219" xr:uid="{00000000-0005-0000-0000-000097000000}"/>
    <cellStyle name="Normal 3" xfId="144" xr:uid="{00000000-0005-0000-0000-000098000000}"/>
    <cellStyle name="Normal 3 2" xfId="76" xr:uid="{00000000-0005-0000-0000-000099000000}"/>
    <cellStyle name="Normal 3 2 2" xfId="77" xr:uid="{00000000-0005-0000-0000-00009A000000}"/>
    <cellStyle name="Normal 3 2 2 2" xfId="78" xr:uid="{00000000-0005-0000-0000-00009B000000}"/>
    <cellStyle name="Normal 3 2 2 2 2" xfId="79" xr:uid="{00000000-0005-0000-0000-00009C000000}"/>
    <cellStyle name="Normal 3 2 2 2 2 2" xfId="224" xr:uid="{00000000-0005-0000-0000-00009D000000}"/>
    <cellStyle name="Normal 3 2 2 2 3" xfId="80" xr:uid="{00000000-0005-0000-0000-00009E000000}"/>
    <cellStyle name="Normal 3 2 2 2 3 2" xfId="225" xr:uid="{00000000-0005-0000-0000-00009F000000}"/>
    <cellStyle name="Normal 3 2 2 2 4" xfId="223" xr:uid="{00000000-0005-0000-0000-0000A0000000}"/>
    <cellStyle name="Normal 3 2 2 3" xfId="81" xr:uid="{00000000-0005-0000-0000-0000A1000000}"/>
    <cellStyle name="Normal 3 2 2 3 2" xfId="226" xr:uid="{00000000-0005-0000-0000-0000A2000000}"/>
    <cellStyle name="Normal 3 2 2 4" xfId="222" xr:uid="{00000000-0005-0000-0000-0000A3000000}"/>
    <cellStyle name="Normal 3 2 3" xfId="82" xr:uid="{00000000-0005-0000-0000-0000A4000000}"/>
    <cellStyle name="Normal 3 2 3 2" xfId="83" xr:uid="{00000000-0005-0000-0000-0000A5000000}"/>
    <cellStyle name="Normal 3 2 3 2 2" xfId="84" xr:uid="{00000000-0005-0000-0000-0000A6000000}"/>
    <cellStyle name="Normal 3 2 3 2 2 2" xfId="229" xr:uid="{00000000-0005-0000-0000-0000A7000000}"/>
    <cellStyle name="Normal 3 2 3 2 3" xfId="228" xr:uid="{00000000-0005-0000-0000-0000A8000000}"/>
    <cellStyle name="Normal 3 2 3 3" xfId="227" xr:uid="{00000000-0005-0000-0000-0000A9000000}"/>
    <cellStyle name="Normal 3 2 4" xfId="85" xr:uid="{00000000-0005-0000-0000-0000AA000000}"/>
    <cellStyle name="Normal 3 2 4 2" xfId="230" xr:uid="{00000000-0005-0000-0000-0000AB000000}"/>
    <cellStyle name="Normal 3 2 5" xfId="221" xr:uid="{00000000-0005-0000-0000-0000AC000000}"/>
    <cellStyle name="Normal 3 3" xfId="86" xr:uid="{00000000-0005-0000-0000-0000AD000000}"/>
    <cellStyle name="Normal 3 3 2" xfId="231" xr:uid="{00000000-0005-0000-0000-0000AE000000}"/>
    <cellStyle name="Normal 3 4" xfId="87" xr:uid="{00000000-0005-0000-0000-0000AF000000}"/>
    <cellStyle name="Normal 3 4 2" xfId="88" xr:uid="{00000000-0005-0000-0000-0000B0000000}"/>
    <cellStyle name="Normal 3 4 2 2" xfId="233" xr:uid="{00000000-0005-0000-0000-0000B1000000}"/>
    <cellStyle name="Normal 3 4 3" xfId="89" xr:uid="{00000000-0005-0000-0000-0000B2000000}"/>
    <cellStyle name="Normal 3 4 3 2" xfId="234" xr:uid="{00000000-0005-0000-0000-0000B3000000}"/>
    <cellStyle name="Normal 3 4 4" xfId="232" xr:uid="{00000000-0005-0000-0000-0000B4000000}"/>
    <cellStyle name="Normal 3 5" xfId="90" xr:uid="{00000000-0005-0000-0000-0000B5000000}"/>
    <cellStyle name="Normal 3 5 2" xfId="235" xr:uid="{00000000-0005-0000-0000-0000B6000000}"/>
    <cellStyle name="Normal 3 6" xfId="91" xr:uid="{00000000-0005-0000-0000-0000B7000000}"/>
    <cellStyle name="Normal 3 6 2" xfId="92" xr:uid="{00000000-0005-0000-0000-0000B8000000}"/>
    <cellStyle name="Normal 3 6 2 2" xfId="237" xr:uid="{00000000-0005-0000-0000-0000B9000000}"/>
    <cellStyle name="Normal 3 6 3" xfId="236" xr:uid="{00000000-0005-0000-0000-0000BA000000}"/>
    <cellStyle name="Normal 4" xfId="291" xr:uid="{B36A1245-C081-44CF-A01F-15B5C9E329C1}"/>
    <cellStyle name="Normal 4 2" xfId="93" xr:uid="{00000000-0005-0000-0000-0000BB000000}"/>
    <cellStyle name="Normal 4 2 2" xfId="94" xr:uid="{00000000-0005-0000-0000-0000BC000000}"/>
    <cellStyle name="Normal 4 2 2 2" xfId="239" xr:uid="{00000000-0005-0000-0000-0000BD000000}"/>
    <cellStyle name="Normal 4 2 3" xfId="238" xr:uid="{00000000-0005-0000-0000-0000BE000000}"/>
    <cellStyle name="Normal 4 3" xfId="95" xr:uid="{00000000-0005-0000-0000-0000BF000000}"/>
    <cellStyle name="Normal 4 3 2" xfId="96" xr:uid="{00000000-0005-0000-0000-0000C0000000}"/>
    <cellStyle name="Normal 4 3 2 2" xfId="241" xr:uid="{00000000-0005-0000-0000-0000C1000000}"/>
    <cellStyle name="Normal 4 3 3" xfId="240" xr:uid="{00000000-0005-0000-0000-0000C2000000}"/>
    <cellStyle name="Normal 4 4" xfId="97" xr:uid="{00000000-0005-0000-0000-0000C3000000}"/>
    <cellStyle name="Normal 4 4 2" xfId="98" xr:uid="{00000000-0005-0000-0000-0000C4000000}"/>
    <cellStyle name="Normal 4 4 2 2" xfId="243" xr:uid="{00000000-0005-0000-0000-0000C5000000}"/>
    <cellStyle name="Normal 4 4 3" xfId="242" xr:uid="{00000000-0005-0000-0000-0000C6000000}"/>
    <cellStyle name="Normal 4 5" xfId="99" xr:uid="{00000000-0005-0000-0000-0000C7000000}"/>
    <cellStyle name="Normal 4 5 2" xfId="100" xr:uid="{00000000-0005-0000-0000-0000C8000000}"/>
    <cellStyle name="Normal 4 5 2 2" xfId="245" xr:uid="{00000000-0005-0000-0000-0000C9000000}"/>
    <cellStyle name="Normal 4 5 3" xfId="244" xr:uid="{00000000-0005-0000-0000-0000CA000000}"/>
    <cellStyle name="Normal 4 6" xfId="101" xr:uid="{00000000-0005-0000-0000-0000CB000000}"/>
    <cellStyle name="Normal 4 6 2" xfId="102" xr:uid="{00000000-0005-0000-0000-0000CC000000}"/>
    <cellStyle name="Normal 4 6 2 2" xfId="247" xr:uid="{00000000-0005-0000-0000-0000CD000000}"/>
    <cellStyle name="Normal 4 6 3" xfId="246" xr:uid="{00000000-0005-0000-0000-0000CE000000}"/>
    <cellStyle name="Normal 4 7" xfId="103" xr:uid="{00000000-0005-0000-0000-0000CF000000}"/>
    <cellStyle name="Normal 4 7 2" xfId="104" xr:uid="{00000000-0005-0000-0000-0000D0000000}"/>
    <cellStyle name="Normal 4 7 2 2" xfId="290" xr:uid="{00000000-0005-0000-0000-0000D1000000}"/>
    <cellStyle name="Normal 4 7 2 3" xfId="249" xr:uid="{00000000-0005-0000-0000-0000D2000000}"/>
    <cellStyle name="Normal 4 7 3" xfId="289" xr:uid="{00000000-0005-0000-0000-0000D3000000}"/>
    <cellStyle name="Normal 4 7 4" xfId="248" xr:uid="{00000000-0005-0000-0000-0000D4000000}"/>
    <cellStyle name="Normal 5 2" xfId="105" xr:uid="{00000000-0005-0000-0000-0000D5000000}"/>
    <cellStyle name="Normal 5 2 2" xfId="106" xr:uid="{00000000-0005-0000-0000-0000D6000000}"/>
    <cellStyle name="Normal 5 2 2 2" xfId="251" xr:uid="{00000000-0005-0000-0000-0000D7000000}"/>
    <cellStyle name="Normal 5 2 3" xfId="250" xr:uid="{00000000-0005-0000-0000-0000D8000000}"/>
    <cellStyle name="Normal 6" xfId="107" xr:uid="{00000000-0005-0000-0000-0000D9000000}"/>
    <cellStyle name="Normal 6 2" xfId="108" xr:uid="{00000000-0005-0000-0000-0000DA000000}"/>
    <cellStyle name="Normal 6 2 2" xfId="253" xr:uid="{00000000-0005-0000-0000-0000DB000000}"/>
    <cellStyle name="Normal 6 3" xfId="252" xr:uid="{00000000-0005-0000-0000-0000DC000000}"/>
    <cellStyle name="Percent" xfId="109" builtinId="5"/>
    <cellStyle name="Percent 10" xfId="110" xr:uid="{00000000-0005-0000-0000-0000DE000000}"/>
    <cellStyle name="Percent 10 2" xfId="111" xr:uid="{00000000-0005-0000-0000-0000DF000000}"/>
    <cellStyle name="Percent 10 2 2" xfId="256" xr:uid="{00000000-0005-0000-0000-0000E0000000}"/>
    <cellStyle name="Percent 10 3" xfId="255" xr:uid="{00000000-0005-0000-0000-0000E1000000}"/>
    <cellStyle name="Percent 11" xfId="112" xr:uid="{00000000-0005-0000-0000-0000E2000000}"/>
    <cellStyle name="Percent 11 2" xfId="113" xr:uid="{00000000-0005-0000-0000-0000E3000000}"/>
    <cellStyle name="Percent 11 2 2" xfId="258" xr:uid="{00000000-0005-0000-0000-0000E4000000}"/>
    <cellStyle name="Percent 11 3" xfId="257" xr:uid="{00000000-0005-0000-0000-0000E5000000}"/>
    <cellStyle name="Percent 12" xfId="114" xr:uid="{00000000-0005-0000-0000-0000E6000000}"/>
    <cellStyle name="Percent 12 2" xfId="115" xr:uid="{00000000-0005-0000-0000-0000E7000000}"/>
    <cellStyle name="Percent 12 2 2" xfId="260" xr:uid="{00000000-0005-0000-0000-0000E8000000}"/>
    <cellStyle name="Percent 12 3" xfId="259" xr:uid="{00000000-0005-0000-0000-0000E9000000}"/>
    <cellStyle name="Percent 13" xfId="116" xr:uid="{00000000-0005-0000-0000-0000EA000000}"/>
    <cellStyle name="Percent 13 2" xfId="117" xr:uid="{00000000-0005-0000-0000-0000EB000000}"/>
    <cellStyle name="Percent 13 2 2" xfId="262" xr:uid="{00000000-0005-0000-0000-0000EC000000}"/>
    <cellStyle name="Percent 13 3" xfId="261" xr:uid="{00000000-0005-0000-0000-0000ED000000}"/>
    <cellStyle name="Percent 14" xfId="118" xr:uid="{00000000-0005-0000-0000-0000EE000000}"/>
    <cellStyle name="Percent 14 2" xfId="119" xr:uid="{00000000-0005-0000-0000-0000EF000000}"/>
    <cellStyle name="Percent 14 2 2" xfId="264" xr:uid="{00000000-0005-0000-0000-0000F0000000}"/>
    <cellStyle name="Percent 14 3" xfId="263" xr:uid="{00000000-0005-0000-0000-0000F1000000}"/>
    <cellStyle name="Percent 15" xfId="120" xr:uid="{00000000-0005-0000-0000-0000F2000000}"/>
    <cellStyle name="Percent 15 2" xfId="121" xr:uid="{00000000-0005-0000-0000-0000F3000000}"/>
    <cellStyle name="Percent 15 2 2" xfId="266" xr:uid="{00000000-0005-0000-0000-0000F4000000}"/>
    <cellStyle name="Percent 15 3" xfId="265" xr:uid="{00000000-0005-0000-0000-0000F5000000}"/>
    <cellStyle name="Percent 16" xfId="122" xr:uid="{00000000-0005-0000-0000-0000F6000000}"/>
    <cellStyle name="Percent 16 2" xfId="123" xr:uid="{00000000-0005-0000-0000-0000F7000000}"/>
    <cellStyle name="Percent 16 2 2" xfId="268" xr:uid="{00000000-0005-0000-0000-0000F8000000}"/>
    <cellStyle name="Percent 16 3" xfId="267" xr:uid="{00000000-0005-0000-0000-0000F9000000}"/>
    <cellStyle name="Percent 17" xfId="124" xr:uid="{00000000-0005-0000-0000-0000FA000000}"/>
    <cellStyle name="Percent 17 2" xfId="125" xr:uid="{00000000-0005-0000-0000-0000FB000000}"/>
    <cellStyle name="Percent 17 2 2" xfId="270" xr:uid="{00000000-0005-0000-0000-0000FC000000}"/>
    <cellStyle name="Percent 17 3" xfId="269" xr:uid="{00000000-0005-0000-0000-0000FD000000}"/>
    <cellStyle name="Percent 18" xfId="126" xr:uid="{00000000-0005-0000-0000-0000FE000000}"/>
    <cellStyle name="Percent 18 2" xfId="127" xr:uid="{00000000-0005-0000-0000-0000FF000000}"/>
    <cellStyle name="Percent 18 2 2" xfId="272" xr:uid="{00000000-0005-0000-0000-000000010000}"/>
    <cellStyle name="Percent 18 3" xfId="271" xr:uid="{00000000-0005-0000-0000-000001010000}"/>
    <cellStyle name="Percent 19" xfId="254" xr:uid="{00000000-0005-0000-0000-000002010000}"/>
    <cellStyle name="Percent 2" xfId="128" xr:uid="{00000000-0005-0000-0000-000003010000}"/>
    <cellStyle name="Percent 2 2" xfId="129" xr:uid="{00000000-0005-0000-0000-000004010000}"/>
    <cellStyle name="Percent 2 2 2" xfId="274" xr:uid="{00000000-0005-0000-0000-000005010000}"/>
    <cellStyle name="Percent 2 3" xfId="273" xr:uid="{00000000-0005-0000-0000-000006010000}"/>
    <cellStyle name="Percent 3" xfId="130" xr:uid="{00000000-0005-0000-0000-000007010000}"/>
    <cellStyle name="Percent 3 2" xfId="131" xr:uid="{00000000-0005-0000-0000-000008010000}"/>
    <cellStyle name="Percent 3 2 2" xfId="276" xr:uid="{00000000-0005-0000-0000-000009010000}"/>
    <cellStyle name="Percent 3 3" xfId="275" xr:uid="{00000000-0005-0000-0000-00000A010000}"/>
    <cellStyle name="Percent 4" xfId="132" xr:uid="{00000000-0005-0000-0000-00000B010000}"/>
    <cellStyle name="Percent 4 2" xfId="133" xr:uid="{00000000-0005-0000-0000-00000C010000}"/>
    <cellStyle name="Percent 4 2 2" xfId="278" xr:uid="{00000000-0005-0000-0000-00000D010000}"/>
    <cellStyle name="Percent 4 3" xfId="277" xr:uid="{00000000-0005-0000-0000-00000E010000}"/>
    <cellStyle name="Percent 5" xfId="134" xr:uid="{00000000-0005-0000-0000-00000F010000}"/>
    <cellStyle name="Percent 5 2" xfId="135" xr:uid="{00000000-0005-0000-0000-000010010000}"/>
    <cellStyle name="Percent 5 2 2" xfId="280" xr:uid="{00000000-0005-0000-0000-000011010000}"/>
    <cellStyle name="Percent 5 3" xfId="279" xr:uid="{00000000-0005-0000-0000-000012010000}"/>
    <cellStyle name="Percent 6" xfId="136" xr:uid="{00000000-0005-0000-0000-000013010000}"/>
    <cellStyle name="Percent 6 2" xfId="137" xr:uid="{00000000-0005-0000-0000-000014010000}"/>
    <cellStyle name="Percent 6 2 2" xfId="282" xr:uid="{00000000-0005-0000-0000-000015010000}"/>
    <cellStyle name="Percent 6 3" xfId="281" xr:uid="{00000000-0005-0000-0000-000016010000}"/>
    <cellStyle name="Percent 7" xfId="138" xr:uid="{00000000-0005-0000-0000-000017010000}"/>
    <cellStyle name="Percent 7 2" xfId="139" xr:uid="{00000000-0005-0000-0000-000018010000}"/>
    <cellStyle name="Percent 7 2 2" xfId="284" xr:uid="{00000000-0005-0000-0000-000019010000}"/>
    <cellStyle name="Percent 7 3" xfId="283" xr:uid="{00000000-0005-0000-0000-00001A010000}"/>
    <cellStyle name="Percent 8" xfId="140" xr:uid="{00000000-0005-0000-0000-00001B010000}"/>
    <cellStyle name="Percent 8 2" xfId="141" xr:uid="{00000000-0005-0000-0000-00001C010000}"/>
    <cellStyle name="Percent 8 2 2" xfId="286" xr:uid="{00000000-0005-0000-0000-00001D010000}"/>
    <cellStyle name="Percent 8 3" xfId="285" xr:uid="{00000000-0005-0000-0000-00001E010000}"/>
    <cellStyle name="Percent 9" xfId="142" xr:uid="{00000000-0005-0000-0000-00001F010000}"/>
    <cellStyle name="Percent 9 2" xfId="143" xr:uid="{00000000-0005-0000-0000-000020010000}"/>
    <cellStyle name="Percent 9 2 2" xfId="288" xr:uid="{00000000-0005-0000-0000-000021010000}"/>
    <cellStyle name="Percent 9 3" xfId="287" xr:uid="{00000000-0005-0000-0000-000022010000}"/>
  </cellStyles>
  <dxfs count="134">
    <dxf>
      <border>
        <left/>
        <right/>
        <top style="thin">
          <color theme="0" tint="-0.34998626667073579"/>
        </top>
        <bottom style="thin">
          <color theme="0" tint="-0.34998626667073579"/>
        </bottom>
        <vertical/>
        <horizontal/>
      </border>
    </dxf>
    <dxf>
      <fill>
        <patternFill>
          <bgColor rgb="FFFFCCCC"/>
        </patternFill>
      </fill>
    </dxf>
    <dxf>
      <font>
        <b/>
        <i val="0"/>
        <color theme="0" tint="-4.9989318521683403E-2"/>
      </font>
      <fill>
        <patternFill>
          <bgColor rgb="FF47982A"/>
        </patternFill>
      </fill>
    </dxf>
    <dxf>
      <font>
        <b/>
        <i val="0"/>
        <color theme="0"/>
      </font>
      <fill>
        <patternFill>
          <bgColor rgb="FFFF2D2D"/>
        </patternFill>
      </fill>
    </dxf>
    <dxf>
      <font>
        <b/>
        <i val="0"/>
        <color theme="1"/>
      </font>
      <fill>
        <patternFill>
          <bgColor theme="0" tint="-0.499984740745262"/>
        </patternFill>
      </fill>
    </dxf>
    <dxf>
      <font>
        <b/>
        <i val="0"/>
        <color theme="1"/>
      </font>
      <fill>
        <patternFill>
          <bgColor rgb="FFFAD6A5"/>
        </patternFill>
      </fill>
    </dxf>
    <dxf>
      <font>
        <condense val="0"/>
        <extend val="0"/>
        <color indexed="10"/>
      </font>
    </dxf>
    <dxf>
      <font>
        <color rgb="FFFF0000"/>
      </font>
    </dxf>
    <dxf>
      <font>
        <condense val="0"/>
        <extend val="0"/>
        <color indexed="10"/>
      </font>
    </dxf>
    <dxf>
      <font>
        <b/>
        <i val="0"/>
        <color theme="0"/>
      </font>
      <fill>
        <patternFill>
          <bgColor rgb="FFFF0000"/>
        </patternFill>
      </fill>
    </dxf>
    <dxf>
      <fill>
        <patternFill>
          <bgColor rgb="FFFFFF69"/>
        </patternFill>
      </fill>
    </dxf>
    <dxf>
      <font>
        <condense val="0"/>
        <extend val="0"/>
        <color indexed="10"/>
      </font>
    </dxf>
    <dxf>
      <font>
        <b/>
        <i val="0"/>
        <color indexed="12"/>
      </font>
    </dxf>
    <dxf>
      <font>
        <b/>
        <i val="0"/>
        <condense val="0"/>
        <extend val="0"/>
        <color indexed="10"/>
      </font>
    </dxf>
    <dxf>
      <font>
        <condense val="0"/>
        <extend val="0"/>
        <color indexed="14"/>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b/>
        <i val="0"/>
        <color theme="0"/>
      </font>
      <fill>
        <patternFill>
          <bgColor rgb="FFFF0000"/>
        </patternFill>
      </fill>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condense val="0"/>
        <extend val="0"/>
        <color indexed="10"/>
      </font>
    </dxf>
    <dxf>
      <font>
        <condense val="0"/>
        <extend val="0"/>
        <color indexed="1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color rgb="FFFF0000"/>
      </font>
    </dxf>
    <dxf>
      <font>
        <color rgb="FF0070C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color rgb="FFFF0000"/>
      </font>
    </dxf>
    <dxf>
      <font>
        <color rgb="FF0070C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FF0000"/>
      </font>
    </dxf>
    <dxf>
      <font>
        <color rgb="FFFF0000"/>
      </font>
    </dxf>
    <dxf>
      <font>
        <color rgb="FFFF0000"/>
      </font>
    </dxf>
  </dxfs>
  <tableStyles count="0" defaultTableStyle="TableStyleMedium9" defaultPivotStyle="PivotStyleLight16"/>
  <colors>
    <mruColors>
      <color rgb="FFFF9999"/>
      <color rgb="FFFFFF69"/>
      <color rgb="FF0E2841"/>
      <color rgb="FF2A3F66"/>
      <color rgb="FF0000FF"/>
      <color rgb="FFF0F0F0"/>
      <color rgb="FFFF2D2D"/>
      <color rgb="FFFF7575"/>
      <color rgb="FFFF5050"/>
      <color rgb="FF4798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123447</xdr:colOff>
      <xdr:row>77</xdr:row>
      <xdr:rowOff>0</xdr:rowOff>
    </xdr:from>
    <xdr:to>
      <xdr:col>17</xdr:col>
      <xdr:colOff>9903</xdr:colOff>
      <xdr:row>85</xdr:row>
      <xdr:rowOff>143108</xdr:rowOff>
    </xdr:to>
    <xdr:pic>
      <xdr:nvPicPr>
        <xdr:cNvPr id="2" name="Picture 1">
          <a:extLst>
            <a:ext uri="{FF2B5EF4-FFF2-40B4-BE49-F238E27FC236}">
              <a16:creationId xmlns:a16="http://schemas.microsoft.com/office/drawing/2014/main" id="{0FABF86B-9A08-4ECB-9CC6-8A6237785B8A}"/>
            </a:ext>
          </a:extLst>
        </xdr:cNvPr>
        <xdr:cNvPicPr>
          <a:picLocks noChangeAspect="1"/>
        </xdr:cNvPicPr>
      </xdr:nvPicPr>
      <xdr:blipFill>
        <a:blip xmlns:r="http://schemas.openxmlformats.org/officeDocument/2006/relationships" r:embed="rId1"/>
        <a:stretch>
          <a:fillRect/>
        </a:stretch>
      </xdr:blipFill>
      <xdr:spPr>
        <a:xfrm>
          <a:off x="2514222" y="16563975"/>
          <a:ext cx="5420481" cy="1667108"/>
        </a:xfrm>
        <a:prstGeom prst="rect">
          <a:avLst/>
        </a:prstGeom>
      </xdr:spPr>
    </xdr:pic>
    <xdr:clientData/>
  </xdr:twoCellAnchor>
  <xdr:twoCellAnchor editAs="oneCell">
    <xdr:from>
      <xdr:col>2</xdr:col>
      <xdr:colOff>18424</xdr:colOff>
      <xdr:row>60</xdr:row>
      <xdr:rowOff>142875</xdr:rowOff>
    </xdr:from>
    <xdr:to>
      <xdr:col>20</xdr:col>
      <xdr:colOff>438775</xdr:colOff>
      <xdr:row>70</xdr:row>
      <xdr:rowOff>66930</xdr:rowOff>
    </xdr:to>
    <xdr:pic>
      <xdr:nvPicPr>
        <xdr:cNvPr id="3" name="Picture 2">
          <a:extLst>
            <a:ext uri="{FF2B5EF4-FFF2-40B4-BE49-F238E27FC236}">
              <a16:creationId xmlns:a16="http://schemas.microsoft.com/office/drawing/2014/main" id="{FBE55B46-5DD6-45CF-B237-7A1CFED83AB7}"/>
            </a:ext>
          </a:extLst>
        </xdr:cNvPr>
        <xdr:cNvPicPr>
          <a:picLocks noChangeAspect="1"/>
        </xdr:cNvPicPr>
      </xdr:nvPicPr>
      <xdr:blipFill>
        <a:blip xmlns:r="http://schemas.openxmlformats.org/officeDocument/2006/relationships" r:embed="rId2"/>
        <a:stretch>
          <a:fillRect/>
        </a:stretch>
      </xdr:blipFill>
      <xdr:spPr>
        <a:xfrm>
          <a:off x="742324" y="13420725"/>
          <a:ext cx="8964276" cy="1829055"/>
        </a:xfrm>
        <a:prstGeom prst="rect">
          <a:avLst/>
        </a:prstGeom>
      </xdr:spPr>
    </xdr:pic>
    <xdr:clientData/>
  </xdr:twoCellAnchor>
  <xdr:twoCellAnchor editAs="oneCell">
    <xdr:from>
      <xdr:col>2</xdr:col>
      <xdr:colOff>4135</xdr:colOff>
      <xdr:row>48</xdr:row>
      <xdr:rowOff>133350</xdr:rowOff>
    </xdr:from>
    <xdr:to>
      <xdr:col>21</xdr:col>
      <xdr:colOff>5390</xdr:colOff>
      <xdr:row>58</xdr:row>
      <xdr:rowOff>95511</xdr:rowOff>
    </xdr:to>
    <xdr:pic>
      <xdr:nvPicPr>
        <xdr:cNvPr id="4" name="Picture 3">
          <a:extLst>
            <a:ext uri="{FF2B5EF4-FFF2-40B4-BE49-F238E27FC236}">
              <a16:creationId xmlns:a16="http://schemas.microsoft.com/office/drawing/2014/main" id="{51B6D9F8-71C4-4EBD-A131-9584476BA24C}"/>
            </a:ext>
          </a:extLst>
        </xdr:cNvPr>
        <xdr:cNvPicPr>
          <a:picLocks noChangeAspect="1"/>
        </xdr:cNvPicPr>
      </xdr:nvPicPr>
      <xdr:blipFill>
        <a:blip xmlns:r="http://schemas.openxmlformats.org/officeDocument/2006/relationships" r:embed="rId3"/>
        <a:stretch>
          <a:fillRect/>
        </a:stretch>
      </xdr:blipFill>
      <xdr:spPr>
        <a:xfrm>
          <a:off x="728035" y="10725150"/>
          <a:ext cx="8992855" cy="1867161"/>
        </a:xfrm>
        <a:prstGeom prst="rect">
          <a:avLst/>
        </a:prstGeom>
      </xdr:spPr>
    </xdr:pic>
    <xdr:clientData/>
  </xdr:twoCellAnchor>
  <xdr:twoCellAnchor editAs="oneCell">
    <xdr:from>
      <xdr:col>6</xdr:col>
      <xdr:colOff>113983</xdr:colOff>
      <xdr:row>38</xdr:row>
      <xdr:rowOff>38100</xdr:rowOff>
    </xdr:from>
    <xdr:to>
      <xdr:col>16</xdr:col>
      <xdr:colOff>19367</xdr:colOff>
      <xdr:row>45</xdr:row>
      <xdr:rowOff>47812</xdr:rowOff>
    </xdr:to>
    <xdr:pic>
      <xdr:nvPicPr>
        <xdr:cNvPr id="5" name="Picture 4">
          <a:extLst>
            <a:ext uri="{FF2B5EF4-FFF2-40B4-BE49-F238E27FC236}">
              <a16:creationId xmlns:a16="http://schemas.microsoft.com/office/drawing/2014/main" id="{C24DF976-FDB2-4958-A336-A2DB44052139}"/>
            </a:ext>
          </a:extLst>
        </xdr:cNvPr>
        <xdr:cNvPicPr>
          <a:picLocks noChangeAspect="1"/>
        </xdr:cNvPicPr>
      </xdr:nvPicPr>
      <xdr:blipFill>
        <a:blip xmlns:r="http://schemas.openxmlformats.org/officeDocument/2006/relationships" r:embed="rId4"/>
        <a:stretch>
          <a:fillRect/>
        </a:stretch>
      </xdr:blipFill>
      <xdr:spPr>
        <a:xfrm>
          <a:off x="2952433" y="8401050"/>
          <a:ext cx="4544059" cy="1343212"/>
        </a:xfrm>
        <a:prstGeom prst="rect">
          <a:avLst/>
        </a:prstGeom>
      </xdr:spPr>
    </xdr:pic>
    <xdr:clientData/>
  </xdr:twoCellAnchor>
  <xdr:twoCellAnchor editAs="oneCell">
    <xdr:from>
      <xdr:col>6</xdr:col>
      <xdr:colOff>142562</xdr:colOff>
      <xdr:row>15</xdr:row>
      <xdr:rowOff>95250</xdr:rowOff>
    </xdr:from>
    <xdr:to>
      <xdr:col>15</xdr:col>
      <xdr:colOff>438463</xdr:colOff>
      <xdr:row>33</xdr:row>
      <xdr:rowOff>114781</xdr:rowOff>
    </xdr:to>
    <xdr:pic>
      <xdr:nvPicPr>
        <xdr:cNvPr id="6" name="Picture 5">
          <a:extLst>
            <a:ext uri="{FF2B5EF4-FFF2-40B4-BE49-F238E27FC236}">
              <a16:creationId xmlns:a16="http://schemas.microsoft.com/office/drawing/2014/main" id="{AADBD9EE-EED4-4E19-A58E-A9BB4D1D6076}"/>
            </a:ext>
          </a:extLst>
        </xdr:cNvPr>
        <xdr:cNvPicPr>
          <a:picLocks noChangeAspect="1"/>
        </xdr:cNvPicPr>
      </xdr:nvPicPr>
      <xdr:blipFill>
        <a:blip xmlns:r="http://schemas.openxmlformats.org/officeDocument/2006/relationships" r:embed="rId5"/>
        <a:stretch>
          <a:fillRect/>
        </a:stretch>
      </xdr:blipFill>
      <xdr:spPr>
        <a:xfrm>
          <a:off x="2981012" y="3733800"/>
          <a:ext cx="4486901" cy="3448531"/>
        </a:xfrm>
        <a:prstGeom prst="rect">
          <a:avLst/>
        </a:prstGeom>
      </xdr:spPr>
    </xdr:pic>
    <xdr:clientData/>
  </xdr:twoCellAnchor>
  <xdr:twoCellAnchor editAs="oneCell">
    <xdr:from>
      <xdr:col>5</xdr:col>
      <xdr:colOff>399711</xdr:colOff>
      <xdr:row>131</xdr:row>
      <xdr:rowOff>0</xdr:rowOff>
    </xdr:from>
    <xdr:to>
      <xdr:col>16</xdr:col>
      <xdr:colOff>181315</xdr:colOff>
      <xdr:row>136</xdr:row>
      <xdr:rowOff>114449</xdr:rowOff>
    </xdr:to>
    <xdr:pic>
      <xdr:nvPicPr>
        <xdr:cNvPr id="8" name="Picture 7">
          <a:extLst>
            <a:ext uri="{FF2B5EF4-FFF2-40B4-BE49-F238E27FC236}">
              <a16:creationId xmlns:a16="http://schemas.microsoft.com/office/drawing/2014/main" id="{BEDBBF8F-499E-4067-B20C-C8A92666000B}"/>
            </a:ext>
          </a:extLst>
        </xdr:cNvPr>
        <xdr:cNvPicPr>
          <a:picLocks noChangeAspect="1"/>
        </xdr:cNvPicPr>
      </xdr:nvPicPr>
      <xdr:blipFill>
        <a:blip xmlns:r="http://schemas.openxmlformats.org/officeDocument/2006/relationships" r:embed="rId6"/>
        <a:stretch>
          <a:fillRect/>
        </a:stretch>
      </xdr:blipFill>
      <xdr:spPr>
        <a:xfrm>
          <a:off x="2790486" y="28270200"/>
          <a:ext cx="4867954" cy="1066949"/>
        </a:xfrm>
        <a:prstGeom prst="rect">
          <a:avLst/>
        </a:prstGeom>
      </xdr:spPr>
    </xdr:pic>
    <xdr:clientData/>
  </xdr:twoCellAnchor>
  <xdr:twoCellAnchor editAs="oneCell">
    <xdr:from>
      <xdr:col>2</xdr:col>
      <xdr:colOff>90488</xdr:colOff>
      <xdr:row>143</xdr:row>
      <xdr:rowOff>133350</xdr:rowOff>
    </xdr:from>
    <xdr:to>
      <xdr:col>20</xdr:col>
      <xdr:colOff>366713</xdr:colOff>
      <xdr:row>149</xdr:row>
      <xdr:rowOff>143036</xdr:rowOff>
    </xdr:to>
    <xdr:pic>
      <xdr:nvPicPr>
        <xdr:cNvPr id="9" name="Picture 8">
          <a:extLst>
            <a:ext uri="{FF2B5EF4-FFF2-40B4-BE49-F238E27FC236}">
              <a16:creationId xmlns:a16="http://schemas.microsoft.com/office/drawing/2014/main" id="{97F90EDA-C643-420A-BBE7-44AD6A50C19E}"/>
            </a:ext>
          </a:extLst>
        </xdr:cNvPr>
        <xdr:cNvPicPr>
          <a:picLocks noChangeAspect="1"/>
        </xdr:cNvPicPr>
      </xdr:nvPicPr>
      <xdr:blipFill>
        <a:blip xmlns:r="http://schemas.openxmlformats.org/officeDocument/2006/relationships" r:embed="rId7"/>
        <a:stretch>
          <a:fillRect/>
        </a:stretch>
      </xdr:blipFill>
      <xdr:spPr>
        <a:xfrm>
          <a:off x="814388" y="31537275"/>
          <a:ext cx="8820150" cy="1152686"/>
        </a:xfrm>
        <a:prstGeom prst="rect">
          <a:avLst/>
        </a:prstGeom>
      </xdr:spPr>
    </xdr:pic>
    <xdr:clientData/>
  </xdr:twoCellAnchor>
  <xdr:twoCellAnchor>
    <xdr:from>
      <xdr:col>5</xdr:col>
      <xdr:colOff>299864</xdr:colOff>
      <xdr:row>92</xdr:row>
      <xdr:rowOff>19050</xdr:rowOff>
    </xdr:from>
    <xdr:to>
      <xdr:col>16</xdr:col>
      <xdr:colOff>281162</xdr:colOff>
      <xdr:row>105</xdr:row>
      <xdr:rowOff>343</xdr:rowOff>
    </xdr:to>
    <xdr:grpSp>
      <xdr:nvGrpSpPr>
        <xdr:cNvPr id="10" name="Group 9">
          <a:extLst>
            <a:ext uri="{FF2B5EF4-FFF2-40B4-BE49-F238E27FC236}">
              <a16:creationId xmlns:a16="http://schemas.microsoft.com/office/drawing/2014/main" id="{40885D74-5EAC-4042-9E31-9EC543981169}"/>
            </a:ext>
          </a:extLst>
        </xdr:cNvPr>
        <xdr:cNvGrpSpPr/>
      </xdr:nvGrpSpPr>
      <xdr:grpSpPr>
        <a:xfrm>
          <a:off x="2690639" y="19888200"/>
          <a:ext cx="5067648" cy="2457793"/>
          <a:chOff x="2466975" y="26260425"/>
          <a:chExt cx="5067648" cy="2457793"/>
        </a:xfrm>
      </xdr:grpSpPr>
      <xdr:pic>
        <xdr:nvPicPr>
          <xdr:cNvPr id="11" name="Picture 10">
            <a:extLst>
              <a:ext uri="{FF2B5EF4-FFF2-40B4-BE49-F238E27FC236}">
                <a16:creationId xmlns:a16="http://schemas.microsoft.com/office/drawing/2014/main" id="{8834495F-D554-2200-3262-AD0AD8ADADC0}"/>
              </a:ext>
            </a:extLst>
          </xdr:cNvPr>
          <xdr:cNvPicPr>
            <a:picLocks noChangeAspect="1"/>
          </xdr:cNvPicPr>
        </xdr:nvPicPr>
        <xdr:blipFill>
          <a:blip xmlns:r="http://schemas.openxmlformats.org/officeDocument/2006/relationships" r:embed="rId8"/>
          <a:stretch>
            <a:fillRect/>
          </a:stretch>
        </xdr:blipFill>
        <xdr:spPr>
          <a:xfrm>
            <a:off x="2466975" y="26260425"/>
            <a:ext cx="2267266" cy="1028844"/>
          </a:xfrm>
          <a:prstGeom prst="rect">
            <a:avLst/>
          </a:prstGeom>
        </xdr:spPr>
      </xdr:pic>
      <xdr:pic>
        <xdr:nvPicPr>
          <xdr:cNvPr id="12" name="Picture 11">
            <a:extLst>
              <a:ext uri="{FF2B5EF4-FFF2-40B4-BE49-F238E27FC236}">
                <a16:creationId xmlns:a16="http://schemas.microsoft.com/office/drawing/2014/main" id="{C5CF3AED-AD6F-B0B2-D627-BEA9664ECD0F}"/>
              </a:ext>
            </a:extLst>
          </xdr:cNvPr>
          <xdr:cNvPicPr>
            <a:picLocks noChangeAspect="1"/>
          </xdr:cNvPicPr>
        </xdr:nvPicPr>
        <xdr:blipFill>
          <a:blip xmlns:r="http://schemas.openxmlformats.org/officeDocument/2006/relationships" r:embed="rId9"/>
          <a:stretch>
            <a:fillRect/>
          </a:stretch>
        </xdr:blipFill>
        <xdr:spPr>
          <a:xfrm>
            <a:off x="5038725" y="26260425"/>
            <a:ext cx="2495898" cy="2457793"/>
          </a:xfrm>
          <a:prstGeom prst="rect">
            <a:avLst/>
          </a:prstGeom>
        </xdr:spPr>
      </xdr:pic>
    </xdr:grpSp>
    <xdr:clientData/>
  </xdr:twoCellAnchor>
  <xdr:twoCellAnchor editAs="oneCell">
    <xdr:from>
      <xdr:col>10</xdr:col>
      <xdr:colOff>247602</xdr:colOff>
      <xdr:row>118</xdr:row>
      <xdr:rowOff>114300</xdr:rowOff>
    </xdr:from>
    <xdr:to>
      <xdr:col>12</xdr:col>
      <xdr:colOff>47674</xdr:colOff>
      <xdr:row>123</xdr:row>
      <xdr:rowOff>143012</xdr:rowOff>
    </xdr:to>
    <xdr:pic>
      <xdr:nvPicPr>
        <xdr:cNvPr id="13" name="Picture 12">
          <a:extLst>
            <a:ext uri="{FF2B5EF4-FFF2-40B4-BE49-F238E27FC236}">
              <a16:creationId xmlns:a16="http://schemas.microsoft.com/office/drawing/2014/main" id="{725DE4E8-9B30-4998-94C5-5448C634F1FB}"/>
            </a:ext>
          </a:extLst>
        </xdr:cNvPr>
        <xdr:cNvPicPr>
          <a:picLocks noChangeAspect="1"/>
        </xdr:cNvPicPr>
      </xdr:nvPicPr>
      <xdr:blipFill>
        <a:blip xmlns:r="http://schemas.openxmlformats.org/officeDocument/2006/relationships" r:embed="rId10"/>
        <a:stretch>
          <a:fillRect/>
        </a:stretch>
      </xdr:blipFill>
      <xdr:spPr>
        <a:xfrm>
          <a:off x="4876752" y="25460325"/>
          <a:ext cx="695422" cy="981212"/>
        </a:xfrm>
        <a:prstGeom prst="rect">
          <a:avLst/>
        </a:prstGeom>
      </xdr:spPr>
    </xdr:pic>
    <xdr:clientData/>
  </xdr:twoCellAnchor>
  <xdr:twoCellAnchor>
    <xdr:from>
      <xdr:col>5</xdr:col>
      <xdr:colOff>361949</xdr:colOff>
      <xdr:row>92</xdr:row>
      <xdr:rowOff>85725</xdr:rowOff>
    </xdr:from>
    <xdr:to>
      <xdr:col>10</xdr:col>
      <xdr:colOff>266699</xdr:colOff>
      <xdr:row>97</xdr:row>
      <xdr:rowOff>9525</xdr:rowOff>
    </xdr:to>
    <xdr:sp macro="" textlink="">
      <xdr:nvSpPr>
        <xdr:cNvPr id="14" name="Rectangle 13">
          <a:extLst>
            <a:ext uri="{FF2B5EF4-FFF2-40B4-BE49-F238E27FC236}">
              <a16:creationId xmlns:a16="http://schemas.microsoft.com/office/drawing/2014/main" id="{C5F3F033-C0F7-428C-A7E2-30AEB0C27062}"/>
            </a:ext>
          </a:extLst>
        </xdr:cNvPr>
        <xdr:cNvSpPr/>
      </xdr:nvSpPr>
      <xdr:spPr>
        <a:xfrm>
          <a:off x="2752724" y="19954875"/>
          <a:ext cx="2143125" cy="876300"/>
        </a:xfrm>
        <a:prstGeom prst="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9525</xdr:colOff>
      <xdr:row>7</xdr:row>
      <xdr:rowOff>152400</xdr:rowOff>
    </xdr:from>
    <xdr:to>
      <xdr:col>21</xdr:col>
      <xdr:colOff>96517</xdr:colOff>
      <xdr:row>13</xdr:row>
      <xdr:rowOff>19194</xdr:rowOff>
    </xdr:to>
    <xdr:pic>
      <xdr:nvPicPr>
        <xdr:cNvPr id="15" name="Picture 14">
          <a:extLst>
            <a:ext uri="{FF2B5EF4-FFF2-40B4-BE49-F238E27FC236}">
              <a16:creationId xmlns:a16="http://schemas.microsoft.com/office/drawing/2014/main" id="{B066A30B-6840-BC40-E361-A72789B16818}"/>
            </a:ext>
          </a:extLst>
        </xdr:cNvPr>
        <xdr:cNvPicPr>
          <a:picLocks noChangeAspect="1"/>
        </xdr:cNvPicPr>
      </xdr:nvPicPr>
      <xdr:blipFill>
        <a:blip xmlns:r="http://schemas.openxmlformats.org/officeDocument/2006/relationships" r:embed="rId11"/>
        <a:stretch>
          <a:fillRect/>
        </a:stretch>
      </xdr:blipFill>
      <xdr:spPr>
        <a:xfrm>
          <a:off x="733425" y="1790700"/>
          <a:ext cx="9078592" cy="1028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76200</xdr:colOff>
      <xdr:row>4</xdr:row>
      <xdr:rowOff>90487</xdr:rowOff>
    </xdr:from>
    <xdr:to>
      <xdr:col>3</xdr:col>
      <xdr:colOff>419099</xdr:colOff>
      <xdr:row>5</xdr:row>
      <xdr:rowOff>61913</xdr:rowOff>
    </xdr:to>
    <xdr:sp macro="" textlink="">
      <xdr:nvSpPr>
        <xdr:cNvPr id="2" name="Rectangle 1">
          <a:extLst>
            <a:ext uri="{FF2B5EF4-FFF2-40B4-BE49-F238E27FC236}">
              <a16:creationId xmlns:a16="http://schemas.microsoft.com/office/drawing/2014/main" id="{05EE9393-45EB-D65B-FE87-26E4C7731A39}"/>
            </a:ext>
          </a:extLst>
        </xdr:cNvPr>
        <xdr:cNvSpPr/>
      </xdr:nvSpPr>
      <xdr:spPr>
        <a:xfrm>
          <a:off x="619125" y="1042987"/>
          <a:ext cx="342899" cy="161926"/>
        </a:xfrm>
        <a:prstGeom prst="rect">
          <a:avLst/>
        </a:prstGeom>
        <a:solidFill>
          <a:srgbClr val="FF0000"/>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SY24-25%20Files\Class%20Record\04%20For%20Presentation\06-10-25\Class%20Record.xlsx" TargetMode="External"/><Relationship Id="rId1" Type="http://schemas.openxmlformats.org/officeDocument/2006/relationships/externalLinkPath" Target="file:///D:\SY24-25%20Files\Class%20Record\04%20For%20Presentation\06-10-25\Class%20Reco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udent Grade Information (2)"/>
      <sheetName val="Class Record Information"/>
      <sheetName val="Attendance"/>
      <sheetName val="Data Input"/>
      <sheetName val="Grading Period"/>
      <sheetName val="Helper"/>
      <sheetName val="Student Helper"/>
      <sheetName val="Grade Summary"/>
      <sheetName val="Student Grade Information"/>
      <sheetName val="Transmutation"/>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822F-923C-4BD4-8F82-27C452306719}">
  <dimension ref="A1:W153"/>
  <sheetViews>
    <sheetView showGridLines="0" zoomScaleNormal="100" workbookViewId="0"/>
  </sheetViews>
  <sheetFormatPr defaultColWidth="9.140625" defaultRowHeight="15" zeroHeight="1" x14ac:dyDescent="0.2"/>
  <cols>
    <col min="1" max="1" width="1.7109375" style="417" customWidth="1"/>
    <col min="2" max="4" width="9.140625" style="417" customWidth="1"/>
    <col min="5" max="14" width="6.7109375" style="417" customWidth="1"/>
    <col min="15" max="15" width="9.140625" style="417" customWidth="1"/>
    <col min="16" max="21" width="6.7109375" style="417" customWidth="1"/>
    <col min="22" max="22" width="9.140625" style="417" customWidth="1"/>
    <col min="23" max="23" width="1.7109375" style="417" customWidth="1"/>
    <col min="24" max="16384" width="9.140625" style="417"/>
  </cols>
  <sheetData>
    <row r="1" spans="1:23" ht="9.9499999999999993" customHeight="1" x14ac:dyDescent="0.2">
      <c r="A1" s="416"/>
      <c r="B1" s="416"/>
      <c r="C1" s="416"/>
      <c r="D1" s="416"/>
      <c r="E1" s="416"/>
      <c r="F1" s="416"/>
      <c r="G1" s="416"/>
      <c r="H1" s="416"/>
      <c r="I1" s="416"/>
      <c r="J1" s="416"/>
      <c r="K1" s="416"/>
      <c r="L1" s="416"/>
      <c r="M1" s="416"/>
      <c r="N1" s="416"/>
      <c r="O1" s="416"/>
      <c r="P1" s="416"/>
      <c r="Q1" s="416"/>
      <c r="R1" s="416"/>
      <c r="S1" s="416"/>
      <c r="T1" s="416"/>
      <c r="U1" s="416"/>
      <c r="V1" s="416"/>
      <c r="W1" s="416"/>
    </row>
    <row r="2" spans="1:23" x14ac:dyDescent="0.2">
      <c r="A2" s="416"/>
      <c r="W2" s="416"/>
    </row>
    <row r="3" spans="1:23" ht="39.950000000000003" customHeight="1" thickBot="1" x14ac:dyDescent="0.25">
      <c r="A3" s="416"/>
      <c r="C3" s="494" t="s">
        <v>0</v>
      </c>
      <c r="D3" s="494"/>
      <c r="E3" s="494"/>
      <c r="F3" s="494"/>
      <c r="G3" s="494"/>
      <c r="H3" s="494"/>
      <c r="I3" s="494"/>
      <c r="J3" s="494"/>
      <c r="K3" s="494"/>
      <c r="L3" s="494"/>
      <c r="M3" s="494"/>
      <c r="N3" s="494"/>
      <c r="O3" s="494"/>
      <c r="P3" s="494"/>
      <c r="Q3" s="494"/>
      <c r="R3" s="494"/>
      <c r="S3" s="494"/>
      <c r="T3" s="494"/>
      <c r="U3" s="494"/>
      <c r="V3" s="418"/>
      <c r="W3" s="416"/>
    </row>
    <row r="4" spans="1:23" ht="15.75" thickTop="1" x14ac:dyDescent="0.2">
      <c r="A4" s="416"/>
      <c r="W4" s="416"/>
    </row>
    <row r="5" spans="1:23" ht="18.75" x14ac:dyDescent="0.2">
      <c r="A5" s="416"/>
      <c r="C5" s="479" t="s">
        <v>1</v>
      </c>
      <c r="D5" s="479"/>
      <c r="W5" s="416"/>
    </row>
    <row r="6" spans="1:23" x14ac:dyDescent="0.2">
      <c r="A6" s="416"/>
      <c r="C6" s="419"/>
      <c r="D6" s="419"/>
      <c r="W6" s="416"/>
    </row>
    <row r="7" spans="1:23" x14ac:dyDescent="0.2">
      <c r="A7" s="416"/>
      <c r="C7" s="473" t="s">
        <v>2</v>
      </c>
      <c r="D7" s="473"/>
      <c r="E7" s="473"/>
      <c r="F7" s="473"/>
      <c r="G7" s="473"/>
      <c r="H7" s="473"/>
      <c r="I7" s="473"/>
      <c r="J7" s="473"/>
      <c r="K7" s="473"/>
      <c r="L7" s="473"/>
      <c r="M7" s="473"/>
      <c r="N7" s="473"/>
      <c r="O7" s="473"/>
      <c r="P7" s="473"/>
      <c r="Q7" s="473"/>
      <c r="R7" s="473"/>
      <c r="S7" s="473"/>
      <c r="T7" s="473"/>
      <c r="U7" s="473"/>
      <c r="V7" s="473"/>
      <c r="W7" s="416"/>
    </row>
    <row r="8" spans="1:23" x14ac:dyDescent="0.2">
      <c r="A8" s="416"/>
      <c r="W8" s="416"/>
    </row>
    <row r="9" spans="1:23" ht="15" customHeight="1" x14ac:dyDescent="0.2">
      <c r="A9" s="416"/>
      <c r="C9" s="420"/>
      <c r="D9" s="420"/>
      <c r="E9" s="420"/>
      <c r="F9" s="420"/>
      <c r="G9" s="420"/>
      <c r="H9" s="420"/>
      <c r="I9" s="420"/>
      <c r="J9" s="420"/>
      <c r="K9" s="420"/>
      <c r="L9" s="420"/>
      <c r="M9" s="420"/>
      <c r="N9" s="420"/>
      <c r="O9" s="420"/>
      <c r="P9" s="420"/>
      <c r="Q9" s="420"/>
      <c r="R9" s="420"/>
      <c r="S9" s="420"/>
      <c r="T9" s="420"/>
      <c r="U9" s="420"/>
      <c r="W9" s="416"/>
    </row>
    <row r="10" spans="1:23" ht="15" customHeight="1" x14ac:dyDescent="0.2">
      <c r="A10" s="416"/>
      <c r="C10" s="420"/>
      <c r="D10" s="420"/>
      <c r="E10" s="420"/>
      <c r="F10" s="420"/>
      <c r="G10" s="420"/>
      <c r="H10" s="420"/>
      <c r="I10" s="420"/>
      <c r="J10" s="420"/>
      <c r="K10" s="420"/>
      <c r="L10" s="420"/>
      <c r="M10" s="420"/>
      <c r="N10" s="420"/>
      <c r="O10" s="420"/>
      <c r="P10" s="420"/>
      <c r="Q10" s="420"/>
      <c r="R10" s="420"/>
      <c r="S10" s="420"/>
      <c r="T10" s="420"/>
      <c r="U10" s="420"/>
      <c r="W10" s="416"/>
    </row>
    <row r="11" spans="1:23" ht="15" customHeight="1" x14ac:dyDescent="0.2">
      <c r="A11" s="416"/>
      <c r="C11" s="420"/>
      <c r="D11" s="420"/>
      <c r="E11" s="420"/>
      <c r="F11" s="420"/>
      <c r="G11" s="420"/>
      <c r="H11" s="420"/>
      <c r="I11" s="420"/>
      <c r="J11" s="420"/>
      <c r="K11" s="420"/>
      <c r="L11" s="420"/>
      <c r="M11" s="420"/>
      <c r="N11" s="420"/>
      <c r="O11" s="420"/>
      <c r="P11" s="420"/>
      <c r="Q11" s="420"/>
      <c r="R11" s="420"/>
      <c r="S11" s="420"/>
      <c r="T11" s="420"/>
      <c r="U11" s="420"/>
      <c r="W11" s="416"/>
    </row>
    <row r="12" spans="1:23" ht="15.75" customHeight="1" x14ac:dyDescent="0.2">
      <c r="A12" s="416"/>
      <c r="C12" s="420"/>
      <c r="D12" s="420"/>
      <c r="E12" s="420"/>
      <c r="F12" s="420"/>
      <c r="G12" s="420"/>
      <c r="H12" s="420"/>
      <c r="I12" s="420"/>
      <c r="J12" s="420"/>
      <c r="K12" s="420"/>
      <c r="L12" s="420"/>
      <c r="M12" s="420"/>
      <c r="N12" s="420"/>
      <c r="O12" s="420"/>
      <c r="P12" s="420"/>
      <c r="Q12" s="420"/>
      <c r="R12" s="420"/>
      <c r="S12" s="420"/>
      <c r="T12" s="420"/>
      <c r="U12" s="420"/>
      <c r="W12" s="416"/>
    </row>
    <row r="13" spans="1:23" ht="15.75" customHeight="1" x14ac:dyDescent="0.2">
      <c r="A13" s="416"/>
      <c r="C13" s="420"/>
      <c r="D13" s="420"/>
      <c r="E13" s="420"/>
      <c r="F13" s="420"/>
      <c r="G13" s="420"/>
      <c r="H13" s="420"/>
      <c r="I13" s="420"/>
      <c r="J13" s="420"/>
      <c r="K13" s="420"/>
      <c r="L13" s="420"/>
      <c r="M13" s="420"/>
      <c r="N13" s="420"/>
      <c r="O13" s="420"/>
      <c r="P13" s="420"/>
      <c r="Q13" s="420"/>
      <c r="R13" s="420"/>
      <c r="S13" s="420"/>
      <c r="T13" s="420"/>
      <c r="U13" s="420"/>
      <c r="W13" s="416"/>
    </row>
    <row r="14" spans="1:23" x14ac:dyDescent="0.2">
      <c r="A14" s="416"/>
      <c r="W14" s="416"/>
    </row>
    <row r="15" spans="1:23" ht="51" customHeight="1" x14ac:dyDescent="0.2">
      <c r="A15" s="416"/>
      <c r="C15" s="495" t="s">
        <v>3</v>
      </c>
      <c r="D15" s="495"/>
      <c r="E15" s="495"/>
      <c r="F15" s="495"/>
      <c r="G15" s="495"/>
      <c r="H15" s="495"/>
      <c r="I15" s="495"/>
      <c r="J15" s="495"/>
      <c r="K15" s="495"/>
      <c r="L15" s="495"/>
      <c r="M15" s="495"/>
      <c r="N15" s="495"/>
      <c r="O15" s="495"/>
      <c r="P15" s="495"/>
      <c r="Q15" s="495"/>
      <c r="R15" s="495"/>
      <c r="S15" s="495"/>
      <c r="T15" s="495"/>
      <c r="U15" s="495"/>
      <c r="V15" s="421"/>
      <c r="W15" s="416"/>
    </row>
    <row r="16" spans="1:23" x14ac:dyDescent="0.2">
      <c r="A16" s="416"/>
      <c r="W16" s="416"/>
    </row>
    <row r="17" spans="1:23" x14ac:dyDescent="0.2">
      <c r="A17" s="416"/>
      <c r="C17" s="422"/>
      <c r="D17" s="422"/>
      <c r="E17" s="422"/>
      <c r="F17" s="422"/>
      <c r="G17" s="422"/>
      <c r="H17" s="422"/>
      <c r="I17" s="422"/>
      <c r="W17" s="416"/>
    </row>
    <row r="18" spans="1:23" x14ac:dyDescent="0.2">
      <c r="A18" s="416"/>
      <c r="C18" s="422"/>
      <c r="D18" s="422"/>
      <c r="E18" s="422"/>
      <c r="F18" s="422"/>
      <c r="G18" s="422"/>
      <c r="H18" s="422"/>
      <c r="I18" s="422"/>
      <c r="W18" s="416"/>
    </row>
    <row r="19" spans="1:23" x14ac:dyDescent="0.2">
      <c r="A19" s="416"/>
      <c r="C19" s="422"/>
      <c r="D19" s="422"/>
      <c r="E19" s="422"/>
      <c r="F19" s="422"/>
      <c r="G19" s="422"/>
      <c r="H19" s="422"/>
      <c r="I19" s="422"/>
      <c r="W19" s="416"/>
    </row>
    <row r="20" spans="1:23" x14ac:dyDescent="0.2">
      <c r="A20" s="416"/>
      <c r="C20" s="422"/>
      <c r="D20" s="422"/>
      <c r="E20" s="422"/>
      <c r="F20" s="422"/>
      <c r="G20" s="422"/>
      <c r="H20" s="422"/>
      <c r="I20" s="422"/>
      <c r="W20" s="416"/>
    </row>
    <row r="21" spans="1:23" x14ac:dyDescent="0.2">
      <c r="A21" s="416"/>
      <c r="C21" s="422"/>
      <c r="D21" s="422"/>
      <c r="E21" s="422"/>
      <c r="F21" s="422"/>
      <c r="G21" s="422"/>
      <c r="H21" s="422"/>
      <c r="I21" s="422"/>
      <c r="W21" s="416"/>
    </row>
    <row r="22" spans="1:23" x14ac:dyDescent="0.2">
      <c r="A22" s="416"/>
      <c r="C22" s="422"/>
      <c r="D22" s="422"/>
      <c r="E22" s="422"/>
      <c r="F22" s="422"/>
      <c r="G22" s="422"/>
      <c r="H22" s="422"/>
      <c r="I22" s="422"/>
      <c r="W22" s="416"/>
    </row>
    <row r="23" spans="1:23" x14ac:dyDescent="0.2">
      <c r="A23" s="416"/>
      <c r="C23" s="422"/>
      <c r="D23" s="422"/>
      <c r="E23" s="422"/>
      <c r="F23" s="422"/>
      <c r="G23" s="422"/>
      <c r="H23" s="422"/>
      <c r="I23" s="422"/>
      <c r="W23" s="416"/>
    </row>
    <row r="24" spans="1:23" x14ac:dyDescent="0.2">
      <c r="A24" s="416"/>
      <c r="C24" s="422"/>
      <c r="D24" s="422"/>
      <c r="E24" s="422"/>
      <c r="F24" s="422"/>
      <c r="G24" s="422"/>
      <c r="H24" s="422"/>
      <c r="I24" s="422"/>
      <c r="W24" s="416"/>
    </row>
    <row r="25" spans="1:23" x14ac:dyDescent="0.2">
      <c r="A25" s="416"/>
      <c r="C25" s="422"/>
      <c r="D25" s="422"/>
      <c r="E25" s="422"/>
      <c r="F25" s="422"/>
      <c r="G25" s="422"/>
      <c r="H25" s="422"/>
      <c r="I25" s="422"/>
      <c r="W25" s="416"/>
    </row>
    <row r="26" spans="1:23" x14ac:dyDescent="0.2">
      <c r="A26" s="416"/>
      <c r="C26" s="422"/>
      <c r="D26" s="422"/>
      <c r="E26" s="422"/>
      <c r="F26" s="422"/>
      <c r="G26" s="422"/>
      <c r="H26" s="422"/>
      <c r="I26" s="422"/>
      <c r="W26" s="416"/>
    </row>
    <row r="27" spans="1:23" x14ac:dyDescent="0.2">
      <c r="A27" s="416"/>
      <c r="C27" s="422"/>
      <c r="D27" s="422"/>
      <c r="E27" s="422"/>
      <c r="F27" s="422"/>
      <c r="G27" s="422"/>
      <c r="H27" s="422"/>
      <c r="I27" s="422"/>
      <c r="W27" s="416"/>
    </row>
    <row r="28" spans="1:23" x14ac:dyDescent="0.2">
      <c r="A28" s="416"/>
      <c r="C28" s="422"/>
      <c r="D28" s="422"/>
      <c r="E28" s="422"/>
      <c r="F28" s="422"/>
      <c r="G28" s="422"/>
      <c r="H28" s="422"/>
      <c r="I28" s="422"/>
      <c r="W28" s="416"/>
    </row>
    <row r="29" spans="1:23" x14ac:dyDescent="0.2">
      <c r="A29" s="416"/>
      <c r="C29" s="422"/>
      <c r="D29" s="422"/>
      <c r="E29" s="422"/>
      <c r="F29" s="422"/>
      <c r="G29" s="422"/>
      <c r="H29" s="422"/>
      <c r="I29" s="422"/>
      <c r="W29" s="416"/>
    </row>
    <row r="30" spans="1:23" x14ac:dyDescent="0.2">
      <c r="A30" s="416"/>
      <c r="C30" s="422"/>
      <c r="D30" s="422"/>
      <c r="E30" s="422"/>
      <c r="F30" s="422"/>
      <c r="G30" s="422"/>
      <c r="H30" s="422"/>
      <c r="I30" s="422"/>
      <c r="W30" s="416"/>
    </row>
    <row r="31" spans="1:23" x14ac:dyDescent="0.2">
      <c r="A31" s="416"/>
      <c r="C31" s="422"/>
      <c r="D31" s="422"/>
      <c r="E31" s="422"/>
      <c r="F31" s="422"/>
      <c r="G31" s="422"/>
      <c r="H31" s="422"/>
      <c r="I31" s="422"/>
      <c r="W31" s="416"/>
    </row>
    <row r="32" spans="1:23" x14ac:dyDescent="0.2">
      <c r="A32" s="416"/>
      <c r="C32" s="422"/>
      <c r="D32" s="422"/>
      <c r="E32" s="422"/>
      <c r="F32" s="422"/>
      <c r="G32" s="422"/>
      <c r="H32" s="422"/>
      <c r="I32" s="422"/>
      <c r="W32" s="416"/>
    </row>
    <row r="33" spans="1:23" x14ac:dyDescent="0.2">
      <c r="A33" s="416"/>
      <c r="W33" s="416"/>
    </row>
    <row r="34" spans="1:23" x14ac:dyDescent="0.2">
      <c r="A34" s="416"/>
      <c r="W34" s="416"/>
    </row>
    <row r="35" spans="1:23" ht="18.75" x14ac:dyDescent="0.2">
      <c r="A35" s="416"/>
      <c r="C35" s="479" t="s">
        <v>4</v>
      </c>
      <c r="D35" s="479"/>
      <c r="E35" s="479"/>
      <c r="F35" s="479"/>
      <c r="G35" s="479"/>
      <c r="H35" s="479"/>
      <c r="I35" s="479"/>
      <c r="J35" s="479"/>
      <c r="K35" s="479"/>
      <c r="L35" s="479"/>
      <c r="M35" s="479"/>
      <c r="N35" s="479"/>
      <c r="O35" s="479"/>
      <c r="P35" s="479"/>
      <c r="Q35" s="479"/>
      <c r="R35" s="479"/>
      <c r="S35" s="479"/>
      <c r="T35" s="479"/>
      <c r="U35" s="479"/>
      <c r="W35" s="416"/>
    </row>
    <row r="36" spans="1:23" x14ac:dyDescent="0.2">
      <c r="A36" s="416"/>
      <c r="C36" s="419"/>
      <c r="D36" s="419"/>
      <c r="E36" s="419"/>
      <c r="F36" s="419"/>
      <c r="G36" s="419"/>
      <c r="H36" s="419"/>
      <c r="I36" s="419"/>
      <c r="J36" s="419"/>
      <c r="K36" s="419"/>
      <c r="L36" s="419"/>
      <c r="M36" s="419"/>
      <c r="N36" s="419"/>
      <c r="O36" s="419"/>
      <c r="P36" s="419"/>
      <c r="Q36" s="419"/>
      <c r="R36" s="419"/>
      <c r="S36" s="419"/>
      <c r="T36" s="419"/>
      <c r="U36" s="419"/>
      <c r="W36" s="416"/>
    </row>
    <row r="37" spans="1:23" ht="38.25" customHeight="1" x14ac:dyDescent="0.2">
      <c r="A37" s="416"/>
      <c r="C37" s="495" t="s">
        <v>5</v>
      </c>
      <c r="D37" s="495"/>
      <c r="E37" s="495"/>
      <c r="F37" s="495"/>
      <c r="G37" s="495"/>
      <c r="H37" s="495"/>
      <c r="I37" s="495"/>
      <c r="J37" s="495"/>
      <c r="K37" s="495"/>
      <c r="L37" s="495"/>
      <c r="M37" s="495"/>
      <c r="N37" s="495"/>
      <c r="O37" s="495"/>
      <c r="P37" s="495"/>
      <c r="Q37" s="495"/>
      <c r="R37" s="495"/>
      <c r="S37" s="495"/>
      <c r="T37" s="495"/>
      <c r="U37" s="495"/>
      <c r="V37" s="421"/>
      <c r="W37" s="416"/>
    </row>
    <row r="38" spans="1:23" x14ac:dyDescent="0.2">
      <c r="A38" s="416"/>
      <c r="W38" s="416"/>
    </row>
    <row r="39" spans="1:23" x14ac:dyDescent="0.2">
      <c r="A39" s="416"/>
      <c r="W39" s="416"/>
    </row>
    <row r="40" spans="1:23" x14ac:dyDescent="0.2">
      <c r="A40" s="416"/>
      <c r="W40" s="416"/>
    </row>
    <row r="41" spans="1:23" x14ac:dyDescent="0.2">
      <c r="A41" s="416"/>
      <c r="W41" s="416"/>
    </row>
    <row r="42" spans="1:23" x14ac:dyDescent="0.2">
      <c r="A42" s="416"/>
      <c r="W42" s="416"/>
    </row>
    <row r="43" spans="1:23" x14ac:dyDescent="0.2">
      <c r="A43" s="416"/>
      <c r="W43" s="416"/>
    </row>
    <row r="44" spans="1:23" x14ac:dyDescent="0.2">
      <c r="A44" s="416"/>
      <c r="W44" s="416"/>
    </row>
    <row r="45" spans="1:23" x14ac:dyDescent="0.2">
      <c r="A45" s="416"/>
      <c r="W45" s="416"/>
    </row>
    <row r="46" spans="1:23" x14ac:dyDescent="0.2">
      <c r="A46" s="416"/>
      <c r="W46" s="416"/>
    </row>
    <row r="47" spans="1:23" x14ac:dyDescent="0.2">
      <c r="A47" s="416"/>
      <c r="W47" s="416"/>
    </row>
    <row r="48" spans="1:23" ht="40.5" customHeight="1" x14ac:dyDescent="0.2">
      <c r="A48" s="416"/>
      <c r="C48" s="495" t="s">
        <v>6</v>
      </c>
      <c r="D48" s="495"/>
      <c r="E48" s="495"/>
      <c r="F48" s="495"/>
      <c r="G48" s="495"/>
      <c r="H48" s="495"/>
      <c r="I48" s="495"/>
      <c r="J48" s="495"/>
      <c r="K48" s="495"/>
      <c r="L48" s="495"/>
      <c r="M48" s="495"/>
      <c r="N48" s="495"/>
      <c r="O48" s="495"/>
      <c r="P48" s="495"/>
      <c r="Q48" s="495"/>
      <c r="R48" s="495"/>
      <c r="S48" s="495"/>
      <c r="T48" s="495"/>
      <c r="U48" s="495"/>
      <c r="W48" s="416"/>
    </row>
    <row r="49" spans="1:23" x14ac:dyDescent="0.2">
      <c r="A49" s="416"/>
      <c r="W49" s="416"/>
    </row>
    <row r="50" spans="1:23" x14ac:dyDescent="0.2">
      <c r="A50" s="416"/>
      <c r="W50" s="416"/>
    </row>
    <row r="51" spans="1:23" x14ac:dyDescent="0.2">
      <c r="A51" s="416"/>
      <c r="W51" s="416"/>
    </row>
    <row r="52" spans="1:23" x14ac:dyDescent="0.2">
      <c r="A52" s="416"/>
      <c r="W52" s="416"/>
    </row>
    <row r="53" spans="1:23" x14ac:dyDescent="0.2">
      <c r="A53" s="416"/>
      <c r="W53" s="416"/>
    </row>
    <row r="54" spans="1:23" x14ac:dyDescent="0.2">
      <c r="A54" s="416"/>
      <c r="W54" s="416"/>
    </row>
    <row r="55" spans="1:23" x14ac:dyDescent="0.2">
      <c r="A55" s="416"/>
      <c r="W55" s="416"/>
    </row>
    <row r="56" spans="1:23" x14ac:dyDescent="0.2">
      <c r="A56" s="416"/>
      <c r="W56" s="416"/>
    </row>
    <row r="57" spans="1:23" x14ac:dyDescent="0.2">
      <c r="A57" s="416"/>
      <c r="W57" s="416"/>
    </row>
    <row r="58" spans="1:23" x14ac:dyDescent="0.2">
      <c r="A58" s="416"/>
      <c r="W58" s="416"/>
    </row>
    <row r="59" spans="1:23" x14ac:dyDescent="0.2">
      <c r="A59" s="416"/>
      <c r="W59" s="416"/>
    </row>
    <row r="60" spans="1:23" ht="46.5" customHeight="1" x14ac:dyDescent="0.2">
      <c r="A60" s="416"/>
      <c r="C60" s="495" t="s">
        <v>7</v>
      </c>
      <c r="D60" s="495"/>
      <c r="E60" s="495"/>
      <c r="F60" s="495"/>
      <c r="G60" s="495"/>
      <c r="H60" s="495"/>
      <c r="I60" s="495"/>
      <c r="J60" s="495"/>
      <c r="K60" s="495"/>
      <c r="L60" s="495"/>
      <c r="M60" s="495"/>
      <c r="N60" s="495"/>
      <c r="O60" s="495"/>
      <c r="P60" s="495"/>
      <c r="Q60" s="495"/>
      <c r="R60" s="495"/>
      <c r="S60" s="495"/>
      <c r="T60" s="495"/>
      <c r="U60" s="495"/>
      <c r="W60" s="416"/>
    </row>
    <row r="61" spans="1:23" x14ac:dyDescent="0.2">
      <c r="A61" s="416"/>
      <c r="W61" s="416"/>
    </row>
    <row r="62" spans="1:23" x14ac:dyDescent="0.2">
      <c r="A62" s="416"/>
      <c r="W62" s="416"/>
    </row>
    <row r="63" spans="1:23" x14ac:dyDescent="0.2">
      <c r="A63" s="416"/>
      <c r="W63" s="416"/>
    </row>
    <row r="64" spans="1:23" x14ac:dyDescent="0.2">
      <c r="A64" s="416"/>
      <c r="W64" s="416"/>
    </row>
    <row r="65" spans="1:23" x14ac:dyDescent="0.2">
      <c r="A65" s="416"/>
      <c r="W65" s="416"/>
    </row>
    <row r="66" spans="1:23" x14ac:dyDescent="0.2">
      <c r="A66" s="416"/>
      <c r="W66" s="416"/>
    </row>
    <row r="67" spans="1:23" x14ac:dyDescent="0.2">
      <c r="A67" s="416"/>
      <c r="W67" s="416"/>
    </row>
    <row r="68" spans="1:23" x14ac:dyDescent="0.2">
      <c r="A68" s="416"/>
      <c r="W68" s="416"/>
    </row>
    <row r="69" spans="1:23" x14ac:dyDescent="0.2">
      <c r="A69" s="416"/>
      <c r="W69" s="416"/>
    </row>
    <row r="70" spans="1:23" x14ac:dyDescent="0.2">
      <c r="A70" s="416"/>
      <c r="W70" s="416"/>
    </row>
    <row r="71" spans="1:23" x14ac:dyDescent="0.2">
      <c r="A71" s="416"/>
      <c r="W71" s="416"/>
    </row>
    <row r="72" spans="1:23" x14ac:dyDescent="0.2">
      <c r="A72" s="416"/>
      <c r="W72" s="416"/>
    </row>
    <row r="73" spans="1:23" ht="18.75" x14ac:dyDescent="0.2">
      <c r="A73" s="416"/>
      <c r="C73" s="479" t="s">
        <v>8</v>
      </c>
      <c r="D73" s="479"/>
      <c r="E73" s="479"/>
      <c r="F73" s="479"/>
      <c r="G73" s="479"/>
      <c r="H73" s="479"/>
      <c r="I73" s="479"/>
      <c r="J73" s="479"/>
      <c r="K73" s="479"/>
      <c r="L73" s="479"/>
      <c r="M73" s="479"/>
      <c r="N73" s="479"/>
      <c r="O73" s="479"/>
      <c r="P73" s="479"/>
      <c r="Q73" s="479"/>
      <c r="R73" s="479"/>
      <c r="S73" s="479"/>
      <c r="T73" s="479"/>
      <c r="U73" s="479"/>
      <c r="W73" s="416"/>
    </row>
    <row r="74" spans="1:23" x14ac:dyDescent="0.2">
      <c r="A74" s="416"/>
      <c r="C74" s="419"/>
      <c r="D74" s="419"/>
      <c r="E74" s="419"/>
      <c r="F74" s="419"/>
      <c r="G74" s="419"/>
      <c r="H74" s="419"/>
      <c r="I74" s="419"/>
      <c r="J74" s="419"/>
      <c r="K74" s="419"/>
      <c r="L74" s="419"/>
      <c r="M74" s="419"/>
      <c r="N74" s="419"/>
      <c r="O74" s="419"/>
      <c r="P74" s="419"/>
      <c r="Q74" s="419"/>
      <c r="R74" s="419"/>
      <c r="S74" s="419"/>
      <c r="T74" s="419"/>
      <c r="U74" s="419"/>
      <c r="W74" s="416"/>
    </row>
    <row r="75" spans="1:23" x14ac:dyDescent="0.2">
      <c r="A75" s="416"/>
      <c r="C75" s="473" t="s">
        <v>9</v>
      </c>
      <c r="D75" s="473"/>
      <c r="E75" s="473"/>
      <c r="F75" s="473"/>
      <c r="G75" s="473"/>
      <c r="H75" s="473"/>
      <c r="I75" s="473"/>
      <c r="J75" s="473"/>
      <c r="K75" s="473"/>
      <c r="L75" s="473"/>
      <c r="M75" s="473"/>
      <c r="N75" s="473"/>
      <c r="O75" s="473"/>
      <c r="P75" s="473"/>
      <c r="Q75" s="473"/>
      <c r="R75" s="473"/>
      <c r="S75" s="473"/>
      <c r="T75" s="473"/>
      <c r="U75" s="473"/>
      <c r="V75" s="423"/>
      <c r="W75" s="416"/>
    </row>
    <row r="76" spans="1:23" x14ac:dyDescent="0.2">
      <c r="A76" s="416"/>
      <c r="C76" s="473" t="s">
        <v>10</v>
      </c>
      <c r="D76" s="473"/>
      <c r="E76" s="473"/>
      <c r="F76" s="473"/>
      <c r="G76" s="473"/>
      <c r="H76" s="473"/>
      <c r="I76" s="473"/>
      <c r="J76" s="473"/>
      <c r="K76" s="473"/>
      <c r="L76" s="473"/>
      <c r="M76" s="473"/>
      <c r="N76" s="473"/>
      <c r="O76" s="473"/>
      <c r="P76" s="473"/>
      <c r="Q76" s="473"/>
      <c r="R76" s="473"/>
      <c r="S76" s="473"/>
      <c r="T76" s="473"/>
      <c r="U76" s="473"/>
      <c r="V76" s="423"/>
      <c r="W76" s="416"/>
    </row>
    <row r="77" spans="1:23" x14ac:dyDescent="0.2">
      <c r="A77" s="416"/>
      <c r="W77" s="416"/>
    </row>
    <row r="78" spans="1:23" x14ac:dyDescent="0.2">
      <c r="A78" s="416"/>
      <c r="W78" s="416"/>
    </row>
    <row r="79" spans="1:23" x14ac:dyDescent="0.2">
      <c r="A79" s="416"/>
      <c r="W79" s="416"/>
    </row>
    <row r="80" spans="1:23" x14ac:dyDescent="0.2">
      <c r="A80" s="416"/>
      <c r="W80" s="416"/>
    </row>
    <row r="81" spans="1:23" x14ac:dyDescent="0.2">
      <c r="A81" s="416"/>
      <c r="W81" s="416"/>
    </row>
    <row r="82" spans="1:23" x14ac:dyDescent="0.2">
      <c r="A82" s="416"/>
      <c r="W82" s="416"/>
    </row>
    <row r="83" spans="1:23" x14ac:dyDescent="0.2">
      <c r="A83" s="416"/>
      <c r="W83" s="416"/>
    </row>
    <row r="84" spans="1:23" x14ac:dyDescent="0.2">
      <c r="A84" s="416"/>
      <c r="W84" s="416"/>
    </row>
    <row r="85" spans="1:23" x14ac:dyDescent="0.2">
      <c r="A85" s="416"/>
      <c r="W85" s="416"/>
    </row>
    <row r="86" spans="1:23" x14ac:dyDescent="0.2">
      <c r="A86" s="416"/>
      <c r="W86" s="416"/>
    </row>
    <row r="87" spans="1:23" x14ac:dyDescent="0.2">
      <c r="A87" s="416"/>
      <c r="W87" s="416"/>
    </row>
    <row r="88" spans="1:23" x14ac:dyDescent="0.2">
      <c r="A88" s="416"/>
      <c r="W88" s="416"/>
    </row>
    <row r="89" spans="1:23" ht="18.75" x14ac:dyDescent="0.2">
      <c r="A89" s="416"/>
      <c r="C89" s="479" t="s">
        <v>11</v>
      </c>
      <c r="D89" s="479"/>
      <c r="E89" s="479"/>
      <c r="F89" s="479"/>
      <c r="G89" s="479"/>
      <c r="H89" s="479"/>
      <c r="I89" s="479"/>
      <c r="J89" s="479"/>
      <c r="K89" s="479"/>
      <c r="L89" s="479"/>
      <c r="M89" s="479"/>
      <c r="N89" s="479"/>
      <c r="O89" s="479"/>
      <c r="P89" s="479"/>
      <c r="Q89" s="479"/>
      <c r="R89" s="479"/>
      <c r="S89" s="479"/>
      <c r="T89" s="479"/>
      <c r="U89" s="479"/>
      <c r="W89" s="416"/>
    </row>
    <row r="90" spans="1:23" x14ac:dyDescent="0.2">
      <c r="A90" s="416"/>
      <c r="W90" s="416"/>
    </row>
    <row r="91" spans="1:23" ht="46.5" customHeight="1" x14ac:dyDescent="0.2">
      <c r="A91" s="416"/>
      <c r="C91" s="480" t="s">
        <v>12</v>
      </c>
      <c r="D91" s="480"/>
      <c r="E91" s="480"/>
      <c r="F91" s="480"/>
      <c r="G91" s="480"/>
      <c r="H91" s="480"/>
      <c r="I91" s="480"/>
      <c r="J91" s="480"/>
      <c r="K91" s="480"/>
      <c r="L91" s="480"/>
      <c r="M91" s="480"/>
      <c r="N91" s="480"/>
      <c r="O91" s="480"/>
      <c r="P91" s="480"/>
      <c r="Q91" s="480"/>
      <c r="R91" s="480"/>
      <c r="S91" s="480"/>
      <c r="T91" s="480"/>
      <c r="U91" s="480"/>
      <c r="W91" s="416"/>
    </row>
    <row r="92" spans="1:23" x14ac:dyDescent="0.2">
      <c r="A92" s="416"/>
      <c r="W92" s="416"/>
    </row>
    <row r="93" spans="1:23" x14ac:dyDescent="0.2">
      <c r="A93" s="416"/>
      <c r="W93" s="416"/>
    </row>
    <row r="94" spans="1:23" x14ac:dyDescent="0.2">
      <c r="A94" s="416"/>
      <c r="W94" s="416"/>
    </row>
    <row r="95" spans="1:23" x14ac:dyDescent="0.2">
      <c r="A95" s="416"/>
      <c r="W95" s="416"/>
    </row>
    <row r="96" spans="1:23" x14ac:dyDescent="0.2">
      <c r="A96" s="416"/>
      <c r="W96" s="416"/>
    </row>
    <row r="97" spans="1:23" x14ac:dyDescent="0.2">
      <c r="A97" s="416"/>
      <c r="W97" s="416"/>
    </row>
    <row r="98" spans="1:23" x14ac:dyDescent="0.2">
      <c r="A98" s="416"/>
      <c r="W98" s="416"/>
    </row>
    <row r="99" spans="1:23" x14ac:dyDescent="0.2">
      <c r="A99" s="416"/>
      <c r="W99" s="416"/>
    </row>
    <row r="100" spans="1:23" x14ac:dyDescent="0.2">
      <c r="A100" s="416"/>
      <c r="W100" s="416"/>
    </row>
    <row r="101" spans="1:23" x14ac:dyDescent="0.2">
      <c r="A101" s="416"/>
      <c r="W101" s="416"/>
    </row>
    <row r="102" spans="1:23" x14ac:dyDescent="0.2">
      <c r="A102" s="416"/>
      <c r="W102" s="416"/>
    </row>
    <row r="103" spans="1:23" x14ac:dyDescent="0.2">
      <c r="A103" s="416"/>
      <c r="W103" s="416"/>
    </row>
    <row r="104" spans="1:23" x14ac:dyDescent="0.2">
      <c r="A104" s="416"/>
      <c r="W104" s="416"/>
    </row>
    <row r="105" spans="1:23" x14ac:dyDescent="0.2">
      <c r="A105" s="416"/>
      <c r="W105" s="416"/>
    </row>
    <row r="106" spans="1:23" x14ac:dyDescent="0.2">
      <c r="A106" s="416"/>
      <c r="W106" s="416"/>
    </row>
    <row r="107" spans="1:23" x14ac:dyDescent="0.2">
      <c r="A107" s="416"/>
      <c r="W107" s="416"/>
    </row>
    <row r="108" spans="1:23" ht="15" customHeight="1" x14ac:dyDescent="0.2">
      <c r="A108" s="416"/>
      <c r="C108" s="480" t="s">
        <v>13</v>
      </c>
      <c r="D108" s="480"/>
      <c r="E108" s="480"/>
      <c r="F108" s="480"/>
      <c r="G108" s="480"/>
      <c r="H108" s="480"/>
      <c r="I108" s="480"/>
      <c r="J108" s="480"/>
      <c r="K108" s="480"/>
      <c r="L108" s="480"/>
      <c r="M108" s="480"/>
      <c r="N108" s="480"/>
      <c r="O108" s="480"/>
      <c r="P108" s="480"/>
      <c r="Q108" s="480"/>
      <c r="R108" s="480"/>
      <c r="S108" s="480"/>
      <c r="T108" s="480"/>
      <c r="U108" s="480"/>
      <c r="W108" s="416"/>
    </row>
    <row r="109" spans="1:23" ht="15.75" thickBot="1" x14ac:dyDescent="0.25">
      <c r="A109" s="416"/>
      <c r="W109" s="416"/>
    </row>
    <row r="110" spans="1:23" ht="17.100000000000001" customHeight="1" x14ac:dyDescent="0.2">
      <c r="A110" s="416"/>
      <c r="J110" s="487" t="s">
        <v>14</v>
      </c>
      <c r="K110" s="488"/>
      <c r="L110" s="489" t="s">
        <v>15</v>
      </c>
      <c r="M110" s="488"/>
      <c r="N110" s="490"/>
      <c r="W110" s="416"/>
    </row>
    <row r="111" spans="1:23" ht="17.100000000000001" customHeight="1" x14ac:dyDescent="0.2">
      <c r="A111" s="416"/>
      <c r="J111" s="491" t="s">
        <v>16</v>
      </c>
      <c r="K111" s="492"/>
      <c r="L111" s="492" t="s">
        <v>17</v>
      </c>
      <c r="M111" s="492"/>
      <c r="N111" s="493"/>
      <c r="W111" s="416"/>
    </row>
    <row r="112" spans="1:23" ht="17.100000000000001" customHeight="1" x14ac:dyDescent="0.2">
      <c r="A112" s="416"/>
      <c r="J112" s="484" t="s">
        <v>18</v>
      </c>
      <c r="K112" s="485"/>
      <c r="L112" s="485" t="s">
        <v>19</v>
      </c>
      <c r="M112" s="485"/>
      <c r="N112" s="486"/>
      <c r="W112" s="416"/>
    </row>
    <row r="113" spans="1:23" ht="17.100000000000001" customHeight="1" x14ac:dyDescent="0.2">
      <c r="A113" s="416"/>
      <c r="J113" s="484" t="s">
        <v>20</v>
      </c>
      <c r="K113" s="485"/>
      <c r="L113" s="485" t="s">
        <v>21</v>
      </c>
      <c r="M113" s="485"/>
      <c r="N113" s="486"/>
      <c r="W113" s="416"/>
    </row>
    <row r="114" spans="1:23" ht="17.100000000000001" customHeight="1" x14ac:dyDescent="0.2">
      <c r="A114" s="416"/>
      <c r="J114" s="484" t="s">
        <v>22</v>
      </c>
      <c r="K114" s="485"/>
      <c r="L114" s="485" t="s">
        <v>23</v>
      </c>
      <c r="M114" s="485"/>
      <c r="N114" s="486"/>
      <c r="W114" s="416"/>
    </row>
    <row r="115" spans="1:23" ht="17.100000000000001" customHeight="1" thickBot="1" x14ac:dyDescent="0.25">
      <c r="A115" s="416"/>
      <c r="J115" s="481" t="s">
        <v>24</v>
      </c>
      <c r="K115" s="482"/>
      <c r="L115" s="482" t="s">
        <v>25</v>
      </c>
      <c r="M115" s="482"/>
      <c r="N115" s="483"/>
      <c r="W115" s="416"/>
    </row>
    <row r="116" spans="1:23" x14ac:dyDescent="0.2">
      <c r="A116" s="416"/>
      <c r="W116" s="416"/>
    </row>
    <row r="117" spans="1:23" x14ac:dyDescent="0.2">
      <c r="A117" s="416"/>
      <c r="W117" s="416"/>
    </row>
    <row r="118" spans="1:23" ht="46.5" customHeight="1" x14ac:dyDescent="0.2">
      <c r="A118" s="416"/>
      <c r="C118" s="480" t="s">
        <v>26</v>
      </c>
      <c r="D118" s="480"/>
      <c r="E118" s="480"/>
      <c r="F118" s="480"/>
      <c r="G118" s="480"/>
      <c r="H118" s="480"/>
      <c r="I118" s="480"/>
      <c r="J118" s="480"/>
      <c r="K118" s="480"/>
      <c r="L118" s="480"/>
      <c r="M118" s="480"/>
      <c r="N118" s="480"/>
      <c r="O118" s="480"/>
      <c r="P118" s="480"/>
      <c r="Q118" s="480"/>
      <c r="R118" s="480"/>
      <c r="S118" s="480"/>
      <c r="T118" s="480"/>
      <c r="U118" s="480"/>
      <c r="W118" s="416"/>
    </row>
    <row r="119" spans="1:23" x14ac:dyDescent="0.2">
      <c r="A119" s="416"/>
      <c r="W119" s="416"/>
    </row>
    <row r="120" spans="1:23" x14ac:dyDescent="0.2">
      <c r="A120" s="416"/>
      <c r="W120" s="416"/>
    </row>
    <row r="121" spans="1:23" x14ac:dyDescent="0.2">
      <c r="A121" s="416"/>
      <c r="W121" s="416"/>
    </row>
    <row r="122" spans="1:23" x14ac:dyDescent="0.2">
      <c r="A122" s="416"/>
      <c r="W122" s="416"/>
    </row>
    <row r="123" spans="1:23" x14ac:dyDescent="0.2">
      <c r="A123" s="416"/>
      <c r="W123" s="416"/>
    </row>
    <row r="124" spans="1:23" x14ac:dyDescent="0.2">
      <c r="A124" s="416"/>
      <c r="W124" s="416"/>
    </row>
    <row r="125" spans="1:23" x14ac:dyDescent="0.2">
      <c r="A125" s="416"/>
      <c r="W125" s="416"/>
    </row>
    <row r="126" spans="1:23" x14ac:dyDescent="0.2">
      <c r="A126" s="416"/>
      <c r="W126" s="416"/>
    </row>
    <row r="127" spans="1:23" ht="18.75" x14ac:dyDescent="0.2">
      <c r="A127" s="416"/>
      <c r="C127" s="479" t="s">
        <v>27</v>
      </c>
      <c r="D127" s="479"/>
      <c r="E127" s="479"/>
      <c r="F127" s="479"/>
      <c r="G127" s="479"/>
      <c r="H127" s="479"/>
      <c r="I127" s="479"/>
      <c r="J127" s="479"/>
      <c r="K127" s="479"/>
      <c r="L127" s="479"/>
      <c r="M127" s="479"/>
      <c r="N127" s="479"/>
      <c r="O127" s="479"/>
      <c r="P127" s="479"/>
      <c r="Q127" s="479"/>
      <c r="R127" s="479"/>
      <c r="S127" s="479"/>
      <c r="T127" s="479"/>
      <c r="U127" s="479"/>
      <c r="W127" s="416"/>
    </row>
    <row r="128" spans="1:23" x14ac:dyDescent="0.2">
      <c r="A128" s="416"/>
      <c r="W128" s="416"/>
    </row>
    <row r="129" spans="1:23" ht="46.5" customHeight="1" x14ac:dyDescent="0.2">
      <c r="A129" s="416"/>
      <c r="C129" s="480" t="s">
        <v>28</v>
      </c>
      <c r="D129" s="480"/>
      <c r="E129" s="480"/>
      <c r="F129" s="480"/>
      <c r="G129" s="480"/>
      <c r="H129" s="480"/>
      <c r="I129" s="480"/>
      <c r="J129" s="480"/>
      <c r="K129" s="480"/>
      <c r="L129" s="480"/>
      <c r="M129" s="480"/>
      <c r="N129" s="480"/>
      <c r="O129" s="480"/>
      <c r="P129" s="480"/>
      <c r="Q129" s="480"/>
      <c r="R129" s="480"/>
      <c r="S129" s="480"/>
      <c r="T129" s="480"/>
      <c r="U129" s="480"/>
      <c r="W129" s="416"/>
    </row>
    <row r="130" spans="1:23" ht="15" customHeight="1" x14ac:dyDescent="0.2">
      <c r="A130" s="416"/>
      <c r="C130" s="480" t="s">
        <v>29</v>
      </c>
      <c r="D130" s="480"/>
      <c r="E130" s="480"/>
      <c r="F130" s="480"/>
      <c r="G130" s="480"/>
      <c r="H130" s="480"/>
      <c r="I130" s="480"/>
      <c r="J130" s="480"/>
      <c r="K130" s="480"/>
      <c r="L130" s="480"/>
      <c r="M130" s="480"/>
      <c r="N130" s="480"/>
      <c r="O130" s="480"/>
      <c r="P130" s="480"/>
      <c r="Q130" s="480"/>
      <c r="R130" s="480"/>
      <c r="S130" s="480"/>
      <c r="T130" s="480"/>
      <c r="U130" s="480"/>
      <c r="W130" s="416"/>
    </row>
    <row r="131" spans="1:23" x14ac:dyDescent="0.2">
      <c r="A131" s="416"/>
      <c r="W131" s="416"/>
    </row>
    <row r="132" spans="1:23" x14ac:dyDescent="0.2">
      <c r="A132" s="416"/>
      <c r="W132" s="416"/>
    </row>
    <row r="133" spans="1:23" x14ac:dyDescent="0.2">
      <c r="A133" s="416"/>
      <c r="W133" s="416"/>
    </row>
    <row r="134" spans="1:23" x14ac:dyDescent="0.2">
      <c r="A134" s="416"/>
      <c r="W134" s="416"/>
    </row>
    <row r="135" spans="1:23" x14ac:dyDescent="0.2">
      <c r="A135" s="416"/>
      <c r="W135" s="416"/>
    </row>
    <row r="136" spans="1:23" x14ac:dyDescent="0.2">
      <c r="A136" s="416"/>
      <c r="W136" s="416"/>
    </row>
    <row r="137" spans="1:23" x14ac:dyDescent="0.2">
      <c r="A137" s="416"/>
      <c r="W137" s="416"/>
    </row>
    <row r="138" spans="1:23" x14ac:dyDescent="0.2">
      <c r="A138" s="416"/>
      <c r="W138" s="416"/>
    </row>
    <row r="139" spans="1:23" x14ac:dyDescent="0.2">
      <c r="A139" s="416"/>
      <c r="W139" s="416"/>
    </row>
    <row r="140" spans="1:23" ht="18.75" x14ac:dyDescent="0.2">
      <c r="A140" s="416"/>
      <c r="C140" s="479" t="s">
        <v>30</v>
      </c>
      <c r="D140" s="479"/>
      <c r="E140" s="479"/>
      <c r="F140" s="479"/>
      <c r="G140" s="479"/>
      <c r="H140" s="479"/>
      <c r="I140" s="479"/>
      <c r="J140" s="479"/>
      <c r="K140" s="479"/>
      <c r="L140" s="479"/>
      <c r="M140" s="479"/>
      <c r="N140" s="479"/>
      <c r="O140" s="479"/>
      <c r="P140" s="479"/>
      <c r="Q140" s="479"/>
      <c r="R140" s="479"/>
      <c r="S140" s="479"/>
      <c r="T140" s="479"/>
      <c r="U140" s="479"/>
      <c r="W140" s="416"/>
    </row>
    <row r="141" spans="1:23" x14ac:dyDescent="0.2">
      <c r="A141" s="416"/>
      <c r="W141" s="416"/>
    </row>
    <row r="142" spans="1:23" ht="46.5" customHeight="1" x14ac:dyDescent="0.2">
      <c r="A142" s="416"/>
      <c r="C142" s="480" t="s">
        <v>31</v>
      </c>
      <c r="D142" s="480"/>
      <c r="E142" s="480"/>
      <c r="F142" s="480"/>
      <c r="G142" s="480"/>
      <c r="H142" s="480"/>
      <c r="I142" s="480"/>
      <c r="J142" s="480"/>
      <c r="K142" s="480"/>
      <c r="L142" s="480"/>
      <c r="M142" s="480"/>
      <c r="N142" s="480"/>
      <c r="O142" s="480"/>
      <c r="P142" s="480"/>
      <c r="Q142" s="480"/>
      <c r="R142" s="480"/>
      <c r="S142" s="480"/>
      <c r="T142" s="480"/>
      <c r="U142" s="480"/>
      <c r="W142" s="416"/>
    </row>
    <row r="143" spans="1:23" ht="46.5" customHeight="1" x14ac:dyDescent="0.2">
      <c r="A143" s="416"/>
      <c r="C143" s="480" t="s">
        <v>32</v>
      </c>
      <c r="D143" s="480"/>
      <c r="E143" s="480"/>
      <c r="F143" s="480"/>
      <c r="G143" s="480"/>
      <c r="H143" s="480"/>
      <c r="I143" s="480"/>
      <c r="J143" s="480"/>
      <c r="K143" s="480"/>
      <c r="L143" s="480"/>
      <c r="M143" s="480"/>
      <c r="N143" s="480"/>
      <c r="O143" s="480"/>
      <c r="P143" s="480"/>
      <c r="Q143" s="480"/>
      <c r="R143" s="480"/>
      <c r="S143" s="480"/>
      <c r="T143" s="480"/>
      <c r="U143" s="480"/>
      <c r="W143" s="416"/>
    </row>
    <row r="144" spans="1:23" x14ac:dyDescent="0.2">
      <c r="A144" s="416"/>
      <c r="W144" s="416"/>
    </row>
    <row r="145" spans="1:23" x14ac:dyDescent="0.2">
      <c r="A145" s="416"/>
      <c r="W145" s="416"/>
    </row>
    <row r="146" spans="1:23" x14ac:dyDescent="0.2">
      <c r="A146" s="416"/>
      <c r="W146" s="416"/>
    </row>
    <row r="147" spans="1:23" x14ac:dyDescent="0.2">
      <c r="A147" s="416"/>
      <c r="W147" s="416"/>
    </row>
    <row r="148" spans="1:23" x14ac:dyDescent="0.2">
      <c r="A148" s="416"/>
      <c r="W148" s="416"/>
    </row>
    <row r="149" spans="1:23" x14ac:dyDescent="0.2">
      <c r="A149" s="416"/>
      <c r="W149" s="416"/>
    </row>
    <row r="150" spans="1:23" x14ac:dyDescent="0.2">
      <c r="A150" s="416"/>
      <c r="W150" s="416"/>
    </row>
    <row r="151" spans="1:23" x14ac:dyDescent="0.2">
      <c r="A151" s="416"/>
      <c r="W151" s="416"/>
    </row>
    <row r="152" spans="1:23" x14ac:dyDescent="0.2">
      <c r="A152" s="416"/>
      <c r="W152" s="416"/>
    </row>
    <row r="153" spans="1:23" ht="9.9499999999999993" customHeight="1" x14ac:dyDescent="0.2">
      <c r="A153" s="416"/>
      <c r="B153" s="416"/>
      <c r="C153" s="416"/>
      <c r="D153" s="416"/>
      <c r="E153" s="416"/>
      <c r="F153" s="416"/>
      <c r="G153" s="416"/>
      <c r="H153" s="416"/>
      <c r="I153" s="416"/>
      <c r="J153" s="416"/>
      <c r="K153" s="416"/>
      <c r="L153" s="416"/>
      <c r="M153" s="416"/>
      <c r="N153" s="416"/>
      <c r="O153" s="416"/>
      <c r="P153" s="416"/>
      <c r="Q153" s="416"/>
      <c r="R153" s="416"/>
      <c r="S153" s="416"/>
      <c r="T153" s="416"/>
      <c r="U153" s="416"/>
      <c r="V153" s="416"/>
      <c r="W153" s="416"/>
    </row>
  </sheetData>
  <sheetProtection algorithmName="SHA-512" hashValue="vnb+lbsj4dc83y5tJIuT+ly9JM+vUElTYgGCek2IdVEVVTYh0Qp4CO7JMuFwzfOwF3TDA089/sj70VfrGTdtaQ==" saltValue="FRmboWwBIXBQlHlj7yWhVQ==" spinCount="100000" sheet="1" objects="1" scenarios="1"/>
  <mergeCells count="33">
    <mergeCell ref="C89:U89"/>
    <mergeCell ref="C3:U3"/>
    <mergeCell ref="C5:D5"/>
    <mergeCell ref="C7:V7"/>
    <mergeCell ref="C15:U15"/>
    <mergeCell ref="C35:U35"/>
    <mergeCell ref="C37:U37"/>
    <mergeCell ref="C48:U48"/>
    <mergeCell ref="C60:U60"/>
    <mergeCell ref="C73:U73"/>
    <mergeCell ref="C75:U75"/>
    <mergeCell ref="C76:U76"/>
    <mergeCell ref="C91:U91"/>
    <mergeCell ref="C108:U108"/>
    <mergeCell ref="J110:K110"/>
    <mergeCell ref="L110:N110"/>
    <mergeCell ref="J111:K111"/>
    <mergeCell ref="L111:N111"/>
    <mergeCell ref="J112:K112"/>
    <mergeCell ref="L112:N112"/>
    <mergeCell ref="J113:K113"/>
    <mergeCell ref="L113:N113"/>
    <mergeCell ref="J114:K114"/>
    <mergeCell ref="L114:N114"/>
    <mergeCell ref="C140:U140"/>
    <mergeCell ref="C142:U142"/>
    <mergeCell ref="C143:U143"/>
    <mergeCell ref="J115:K115"/>
    <mergeCell ref="L115:N115"/>
    <mergeCell ref="C118:U118"/>
    <mergeCell ref="C127:U127"/>
    <mergeCell ref="C129:U129"/>
    <mergeCell ref="C130:U1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Q57"/>
  <sheetViews>
    <sheetView showGridLines="0" topLeftCell="A7" zoomScaleNormal="100" workbookViewId="0">
      <selection activeCell="M39" sqref="M39"/>
    </sheetView>
  </sheetViews>
  <sheetFormatPr defaultColWidth="9.140625" defaultRowHeight="12.75" x14ac:dyDescent="0.2"/>
  <cols>
    <col min="1" max="1" width="1.7109375" style="36" customWidth="1"/>
    <col min="2" max="2" width="2.7109375" style="37" customWidth="1"/>
    <col min="3" max="3" width="10.7109375" style="36" customWidth="1"/>
    <col min="4" max="4" width="11.5703125" style="36" customWidth="1"/>
    <col min="5" max="5" width="7.42578125" style="38" customWidth="1"/>
    <col min="6" max="6" width="2.7109375" style="38" customWidth="1"/>
    <col min="7" max="9" width="10.7109375" style="37" customWidth="1"/>
    <col min="10" max="10" width="2.7109375" style="37" customWidth="1"/>
    <col min="11" max="13" width="10.7109375" style="37" customWidth="1"/>
    <col min="14" max="14" width="2.7109375" style="37" customWidth="1"/>
    <col min="15" max="17" width="10.7109375" style="37" customWidth="1"/>
    <col min="18" max="18" width="2.7109375" style="37" customWidth="1"/>
    <col min="19" max="21" width="10.7109375" style="37" customWidth="1"/>
    <col min="22" max="22" width="2.7109375" style="37" customWidth="1"/>
    <col min="23" max="23" width="1.7109375" style="36" customWidth="1"/>
    <col min="24" max="16384" width="9.140625" style="36"/>
  </cols>
  <sheetData>
    <row r="1" spans="1:43" ht="9.9499999999999993" customHeight="1" x14ac:dyDescent="0.2">
      <c r="A1" s="33"/>
      <c r="B1" s="34"/>
      <c r="C1" s="33"/>
      <c r="D1" s="33"/>
      <c r="E1" s="35"/>
      <c r="F1" s="35"/>
      <c r="G1" s="34"/>
      <c r="H1" s="34"/>
      <c r="I1" s="34"/>
      <c r="J1" s="34"/>
      <c r="K1" s="34"/>
      <c r="L1" s="34"/>
      <c r="M1" s="34"/>
      <c r="N1" s="34"/>
      <c r="O1" s="34"/>
      <c r="P1" s="34"/>
      <c r="Q1" s="34"/>
      <c r="R1" s="34"/>
      <c r="S1" s="34"/>
      <c r="T1" s="34"/>
      <c r="U1" s="34"/>
      <c r="V1" s="34"/>
      <c r="W1" s="33"/>
    </row>
    <row r="2" spans="1:43" ht="15" customHeight="1" x14ac:dyDescent="0.2">
      <c r="A2" s="33"/>
      <c r="W2" s="33"/>
    </row>
    <row r="3" spans="1:43" ht="15.95" customHeight="1" x14ac:dyDescent="0.2">
      <c r="A3" s="33"/>
      <c r="B3" s="39"/>
      <c r="C3" s="546" t="s">
        <v>33</v>
      </c>
      <c r="D3" s="40" t="s">
        <v>34</v>
      </c>
      <c r="E3" s="543" t="s">
        <v>156</v>
      </c>
      <c r="F3" s="544"/>
      <c r="G3" s="544"/>
      <c r="H3" s="544"/>
      <c r="I3" s="544"/>
      <c r="J3" s="544"/>
      <c r="K3" s="544"/>
      <c r="L3" s="544"/>
      <c r="M3" s="545"/>
      <c r="N3" s="36"/>
      <c r="O3" s="41" t="s">
        <v>35</v>
      </c>
      <c r="P3" s="549">
        <v>31463</v>
      </c>
      <c r="Q3" s="550"/>
      <c r="R3" s="550"/>
      <c r="S3" s="550"/>
      <c r="T3" s="550"/>
      <c r="U3" s="551"/>
      <c r="V3" s="39"/>
      <c r="W3" s="42"/>
      <c r="X3" s="39"/>
      <c r="Y3" s="39"/>
      <c r="Z3" s="39"/>
      <c r="AA3" s="39"/>
      <c r="AB3" s="39"/>
      <c r="AC3" s="39"/>
      <c r="AD3" s="39"/>
      <c r="AE3" s="39"/>
      <c r="AF3" s="39"/>
      <c r="AG3" s="39"/>
      <c r="AH3" s="39"/>
      <c r="AI3" s="39"/>
      <c r="AJ3" s="39"/>
      <c r="AK3" s="39"/>
      <c r="AL3" s="39"/>
      <c r="AM3" s="39"/>
      <c r="AN3" s="39"/>
      <c r="AO3" s="39"/>
      <c r="AP3" s="39"/>
      <c r="AQ3" s="39"/>
    </row>
    <row r="4" spans="1:43" ht="15.95" customHeight="1" x14ac:dyDescent="0.2">
      <c r="A4" s="33"/>
      <c r="B4" s="43"/>
      <c r="C4" s="547"/>
      <c r="D4" s="40" t="s">
        <v>36</v>
      </c>
      <c r="E4" s="500" t="s">
        <v>157</v>
      </c>
      <c r="F4" s="501"/>
      <c r="G4" s="501"/>
      <c r="H4" s="501"/>
      <c r="I4" s="501"/>
      <c r="J4" s="501"/>
      <c r="K4" s="501"/>
      <c r="L4" s="501"/>
      <c r="M4" s="502"/>
      <c r="N4" s="36"/>
      <c r="O4" s="41" t="s">
        <v>37</v>
      </c>
      <c r="P4" s="512" t="s">
        <v>193</v>
      </c>
      <c r="Q4" s="513"/>
      <c r="R4" s="513"/>
      <c r="S4" s="513"/>
      <c r="T4" s="513"/>
      <c r="U4" s="514"/>
      <c r="V4" s="43"/>
      <c r="W4" s="44"/>
      <c r="AE4" s="43"/>
      <c r="AF4" s="43"/>
      <c r="AG4" s="43"/>
      <c r="AH4" s="43"/>
      <c r="AI4" s="43"/>
      <c r="AJ4" s="43"/>
      <c r="AK4" s="43"/>
      <c r="AL4" s="43"/>
      <c r="AM4" s="43"/>
      <c r="AN4" s="43"/>
      <c r="AO4" s="43"/>
      <c r="AP4" s="43"/>
      <c r="AQ4" s="43"/>
    </row>
    <row r="5" spans="1:43" ht="15.95" customHeight="1" x14ac:dyDescent="0.2">
      <c r="A5" s="33"/>
      <c r="B5" s="43"/>
      <c r="C5" s="547"/>
      <c r="D5" s="40" t="s">
        <v>38</v>
      </c>
      <c r="E5" s="500" t="s">
        <v>158</v>
      </c>
      <c r="F5" s="501"/>
      <c r="G5" s="501"/>
      <c r="H5" s="501"/>
      <c r="I5" s="501"/>
      <c r="J5" s="501"/>
      <c r="K5" s="501"/>
      <c r="L5" s="501"/>
      <c r="M5" s="502"/>
      <c r="N5" s="36"/>
      <c r="O5" s="41" t="s">
        <v>39</v>
      </c>
      <c r="P5" s="512" t="s">
        <v>161</v>
      </c>
      <c r="Q5" s="513"/>
      <c r="R5" s="513"/>
      <c r="S5" s="513"/>
      <c r="T5" s="513"/>
      <c r="U5" s="514"/>
      <c r="V5" s="43"/>
      <c r="W5" s="44"/>
      <c r="AE5" s="43"/>
      <c r="AF5" s="43"/>
      <c r="AG5" s="43"/>
      <c r="AH5" s="43"/>
      <c r="AI5" s="43"/>
      <c r="AJ5" s="43"/>
      <c r="AK5" s="43"/>
      <c r="AL5" s="43"/>
      <c r="AM5" s="43"/>
      <c r="AN5" s="43"/>
      <c r="AO5" s="43"/>
      <c r="AP5" s="43"/>
      <c r="AQ5" s="43"/>
    </row>
    <row r="6" spans="1:43" s="47" customFormat="1" ht="15.95" customHeight="1" x14ac:dyDescent="0.2">
      <c r="A6" s="45"/>
      <c r="B6" s="46"/>
      <c r="C6" s="547"/>
      <c r="D6" s="40" t="s">
        <v>40</v>
      </c>
      <c r="E6" s="500" t="s">
        <v>159</v>
      </c>
      <c r="F6" s="501"/>
      <c r="G6" s="501"/>
      <c r="H6" s="501"/>
      <c r="I6" s="501"/>
      <c r="J6" s="501"/>
      <c r="K6" s="501"/>
      <c r="L6" s="501"/>
      <c r="M6" s="502"/>
      <c r="O6" s="41" t="s">
        <v>41</v>
      </c>
      <c r="P6" s="512" t="s">
        <v>194</v>
      </c>
      <c r="Q6" s="513"/>
      <c r="R6" s="513"/>
      <c r="S6" s="513"/>
      <c r="T6" s="513"/>
      <c r="U6" s="514"/>
      <c r="V6" s="46"/>
      <c r="W6" s="45"/>
    </row>
    <row r="7" spans="1:43" s="47" customFormat="1" ht="15.95" customHeight="1" x14ac:dyDescent="0.2">
      <c r="A7" s="45"/>
      <c r="B7" s="46"/>
      <c r="C7" s="547"/>
      <c r="D7" s="40" t="s">
        <v>42</v>
      </c>
      <c r="E7" s="500" t="s">
        <v>160</v>
      </c>
      <c r="F7" s="501"/>
      <c r="G7" s="501"/>
      <c r="H7" s="501"/>
      <c r="I7" s="501"/>
      <c r="J7" s="501"/>
      <c r="K7" s="501"/>
      <c r="L7" s="501"/>
      <c r="M7" s="502"/>
      <c r="O7" s="41" t="s">
        <v>43</v>
      </c>
      <c r="P7" s="512" t="s">
        <v>195</v>
      </c>
      <c r="Q7" s="513"/>
      <c r="R7" s="513"/>
      <c r="S7" s="513"/>
      <c r="T7" s="513"/>
      <c r="U7" s="514"/>
      <c r="V7" s="46"/>
      <c r="W7" s="45"/>
    </row>
    <row r="8" spans="1:43" s="47" customFormat="1" ht="15.95" customHeight="1" x14ac:dyDescent="0.2">
      <c r="A8" s="45"/>
      <c r="B8" s="46"/>
      <c r="C8" s="548"/>
      <c r="D8" s="40" t="s">
        <v>44</v>
      </c>
      <c r="E8" s="497" t="s">
        <v>192</v>
      </c>
      <c r="F8" s="498"/>
      <c r="G8" s="498"/>
      <c r="H8" s="498"/>
      <c r="I8" s="498"/>
      <c r="J8" s="498"/>
      <c r="K8" s="498"/>
      <c r="L8" s="498"/>
      <c r="M8" s="499"/>
      <c r="O8" s="41" t="s">
        <v>45</v>
      </c>
      <c r="P8" s="509" t="s">
        <v>196</v>
      </c>
      <c r="Q8" s="510"/>
      <c r="R8" s="510"/>
      <c r="S8" s="510"/>
      <c r="T8" s="510"/>
      <c r="U8" s="511"/>
      <c r="V8" s="46"/>
      <c r="W8" s="45"/>
    </row>
    <row r="9" spans="1:43" s="47" customFormat="1" ht="15.95" customHeight="1" thickBot="1" x14ac:dyDescent="0.25">
      <c r="A9" s="45"/>
      <c r="B9" s="46"/>
      <c r="C9" s="48"/>
      <c r="D9" s="49"/>
      <c r="E9" s="50"/>
      <c r="F9" s="50"/>
      <c r="G9" s="50"/>
      <c r="H9" s="50"/>
      <c r="I9" s="50"/>
      <c r="J9" s="50"/>
      <c r="K9" s="50"/>
      <c r="L9" s="50"/>
      <c r="M9" s="50"/>
      <c r="N9" s="48"/>
      <c r="O9" s="49"/>
      <c r="P9" s="50"/>
      <c r="Q9" s="50"/>
      <c r="R9" s="50"/>
      <c r="S9" s="50"/>
      <c r="T9" s="50"/>
      <c r="U9" s="48"/>
      <c r="V9" s="46"/>
      <c r="W9" s="45"/>
    </row>
    <row r="10" spans="1:43" s="47" customFormat="1" ht="17.25" thickTop="1" thickBot="1" x14ac:dyDescent="0.25">
      <c r="A10" s="45"/>
      <c r="B10" s="46"/>
      <c r="C10" s="51"/>
      <c r="D10" s="51"/>
      <c r="E10" s="52"/>
      <c r="F10" s="52"/>
      <c r="G10" s="46"/>
      <c r="H10" s="46"/>
      <c r="I10" s="46"/>
      <c r="J10" s="46"/>
      <c r="K10" s="46"/>
      <c r="L10" s="46"/>
      <c r="N10" s="46"/>
      <c r="O10" s="46"/>
      <c r="R10" s="46"/>
      <c r="S10" s="46"/>
      <c r="V10" s="46"/>
      <c r="W10" s="45"/>
    </row>
    <row r="11" spans="1:43" s="54" customFormat="1" ht="22.5" customHeight="1" thickBot="1" x14ac:dyDescent="0.25">
      <c r="A11" s="53"/>
      <c r="B11" s="37"/>
      <c r="C11" s="536"/>
      <c r="D11" s="536"/>
      <c r="E11" s="536"/>
      <c r="F11" s="52"/>
      <c r="G11" s="533" t="s">
        <v>46</v>
      </c>
      <c r="H11" s="534"/>
      <c r="I11" s="535"/>
      <c r="J11" s="46"/>
      <c r="K11" s="505" t="s">
        <v>47</v>
      </c>
      <c r="L11" s="506"/>
      <c r="M11" s="507"/>
      <c r="N11" s="46"/>
      <c r="O11" s="505" t="s">
        <v>48</v>
      </c>
      <c r="P11" s="506"/>
      <c r="Q11" s="507"/>
      <c r="R11" s="46"/>
      <c r="S11" s="505" t="s">
        <v>49</v>
      </c>
      <c r="T11" s="506"/>
      <c r="U11" s="507"/>
      <c r="V11" s="37"/>
      <c r="W11" s="53"/>
    </row>
    <row r="12" spans="1:43" s="62" customFormat="1" ht="25.5" customHeight="1" thickBot="1" x14ac:dyDescent="0.25">
      <c r="A12" s="55"/>
      <c r="B12" s="37"/>
      <c r="C12" s="496"/>
      <c r="D12" s="496"/>
      <c r="E12" s="496"/>
      <c r="F12" s="52"/>
      <c r="G12" s="56" t="s">
        <v>50</v>
      </c>
      <c r="H12" s="57" t="s">
        <v>51</v>
      </c>
      <c r="I12" s="58" t="s">
        <v>52</v>
      </c>
      <c r="J12" s="46"/>
      <c r="K12" s="59" t="s">
        <v>50</v>
      </c>
      <c r="L12" s="60" t="s">
        <v>51</v>
      </c>
      <c r="M12" s="61" t="s">
        <v>52</v>
      </c>
      <c r="N12" s="46"/>
      <c r="O12" s="59" t="s">
        <v>50</v>
      </c>
      <c r="P12" s="60" t="s">
        <v>51</v>
      </c>
      <c r="Q12" s="61" t="s">
        <v>52</v>
      </c>
      <c r="R12" s="46"/>
      <c r="S12" s="59" t="s">
        <v>50</v>
      </c>
      <c r="T12" s="60" t="s">
        <v>51</v>
      </c>
      <c r="U12" s="61" t="s">
        <v>52</v>
      </c>
      <c r="V12" s="37"/>
      <c r="W12" s="55"/>
    </row>
    <row r="13" spans="1:43" ht="15" hidden="1" customHeight="1" x14ac:dyDescent="0.2">
      <c r="A13" s="33"/>
      <c r="C13" s="554"/>
      <c r="D13" s="555"/>
      <c r="E13" s="556"/>
      <c r="F13" s="52"/>
      <c r="G13" s="63"/>
      <c r="H13" s="64"/>
      <c r="I13" s="65"/>
      <c r="J13" s="46"/>
      <c r="K13" s="63"/>
      <c r="L13" s="64"/>
      <c r="M13" s="65"/>
      <c r="N13" s="46"/>
      <c r="O13" s="63"/>
      <c r="P13" s="64"/>
      <c r="Q13" s="65"/>
      <c r="R13" s="46"/>
      <c r="S13" s="63"/>
      <c r="T13" s="64"/>
      <c r="U13" s="65"/>
      <c r="W13" s="33"/>
    </row>
    <row r="14" spans="1:43" ht="15" hidden="1" customHeight="1" x14ac:dyDescent="0.2">
      <c r="A14" s="33"/>
      <c r="C14" s="554" t="s">
        <v>53</v>
      </c>
      <c r="D14" s="555"/>
      <c r="E14" s="556"/>
      <c r="F14" s="52"/>
      <c r="G14" s="66">
        <f>G15+G20+G25</f>
        <v>0</v>
      </c>
      <c r="H14" s="67"/>
      <c r="I14" s="68"/>
      <c r="J14" s="46"/>
      <c r="K14" s="66">
        <f>K15+K20+K25</f>
        <v>0</v>
      </c>
      <c r="L14" s="67"/>
      <c r="M14" s="68"/>
      <c r="N14" s="46"/>
      <c r="O14" s="66">
        <f>SUM(O15,O20,O25)</f>
        <v>0</v>
      </c>
      <c r="P14" s="67"/>
      <c r="Q14" s="68"/>
      <c r="R14" s="46"/>
      <c r="S14" s="66">
        <f>S15+S20+S25</f>
        <v>0</v>
      </c>
      <c r="T14" s="67"/>
      <c r="U14" s="68"/>
      <c r="W14" s="33"/>
    </row>
    <row r="15" spans="1:43" ht="15" hidden="1" customHeight="1" x14ac:dyDescent="0.2">
      <c r="A15" s="33"/>
      <c r="C15" s="503" t="s">
        <v>54</v>
      </c>
      <c r="D15" s="504"/>
      <c r="E15" s="69" t="s">
        <v>55</v>
      </c>
      <c r="F15" s="52"/>
      <c r="G15" s="508">
        <v>0</v>
      </c>
      <c r="H15" s="70"/>
      <c r="I15" s="71"/>
      <c r="J15" s="46"/>
      <c r="K15" s="508">
        <v>0</v>
      </c>
      <c r="L15" s="70"/>
      <c r="M15" s="71"/>
      <c r="N15" s="46"/>
      <c r="O15" s="508">
        <v>0</v>
      </c>
      <c r="P15" s="70"/>
      <c r="Q15" s="71"/>
      <c r="R15" s="46"/>
      <c r="S15" s="508">
        <v>0</v>
      </c>
      <c r="T15" s="70"/>
      <c r="U15" s="71"/>
      <c r="W15" s="33"/>
    </row>
    <row r="16" spans="1:43" ht="15" hidden="1" customHeight="1" x14ac:dyDescent="0.2">
      <c r="A16" s="33"/>
      <c r="C16" s="503" t="s">
        <v>56</v>
      </c>
      <c r="D16" s="504"/>
      <c r="E16" s="69" t="s">
        <v>57</v>
      </c>
      <c r="F16" s="52"/>
      <c r="G16" s="508"/>
      <c r="H16" s="70"/>
      <c r="I16" s="71"/>
      <c r="J16" s="46"/>
      <c r="K16" s="508"/>
      <c r="L16" s="70"/>
      <c r="M16" s="71"/>
      <c r="N16" s="46"/>
      <c r="O16" s="508"/>
      <c r="P16" s="70"/>
      <c r="Q16" s="71"/>
      <c r="R16" s="46"/>
      <c r="S16" s="508"/>
      <c r="T16" s="70"/>
      <c r="U16" s="71"/>
      <c r="W16" s="33"/>
    </row>
    <row r="17" spans="1:23" ht="15" hidden="1" customHeight="1" x14ac:dyDescent="0.2">
      <c r="A17" s="33"/>
      <c r="C17" s="503" t="s">
        <v>58</v>
      </c>
      <c r="D17" s="504"/>
      <c r="E17" s="69" t="s">
        <v>59</v>
      </c>
      <c r="F17" s="52"/>
      <c r="G17" s="508"/>
      <c r="H17" s="70"/>
      <c r="I17" s="71"/>
      <c r="K17" s="508"/>
      <c r="L17" s="70"/>
      <c r="M17" s="71"/>
      <c r="O17" s="508"/>
      <c r="P17" s="70"/>
      <c r="Q17" s="71"/>
      <c r="S17" s="508"/>
      <c r="T17" s="70"/>
      <c r="U17" s="71"/>
      <c r="W17" s="33"/>
    </row>
    <row r="18" spans="1:23" ht="15" hidden="1" customHeight="1" x14ac:dyDescent="0.2">
      <c r="A18" s="33"/>
      <c r="C18" s="503" t="s">
        <v>60</v>
      </c>
      <c r="D18" s="504"/>
      <c r="E18" s="69" t="s">
        <v>61</v>
      </c>
      <c r="F18" s="52"/>
      <c r="G18" s="508"/>
      <c r="H18" s="70"/>
      <c r="I18" s="71"/>
      <c r="K18" s="508"/>
      <c r="L18" s="70"/>
      <c r="M18" s="71"/>
      <c r="O18" s="508"/>
      <c r="P18" s="70"/>
      <c r="Q18" s="71"/>
      <c r="S18" s="508"/>
      <c r="T18" s="70"/>
      <c r="U18" s="71"/>
      <c r="W18" s="33"/>
    </row>
    <row r="19" spans="1:23" ht="15" hidden="1" customHeight="1" x14ac:dyDescent="0.2">
      <c r="A19" s="33"/>
      <c r="C19" s="503" t="s">
        <v>62</v>
      </c>
      <c r="D19" s="504"/>
      <c r="E19" s="69" t="s">
        <v>63</v>
      </c>
      <c r="F19" s="52"/>
      <c r="G19" s="508"/>
      <c r="H19" s="70"/>
      <c r="I19" s="71"/>
      <c r="K19" s="508"/>
      <c r="L19" s="70"/>
      <c r="M19" s="71"/>
      <c r="O19" s="508"/>
      <c r="P19" s="70"/>
      <c r="Q19" s="71"/>
      <c r="S19" s="508"/>
      <c r="T19" s="70"/>
      <c r="U19" s="71"/>
      <c r="W19" s="33"/>
    </row>
    <row r="20" spans="1:23" ht="15" hidden="1" customHeight="1" x14ac:dyDescent="0.2">
      <c r="A20" s="33"/>
      <c r="C20" s="503" t="s">
        <v>64</v>
      </c>
      <c r="D20" s="504"/>
      <c r="E20" s="69" t="s">
        <v>65</v>
      </c>
      <c r="F20" s="52"/>
      <c r="G20" s="508"/>
      <c r="H20" s="72"/>
      <c r="I20" s="73"/>
      <c r="K20" s="508"/>
      <c r="L20" s="72"/>
      <c r="M20" s="73"/>
      <c r="O20" s="508"/>
      <c r="P20" s="72"/>
      <c r="Q20" s="73"/>
      <c r="S20" s="508"/>
      <c r="T20" s="72"/>
      <c r="U20" s="73"/>
      <c r="W20" s="33"/>
    </row>
    <row r="21" spans="1:23" ht="15" hidden="1" customHeight="1" x14ac:dyDescent="0.2">
      <c r="A21" s="33"/>
      <c r="C21" s="503" t="s">
        <v>66</v>
      </c>
      <c r="D21" s="504"/>
      <c r="E21" s="69" t="s">
        <v>67</v>
      </c>
      <c r="F21" s="52"/>
      <c r="G21" s="508"/>
      <c r="H21" s="72"/>
      <c r="I21" s="73"/>
      <c r="K21" s="508"/>
      <c r="L21" s="72"/>
      <c r="M21" s="73"/>
      <c r="O21" s="508"/>
      <c r="P21" s="72"/>
      <c r="Q21" s="73"/>
      <c r="S21" s="508"/>
      <c r="T21" s="72"/>
      <c r="U21" s="73"/>
      <c r="W21" s="33"/>
    </row>
    <row r="22" spans="1:23" ht="15" hidden="1" customHeight="1" x14ac:dyDescent="0.2">
      <c r="A22" s="33"/>
      <c r="C22" s="503" t="s">
        <v>68</v>
      </c>
      <c r="D22" s="504"/>
      <c r="E22" s="69" t="s">
        <v>69</v>
      </c>
      <c r="F22" s="52"/>
      <c r="G22" s="508"/>
      <c r="H22" s="72"/>
      <c r="I22" s="73"/>
      <c r="K22" s="508"/>
      <c r="L22" s="72"/>
      <c r="M22" s="73"/>
      <c r="O22" s="508"/>
      <c r="P22" s="72"/>
      <c r="Q22" s="73"/>
      <c r="S22" s="508"/>
      <c r="T22" s="72"/>
      <c r="U22" s="73"/>
      <c r="W22" s="33"/>
    </row>
    <row r="23" spans="1:23" ht="15" hidden="1" customHeight="1" x14ac:dyDescent="0.2">
      <c r="A23" s="33"/>
      <c r="C23" s="503" t="s">
        <v>70</v>
      </c>
      <c r="D23" s="504"/>
      <c r="E23" s="69" t="s">
        <v>71</v>
      </c>
      <c r="F23" s="52"/>
      <c r="G23" s="508"/>
      <c r="H23" s="72"/>
      <c r="I23" s="73"/>
      <c r="K23" s="508"/>
      <c r="L23" s="72"/>
      <c r="M23" s="73"/>
      <c r="O23" s="508"/>
      <c r="P23" s="72"/>
      <c r="Q23" s="73"/>
      <c r="S23" s="508"/>
      <c r="T23" s="72"/>
      <c r="U23" s="73"/>
      <c r="W23" s="33"/>
    </row>
    <row r="24" spans="1:23" ht="15" hidden="1" customHeight="1" x14ac:dyDescent="0.2">
      <c r="A24" s="33"/>
      <c r="C24" s="503" t="s">
        <v>72</v>
      </c>
      <c r="D24" s="504"/>
      <c r="E24" s="69" t="s">
        <v>73</v>
      </c>
      <c r="F24" s="52"/>
      <c r="G24" s="508"/>
      <c r="H24" s="72"/>
      <c r="I24" s="73"/>
      <c r="K24" s="508"/>
      <c r="L24" s="72"/>
      <c r="M24" s="73"/>
      <c r="O24" s="508"/>
      <c r="P24" s="72"/>
      <c r="Q24" s="73"/>
      <c r="S24" s="508"/>
      <c r="T24" s="72"/>
      <c r="U24" s="73"/>
      <c r="W24" s="33"/>
    </row>
    <row r="25" spans="1:23" ht="15" hidden="1" customHeight="1" x14ac:dyDescent="0.2">
      <c r="A25" s="33"/>
      <c r="C25" s="503" t="s">
        <v>74</v>
      </c>
      <c r="D25" s="504"/>
      <c r="E25" s="69" t="s">
        <v>75</v>
      </c>
      <c r="F25" s="52"/>
      <c r="G25" s="531">
        <v>0</v>
      </c>
      <c r="H25" s="74"/>
      <c r="I25" s="75"/>
      <c r="K25" s="531">
        <v>0</v>
      </c>
      <c r="L25" s="74"/>
      <c r="M25" s="75"/>
      <c r="O25" s="531">
        <v>0</v>
      </c>
      <c r="P25" s="74"/>
      <c r="Q25" s="75"/>
      <c r="S25" s="531">
        <v>0</v>
      </c>
      <c r="T25" s="74"/>
      <c r="U25" s="75"/>
      <c r="W25" s="33"/>
    </row>
    <row r="26" spans="1:23" ht="15" hidden="1" customHeight="1" x14ac:dyDescent="0.2">
      <c r="A26" s="33"/>
      <c r="C26" s="503" t="s">
        <v>76</v>
      </c>
      <c r="D26" s="504"/>
      <c r="E26" s="69" t="s">
        <v>77</v>
      </c>
      <c r="F26" s="52"/>
      <c r="G26" s="531"/>
      <c r="H26" s="74"/>
      <c r="I26" s="75"/>
      <c r="K26" s="531"/>
      <c r="L26" s="74"/>
      <c r="M26" s="75"/>
      <c r="O26" s="531"/>
      <c r="P26" s="74"/>
      <c r="Q26" s="75"/>
      <c r="S26" s="531"/>
      <c r="T26" s="74"/>
      <c r="U26" s="75"/>
      <c r="W26" s="33"/>
    </row>
    <row r="27" spans="1:23" ht="15" hidden="1" customHeight="1" x14ac:dyDescent="0.2">
      <c r="A27" s="33"/>
      <c r="C27" s="552" t="s">
        <v>78</v>
      </c>
      <c r="D27" s="553"/>
      <c r="E27" s="76" t="s">
        <v>79</v>
      </c>
      <c r="F27" s="52"/>
      <c r="G27" s="531"/>
      <c r="H27" s="74"/>
      <c r="I27" s="75"/>
      <c r="K27" s="531"/>
      <c r="L27" s="74"/>
      <c r="M27" s="75"/>
      <c r="O27" s="531"/>
      <c r="P27" s="74"/>
      <c r="Q27" s="75"/>
      <c r="S27" s="531"/>
      <c r="T27" s="74"/>
      <c r="U27" s="75"/>
      <c r="W27" s="33"/>
    </row>
    <row r="28" spans="1:23" ht="18" customHeight="1" x14ac:dyDescent="0.2">
      <c r="A28" s="33"/>
      <c r="C28" s="540" t="s">
        <v>80</v>
      </c>
      <c r="D28" s="541"/>
      <c r="E28" s="542"/>
      <c r="F28" s="52"/>
      <c r="G28" s="77"/>
      <c r="H28" s="538"/>
      <c r="I28" s="539"/>
      <c r="K28" s="77"/>
      <c r="L28" s="538"/>
      <c r="M28" s="539"/>
      <c r="O28" s="77"/>
      <c r="P28" s="538"/>
      <c r="Q28" s="539"/>
      <c r="S28" s="77"/>
      <c r="T28" s="538"/>
      <c r="U28" s="539"/>
      <c r="W28" s="33"/>
    </row>
    <row r="29" spans="1:23" ht="15" customHeight="1" x14ac:dyDescent="0.2">
      <c r="A29" s="33"/>
      <c r="C29" s="520" t="s">
        <v>81</v>
      </c>
      <c r="D29" s="521"/>
      <c r="E29" s="78" t="s">
        <v>82</v>
      </c>
      <c r="F29" s="52"/>
      <c r="G29" s="529">
        <v>0.3</v>
      </c>
      <c r="H29" s="23">
        <v>46269</v>
      </c>
      <c r="I29" s="1">
        <v>40</v>
      </c>
      <c r="K29" s="529">
        <v>0.3</v>
      </c>
      <c r="L29" s="23"/>
      <c r="M29" s="1">
        <v>50</v>
      </c>
      <c r="O29" s="529">
        <v>0.3</v>
      </c>
      <c r="P29" s="23"/>
      <c r="Q29" s="1"/>
      <c r="S29" s="529">
        <v>0.3</v>
      </c>
      <c r="T29" s="23"/>
      <c r="U29" s="1"/>
      <c r="W29" s="33"/>
    </row>
    <row r="30" spans="1:23" ht="15" customHeight="1" x14ac:dyDescent="0.2">
      <c r="A30" s="33"/>
      <c r="C30" s="522" t="s">
        <v>83</v>
      </c>
      <c r="D30" s="523"/>
      <c r="E30" s="79" t="s">
        <v>84</v>
      </c>
      <c r="F30" s="52"/>
      <c r="G30" s="530"/>
      <c r="H30" s="24"/>
      <c r="I30" s="2"/>
      <c r="K30" s="530"/>
      <c r="L30" s="24"/>
      <c r="M30" s="2">
        <v>50</v>
      </c>
      <c r="O30" s="530"/>
      <c r="P30" s="24"/>
      <c r="Q30" s="2"/>
      <c r="S30" s="530"/>
      <c r="T30" s="24"/>
      <c r="U30" s="2"/>
      <c r="W30" s="33"/>
    </row>
    <row r="31" spans="1:23" ht="15" customHeight="1" x14ac:dyDescent="0.2">
      <c r="A31" s="33"/>
      <c r="C31" s="522" t="s">
        <v>85</v>
      </c>
      <c r="D31" s="523"/>
      <c r="E31" s="79" t="s">
        <v>86</v>
      </c>
      <c r="F31" s="52"/>
      <c r="G31" s="530"/>
      <c r="H31" s="24"/>
      <c r="I31" s="2"/>
      <c r="K31" s="530"/>
      <c r="L31" s="24"/>
      <c r="M31" s="2"/>
      <c r="O31" s="530"/>
      <c r="P31" s="24"/>
      <c r="Q31" s="2"/>
      <c r="S31" s="530"/>
      <c r="T31" s="24"/>
      <c r="U31" s="2"/>
      <c r="W31" s="33"/>
    </row>
    <row r="32" spans="1:23" ht="15" customHeight="1" x14ac:dyDescent="0.2">
      <c r="A32" s="33"/>
      <c r="C32" s="524" t="s">
        <v>87</v>
      </c>
      <c r="D32" s="525"/>
      <c r="E32" s="80" t="s">
        <v>88</v>
      </c>
      <c r="F32" s="52"/>
      <c r="G32" s="537"/>
      <c r="H32" s="25"/>
      <c r="I32" s="2"/>
      <c r="K32" s="537"/>
      <c r="L32" s="25"/>
      <c r="M32" s="3"/>
      <c r="O32" s="537"/>
      <c r="P32" s="25"/>
      <c r="Q32" s="3"/>
      <c r="S32" s="537"/>
      <c r="T32" s="25"/>
      <c r="U32" s="3"/>
      <c r="W32" s="33"/>
    </row>
    <row r="33" spans="1:23" ht="18" customHeight="1" x14ac:dyDescent="0.2">
      <c r="A33" s="33"/>
      <c r="C33" s="515" t="s">
        <v>89</v>
      </c>
      <c r="D33" s="516"/>
      <c r="E33" s="517"/>
      <c r="F33" s="52"/>
      <c r="G33" s="77"/>
      <c r="H33" s="81"/>
      <c r="I33" s="82"/>
      <c r="K33" s="77"/>
      <c r="L33" s="81"/>
      <c r="M33" s="82"/>
      <c r="O33" s="77"/>
      <c r="P33" s="81"/>
      <c r="Q33" s="82"/>
      <c r="S33" s="77"/>
      <c r="T33" s="81"/>
      <c r="U33" s="82"/>
      <c r="W33" s="33"/>
    </row>
    <row r="34" spans="1:23" ht="15" customHeight="1" x14ac:dyDescent="0.2">
      <c r="A34" s="33"/>
      <c r="C34" s="520" t="s">
        <v>90</v>
      </c>
      <c r="D34" s="521"/>
      <c r="E34" s="78" t="s">
        <v>91</v>
      </c>
      <c r="F34" s="52"/>
      <c r="G34" s="529">
        <v>0.2</v>
      </c>
      <c r="H34" s="26">
        <v>46241</v>
      </c>
      <c r="I34" s="4">
        <v>30</v>
      </c>
      <c r="K34" s="529">
        <v>0.2</v>
      </c>
      <c r="L34" s="26"/>
      <c r="M34" s="4">
        <v>10</v>
      </c>
      <c r="O34" s="529">
        <v>0.2</v>
      </c>
      <c r="P34" s="26"/>
      <c r="Q34" s="4"/>
      <c r="S34" s="529">
        <v>0.2</v>
      </c>
      <c r="T34" s="26"/>
      <c r="U34" s="4"/>
      <c r="W34" s="33"/>
    </row>
    <row r="35" spans="1:23" ht="15" customHeight="1" x14ac:dyDescent="0.2">
      <c r="A35" s="33"/>
      <c r="C35" s="522" t="s">
        <v>92</v>
      </c>
      <c r="D35" s="523"/>
      <c r="E35" s="79" t="s">
        <v>93</v>
      </c>
      <c r="F35" s="52"/>
      <c r="G35" s="530"/>
      <c r="H35" s="27"/>
      <c r="I35" s="5"/>
      <c r="K35" s="530"/>
      <c r="L35" s="27"/>
      <c r="M35" s="5">
        <v>20</v>
      </c>
      <c r="O35" s="530"/>
      <c r="P35" s="27"/>
      <c r="Q35" s="5"/>
      <c r="S35" s="530"/>
      <c r="T35" s="27"/>
      <c r="U35" s="5"/>
      <c r="W35" s="33"/>
    </row>
    <row r="36" spans="1:23" ht="15" customHeight="1" x14ac:dyDescent="0.2">
      <c r="A36" s="33"/>
      <c r="C36" s="522" t="s">
        <v>94</v>
      </c>
      <c r="D36" s="523"/>
      <c r="E36" s="79" t="s">
        <v>95</v>
      </c>
      <c r="F36" s="52"/>
      <c r="G36" s="530"/>
      <c r="H36" s="27"/>
      <c r="I36" s="5"/>
      <c r="K36" s="530"/>
      <c r="L36" s="27"/>
      <c r="M36" s="5">
        <v>35</v>
      </c>
      <c r="O36" s="530"/>
      <c r="P36" s="27"/>
      <c r="Q36" s="5"/>
      <c r="S36" s="530"/>
      <c r="T36" s="27"/>
      <c r="U36" s="5"/>
      <c r="W36" s="33"/>
    </row>
    <row r="37" spans="1:23" ht="15" customHeight="1" x14ac:dyDescent="0.2">
      <c r="A37" s="33"/>
      <c r="C37" s="524" t="s">
        <v>96</v>
      </c>
      <c r="D37" s="525"/>
      <c r="E37" s="80" t="s">
        <v>97</v>
      </c>
      <c r="F37" s="52"/>
      <c r="G37" s="530"/>
      <c r="H37" s="28"/>
      <c r="I37" s="6"/>
      <c r="K37" s="530"/>
      <c r="L37" s="28"/>
      <c r="M37" s="6"/>
      <c r="O37" s="530"/>
      <c r="P37" s="28"/>
      <c r="Q37" s="6"/>
      <c r="S37" s="530"/>
      <c r="T37" s="28"/>
      <c r="U37" s="6"/>
      <c r="W37" s="33"/>
    </row>
    <row r="38" spans="1:23" ht="15" customHeight="1" x14ac:dyDescent="0.2">
      <c r="A38" s="33"/>
      <c r="C38" s="515" t="s">
        <v>98</v>
      </c>
      <c r="D38" s="516"/>
      <c r="E38" s="517"/>
      <c r="F38" s="52"/>
      <c r="G38" s="83"/>
      <c r="H38" s="81"/>
      <c r="I38" s="82"/>
      <c r="J38" s="84"/>
      <c r="K38" s="83"/>
      <c r="L38" s="81"/>
      <c r="M38" s="82"/>
      <c r="N38" s="84"/>
      <c r="O38" s="83"/>
      <c r="P38" s="81"/>
      <c r="Q38" s="82"/>
      <c r="R38" s="84"/>
      <c r="S38" s="83"/>
      <c r="T38" s="81"/>
      <c r="U38" s="82"/>
      <c r="W38" s="33"/>
    </row>
    <row r="39" spans="1:23" ht="20.100000000000001" customHeight="1" thickBot="1" x14ac:dyDescent="0.25">
      <c r="A39" s="33"/>
      <c r="C39" s="518" t="s">
        <v>99</v>
      </c>
      <c r="D39" s="519"/>
      <c r="E39" s="85" t="s">
        <v>100</v>
      </c>
      <c r="F39" s="52"/>
      <c r="G39" s="86">
        <v>0.5</v>
      </c>
      <c r="H39" s="29"/>
      <c r="I39" s="7">
        <v>70</v>
      </c>
      <c r="K39" s="86">
        <v>0.5</v>
      </c>
      <c r="L39" s="29"/>
      <c r="M39" s="7">
        <v>70</v>
      </c>
      <c r="O39" s="86">
        <v>0.5</v>
      </c>
      <c r="P39" s="29"/>
      <c r="Q39" s="7"/>
      <c r="S39" s="86">
        <v>0.5</v>
      </c>
      <c r="T39" s="29"/>
      <c r="U39" s="7"/>
      <c r="W39" s="33"/>
    </row>
    <row r="40" spans="1:23" ht="15" hidden="1" customHeight="1" thickBot="1" x14ac:dyDescent="0.25">
      <c r="A40" s="33"/>
      <c r="C40" s="87"/>
      <c r="D40" s="88"/>
      <c r="E40" s="89"/>
      <c r="F40" s="52"/>
      <c r="G40" s="90"/>
      <c r="H40" s="91"/>
      <c r="I40" s="92"/>
      <c r="J40" s="84"/>
      <c r="K40" s="90"/>
      <c r="L40" s="91"/>
      <c r="M40" s="92"/>
      <c r="N40" s="84"/>
      <c r="O40" s="90"/>
      <c r="P40" s="91"/>
      <c r="Q40" s="92"/>
      <c r="R40" s="84"/>
      <c r="S40" s="90"/>
      <c r="T40" s="91"/>
      <c r="U40" s="92"/>
      <c r="W40" s="33"/>
    </row>
    <row r="41" spans="1:23" s="39" customFormat="1" ht="20.100000000000001" customHeight="1" thickTop="1" thickBot="1" x14ac:dyDescent="0.25">
      <c r="A41" s="42"/>
      <c r="B41" s="84"/>
      <c r="C41" s="532"/>
      <c r="D41" s="532"/>
      <c r="E41" s="93"/>
      <c r="F41" s="52"/>
      <c r="G41" s="526">
        <f>SUM(G14,G29,G34,G39)</f>
        <v>1</v>
      </c>
      <c r="H41" s="527"/>
      <c r="I41" s="528"/>
      <c r="J41" s="84"/>
      <c r="K41" s="526">
        <f>SUM(K14,K29,K34,K39)</f>
        <v>1</v>
      </c>
      <c r="L41" s="527"/>
      <c r="M41" s="528"/>
      <c r="N41" s="84"/>
      <c r="O41" s="526">
        <f>SUM(O14,O29,O34,O39)</f>
        <v>1</v>
      </c>
      <c r="P41" s="527"/>
      <c r="Q41" s="528"/>
      <c r="R41" s="84"/>
      <c r="S41" s="526">
        <f>SUM(S14,S29,S34,S39)</f>
        <v>1</v>
      </c>
      <c r="T41" s="527"/>
      <c r="U41" s="528"/>
      <c r="V41" s="84"/>
      <c r="W41" s="42"/>
    </row>
    <row r="42" spans="1:23" ht="15" customHeight="1" x14ac:dyDescent="0.2">
      <c r="A42" s="33"/>
      <c r="F42" s="52"/>
      <c r="W42" s="33"/>
    </row>
    <row r="43" spans="1:23" ht="9.9499999999999993" customHeight="1" x14ac:dyDescent="0.2">
      <c r="A43" s="33"/>
      <c r="B43" s="34"/>
      <c r="C43" s="33"/>
      <c r="D43" s="33"/>
      <c r="E43" s="35"/>
      <c r="F43" s="94"/>
      <c r="G43" s="34"/>
      <c r="H43" s="34"/>
      <c r="I43" s="34"/>
      <c r="J43" s="34"/>
      <c r="K43" s="34"/>
      <c r="L43" s="34"/>
      <c r="M43" s="34"/>
      <c r="N43" s="34"/>
      <c r="O43" s="34"/>
      <c r="P43" s="34"/>
      <c r="Q43" s="34"/>
      <c r="R43" s="34"/>
      <c r="S43" s="34"/>
      <c r="T43" s="34"/>
      <c r="U43" s="34"/>
      <c r="V43" s="34"/>
      <c r="W43" s="33"/>
    </row>
    <row r="44" spans="1:23" x14ac:dyDescent="0.2">
      <c r="F44" s="52"/>
    </row>
    <row r="45" spans="1:23" x14ac:dyDescent="0.2">
      <c r="F45" s="52"/>
    </row>
    <row r="46" spans="1:23" x14ac:dyDescent="0.2">
      <c r="F46" s="52"/>
    </row>
    <row r="47" spans="1:23" x14ac:dyDescent="0.2">
      <c r="F47" s="52"/>
    </row>
    <row r="48" spans="1:23" x14ac:dyDescent="0.2">
      <c r="F48" s="52"/>
    </row>
    <row r="49" spans="6:6" x14ac:dyDescent="0.2">
      <c r="F49" s="52"/>
    </row>
    <row r="57" spans="6:6" ht="33.75" customHeight="1" x14ac:dyDescent="0.2"/>
  </sheetData>
  <sheetProtection algorithmName="SHA-512" hashValue="4dRp3OV57j3aHRfhw8Y0cH6nLKJBi8+3VNx7mh59ePOsvHymJm4I60Iu6oCtFl9Xhp78eTa13z0e8LEdoNW21g==" saltValue="/pQxRPf7cz9x8ASUNhe+wQ==" spinCount="100000" sheet="1" objects="1" scenarios="1"/>
  <mergeCells count="71">
    <mergeCell ref="E3:M3"/>
    <mergeCell ref="C3:C8"/>
    <mergeCell ref="P3:U3"/>
    <mergeCell ref="K29:K32"/>
    <mergeCell ref="O29:O32"/>
    <mergeCell ref="S29:S32"/>
    <mergeCell ref="S11:U11"/>
    <mergeCell ref="T28:U28"/>
    <mergeCell ref="P28:Q28"/>
    <mergeCell ref="L28:M28"/>
    <mergeCell ref="S15:S24"/>
    <mergeCell ref="C27:D27"/>
    <mergeCell ref="C13:E13"/>
    <mergeCell ref="C14:E14"/>
    <mergeCell ref="O15:O24"/>
    <mergeCell ref="O25:O27"/>
    <mergeCell ref="S25:S27"/>
    <mergeCell ref="K25:K27"/>
    <mergeCell ref="C26:D26"/>
    <mergeCell ref="O11:Q11"/>
    <mergeCell ref="C41:D41"/>
    <mergeCell ref="G11:I11"/>
    <mergeCell ref="C11:E11"/>
    <mergeCell ref="G29:G32"/>
    <mergeCell ref="G25:G27"/>
    <mergeCell ref="C33:E33"/>
    <mergeCell ref="H28:I28"/>
    <mergeCell ref="C32:D32"/>
    <mergeCell ref="C31:D31"/>
    <mergeCell ref="C30:D30"/>
    <mergeCell ref="C29:D29"/>
    <mergeCell ref="C28:E28"/>
    <mergeCell ref="S41:U41"/>
    <mergeCell ref="O34:O37"/>
    <mergeCell ref="K34:K37"/>
    <mergeCell ref="G34:G37"/>
    <mergeCell ref="G41:I41"/>
    <mergeCell ref="K41:M41"/>
    <mergeCell ref="O41:Q41"/>
    <mergeCell ref="S34:S37"/>
    <mergeCell ref="C38:E38"/>
    <mergeCell ref="C39:D39"/>
    <mergeCell ref="C18:D18"/>
    <mergeCell ref="C19:D19"/>
    <mergeCell ref="C34:D34"/>
    <mergeCell ref="C35:D35"/>
    <mergeCell ref="C37:D37"/>
    <mergeCell ref="C22:D22"/>
    <mergeCell ref="C23:D23"/>
    <mergeCell ref="C24:D24"/>
    <mergeCell ref="C25:D25"/>
    <mergeCell ref="C36:D36"/>
    <mergeCell ref="C20:D20"/>
    <mergeCell ref="C21:D21"/>
    <mergeCell ref="E6:M6"/>
    <mergeCell ref="E5:M5"/>
    <mergeCell ref="E4:M4"/>
    <mergeCell ref="P8:U8"/>
    <mergeCell ref="P7:U7"/>
    <mergeCell ref="P6:U6"/>
    <mergeCell ref="P5:U5"/>
    <mergeCell ref="P4:U4"/>
    <mergeCell ref="C12:E12"/>
    <mergeCell ref="E8:M8"/>
    <mergeCell ref="E7:M7"/>
    <mergeCell ref="C16:D16"/>
    <mergeCell ref="C17:D17"/>
    <mergeCell ref="K11:M11"/>
    <mergeCell ref="G15:G24"/>
    <mergeCell ref="K15:K24"/>
    <mergeCell ref="C15:D15"/>
  </mergeCells>
  <conditionalFormatting sqref="G41 K41 O41 S41">
    <cfRule type="cellIs" dxfId="133" priority="9" stopIfTrue="1" operator="lessThan">
      <formula>1</formula>
    </cfRule>
    <cfRule type="cellIs" dxfId="132" priority="10" stopIfTrue="1" operator="greaterThan">
      <formula>1</formula>
    </cfRule>
  </conditionalFormatting>
  <conditionalFormatting sqref="AK3:AK5 AM3:AM5 AO3:AO5">
    <cfRule type="cellIs" dxfId="131" priority="11" stopIfTrue="1" operator="lessThan">
      <formula>75</formula>
    </cfRule>
  </conditionalFormatting>
  <dataValidations count="2">
    <dataValidation type="date" allowBlank="1" showInputMessage="1" showErrorMessage="1" sqref="H29:H32 H34:H37 H39 L29:L32 L34:L37 L39 P29:P32 P34:P37 P39 T29:T32 T34:T37 T39" xr:uid="{DFD9E823-8A80-4813-9EB5-950FAE968916}">
      <formula1>1</formula1>
      <formula2>TODAY()</formula2>
    </dataValidation>
    <dataValidation type="custom" operator="greaterThanOrEqual" allowBlank="1" showInputMessage="1" showErrorMessage="1" sqref="U39 I29:I32 M29:M32 Q29:Q32 U29:U32 I34:I37 M34:M37 Q34:Q37 U34:U37 I39 M39 Q39" xr:uid="{233AC9B3-6C47-4258-A2F6-7AEE6DD9F719}">
      <formula1>IFERROR(AND(I29&gt;=0,I29&lt;=9999,I29=INT(I29)),FALSE)</formula1>
    </dataValidation>
  </dataValidation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P1048542"/>
  <sheetViews>
    <sheetView showGridLines="0" tabSelected="1" zoomScaleNormal="100" workbookViewId="0">
      <pane xSplit="6" ySplit="7" topLeftCell="P8" activePane="bottomRight" state="frozen"/>
      <selection pane="topRight" activeCell="G1" sqref="G1"/>
      <selection pane="bottomLeft" activeCell="A8" sqref="A8"/>
      <selection pane="bottomRight" activeCell="AB19" sqref="AB19"/>
    </sheetView>
  </sheetViews>
  <sheetFormatPr defaultColWidth="9.140625" defaultRowHeight="12" x14ac:dyDescent="0.2"/>
  <cols>
    <col min="1" max="1" width="1.7109375" style="98" customWidth="1"/>
    <col min="2" max="2" width="2.7109375" style="98" customWidth="1"/>
    <col min="3" max="3" width="3.7109375" style="99" customWidth="1"/>
    <col min="4" max="4" width="12.42578125" style="100" customWidth="1"/>
    <col min="5" max="5" width="2.7109375" style="100" hidden="1" customWidth="1"/>
    <col min="6" max="6" width="50.7109375" style="98" customWidth="1"/>
    <col min="7" max="10" width="5.28515625" style="101" customWidth="1"/>
    <col min="11" max="11" width="5.7109375" style="101" customWidth="1"/>
    <col min="12" max="15" width="5.28515625" style="99" customWidth="1"/>
    <col min="16" max="16" width="5.7109375" style="101" customWidth="1"/>
    <col min="17" max="17" width="5.28515625" style="99" customWidth="1"/>
    <col min="18" max="18" width="6.7109375" style="99" customWidth="1"/>
    <col min="19" max="19" width="2.7109375" style="98" customWidth="1"/>
    <col min="20" max="23" width="5.28515625" style="101" customWidth="1"/>
    <col min="24" max="24" width="5.7109375" style="101" customWidth="1"/>
    <col min="25" max="28" width="5.28515625" style="99" customWidth="1"/>
    <col min="29" max="29" width="5.7109375" style="101" customWidth="1"/>
    <col min="30" max="30" width="5.28515625" style="99" customWidth="1"/>
    <col min="31" max="31" width="6.7109375" style="99" customWidth="1"/>
    <col min="32" max="32" width="2.7109375" style="98" customWidth="1"/>
    <col min="33" max="36" width="5.28515625" style="101" customWidth="1"/>
    <col min="37" max="37" width="5.7109375" style="101" customWidth="1"/>
    <col min="38" max="41" width="5.28515625" style="99" customWidth="1"/>
    <col min="42" max="42" width="5.7109375" style="101" customWidth="1"/>
    <col min="43" max="43" width="5.28515625" style="99" customWidth="1"/>
    <col min="44" max="44" width="6.7109375" style="99" customWidth="1"/>
    <col min="45" max="45" width="2.7109375" style="98" customWidth="1"/>
    <col min="46" max="49" width="5.28515625" style="101" customWidth="1"/>
    <col min="50" max="50" width="5.7109375" style="101" customWidth="1"/>
    <col min="51" max="54" width="5.28515625" style="99" customWidth="1"/>
    <col min="55" max="55" width="5.7109375" style="101" customWidth="1"/>
    <col min="56" max="56" width="5.28515625" style="99" customWidth="1"/>
    <col min="57" max="57" width="6.7109375" style="99" customWidth="1"/>
    <col min="58" max="58" width="2.7109375" style="98" customWidth="1"/>
    <col min="59" max="59" width="1.7109375" style="98" customWidth="1"/>
    <col min="60" max="68" width="9.140625" style="98"/>
    <col min="69" max="16384" width="9.140625" style="107"/>
  </cols>
  <sheetData>
    <row r="1" spans="1:59" s="98" customFormat="1" ht="9.9499999999999993" customHeight="1" x14ac:dyDescent="0.2">
      <c r="A1" s="97"/>
      <c r="B1" s="97"/>
      <c r="C1" s="102"/>
      <c r="D1" s="103"/>
      <c r="E1" s="472"/>
      <c r="F1" s="472"/>
      <c r="G1" s="472"/>
      <c r="H1" s="472"/>
      <c r="I1" s="472"/>
      <c r="J1" s="472"/>
      <c r="K1" s="472"/>
      <c r="L1" s="472"/>
      <c r="M1" s="472"/>
      <c r="N1" s="472"/>
      <c r="O1" s="472"/>
      <c r="P1" s="472"/>
      <c r="Q1" s="113"/>
      <c r="R1" s="113"/>
      <c r="S1" s="97"/>
      <c r="T1" s="97"/>
      <c r="U1" s="97"/>
      <c r="V1" s="97"/>
      <c r="W1" s="97"/>
      <c r="X1" s="97"/>
      <c r="Y1" s="97"/>
      <c r="Z1" s="97"/>
      <c r="AA1" s="97"/>
      <c r="AB1" s="97"/>
      <c r="AC1" s="97"/>
      <c r="AD1" s="113"/>
      <c r="AE1" s="113"/>
      <c r="AF1" s="97"/>
      <c r="AG1" s="97"/>
      <c r="AH1" s="97"/>
      <c r="AI1" s="97"/>
      <c r="AJ1" s="97"/>
      <c r="AK1" s="97"/>
      <c r="AL1" s="97"/>
      <c r="AM1" s="97"/>
      <c r="AN1" s="97"/>
      <c r="AO1" s="97"/>
      <c r="AP1" s="97"/>
      <c r="AQ1" s="113"/>
      <c r="AR1" s="113"/>
      <c r="AS1" s="97"/>
      <c r="AT1" s="97"/>
      <c r="AU1" s="97"/>
      <c r="AV1" s="97"/>
      <c r="AW1" s="97"/>
      <c r="AX1" s="97"/>
      <c r="AY1" s="97"/>
      <c r="AZ1" s="97"/>
      <c r="BA1" s="97"/>
      <c r="BB1" s="97"/>
      <c r="BC1" s="97"/>
      <c r="BD1" s="113"/>
      <c r="BE1" s="113"/>
      <c r="BF1" s="97"/>
      <c r="BG1" s="97"/>
    </row>
    <row r="2" spans="1:59" s="98" customFormat="1" ht="15" customHeight="1" thickBot="1" x14ac:dyDescent="0.25">
      <c r="A2" s="97"/>
      <c r="C2" s="99"/>
      <c r="D2" s="100"/>
      <c r="E2" s="473"/>
      <c r="F2" s="473"/>
      <c r="G2" s="473"/>
      <c r="H2" s="473"/>
      <c r="I2" s="473"/>
      <c r="J2" s="473"/>
      <c r="K2" s="473"/>
      <c r="L2" s="473"/>
      <c r="M2" s="473"/>
      <c r="N2" s="473"/>
      <c r="O2" s="473"/>
      <c r="P2" s="473"/>
      <c r="Q2" s="114"/>
      <c r="R2" s="114"/>
      <c r="AD2" s="114"/>
      <c r="AE2" s="114"/>
      <c r="AQ2" s="114"/>
      <c r="AR2" s="114"/>
      <c r="BD2" s="114"/>
      <c r="BE2" s="114"/>
      <c r="BG2" s="97"/>
    </row>
    <row r="3" spans="1:59" s="98" customFormat="1" ht="30.75" customHeight="1" x14ac:dyDescent="0.2">
      <c r="A3" s="97"/>
      <c r="C3" s="460"/>
      <c r="D3" s="475" t="str">
        <f>Settings!E8&amp;" - "&amp;Settings!P5</f>
        <v>MATH IN THE MODERN WORLD - BSHM-1B</v>
      </c>
      <c r="E3" s="475"/>
      <c r="F3" s="475"/>
      <c r="G3" s="474" t="s">
        <v>46</v>
      </c>
      <c r="H3" s="463"/>
      <c r="I3" s="463"/>
      <c r="J3" s="463"/>
      <c r="K3" s="463"/>
      <c r="L3" s="463"/>
      <c r="M3" s="463"/>
      <c r="N3" s="463"/>
      <c r="O3" s="463"/>
      <c r="P3" s="463"/>
      <c r="Q3" s="463"/>
      <c r="R3" s="464"/>
      <c r="T3" s="462" t="s">
        <v>47</v>
      </c>
      <c r="U3" s="463"/>
      <c r="V3" s="463"/>
      <c r="W3" s="463"/>
      <c r="X3" s="463"/>
      <c r="Y3" s="463"/>
      <c r="Z3" s="463"/>
      <c r="AA3" s="463"/>
      <c r="AB3" s="463"/>
      <c r="AC3" s="463"/>
      <c r="AD3" s="463"/>
      <c r="AE3" s="464"/>
      <c r="AG3" s="462" t="s">
        <v>48</v>
      </c>
      <c r="AH3" s="463"/>
      <c r="AI3" s="463"/>
      <c r="AJ3" s="463"/>
      <c r="AK3" s="463"/>
      <c r="AL3" s="463"/>
      <c r="AM3" s="463"/>
      <c r="AN3" s="463"/>
      <c r="AO3" s="463"/>
      <c r="AP3" s="463"/>
      <c r="AQ3" s="463"/>
      <c r="AR3" s="464"/>
      <c r="AT3" s="462" t="s">
        <v>49</v>
      </c>
      <c r="AU3" s="463"/>
      <c r="AV3" s="463"/>
      <c r="AW3" s="463"/>
      <c r="AX3" s="463"/>
      <c r="AY3" s="463"/>
      <c r="AZ3" s="463"/>
      <c r="BA3" s="463"/>
      <c r="BB3" s="463"/>
      <c r="BC3" s="463"/>
      <c r="BD3" s="463"/>
      <c r="BE3" s="464"/>
      <c r="BG3" s="97"/>
    </row>
    <row r="4" spans="1:59" s="98" customFormat="1" ht="20.100000000000001" customHeight="1" thickBot="1" x14ac:dyDescent="0.25">
      <c r="A4" s="97"/>
      <c r="C4" s="461"/>
      <c r="D4" s="476" t="str">
        <f>IF(Settings!P4="","",Settings!P4)</f>
        <v>GEDC1005</v>
      </c>
      <c r="E4" s="477"/>
      <c r="F4" s="478"/>
      <c r="G4" s="471" t="s">
        <v>101</v>
      </c>
      <c r="H4" s="471"/>
      <c r="I4" s="471"/>
      <c r="J4" s="471"/>
      <c r="K4" s="115">
        <f>Settings!G29</f>
        <v>0.3</v>
      </c>
      <c r="L4" s="469" t="s">
        <v>89</v>
      </c>
      <c r="M4" s="469"/>
      <c r="N4" s="469"/>
      <c r="O4" s="469"/>
      <c r="P4" s="115">
        <f>Settings!$G$34</f>
        <v>0.2</v>
      </c>
      <c r="Q4" s="116" t="s">
        <v>102</v>
      </c>
      <c r="R4" s="117">
        <f>Settings!$G$39</f>
        <v>0.5</v>
      </c>
      <c r="S4" s="110"/>
      <c r="T4" s="470" t="s">
        <v>101</v>
      </c>
      <c r="U4" s="471"/>
      <c r="V4" s="471"/>
      <c r="W4" s="471"/>
      <c r="X4" s="115">
        <f>Settings!K29</f>
        <v>0.3</v>
      </c>
      <c r="Y4" s="469" t="s">
        <v>89</v>
      </c>
      <c r="Z4" s="469"/>
      <c r="AA4" s="469"/>
      <c r="AB4" s="469"/>
      <c r="AC4" s="115">
        <f>Settings!K34</f>
        <v>0.2</v>
      </c>
      <c r="AD4" s="116" t="s">
        <v>102</v>
      </c>
      <c r="AE4" s="117">
        <f>Settings!K39</f>
        <v>0.5</v>
      </c>
      <c r="AF4" s="110"/>
      <c r="AG4" s="470" t="s">
        <v>101</v>
      </c>
      <c r="AH4" s="471"/>
      <c r="AI4" s="471"/>
      <c r="AJ4" s="471"/>
      <c r="AK4" s="115">
        <f>Settings!O29</f>
        <v>0.3</v>
      </c>
      <c r="AL4" s="469" t="s">
        <v>89</v>
      </c>
      <c r="AM4" s="469"/>
      <c r="AN4" s="469"/>
      <c r="AO4" s="469"/>
      <c r="AP4" s="115">
        <f>Settings!O34</f>
        <v>0.2</v>
      </c>
      <c r="AQ4" s="116" t="s">
        <v>102</v>
      </c>
      <c r="AR4" s="117">
        <f>Settings!O39</f>
        <v>0.5</v>
      </c>
      <c r="AS4" s="110"/>
      <c r="AT4" s="470" t="s">
        <v>101</v>
      </c>
      <c r="AU4" s="471"/>
      <c r="AV4" s="471"/>
      <c r="AW4" s="471"/>
      <c r="AX4" s="115">
        <f>Settings!S29</f>
        <v>0.3</v>
      </c>
      <c r="AY4" s="469" t="s">
        <v>89</v>
      </c>
      <c r="AZ4" s="469"/>
      <c r="BA4" s="469"/>
      <c r="BB4" s="469"/>
      <c r="BC4" s="115">
        <f>Settings!S34</f>
        <v>0.2</v>
      </c>
      <c r="BD4" s="116" t="s">
        <v>102</v>
      </c>
      <c r="BE4" s="117">
        <f>Settings!S39</f>
        <v>0.5</v>
      </c>
      <c r="BG4" s="97"/>
    </row>
    <row r="5" spans="1:59" s="98" customFormat="1" ht="15" customHeight="1" thickTop="1" x14ac:dyDescent="0.2">
      <c r="A5" s="97"/>
      <c r="C5" s="461"/>
      <c r="D5" s="454" t="s">
        <v>103</v>
      </c>
      <c r="E5" s="455"/>
      <c r="F5" s="456"/>
      <c r="G5" s="118" t="str">
        <f>IF(Settings!$E29="","",Settings!$E29)</f>
        <v>PTL1</v>
      </c>
      <c r="H5" s="118" t="str">
        <f>IF(Settings!$E30="","",Settings!$E30)</f>
        <v>PTL2</v>
      </c>
      <c r="I5" s="118" t="str">
        <f>IF(Settings!$E31="","",Settings!$E31)</f>
        <v>PTL3</v>
      </c>
      <c r="J5" s="118" t="str">
        <f>IF(Settings!$E32="","",Settings!$E32)</f>
        <v>PTL4</v>
      </c>
      <c r="K5" s="465" t="s">
        <v>104</v>
      </c>
      <c r="L5" s="119" t="s">
        <v>91</v>
      </c>
      <c r="M5" s="119" t="s">
        <v>93</v>
      </c>
      <c r="N5" s="119" t="s">
        <v>95</v>
      </c>
      <c r="O5" s="119" t="s">
        <v>97</v>
      </c>
      <c r="P5" s="465" t="s">
        <v>104</v>
      </c>
      <c r="Q5" s="120" t="s">
        <v>100</v>
      </c>
      <c r="R5" s="467" t="s">
        <v>105</v>
      </c>
      <c r="S5" s="110"/>
      <c r="T5" s="121" t="str">
        <f>IF(Settings!$E29="","",Settings!$E29)</f>
        <v>PTL1</v>
      </c>
      <c r="U5" s="118" t="str">
        <f>IF(Settings!$E30="","",Settings!$E30)</f>
        <v>PTL2</v>
      </c>
      <c r="V5" s="118" t="str">
        <f>IF(Settings!$E31="","",Settings!$E31)</f>
        <v>PTL3</v>
      </c>
      <c r="W5" s="118" t="str">
        <f>IF(Settings!$E32="","",Settings!$E32)</f>
        <v>PTL4</v>
      </c>
      <c r="X5" s="465" t="s">
        <v>104</v>
      </c>
      <c r="Y5" s="119" t="s">
        <v>91</v>
      </c>
      <c r="Z5" s="119" t="s">
        <v>93</v>
      </c>
      <c r="AA5" s="119" t="s">
        <v>95</v>
      </c>
      <c r="AB5" s="119" t="s">
        <v>97</v>
      </c>
      <c r="AC5" s="465" t="s">
        <v>104</v>
      </c>
      <c r="AD5" s="120" t="s">
        <v>100</v>
      </c>
      <c r="AE5" s="467" t="s">
        <v>105</v>
      </c>
      <c r="AF5" s="110"/>
      <c r="AG5" s="121" t="str">
        <f>IF(Settings!$E29="","",Settings!$E29)</f>
        <v>PTL1</v>
      </c>
      <c r="AH5" s="118" t="str">
        <f>IF(Settings!$E30="","",Settings!$E30)</f>
        <v>PTL2</v>
      </c>
      <c r="AI5" s="118" t="str">
        <f>IF(Settings!$E31="","",Settings!$E31)</f>
        <v>PTL3</v>
      </c>
      <c r="AJ5" s="118" t="str">
        <f>IF(Settings!$E32="","",Settings!$E32)</f>
        <v>PTL4</v>
      </c>
      <c r="AK5" s="465" t="s">
        <v>104</v>
      </c>
      <c r="AL5" s="119" t="s">
        <v>91</v>
      </c>
      <c r="AM5" s="119" t="s">
        <v>93</v>
      </c>
      <c r="AN5" s="119" t="s">
        <v>95</v>
      </c>
      <c r="AO5" s="119" t="s">
        <v>97</v>
      </c>
      <c r="AP5" s="465" t="s">
        <v>104</v>
      </c>
      <c r="AQ5" s="120" t="s">
        <v>100</v>
      </c>
      <c r="AR5" s="467" t="s">
        <v>105</v>
      </c>
      <c r="AS5" s="110"/>
      <c r="AT5" s="121" t="str">
        <f>IF(Settings!$E29="","",Settings!$E29)</f>
        <v>PTL1</v>
      </c>
      <c r="AU5" s="118" t="str">
        <f>IF(Settings!$E30="","",Settings!$E30)</f>
        <v>PTL2</v>
      </c>
      <c r="AV5" s="118" t="str">
        <f>IF(Settings!$E31="","",Settings!$E31)</f>
        <v>PTL3</v>
      </c>
      <c r="AW5" s="118" t="str">
        <f>IF(Settings!$E32="","",Settings!$E32)</f>
        <v>PTL4</v>
      </c>
      <c r="AX5" s="465" t="s">
        <v>104</v>
      </c>
      <c r="AY5" s="119" t="s">
        <v>91</v>
      </c>
      <c r="AZ5" s="119" t="s">
        <v>93</v>
      </c>
      <c r="BA5" s="119" t="s">
        <v>95</v>
      </c>
      <c r="BB5" s="119" t="s">
        <v>97</v>
      </c>
      <c r="BC5" s="465" t="s">
        <v>104</v>
      </c>
      <c r="BD5" s="120" t="s">
        <v>100</v>
      </c>
      <c r="BE5" s="467" t="s">
        <v>105</v>
      </c>
      <c r="BG5" s="97"/>
    </row>
    <row r="6" spans="1:59" s="98" customFormat="1" ht="14.1" customHeight="1" x14ac:dyDescent="0.2">
      <c r="A6" s="97"/>
      <c r="C6" s="461"/>
      <c r="D6" s="457"/>
      <c r="E6" s="458"/>
      <c r="F6" s="459"/>
      <c r="G6" s="305">
        <f>IF(Settings!I29="","",Settings!I29)</f>
        <v>40</v>
      </c>
      <c r="H6" s="305" t="str">
        <f>IF(Settings!I30="","",Settings!I30)</f>
        <v/>
      </c>
      <c r="I6" s="305" t="str">
        <f>IF(Settings!I31="","",Settings!I31)</f>
        <v/>
      </c>
      <c r="J6" s="305" t="str">
        <f>IF(Settings!I32="","",Settings!I32)</f>
        <v/>
      </c>
      <c r="K6" s="466"/>
      <c r="L6" s="305">
        <f>IF(Settings!I34="","",Settings!I34)</f>
        <v>30</v>
      </c>
      <c r="M6" s="305" t="str">
        <f>IF(Settings!I35="","",Settings!I35)</f>
        <v/>
      </c>
      <c r="N6" s="305" t="str">
        <f>IF(Settings!I36="","",Settings!I36)</f>
        <v/>
      </c>
      <c r="O6" s="305" t="str">
        <f>IF(Settings!I37="","",Settings!I37)</f>
        <v/>
      </c>
      <c r="P6" s="466"/>
      <c r="Q6" s="122">
        <f>IF(Settings!I39="","",Settings!I39)</f>
        <v>70</v>
      </c>
      <c r="R6" s="468"/>
      <c r="S6" s="110"/>
      <c r="T6" s="306">
        <f>IF(Settings!M29="","",Settings!M29)</f>
        <v>50</v>
      </c>
      <c r="U6" s="305">
        <f>IF(Settings!M30="","",Settings!M30)</f>
        <v>50</v>
      </c>
      <c r="V6" s="305" t="str">
        <f>IF(Settings!M31="","",Settings!M31)</f>
        <v/>
      </c>
      <c r="W6" s="305" t="str">
        <f>IF(Settings!M32="","",Settings!M32)</f>
        <v/>
      </c>
      <c r="X6" s="466"/>
      <c r="Y6" s="305">
        <f>IF(Settings!M34="","",Settings!M34)</f>
        <v>10</v>
      </c>
      <c r="Z6" s="305">
        <f>IF(Settings!M35="","",Settings!M35)</f>
        <v>20</v>
      </c>
      <c r="AA6" s="305">
        <f>IF(Settings!M36="","",Settings!M36)</f>
        <v>35</v>
      </c>
      <c r="AB6" s="305" t="str">
        <f>IF(Settings!M37="","",Settings!M37)</f>
        <v/>
      </c>
      <c r="AC6" s="466"/>
      <c r="AD6" s="304">
        <f>IF(Settings!M39="","",Settings!M39)</f>
        <v>70</v>
      </c>
      <c r="AE6" s="468"/>
      <c r="AF6" s="110"/>
      <c r="AG6" s="306" t="str">
        <f>IF(Settings!Q29="","",Settings!Q29)</f>
        <v/>
      </c>
      <c r="AH6" s="305" t="str">
        <f>IF(Settings!Q30="","",Settings!Q30)</f>
        <v/>
      </c>
      <c r="AI6" s="305" t="str">
        <f>IF(Settings!Q31="","",Settings!Q31)</f>
        <v/>
      </c>
      <c r="AJ6" s="305" t="str">
        <f>IF(Settings!Q32="","",Settings!Q32)</f>
        <v/>
      </c>
      <c r="AK6" s="466"/>
      <c r="AL6" s="305" t="str">
        <f>IF(Settings!Q34="","",Settings!Q34)</f>
        <v/>
      </c>
      <c r="AM6" s="305" t="str">
        <f>IF(Settings!Q35="","",Settings!Q35)</f>
        <v/>
      </c>
      <c r="AN6" s="305" t="str">
        <f>IF(Settings!Q36="","",Settings!Q36)</f>
        <v/>
      </c>
      <c r="AO6" s="305" t="str">
        <f>IF(Settings!Q37="","",Settings!Q37)</f>
        <v/>
      </c>
      <c r="AP6" s="466"/>
      <c r="AQ6" s="122" t="str">
        <f>IF(Settings!Q39="","",Settings!Q39)</f>
        <v/>
      </c>
      <c r="AR6" s="468"/>
      <c r="AS6" s="110"/>
      <c r="AT6" s="306" t="str">
        <f>IF(Settings!U29="","",Settings!U29)</f>
        <v/>
      </c>
      <c r="AU6" s="305" t="str">
        <f>IF(Settings!U30="","",Settings!U30)</f>
        <v/>
      </c>
      <c r="AV6" s="305" t="str">
        <f>IF(Settings!U31="","",Settings!U31)</f>
        <v/>
      </c>
      <c r="AW6" s="305" t="str">
        <f>IF(Settings!U32="","",Settings!U32)</f>
        <v/>
      </c>
      <c r="AX6" s="466"/>
      <c r="AY6" s="305" t="str">
        <f>IF(Settings!U34="","",Settings!U34)</f>
        <v/>
      </c>
      <c r="AZ6" s="305" t="str">
        <f>IF(Settings!U35="","",Settings!U35)</f>
        <v/>
      </c>
      <c r="BA6" s="305" t="str">
        <f>IF(Settings!U36="","",Settings!U36)</f>
        <v/>
      </c>
      <c r="BB6" s="305" t="str">
        <f>IF(Settings!U37="","",Settings!U37)</f>
        <v/>
      </c>
      <c r="BC6" s="466"/>
      <c r="BD6" s="122" t="str">
        <f>IF(Settings!U39="","",Settings!U39)</f>
        <v/>
      </c>
      <c r="BE6" s="468"/>
      <c r="BG6" s="97"/>
    </row>
    <row r="7" spans="1:59" s="99" customFormat="1" ht="14.1" customHeight="1" x14ac:dyDescent="0.2">
      <c r="A7" s="102"/>
      <c r="C7" s="461"/>
      <c r="D7" s="123" t="s">
        <v>106</v>
      </c>
      <c r="E7" s="124"/>
      <c r="F7" s="125" t="s">
        <v>107</v>
      </c>
      <c r="G7" s="126">
        <f>IF(Settings!H29="","",Settings!H29)</f>
        <v>46269</v>
      </c>
      <c r="H7" s="126" t="str">
        <f>IF(Settings!H30="","",Settings!H30)</f>
        <v/>
      </c>
      <c r="I7" s="126" t="str">
        <f>IF(Settings!H31="","",Settings!H31)</f>
        <v/>
      </c>
      <c r="J7" s="126" t="str">
        <f>IF(Settings!H32="","",Settings!H32)</f>
        <v/>
      </c>
      <c r="K7" s="127">
        <f>SUM(G6:J6)</f>
        <v>40</v>
      </c>
      <c r="L7" s="126">
        <f>IF(Settings!H34="","",Settings!H34)</f>
        <v>46241</v>
      </c>
      <c r="M7" s="126" t="str">
        <f>IF(Settings!$H35="","",Settings!$H35)</f>
        <v/>
      </c>
      <c r="N7" s="126" t="str">
        <f>IF(Settings!$H36="","",Settings!$H36)</f>
        <v/>
      </c>
      <c r="O7" s="126" t="str">
        <f>IF(Settings!H37="","",Settings!H37)</f>
        <v/>
      </c>
      <c r="P7" s="127">
        <f>SUM(L6:O6)</f>
        <v>30</v>
      </c>
      <c r="Q7" s="126" t="str">
        <f>IF(Settings!H39="","",Settings!H39)</f>
        <v/>
      </c>
      <c r="R7" s="128"/>
      <c r="S7" s="129"/>
      <c r="T7" s="130" t="str">
        <f>IF(Settings!L29="","",Settings!L29)</f>
        <v/>
      </c>
      <c r="U7" s="126" t="str">
        <f>IF(Settings!L30="","",Settings!L30)</f>
        <v/>
      </c>
      <c r="V7" s="126" t="str">
        <f>IF(Settings!L31="","",Settings!L31)</f>
        <v/>
      </c>
      <c r="W7" s="126" t="str">
        <f>IF(Settings!L32="","",Settings!L32)</f>
        <v/>
      </c>
      <c r="X7" s="127">
        <f>SUM(T6:W6)</f>
        <v>100</v>
      </c>
      <c r="Y7" s="126" t="str">
        <f>IF(Settings!L34="","",Settings!L34)</f>
        <v/>
      </c>
      <c r="Z7" s="126" t="str">
        <f>IF(Settings!L35="","",Settings!L35)</f>
        <v/>
      </c>
      <c r="AA7" s="126" t="str">
        <f>IF(Settings!L36="","",Settings!L36)</f>
        <v/>
      </c>
      <c r="AB7" s="126" t="str">
        <f>IF(Settings!L37="","",Settings!L37)</f>
        <v/>
      </c>
      <c r="AC7" s="127">
        <f>SUM(Y6:AB6)</f>
        <v>65</v>
      </c>
      <c r="AD7" s="126" t="str">
        <f>IF(Settings!L39="","",Settings!L39)</f>
        <v/>
      </c>
      <c r="AE7" s="128"/>
      <c r="AF7" s="129"/>
      <c r="AG7" s="130" t="str">
        <f>IF(Settings!P29="","",Settings!P29)</f>
        <v/>
      </c>
      <c r="AH7" s="126" t="str">
        <f>IF(Settings!P30="","",Settings!P30)</f>
        <v/>
      </c>
      <c r="AI7" s="126" t="str">
        <f>IF(Settings!P31="","",Settings!P31)</f>
        <v/>
      </c>
      <c r="AJ7" s="126" t="str">
        <f>IF(Settings!P32="","",Settings!P32)</f>
        <v/>
      </c>
      <c r="AK7" s="127">
        <f>SUM(AG6:AJ6)</f>
        <v>0</v>
      </c>
      <c r="AL7" s="126" t="str">
        <f>IF(Settings!P34="","",Settings!P34)</f>
        <v/>
      </c>
      <c r="AM7" s="126" t="str">
        <f>IF(Settings!P35="","",Settings!P35)</f>
        <v/>
      </c>
      <c r="AN7" s="126" t="str">
        <f>IF(Settings!P36="","",Settings!P36)</f>
        <v/>
      </c>
      <c r="AO7" s="126" t="str">
        <f>IF(Settings!P37="","",Settings!P37)</f>
        <v/>
      </c>
      <c r="AP7" s="127">
        <f>SUM(AL6:AO6)</f>
        <v>0</v>
      </c>
      <c r="AQ7" s="126" t="str">
        <f>IF(Settings!P39="","",Settings!P39)</f>
        <v/>
      </c>
      <c r="AR7" s="128"/>
      <c r="AS7" s="129"/>
      <c r="AT7" s="130" t="str">
        <f>IF(Settings!T29="","",Settings!T29)</f>
        <v/>
      </c>
      <c r="AU7" s="126" t="str">
        <f>IF(Settings!T30="","",Settings!T30)</f>
        <v/>
      </c>
      <c r="AV7" s="126" t="str">
        <f>IF(Settings!T31="","",Settings!T31)</f>
        <v/>
      </c>
      <c r="AW7" s="126" t="str">
        <f>IF(Settings!T32="","",Settings!T32)</f>
        <v/>
      </c>
      <c r="AX7" s="127">
        <f>SUM(AT6:AW6)</f>
        <v>0</v>
      </c>
      <c r="AY7" s="126" t="str">
        <f>IF(Settings!T34="","",Settings!T34)</f>
        <v/>
      </c>
      <c r="AZ7" s="126" t="str">
        <f>IF(Settings!T35="","",Settings!T35)</f>
        <v/>
      </c>
      <c r="BA7" s="126" t="str">
        <f>IF(Settings!T36="","",Settings!T36)</f>
        <v/>
      </c>
      <c r="BB7" s="126" t="str">
        <f>IF(Settings!T37="","",Settings!T37)</f>
        <v/>
      </c>
      <c r="BC7" s="127">
        <f>SUM(AY6:BB6)</f>
        <v>0</v>
      </c>
      <c r="BD7" s="126" t="str">
        <f>IF(Settings!T39="","",Settings!T39)</f>
        <v/>
      </c>
      <c r="BE7" s="128"/>
      <c r="BG7" s="102"/>
    </row>
    <row r="8" spans="1:59" s="98" customFormat="1" ht="14.1" customHeight="1" x14ac:dyDescent="0.2">
      <c r="A8" s="97"/>
      <c r="C8" s="111">
        <f>C7+1</f>
        <v>1</v>
      </c>
      <c r="D8" s="453" t="s">
        <v>162</v>
      </c>
      <c r="E8" s="95"/>
      <c r="F8" s="20" t="s">
        <v>163</v>
      </c>
      <c r="G8" s="367">
        <v>39</v>
      </c>
      <c r="H8" s="10"/>
      <c r="I8" s="10"/>
      <c r="J8" s="10"/>
      <c r="K8" s="109">
        <f t="shared" ref="K8:K39" si="0">IF(OR(F8="",COUNTA(G8:J8)=0),"",
IF(COUNTA(G8:J8,$G$6:$J$6)=0,"",
IF(OR(
AND($G$6="",G8&lt;&gt;""),AND(ISTEXT($G$6),$G$6&lt;&gt;""),AND(ISTEXT(G8),G8&lt;&gt;""),
AND($H$6="",H8&lt;&gt;""),AND(ISTEXT($H$6),$H$6&lt;&gt;""),AND(ISTEXT(H8),H8&lt;&gt;""),
AND($I$6="",I8&lt;&gt;""),AND(ISTEXT($I$6),$I$6&lt;&gt;""),AND(ISTEXT(I8),I8&lt;&gt;""),
AND($J$6="",J8&lt;&gt;""),AND(ISTEXT($J$6),$J$6&lt;&gt;""),AND(ISTEXT(J8),J8&lt;&gt;"")),"Error",
IF(OR(
AND(ISNUMBER($G$6),ISNUMBER(G8),G8&gt;$G$6),
AND(ISNUMBER($H$6),ISNUMBER(H8),H8&gt;$H$6),
AND(ISNUMBER($I$6),ISNUMBER(I8),I8&gt;$I$6),
AND(ISNUMBER($J$6),ISNUMBER(J8),J8&gt;$J$6)),"Error",
IF(SUM(G8:J8)&gt;$K$7,"Error",
SUM(G8:J8))))))</f>
        <v>39</v>
      </c>
      <c r="L8" s="11">
        <v>28</v>
      </c>
      <c r="M8" s="11"/>
      <c r="N8" s="11"/>
      <c r="O8" s="11"/>
      <c r="P8" s="109">
        <f t="shared" ref="P8:P39" si="1">IF(OR(F8="",COUNTA(L8:O8)=0),"",
IF(COUNTA(L8:O8,$L$6:$O$6)=0,"",
IF(OR(
AND($L$6="",L8&lt;&gt;""),AND(ISTEXT($L$6),$L$6&lt;&gt;""),AND(ISTEXT(L8),L8&lt;&gt;""),
AND($M$6="",M8&lt;&gt;""),AND(ISTEXT($M$6),$M$6&lt;&gt;""),AND(ISTEXT(M8),M8&lt;&gt;""),
AND($N$6="",N8&lt;&gt;""),AND(ISTEXT($N$6),$N$6&lt;&gt;""),AND(ISTEXT(N8),N8&lt;&gt;""),
AND($O$6="",O8&lt;&gt;""),AND(ISTEXT($O$6),$O$6&lt;&gt;""),AND(ISTEXT(O8),O8&lt;&gt;"")),"Error",
IF(OR(
AND(ISNUMBER($L$6),ISNUMBER(L8),L8&gt;$L$6),
AND(ISNUMBER($M$6),ISNUMBER(M8),M8&gt;$M$6),
AND(ISNUMBER($N$6),ISNUMBER(N8),N8&gt;$N$6),
AND(ISNUMBER($O$6),ISNUMBER(O8),O8&gt;$O$6)),"Error",
IF(SUM(L8:O8)&gt;$P$7,"Error",
SUM(L8:O8))))))</f>
        <v>28</v>
      </c>
      <c r="Q8" s="16">
        <v>58</v>
      </c>
      <c r="R8" s="108">
        <f t="shared" ref="R8:R39" si="2">IF(F8="","",
IF(AND(Q8="",$Q$6=""),"",
IF($Q$6="","Error",
IF(OR(AND(ISTEXT(Q8),Q8&lt;&gt;""),AND(ISTEXT($Q$6),$Q$6&lt;&gt;"")),"Error",
IF(AND(ISNUMBER(Q8),ISNUMBER($Q$6),Q8&gt;$Q$6),"Error",
IFERROR(IF(Q8="","",(Q8/$Q$6)*100),0))))))</f>
        <v>82.857142857142861</v>
      </c>
      <c r="S8" s="110"/>
      <c r="T8" s="12">
        <v>30</v>
      </c>
      <c r="U8" s="10"/>
      <c r="V8" s="10"/>
      <c r="W8" s="10"/>
      <c r="X8" s="109">
        <f t="shared" ref="X8:X39" si="3">IF(OR(F8="",COUNTA(T8:W8)=0),"",
IF(COUNTA(T8:W8,$T$6:$W$6)=0,"",
IF(OR(
AND($T$6="",T8&lt;&gt;""),AND(ISTEXT($T$6),$T$6&lt;&gt;""),AND(ISTEXT(T8),T8&lt;&gt;""),
AND($U$6="",U8&lt;&gt;""),AND(ISTEXT($U$6),$U$6&lt;&gt;""),AND(ISTEXT(U8),U8&lt;&gt;""),
AND($V$6="",V8&lt;&gt;""),AND(ISTEXT($V$6),$V$6&lt;&gt;""),AND(ISTEXT(V8),V8&lt;&gt;""),
AND($W$6="",W8&lt;&gt;""),AND(ISTEXT($W$6),$W$6&lt;&gt;""),AND(ISTEXT(W8),W8&lt;&gt;"")),"Error",
IF(OR(
AND(ISNUMBER($T$6),ISNUMBER(T8),T8&gt;$T$6),
AND(ISNUMBER($U$6),ISNUMBER(U8),U8&gt;$U$6),
AND(ISNUMBER($V$6),ISNUMBER(V8),V8&gt;$V$6),
AND(ISNUMBER($W$6),ISNUMBER(W8),W8&gt;$W$6)),"Error",
IF(SUM(T8:W8)&gt;$X$7,"Error",
SUM(T8:W8))))))</f>
        <v>30</v>
      </c>
      <c r="Y8" s="11">
        <v>0</v>
      </c>
      <c r="Z8" s="11">
        <v>19</v>
      </c>
      <c r="AA8" s="11"/>
      <c r="AB8" s="11"/>
      <c r="AC8" s="109">
        <f t="shared" ref="AC8:AC39" si="4">IF(OR(F8="",COUNTA(Y8:AB8)=0),"",
IF(COUNTA(Y8:AB8,$Y$6:$AB$6)=0,"",
IF(OR(
AND($Y$6="",Y8&lt;&gt;""),AND(ISTEXT($Y$6),$Y$6&lt;&gt;""),AND(ISTEXT(Y8),Y8&lt;&gt;""),
AND($Z$6="",Z8&lt;&gt;""),AND(ISTEXT($Z$6),$Z$6&lt;&gt;""),AND(ISTEXT(Z8),Z8&lt;&gt;""),
AND($AA$6="",AA8&lt;&gt;""),AND(ISTEXT($AA$6),$AA$6&lt;&gt;""),AND(ISTEXT(AA8),AA8&lt;&gt;""),
AND($AB$6="",AB8&lt;&gt;""),AND(ISTEXT($AB$6),$AB$6&lt;&gt;""),AND(ISTEXT(AB8),AB8&lt;&gt;"")),"Error",
IF(OR(
AND(ISNUMBER($Y$6),ISNUMBER(Y8),Y8&gt;$Y$6),
AND(ISNUMBER($Z$6),ISNUMBER(Z8),Z8&gt;$Z$6),
AND(ISNUMBER($AA$6),ISNUMBER(AA8),AA8&gt;$AA$6),
AND(ISNUMBER($AB$6),ISNUMBER(AB8),AB8&gt;$AB$6)),"Error",
IF(SUM(Y8:AB8)&gt;$AC$7,"Error",
SUM(Y8:AB8))))))</f>
        <v>19</v>
      </c>
      <c r="AD8" s="16">
        <v>44</v>
      </c>
      <c r="AE8" s="108">
        <f t="shared" ref="AE8:AE39" si="5">IF(F8="","",
IF(AND(AD8="",$AD$6=""),"",
IF($AD$6="","Error",
IF(OR(AND(ISTEXT(AD8),AD8&lt;&gt;""),AND(ISTEXT($AD$6),$AD$6&lt;&gt;"")),"Error",
IF(AND(ISNUMBER(AD8),ISNUMBER($AD$6),AD8&gt;$AD$6),"Error",
IFERROR(IF(AD8="","",(AD8/$AD$6)*100),0))))))</f>
        <v>62.857142857142854</v>
      </c>
      <c r="AF8" s="110"/>
      <c r="AG8" s="12"/>
      <c r="AH8" s="10"/>
      <c r="AI8" s="10"/>
      <c r="AJ8" s="10"/>
      <c r="AK8" s="109" t="str">
        <f t="shared" ref="AK8:AK39" si="6">IF(OR(F8="",COUNTA(AG8:AJ8)=0),"",
IF(COUNTA(AG8:AJ8,$AG$6:$AJ$6)=0,"",
IF(OR(
AND($AG$6="",AG8&lt;&gt;""),AND(ISTEXT($AG$6),$AG$6&lt;&gt;""),AND(ISTEXT(AG8),AG8&lt;&gt;""),
AND($AH$6="",AH8&lt;&gt;""),AND(ISTEXT($AH$6),$AH$6&lt;&gt;""),AND(ISTEXT(AH8),AH8&lt;&gt;""),
AND($AI$6="",AI8&lt;&gt;""),AND(ISTEXT($AI$6),$AI$6&lt;&gt;""),AND(ISTEXT(AI8),AI8&lt;&gt;""),
AND($AJ$6="",AJ8&lt;&gt;""),AND(ISTEXT($AJ$6),$AJ$6&lt;&gt;""),AND(ISTEXT(AJ8),AJ8&lt;&gt;"")),"Error",
IF(OR(
AND(ISNUMBER($AG$6),ISNUMBER(AG8),AG8&gt;$AG$6),
AND(ISNUMBER($AH$6),ISNUMBER(AH8),AH8&gt;$AH$6),
AND(ISNUMBER($AI$6),ISNUMBER(AI8),AI8&gt;$AI$6),
AND(ISNUMBER($AJ$6),ISNUMBER(AJ8),AJ8&gt;$AJ$6)),"Error",
IF(SUM(AG8:AJ8)&gt;$AK$7,"Error",
SUM(AG8:AJ8))))))</f>
        <v/>
      </c>
      <c r="AL8" s="11"/>
      <c r="AM8" s="11"/>
      <c r="AN8" s="11"/>
      <c r="AO8" s="11"/>
      <c r="AP8" s="109" t="str">
        <f t="shared" ref="AP8:AP39" si="7">IF(OR(F8="",COUNTA(AL8:AO8)=0),"",
IF(COUNTA(AL8:AO8,$AL$6:$AO$6)=0,"",
IF(OR(
AND($AL$6="",AL8&lt;&gt;""),AND(ISTEXT($AL$6),$AL$6&lt;&gt;""),AND(ISTEXT(AL8),AL8&lt;&gt;""),
AND($AM$6="",AM8&lt;&gt;""),AND(ISTEXT($AM$6),$AM$6&lt;&gt;""),AND(ISTEXT(AM8),AM8&lt;&gt;""),
AND($AN$6="",AN8&lt;&gt;""),AND(ISTEXT($AN$6),$AN$6&lt;&gt;""),AND(ISTEXT(AN8),AN8&lt;&gt;""),
AND($AO$6="",AO8&lt;&gt;""),AND(ISTEXT($AO$6),$AO$6&lt;&gt;""),AND(ISTEXT(AO8),AO8&lt;&gt;"")),"Error",
IF(OR(
AND(ISNUMBER($AL$6),ISNUMBER(AL8),AL8&gt;$AL$6),
AND(ISNUMBER($AM$6),ISNUMBER(AM8),AM8&gt;$AM$6),
AND(ISNUMBER($AN$6),ISNUMBER(AN8),AN8&gt;$AN$6),
AND(ISNUMBER($AO$6),ISNUMBER(AO8),AO8&gt;$AO$6)),"Error",
IF(SUM(AL8:AO8)&gt;$AP$7,"Error",
SUM(AL8:AO8))))))</f>
        <v/>
      </c>
      <c r="AQ8" s="16"/>
      <c r="AR8" s="108" t="str">
        <f t="shared" ref="AR8:AR39" si="8">IF(F8="","",
IF(AND(AQ8="",$AQ$6=""),"",
IF($AQ$6="","Error",
IF(OR(AND(ISTEXT(AQ8),AQ8&lt;&gt;""),AND(ISTEXT($AQ$6),$AQ$6&lt;&gt;"")),"Error",
IF(AND(ISNUMBER(AQ8),ISNUMBER($AQ$6),AD8&gt;$AQ$6),"Error",
IFERROR(IF(AQ8="","",(AQ8/$AQ$6)*100),0))))))</f>
        <v/>
      </c>
      <c r="AS8" s="110"/>
      <c r="AT8" s="12"/>
      <c r="AU8" s="10"/>
      <c r="AV8" s="10"/>
      <c r="AW8" s="10"/>
      <c r="AX8" s="109" t="str">
        <f t="shared" ref="AX8:AX39" si="9">IF(OR(F8="",COUNTA(AT8:AW8)=0),"",
IF(COUNTA(AT8:AW8,$AT$6:$AW$6)=0,"",
IF(OR(
AND($AT$6="",AT8&lt;&gt;""),AND(ISTEXT($AT$6),$AT$6&lt;&gt;""),AND(ISTEXT(AT8),AT8&lt;&gt;""),
AND($AU$6="",AU8&lt;&gt;""),AND(ISTEXT($AU$6),$AU$6&lt;&gt;""),AND(ISTEXT(AU8),AU8&lt;&gt;""),
AND($AV$6="",AV8&lt;&gt;""),AND(ISTEXT($AV$6),$AV$6&lt;&gt;""),AND(ISTEXT(AV8),AV8&lt;&gt;""),
AND($AW$6="",AW8&lt;&gt;""),AND(ISTEXT($AW$6),$AW$6&lt;&gt;""),AND(ISTEXT(AW8),AW8&lt;&gt;"")),"Error",
IF(OR(
AND(ISNUMBER($AT$6),ISNUMBER(AT8),AT8&gt;$AT$6),
AND(ISNUMBER($AU$6),ISNUMBER(AU8),AU8&gt;$AU$6),
AND(ISNUMBER($AV$6),ISNUMBER(AV8),AV8&gt;$AV$6),
AND(ISNUMBER($AW$6),ISNUMBER(AW8),AW8&gt;$AW$6)),"Error",
IF(SUM(AT8:AW8)&gt;$AX$7,"Error",
SUM(AT8:AW8))))))</f>
        <v/>
      </c>
      <c r="AY8" s="11"/>
      <c r="AZ8" s="11"/>
      <c r="BA8" s="11"/>
      <c r="BB8" s="11"/>
      <c r="BC8" s="109" t="str">
        <f t="shared" ref="BC8:BC39" si="10">IF(OR(F8="",COUNTA(AY8:BB8)=0),"",
IF(COUNTA(AY8:BB8,$AY$6:$BB$6)=0,"",
IF(OR(
AND($AY$6="",AY8&lt;&gt;""),AND(ISTEXT($AY$6),$AY$6&lt;&gt;""),AND(ISTEXT(AY8),AY8&lt;&gt;""),
AND($AZ$6="",AZ8&lt;&gt;""),AND(ISTEXT($AZ$6),$AZ$6&lt;&gt;""),AND(ISTEXT(AZ8),AZ8&lt;&gt;""),
AND($BA$6="",BA8&lt;&gt;""),AND(ISTEXT($BA$6),$BA$6&lt;&gt;""),AND(ISTEXT(BA8),BA8&lt;&gt;""),
AND($BB$6="",BB8&lt;&gt;""),AND(ISTEXT($BB$6),$BB$6&lt;&gt;""),AND(ISTEXT(BB8),BB8&lt;&gt;"")),"Error",
IF(OR(
AND(ISNUMBER($AY$6),ISNUMBER(AY8),AY8&gt;$AY$6),
AND(ISNUMBER($AZ$6),ISNUMBER(AZ8),AZ8&gt;$AZ$6),
AND(ISNUMBER($BA$6),ISNUMBER(BA8),BA8&gt;$BA$6),
AND(ISNUMBER($BB$6),ISNUMBER(BB8),BB8&gt;$BB$6)),"Error",
IF(SUM(AY8:BB8)&gt;$BC$7,"Error",
SUM(AY8:BB8))))))</f>
        <v/>
      </c>
      <c r="BD8" s="16"/>
      <c r="BE8" s="108" t="str">
        <f t="shared" ref="BE8:BE39" si="11">IF(F8="","",
IF(AND(BD8="",$BD$6=""),"",
IF($BD$6="","Error",
IF(OR(AND(ISTEXT(BD8),BD8&lt;&gt;""),AND(ISTEXT($BD$6),$BD$6&lt;&gt;"")),"Error",
IF(AND(ISNUMBER(BD8),ISNUMBER($BD$6),BD8&gt;$BD$6),"Error",
IFERROR(IF(BD8="","",(BD8/$BD$6)*100),0))))))</f>
        <v/>
      </c>
      <c r="BG8" s="97"/>
    </row>
    <row r="9" spans="1:59" s="98" customFormat="1" ht="14.1" customHeight="1" x14ac:dyDescent="0.2">
      <c r="A9" s="97"/>
      <c r="C9" s="111">
        <f t="shared" ref="C9:C67" si="12">C8+1</f>
        <v>2</v>
      </c>
      <c r="D9" s="453" t="s">
        <v>164</v>
      </c>
      <c r="E9" s="95"/>
      <c r="F9" s="20" t="s">
        <v>165</v>
      </c>
      <c r="G9" s="10">
        <v>39</v>
      </c>
      <c r="H9" s="10"/>
      <c r="I9" s="10"/>
      <c r="J9" s="10"/>
      <c r="K9" s="109">
        <f t="shared" si="0"/>
        <v>39</v>
      </c>
      <c r="L9" s="371">
        <v>25</v>
      </c>
      <c r="M9" s="11"/>
      <c r="N9" s="11"/>
      <c r="O9" s="11"/>
      <c r="P9" s="109">
        <f t="shared" si="1"/>
        <v>25</v>
      </c>
      <c r="Q9" s="16">
        <v>50</v>
      </c>
      <c r="R9" s="108">
        <f t="shared" si="2"/>
        <v>71.428571428571431</v>
      </c>
      <c r="S9" s="110"/>
      <c r="T9" s="12">
        <v>0</v>
      </c>
      <c r="U9" s="10"/>
      <c r="V9" s="10"/>
      <c r="W9" s="10"/>
      <c r="X9" s="109">
        <f t="shared" si="3"/>
        <v>0</v>
      </c>
      <c r="Y9" s="11">
        <v>0</v>
      </c>
      <c r="Z9" s="11">
        <v>0</v>
      </c>
      <c r="AA9" s="11"/>
      <c r="AB9" s="11"/>
      <c r="AC9" s="109">
        <f t="shared" si="4"/>
        <v>0</v>
      </c>
      <c r="AD9" s="16"/>
      <c r="AE9" s="108" t="str">
        <f t="shared" si="5"/>
        <v/>
      </c>
      <c r="AF9" s="110"/>
      <c r="AG9" s="12"/>
      <c r="AH9" s="10"/>
      <c r="AI9" s="10"/>
      <c r="AJ9" s="10"/>
      <c r="AK9" s="109" t="str">
        <f t="shared" si="6"/>
        <v/>
      </c>
      <c r="AL9" s="11"/>
      <c r="AM9" s="11"/>
      <c r="AN9" s="11"/>
      <c r="AO9" s="11"/>
      <c r="AP9" s="109" t="str">
        <f t="shared" si="7"/>
        <v/>
      </c>
      <c r="AQ9" s="16"/>
      <c r="AR9" s="108" t="str">
        <f t="shared" si="8"/>
        <v/>
      </c>
      <c r="AS9" s="110"/>
      <c r="AT9" s="12"/>
      <c r="AU9" s="10"/>
      <c r="AV9" s="10"/>
      <c r="AW9" s="10"/>
      <c r="AX9" s="109" t="str">
        <f t="shared" si="9"/>
        <v/>
      </c>
      <c r="AY9" s="11"/>
      <c r="AZ9" s="11"/>
      <c r="BA9" s="11"/>
      <c r="BB9" s="11"/>
      <c r="BC9" s="109" t="str">
        <f t="shared" si="10"/>
        <v/>
      </c>
      <c r="BD9" s="16"/>
      <c r="BE9" s="108" t="str">
        <f t="shared" si="11"/>
        <v/>
      </c>
      <c r="BG9" s="97"/>
    </row>
    <row r="10" spans="1:59" s="98" customFormat="1" ht="14.1" customHeight="1" x14ac:dyDescent="0.2">
      <c r="A10" s="97"/>
      <c r="C10" s="111">
        <f t="shared" si="12"/>
        <v>3</v>
      </c>
      <c r="D10" s="453" t="s">
        <v>166</v>
      </c>
      <c r="E10" s="95"/>
      <c r="F10" s="20" t="s">
        <v>167</v>
      </c>
      <c r="G10" s="10">
        <v>38</v>
      </c>
      <c r="H10" s="10"/>
      <c r="I10" s="10"/>
      <c r="J10" s="10"/>
      <c r="K10" s="109">
        <f t="shared" si="0"/>
        <v>38</v>
      </c>
      <c r="L10" s="11">
        <v>28</v>
      </c>
      <c r="M10" s="11"/>
      <c r="N10" s="11"/>
      <c r="O10" s="11"/>
      <c r="P10" s="109">
        <f t="shared" si="1"/>
        <v>28</v>
      </c>
      <c r="Q10" s="16">
        <v>0</v>
      </c>
      <c r="R10" s="108">
        <f t="shared" si="2"/>
        <v>0</v>
      </c>
      <c r="S10" s="110"/>
      <c r="T10" s="12">
        <v>0</v>
      </c>
      <c r="U10" s="10"/>
      <c r="V10" s="10"/>
      <c r="W10" s="10"/>
      <c r="X10" s="109">
        <f t="shared" si="3"/>
        <v>0</v>
      </c>
      <c r="Y10" s="11">
        <v>3</v>
      </c>
      <c r="Z10" s="11">
        <v>0</v>
      </c>
      <c r="AA10" s="11"/>
      <c r="AB10" s="11"/>
      <c r="AC10" s="109">
        <f t="shared" si="4"/>
        <v>3</v>
      </c>
      <c r="AD10" s="16">
        <v>20</v>
      </c>
      <c r="AE10" s="108">
        <f t="shared" si="5"/>
        <v>28.571428571428569</v>
      </c>
      <c r="AF10" s="110"/>
      <c r="AG10" s="12"/>
      <c r="AH10" s="10"/>
      <c r="AI10" s="10"/>
      <c r="AJ10" s="10"/>
      <c r="AK10" s="109" t="str">
        <f t="shared" si="6"/>
        <v/>
      </c>
      <c r="AL10" s="11"/>
      <c r="AM10" s="11"/>
      <c r="AN10" s="11"/>
      <c r="AO10" s="11"/>
      <c r="AP10" s="109" t="str">
        <f t="shared" si="7"/>
        <v/>
      </c>
      <c r="AQ10" s="16"/>
      <c r="AR10" s="108" t="str">
        <f t="shared" si="8"/>
        <v/>
      </c>
      <c r="AS10" s="110"/>
      <c r="AT10" s="12"/>
      <c r="AU10" s="10"/>
      <c r="AV10" s="10"/>
      <c r="AW10" s="10"/>
      <c r="AX10" s="109" t="str">
        <f t="shared" si="9"/>
        <v/>
      </c>
      <c r="AY10" s="11"/>
      <c r="AZ10" s="11"/>
      <c r="BA10" s="11"/>
      <c r="BB10" s="11"/>
      <c r="BC10" s="109" t="str">
        <f t="shared" si="10"/>
        <v/>
      </c>
      <c r="BD10" s="16"/>
      <c r="BE10" s="108" t="str">
        <f t="shared" si="11"/>
        <v/>
      </c>
      <c r="BG10" s="97"/>
    </row>
    <row r="11" spans="1:59" s="98" customFormat="1" ht="14.1" customHeight="1" x14ac:dyDescent="0.2">
      <c r="A11" s="97"/>
      <c r="C11" s="111">
        <f t="shared" si="12"/>
        <v>4</v>
      </c>
      <c r="D11" s="453" t="s">
        <v>168</v>
      </c>
      <c r="E11" s="95"/>
      <c r="F11" s="20" t="s">
        <v>169</v>
      </c>
      <c r="G11" s="10">
        <v>39</v>
      </c>
      <c r="H11" s="10"/>
      <c r="I11" s="10"/>
      <c r="J11" s="10"/>
      <c r="K11" s="109">
        <f t="shared" si="0"/>
        <v>39</v>
      </c>
      <c r="L11" s="11">
        <v>27</v>
      </c>
      <c r="M11" s="11"/>
      <c r="N11" s="11"/>
      <c r="O11" s="11"/>
      <c r="P11" s="109">
        <f t="shared" si="1"/>
        <v>27</v>
      </c>
      <c r="Q11" s="16">
        <v>58</v>
      </c>
      <c r="R11" s="108">
        <f t="shared" si="2"/>
        <v>82.857142857142861</v>
      </c>
      <c r="S11" s="110"/>
      <c r="T11" s="12">
        <v>50</v>
      </c>
      <c r="U11" s="10"/>
      <c r="V11" s="10"/>
      <c r="W11" s="10"/>
      <c r="X11" s="109">
        <f t="shared" si="3"/>
        <v>50</v>
      </c>
      <c r="Y11" s="11">
        <v>8</v>
      </c>
      <c r="Z11" s="11">
        <v>15</v>
      </c>
      <c r="AA11" s="11"/>
      <c r="AB11" s="11"/>
      <c r="AC11" s="109">
        <f t="shared" si="4"/>
        <v>23</v>
      </c>
      <c r="AD11" s="16">
        <v>54</v>
      </c>
      <c r="AE11" s="108">
        <f t="shared" si="5"/>
        <v>77.142857142857153</v>
      </c>
      <c r="AF11" s="110"/>
      <c r="AG11" s="12"/>
      <c r="AH11" s="10"/>
      <c r="AI11" s="10"/>
      <c r="AJ11" s="10"/>
      <c r="AK11" s="109" t="str">
        <f t="shared" si="6"/>
        <v/>
      </c>
      <c r="AL11" s="11"/>
      <c r="AM11" s="11"/>
      <c r="AN11" s="11"/>
      <c r="AO11" s="11"/>
      <c r="AP11" s="109" t="str">
        <f t="shared" si="7"/>
        <v/>
      </c>
      <c r="AQ11" s="16"/>
      <c r="AR11" s="108" t="str">
        <f t="shared" si="8"/>
        <v/>
      </c>
      <c r="AS11" s="110"/>
      <c r="AT11" s="12"/>
      <c r="AU11" s="10"/>
      <c r="AV11" s="10"/>
      <c r="AW11" s="10"/>
      <c r="AX11" s="109" t="str">
        <f t="shared" si="9"/>
        <v/>
      </c>
      <c r="AY11" s="11"/>
      <c r="AZ11" s="11"/>
      <c r="BA11" s="11"/>
      <c r="BB11" s="11"/>
      <c r="BC11" s="109" t="str">
        <f t="shared" si="10"/>
        <v/>
      </c>
      <c r="BD11" s="16"/>
      <c r="BE11" s="108" t="str">
        <f t="shared" si="11"/>
        <v/>
      </c>
      <c r="BG11" s="97"/>
    </row>
    <row r="12" spans="1:59" s="98" customFormat="1" ht="14.1" customHeight="1" x14ac:dyDescent="0.2">
      <c r="A12" s="97"/>
      <c r="C12" s="111">
        <f t="shared" si="12"/>
        <v>5</v>
      </c>
      <c r="D12" s="453" t="s">
        <v>170</v>
      </c>
      <c r="E12" s="95"/>
      <c r="F12" s="20" t="s">
        <v>171</v>
      </c>
      <c r="G12" s="10">
        <v>40</v>
      </c>
      <c r="H12" s="10"/>
      <c r="I12" s="10"/>
      <c r="J12" s="10"/>
      <c r="K12" s="109">
        <f t="shared" si="0"/>
        <v>40</v>
      </c>
      <c r="L12" s="11">
        <v>30</v>
      </c>
      <c r="M12" s="11"/>
      <c r="N12" s="11"/>
      <c r="O12" s="11"/>
      <c r="P12" s="109">
        <f t="shared" si="1"/>
        <v>30</v>
      </c>
      <c r="Q12" s="16">
        <v>50</v>
      </c>
      <c r="R12" s="108">
        <f t="shared" si="2"/>
        <v>71.428571428571431</v>
      </c>
      <c r="S12" s="110"/>
      <c r="T12" s="12">
        <v>0</v>
      </c>
      <c r="U12" s="10"/>
      <c r="V12" s="10"/>
      <c r="W12" s="10"/>
      <c r="X12" s="109">
        <f t="shared" si="3"/>
        <v>0</v>
      </c>
      <c r="Y12" s="11">
        <v>9</v>
      </c>
      <c r="Z12" s="11">
        <v>0</v>
      </c>
      <c r="AA12" s="11"/>
      <c r="AB12" s="11"/>
      <c r="AC12" s="109">
        <f t="shared" si="4"/>
        <v>9</v>
      </c>
      <c r="AD12" s="16">
        <v>30</v>
      </c>
      <c r="AE12" s="108">
        <f t="shared" si="5"/>
        <v>42.857142857142854</v>
      </c>
      <c r="AF12" s="110"/>
      <c r="AG12" s="12"/>
      <c r="AH12" s="10"/>
      <c r="AI12" s="10"/>
      <c r="AJ12" s="10"/>
      <c r="AK12" s="109" t="str">
        <f t="shared" si="6"/>
        <v/>
      </c>
      <c r="AL12" s="11"/>
      <c r="AM12" s="11"/>
      <c r="AN12" s="11"/>
      <c r="AO12" s="11"/>
      <c r="AP12" s="109" t="str">
        <f t="shared" si="7"/>
        <v/>
      </c>
      <c r="AQ12" s="16"/>
      <c r="AR12" s="108" t="str">
        <f t="shared" si="8"/>
        <v/>
      </c>
      <c r="AS12" s="110"/>
      <c r="AT12" s="12"/>
      <c r="AU12" s="10"/>
      <c r="AV12" s="10"/>
      <c r="AW12" s="10"/>
      <c r="AX12" s="109" t="str">
        <f t="shared" si="9"/>
        <v/>
      </c>
      <c r="AY12" s="11"/>
      <c r="AZ12" s="11"/>
      <c r="BA12" s="11"/>
      <c r="BB12" s="11"/>
      <c r="BC12" s="109" t="str">
        <f t="shared" si="10"/>
        <v/>
      </c>
      <c r="BD12" s="16"/>
      <c r="BE12" s="108" t="str">
        <f t="shared" si="11"/>
        <v/>
      </c>
      <c r="BG12" s="97"/>
    </row>
    <row r="13" spans="1:59" s="98" customFormat="1" ht="14.1" customHeight="1" x14ac:dyDescent="0.2">
      <c r="A13" s="97"/>
      <c r="C13" s="111">
        <f t="shared" si="12"/>
        <v>6</v>
      </c>
      <c r="D13" s="453" t="s">
        <v>172</v>
      </c>
      <c r="E13" s="95"/>
      <c r="F13" s="20" t="s">
        <v>173</v>
      </c>
      <c r="G13" s="10">
        <v>40</v>
      </c>
      <c r="H13" s="10"/>
      <c r="I13" s="10"/>
      <c r="J13" s="10"/>
      <c r="K13" s="109">
        <f t="shared" si="0"/>
        <v>40</v>
      </c>
      <c r="L13" s="11">
        <v>30</v>
      </c>
      <c r="M13" s="11"/>
      <c r="N13" s="11"/>
      <c r="O13" s="11"/>
      <c r="P13" s="109">
        <f t="shared" si="1"/>
        <v>30</v>
      </c>
      <c r="Q13" s="16">
        <v>48</v>
      </c>
      <c r="R13" s="108">
        <f t="shared" si="2"/>
        <v>68.571428571428569</v>
      </c>
      <c r="S13" s="110"/>
      <c r="T13" s="12">
        <v>0</v>
      </c>
      <c r="U13" s="10"/>
      <c r="V13" s="10"/>
      <c r="W13" s="10"/>
      <c r="X13" s="109">
        <f t="shared" si="3"/>
        <v>0</v>
      </c>
      <c r="Y13" s="11">
        <v>0</v>
      </c>
      <c r="Z13" s="11">
        <v>0</v>
      </c>
      <c r="AA13" s="11"/>
      <c r="AB13" s="11"/>
      <c r="AC13" s="109">
        <f t="shared" si="4"/>
        <v>0</v>
      </c>
      <c r="AD13" s="16">
        <v>30</v>
      </c>
      <c r="AE13" s="108">
        <f t="shared" si="5"/>
        <v>42.857142857142854</v>
      </c>
      <c r="AF13" s="110"/>
      <c r="AG13" s="12"/>
      <c r="AH13" s="10"/>
      <c r="AI13" s="10"/>
      <c r="AJ13" s="10"/>
      <c r="AK13" s="109" t="str">
        <f t="shared" si="6"/>
        <v/>
      </c>
      <c r="AL13" s="11"/>
      <c r="AM13" s="11"/>
      <c r="AN13" s="11"/>
      <c r="AO13" s="11"/>
      <c r="AP13" s="109" t="str">
        <f t="shared" si="7"/>
        <v/>
      </c>
      <c r="AQ13" s="16"/>
      <c r="AR13" s="108" t="str">
        <f t="shared" si="8"/>
        <v/>
      </c>
      <c r="AS13" s="110"/>
      <c r="AT13" s="12"/>
      <c r="AU13" s="10"/>
      <c r="AV13" s="10"/>
      <c r="AW13" s="10"/>
      <c r="AX13" s="109" t="str">
        <f t="shared" si="9"/>
        <v/>
      </c>
      <c r="AY13" s="11"/>
      <c r="AZ13" s="11"/>
      <c r="BA13" s="11"/>
      <c r="BB13" s="11"/>
      <c r="BC13" s="109" t="str">
        <f t="shared" si="10"/>
        <v/>
      </c>
      <c r="BD13" s="16"/>
      <c r="BE13" s="108" t="str">
        <f t="shared" si="11"/>
        <v/>
      </c>
      <c r="BG13" s="97"/>
    </row>
    <row r="14" spans="1:59" s="98" customFormat="1" ht="14.1" customHeight="1" x14ac:dyDescent="0.2">
      <c r="A14" s="97"/>
      <c r="C14" s="111">
        <f t="shared" si="12"/>
        <v>7</v>
      </c>
      <c r="D14" s="453" t="s">
        <v>174</v>
      </c>
      <c r="E14" s="95"/>
      <c r="F14" s="20" t="s">
        <v>175</v>
      </c>
      <c r="G14" s="10">
        <v>40</v>
      </c>
      <c r="H14" s="10"/>
      <c r="I14" s="10"/>
      <c r="J14" s="10"/>
      <c r="K14" s="109">
        <f t="shared" si="0"/>
        <v>40</v>
      </c>
      <c r="L14" s="11">
        <v>30</v>
      </c>
      <c r="M14" s="11"/>
      <c r="N14" s="11"/>
      <c r="O14" s="11"/>
      <c r="P14" s="109">
        <f t="shared" si="1"/>
        <v>30</v>
      </c>
      <c r="Q14" s="16">
        <v>30</v>
      </c>
      <c r="R14" s="108">
        <f t="shared" si="2"/>
        <v>42.857142857142854</v>
      </c>
      <c r="S14" s="110"/>
      <c r="T14" s="12">
        <v>0</v>
      </c>
      <c r="U14" s="10"/>
      <c r="V14" s="10"/>
      <c r="W14" s="10"/>
      <c r="X14" s="109">
        <f t="shared" si="3"/>
        <v>0</v>
      </c>
      <c r="Y14" s="11">
        <v>7</v>
      </c>
      <c r="Z14" s="11">
        <v>0</v>
      </c>
      <c r="AA14" s="11"/>
      <c r="AB14" s="11"/>
      <c r="AC14" s="109">
        <f t="shared" si="4"/>
        <v>7</v>
      </c>
      <c r="AD14" s="16"/>
      <c r="AE14" s="108" t="str">
        <f t="shared" si="5"/>
        <v/>
      </c>
      <c r="AF14" s="110"/>
      <c r="AG14" s="12"/>
      <c r="AH14" s="10"/>
      <c r="AI14" s="10"/>
      <c r="AJ14" s="10"/>
      <c r="AK14" s="109" t="str">
        <f t="shared" si="6"/>
        <v/>
      </c>
      <c r="AL14" s="11"/>
      <c r="AM14" s="11"/>
      <c r="AN14" s="11"/>
      <c r="AO14" s="11"/>
      <c r="AP14" s="109" t="str">
        <f t="shared" si="7"/>
        <v/>
      </c>
      <c r="AQ14" s="16"/>
      <c r="AR14" s="108" t="str">
        <f t="shared" si="8"/>
        <v/>
      </c>
      <c r="AS14" s="110"/>
      <c r="AT14" s="12"/>
      <c r="AU14" s="10"/>
      <c r="AV14" s="10"/>
      <c r="AW14" s="10"/>
      <c r="AX14" s="109" t="str">
        <f t="shared" si="9"/>
        <v/>
      </c>
      <c r="AY14" s="11"/>
      <c r="AZ14" s="11"/>
      <c r="BA14" s="11"/>
      <c r="BB14" s="11"/>
      <c r="BC14" s="109" t="str">
        <f t="shared" si="10"/>
        <v/>
      </c>
      <c r="BD14" s="16"/>
      <c r="BE14" s="108" t="str">
        <f t="shared" si="11"/>
        <v/>
      </c>
      <c r="BG14" s="97"/>
    </row>
    <row r="15" spans="1:59" s="98" customFormat="1" ht="14.1" customHeight="1" x14ac:dyDescent="0.2">
      <c r="A15" s="97"/>
      <c r="C15" s="111">
        <f t="shared" si="12"/>
        <v>8</v>
      </c>
      <c r="D15" s="453" t="s">
        <v>176</v>
      </c>
      <c r="E15" s="95"/>
      <c r="F15" s="20" t="s">
        <v>177</v>
      </c>
      <c r="G15" s="10">
        <v>38</v>
      </c>
      <c r="H15" s="10"/>
      <c r="I15" s="10"/>
      <c r="J15" s="10"/>
      <c r="K15" s="109">
        <f t="shared" si="0"/>
        <v>38</v>
      </c>
      <c r="L15" s="11">
        <v>28</v>
      </c>
      <c r="M15" s="11"/>
      <c r="N15" s="11"/>
      <c r="O15" s="11"/>
      <c r="P15" s="109">
        <f t="shared" si="1"/>
        <v>28</v>
      </c>
      <c r="Q15" s="16">
        <v>36</v>
      </c>
      <c r="R15" s="108">
        <f t="shared" si="2"/>
        <v>51.428571428571423</v>
      </c>
      <c r="S15" s="110"/>
      <c r="T15" s="12">
        <v>18</v>
      </c>
      <c r="U15" s="10"/>
      <c r="V15" s="10"/>
      <c r="W15" s="10"/>
      <c r="X15" s="109">
        <f t="shared" si="3"/>
        <v>18</v>
      </c>
      <c r="Y15" s="11">
        <v>6</v>
      </c>
      <c r="Z15" s="11">
        <v>20</v>
      </c>
      <c r="AA15" s="11"/>
      <c r="AB15" s="11"/>
      <c r="AC15" s="109">
        <f t="shared" si="4"/>
        <v>26</v>
      </c>
      <c r="AD15" s="16">
        <v>30</v>
      </c>
      <c r="AE15" s="108">
        <f t="shared" si="5"/>
        <v>42.857142857142854</v>
      </c>
      <c r="AF15" s="110"/>
      <c r="AG15" s="12"/>
      <c r="AH15" s="10"/>
      <c r="AI15" s="10"/>
      <c r="AJ15" s="10"/>
      <c r="AK15" s="109" t="str">
        <f t="shared" si="6"/>
        <v/>
      </c>
      <c r="AL15" s="11"/>
      <c r="AM15" s="11"/>
      <c r="AN15" s="11"/>
      <c r="AO15" s="11"/>
      <c r="AP15" s="109" t="str">
        <f t="shared" si="7"/>
        <v/>
      </c>
      <c r="AQ15" s="16"/>
      <c r="AR15" s="108" t="str">
        <f t="shared" si="8"/>
        <v/>
      </c>
      <c r="AS15" s="110"/>
      <c r="AT15" s="12"/>
      <c r="AU15" s="10"/>
      <c r="AV15" s="10"/>
      <c r="AW15" s="10"/>
      <c r="AX15" s="109" t="str">
        <f t="shared" si="9"/>
        <v/>
      </c>
      <c r="AY15" s="11"/>
      <c r="AZ15" s="11"/>
      <c r="BA15" s="11"/>
      <c r="BB15" s="11"/>
      <c r="BC15" s="109" t="str">
        <f t="shared" si="10"/>
        <v/>
      </c>
      <c r="BD15" s="16"/>
      <c r="BE15" s="108" t="str">
        <f t="shared" si="11"/>
        <v/>
      </c>
      <c r="BG15" s="97"/>
    </row>
    <row r="16" spans="1:59" s="98" customFormat="1" ht="14.1" customHeight="1" x14ac:dyDescent="0.2">
      <c r="A16" s="97"/>
      <c r="C16" s="111">
        <f t="shared" si="12"/>
        <v>9</v>
      </c>
      <c r="D16" s="453" t="s">
        <v>178</v>
      </c>
      <c r="E16" s="95"/>
      <c r="F16" s="20" t="s">
        <v>179</v>
      </c>
      <c r="G16" s="10">
        <v>40</v>
      </c>
      <c r="H16" s="10"/>
      <c r="I16" s="10"/>
      <c r="J16" s="10"/>
      <c r="K16" s="109">
        <f t="shared" si="0"/>
        <v>40</v>
      </c>
      <c r="L16" s="11">
        <v>29</v>
      </c>
      <c r="M16" s="11"/>
      <c r="N16" s="11"/>
      <c r="O16" s="11"/>
      <c r="P16" s="109">
        <f t="shared" si="1"/>
        <v>29</v>
      </c>
      <c r="Q16" s="16">
        <v>58</v>
      </c>
      <c r="R16" s="108">
        <f t="shared" si="2"/>
        <v>82.857142857142861</v>
      </c>
      <c r="S16" s="110"/>
      <c r="T16" s="12">
        <v>0</v>
      </c>
      <c r="U16" s="10"/>
      <c r="V16" s="10"/>
      <c r="W16" s="10"/>
      <c r="X16" s="109">
        <f t="shared" si="3"/>
        <v>0</v>
      </c>
      <c r="Y16" s="11">
        <v>5</v>
      </c>
      <c r="Z16" s="11">
        <v>0</v>
      </c>
      <c r="AA16" s="11"/>
      <c r="AB16" s="11"/>
      <c r="AC16" s="109">
        <f t="shared" si="4"/>
        <v>5</v>
      </c>
      <c r="AD16" s="16">
        <v>48</v>
      </c>
      <c r="AE16" s="108">
        <f t="shared" si="5"/>
        <v>68.571428571428569</v>
      </c>
      <c r="AF16" s="110"/>
      <c r="AG16" s="12"/>
      <c r="AH16" s="10"/>
      <c r="AI16" s="10"/>
      <c r="AJ16" s="10"/>
      <c r="AK16" s="109" t="str">
        <f t="shared" si="6"/>
        <v/>
      </c>
      <c r="AL16" s="11"/>
      <c r="AM16" s="11"/>
      <c r="AN16" s="11"/>
      <c r="AO16" s="11"/>
      <c r="AP16" s="109" t="str">
        <f t="shared" si="7"/>
        <v/>
      </c>
      <c r="AQ16" s="16"/>
      <c r="AR16" s="108" t="str">
        <f t="shared" si="8"/>
        <v/>
      </c>
      <c r="AS16" s="110"/>
      <c r="AT16" s="12"/>
      <c r="AU16" s="10"/>
      <c r="AV16" s="10"/>
      <c r="AW16" s="10"/>
      <c r="AX16" s="109" t="str">
        <f t="shared" si="9"/>
        <v/>
      </c>
      <c r="AY16" s="11"/>
      <c r="AZ16" s="11"/>
      <c r="BA16" s="11"/>
      <c r="BB16" s="11"/>
      <c r="BC16" s="109" t="str">
        <f t="shared" si="10"/>
        <v/>
      </c>
      <c r="BD16" s="16"/>
      <c r="BE16" s="108" t="str">
        <f t="shared" si="11"/>
        <v/>
      </c>
      <c r="BG16" s="97"/>
    </row>
    <row r="17" spans="1:59" s="98" customFormat="1" ht="14.1" customHeight="1" x14ac:dyDescent="0.2">
      <c r="A17" s="97"/>
      <c r="C17" s="111">
        <f t="shared" si="12"/>
        <v>10</v>
      </c>
      <c r="D17" s="453" t="s">
        <v>180</v>
      </c>
      <c r="E17" s="95"/>
      <c r="F17" s="20" t="s">
        <v>181</v>
      </c>
      <c r="G17" s="10">
        <v>40</v>
      </c>
      <c r="H17" s="10"/>
      <c r="I17" s="10"/>
      <c r="J17" s="10"/>
      <c r="K17" s="109">
        <f t="shared" si="0"/>
        <v>40</v>
      </c>
      <c r="L17" s="11">
        <v>25</v>
      </c>
      <c r="M17" s="11"/>
      <c r="N17" s="11"/>
      <c r="O17" s="11"/>
      <c r="P17" s="109">
        <f t="shared" si="1"/>
        <v>25</v>
      </c>
      <c r="Q17" s="16">
        <v>20</v>
      </c>
      <c r="R17" s="108">
        <f t="shared" si="2"/>
        <v>28.571428571428569</v>
      </c>
      <c r="S17" s="110"/>
      <c r="T17" s="12">
        <v>0</v>
      </c>
      <c r="U17" s="10"/>
      <c r="V17" s="10"/>
      <c r="W17" s="10"/>
      <c r="X17" s="109">
        <f t="shared" si="3"/>
        <v>0</v>
      </c>
      <c r="Y17" s="11">
        <v>0</v>
      </c>
      <c r="Z17" s="11">
        <v>0</v>
      </c>
      <c r="AA17" s="11"/>
      <c r="AB17" s="11"/>
      <c r="AC17" s="109">
        <f t="shared" si="4"/>
        <v>0</v>
      </c>
      <c r="AD17" s="16">
        <v>18</v>
      </c>
      <c r="AE17" s="108">
        <f t="shared" si="5"/>
        <v>25.714285714285712</v>
      </c>
      <c r="AF17" s="110"/>
      <c r="AG17" s="12"/>
      <c r="AH17" s="10"/>
      <c r="AI17" s="10"/>
      <c r="AJ17" s="10"/>
      <c r="AK17" s="109" t="str">
        <f t="shared" si="6"/>
        <v/>
      </c>
      <c r="AL17" s="11"/>
      <c r="AM17" s="11"/>
      <c r="AN17" s="11"/>
      <c r="AO17" s="11"/>
      <c r="AP17" s="109" t="str">
        <f t="shared" si="7"/>
        <v/>
      </c>
      <c r="AQ17" s="16"/>
      <c r="AR17" s="108" t="str">
        <f t="shared" si="8"/>
        <v/>
      </c>
      <c r="AS17" s="110"/>
      <c r="AT17" s="12"/>
      <c r="AU17" s="10"/>
      <c r="AV17" s="10"/>
      <c r="AW17" s="10"/>
      <c r="AX17" s="109" t="str">
        <f t="shared" si="9"/>
        <v/>
      </c>
      <c r="AY17" s="11"/>
      <c r="AZ17" s="11"/>
      <c r="BA17" s="11"/>
      <c r="BB17" s="11"/>
      <c r="BC17" s="109" t="str">
        <f t="shared" si="10"/>
        <v/>
      </c>
      <c r="BD17" s="16"/>
      <c r="BE17" s="108" t="str">
        <f t="shared" si="11"/>
        <v/>
      </c>
      <c r="BG17" s="97"/>
    </row>
    <row r="18" spans="1:59" s="98" customFormat="1" ht="14.1" customHeight="1" x14ac:dyDescent="0.2">
      <c r="A18" s="97"/>
      <c r="C18" s="111">
        <f t="shared" si="12"/>
        <v>11</v>
      </c>
      <c r="D18" s="453" t="s">
        <v>182</v>
      </c>
      <c r="E18" s="95"/>
      <c r="F18" s="20" t="s">
        <v>183</v>
      </c>
      <c r="G18" s="10">
        <v>38</v>
      </c>
      <c r="H18" s="10"/>
      <c r="I18" s="10"/>
      <c r="J18" s="10"/>
      <c r="K18" s="109">
        <f t="shared" si="0"/>
        <v>38</v>
      </c>
      <c r="L18" s="11">
        <v>26</v>
      </c>
      <c r="M18" s="11"/>
      <c r="N18" s="11"/>
      <c r="O18" s="11"/>
      <c r="P18" s="109">
        <f t="shared" si="1"/>
        <v>26</v>
      </c>
      <c r="Q18" s="16">
        <v>54</v>
      </c>
      <c r="R18" s="108">
        <f t="shared" si="2"/>
        <v>77.142857142857153</v>
      </c>
      <c r="S18" s="110"/>
      <c r="T18" s="12">
        <v>0</v>
      </c>
      <c r="U18" s="10"/>
      <c r="V18" s="10"/>
      <c r="W18" s="10"/>
      <c r="X18" s="109">
        <f t="shared" si="3"/>
        <v>0</v>
      </c>
      <c r="Y18" s="11">
        <v>9</v>
      </c>
      <c r="Z18" s="11">
        <v>0</v>
      </c>
      <c r="AA18" s="11"/>
      <c r="AB18" s="11"/>
      <c r="AC18" s="109">
        <f t="shared" si="4"/>
        <v>9</v>
      </c>
      <c r="AD18" s="16">
        <v>48</v>
      </c>
      <c r="AE18" s="108">
        <f t="shared" si="5"/>
        <v>68.571428571428569</v>
      </c>
      <c r="AF18" s="110"/>
      <c r="AG18" s="12"/>
      <c r="AH18" s="10"/>
      <c r="AI18" s="10"/>
      <c r="AJ18" s="10"/>
      <c r="AK18" s="109" t="str">
        <f t="shared" si="6"/>
        <v/>
      </c>
      <c r="AL18" s="11"/>
      <c r="AM18" s="11"/>
      <c r="AN18" s="11"/>
      <c r="AO18" s="11"/>
      <c r="AP18" s="109" t="str">
        <f t="shared" si="7"/>
        <v/>
      </c>
      <c r="AQ18" s="16"/>
      <c r="AR18" s="108" t="str">
        <f t="shared" si="8"/>
        <v/>
      </c>
      <c r="AS18" s="110"/>
      <c r="AT18" s="12"/>
      <c r="AU18" s="10"/>
      <c r="AV18" s="10"/>
      <c r="AW18" s="10"/>
      <c r="AX18" s="109" t="str">
        <f t="shared" si="9"/>
        <v/>
      </c>
      <c r="AY18" s="11"/>
      <c r="AZ18" s="11"/>
      <c r="BA18" s="11"/>
      <c r="BB18" s="11"/>
      <c r="BC18" s="109" t="str">
        <f t="shared" si="10"/>
        <v/>
      </c>
      <c r="BD18" s="16"/>
      <c r="BE18" s="108" t="str">
        <f t="shared" si="11"/>
        <v/>
      </c>
      <c r="BG18" s="97"/>
    </row>
    <row r="19" spans="1:59" s="98" customFormat="1" ht="14.1" customHeight="1" x14ac:dyDescent="0.2">
      <c r="A19" s="97"/>
      <c r="C19" s="111">
        <f t="shared" si="12"/>
        <v>12</v>
      </c>
      <c r="D19" s="453" t="s">
        <v>184</v>
      </c>
      <c r="E19" s="95"/>
      <c r="F19" s="20" t="s">
        <v>185</v>
      </c>
      <c r="G19" s="10">
        <v>37</v>
      </c>
      <c r="H19" s="10"/>
      <c r="I19" s="10"/>
      <c r="J19" s="10"/>
      <c r="K19" s="109">
        <f t="shared" si="0"/>
        <v>37</v>
      </c>
      <c r="L19" s="11">
        <v>25</v>
      </c>
      <c r="M19" s="11"/>
      <c r="N19" s="11"/>
      <c r="O19" s="11"/>
      <c r="P19" s="109">
        <f t="shared" si="1"/>
        <v>25</v>
      </c>
      <c r="Q19" s="16">
        <v>52</v>
      </c>
      <c r="R19" s="108">
        <f t="shared" si="2"/>
        <v>74.285714285714292</v>
      </c>
      <c r="S19" s="110"/>
      <c r="T19" s="12">
        <v>24</v>
      </c>
      <c r="U19" s="10"/>
      <c r="V19" s="10"/>
      <c r="W19" s="10"/>
      <c r="X19" s="109">
        <f t="shared" si="3"/>
        <v>24</v>
      </c>
      <c r="Y19" s="11">
        <v>9</v>
      </c>
      <c r="Z19" s="11">
        <v>16</v>
      </c>
      <c r="AA19" s="11"/>
      <c r="AB19" s="11"/>
      <c r="AC19" s="109">
        <f t="shared" si="4"/>
        <v>25</v>
      </c>
      <c r="AD19" s="16">
        <v>50</v>
      </c>
      <c r="AE19" s="108">
        <f t="shared" si="5"/>
        <v>71.428571428571431</v>
      </c>
      <c r="AF19" s="110"/>
      <c r="AG19" s="12"/>
      <c r="AH19" s="10"/>
      <c r="AI19" s="10"/>
      <c r="AJ19" s="10"/>
      <c r="AK19" s="109" t="str">
        <f t="shared" si="6"/>
        <v/>
      </c>
      <c r="AL19" s="11"/>
      <c r="AM19" s="11"/>
      <c r="AN19" s="11"/>
      <c r="AO19" s="11"/>
      <c r="AP19" s="109" t="str">
        <f t="shared" si="7"/>
        <v/>
      </c>
      <c r="AQ19" s="16"/>
      <c r="AR19" s="108" t="str">
        <f t="shared" si="8"/>
        <v/>
      </c>
      <c r="AS19" s="110"/>
      <c r="AT19" s="12"/>
      <c r="AU19" s="10"/>
      <c r="AV19" s="10"/>
      <c r="AW19" s="10"/>
      <c r="AX19" s="109" t="str">
        <f t="shared" si="9"/>
        <v/>
      </c>
      <c r="AY19" s="11"/>
      <c r="AZ19" s="11"/>
      <c r="BA19" s="11"/>
      <c r="BB19" s="11"/>
      <c r="BC19" s="109" t="str">
        <f t="shared" si="10"/>
        <v/>
      </c>
      <c r="BD19" s="16"/>
      <c r="BE19" s="108" t="str">
        <f t="shared" si="11"/>
        <v/>
      </c>
      <c r="BG19" s="97"/>
    </row>
    <row r="20" spans="1:59" s="98" customFormat="1" ht="14.1" customHeight="1" x14ac:dyDescent="0.2">
      <c r="A20" s="97"/>
      <c r="C20" s="111">
        <f t="shared" si="12"/>
        <v>13</v>
      </c>
      <c r="D20" s="453" t="s">
        <v>197</v>
      </c>
      <c r="E20" s="95"/>
      <c r="F20" s="20" t="s">
        <v>198</v>
      </c>
      <c r="G20" s="10">
        <v>0</v>
      </c>
      <c r="H20" s="10"/>
      <c r="I20" s="10"/>
      <c r="J20" s="10"/>
      <c r="K20" s="109">
        <f t="shared" si="0"/>
        <v>0</v>
      </c>
      <c r="L20" s="11">
        <v>0</v>
      </c>
      <c r="M20" s="11"/>
      <c r="N20" s="11"/>
      <c r="O20" s="11"/>
      <c r="P20" s="109">
        <f t="shared" si="1"/>
        <v>0</v>
      </c>
      <c r="Q20" s="16">
        <v>0</v>
      </c>
      <c r="R20" s="108">
        <f t="shared" si="2"/>
        <v>0</v>
      </c>
      <c r="S20" s="110"/>
      <c r="T20" s="12">
        <v>14</v>
      </c>
      <c r="U20" s="10"/>
      <c r="V20" s="10"/>
      <c r="W20" s="10"/>
      <c r="X20" s="109">
        <f t="shared" si="3"/>
        <v>14</v>
      </c>
      <c r="Y20" s="11">
        <v>1</v>
      </c>
      <c r="Z20" s="11">
        <v>0</v>
      </c>
      <c r="AA20" s="11"/>
      <c r="AB20" s="11"/>
      <c r="AC20" s="109">
        <f t="shared" si="4"/>
        <v>1</v>
      </c>
      <c r="AD20" s="16"/>
      <c r="AE20" s="108" t="str">
        <f t="shared" si="5"/>
        <v/>
      </c>
      <c r="AF20" s="110"/>
      <c r="AG20" s="12"/>
      <c r="AH20" s="10"/>
      <c r="AI20" s="10"/>
      <c r="AJ20" s="10"/>
      <c r="AK20" s="109" t="str">
        <f t="shared" si="6"/>
        <v/>
      </c>
      <c r="AL20" s="11"/>
      <c r="AM20" s="11"/>
      <c r="AN20" s="11"/>
      <c r="AO20" s="11"/>
      <c r="AP20" s="109" t="str">
        <f t="shared" si="7"/>
        <v/>
      </c>
      <c r="AQ20" s="16"/>
      <c r="AR20" s="108" t="str">
        <f t="shared" si="8"/>
        <v/>
      </c>
      <c r="AS20" s="110"/>
      <c r="AT20" s="12"/>
      <c r="AU20" s="10"/>
      <c r="AV20" s="10"/>
      <c r="AW20" s="10"/>
      <c r="AX20" s="109" t="str">
        <f t="shared" si="9"/>
        <v/>
      </c>
      <c r="AY20" s="11"/>
      <c r="AZ20" s="11"/>
      <c r="BA20" s="11"/>
      <c r="BB20" s="11"/>
      <c r="BC20" s="109" t="str">
        <f t="shared" si="10"/>
        <v/>
      </c>
      <c r="BD20" s="16"/>
      <c r="BE20" s="108" t="str">
        <f t="shared" si="11"/>
        <v/>
      </c>
      <c r="BG20" s="97"/>
    </row>
    <row r="21" spans="1:59" s="98" customFormat="1" ht="14.1" customHeight="1" x14ac:dyDescent="0.2">
      <c r="A21" s="97"/>
      <c r="C21" s="111">
        <f t="shared" si="12"/>
        <v>14</v>
      </c>
      <c r="D21" s="453" t="s">
        <v>186</v>
      </c>
      <c r="E21" s="95"/>
      <c r="F21" s="20" t="s">
        <v>187</v>
      </c>
      <c r="G21" s="10">
        <v>40</v>
      </c>
      <c r="H21" s="10"/>
      <c r="I21" s="10"/>
      <c r="J21" s="10"/>
      <c r="K21" s="109">
        <f t="shared" si="0"/>
        <v>40</v>
      </c>
      <c r="L21" s="11">
        <v>30</v>
      </c>
      <c r="M21" s="11"/>
      <c r="N21" s="11"/>
      <c r="O21" s="11"/>
      <c r="P21" s="109">
        <f t="shared" si="1"/>
        <v>30</v>
      </c>
      <c r="Q21" s="16">
        <v>34</v>
      </c>
      <c r="R21" s="108">
        <f t="shared" si="2"/>
        <v>48.571428571428569</v>
      </c>
      <c r="S21" s="110"/>
      <c r="T21" s="12">
        <v>0</v>
      </c>
      <c r="U21" s="10"/>
      <c r="V21" s="10"/>
      <c r="W21" s="10"/>
      <c r="X21" s="109">
        <f t="shared" si="3"/>
        <v>0</v>
      </c>
      <c r="Y21" s="11">
        <v>0</v>
      </c>
      <c r="Z21" s="11">
        <v>0</v>
      </c>
      <c r="AA21" s="11"/>
      <c r="AB21" s="11"/>
      <c r="AC21" s="109">
        <f t="shared" si="4"/>
        <v>0</v>
      </c>
      <c r="AD21" s="16">
        <v>22</v>
      </c>
      <c r="AE21" s="108">
        <f t="shared" si="5"/>
        <v>31.428571428571427</v>
      </c>
      <c r="AF21" s="110"/>
      <c r="AG21" s="12"/>
      <c r="AH21" s="10"/>
      <c r="AI21" s="10"/>
      <c r="AJ21" s="10"/>
      <c r="AK21" s="109" t="str">
        <f t="shared" si="6"/>
        <v/>
      </c>
      <c r="AL21" s="11"/>
      <c r="AM21" s="11"/>
      <c r="AN21" s="11"/>
      <c r="AO21" s="11"/>
      <c r="AP21" s="109" t="str">
        <f t="shared" si="7"/>
        <v/>
      </c>
      <c r="AQ21" s="16"/>
      <c r="AR21" s="108" t="str">
        <f t="shared" si="8"/>
        <v/>
      </c>
      <c r="AS21" s="110"/>
      <c r="AT21" s="12"/>
      <c r="AU21" s="10"/>
      <c r="AV21" s="10"/>
      <c r="AW21" s="10"/>
      <c r="AX21" s="109" t="str">
        <f t="shared" si="9"/>
        <v/>
      </c>
      <c r="AY21" s="11"/>
      <c r="AZ21" s="11"/>
      <c r="BA21" s="11"/>
      <c r="BB21" s="11"/>
      <c r="BC21" s="109" t="str">
        <f t="shared" si="10"/>
        <v/>
      </c>
      <c r="BD21" s="16"/>
      <c r="BE21" s="108" t="str">
        <f t="shared" si="11"/>
        <v/>
      </c>
      <c r="BG21" s="97"/>
    </row>
    <row r="22" spans="1:59" s="98" customFormat="1" ht="14.1" customHeight="1" x14ac:dyDescent="0.2">
      <c r="A22" s="97"/>
      <c r="C22" s="111">
        <f t="shared" si="12"/>
        <v>15</v>
      </c>
      <c r="D22" s="453" t="s">
        <v>188</v>
      </c>
      <c r="E22" s="95"/>
      <c r="F22" s="20" t="s">
        <v>189</v>
      </c>
      <c r="G22" s="10">
        <v>38</v>
      </c>
      <c r="H22" s="10"/>
      <c r="I22" s="10"/>
      <c r="J22" s="10"/>
      <c r="K22" s="109">
        <f t="shared" si="0"/>
        <v>38</v>
      </c>
      <c r="L22" s="11">
        <v>28</v>
      </c>
      <c r="M22" s="11"/>
      <c r="N22" s="11"/>
      <c r="O22" s="11"/>
      <c r="P22" s="109">
        <f t="shared" si="1"/>
        <v>28</v>
      </c>
      <c r="Q22" s="16">
        <v>66</v>
      </c>
      <c r="R22" s="108">
        <f t="shared" si="2"/>
        <v>94.285714285714278</v>
      </c>
      <c r="S22" s="110"/>
      <c r="T22" s="12">
        <v>47</v>
      </c>
      <c r="U22" s="10"/>
      <c r="V22" s="10"/>
      <c r="W22" s="10"/>
      <c r="X22" s="109">
        <f t="shared" si="3"/>
        <v>47</v>
      </c>
      <c r="Y22" s="11">
        <v>7</v>
      </c>
      <c r="Z22" s="11">
        <v>18</v>
      </c>
      <c r="AA22" s="11"/>
      <c r="AB22" s="11"/>
      <c r="AC22" s="109">
        <f t="shared" si="4"/>
        <v>25</v>
      </c>
      <c r="AD22" s="16">
        <v>42</v>
      </c>
      <c r="AE22" s="108">
        <f t="shared" si="5"/>
        <v>60</v>
      </c>
      <c r="AF22" s="110"/>
      <c r="AG22" s="12"/>
      <c r="AH22" s="10"/>
      <c r="AI22" s="10"/>
      <c r="AJ22" s="10"/>
      <c r="AK22" s="109" t="str">
        <f t="shared" si="6"/>
        <v/>
      </c>
      <c r="AL22" s="11"/>
      <c r="AM22" s="11"/>
      <c r="AN22" s="11"/>
      <c r="AO22" s="11"/>
      <c r="AP22" s="109" t="str">
        <f t="shared" si="7"/>
        <v/>
      </c>
      <c r="AQ22" s="16"/>
      <c r="AR22" s="108" t="str">
        <f t="shared" si="8"/>
        <v/>
      </c>
      <c r="AS22" s="110"/>
      <c r="AT22" s="12"/>
      <c r="AU22" s="10"/>
      <c r="AV22" s="10"/>
      <c r="AW22" s="10"/>
      <c r="AX22" s="109" t="str">
        <f t="shared" si="9"/>
        <v/>
      </c>
      <c r="AY22" s="11"/>
      <c r="AZ22" s="11"/>
      <c r="BA22" s="11"/>
      <c r="BB22" s="11"/>
      <c r="BC22" s="109" t="str">
        <f t="shared" si="10"/>
        <v/>
      </c>
      <c r="BD22" s="16"/>
      <c r="BE22" s="108" t="str">
        <f t="shared" si="11"/>
        <v/>
      </c>
      <c r="BG22" s="97"/>
    </row>
    <row r="23" spans="1:59" s="98" customFormat="1" ht="14.1" customHeight="1" x14ac:dyDescent="0.2">
      <c r="A23" s="97"/>
      <c r="C23" s="111">
        <f t="shared" si="12"/>
        <v>16</v>
      </c>
      <c r="D23" s="453" t="s">
        <v>199</v>
      </c>
      <c r="E23" s="95"/>
      <c r="F23" s="20" t="s">
        <v>200</v>
      </c>
      <c r="G23" s="10">
        <v>39</v>
      </c>
      <c r="H23" s="10"/>
      <c r="I23" s="10"/>
      <c r="J23" s="10"/>
      <c r="K23" s="109">
        <f t="shared" si="0"/>
        <v>39</v>
      </c>
      <c r="L23" s="11">
        <v>28</v>
      </c>
      <c r="M23" s="11"/>
      <c r="N23" s="11"/>
      <c r="O23" s="11"/>
      <c r="P23" s="109">
        <f t="shared" si="1"/>
        <v>28</v>
      </c>
      <c r="Q23" s="16">
        <v>32</v>
      </c>
      <c r="R23" s="108">
        <f t="shared" si="2"/>
        <v>45.714285714285715</v>
      </c>
      <c r="S23" s="110"/>
      <c r="T23" s="12">
        <v>48</v>
      </c>
      <c r="U23" s="10"/>
      <c r="V23" s="10"/>
      <c r="W23" s="10"/>
      <c r="X23" s="109">
        <f t="shared" si="3"/>
        <v>48</v>
      </c>
      <c r="Y23" s="11">
        <v>5</v>
      </c>
      <c r="Z23" s="11">
        <v>18</v>
      </c>
      <c r="AA23" s="11"/>
      <c r="AB23" s="11"/>
      <c r="AC23" s="109">
        <f t="shared" si="4"/>
        <v>23</v>
      </c>
      <c r="AD23" s="16">
        <v>40</v>
      </c>
      <c r="AE23" s="108">
        <f t="shared" si="5"/>
        <v>57.142857142857139</v>
      </c>
      <c r="AF23" s="110"/>
      <c r="AG23" s="12"/>
      <c r="AH23" s="10"/>
      <c r="AI23" s="10"/>
      <c r="AJ23" s="10"/>
      <c r="AK23" s="109" t="str">
        <f t="shared" si="6"/>
        <v/>
      </c>
      <c r="AL23" s="11"/>
      <c r="AM23" s="11"/>
      <c r="AN23" s="11"/>
      <c r="AO23" s="11"/>
      <c r="AP23" s="109" t="str">
        <f t="shared" si="7"/>
        <v/>
      </c>
      <c r="AQ23" s="16"/>
      <c r="AR23" s="108" t="str">
        <f t="shared" si="8"/>
        <v/>
      </c>
      <c r="AS23" s="110"/>
      <c r="AT23" s="12"/>
      <c r="AU23" s="10"/>
      <c r="AV23" s="10"/>
      <c r="AW23" s="10"/>
      <c r="AX23" s="109" t="str">
        <f t="shared" si="9"/>
        <v/>
      </c>
      <c r="AY23" s="11"/>
      <c r="AZ23" s="11"/>
      <c r="BA23" s="11"/>
      <c r="BB23" s="11"/>
      <c r="BC23" s="109" t="str">
        <f t="shared" si="10"/>
        <v/>
      </c>
      <c r="BD23" s="16"/>
      <c r="BE23" s="108" t="str">
        <f t="shared" si="11"/>
        <v/>
      </c>
      <c r="BG23" s="97"/>
    </row>
    <row r="24" spans="1:59" s="98" customFormat="1" ht="14.1" customHeight="1" x14ac:dyDescent="0.2">
      <c r="A24" s="97"/>
      <c r="C24" s="111">
        <f t="shared" si="12"/>
        <v>17</v>
      </c>
      <c r="D24" s="453" t="s">
        <v>190</v>
      </c>
      <c r="E24" s="95"/>
      <c r="F24" s="20" t="s">
        <v>191</v>
      </c>
      <c r="G24" s="10">
        <v>35</v>
      </c>
      <c r="H24" s="10"/>
      <c r="I24" s="10"/>
      <c r="J24" s="10"/>
      <c r="K24" s="109">
        <f t="shared" si="0"/>
        <v>35</v>
      </c>
      <c r="L24" s="11">
        <v>25</v>
      </c>
      <c r="M24" s="11"/>
      <c r="N24" s="11"/>
      <c r="O24" s="11"/>
      <c r="P24" s="109">
        <f t="shared" si="1"/>
        <v>25</v>
      </c>
      <c r="Q24" s="16">
        <v>24</v>
      </c>
      <c r="R24" s="108">
        <f t="shared" si="2"/>
        <v>34.285714285714285</v>
      </c>
      <c r="S24" s="110"/>
      <c r="T24" s="12">
        <v>14</v>
      </c>
      <c r="U24" s="10"/>
      <c r="V24" s="10"/>
      <c r="W24" s="10"/>
      <c r="X24" s="109">
        <f t="shared" si="3"/>
        <v>14</v>
      </c>
      <c r="Y24" s="11">
        <v>3</v>
      </c>
      <c r="Z24" s="11">
        <v>10</v>
      </c>
      <c r="AA24" s="11"/>
      <c r="AB24" s="11"/>
      <c r="AC24" s="109">
        <f t="shared" si="4"/>
        <v>13</v>
      </c>
      <c r="AD24" s="16"/>
      <c r="AE24" s="108" t="str">
        <f t="shared" si="5"/>
        <v/>
      </c>
      <c r="AF24" s="110"/>
      <c r="AG24" s="12"/>
      <c r="AH24" s="10"/>
      <c r="AI24" s="10"/>
      <c r="AJ24" s="10"/>
      <c r="AK24" s="109" t="str">
        <f t="shared" si="6"/>
        <v/>
      </c>
      <c r="AL24" s="11"/>
      <c r="AM24" s="11"/>
      <c r="AN24" s="11"/>
      <c r="AO24" s="11"/>
      <c r="AP24" s="109" t="str">
        <f t="shared" si="7"/>
        <v/>
      </c>
      <c r="AQ24" s="16"/>
      <c r="AR24" s="108" t="str">
        <f t="shared" si="8"/>
        <v/>
      </c>
      <c r="AS24" s="110"/>
      <c r="AT24" s="12"/>
      <c r="AU24" s="10"/>
      <c r="AV24" s="10"/>
      <c r="AW24" s="10"/>
      <c r="AX24" s="109" t="str">
        <f t="shared" si="9"/>
        <v/>
      </c>
      <c r="AY24" s="11"/>
      <c r="AZ24" s="11"/>
      <c r="BA24" s="11"/>
      <c r="BB24" s="11"/>
      <c r="BC24" s="109" t="str">
        <f t="shared" si="10"/>
        <v/>
      </c>
      <c r="BD24" s="16"/>
      <c r="BE24" s="108" t="str">
        <f t="shared" si="11"/>
        <v/>
      </c>
      <c r="BG24" s="97"/>
    </row>
    <row r="25" spans="1:59" s="98" customFormat="1" ht="14.1" customHeight="1" x14ac:dyDescent="0.2">
      <c r="A25" s="97"/>
      <c r="C25" s="111">
        <f t="shared" si="12"/>
        <v>18</v>
      </c>
      <c r="D25" s="453"/>
      <c r="E25" s="95"/>
      <c r="F25" s="20"/>
      <c r="G25" s="10"/>
      <c r="H25" s="10"/>
      <c r="I25" s="10"/>
      <c r="J25" s="10"/>
      <c r="K25" s="109" t="str">
        <f t="shared" si="0"/>
        <v/>
      </c>
      <c r="L25" s="11"/>
      <c r="M25" s="11"/>
      <c r="N25" s="11"/>
      <c r="O25" s="11"/>
      <c r="P25" s="109" t="str">
        <f t="shared" si="1"/>
        <v/>
      </c>
      <c r="Q25" s="16"/>
      <c r="R25" s="108" t="str">
        <f t="shared" si="2"/>
        <v/>
      </c>
      <c r="S25" s="110"/>
      <c r="T25" s="12">
        <v>0</v>
      </c>
      <c r="U25" s="10"/>
      <c r="V25" s="10"/>
      <c r="W25" s="10"/>
      <c r="X25" s="109" t="str">
        <f t="shared" si="3"/>
        <v/>
      </c>
      <c r="Y25" s="11">
        <v>0</v>
      </c>
      <c r="Z25" s="11">
        <v>0</v>
      </c>
      <c r="AA25" s="11"/>
      <c r="AB25" s="11"/>
      <c r="AC25" s="109" t="str">
        <f t="shared" si="4"/>
        <v/>
      </c>
      <c r="AD25" s="16"/>
      <c r="AE25" s="108" t="str">
        <f t="shared" si="5"/>
        <v/>
      </c>
      <c r="AF25" s="110"/>
      <c r="AG25" s="12"/>
      <c r="AH25" s="10"/>
      <c r="AI25" s="10"/>
      <c r="AJ25" s="10"/>
      <c r="AK25" s="109" t="str">
        <f t="shared" si="6"/>
        <v/>
      </c>
      <c r="AL25" s="11"/>
      <c r="AM25" s="11"/>
      <c r="AN25" s="11"/>
      <c r="AO25" s="11"/>
      <c r="AP25" s="109" t="str">
        <f t="shared" si="7"/>
        <v/>
      </c>
      <c r="AQ25" s="16"/>
      <c r="AR25" s="108" t="str">
        <f t="shared" si="8"/>
        <v/>
      </c>
      <c r="AS25" s="110"/>
      <c r="AT25" s="12"/>
      <c r="AU25" s="10"/>
      <c r="AV25" s="10"/>
      <c r="AW25" s="10"/>
      <c r="AX25" s="109" t="str">
        <f t="shared" si="9"/>
        <v/>
      </c>
      <c r="AY25" s="11"/>
      <c r="AZ25" s="11"/>
      <c r="BA25" s="11"/>
      <c r="BB25" s="11"/>
      <c r="BC25" s="109" t="str">
        <f t="shared" si="10"/>
        <v/>
      </c>
      <c r="BD25" s="16"/>
      <c r="BE25" s="108" t="str">
        <f t="shared" si="11"/>
        <v/>
      </c>
      <c r="BG25" s="97"/>
    </row>
    <row r="26" spans="1:59" s="98" customFormat="1" ht="14.1" customHeight="1" x14ac:dyDescent="0.2">
      <c r="A26" s="97"/>
      <c r="C26" s="111">
        <f t="shared" si="12"/>
        <v>19</v>
      </c>
      <c r="D26" s="453"/>
      <c r="E26" s="95"/>
      <c r="F26" s="20"/>
      <c r="G26" s="10"/>
      <c r="H26" s="10"/>
      <c r="I26" s="10"/>
      <c r="J26" s="10"/>
      <c r="K26" s="109" t="str">
        <f t="shared" si="0"/>
        <v/>
      </c>
      <c r="L26" s="11"/>
      <c r="M26" s="11"/>
      <c r="N26" s="11"/>
      <c r="O26" s="11"/>
      <c r="P26" s="109" t="str">
        <f t="shared" si="1"/>
        <v/>
      </c>
      <c r="Q26" s="16"/>
      <c r="R26" s="108" t="str">
        <f t="shared" si="2"/>
        <v/>
      </c>
      <c r="S26" s="110"/>
      <c r="T26" s="12"/>
      <c r="U26" s="10"/>
      <c r="V26" s="10"/>
      <c r="W26" s="10"/>
      <c r="X26" s="109" t="str">
        <f t="shared" si="3"/>
        <v/>
      </c>
      <c r="Y26" s="11"/>
      <c r="Z26" s="11"/>
      <c r="AA26" s="11"/>
      <c r="AB26" s="11"/>
      <c r="AC26" s="109" t="str">
        <f t="shared" si="4"/>
        <v/>
      </c>
      <c r="AD26" s="16"/>
      <c r="AE26" s="108" t="str">
        <f t="shared" si="5"/>
        <v/>
      </c>
      <c r="AF26" s="110"/>
      <c r="AG26" s="12"/>
      <c r="AH26" s="10"/>
      <c r="AI26" s="10"/>
      <c r="AJ26" s="10"/>
      <c r="AK26" s="109" t="str">
        <f t="shared" si="6"/>
        <v/>
      </c>
      <c r="AL26" s="11"/>
      <c r="AM26" s="11"/>
      <c r="AN26" s="11"/>
      <c r="AO26" s="11"/>
      <c r="AP26" s="109" t="str">
        <f t="shared" si="7"/>
        <v/>
      </c>
      <c r="AQ26" s="16"/>
      <c r="AR26" s="108" t="str">
        <f t="shared" si="8"/>
        <v/>
      </c>
      <c r="AS26" s="110"/>
      <c r="AT26" s="12"/>
      <c r="AU26" s="10"/>
      <c r="AV26" s="10"/>
      <c r="AW26" s="10"/>
      <c r="AX26" s="109" t="str">
        <f t="shared" si="9"/>
        <v/>
      </c>
      <c r="AY26" s="11"/>
      <c r="AZ26" s="11"/>
      <c r="BA26" s="11"/>
      <c r="BB26" s="11"/>
      <c r="BC26" s="109" t="str">
        <f t="shared" si="10"/>
        <v/>
      </c>
      <c r="BD26" s="16"/>
      <c r="BE26" s="108" t="str">
        <f t="shared" si="11"/>
        <v/>
      </c>
      <c r="BG26" s="97"/>
    </row>
    <row r="27" spans="1:59" s="98" customFormat="1" ht="14.1" customHeight="1" x14ac:dyDescent="0.2">
      <c r="A27" s="97"/>
      <c r="C27" s="111">
        <f t="shared" si="12"/>
        <v>20</v>
      </c>
      <c r="D27" s="453"/>
      <c r="E27" s="95"/>
      <c r="F27" s="20"/>
      <c r="G27" s="10"/>
      <c r="H27" s="10"/>
      <c r="I27" s="10"/>
      <c r="J27" s="10"/>
      <c r="K27" s="109" t="str">
        <f t="shared" si="0"/>
        <v/>
      </c>
      <c r="L27" s="11"/>
      <c r="M27" s="11"/>
      <c r="N27" s="11"/>
      <c r="O27" s="11"/>
      <c r="P27" s="109" t="str">
        <f t="shared" si="1"/>
        <v/>
      </c>
      <c r="Q27" s="16"/>
      <c r="R27" s="108" t="str">
        <f t="shared" si="2"/>
        <v/>
      </c>
      <c r="S27" s="110"/>
      <c r="T27" s="12"/>
      <c r="U27" s="10"/>
      <c r="V27" s="10"/>
      <c r="W27" s="10"/>
      <c r="X27" s="109" t="str">
        <f t="shared" si="3"/>
        <v/>
      </c>
      <c r="Y27" s="11"/>
      <c r="Z27" s="11"/>
      <c r="AA27" s="11"/>
      <c r="AB27" s="11"/>
      <c r="AC27" s="109" t="str">
        <f t="shared" si="4"/>
        <v/>
      </c>
      <c r="AD27" s="16"/>
      <c r="AE27" s="108" t="str">
        <f t="shared" si="5"/>
        <v/>
      </c>
      <c r="AF27" s="110"/>
      <c r="AG27" s="12"/>
      <c r="AH27" s="10"/>
      <c r="AI27" s="10"/>
      <c r="AJ27" s="10"/>
      <c r="AK27" s="109" t="str">
        <f t="shared" si="6"/>
        <v/>
      </c>
      <c r="AL27" s="11"/>
      <c r="AM27" s="11"/>
      <c r="AN27" s="11"/>
      <c r="AO27" s="11"/>
      <c r="AP27" s="109" t="str">
        <f t="shared" si="7"/>
        <v/>
      </c>
      <c r="AQ27" s="16"/>
      <c r="AR27" s="108" t="str">
        <f t="shared" si="8"/>
        <v/>
      </c>
      <c r="AS27" s="110"/>
      <c r="AT27" s="12"/>
      <c r="AU27" s="10"/>
      <c r="AV27" s="10"/>
      <c r="AW27" s="10"/>
      <c r="AX27" s="109" t="str">
        <f t="shared" si="9"/>
        <v/>
      </c>
      <c r="AY27" s="11"/>
      <c r="AZ27" s="11"/>
      <c r="BA27" s="11"/>
      <c r="BB27" s="11"/>
      <c r="BC27" s="109" t="str">
        <f t="shared" si="10"/>
        <v/>
      </c>
      <c r="BD27" s="16"/>
      <c r="BE27" s="108" t="str">
        <f t="shared" si="11"/>
        <v/>
      </c>
      <c r="BG27" s="97"/>
    </row>
    <row r="28" spans="1:59" s="98" customFormat="1" ht="14.1" customHeight="1" x14ac:dyDescent="0.2">
      <c r="A28" s="97"/>
      <c r="C28" s="111">
        <f t="shared" si="12"/>
        <v>21</v>
      </c>
      <c r="D28" s="453"/>
      <c r="E28" s="95"/>
      <c r="F28" s="20"/>
      <c r="G28" s="10"/>
      <c r="H28" s="10"/>
      <c r="I28" s="10"/>
      <c r="J28" s="10"/>
      <c r="K28" s="109" t="str">
        <f t="shared" si="0"/>
        <v/>
      </c>
      <c r="L28" s="11"/>
      <c r="M28" s="11"/>
      <c r="N28" s="11"/>
      <c r="O28" s="11"/>
      <c r="P28" s="109" t="str">
        <f t="shared" si="1"/>
        <v/>
      </c>
      <c r="Q28" s="16"/>
      <c r="R28" s="108" t="str">
        <f t="shared" si="2"/>
        <v/>
      </c>
      <c r="S28" s="110"/>
      <c r="T28" s="12"/>
      <c r="U28" s="10"/>
      <c r="V28" s="10"/>
      <c r="W28" s="10"/>
      <c r="X28" s="109" t="str">
        <f t="shared" si="3"/>
        <v/>
      </c>
      <c r="Y28" s="11"/>
      <c r="Z28" s="11"/>
      <c r="AA28" s="11"/>
      <c r="AB28" s="11"/>
      <c r="AC28" s="109" t="str">
        <f t="shared" si="4"/>
        <v/>
      </c>
      <c r="AD28" s="16"/>
      <c r="AE28" s="108" t="str">
        <f t="shared" si="5"/>
        <v/>
      </c>
      <c r="AF28" s="110"/>
      <c r="AG28" s="12"/>
      <c r="AH28" s="10"/>
      <c r="AI28" s="10"/>
      <c r="AJ28" s="10"/>
      <c r="AK28" s="109" t="str">
        <f t="shared" si="6"/>
        <v/>
      </c>
      <c r="AL28" s="11"/>
      <c r="AM28" s="11"/>
      <c r="AN28" s="11"/>
      <c r="AO28" s="11"/>
      <c r="AP28" s="109" t="str">
        <f t="shared" si="7"/>
        <v/>
      </c>
      <c r="AQ28" s="16"/>
      <c r="AR28" s="108" t="str">
        <f t="shared" si="8"/>
        <v/>
      </c>
      <c r="AS28" s="110"/>
      <c r="AT28" s="12"/>
      <c r="AU28" s="10"/>
      <c r="AV28" s="10"/>
      <c r="AW28" s="10"/>
      <c r="AX28" s="109" t="str">
        <f t="shared" si="9"/>
        <v/>
      </c>
      <c r="AY28" s="11"/>
      <c r="AZ28" s="11"/>
      <c r="BA28" s="11"/>
      <c r="BB28" s="11"/>
      <c r="BC28" s="109" t="str">
        <f t="shared" si="10"/>
        <v/>
      </c>
      <c r="BD28" s="16"/>
      <c r="BE28" s="108" t="str">
        <f t="shared" si="11"/>
        <v/>
      </c>
      <c r="BG28" s="97"/>
    </row>
    <row r="29" spans="1:59" s="98" customFormat="1" ht="14.1" customHeight="1" x14ac:dyDescent="0.2">
      <c r="A29" s="97"/>
      <c r="C29" s="111">
        <f t="shared" si="12"/>
        <v>22</v>
      </c>
      <c r="D29" s="453"/>
      <c r="E29" s="95"/>
      <c r="F29" s="20"/>
      <c r="G29" s="10"/>
      <c r="H29" s="10"/>
      <c r="I29" s="10"/>
      <c r="J29" s="10"/>
      <c r="K29" s="109" t="str">
        <f t="shared" si="0"/>
        <v/>
      </c>
      <c r="L29" s="11"/>
      <c r="M29" s="11"/>
      <c r="N29" s="11"/>
      <c r="O29" s="11"/>
      <c r="P29" s="109" t="str">
        <f t="shared" si="1"/>
        <v/>
      </c>
      <c r="Q29" s="16"/>
      <c r="R29" s="108" t="str">
        <f t="shared" si="2"/>
        <v/>
      </c>
      <c r="S29" s="110"/>
      <c r="T29" s="12"/>
      <c r="U29" s="10"/>
      <c r="V29" s="10"/>
      <c r="W29" s="10"/>
      <c r="X29" s="109" t="str">
        <f t="shared" si="3"/>
        <v/>
      </c>
      <c r="Y29" s="11"/>
      <c r="Z29" s="11"/>
      <c r="AA29" s="11"/>
      <c r="AB29" s="11"/>
      <c r="AC29" s="109" t="str">
        <f t="shared" si="4"/>
        <v/>
      </c>
      <c r="AD29" s="16"/>
      <c r="AE29" s="108" t="str">
        <f t="shared" si="5"/>
        <v/>
      </c>
      <c r="AF29" s="110"/>
      <c r="AG29" s="12"/>
      <c r="AH29" s="10"/>
      <c r="AI29" s="10"/>
      <c r="AJ29" s="10"/>
      <c r="AK29" s="109" t="str">
        <f t="shared" si="6"/>
        <v/>
      </c>
      <c r="AL29" s="11"/>
      <c r="AM29" s="11"/>
      <c r="AN29" s="11"/>
      <c r="AO29" s="11"/>
      <c r="AP29" s="109" t="str">
        <f t="shared" si="7"/>
        <v/>
      </c>
      <c r="AQ29" s="16"/>
      <c r="AR29" s="108" t="str">
        <f t="shared" si="8"/>
        <v/>
      </c>
      <c r="AS29" s="110"/>
      <c r="AT29" s="12"/>
      <c r="AU29" s="10"/>
      <c r="AV29" s="10"/>
      <c r="AW29" s="10"/>
      <c r="AX29" s="109" t="str">
        <f t="shared" si="9"/>
        <v/>
      </c>
      <c r="AY29" s="11"/>
      <c r="AZ29" s="11"/>
      <c r="BA29" s="11"/>
      <c r="BB29" s="11"/>
      <c r="BC29" s="109" t="str">
        <f t="shared" si="10"/>
        <v/>
      </c>
      <c r="BD29" s="16"/>
      <c r="BE29" s="108" t="str">
        <f t="shared" si="11"/>
        <v/>
      </c>
      <c r="BG29" s="97"/>
    </row>
    <row r="30" spans="1:59" s="98" customFormat="1" ht="14.1" customHeight="1" x14ac:dyDescent="0.2">
      <c r="A30" s="97"/>
      <c r="C30" s="111">
        <f t="shared" si="12"/>
        <v>23</v>
      </c>
      <c r="D30" s="453"/>
      <c r="E30" s="95"/>
      <c r="F30" s="20"/>
      <c r="G30" s="10"/>
      <c r="H30" s="10"/>
      <c r="I30" s="10"/>
      <c r="J30" s="10"/>
      <c r="K30" s="109" t="str">
        <f t="shared" si="0"/>
        <v/>
      </c>
      <c r="L30" s="11"/>
      <c r="M30" s="11"/>
      <c r="N30" s="11"/>
      <c r="O30" s="11"/>
      <c r="P30" s="109" t="str">
        <f t="shared" si="1"/>
        <v/>
      </c>
      <c r="Q30" s="16"/>
      <c r="R30" s="108" t="str">
        <f t="shared" si="2"/>
        <v/>
      </c>
      <c r="S30" s="110"/>
      <c r="T30" s="12"/>
      <c r="U30" s="10"/>
      <c r="V30" s="10"/>
      <c r="W30" s="10"/>
      <c r="X30" s="109" t="str">
        <f t="shared" si="3"/>
        <v/>
      </c>
      <c r="Y30" s="11"/>
      <c r="Z30" s="11"/>
      <c r="AA30" s="11"/>
      <c r="AB30" s="11"/>
      <c r="AC30" s="109" t="str">
        <f t="shared" si="4"/>
        <v/>
      </c>
      <c r="AD30" s="16"/>
      <c r="AE30" s="108" t="str">
        <f t="shared" si="5"/>
        <v/>
      </c>
      <c r="AF30" s="110"/>
      <c r="AG30" s="12"/>
      <c r="AH30" s="10"/>
      <c r="AI30" s="10"/>
      <c r="AJ30" s="10"/>
      <c r="AK30" s="109" t="str">
        <f t="shared" si="6"/>
        <v/>
      </c>
      <c r="AL30" s="11"/>
      <c r="AM30" s="11"/>
      <c r="AN30" s="11"/>
      <c r="AO30" s="11"/>
      <c r="AP30" s="109" t="str">
        <f t="shared" si="7"/>
        <v/>
      </c>
      <c r="AQ30" s="16"/>
      <c r="AR30" s="108" t="str">
        <f t="shared" si="8"/>
        <v/>
      </c>
      <c r="AS30" s="110"/>
      <c r="AT30" s="12"/>
      <c r="AU30" s="10"/>
      <c r="AV30" s="10"/>
      <c r="AW30" s="10"/>
      <c r="AX30" s="109" t="str">
        <f t="shared" si="9"/>
        <v/>
      </c>
      <c r="AY30" s="11"/>
      <c r="AZ30" s="11"/>
      <c r="BA30" s="11"/>
      <c r="BB30" s="11"/>
      <c r="BC30" s="109" t="str">
        <f t="shared" si="10"/>
        <v/>
      </c>
      <c r="BD30" s="16"/>
      <c r="BE30" s="108" t="str">
        <f t="shared" si="11"/>
        <v/>
      </c>
      <c r="BG30" s="97"/>
    </row>
    <row r="31" spans="1:59" s="98" customFormat="1" ht="14.1" customHeight="1" x14ac:dyDescent="0.2">
      <c r="A31" s="97"/>
      <c r="C31" s="111">
        <f t="shared" si="12"/>
        <v>24</v>
      </c>
      <c r="D31" s="453"/>
      <c r="E31" s="95"/>
      <c r="F31" s="20"/>
      <c r="G31" s="10"/>
      <c r="H31" s="10"/>
      <c r="I31" s="10"/>
      <c r="J31" s="10"/>
      <c r="K31" s="109" t="str">
        <f t="shared" si="0"/>
        <v/>
      </c>
      <c r="L31" s="11"/>
      <c r="M31" s="11"/>
      <c r="N31" s="11"/>
      <c r="O31" s="11"/>
      <c r="P31" s="109" t="str">
        <f t="shared" si="1"/>
        <v/>
      </c>
      <c r="Q31" s="16"/>
      <c r="R31" s="108" t="str">
        <f t="shared" si="2"/>
        <v/>
      </c>
      <c r="S31" s="110"/>
      <c r="T31" s="12"/>
      <c r="U31" s="10"/>
      <c r="V31" s="10"/>
      <c r="W31" s="10"/>
      <c r="X31" s="109" t="str">
        <f t="shared" si="3"/>
        <v/>
      </c>
      <c r="Y31" s="11"/>
      <c r="Z31" s="11"/>
      <c r="AA31" s="11"/>
      <c r="AB31" s="11"/>
      <c r="AC31" s="109" t="str">
        <f t="shared" si="4"/>
        <v/>
      </c>
      <c r="AD31" s="16"/>
      <c r="AE31" s="108" t="str">
        <f t="shared" si="5"/>
        <v/>
      </c>
      <c r="AF31" s="110"/>
      <c r="AG31" s="12"/>
      <c r="AH31" s="10"/>
      <c r="AI31" s="10"/>
      <c r="AJ31" s="10"/>
      <c r="AK31" s="109" t="str">
        <f t="shared" si="6"/>
        <v/>
      </c>
      <c r="AL31" s="11"/>
      <c r="AM31" s="11"/>
      <c r="AN31" s="11"/>
      <c r="AO31" s="11"/>
      <c r="AP31" s="109" t="str">
        <f t="shared" si="7"/>
        <v/>
      </c>
      <c r="AQ31" s="16"/>
      <c r="AR31" s="108" t="str">
        <f t="shared" si="8"/>
        <v/>
      </c>
      <c r="AS31" s="110"/>
      <c r="AT31" s="12"/>
      <c r="AU31" s="10"/>
      <c r="AV31" s="10"/>
      <c r="AW31" s="10"/>
      <c r="AX31" s="109" t="str">
        <f t="shared" si="9"/>
        <v/>
      </c>
      <c r="AY31" s="11"/>
      <c r="AZ31" s="11"/>
      <c r="BA31" s="11"/>
      <c r="BB31" s="11"/>
      <c r="BC31" s="109" t="str">
        <f t="shared" si="10"/>
        <v/>
      </c>
      <c r="BD31" s="16"/>
      <c r="BE31" s="108" t="str">
        <f t="shared" si="11"/>
        <v/>
      </c>
      <c r="BG31" s="97"/>
    </row>
    <row r="32" spans="1:59" s="98" customFormat="1" ht="14.1" customHeight="1" x14ac:dyDescent="0.2">
      <c r="A32" s="97"/>
      <c r="C32" s="111">
        <f t="shared" si="12"/>
        <v>25</v>
      </c>
      <c r="D32" s="8"/>
      <c r="E32" s="95"/>
      <c r="F32" s="20"/>
      <c r="G32" s="10"/>
      <c r="H32" s="10"/>
      <c r="I32" s="10"/>
      <c r="J32" s="10"/>
      <c r="K32" s="109" t="str">
        <f t="shared" si="0"/>
        <v/>
      </c>
      <c r="L32" s="11"/>
      <c r="M32" s="11"/>
      <c r="N32" s="11"/>
      <c r="O32" s="11"/>
      <c r="P32" s="109" t="str">
        <f t="shared" si="1"/>
        <v/>
      </c>
      <c r="Q32" s="16"/>
      <c r="R32" s="108" t="str">
        <f t="shared" si="2"/>
        <v/>
      </c>
      <c r="S32" s="110"/>
      <c r="T32" s="12"/>
      <c r="U32" s="10"/>
      <c r="V32" s="10"/>
      <c r="W32" s="10"/>
      <c r="X32" s="109" t="str">
        <f t="shared" si="3"/>
        <v/>
      </c>
      <c r="Y32" s="11"/>
      <c r="Z32" s="11"/>
      <c r="AA32" s="11"/>
      <c r="AB32" s="11"/>
      <c r="AC32" s="109" t="str">
        <f t="shared" si="4"/>
        <v/>
      </c>
      <c r="AD32" s="16"/>
      <c r="AE32" s="108" t="str">
        <f t="shared" si="5"/>
        <v/>
      </c>
      <c r="AF32" s="110"/>
      <c r="AG32" s="12"/>
      <c r="AH32" s="10"/>
      <c r="AI32" s="10"/>
      <c r="AJ32" s="10"/>
      <c r="AK32" s="109" t="str">
        <f t="shared" si="6"/>
        <v/>
      </c>
      <c r="AL32" s="11"/>
      <c r="AM32" s="11"/>
      <c r="AN32" s="11"/>
      <c r="AO32" s="11"/>
      <c r="AP32" s="109" t="str">
        <f t="shared" si="7"/>
        <v/>
      </c>
      <c r="AQ32" s="16"/>
      <c r="AR32" s="108" t="str">
        <f t="shared" si="8"/>
        <v/>
      </c>
      <c r="AS32" s="110"/>
      <c r="AT32" s="12"/>
      <c r="AU32" s="10"/>
      <c r="AV32" s="10"/>
      <c r="AW32" s="10"/>
      <c r="AX32" s="109" t="str">
        <f t="shared" si="9"/>
        <v/>
      </c>
      <c r="AY32" s="11"/>
      <c r="AZ32" s="11"/>
      <c r="BA32" s="11"/>
      <c r="BB32" s="11"/>
      <c r="BC32" s="109" t="str">
        <f t="shared" si="10"/>
        <v/>
      </c>
      <c r="BD32" s="16"/>
      <c r="BE32" s="108" t="str">
        <f t="shared" si="11"/>
        <v/>
      </c>
      <c r="BG32" s="97"/>
    </row>
    <row r="33" spans="1:59" s="98" customFormat="1" ht="14.1" customHeight="1" x14ac:dyDescent="0.2">
      <c r="A33" s="97"/>
      <c r="C33" s="111">
        <f t="shared" si="12"/>
        <v>26</v>
      </c>
      <c r="D33" s="8"/>
      <c r="E33" s="95"/>
      <c r="F33" s="20"/>
      <c r="G33" s="10"/>
      <c r="H33" s="10"/>
      <c r="I33" s="10"/>
      <c r="J33" s="10"/>
      <c r="K33" s="109" t="str">
        <f t="shared" si="0"/>
        <v/>
      </c>
      <c r="L33" s="11"/>
      <c r="M33" s="11"/>
      <c r="N33" s="11"/>
      <c r="O33" s="11"/>
      <c r="P33" s="109" t="str">
        <f t="shared" si="1"/>
        <v/>
      </c>
      <c r="Q33" s="16"/>
      <c r="R33" s="108" t="str">
        <f t="shared" si="2"/>
        <v/>
      </c>
      <c r="S33" s="110"/>
      <c r="T33" s="12"/>
      <c r="U33" s="10"/>
      <c r="V33" s="10"/>
      <c r="W33" s="10"/>
      <c r="X33" s="109" t="str">
        <f t="shared" si="3"/>
        <v/>
      </c>
      <c r="Y33" s="11"/>
      <c r="Z33" s="11"/>
      <c r="AA33" s="11"/>
      <c r="AB33" s="11"/>
      <c r="AC33" s="109" t="str">
        <f t="shared" si="4"/>
        <v/>
      </c>
      <c r="AD33" s="16"/>
      <c r="AE33" s="108" t="str">
        <f t="shared" si="5"/>
        <v/>
      </c>
      <c r="AF33" s="110"/>
      <c r="AG33" s="12"/>
      <c r="AH33" s="10"/>
      <c r="AI33" s="10"/>
      <c r="AJ33" s="10"/>
      <c r="AK33" s="109" t="str">
        <f t="shared" si="6"/>
        <v/>
      </c>
      <c r="AL33" s="11"/>
      <c r="AM33" s="11"/>
      <c r="AN33" s="11"/>
      <c r="AO33" s="11"/>
      <c r="AP33" s="109" t="str">
        <f t="shared" si="7"/>
        <v/>
      </c>
      <c r="AQ33" s="16"/>
      <c r="AR33" s="108" t="str">
        <f t="shared" si="8"/>
        <v/>
      </c>
      <c r="AS33" s="110"/>
      <c r="AT33" s="12"/>
      <c r="AU33" s="10"/>
      <c r="AV33" s="10"/>
      <c r="AW33" s="10"/>
      <c r="AX33" s="109" t="str">
        <f t="shared" si="9"/>
        <v/>
      </c>
      <c r="AY33" s="11"/>
      <c r="AZ33" s="11"/>
      <c r="BA33" s="11"/>
      <c r="BB33" s="11"/>
      <c r="BC33" s="109" t="str">
        <f t="shared" si="10"/>
        <v/>
      </c>
      <c r="BD33" s="16"/>
      <c r="BE33" s="108" t="str">
        <f t="shared" si="11"/>
        <v/>
      </c>
      <c r="BG33" s="97"/>
    </row>
    <row r="34" spans="1:59" s="98" customFormat="1" ht="14.1" customHeight="1" x14ac:dyDescent="0.2">
      <c r="A34" s="97"/>
      <c r="C34" s="111">
        <f t="shared" si="12"/>
        <v>27</v>
      </c>
      <c r="D34" s="8"/>
      <c r="E34" s="95"/>
      <c r="F34" s="20"/>
      <c r="G34" s="10"/>
      <c r="H34" s="10"/>
      <c r="I34" s="10"/>
      <c r="J34" s="10"/>
      <c r="K34" s="109" t="str">
        <f t="shared" si="0"/>
        <v/>
      </c>
      <c r="L34" s="11"/>
      <c r="M34" s="11"/>
      <c r="N34" s="11"/>
      <c r="O34" s="11"/>
      <c r="P34" s="109" t="str">
        <f t="shared" si="1"/>
        <v/>
      </c>
      <c r="Q34" s="16"/>
      <c r="R34" s="108" t="str">
        <f t="shared" si="2"/>
        <v/>
      </c>
      <c r="S34" s="110"/>
      <c r="T34" s="12"/>
      <c r="U34" s="10"/>
      <c r="V34" s="10"/>
      <c r="W34" s="10"/>
      <c r="X34" s="109" t="str">
        <f t="shared" si="3"/>
        <v/>
      </c>
      <c r="Y34" s="11"/>
      <c r="Z34" s="11"/>
      <c r="AA34" s="11"/>
      <c r="AB34" s="11"/>
      <c r="AC34" s="109" t="str">
        <f t="shared" si="4"/>
        <v/>
      </c>
      <c r="AD34" s="16"/>
      <c r="AE34" s="108" t="str">
        <f t="shared" si="5"/>
        <v/>
      </c>
      <c r="AF34" s="110"/>
      <c r="AG34" s="12"/>
      <c r="AH34" s="10"/>
      <c r="AI34" s="10"/>
      <c r="AJ34" s="10"/>
      <c r="AK34" s="109" t="str">
        <f t="shared" si="6"/>
        <v/>
      </c>
      <c r="AL34" s="11"/>
      <c r="AM34" s="11"/>
      <c r="AN34" s="11"/>
      <c r="AO34" s="11"/>
      <c r="AP34" s="109" t="str">
        <f t="shared" si="7"/>
        <v/>
      </c>
      <c r="AQ34" s="16"/>
      <c r="AR34" s="108" t="str">
        <f t="shared" si="8"/>
        <v/>
      </c>
      <c r="AS34" s="110"/>
      <c r="AT34" s="12"/>
      <c r="AU34" s="10"/>
      <c r="AV34" s="10"/>
      <c r="AW34" s="10"/>
      <c r="AX34" s="109" t="str">
        <f t="shared" si="9"/>
        <v/>
      </c>
      <c r="AY34" s="11"/>
      <c r="AZ34" s="11"/>
      <c r="BA34" s="11"/>
      <c r="BB34" s="11"/>
      <c r="BC34" s="109" t="str">
        <f t="shared" si="10"/>
        <v/>
      </c>
      <c r="BD34" s="16"/>
      <c r="BE34" s="108" t="str">
        <f t="shared" si="11"/>
        <v/>
      </c>
      <c r="BG34" s="97"/>
    </row>
    <row r="35" spans="1:59" s="98" customFormat="1" ht="14.1" customHeight="1" x14ac:dyDescent="0.2">
      <c r="A35" s="97"/>
      <c r="C35" s="111">
        <f t="shared" si="12"/>
        <v>28</v>
      </c>
      <c r="D35" s="8"/>
      <c r="E35" s="95"/>
      <c r="F35" s="20"/>
      <c r="G35" s="10"/>
      <c r="H35" s="10"/>
      <c r="I35" s="10"/>
      <c r="J35" s="10"/>
      <c r="K35" s="109" t="str">
        <f t="shared" si="0"/>
        <v/>
      </c>
      <c r="L35" s="11"/>
      <c r="M35" s="11"/>
      <c r="N35" s="11"/>
      <c r="O35" s="11"/>
      <c r="P35" s="109" t="str">
        <f t="shared" si="1"/>
        <v/>
      </c>
      <c r="Q35" s="16"/>
      <c r="R35" s="108" t="str">
        <f t="shared" si="2"/>
        <v/>
      </c>
      <c r="S35" s="110"/>
      <c r="T35" s="12"/>
      <c r="U35" s="10"/>
      <c r="V35" s="10"/>
      <c r="W35" s="10"/>
      <c r="X35" s="109" t="str">
        <f t="shared" si="3"/>
        <v/>
      </c>
      <c r="Y35" s="11"/>
      <c r="Z35" s="11"/>
      <c r="AA35" s="11"/>
      <c r="AB35" s="11"/>
      <c r="AC35" s="109" t="str">
        <f t="shared" si="4"/>
        <v/>
      </c>
      <c r="AD35" s="16"/>
      <c r="AE35" s="108" t="str">
        <f t="shared" si="5"/>
        <v/>
      </c>
      <c r="AF35" s="110"/>
      <c r="AG35" s="12"/>
      <c r="AH35" s="10"/>
      <c r="AI35" s="10"/>
      <c r="AJ35" s="10"/>
      <c r="AK35" s="109" t="str">
        <f t="shared" si="6"/>
        <v/>
      </c>
      <c r="AL35" s="11"/>
      <c r="AM35" s="11"/>
      <c r="AN35" s="11"/>
      <c r="AO35" s="11"/>
      <c r="AP35" s="109" t="str">
        <f t="shared" si="7"/>
        <v/>
      </c>
      <c r="AQ35" s="16"/>
      <c r="AR35" s="108" t="str">
        <f t="shared" si="8"/>
        <v/>
      </c>
      <c r="AS35" s="110"/>
      <c r="AT35" s="12"/>
      <c r="AU35" s="10"/>
      <c r="AV35" s="10"/>
      <c r="AW35" s="10"/>
      <c r="AX35" s="109" t="str">
        <f t="shared" si="9"/>
        <v/>
      </c>
      <c r="AY35" s="11"/>
      <c r="AZ35" s="11"/>
      <c r="BA35" s="11"/>
      <c r="BB35" s="11"/>
      <c r="BC35" s="109" t="str">
        <f t="shared" si="10"/>
        <v/>
      </c>
      <c r="BD35" s="16"/>
      <c r="BE35" s="108" t="str">
        <f t="shared" si="11"/>
        <v/>
      </c>
      <c r="BG35" s="97"/>
    </row>
    <row r="36" spans="1:59" s="98" customFormat="1" ht="14.1" customHeight="1" x14ac:dyDescent="0.2">
      <c r="A36" s="97"/>
      <c r="C36" s="111">
        <f t="shared" si="12"/>
        <v>29</v>
      </c>
      <c r="D36" s="8"/>
      <c r="E36" s="95"/>
      <c r="F36" s="20"/>
      <c r="G36" s="10"/>
      <c r="H36" s="10"/>
      <c r="I36" s="10"/>
      <c r="J36" s="10"/>
      <c r="K36" s="109" t="str">
        <f t="shared" si="0"/>
        <v/>
      </c>
      <c r="L36" s="11"/>
      <c r="M36" s="11"/>
      <c r="N36" s="11"/>
      <c r="O36" s="11"/>
      <c r="P36" s="109" t="str">
        <f t="shared" si="1"/>
        <v/>
      </c>
      <c r="Q36" s="16"/>
      <c r="R36" s="108" t="str">
        <f t="shared" si="2"/>
        <v/>
      </c>
      <c r="S36" s="110"/>
      <c r="T36" s="12"/>
      <c r="U36" s="10"/>
      <c r="V36" s="10"/>
      <c r="W36" s="10"/>
      <c r="X36" s="109" t="str">
        <f t="shared" si="3"/>
        <v/>
      </c>
      <c r="Y36" s="11"/>
      <c r="Z36" s="11"/>
      <c r="AA36" s="11"/>
      <c r="AB36" s="11"/>
      <c r="AC36" s="109" t="str">
        <f t="shared" si="4"/>
        <v/>
      </c>
      <c r="AD36" s="16"/>
      <c r="AE36" s="108" t="str">
        <f t="shared" si="5"/>
        <v/>
      </c>
      <c r="AF36" s="110"/>
      <c r="AG36" s="12"/>
      <c r="AH36" s="10"/>
      <c r="AI36" s="10"/>
      <c r="AJ36" s="10"/>
      <c r="AK36" s="109" t="str">
        <f t="shared" si="6"/>
        <v/>
      </c>
      <c r="AL36" s="11"/>
      <c r="AM36" s="11"/>
      <c r="AN36" s="11"/>
      <c r="AO36" s="11"/>
      <c r="AP36" s="109" t="str">
        <f t="shared" si="7"/>
        <v/>
      </c>
      <c r="AQ36" s="16"/>
      <c r="AR36" s="108" t="str">
        <f t="shared" si="8"/>
        <v/>
      </c>
      <c r="AS36" s="110"/>
      <c r="AT36" s="12"/>
      <c r="AU36" s="10"/>
      <c r="AV36" s="10"/>
      <c r="AW36" s="10"/>
      <c r="AX36" s="109" t="str">
        <f t="shared" si="9"/>
        <v/>
      </c>
      <c r="AY36" s="11"/>
      <c r="AZ36" s="11"/>
      <c r="BA36" s="11"/>
      <c r="BB36" s="11"/>
      <c r="BC36" s="109" t="str">
        <f t="shared" si="10"/>
        <v/>
      </c>
      <c r="BD36" s="16"/>
      <c r="BE36" s="108" t="str">
        <f t="shared" si="11"/>
        <v/>
      </c>
      <c r="BG36" s="97"/>
    </row>
    <row r="37" spans="1:59" s="98" customFormat="1" ht="14.1" customHeight="1" x14ac:dyDescent="0.2">
      <c r="A37" s="97"/>
      <c r="C37" s="111">
        <f t="shared" si="12"/>
        <v>30</v>
      </c>
      <c r="D37" s="8"/>
      <c r="E37" s="95"/>
      <c r="F37" s="20"/>
      <c r="G37" s="10"/>
      <c r="H37" s="10"/>
      <c r="I37" s="10"/>
      <c r="J37" s="10"/>
      <c r="K37" s="109" t="str">
        <f t="shared" si="0"/>
        <v/>
      </c>
      <c r="L37" s="11"/>
      <c r="M37" s="11"/>
      <c r="N37" s="11"/>
      <c r="O37" s="11"/>
      <c r="P37" s="109" t="str">
        <f t="shared" si="1"/>
        <v/>
      </c>
      <c r="Q37" s="16"/>
      <c r="R37" s="108" t="str">
        <f t="shared" si="2"/>
        <v/>
      </c>
      <c r="S37" s="110"/>
      <c r="T37" s="12"/>
      <c r="U37" s="10"/>
      <c r="V37" s="10"/>
      <c r="W37" s="10"/>
      <c r="X37" s="109" t="str">
        <f t="shared" si="3"/>
        <v/>
      </c>
      <c r="Y37" s="11"/>
      <c r="Z37" s="11"/>
      <c r="AA37" s="11"/>
      <c r="AB37" s="11"/>
      <c r="AC37" s="109" t="str">
        <f t="shared" si="4"/>
        <v/>
      </c>
      <c r="AD37" s="16"/>
      <c r="AE37" s="108" t="str">
        <f t="shared" si="5"/>
        <v/>
      </c>
      <c r="AF37" s="110"/>
      <c r="AG37" s="12"/>
      <c r="AH37" s="10"/>
      <c r="AI37" s="10"/>
      <c r="AJ37" s="10"/>
      <c r="AK37" s="109" t="str">
        <f t="shared" si="6"/>
        <v/>
      </c>
      <c r="AL37" s="11"/>
      <c r="AM37" s="11"/>
      <c r="AN37" s="11"/>
      <c r="AO37" s="11"/>
      <c r="AP37" s="109" t="str">
        <f t="shared" si="7"/>
        <v/>
      </c>
      <c r="AQ37" s="16"/>
      <c r="AR37" s="108" t="str">
        <f t="shared" si="8"/>
        <v/>
      </c>
      <c r="AS37" s="110"/>
      <c r="AT37" s="12"/>
      <c r="AU37" s="10"/>
      <c r="AV37" s="10"/>
      <c r="AW37" s="10"/>
      <c r="AX37" s="109" t="str">
        <f t="shared" si="9"/>
        <v/>
      </c>
      <c r="AY37" s="11"/>
      <c r="AZ37" s="11"/>
      <c r="BA37" s="11"/>
      <c r="BB37" s="11"/>
      <c r="BC37" s="109" t="str">
        <f t="shared" si="10"/>
        <v/>
      </c>
      <c r="BD37" s="16"/>
      <c r="BE37" s="108" t="str">
        <f t="shared" si="11"/>
        <v/>
      </c>
      <c r="BG37" s="97"/>
    </row>
    <row r="38" spans="1:59" s="98" customFormat="1" ht="14.1" customHeight="1" x14ac:dyDescent="0.2">
      <c r="A38" s="97"/>
      <c r="C38" s="111">
        <f t="shared" si="12"/>
        <v>31</v>
      </c>
      <c r="D38" s="8"/>
      <c r="E38" s="95"/>
      <c r="F38" s="20"/>
      <c r="G38" s="10"/>
      <c r="H38" s="10"/>
      <c r="I38" s="10"/>
      <c r="J38" s="10"/>
      <c r="K38" s="109" t="str">
        <f t="shared" si="0"/>
        <v/>
      </c>
      <c r="L38" s="11"/>
      <c r="M38" s="11"/>
      <c r="N38" s="11"/>
      <c r="O38" s="11"/>
      <c r="P38" s="109" t="str">
        <f t="shared" si="1"/>
        <v/>
      </c>
      <c r="Q38" s="16"/>
      <c r="R38" s="108" t="str">
        <f t="shared" si="2"/>
        <v/>
      </c>
      <c r="S38" s="110"/>
      <c r="T38" s="12"/>
      <c r="U38" s="10"/>
      <c r="V38" s="10"/>
      <c r="W38" s="10"/>
      <c r="X38" s="109" t="str">
        <f t="shared" si="3"/>
        <v/>
      </c>
      <c r="Y38" s="11"/>
      <c r="Z38" s="11"/>
      <c r="AA38" s="11"/>
      <c r="AB38" s="11"/>
      <c r="AC38" s="109" t="str">
        <f t="shared" si="4"/>
        <v/>
      </c>
      <c r="AD38" s="16"/>
      <c r="AE38" s="108" t="str">
        <f t="shared" si="5"/>
        <v/>
      </c>
      <c r="AF38" s="110"/>
      <c r="AG38" s="12"/>
      <c r="AH38" s="10"/>
      <c r="AI38" s="10"/>
      <c r="AJ38" s="10"/>
      <c r="AK38" s="109" t="str">
        <f t="shared" si="6"/>
        <v/>
      </c>
      <c r="AL38" s="11"/>
      <c r="AM38" s="11"/>
      <c r="AN38" s="11"/>
      <c r="AO38" s="11"/>
      <c r="AP38" s="109" t="str">
        <f t="shared" si="7"/>
        <v/>
      </c>
      <c r="AQ38" s="16"/>
      <c r="AR38" s="108" t="str">
        <f t="shared" si="8"/>
        <v/>
      </c>
      <c r="AS38" s="110"/>
      <c r="AT38" s="12"/>
      <c r="AU38" s="10"/>
      <c r="AV38" s="10"/>
      <c r="AW38" s="10"/>
      <c r="AX38" s="109" t="str">
        <f t="shared" si="9"/>
        <v/>
      </c>
      <c r="AY38" s="11"/>
      <c r="AZ38" s="11"/>
      <c r="BA38" s="11"/>
      <c r="BB38" s="11"/>
      <c r="BC38" s="109" t="str">
        <f t="shared" si="10"/>
        <v/>
      </c>
      <c r="BD38" s="16"/>
      <c r="BE38" s="108" t="str">
        <f t="shared" si="11"/>
        <v/>
      </c>
      <c r="BG38" s="97"/>
    </row>
    <row r="39" spans="1:59" s="98" customFormat="1" ht="14.1" customHeight="1" x14ac:dyDescent="0.2">
      <c r="A39" s="97"/>
      <c r="C39" s="111">
        <f t="shared" si="12"/>
        <v>32</v>
      </c>
      <c r="D39" s="8"/>
      <c r="E39" s="95"/>
      <c r="F39" s="20"/>
      <c r="G39" s="10"/>
      <c r="H39" s="10"/>
      <c r="I39" s="10"/>
      <c r="J39" s="10"/>
      <c r="K39" s="109" t="str">
        <f t="shared" si="0"/>
        <v/>
      </c>
      <c r="L39" s="11"/>
      <c r="M39" s="11"/>
      <c r="N39" s="11"/>
      <c r="O39" s="11"/>
      <c r="P39" s="109" t="str">
        <f t="shared" si="1"/>
        <v/>
      </c>
      <c r="Q39" s="16"/>
      <c r="R39" s="108" t="str">
        <f t="shared" si="2"/>
        <v/>
      </c>
      <c r="S39" s="110"/>
      <c r="T39" s="12"/>
      <c r="U39" s="10"/>
      <c r="V39" s="10"/>
      <c r="W39" s="10"/>
      <c r="X39" s="109" t="str">
        <f t="shared" si="3"/>
        <v/>
      </c>
      <c r="Y39" s="11"/>
      <c r="Z39" s="11"/>
      <c r="AA39" s="11"/>
      <c r="AB39" s="11"/>
      <c r="AC39" s="109" t="str">
        <f t="shared" si="4"/>
        <v/>
      </c>
      <c r="AD39" s="16"/>
      <c r="AE39" s="108" t="str">
        <f t="shared" si="5"/>
        <v/>
      </c>
      <c r="AF39" s="110"/>
      <c r="AG39" s="12"/>
      <c r="AH39" s="10"/>
      <c r="AI39" s="10"/>
      <c r="AJ39" s="10"/>
      <c r="AK39" s="109" t="str">
        <f t="shared" si="6"/>
        <v/>
      </c>
      <c r="AL39" s="11"/>
      <c r="AM39" s="11"/>
      <c r="AN39" s="11"/>
      <c r="AO39" s="11"/>
      <c r="AP39" s="109" t="str">
        <f t="shared" si="7"/>
        <v/>
      </c>
      <c r="AQ39" s="16"/>
      <c r="AR39" s="108" t="str">
        <f t="shared" si="8"/>
        <v/>
      </c>
      <c r="AS39" s="110"/>
      <c r="AT39" s="12"/>
      <c r="AU39" s="10"/>
      <c r="AV39" s="10"/>
      <c r="AW39" s="10"/>
      <c r="AX39" s="109" t="str">
        <f t="shared" si="9"/>
        <v/>
      </c>
      <c r="AY39" s="11"/>
      <c r="AZ39" s="11"/>
      <c r="BA39" s="11"/>
      <c r="BB39" s="11"/>
      <c r="BC39" s="109" t="str">
        <f t="shared" si="10"/>
        <v/>
      </c>
      <c r="BD39" s="16"/>
      <c r="BE39" s="108" t="str">
        <f t="shared" si="11"/>
        <v/>
      </c>
      <c r="BG39" s="97"/>
    </row>
    <row r="40" spans="1:59" s="98" customFormat="1" ht="14.1" customHeight="1" x14ac:dyDescent="0.2">
      <c r="A40" s="97"/>
      <c r="C40" s="111">
        <f t="shared" si="12"/>
        <v>33</v>
      </c>
      <c r="D40" s="8"/>
      <c r="E40" s="95"/>
      <c r="F40" s="20"/>
      <c r="G40" s="10"/>
      <c r="H40" s="10"/>
      <c r="I40" s="10"/>
      <c r="J40" s="10"/>
      <c r="K40" s="109" t="str">
        <f t="shared" ref="K40:K67" si="13">IF(OR(F40="",COUNTA(G40:J40)=0),"",
IF(COUNTA(G40:J40,$G$6:$J$6)=0,"",
IF(OR(
AND($G$6="",G40&lt;&gt;""),AND(ISTEXT($G$6),$G$6&lt;&gt;""),AND(ISTEXT(G40),G40&lt;&gt;""),
AND($H$6="",H40&lt;&gt;""),AND(ISTEXT($H$6),$H$6&lt;&gt;""),AND(ISTEXT(H40),H40&lt;&gt;""),
AND($I$6="",I40&lt;&gt;""),AND(ISTEXT($I$6),$I$6&lt;&gt;""),AND(ISTEXT(I40),I40&lt;&gt;""),
AND($J$6="",J40&lt;&gt;""),AND(ISTEXT($J$6),$J$6&lt;&gt;""),AND(ISTEXT(J40),J40&lt;&gt;"")),"Error",
IF(OR(
AND(ISNUMBER($G$6),ISNUMBER(G40),G40&gt;$G$6),
AND(ISNUMBER($H$6),ISNUMBER(H40),H40&gt;$H$6),
AND(ISNUMBER($I$6),ISNUMBER(I40),I40&gt;$I$6),
AND(ISNUMBER($J$6),ISNUMBER(J40),J40&gt;$J$6)),"Error",
IF(SUM(G40:J40)&gt;$K$7,"Error",
SUM(G40:J40))))))</f>
        <v/>
      </c>
      <c r="L40" s="11"/>
      <c r="M40" s="11"/>
      <c r="N40" s="11"/>
      <c r="O40" s="11"/>
      <c r="P40" s="109" t="str">
        <f t="shared" ref="P40:P67" si="14">IF(OR(F40="",COUNTA(L40:O40)=0),"",
IF(COUNTA(L40:O40,$L$6:$O$6)=0,"",
IF(OR(
AND($L$6="",L40&lt;&gt;""),AND(ISTEXT($L$6),$L$6&lt;&gt;""),AND(ISTEXT(L40),L40&lt;&gt;""),
AND($M$6="",M40&lt;&gt;""),AND(ISTEXT($M$6),$M$6&lt;&gt;""),AND(ISTEXT(M40),M40&lt;&gt;""),
AND($N$6="",N40&lt;&gt;""),AND(ISTEXT($N$6),$N$6&lt;&gt;""),AND(ISTEXT(N40),N40&lt;&gt;""),
AND($O$6="",O40&lt;&gt;""),AND(ISTEXT($O$6),$O$6&lt;&gt;""),AND(ISTEXT(O40),O40&lt;&gt;"")),"Error",
IF(OR(
AND(ISNUMBER($L$6),ISNUMBER(L40),L40&gt;$L$6),
AND(ISNUMBER($M$6),ISNUMBER(M40),M40&gt;$M$6),
AND(ISNUMBER($N$6),ISNUMBER(N40),N40&gt;$N$6),
AND(ISNUMBER($O$6),ISNUMBER(O40),O40&gt;$O$6)),"Error",
IF(SUM(L40:O40)&gt;$P$7,"Error",
SUM(L40:O40))))))</f>
        <v/>
      </c>
      <c r="Q40" s="16"/>
      <c r="R40" s="108" t="str">
        <f t="shared" ref="R40:R67" si="15">IF(F40="","",
IF(AND(Q40="",$Q$6=""),"",
IF($Q$6="","Error",
IF(OR(AND(ISTEXT(Q40),Q40&lt;&gt;""),AND(ISTEXT($Q$6),$Q$6&lt;&gt;"")),"Error",
IF(AND(ISNUMBER(Q40),ISNUMBER($Q$6),Q40&gt;$Q$6),"Error",
IFERROR(IF(Q40="","",(Q40/$Q$6)*100),0))))))</f>
        <v/>
      </c>
      <c r="S40" s="110"/>
      <c r="T40" s="12"/>
      <c r="U40" s="10"/>
      <c r="V40" s="10"/>
      <c r="W40" s="10"/>
      <c r="X40" s="109" t="str">
        <f t="shared" ref="X40:X67" si="16">IF(OR(F40="",COUNTA(T40:W40)=0),"",
IF(COUNTA(T40:W40,$T$6:$W$6)=0,"",
IF(OR(
AND($T$6="",T40&lt;&gt;""),AND(ISTEXT($T$6),$T$6&lt;&gt;""),AND(ISTEXT(T40),T40&lt;&gt;""),
AND($U$6="",U40&lt;&gt;""),AND(ISTEXT($U$6),$U$6&lt;&gt;""),AND(ISTEXT(U40),U40&lt;&gt;""),
AND($V$6="",V40&lt;&gt;""),AND(ISTEXT($V$6),$V$6&lt;&gt;""),AND(ISTEXT(V40),V40&lt;&gt;""),
AND($W$6="",W40&lt;&gt;""),AND(ISTEXT($W$6),$W$6&lt;&gt;""),AND(ISTEXT(W40),W40&lt;&gt;"")),"Error",
IF(OR(
AND(ISNUMBER($T$6),ISNUMBER(T40),T40&gt;$T$6),
AND(ISNUMBER($U$6),ISNUMBER(U40),U40&gt;$U$6),
AND(ISNUMBER($V$6),ISNUMBER(V40),V40&gt;$V$6),
AND(ISNUMBER($W$6),ISNUMBER(W40),W40&gt;$W$6)),"Error",
IF(SUM(T40:W40)&gt;$X$7,"Error",
SUM(T40:W40))))))</f>
        <v/>
      </c>
      <c r="Y40" s="11"/>
      <c r="Z40" s="11"/>
      <c r="AA40" s="11"/>
      <c r="AB40" s="11"/>
      <c r="AC40" s="109" t="str">
        <f t="shared" ref="AC40:AC67" si="17">IF(OR(F40="",COUNTA(Y40:AB40)=0),"",
IF(COUNTA(Y40:AB40,$Y$6:$AB$6)=0,"",
IF(OR(
AND($Y$6="",Y40&lt;&gt;""),AND(ISTEXT($Y$6),$Y$6&lt;&gt;""),AND(ISTEXT(Y40),Y40&lt;&gt;""),
AND($Z$6="",Z40&lt;&gt;""),AND(ISTEXT($Z$6),$Z$6&lt;&gt;""),AND(ISTEXT(Z40),Z40&lt;&gt;""),
AND($AA$6="",AA40&lt;&gt;""),AND(ISTEXT($AA$6),$AA$6&lt;&gt;""),AND(ISTEXT(AA40),AA40&lt;&gt;""),
AND($AB$6="",AB40&lt;&gt;""),AND(ISTEXT($AB$6),$AB$6&lt;&gt;""),AND(ISTEXT(AB40),AB40&lt;&gt;"")),"Error",
IF(OR(
AND(ISNUMBER($Y$6),ISNUMBER(Y40),Y40&gt;$Y$6),
AND(ISNUMBER($Z$6),ISNUMBER(Z40),Z40&gt;$Z$6),
AND(ISNUMBER($AA$6),ISNUMBER(AA40),AA40&gt;$AA$6),
AND(ISNUMBER($AB$6),ISNUMBER(AB40),AB40&gt;$AB$6)),"Error",
IF(SUM(Y40:AB40)&gt;$AC$7,"Error",
SUM(Y40:AB40))))))</f>
        <v/>
      </c>
      <c r="AD40" s="16"/>
      <c r="AE40" s="108" t="str">
        <f t="shared" ref="AE40:AE67" si="18">IF(F40="","",
IF(AND(AD40="",$AD$6=""),"",
IF($AD$6="","Error",
IF(OR(AND(ISTEXT(AD40),AD40&lt;&gt;""),AND(ISTEXT($AD$6),$AD$6&lt;&gt;"")),"Error",
IF(AND(ISNUMBER(AD40),ISNUMBER($AD$6),AD40&gt;$AD$6),"Error",
IFERROR(IF(AD40="","",(AD40/$AD$6)*100),0))))))</f>
        <v/>
      </c>
      <c r="AF40" s="110"/>
      <c r="AG40" s="12"/>
      <c r="AH40" s="10"/>
      <c r="AI40" s="10"/>
      <c r="AJ40" s="10"/>
      <c r="AK40" s="109" t="str">
        <f t="shared" ref="AK40:AK67" si="19">IF(OR(F40="",COUNTA(AG40:AJ40)=0),"",
IF(COUNTA(AG40:AJ40,$AG$6:$AJ$6)=0,"",
IF(OR(
AND($AG$6="",AG40&lt;&gt;""),AND(ISTEXT($AG$6),$AG$6&lt;&gt;""),AND(ISTEXT(AG40),AG40&lt;&gt;""),
AND($AH$6="",AH40&lt;&gt;""),AND(ISTEXT($AH$6),$AH$6&lt;&gt;""),AND(ISTEXT(AH40),AH40&lt;&gt;""),
AND($AI$6="",AI40&lt;&gt;""),AND(ISTEXT($AI$6),$AI$6&lt;&gt;""),AND(ISTEXT(AI40),AI40&lt;&gt;""),
AND($AJ$6="",AJ40&lt;&gt;""),AND(ISTEXT($AJ$6),$AJ$6&lt;&gt;""),AND(ISTEXT(AJ40),AJ40&lt;&gt;"")),"Error",
IF(OR(
AND(ISNUMBER($AG$6),ISNUMBER(AG40),AG40&gt;$AG$6),
AND(ISNUMBER($AH$6),ISNUMBER(AH40),AH40&gt;$AH$6),
AND(ISNUMBER($AI$6),ISNUMBER(AI40),AI40&gt;$AI$6),
AND(ISNUMBER($AJ$6),ISNUMBER(AJ40),AJ40&gt;$AJ$6)),"Error",
IF(SUM(AG40:AJ40)&gt;$AK$7,"Error",
SUM(AG40:AJ40))))))</f>
        <v/>
      </c>
      <c r="AL40" s="11"/>
      <c r="AM40" s="11"/>
      <c r="AN40" s="11"/>
      <c r="AO40" s="11"/>
      <c r="AP40" s="109" t="str">
        <f t="shared" ref="AP40:AP67" si="20">IF(OR(F40="",COUNTA(AL40:AO40)=0),"",
IF(COUNTA(AL40:AO40,$AL$6:$AO$6)=0,"",
IF(OR(
AND($AL$6="",AL40&lt;&gt;""),AND(ISTEXT($AL$6),$AL$6&lt;&gt;""),AND(ISTEXT(AL40),AL40&lt;&gt;""),
AND($AM$6="",AM40&lt;&gt;""),AND(ISTEXT($AM$6),$AM$6&lt;&gt;""),AND(ISTEXT(AM40),AM40&lt;&gt;""),
AND($AN$6="",AN40&lt;&gt;""),AND(ISTEXT($AN$6),$AN$6&lt;&gt;""),AND(ISTEXT(AN40),AN40&lt;&gt;""),
AND($AO$6="",AO40&lt;&gt;""),AND(ISTEXT($AO$6),$AO$6&lt;&gt;""),AND(ISTEXT(AO40),AO40&lt;&gt;"")),"Error",
IF(OR(
AND(ISNUMBER($AL$6),ISNUMBER(AL40),AL40&gt;$AL$6),
AND(ISNUMBER($AM$6),ISNUMBER(AM40),AM40&gt;$AM$6),
AND(ISNUMBER($AN$6),ISNUMBER(AN40),AN40&gt;$AN$6),
AND(ISNUMBER($AO$6),ISNUMBER(AO40),AO40&gt;$AO$6)),"Error",
IF(SUM(AL40:AO40)&gt;$AP$7,"Error",
SUM(AL40:AO40))))))</f>
        <v/>
      </c>
      <c r="AQ40" s="16"/>
      <c r="AR40" s="108" t="str">
        <f t="shared" ref="AR40:AR67" si="21">IF(F40="","",
IF(AND(AQ40="",$AQ$6=""),"",
IF($AQ$6="","Error",
IF(OR(AND(ISTEXT(AQ40),AQ40&lt;&gt;""),AND(ISTEXT($AQ$6),$AQ$6&lt;&gt;"")),"Error",
IF(AND(ISNUMBER(AQ40),ISNUMBER($AQ$6),AD40&gt;$AQ$6),"Error",
IFERROR(IF(AQ40="","",(AQ40/$AQ$6)*100),0))))))</f>
        <v/>
      </c>
      <c r="AS40" s="110"/>
      <c r="AT40" s="12"/>
      <c r="AU40" s="10"/>
      <c r="AV40" s="10"/>
      <c r="AW40" s="10"/>
      <c r="AX40" s="109" t="str">
        <f t="shared" ref="AX40:AX67" si="22">IF(OR(F40="",COUNTA(AT40:AW40)=0),"",
IF(COUNTA(AT40:AW40,$AT$6:$AW$6)=0,"",
IF(OR(
AND($AT$6="",AT40&lt;&gt;""),AND(ISTEXT($AT$6),$AT$6&lt;&gt;""),AND(ISTEXT(AT40),AT40&lt;&gt;""),
AND($AU$6="",AU40&lt;&gt;""),AND(ISTEXT($AU$6),$AU$6&lt;&gt;""),AND(ISTEXT(AU40),AU40&lt;&gt;""),
AND($AV$6="",AV40&lt;&gt;""),AND(ISTEXT($AV$6),$AV$6&lt;&gt;""),AND(ISTEXT(AV40),AV40&lt;&gt;""),
AND($AW$6="",AW40&lt;&gt;""),AND(ISTEXT($AW$6),$AW$6&lt;&gt;""),AND(ISTEXT(AW40),AW40&lt;&gt;"")),"Error",
IF(OR(
AND(ISNUMBER($AT$6),ISNUMBER(AT40),AT40&gt;$AT$6),
AND(ISNUMBER($AU$6),ISNUMBER(AU40),AU40&gt;$AU$6),
AND(ISNUMBER($AV$6),ISNUMBER(AV40),AV40&gt;$AV$6),
AND(ISNUMBER($AW$6),ISNUMBER(AW40),AW40&gt;$AW$6)),"Error",
IF(SUM(AT40:AW40)&gt;$AX$7,"Error",
SUM(AT40:AW40))))))</f>
        <v/>
      </c>
      <c r="AY40" s="11"/>
      <c r="AZ40" s="11"/>
      <c r="BA40" s="11"/>
      <c r="BB40" s="11"/>
      <c r="BC40" s="109" t="str">
        <f t="shared" ref="BC40:BC67" si="23">IF(OR(F40="",COUNTA(AY40:BB40)=0),"",
IF(COUNTA(AY40:BB40,$AY$6:$BB$6)=0,"",
IF(OR(
AND($AY$6="",AY40&lt;&gt;""),AND(ISTEXT($AY$6),$AY$6&lt;&gt;""),AND(ISTEXT(AY40),AY40&lt;&gt;""),
AND($AZ$6="",AZ40&lt;&gt;""),AND(ISTEXT($AZ$6),$AZ$6&lt;&gt;""),AND(ISTEXT(AZ40),AZ40&lt;&gt;""),
AND($BA$6="",BA40&lt;&gt;""),AND(ISTEXT($BA$6),$BA$6&lt;&gt;""),AND(ISTEXT(BA40),BA40&lt;&gt;""),
AND($BB$6="",BB40&lt;&gt;""),AND(ISTEXT($BB$6),$BB$6&lt;&gt;""),AND(ISTEXT(BB40),BB40&lt;&gt;"")),"Error",
IF(OR(
AND(ISNUMBER($AY$6),ISNUMBER(AY40),AY40&gt;$AY$6),
AND(ISNUMBER($AZ$6),ISNUMBER(AZ40),AZ40&gt;$AZ$6),
AND(ISNUMBER($BA$6),ISNUMBER(BA40),BA40&gt;$BA$6),
AND(ISNUMBER($BB$6),ISNUMBER(BB40),BB40&gt;$BB$6)),"Error",
IF(SUM(AY40:BB40)&gt;$BC$7,"Error",
SUM(AY40:BB40))))))</f>
        <v/>
      </c>
      <c r="BD40" s="16"/>
      <c r="BE40" s="108" t="str">
        <f t="shared" ref="BE40:BE67" si="24">IF(F40="","",
IF(AND(BD40="",$BD$6=""),"",
IF($BD$6="","Error",
IF(OR(AND(ISTEXT(BD40),BD40&lt;&gt;""),AND(ISTEXT($BD$6),$BD$6&lt;&gt;"")),"Error",
IF(AND(ISNUMBER(BD40),ISNUMBER($BD$6),BD40&gt;$BD$6),"Error",
IFERROR(IF(BD40="","",(BD40/$BD$6)*100),0))))))</f>
        <v/>
      </c>
      <c r="BG40" s="97"/>
    </row>
    <row r="41" spans="1:59" s="98" customFormat="1" ht="14.1" customHeight="1" x14ac:dyDescent="0.2">
      <c r="A41" s="97"/>
      <c r="C41" s="111">
        <f t="shared" si="12"/>
        <v>34</v>
      </c>
      <c r="D41" s="8"/>
      <c r="E41" s="95"/>
      <c r="F41" s="20"/>
      <c r="G41" s="10"/>
      <c r="H41" s="10"/>
      <c r="I41" s="10"/>
      <c r="J41" s="10"/>
      <c r="K41" s="109" t="str">
        <f t="shared" si="13"/>
        <v/>
      </c>
      <c r="L41" s="11"/>
      <c r="M41" s="11"/>
      <c r="N41" s="11"/>
      <c r="O41" s="11"/>
      <c r="P41" s="109" t="str">
        <f t="shared" si="14"/>
        <v/>
      </c>
      <c r="Q41" s="16"/>
      <c r="R41" s="108" t="str">
        <f t="shared" si="15"/>
        <v/>
      </c>
      <c r="S41" s="110"/>
      <c r="T41" s="12"/>
      <c r="U41" s="10"/>
      <c r="V41" s="10"/>
      <c r="W41" s="10"/>
      <c r="X41" s="109" t="str">
        <f t="shared" si="16"/>
        <v/>
      </c>
      <c r="Y41" s="11"/>
      <c r="Z41" s="11"/>
      <c r="AA41" s="11"/>
      <c r="AB41" s="11"/>
      <c r="AC41" s="109" t="str">
        <f t="shared" si="17"/>
        <v/>
      </c>
      <c r="AD41" s="16"/>
      <c r="AE41" s="108" t="str">
        <f t="shared" si="18"/>
        <v/>
      </c>
      <c r="AF41" s="110"/>
      <c r="AG41" s="12"/>
      <c r="AH41" s="10"/>
      <c r="AI41" s="10"/>
      <c r="AJ41" s="10"/>
      <c r="AK41" s="109" t="str">
        <f t="shared" si="19"/>
        <v/>
      </c>
      <c r="AL41" s="11"/>
      <c r="AM41" s="11"/>
      <c r="AN41" s="11"/>
      <c r="AO41" s="11"/>
      <c r="AP41" s="109" t="str">
        <f t="shared" si="20"/>
        <v/>
      </c>
      <c r="AQ41" s="16"/>
      <c r="AR41" s="108" t="str">
        <f t="shared" si="21"/>
        <v/>
      </c>
      <c r="AS41" s="110"/>
      <c r="AT41" s="12"/>
      <c r="AU41" s="10"/>
      <c r="AV41" s="10"/>
      <c r="AW41" s="10"/>
      <c r="AX41" s="109" t="str">
        <f t="shared" si="22"/>
        <v/>
      </c>
      <c r="AY41" s="11"/>
      <c r="AZ41" s="11"/>
      <c r="BA41" s="11"/>
      <c r="BB41" s="11"/>
      <c r="BC41" s="109" t="str">
        <f t="shared" si="23"/>
        <v/>
      </c>
      <c r="BD41" s="16"/>
      <c r="BE41" s="108" t="str">
        <f t="shared" si="24"/>
        <v/>
      </c>
      <c r="BG41" s="97"/>
    </row>
    <row r="42" spans="1:59" s="98" customFormat="1" ht="14.1" customHeight="1" x14ac:dyDescent="0.2">
      <c r="A42" s="97"/>
      <c r="C42" s="111">
        <f t="shared" si="12"/>
        <v>35</v>
      </c>
      <c r="D42" s="8"/>
      <c r="E42" s="95"/>
      <c r="F42" s="20"/>
      <c r="G42" s="10"/>
      <c r="H42" s="10"/>
      <c r="I42" s="10"/>
      <c r="J42" s="10"/>
      <c r="K42" s="109" t="str">
        <f t="shared" si="13"/>
        <v/>
      </c>
      <c r="L42" s="11"/>
      <c r="M42" s="11"/>
      <c r="N42" s="11"/>
      <c r="O42" s="11"/>
      <c r="P42" s="109" t="str">
        <f t="shared" si="14"/>
        <v/>
      </c>
      <c r="Q42" s="16"/>
      <c r="R42" s="108" t="str">
        <f t="shared" si="15"/>
        <v/>
      </c>
      <c r="S42" s="110"/>
      <c r="T42" s="12"/>
      <c r="U42" s="10"/>
      <c r="V42" s="10"/>
      <c r="W42" s="10"/>
      <c r="X42" s="109" t="str">
        <f t="shared" si="16"/>
        <v/>
      </c>
      <c r="Y42" s="11"/>
      <c r="Z42" s="11"/>
      <c r="AA42" s="11"/>
      <c r="AB42" s="11"/>
      <c r="AC42" s="109" t="str">
        <f t="shared" si="17"/>
        <v/>
      </c>
      <c r="AD42" s="16"/>
      <c r="AE42" s="108" t="str">
        <f t="shared" si="18"/>
        <v/>
      </c>
      <c r="AF42" s="110"/>
      <c r="AG42" s="12"/>
      <c r="AH42" s="10"/>
      <c r="AI42" s="10"/>
      <c r="AJ42" s="10"/>
      <c r="AK42" s="109" t="str">
        <f t="shared" si="19"/>
        <v/>
      </c>
      <c r="AL42" s="11"/>
      <c r="AM42" s="11"/>
      <c r="AN42" s="11"/>
      <c r="AO42" s="11"/>
      <c r="AP42" s="109" t="str">
        <f t="shared" si="20"/>
        <v/>
      </c>
      <c r="AQ42" s="16"/>
      <c r="AR42" s="108" t="str">
        <f t="shared" si="21"/>
        <v/>
      </c>
      <c r="AS42" s="110"/>
      <c r="AT42" s="12"/>
      <c r="AU42" s="10"/>
      <c r="AV42" s="10"/>
      <c r="AW42" s="10"/>
      <c r="AX42" s="109" t="str">
        <f t="shared" si="22"/>
        <v/>
      </c>
      <c r="AY42" s="11"/>
      <c r="AZ42" s="11"/>
      <c r="BA42" s="11"/>
      <c r="BB42" s="11"/>
      <c r="BC42" s="109" t="str">
        <f t="shared" si="23"/>
        <v/>
      </c>
      <c r="BD42" s="16"/>
      <c r="BE42" s="108" t="str">
        <f t="shared" si="24"/>
        <v/>
      </c>
      <c r="BG42" s="97"/>
    </row>
    <row r="43" spans="1:59" s="98" customFormat="1" ht="14.1" customHeight="1" x14ac:dyDescent="0.2">
      <c r="A43" s="97"/>
      <c r="C43" s="111">
        <f t="shared" si="12"/>
        <v>36</v>
      </c>
      <c r="D43" s="8"/>
      <c r="E43" s="95"/>
      <c r="F43" s="20"/>
      <c r="G43" s="10"/>
      <c r="H43" s="10"/>
      <c r="I43" s="10"/>
      <c r="J43" s="10"/>
      <c r="K43" s="109" t="str">
        <f t="shared" si="13"/>
        <v/>
      </c>
      <c r="L43" s="11"/>
      <c r="M43" s="11"/>
      <c r="N43" s="11"/>
      <c r="O43" s="11"/>
      <c r="P43" s="109" t="str">
        <f t="shared" si="14"/>
        <v/>
      </c>
      <c r="Q43" s="16"/>
      <c r="R43" s="108" t="str">
        <f t="shared" si="15"/>
        <v/>
      </c>
      <c r="S43" s="110"/>
      <c r="T43" s="12"/>
      <c r="U43" s="10"/>
      <c r="V43" s="10"/>
      <c r="W43" s="10"/>
      <c r="X43" s="109" t="str">
        <f t="shared" si="16"/>
        <v/>
      </c>
      <c r="Y43" s="11"/>
      <c r="Z43" s="11"/>
      <c r="AA43" s="11"/>
      <c r="AB43" s="11"/>
      <c r="AC43" s="109" t="str">
        <f t="shared" si="17"/>
        <v/>
      </c>
      <c r="AD43" s="16"/>
      <c r="AE43" s="108" t="str">
        <f t="shared" si="18"/>
        <v/>
      </c>
      <c r="AF43" s="110"/>
      <c r="AG43" s="12"/>
      <c r="AH43" s="10"/>
      <c r="AI43" s="10"/>
      <c r="AJ43" s="10"/>
      <c r="AK43" s="109" t="str">
        <f t="shared" si="19"/>
        <v/>
      </c>
      <c r="AL43" s="11"/>
      <c r="AM43" s="11"/>
      <c r="AN43" s="11"/>
      <c r="AO43" s="11"/>
      <c r="AP43" s="109" t="str">
        <f t="shared" si="20"/>
        <v/>
      </c>
      <c r="AQ43" s="16"/>
      <c r="AR43" s="108" t="str">
        <f t="shared" si="21"/>
        <v/>
      </c>
      <c r="AS43" s="110"/>
      <c r="AT43" s="12"/>
      <c r="AU43" s="10"/>
      <c r="AV43" s="10"/>
      <c r="AW43" s="10"/>
      <c r="AX43" s="109" t="str">
        <f t="shared" si="22"/>
        <v/>
      </c>
      <c r="AY43" s="11"/>
      <c r="AZ43" s="11"/>
      <c r="BA43" s="11"/>
      <c r="BB43" s="11"/>
      <c r="BC43" s="109" t="str">
        <f t="shared" si="23"/>
        <v/>
      </c>
      <c r="BD43" s="16"/>
      <c r="BE43" s="108" t="str">
        <f t="shared" si="24"/>
        <v/>
      </c>
      <c r="BG43" s="97"/>
    </row>
    <row r="44" spans="1:59" s="98" customFormat="1" ht="14.1" customHeight="1" x14ac:dyDescent="0.2">
      <c r="A44" s="97"/>
      <c r="C44" s="111">
        <f t="shared" si="12"/>
        <v>37</v>
      </c>
      <c r="D44" s="8"/>
      <c r="E44" s="95"/>
      <c r="F44" s="20"/>
      <c r="G44" s="10"/>
      <c r="H44" s="10"/>
      <c r="I44" s="10"/>
      <c r="J44" s="10"/>
      <c r="K44" s="109" t="str">
        <f t="shared" si="13"/>
        <v/>
      </c>
      <c r="L44" s="11"/>
      <c r="M44" s="11"/>
      <c r="N44" s="11"/>
      <c r="O44" s="11"/>
      <c r="P44" s="109" t="str">
        <f t="shared" si="14"/>
        <v/>
      </c>
      <c r="Q44" s="16"/>
      <c r="R44" s="108" t="str">
        <f t="shared" si="15"/>
        <v/>
      </c>
      <c r="S44" s="110"/>
      <c r="T44" s="12"/>
      <c r="U44" s="10"/>
      <c r="V44" s="10"/>
      <c r="W44" s="10"/>
      <c r="X44" s="109" t="str">
        <f t="shared" si="16"/>
        <v/>
      </c>
      <c r="Y44" s="11"/>
      <c r="Z44" s="11"/>
      <c r="AA44" s="11"/>
      <c r="AB44" s="11"/>
      <c r="AC44" s="109" t="str">
        <f t="shared" si="17"/>
        <v/>
      </c>
      <c r="AD44" s="16"/>
      <c r="AE44" s="108" t="str">
        <f t="shared" si="18"/>
        <v/>
      </c>
      <c r="AF44" s="110"/>
      <c r="AG44" s="12"/>
      <c r="AH44" s="10"/>
      <c r="AI44" s="10"/>
      <c r="AJ44" s="10"/>
      <c r="AK44" s="109" t="str">
        <f t="shared" si="19"/>
        <v/>
      </c>
      <c r="AL44" s="11"/>
      <c r="AM44" s="11"/>
      <c r="AN44" s="11"/>
      <c r="AO44" s="11"/>
      <c r="AP44" s="109" t="str">
        <f t="shared" si="20"/>
        <v/>
      </c>
      <c r="AQ44" s="16"/>
      <c r="AR44" s="108" t="str">
        <f t="shared" si="21"/>
        <v/>
      </c>
      <c r="AS44" s="110"/>
      <c r="AT44" s="12"/>
      <c r="AU44" s="10"/>
      <c r="AV44" s="10"/>
      <c r="AW44" s="10"/>
      <c r="AX44" s="109" t="str">
        <f t="shared" si="22"/>
        <v/>
      </c>
      <c r="AY44" s="11"/>
      <c r="AZ44" s="11"/>
      <c r="BA44" s="11"/>
      <c r="BB44" s="11"/>
      <c r="BC44" s="109" t="str">
        <f t="shared" si="23"/>
        <v/>
      </c>
      <c r="BD44" s="16"/>
      <c r="BE44" s="108" t="str">
        <f t="shared" si="24"/>
        <v/>
      </c>
      <c r="BG44" s="97"/>
    </row>
    <row r="45" spans="1:59" s="98" customFormat="1" ht="14.1" customHeight="1" x14ac:dyDescent="0.2">
      <c r="A45" s="97"/>
      <c r="C45" s="111">
        <f t="shared" si="12"/>
        <v>38</v>
      </c>
      <c r="D45" s="8"/>
      <c r="E45" s="95"/>
      <c r="F45" s="20"/>
      <c r="G45" s="10"/>
      <c r="H45" s="10"/>
      <c r="I45" s="10"/>
      <c r="J45" s="10"/>
      <c r="K45" s="109" t="str">
        <f t="shared" si="13"/>
        <v/>
      </c>
      <c r="L45" s="11"/>
      <c r="M45" s="11"/>
      <c r="N45" s="11"/>
      <c r="O45" s="11"/>
      <c r="P45" s="109" t="str">
        <f t="shared" si="14"/>
        <v/>
      </c>
      <c r="Q45" s="16"/>
      <c r="R45" s="108" t="str">
        <f t="shared" si="15"/>
        <v/>
      </c>
      <c r="S45" s="110"/>
      <c r="T45" s="12"/>
      <c r="U45" s="10"/>
      <c r="V45" s="10"/>
      <c r="W45" s="10"/>
      <c r="X45" s="109" t="str">
        <f t="shared" si="16"/>
        <v/>
      </c>
      <c r="Y45" s="11"/>
      <c r="Z45" s="11"/>
      <c r="AA45" s="11"/>
      <c r="AB45" s="11"/>
      <c r="AC45" s="109" t="str">
        <f t="shared" si="17"/>
        <v/>
      </c>
      <c r="AD45" s="16"/>
      <c r="AE45" s="108" t="str">
        <f t="shared" si="18"/>
        <v/>
      </c>
      <c r="AF45" s="110"/>
      <c r="AG45" s="12"/>
      <c r="AH45" s="10"/>
      <c r="AI45" s="10"/>
      <c r="AJ45" s="10"/>
      <c r="AK45" s="109" t="str">
        <f t="shared" si="19"/>
        <v/>
      </c>
      <c r="AL45" s="11"/>
      <c r="AM45" s="11"/>
      <c r="AN45" s="11"/>
      <c r="AO45" s="11"/>
      <c r="AP45" s="109" t="str">
        <f t="shared" si="20"/>
        <v/>
      </c>
      <c r="AQ45" s="16"/>
      <c r="AR45" s="108" t="str">
        <f t="shared" si="21"/>
        <v/>
      </c>
      <c r="AS45" s="110"/>
      <c r="AT45" s="12"/>
      <c r="AU45" s="10"/>
      <c r="AV45" s="10"/>
      <c r="AW45" s="10"/>
      <c r="AX45" s="109" t="str">
        <f t="shared" si="22"/>
        <v/>
      </c>
      <c r="AY45" s="11"/>
      <c r="AZ45" s="11"/>
      <c r="BA45" s="11"/>
      <c r="BB45" s="11"/>
      <c r="BC45" s="109" t="str">
        <f t="shared" si="23"/>
        <v/>
      </c>
      <c r="BD45" s="16"/>
      <c r="BE45" s="108" t="str">
        <f t="shared" si="24"/>
        <v/>
      </c>
      <c r="BG45" s="97"/>
    </row>
    <row r="46" spans="1:59" s="98" customFormat="1" ht="14.1" customHeight="1" x14ac:dyDescent="0.2">
      <c r="A46" s="97"/>
      <c r="C46" s="111">
        <f t="shared" si="12"/>
        <v>39</v>
      </c>
      <c r="D46" s="8"/>
      <c r="E46" s="95"/>
      <c r="F46" s="20"/>
      <c r="G46" s="10"/>
      <c r="H46" s="10"/>
      <c r="I46" s="10"/>
      <c r="J46" s="10"/>
      <c r="K46" s="109" t="str">
        <f t="shared" si="13"/>
        <v/>
      </c>
      <c r="L46" s="11"/>
      <c r="M46" s="11"/>
      <c r="N46" s="11"/>
      <c r="O46" s="11"/>
      <c r="P46" s="109" t="str">
        <f t="shared" si="14"/>
        <v/>
      </c>
      <c r="Q46" s="16"/>
      <c r="R46" s="108" t="str">
        <f t="shared" si="15"/>
        <v/>
      </c>
      <c r="S46" s="110"/>
      <c r="T46" s="12"/>
      <c r="U46" s="10"/>
      <c r="V46" s="10"/>
      <c r="W46" s="10"/>
      <c r="X46" s="109" t="str">
        <f t="shared" si="16"/>
        <v/>
      </c>
      <c r="Y46" s="11"/>
      <c r="Z46" s="11"/>
      <c r="AA46" s="11"/>
      <c r="AB46" s="11"/>
      <c r="AC46" s="109" t="str">
        <f t="shared" si="17"/>
        <v/>
      </c>
      <c r="AD46" s="16"/>
      <c r="AE46" s="108" t="str">
        <f t="shared" si="18"/>
        <v/>
      </c>
      <c r="AF46" s="110"/>
      <c r="AG46" s="12"/>
      <c r="AH46" s="10"/>
      <c r="AI46" s="10"/>
      <c r="AJ46" s="10"/>
      <c r="AK46" s="109" t="str">
        <f t="shared" si="19"/>
        <v/>
      </c>
      <c r="AL46" s="11"/>
      <c r="AM46" s="11"/>
      <c r="AN46" s="11"/>
      <c r="AO46" s="11"/>
      <c r="AP46" s="109" t="str">
        <f t="shared" si="20"/>
        <v/>
      </c>
      <c r="AQ46" s="16"/>
      <c r="AR46" s="108" t="str">
        <f t="shared" si="21"/>
        <v/>
      </c>
      <c r="AS46" s="110"/>
      <c r="AT46" s="12"/>
      <c r="AU46" s="10"/>
      <c r="AV46" s="10"/>
      <c r="AW46" s="10"/>
      <c r="AX46" s="109" t="str">
        <f t="shared" si="22"/>
        <v/>
      </c>
      <c r="AY46" s="11"/>
      <c r="AZ46" s="11"/>
      <c r="BA46" s="11"/>
      <c r="BB46" s="11"/>
      <c r="BC46" s="109" t="str">
        <f t="shared" si="23"/>
        <v/>
      </c>
      <c r="BD46" s="16"/>
      <c r="BE46" s="108" t="str">
        <f t="shared" si="24"/>
        <v/>
      </c>
      <c r="BG46" s="97"/>
    </row>
    <row r="47" spans="1:59" s="98" customFormat="1" ht="14.1" customHeight="1" x14ac:dyDescent="0.2">
      <c r="A47" s="97"/>
      <c r="C47" s="111">
        <f t="shared" si="12"/>
        <v>40</v>
      </c>
      <c r="D47" s="8"/>
      <c r="E47" s="95"/>
      <c r="F47" s="20"/>
      <c r="G47" s="10"/>
      <c r="H47" s="10"/>
      <c r="I47" s="10"/>
      <c r="J47" s="10"/>
      <c r="K47" s="109" t="str">
        <f t="shared" si="13"/>
        <v/>
      </c>
      <c r="L47" s="11"/>
      <c r="M47" s="11"/>
      <c r="N47" s="11"/>
      <c r="O47" s="11"/>
      <c r="P47" s="109" t="str">
        <f t="shared" si="14"/>
        <v/>
      </c>
      <c r="Q47" s="16"/>
      <c r="R47" s="108" t="str">
        <f t="shared" si="15"/>
        <v/>
      </c>
      <c r="S47" s="110"/>
      <c r="T47" s="12"/>
      <c r="U47" s="10"/>
      <c r="V47" s="10"/>
      <c r="W47" s="10"/>
      <c r="X47" s="109" t="str">
        <f t="shared" si="16"/>
        <v/>
      </c>
      <c r="Y47" s="11"/>
      <c r="Z47" s="11"/>
      <c r="AA47" s="11"/>
      <c r="AB47" s="11"/>
      <c r="AC47" s="109" t="str">
        <f t="shared" si="17"/>
        <v/>
      </c>
      <c r="AD47" s="16"/>
      <c r="AE47" s="108" t="str">
        <f t="shared" si="18"/>
        <v/>
      </c>
      <c r="AF47" s="110"/>
      <c r="AG47" s="12"/>
      <c r="AH47" s="10"/>
      <c r="AI47" s="10"/>
      <c r="AJ47" s="10"/>
      <c r="AK47" s="109" t="str">
        <f t="shared" si="19"/>
        <v/>
      </c>
      <c r="AL47" s="11"/>
      <c r="AM47" s="11"/>
      <c r="AN47" s="11"/>
      <c r="AO47" s="11"/>
      <c r="AP47" s="109" t="str">
        <f t="shared" si="20"/>
        <v/>
      </c>
      <c r="AQ47" s="16"/>
      <c r="AR47" s="108" t="str">
        <f t="shared" si="21"/>
        <v/>
      </c>
      <c r="AS47" s="110"/>
      <c r="AT47" s="12"/>
      <c r="AU47" s="10"/>
      <c r="AV47" s="10"/>
      <c r="AW47" s="10"/>
      <c r="AX47" s="109" t="str">
        <f t="shared" si="22"/>
        <v/>
      </c>
      <c r="AY47" s="11"/>
      <c r="AZ47" s="11"/>
      <c r="BA47" s="11"/>
      <c r="BB47" s="11"/>
      <c r="BC47" s="109" t="str">
        <f t="shared" si="23"/>
        <v/>
      </c>
      <c r="BD47" s="16"/>
      <c r="BE47" s="108" t="str">
        <f t="shared" si="24"/>
        <v/>
      </c>
      <c r="BG47" s="97"/>
    </row>
    <row r="48" spans="1:59" s="98" customFormat="1" ht="14.1" customHeight="1" x14ac:dyDescent="0.2">
      <c r="A48" s="97"/>
      <c r="C48" s="111">
        <f t="shared" si="12"/>
        <v>41</v>
      </c>
      <c r="D48" s="8"/>
      <c r="E48" s="95"/>
      <c r="F48" s="20"/>
      <c r="G48" s="10"/>
      <c r="H48" s="10"/>
      <c r="I48" s="10"/>
      <c r="J48" s="10"/>
      <c r="K48" s="109" t="str">
        <f t="shared" si="13"/>
        <v/>
      </c>
      <c r="L48" s="11"/>
      <c r="M48" s="11"/>
      <c r="N48" s="11"/>
      <c r="O48" s="11"/>
      <c r="P48" s="109" t="str">
        <f t="shared" si="14"/>
        <v/>
      </c>
      <c r="Q48" s="16"/>
      <c r="R48" s="108" t="str">
        <f t="shared" si="15"/>
        <v/>
      </c>
      <c r="S48" s="110"/>
      <c r="T48" s="12"/>
      <c r="U48" s="10"/>
      <c r="V48" s="10"/>
      <c r="W48" s="10"/>
      <c r="X48" s="109" t="str">
        <f t="shared" si="16"/>
        <v/>
      </c>
      <c r="Y48" s="11"/>
      <c r="Z48" s="11"/>
      <c r="AA48" s="11"/>
      <c r="AB48" s="11"/>
      <c r="AC48" s="109" t="str">
        <f t="shared" si="17"/>
        <v/>
      </c>
      <c r="AD48" s="16"/>
      <c r="AE48" s="108" t="str">
        <f t="shared" si="18"/>
        <v/>
      </c>
      <c r="AF48" s="110"/>
      <c r="AG48" s="12"/>
      <c r="AH48" s="10"/>
      <c r="AI48" s="10"/>
      <c r="AJ48" s="10"/>
      <c r="AK48" s="109" t="str">
        <f t="shared" si="19"/>
        <v/>
      </c>
      <c r="AL48" s="11"/>
      <c r="AM48" s="11"/>
      <c r="AN48" s="11"/>
      <c r="AO48" s="11"/>
      <c r="AP48" s="109" t="str">
        <f t="shared" si="20"/>
        <v/>
      </c>
      <c r="AQ48" s="16"/>
      <c r="AR48" s="108" t="str">
        <f t="shared" si="21"/>
        <v/>
      </c>
      <c r="AS48" s="110"/>
      <c r="AT48" s="12"/>
      <c r="AU48" s="10"/>
      <c r="AV48" s="10"/>
      <c r="AW48" s="10"/>
      <c r="AX48" s="109" t="str">
        <f t="shared" si="22"/>
        <v/>
      </c>
      <c r="AY48" s="11"/>
      <c r="AZ48" s="11"/>
      <c r="BA48" s="11"/>
      <c r="BB48" s="11"/>
      <c r="BC48" s="109" t="str">
        <f t="shared" si="23"/>
        <v/>
      </c>
      <c r="BD48" s="16"/>
      <c r="BE48" s="108" t="str">
        <f t="shared" si="24"/>
        <v/>
      </c>
      <c r="BG48" s="97"/>
    </row>
    <row r="49" spans="1:59" s="98" customFormat="1" ht="14.1" customHeight="1" x14ac:dyDescent="0.2">
      <c r="A49" s="97"/>
      <c r="C49" s="111">
        <f t="shared" si="12"/>
        <v>42</v>
      </c>
      <c r="D49" s="8"/>
      <c r="E49" s="95"/>
      <c r="F49" s="20"/>
      <c r="G49" s="10"/>
      <c r="H49" s="10"/>
      <c r="I49" s="10"/>
      <c r="J49" s="10"/>
      <c r="K49" s="109" t="str">
        <f t="shared" si="13"/>
        <v/>
      </c>
      <c r="L49" s="11"/>
      <c r="M49" s="11"/>
      <c r="N49" s="11"/>
      <c r="O49" s="11"/>
      <c r="P49" s="109" t="str">
        <f t="shared" si="14"/>
        <v/>
      </c>
      <c r="Q49" s="16"/>
      <c r="R49" s="108" t="str">
        <f t="shared" si="15"/>
        <v/>
      </c>
      <c r="S49" s="110"/>
      <c r="T49" s="12"/>
      <c r="U49" s="10"/>
      <c r="V49" s="10"/>
      <c r="W49" s="10"/>
      <c r="X49" s="109" t="str">
        <f t="shared" si="16"/>
        <v/>
      </c>
      <c r="Y49" s="11"/>
      <c r="Z49" s="11"/>
      <c r="AA49" s="11"/>
      <c r="AB49" s="11"/>
      <c r="AC49" s="109" t="str">
        <f t="shared" si="17"/>
        <v/>
      </c>
      <c r="AD49" s="16"/>
      <c r="AE49" s="108" t="str">
        <f t="shared" si="18"/>
        <v/>
      </c>
      <c r="AF49" s="110"/>
      <c r="AG49" s="12"/>
      <c r="AH49" s="10"/>
      <c r="AI49" s="10"/>
      <c r="AJ49" s="10"/>
      <c r="AK49" s="109" t="str">
        <f t="shared" si="19"/>
        <v/>
      </c>
      <c r="AL49" s="11"/>
      <c r="AM49" s="11"/>
      <c r="AN49" s="11"/>
      <c r="AO49" s="11"/>
      <c r="AP49" s="109" t="str">
        <f t="shared" si="20"/>
        <v/>
      </c>
      <c r="AQ49" s="16"/>
      <c r="AR49" s="108" t="str">
        <f t="shared" si="21"/>
        <v/>
      </c>
      <c r="AS49" s="110"/>
      <c r="AT49" s="12"/>
      <c r="AU49" s="10"/>
      <c r="AV49" s="10"/>
      <c r="AW49" s="10"/>
      <c r="AX49" s="109" t="str">
        <f t="shared" si="22"/>
        <v/>
      </c>
      <c r="AY49" s="11"/>
      <c r="AZ49" s="11"/>
      <c r="BA49" s="11"/>
      <c r="BB49" s="11"/>
      <c r="BC49" s="109" t="str">
        <f t="shared" si="23"/>
        <v/>
      </c>
      <c r="BD49" s="16"/>
      <c r="BE49" s="108" t="str">
        <f t="shared" si="24"/>
        <v/>
      </c>
      <c r="BG49" s="97"/>
    </row>
    <row r="50" spans="1:59" s="98" customFormat="1" ht="14.1" customHeight="1" x14ac:dyDescent="0.2">
      <c r="A50" s="97"/>
      <c r="C50" s="111">
        <f t="shared" si="12"/>
        <v>43</v>
      </c>
      <c r="D50" s="8"/>
      <c r="E50" s="95"/>
      <c r="F50" s="20"/>
      <c r="G50" s="10"/>
      <c r="H50" s="10"/>
      <c r="I50" s="10"/>
      <c r="J50" s="10"/>
      <c r="K50" s="109" t="str">
        <f t="shared" si="13"/>
        <v/>
      </c>
      <c r="L50" s="11"/>
      <c r="M50" s="11"/>
      <c r="N50" s="11"/>
      <c r="O50" s="11"/>
      <c r="P50" s="109" t="str">
        <f t="shared" si="14"/>
        <v/>
      </c>
      <c r="Q50" s="16"/>
      <c r="R50" s="108" t="str">
        <f t="shared" si="15"/>
        <v/>
      </c>
      <c r="S50" s="110"/>
      <c r="T50" s="12"/>
      <c r="U50" s="10"/>
      <c r="V50" s="10"/>
      <c r="W50" s="10"/>
      <c r="X50" s="109" t="str">
        <f t="shared" si="16"/>
        <v/>
      </c>
      <c r="Y50" s="11"/>
      <c r="Z50" s="11"/>
      <c r="AA50" s="11"/>
      <c r="AB50" s="11"/>
      <c r="AC50" s="109" t="str">
        <f t="shared" si="17"/>
        <v/>
      </c>
      <c r="AD50" s="16"/>
      <c r="AE50" s="108" t="str">
        <f t="shared" si="18"/>
        <v/>
      </c>
      <c r="AF50" s="110"/>
      <c r="AG50" s="12"/>
      <c r="AH50" s="10"/>
      <c r="AI50" s="10"/>
      <c r="AJ50" s="10"/>
      <c r="AK50" s="109" t="str">
        <f t="shared" si="19"/>
        <v/>
      </c>
      <c r="AL50" s="11"/>
      <c r="AM50" s="11"/>
      <c r="AN50" s="11"/>
      <c r="AO50" s="11"/>
      <c r="AP50" s="109" t="str">
        <f t="shared" si="20"/>
        <v/>
      </c>
      <c r="AQ50" s="16"/>
      <c r="AR50" s="108" t="str">
        <f t="shared" si="21"/>
        <v/>
      </c>
      <c r="AS50" s="110"/>
      <c r="AT50" s="12"/>
      <c r="AU50" s="10"/>
      <c r="AV50" s="10"/>
      <c r="AW50" s="10"/>
      <c r="AX50" s="109" t="str">
        <f t="shared" si="22"/>
        <v/>
      </c>
      <c r="AY50" s="11"/>
      <c r="AZ50" s="11"/>
      <c r="BA50" s="11"/>
      <c r="BB50" s="11"/>
      <c r="BC50" s="109" t="str">
        <f t="shared" si="23"/>
        <v/>
      </c>
      <c r="BD50" s="16"/>
      <c r="BE50" s="108" t="str">
        <f t="shared" si="24"/>
        <v/>
      </c>
      <c r="BG50" s="97"/>
    </row>
    <row r="51" spans="1:59" s="98" customFormat="1" ht="14.1" customHeight="1" x14ac:dyDescent="0.2">
      <c r="A51" s="97"/>
      <c r="C51" s="111">
        <f t="shared" si="12"/>
        <v>44</v>
      </c>
      <c r="D51" s="8"/>
      <c r="E51" s="95"/>
      <c r="F51" s="20"/>
      <c r="G51" s="10"/>
      <c r="H51" s="10"/>
      <c r="I51" s="10"/>
      <c r="J51" s="10"/>
      <c r="K51" s="109" t="str">
        <f t="shared" si="13"/>
        <v/>
      </c>
      <c r="L51" s="11"/>
      <c r="M51" s="11"/>
      <c r="N51" s="11"/>
      <c r="O51" s="11"/>
      <c r="P51" s="109" t="str">
        <f t="shared" si="14"/>
        <v/>
      </c>
      <c r="Q51" s="16"/>
      <c r="R51" s="108" t="str">
        <f t="shared" si="15"/>
        <v/>
      </c>
      <c r="S51" s="110"/>
      <c r="T51" s="12"/>
      <c r="U51" s="10"/>
      <c r="V51" s="10"/>
      <c r="W51" s="10"/>
      <c r="X51" s="109" t="str">
        <f t="shared" si="16"/>
        <v/>
      </c>
      <c r="Y51" s="11"/>
      <c r="Z51" s="11"/>
      <c r="AA51" s="11"/>
      <c r="AB51" s="11"/>
      <c r="AC51" s="109" t="str">
        <f t="shared" si="17"/>
        <v/>
      </c>
      <c r="AD51" s="16"/>
      <c r="AE51" s="108" t="str">
        <f t="shared" si="18"/>
        <v/>
      </c>
      <c r="AF51" s="110"/>
      <c r="AG51" s="12"/>
      <c r="AH51" s="10"/>
      <c r="AI51" s="10"/>
      <c r="AJ51" s="10"/>
      <c r="AK51" s="109" t="str">
        <f t="shared" si="19"/>
        <v/>
      </c>
      <c r="AL51" s="11"/>
      <c r="AM51" s="11"/>
      <c r="AN51" s="11"/>
      <c r="AO51" s="11"/>
      <c r="AP51" s="109" t="str">
        <f t="shared" si="20"/>
        <v/>
      </c>
      <c r="AQ51" s="16"/>
      <c r="AR51" s="108" t="str">
        <f t="shared" si="21"/>
        <v/>
      </c>
      <c r="AS51" s="110"/>
      <c r="AT51" s="12"/>
      <c r="AU51" s="10"/>
      <c r="AV51" s="10"/>
      <c r="AW51" s="10"/>
      <c r="AX51" s="109" t="str">
        <f t="shared" si="22"/>
        <v/>
      </c>
      <c r="AY51" s="11"/>
      <c r="AZ51" s="11"/>
      <c r="BA51" s="11"/>
      <c r="BB51" s="11"/>
      <c r="BC51" s="109" t="str">
        <f t="shared" si="23"/>
        <v/>
      </c>
      <c r="BD51" s="16"/>
      <c r="BE51" s="108" t="str">
        <f t="shared" si="24"/>
        <v/>
      </c>
      <c r="BG51" s="97"/>
    </row>
    <row r="52" spans="1:59" s="98" customFormat="1" ht="14.1" customHeight="1" x14ac:dyDescent="0.2">
      <c r="A52" s="97"/>
      <c r="C52" s="111">
        <f t="shared" si="12"/>
        <v>45</v>
      </c>
      <c r="D52" s="8"/>
      <c r="E52" s="95"/>
      <c r="F52" s="20"/>
      <c r="G52" s="10"/>
      <c r="H52" s="10"/>
      <c r="I52" s="10"/>
      <c r="J52" s="10"/>
      <c r="K52" s="109" t="str">
        <f t="shared" si="13"/>
        <v/>
      </c>
      <c r="L52" s="11"/>
      <c r="M52" s="11"/>
      <c r="N52" s="11"/>
      <c r="O52" s="11"/>
      <c r="P52" s="109" t="str">
        <f t="shared" si="14"/>
        <v/>
      </c>
      <c r="Q52" s="16"/>
      <c r="R52" s="108" t="str">
        <f t="shared" si="15"/>
        <v/>
      </c>
      <c r="S52" s="110"/>
      <c r="T52" s="12"/>
      <c r="U52" s="10"/>
      <c r="V52" s="10"/>
      <c r="W52" s="10"/>
      <c r="X52" s="109" t="str">
        <f t="shared" si="16"/>
        <v/>
      </c>
      <c r="Y52" s="11"/>
      <c r="Z52" s="11"/>
      <c r="AA52" s="11"/>
      <c r="AB52" s="11"/>
      <c r="AC52" s="109" t="str">
        <f t="shared" si="17"/>
        <v/>
      </c>
      <c r="AD52" s="16"/>
      <c r="AE52" s="108" t="str">
        <f t="shared" si="18"/>
        <v/>
      </c>
      <c r="AF52" s="110"/>
      <c r="AG52" s="12"/>
      <c r="AH52" s="10"/>
      <c r="AI52" s="10"/>
      <c r="AJ52" s="10"/>
      <c r="AK52" s="109" t="str">
        <f t="shared" si="19"/>
        <v/>
      </c>
      <c r="AL52" s="11"/>
      <c r="AM52" s="11"/>
      <c r="AN52" s="11"/>
      <c r="AO52" s="11"/>
      <c r="AP52" s="109" t="str">
        <f t="shared" si="20"/>
        <v/>
      </c>
      <c r="AQ52" s="16"/>
      <c r="AR52" s="108" t="str">
        <f t="shared" si="21"/>
        <v/>
      </c>
      <c r="AS52" s="110"/>
      <c r="AT52" s="12"/>
      <c r="AU52" s="10"/>
      <c r="AV52" s="10"/>
      <c r="AW52" s="10"/>
      <c r="AX52" s="109" t="str">
        <f t="shared" si="22"/>
        <v/>
      </c>
      <c r="AY52" s="11"/>
      <c r="AZ52" s="11"/>
      <c r="BA52" s="11"/>
      <c r="BB52" s="11"/>
      <c r="BC52" s="109" t="str">
        <f t="shared" si="23"/>
        <v/>
      </c>
      <c r="BD52" s="16"/>
      <c r="BE52" s="108" t="str">
        <f t="shared" si="24"/>
        <v/>
      </c>
      <c r="BG52" s="97"/>
    </row>
    <row r="53" spans="1:59" s="98" customFormat="1" ht="14.1" customHeight="1" x14ac:dyDescent="0.2">
      <c r="A53" s="97"/>
      <c r="C53" s="111">
        <f t="shared" si="12"/>
        <v>46</v>
      </c>
      <c r="D53" s="8"/>
      <c r="E53" s="95"/>
      <c r="F53" s="20"/>
      <c r="G53" s="10"/>
      <c r="H53" s="10"/>
      <c r="I53" s="10"/>
      <c r="J53" s="10"/>
      <c r="K53" s="109" t="str">
        <f t="shared" si="13"/>
        <v/>
      </c>
      <c r="L53" s="11"/>
      <c r="M53" s="11"/>
      <c r="N53" s="11"/>
      <c r="O53" s="11"/>
      <c r="P53" s="109" t="str">
        <f t="shared" si="14"/>
        <v/>
      </c>
      <c r="Q53" s="16"/>
      <c r="R53" s="108" t="str">
        <f t="shared" si="15"/>
        <v/>
      </c>
      <c r="S53" s="110"/>
      <c r="T53" s="12"/>
      <c r="U53" s="10"/>
      <c r="V53" s="10"/>
      <c r="W53" s="10"/>
      <c r="X53" s="109" t="str">
        <f t="shared" si="16"/>
        <v/>
      </c>
      <c r="Y53" s="11"/>
      <c r="Z53" s="11"/>
      <c r="AA53" s="11"/>
      <c r="AB53" s="11"/>
      <c r="AC53" s="109" t="str">
        <f t="shared" si="17"/>
        <v/>
      </c>
      <c r="AD53" s="16"/>
      <c r="AE53" s="108" t="str">
        <f t="shared" si="18"/>
        <v/>
      </c>
      <c r="AF53" s="110"/>
      <c r="AG53" s="12"/>
      <c r="AH53" s="10"/>
      <c r="AI53" s="10"/>
      <c r="AJ53" s="10"/>
      <c r="AK53" s="109" t="str">
        <f t="shared" si="19"/>
        <v/>
      </c>
      <c r="AL53" s="11"/>
      <c r="AM53" s="11"/>
      <c r="AN53" s="11"/>
      <c r="AO53" s="11"/>
      <c r="AP53" s="109" t="str">
        <f t="shared" si="20"/>
        <v/>
      </c>
      <c r="AQ53" s="16"/>
      <c r="AR53" s="108" t="str">
        <f t="shared" si="21"/>
        <v/>
      </c>
      <c r="AS53" s="110"/>
      <c r="AT53" s="12"/>
      <c r="AU53" s="10"/>
      <c r="AV53" s="10"/>
      <c r="AW53" s="10"/>
      <c r="AX53" s="109" t="str">
        <f t="shared" si="22"/>
        <v/>
      </c>
      <c r="AY53" s="11"/>
      <c r="AZ53" s="11"/>
      <c r="BA53" s="11"/>
      <c r="BB53" s="11"/>
      <c r="BC53" s="109" t="str">
        <f t="shared" si="23"/>
        <v/>
      </c>
      <c r="BD53" s="16"/>
      <c r="BE53" s="108" t="str">
        <f t="shared" si="24"/>
        <v/>
      </c>
      <c r="BG53" s="97"/>
    </row>
    <row r="54" spans="1:59" s="98" customFormat="1" ht="14.1" customHeight="1" x14ac:dyDescent="0.2">
      <c r="A54" s="97"/>
      <c r="C54" s="111">
        <f t="shared" si="12"/>
        <v>47</v>
      </c>
      <c r="D54" s="8"/>
      <c r="E54" s="95"/>
      <c r="F54" s="20"/>
      <c r="G54" s="10"/>
      <c r="H54" s="10"/>
      <c r="I54" s="10"/>
      <c r="J54" s="10"/>
      <c r="K54" s="109" t="str">
        <f t="shared" si="13"/>
        <v/>
      </c>
      <c r="L54" s="11"/>
      <c r="M54" s="11"/>
      <c r="N54" s="11"/>
      <c r="O54" s="11"/>
      <c r="P54" s="109" t="str">
        <f t="shared" si="14"/>
        <v/>
      </c>
      <c r="Q54" s="16"/>
      <c r="R54" s="108" t="str">
        <f t="shared" si="15"/>
        <v/>
      </c>
      <c r="S54" s="110"/>
      <c r="T54" s="12"/>
      <c r="U54" s="10"/>
      <c r="V54" s="10"/>
      <c r="W54" s="10"/>
      <c r="X54" s="109" t="str">
        <f t="shared" si="16"/>
        <v/>
      </c>
      <c r="Y54" s="11"/>
      <c r="Z54" s="11"/>
      <c r="AA54" s="11"/>
      <c r="AB54" s="11"/>
      <c r="AC54" s="109" t="str">
        <f t="shared" si="17"/>
        <v/>
      </c>
      <c r="AD54" s="16"/>
      <c r="AE54" s="108" t="str">
        <f t="shared" si="18"/>
        <v/>
      </c>
      <c r="AF54" s="110"/>
      <c r="AG54" s="12"/>
      <c r="AH54" s="10"/>
      <c r="AI54" s="10"/>
      <c r="AJ54" s="10"/>
      <c r="AK54" s="109" t="str">
        <f t="shared" si="19"/>
        <v/>
      </c>
      <c r="AL54" s="11"/>
      <c r="AM54" s="11"/>
      <c r="AN54" s="11"/>
      <c r="AO54" s="11"/>
      <c r="AP54" s="109" t="str">
        <f t="shared" si="20"/>
        <v/>
      </c>
      <c r="AQ54" s="16"/>
      <c r="AR54" s="108" t="str">
        <f t="shared" si="21"/>
        <v/>
      </c>
      <c r="AS54" s="110"/>
      <c r="AT54" s="12"/>
      <c r="AU54" s="10"/>
      <c r="AV54" s="10"/>
      <c r="AW54" s="10"/>
      <c r="AX54" s="109" t="str">
        <f t="shared" si="22"/>
        <v/>
      </c>
      <c r="AY54" s="11"/>
      <c r="AZ54" s="11"/>
      <c r="BA54" s="11"/>
      <c r="BB54" s="11"/>
      <c r="BC54" s="109" t="str">
        <f t="shared" si="23"/>
        <v/>
      </c>
      <c r="BD54" s="16"/>
      <c r="BE54" s="108" t="str">
        <f t="shared" si="24"/>
        <v/>
      </c>
      <c r="BG54" s="97"/>
    </row>
    <row r="55" spans="1:59" s="98" customFormat="1" ht="14.1" customHeight="1" x14ac:dyDescent="0.2">
      <c r="A55" s="97"/>
      <c r="C55" s="111">
        <f t="shared" si="12"/>
        <v>48</v>
      </c>
      <c r="D55" s="8"/>
      <c r="E55" s="95"/>
      <c r="F55" s="20"/>
      <c r="G55" s="10"/>
      <c r="H55" s="10"/>
      <c r="I55" s="10"/>
      <c r="J55" s="10"/>
      <c r="K55" s="109" t="str">
        <f t="shared" si="13"/>
        <v/>
      </c>
      <c r="L55" s="11"/>
      <c r="M55" s="11"/>
      <c r="N55" s="11"/>
      <c r="O55" s="11"/>
      <c r="P55" s="109" t="str">
        <f t="shared" si="14"/>
        <v/>
      </c>
      <c r="Q55" s="16"/>
      <c r="R55" s="108" t="str">
        <f t="shared" si="15"/>
        <v/>
      </c>
      <c r="S55" s="110"/>
      <c r="T55" s="12"/>
      <c r="U55" s="10"/>
      <c r="V55" s="10"/>
      <c r="W55" s="10"/>
      <c r="X55" s="109" t="str">
        <f t="shared" si="16"/>
        <v/>
      </c>
      <c r="Y55" s="11"/>
      <c r="Z55" s="11"/>
      <c r="AA55" s="11"/>
      <c r="AB55" s="11"/>
      <c r="AC55" s="109" t="str">
        <f t="shared" si="17"/>
        <v/>
      </c>
      <c r="AD55" s="16"/>
      <c r="AE55" s="108" t="str">
        <f t="shared" si="18"/>
        <v/>
      </c>
      <c r="AF55" s="110"/>
      <c r="AG55" s="12"/>
      <c r="AH55" s="10"/>
      <c r="AI55" s="10"/>
      <c r="AJ55" s="10"/>
      <c r="AK55" s="109" t="str">
        <f t="shared" si="19"/>
        <v/>
      </c>
      <c r="AL55" s="11"/>
      <c r="AM55" s="11"/>
      <c r="AN55" s="11"/>
      <c r="AO55" s="11"/>
      <c r="AP55" s="109" t="str">
        <f t="shared" si="20"/>
        <v/>
      </c>
      <c r="AQ55" s="16"/>
      <c r="AR55" s="108" t="str">
        <f t="shared" si="21"/>
        <v/>
      </c>
      <c r="AS55" s="110"/>
      <c r="AT55" s="12"/>
      <c r="AU55" s="10"/>
      <c r="AV55" s="10"/>
      <c r="AW55" s="10"/>
      <c r="AX55" s="109" t="str">
        <f t="shared" si="22"/>
        <v/>
      </c>
      <c r="AY55" s="11"/>
      <c r="AZ55" s="11"/>
      <c r="BA55" s="11"/>
      <c r="BB55" s="11"/>
      <c r="BC55" s="109" t="str">
        <f t="shared" si="23"/>
        <v/>
      </c>
      <c r="BD55" s="16"/>
      <c r="BE55" s="108" t="str">
        <f t="shared" si="24"/>
        <v/>
      </c>
      <c r="BG55" s="97"/>
    </row>
    <row r="56" spans="1:59" s="98" customFormat="1" ht="14.1" customHeight="1" x14ac:dyDescent="0.2">
      <c r="A56" s="97"/>
      <c r="C56" s="111">
        <f t="shared" si="12"/>
        <v>49</v>
      </c>
      <c r="D56" s="8"/>
      <c r="E56" s="95"/>
      <c r="F56" s="20"/>
      <c r="G56" s="10"/>
      <c r="H56" s="10"/>
      <c r="I56" s="10"/>
      <c r="J56" s="10"/>
      <c r="K56" s="109" t="str">
        <f t="shared" si="13"/>
        <v/>
      </c>
      <c r="L56" s="11"/>
      <c r="M56" s="11"/>
      <c r="N56" s="11"/>
      <c r="O56" s="11"/>
      <c r="P56" s="109" t="str">
        <f t="shared" si="14"/>
        <v/>
      </c>
      <c r="Q56" s="16"/>
      <c r="R56" s="108" t="str">
        <f t="shared" si="15"/>
        <v/>
      </c>
      <c r="S56" s="110"/>
      <c r="T56" s="12"/>
      <c r="U56" s="10"/>
      <c r="V56" s="10"/>
      <c r="W56" s="10"/>
      <c r="X56" s="109" t="str">
        <f t="shared" si="16"/>
        <v/>
      </c>
      <c r="Y56" s="11"/>
      <c r="Z56" s="11"/>
      <c r="AA56" s="11"/>
      <c r="AB56" s="11"/>
      <c r="AC56" s="109" t="str">
        <f t="shared" si="17"/>
        <v/>
      </c>
      <c r="AD56" s="16"/>
      <c r="AE56" s="108" t="str">
        <f t="shared" si="18"/>
        <v/>
      </c>
      <c r="AF56" s="110"/>
      <c r="AG56" s="12"/>
      <c r="AH56" s="10"/>
      <c r="AI56" s="10"/>
      <c r="AJ56" s="10"/>
      <c r="AK56" s="109" t="str">
        <f t="shared" si="19"/>
        <v/>
      </c>
      <c r="AL56" s="11"/>
      <c r="AM56" s="11"/>
      <c r="AN56" s="11"/>
      <c r="AO56" s="11"/>
      <c r="AP56" s="109" t="str">
        <f t="shared" si="20"/>
        <v/>
      </c>
      <c r="AQ56" s="16"/>
      <c r="AR56" s="108" t="str">
        <f t="shared" si="21"/>
        <v/>
      </c>
      <c r="AS56" s="110"/>
      <c r="AT56" s="12"/>
      <c r="AU56" s="10"/>
      <c r="AV56" s="10"/>
      <c r="AW56" s="10"/>
      <c r="AX56" s="109" t="str">
        <f t="shared" si="22"/>
        <v/>
      </c>
      <c r="AY56" s="11"/>
      <c r="AZ56" s="11"/>
      <c r="BA56" s="11"/>
      <c r="BB56" s="11"/>
      <c r="BC56" s="109" t="str">
        <f t="shared" si="23"/>
        <v/>
      </c>
      <c r="BD56" s="16"/>
      <c r="BE56" s="108" t="str">
        <f t="shared" si="24"/>
        <v/>
      </c>
      <c r="BG56" s="97"/>
    </row>
    <row r="57" spans="1:59" s="98" customFormat="1" ht="14.1" customHeight="1" x14ac:dyDescent="0.2">
      <c r="A57" s="97"/>
      <c r="C57" s="111">
        <f t="shared" si="12"/>
        <v>50</v>
      </c>
      <c r="D57" s="8"/>
      <c r="E57" s="95"/>
      <c r="F57" s="20"/>
      <c r="G57" s="10"/>
      <c r="H57" s="10"/>
      <c r="I57" s="10"/>
      <c r="J57" s="10"/>
      <c r="K57" s="109" t="str">
        <f t="shared" si="13"/>
        <v/>
      </c>
      <c r="L57" s="11"/>
      <c r="M57" s="11"/>
      <c r="N57" s="11"/>
      <c r="O57" s="11"/>
      <c r="P57" s="109" t="str">
        <f t="shared" si="14"/>
        <v/>
      </c>
      <c r="Q57" s="16"/>
      <c r="R57" s="108" t="str">
        <f t="shared" si="15"/>
        <v/>
      </c>
      <c r="S57" s="110"/>
      <c r="T57" s="12"/>
      <c r="U57" s="10"/>
      <c r="V57" s="10"/>
      <c r="W57" s="10"/>
      <c r="X57" s="109" t="str">
        <f t="shared" si="16"/>
        <v/>
      </c>
      <c r="Y57" s="11"/>
      <c r="Z57" s="11"/>
      <c r="AA57" s="11"/>
      <c r="AB57" s="11"/>
      <c r="AC57" s="109" t="str">
        <f t="shared" si="17"/>
        <v/>
      </c>
      <c r="AD57" s="16"/>
      <c r="AE57" s="108" t="str">
        <f t="shared" si="18"/>
        <v/>
      </c>
      <c r="AF57" s="110"/>
      <c r="AG57" s="12"/>
      <c r="AH57" s="10"/>
      <c r="AI57" s="10"/>
      <c r="AJ57" s="10"/>
      <c r="AK57" s="109" t="str">
        <f t="shared" si="19"/>
        <v/>
      </c>
      <c r="AL57" s="11"/>
      <c r="AM57" s="11"/>
      <c r="AN57" s="11"/>
      <c r="AO57" s="11"/>
      <c r="AP57" s="109" t="str">
        <f t="shared" si="20"/>
        <v/>
      </c>
      <c r="AQ57" s="16"/>
      <c r="AR57" s="108" t="str">
        <f t="shared" si="21"/>
        <v/>
      </c>
      <c r="AS57" s="110"/>
      <c r="AT57" s="12"/>
      <c r="AU57" s="10"/>
      <c r="AV57" s="10"/>
      <c r="AW57" s="10"/>
      <c r="AX57" s="109" t="str">
        <f t="shared" si="22"/>
        <v/>
      </c>
      <c r="AY57" s="11"/>
      <c r="AZ57" s="11"/>
      <c r="BA57" s="11"/>
      <c r="BB57" s="11"/>
      <c r="BC57" s="109" t="str">
        <f t="shared" si="23"/>
        <v/>
      </c>
      <c r="BD57" s="16"/>
      <c r="BE57" s="108" t="str">
        <f t="shared" si="24"/>
        <v/>
      </c>
      <c r="BG57" s="97"/>
    </row>
    <row r="58" spans="1:59" s="98" customFormat="1" ht="14.1" customHeight="1" x14ac:dyDescent="0.2">
      <c r="A58" s="97"/>
      <c r="C58" s="315">
        <f t="shared" si="12"/>
        <v>51</v>
      </c>
      <c r="D58" s="316"/>
      <c r="E58" s="317"/>
      <c r="F58" s="318"/>
      <c r="G58" s="319"/>
      <c r="H58" s="319"/>
      <c r="I58" s="319"/>
      <c r="J58" s="319"/>
      <c r="K58" s="320" t="str">
        <f t="shared" si="13"/>
        <v/>
      </c>
      <c r="L58" s="321"/>
      <c r="M58" s="321"/>
      <c r="N58" s="321"/>
      <c r="O58" s="321"/>
      <c r="P58" s="320" t="str">
        <f t="shared" si="14"/>
        <v/>
      </c>
      <c r="Q58" s="322"/>
      <c r="R58" s="323" t="str">
        <f t="shared" si="15"/>
        <v/>
      </c>
      <c r="S58" s="110"/>
      <c r="T58" s="324"/>
      <c r="U58" s="319"/>
      <c r="V58" s="319"/>
      <c r="W58" s="319"/>
      <c r="X58" s="320" t="str">
        <f t="shared" si="16"/>
        <v/>
      </c>
      <c r="Y58" s="321"/>
      <c r="Z58" s="321"/>
      <c r="AA58" s="321"/>
      <c r="AB58" s="321"/>
      <c r="AC58" s="320" t="str">
        <f t="shared" si="17"/>
        <v/>
      </c>
      <c r="AD58" s="322"/>
      <c r="AE58" s="323" t="str">
        <f t="shared" si="18"/>
        <v/>
      </c>
      <c r="AF58" s="110"/>
      <c r="AG58" s="324"/>
      <c r="AH58" s="319"/>
      <c r="AI58" s="319"/>
      <c r="AJ58" s="319"/>
      <c r="AK58" s="320" t="str">
        <f t="shared" si="19"/>
        <v/>
      </c>
      <c r="AL58" s="321"/>
      <c r="AM58" s="321"/>
      <c r="AN58" s="321"/>
      <c r="AO58" s="321"/>
      <c r="AP58" s="320" t="str">
        <f t="shared" si="20"/>
        <v/>
      </c>
      <c r="AQ58" s="322"/>
      <c r="AR58" s="323" t="str">
        <f t="shared" si="21"/>
        <v/>
      </c>
      <c r="AS58" s="110"/>
      <c r="AT58" s="324"/>
      <c r="AU58" s="319"/>
      <c r="AV58" s="319"/>
      <c r="AW58" s="319"/>
      <c r="AX58" s="320" t="str">
        <f t="shared" si="22"/>
        <v/>
      </c>
      <c r="AY58" s="321"/>
      <c r="AZ58" s="321"/>
      <c r="BA58" s="321"/>
      <c r="BB58" s="321"/>
      <c r="BC58" s="320" t="str">
        <f t="shared" si="23"/>
        <v/>
      </c>
      <c r="BD58" s="322"/>
      <c r="BE58" s="323" t="str">
        <f t="shared" si="24"/>
        <v/>
      </c>
      <c r="BG58" s="97"/>
    </row>
    <row r="59" spans="1:59" s="98" customFormat="1" ht="14.1" customHeight="1" x14ac:dyDescent="0.2">
      <c r="A59" s="97"/>
      <c r="C59" s="111">
        <f t="shared" si="12"/>
        <v>52</v>
      </c>
      <c r="D59" s="8"/>
      <c r="E59" s="95"/>
      <c r="F59" s="20"/>
      <c r="G59" s="10"/>
      <c r="H59" s="10"/>
      <c r="I59" s="10"/>
      <c r="J59" s="10"/>
      <c r="K59" s="109" t="str">
        <f t="shared" si="13"/>
        <v/>
      </c>
      <c r="L59" s="11"/>
      <c r="M59" s="11"/>
      <c r="N59" s="11"/>
      <c r="O59" s="11"/>
      <c r="P59" s="109" t="str">
        <f t="shared" si="14"/>
        <v/>
      </c>
      <c r="Q59" s="16"/>
      <c r="R59" s="108" t="str">
        <f t="shared" si="15"/>
        <v/>
      </c>
      <c r="S59" s="110"/>
      <c r="T59" s="12"/>
      <c r="U59" s="10"/>
      <c r="V59" s="10"/>
      <c r="W59" s="10"/>
      <c r="X59" s="109" t="str">
        <f t="shared" si="16"/>
        <v/>
      </c>
      <c r="Y59" s="11"/>
      <c r="Z59" s="11"/>
      <c r="AA59" s="11"/>
      <c r="AB59" s="11"/>
      <c r="AC59" s="109" t="str">
        <f t="shared" si="17"/>
        <v/>
      </c>
      <c r="AD59" s="16"/>
      <c r="AE59" s="108" t="str">
        <f t="shared" si="18"/>
        <v/>
      </c>
      <c r="AF59" s="110"/>
      <c r="AG59" s="12"/>
      <c r="AH59" s="10"/>
      <c r="AI59" s="10"/>
      <c r="AJ59" s="10"/>
      <c r="AK59" s="109" t="str">
        <f t="shared" si="19"/>
        <v/>
      </c>
      <c r="AL59" s="11"/>
      <c r="AM59" s="11"/>
      <c r="AN59" s="11"/>
      <c r="AO59" s="11"/>
      <c r="AP59" s="109" t="str">
        <f t="shared" si="20"/>
        <v/>
      </c>
      <c r="AQ59" s="16"/>
      <c r="AR59" s="108" t="str">
        <f t="shared" si="21"/>
        <v/>
      </c>
      <c r="AS59" s="110"/>
      <c r="AT59" s="12"/>
      <c r="AU59" s="10"/>
      <c r="AV59" s="10"/>
      <c r="AW59" s="10"/>
      <c r="AX59" s="109" t="str">
        <f t="shared" si="22"/>
        <v/>
      </c>
      <c r="AY59" s="11"/>
      <c r="AZ59" s="11"/>
      <c r="BA59" s="11"/>
      <c r="BB59" s="11"/>
      <c r="BC59" s="109" t="str">
        <f t="shared" si="23"/>
        <v/>
      </c>
      <c r="BD59" s="16"/>
      <c r="BE59" s="108" t="str">
        <f t="shared" si="24"/>
        <v/>
      </c>
      <c r="BG59" s="97"/>
    </row>
    <row r="60" spans="1:59" s="98" customFormat="1" ht="14.1" customHeight="1" x14ac:dyDescent="0.2">
      <c r="A60" s="97"/>
      <c r="C60" s="111">
        <f t="shared" si="12"/>
        <v>53</v>
      </c>
      <c r="D60" s="8"/>
      <c r="E60" s="95"/>
      <c r="F60" s="20"/>
      <c r="G60" s="10"/>
      <c r="H60" s="10"/>
      <c r="I60" s="10"/>
      <c r="J60" s="10"/>
      <c r="K60" s="109" t="str">
        <f t="shared" si="13"/>
        <v/>
      </c>
      <c r="L60" s="11"/>
      <c r="M60" s="11"/>
      <c r="N60" s="11"/>
      <c r="O60" s="11"/>
      <c r="P60" s="109" t="str">
        <f t="shared" si="14"/>
        <v/>
      </c>
      <c r="Q60" s="16"/>
      <c r="R60" s="108" t="str">
        <f t="shared" si="15"/>
        <v/>
      </c>
      <c r="S60" s="110"/>
      <c r="T60" s="12"/>
      <c r="U60" s="10"/>
      <c r="V60" s="10"/>
      <c r="W60" s="10"/>
      <c r="X60" s="109" t="str">
        <f t="shared" si="16"/>
        <v/>
      </c>
      <c r="Y60" s="11"/>
      <c r="Z60" s="11"/>
      <c r="AA60" s="11"/>
      <c r="AB60" s="11"/>
      <c r="AC60" s="109" t="str">
        <f t="shared" si="17"/>
        <v/>
      </c>
      <c r="AD60" s="16"/>
      <c r="AE60" s="108" t="str">
        <f t="shared" si="18"/>
        <v/>
      </c>
      <c r="AF60" s="110"/>
      <c r="AG60" s="12"/>
      <c r="AH60" s="10"/>
      <c r="AI60" s="10"/>
      <c r="AJ60" s="10"/>
      <c r="AK60" s="109" t="str">
        <f t="shared" si="19"/>
        <v/>
      </c>
      <c r="AL60" s="11"/>
      <c r="AM60" s="11"/>
      <c r="AN60" s="11"/>
      <c r="AO60" s="11"/>
      <c r="AP60" s="109" t="str">
        <f t="shared" si="20"/>
        <v/>
      </c>
      <c r="AQ60" s="16"/>
      <c r="AR60" s="108" t="str">
        <f t="shared" si="21"/>
        <v/>
      </c>
      <c r="AS60" s="110"/>
      <c r="AT60" s="12"/>
      <c r="AU60" s="10"/>
      <c r="AV60" s="10"/>
      <c r="AW60" s="10"/>
      <c r="AX60" s="109" t="str">
        <f t="shared" si="22"/>
        <v/>
      </c>
      <c r="AY60" s="11"/>
      <c r="AZ60" s="11"/>
      <c r="BA60" s="11"/>
      <c r="BB60" s="11"/>
      <c r="BC60" s="109" t="str">
        <f t="shared" si="23"/>
        <v/>
      </c>
      <c r="BD60" s="16"/>
      <c r="BE60" s="108" t="str">
        <f t="shared" si="24"/>
        <v/>
      </c>
      <c r="BG60" s="97"/>
    </row>
    <row r="61" spans="1:59" s="98" customFormat="1" ht="14.1" customHeight="1" x14ac:dyDescent="0.2">
      <c r="A61" s="97"/>
      <c r="C61" s="111">
        <f t="shared" si="12"/>
        <v>54</v>
      </c>
      <c r="D61" s="8"/>
      <c r="E61" s="95"/>
      <c r="F61" s="20"/>
      <c r="G61" s="10"/>
      <c r="H61" s="10"/>
      <c r="I61" s="10"/>
      <c r="J61" s="10"/>
      <c r="K61" s="109" t="str">
        <f t="shared" si="13"/>
        <v/>
      </c>
      <c r="L61" s="11"/>
      <c r="M61" s="11"/>
      <c r="N61" s="11"/>
      <c r="O61" s="11"/>
      <c r="P61" s="109" t="str">
        <f t="shared" si="14"/>
        <v/>
      </c>
      <c r="Q61" s="16"/>
      <c r="R61" s="108" t="str">
        <f t="shared" si="15"/>
        <v/>
      </c>
      <c r="S61" s="110"/>
      <c r="T61" s="12"/>
      <c r="U61" s="10"/>
      <c r="V61" s="10"/>
      <c r="W61" s="10"/>
      <c r="X61" s="109" t="str">
        <f t="shared" si="16"/>
        <v/>
      </c>
      <c r="Y61" s="11"/>
      <c r="Z61" s="11"/>
      <c r="AA61" s="11"/>
      <c r="AB61" s="11"/>
      <c r="AC61" s="109" t="str">
        <f t="shared" si="17"/>
        <v/>
      </c>
      <c r="AD61" s="16"/>
      <c r="AE61" s="108" t="str">
        <f t="shared" si="18"/>
        <v/>
      </c>
      <c r="AF61" s="110"/>
      <c r="AG61" s="12"/>
      <c r="AH61" s="10"/>
      <c r="AI61" s="10"/>
      <c r="AJ61" s="10"/>
      <c r="AK61" s="109" t="str">
        <f t="shared" si="19"/>
        <v/>
      </c>
      <c r="AL61" s="11"/>
      <c r="AM61" s="11"/>
      <c r="AN61" s="11"/>
      <c r="AO61" s="11"/>
      <c r="AP61" s="109" t="str">
        <f t="shared" si="20"/>
        <v/>
      </c>
      <c r="AQ61" s="16"/>
      <c r="AR61" s="108" t="str">
        <f t="shared" si="21"/>
        <v/>
      </c>
      <c r="AS61" s="110"/>
      <c r="AT61" s="12"/>
      <c r="AU61" s="10"/>
      <c r="AV61" s="10"/>
      <c r="AW61" s="10"/>
      <c r="AX61" s="109" t="str">
        <f t="shared" si="22"/>
        <v/>
      </c>
      <c r="AY61" s="11"/>
      <c r="AZ61" s="11"/>
      <c r="BA61" s="11"/>
      <c r="BB61" s="11"/>
      <c r="BC61" s="109" t="str">
        <f t="shared" si="23"/>
        <v/>
      </c>
      <c r="BD61" s="16"/>
      <c r="BE61" s="108" t="str">
        <f t="shared" si="24"/>
        <v/>
      </c>
      <c r="BG61" s="97"/>
    </row>
    <row r="62" spans="1:59" s="98" customFormat="1" ht="14.1" customHeight="1" x14ac:dyDescent="0.2">
      <c r="A62" s="97"/>
      <c r="C62" s="111">
        <f t="shared" si="12"/>
        <v>55</v>
      </c>
      <c r="D62" s="8"/>
      <c r="E62" s="95"/>
      <c r="F62" s="20"/>
      <c r="G62" s="10"/>
      <c r="H62" s="10"/>
      <c r="I62" s="10"/>
      <c r="J62" s="10"/>
      <c r="K62" s="109" t="str">
        <f t="shared" si="13"/>
        <v/>
      </c>
      <c r="L62" s="11"/>
      <c r="M62" s="11"/>
      <c r="N62" s="11"/>
      <c r="O62" s="11"/>
      <c r="P62" s="109" t="str">
        <f t="shared" si="14"/>
        <v/>
      </c>
      <c r="Q62" s="16"/>
      <c r="R62" s="108" t="str">
        <f t="shared" si="15"/>
        <v/>
      </c>
      <c r="S62" s="110"/>
      <c r="T62" s="12"/>
      <c r="U62" s="10"/>
      <c r="V62" s="10"/>
      <c r="W62" s="10"/>
      <c r="X62" s="109" t="str">
        <f t="shared" si="16"/>
        <v/>
      </c>
      <c r="Y62" s="11"/>
      <c r="Z62" s="11"/>
      <c r="AA62" s="11"/>
      <c r="AB62" s="11"/>
      <c r="AC62" s="109" t="str">
        <f t="shared" si="17"/>
        <v/>
      </c>
      <c r="AD62" s="16"/>
      <c r="AE62" s="108" t="str">
        <f t="shared" si="18"/>
        <v/>
      </c>
      <c r="AF62" s="110"/>
      <c r="AG62" s="12"/>
      <c r="AH62" s="10"/>
      <c r="AI62" s="10"/>
      <c r="AJ62" s="10"/>
      <c r="AK62" s="109" t="str">
        <f t="shared" si="19"/>
        <v/>
      </c>
      <c r="AL62" s="11"/>
      <c r="AM62" s="11"/>
      <c r="AN62" s="11"/>
      <c r="AO62" s="11"/>
      <c r="AP62" s="109" t="str">
        <f t="shared" si="20"/>
        <v/>
      </c>
      <c r="AQ62" s="16"/>
      <c r="AR62" s="108" t="str">
        <f t="shared" si="21"/>
        <v/>
      </c>
      <c r="AS62" s="110"/>
      <c r="AT62" s="12"/>
      <c r="AU62" s="10"/>
      <c r="AV62" s="10"/>
      <c r="AW62" s="10"/>
      <c r="AX62" s="109" t="str">
        <f t="shared" si="22"/>
        <v/>
      </c>
      <c r="AY62" s="11"/>
      <c r="AZ62" s="11"/>
      <c r="BA62" s="11"/>
      <c r="BB62" s="11"/>
      <c r="BC62" s="109" t="str">
        <f t="shared" si="23"/>
        <v/>
      </c>
      <c r="BD62" s="16"/>
      <c r="BE62" s="108" t="str">
        <f t="shared" si="24"/>
        <v/>
      </c>
      <c r="BG62" s="97"/>
    </row>
    <row r="63" spans="1:59" s="98" customFormat="1" ht="14.1" customHeight="1" x14ac:dyDescent="0.2">
      <c r="A63" s="97"/>
      <c r="C63" s="111">
        <f t="shared" si="12"/>
        <v>56</v>
      </c>
      <c r="D63" s="8"/>
      <c r="E63" s="95"/>
      <c r="F63" s="20"/>
      <c r="G63" s="10"/>
      <c r="H63" s="10"/>
      <c r="I63" s="10"/>
      <c r="J63" s="10"/>
      <c r="K63" s="109" t="str">
        <f t="shared" si="13"/>
        <v/>
      </c>
      <c r="L63" s="11"/>
      <c r="M63" s="11"/>
      <c r="N63" s="11"/>
      <c r="O63" s="11"/>
      <c r="P63" s="109" t="str">
        <f t="shared" si="14"/>
        <v/>
      </c>
      <c r="Q63" s="16"/>
      <c r="R63" s="108" t="str">
        <f t="shared" si="15"/>
        <v/>
      </c>
      <c r="S63" s="110"/>
      <c r="T63" s="12"/>
      <c r="U63" s="10"/>
      <c r="V63" s="10"/>
      <c r="W63" s="10"/>
      <c r="X63" s="109" t="str">
        <f t="shared" si="16"/>
        <v/>
      </c>
      <c r="Y63" s="11"/>
      <c r="Z63" s="11"/>
      <c r="AA63" s="11"/>
      <c r="AB63" s="11"/>
      <c r="AC63" s="109" t="str">
        <f t="shared" si="17"/>
        <v/>
      </c>
      <c r="AD63" s="16"/>
      <c r="AE63" s="108" t="str">
        <f t="shared" si="18"/>
        <v/>
      </c>
      <c r="AF63" s="110"/>
      <c r="AG63" s="12"/>
      <c r="AH63" s="10"/>
      <c r="AI63" s="10"/>
      <c r="AJ63" s="10"/>
      <c r="AK63" s="109" t="str">
        <f t="shared" si="19"/>
        <v/>
      </c>
      <c r="AL63" s="11"/>
      <c r="AM63" s="11"/>
      <c r="AN63" s="11"/>
      <c r="AO63" s="11"/>
      <c r="AP63" s="109" t="str">
        <f t="shared" si="20"/>
        <v/>
      </c>
      <c r="AQ63" s="16"/>
      <c r="AR63" s="108" t="str">
        <f t="shared" si="21"/>
        <v/>
      </c>
      <c r="AS63" s="110"/>
      <c r="AT63" s="12"/>
      <c r="AU63" s="10"/>
      <c r="AV63" s="10"/>
      <c r="AW63" s="10"/>
      <c r="AX63" s="109" t="str">
        <f t="shared" si="22"/>
        <v/>
      </c>
      <c r="AY63" s="11"/>
      <c r="AZ63" s="11"/>
      <c r="BA63" s="11"/>
      <c r="BB63" s="11"/>
      <c r="BC63" s="109" t="str">
        <f t="shared" si="23"/>
        <v/>
      </c>
      <c r="BD63" s="16"/>
      <c r="BE63" s="108" t="str">
        <f t="shared" si="24"/>
        <v/>
      </c>
      <c r="BG63" s="97"/>
    </row>
    <row r="64" spans="1:59" s="98" customFormat="1" ht="14.1" customHeight="1" x14ac:dyDescent="0.2">
      <c r="A64" s="97"/>
      <c r="C64" s="111">
        <f t="shared" si="12"/>
        <v>57</v>
      </c>
      <c r="D64" s="8"/>
      <c r="E64" s="95"/>
      <c r="F64" s="20"/>
      <c r="G64" s="10"/>
      <c r="H64" s="10"/>
      <c r="I64" s="10"/>
      <c r="J64" s="10"/>
      <c r="K64" s="109" t="str">
        <f t="shared" si="13"/>
        <v/>
      </c>
      <c r="L64" s="11"/>
      <c r="M64" s="11"/>
      <c r="N64" s="11"/>
      <c r="O64" s="11"/>
      <c r="P64" s="109" t="str">
        <f t="shared" si="14"/>
        <v/>
      </c>
      <c r="Q64" s="16"/>
      <c r="R64" s="108" t="str">
        <f t="shared" si="15"/>
        <v/>
      </c>
      <c r="S64" s="110"/>
      <c r="T64" s="12"/>
      <c r="U64" s="10"/>
      <c r="V64" s="10"/>
      <c r="W64" s="10"/>
      <c r="X64" s="109" t="str">
        <f t="shared" si="16"/>
        <v/>
      </c>
      <c r="Y64" s="11"/>
      <c r="Z64" s="11"/>
      <c r="AA64" s="11"/>
      <c r="AB64" s="11"/>
      <c r="AC64" s="109" t="str">
        <f t="shared" si="17"/>
        <v/>
      </c>
      <c r="AD64" s="16"/>
      <c r="AE64" s="108" t="str">
        <f t="shared" si="18"/>
        <v/>
      </c>
      <c r="AF64" s="110"/>
      <c r="AG64" s="12"/>
      <c r="AH64" s="10"/>
      <c r="AI64" s="10"/>
      <c r="AJ64" s="10"/>
      <c r="AK64" s="109" t="str">
        <f t="shared" si="19"/>
        <v/>
      </c>
      <c r="AL64" s="11"/>
      <c r="AM64" s="11"/>
      <c r="AN64" s="11"/>
      <c r="AO64" s="11"/>
      <c r="AP64" s="109" t="str">
        <f t="shared" si="20"/>
        <v/>
      </c>
      <c r="AQ64" s="16"/>
      <c r="AR64" s="108" t="str">
        <f t="shared" si="21"/>
        <v/>
      </c>
      <c r="AS64" s="110"/>
      <c r="AT64" s="12"/>
      <c r="AU64" s="10"/>
      <c r="AV64" s="10"/>
      <c r="AW64" s="10"/>
      <c r="AX64" s="109" t="str">
        <f t="shared" si="22"/>
        <v/>
      </c>
      <c r="AY64" s="11"/>
      <c r="AZ64" s="11"/>
      <c r="BA64" s="11"/>
      <c r="BB64" s="11"/>
      <c r="BC64" s="109" t="str">
        <f t="shared" si="23"/>
        <v/>
      </c>
      <c r="BD64" s="16"/>
      <c r="BE64" s="108" t="str">
        <f t="shared" si="24"/>
        <v/>
      </c>
      <c r="BG64" s="97"/>
    </row>
    <row r="65" spans="1:59" s="98" customFormat="1" ht="14.1" customHeight="1" x14ac:dyDescent="0.2">
      <c r="A65" s="97"/>
      <c r="C65" s="111">
        <f t="shared" si="12"/>
        <v>58</v>
      </c>
      <c r="D65" s="8"/>
      <c r="E65" s="95"/>
      <c r="F65" s="20"/>
      <c r="G65" s="10"/>
      <c r="H65" s="10"/>
      <c r="I65" s="10"/>
      <c r="J65" s="10"/>
      <c r="K65" s="109" t="str">
        <f t="shared" si="13"/>
        <v/>
      </c>
      <c r="L65" s="11"/>
      <c r="M65" s="11"/>
      <c r="N65" s="11"/>
      <c r="O65" s="11"/>
      <c r="P65" s="109" t="str">
        <f t="shared" si="14"/>
        <v/>
      </c>
      <c r="Q65" s="16"/>
      <c r="R65" s="108" t="str">
        <f t="shared" si="15"/>
        <v/>
      </c>
      <c r="S65" s="110"/>
      <c r="T65" s="12"/>
      <c r="U65" s="10"/>
      <c r="V65" s="10"/>
      <c r="W65" s="10"/>
      <c r="X65" s="109" t="str">
        <f t="shared" si="16"/>
        <v/>
      </c>
      <c r="Y65" s="11"/>
      <c r="Z65" s="11"/>
      <c r="AA65" s="11"/>
      <c r="AB65" s="11"/>
      <c r="AC65" s="109" t="str">
        <f t="shared" si="17"/>
        <v/>
      </c>
      <c r="AD65" s="16"/>
      <c r="AE65" s="108" t="str">
        <f t="shared" si="18"/>
        <v/>
      </c>
      <c r="AF65" s="110"/>
      <c r="AG65" s="12"/>
      <c r="AH65" s="10"/>
      <c r="AI65" s="10"/>
      <c r="AJ65" s="10"/>
      <c r="AK65" s="109" t="str">
        <f t="shared" si="19"/>
        <v/>
      </c>
      <c r="AL65" s="11"/>
      <c r="AM65" s="11"/>
      <c r="AN65" s="11"/>
      <c r="AO65" s="11"/>
      <c r="AP65" s="109" t="str">
        <f t="shared" si="20"/>
        <v/>
      </c>
      <c r="AQ65" s="16"/>
      <c r="AR65" s="108" t="str">
        <f t="shared" si="21"/>
        <v/>
      </c>
      <c r="AS65" s="110"/>
      <c r="AT65" s="12"/>
      <c r="AU65" s="10"/>
      <c r="AV65" s="10"/>
      <c r="AW65" s="10"/>
      <c r="AX65" s="109" t="str">
        <f t="shared" si="22"/>
        <v/>
      </c>
      <c r="AY65" s="11"/>
      <c r="AZ65" s="11"/>
      <c r="BA65" s="11"/>
      <c r="BB65" s="11"/>
      <c r="BC65" s="109" t="str">
        <f t="shared" si="23"/>
        <v/>
      </c>
      <c r="BD65" s="16"/>
      <c r="BE65" s="108" t="str">
        <f t="shared" si="24"/>
        <v/>
      </c>
      <c r="BG65" s="97"/>
    </row>
    <row r="66" spans="1:59" s="98" customFormat="1" ht="14.1" customHeight="1" x14ac:dyDescent="0.2">
      <c r="A66" s="97"/>
      <c r="C66" s="111">
        <f t="shared" si="12"/>
        <v>59</v>
      </c>
      <c r="D66" s="8"/>
      <c r="E66" s="95"/>
      <c r="F66" s="20"/>
      <c r="G66" s="10"/>
      <c r="H66" s="10"/>
      <c r="I66" s="10"/>
      <c r="J66" s="10"/>
      <c r="K66" s="109" t="str">
        <f t="shared" si="13"/>
        <v/>
      </c>
      <c r="L66" s="11"/>
      <c r="M66" s="11"/>
      <c r="N66" s="11"/>
      <c r="O66" s="11"/>
      <c r="P66" s="109" t="str">
        <f t="shared" si="14"/>
        <v/>
      </c>
      <c r="Q66" s="16"/>
      <c r="R66" s="108" t="str">
        <f t="shared" si="15"/>
        <v/>
      </c>
      <c r="S66" s="110"/>
      <c r="T66" s="12"/>
      <c r="U66" s="10"/>
      <c r="V66" s="10"/>
      <c r="W66" s="10"/>
      <c r="X66" s="109" t="str">
        <f t="shared" si="16"/>
        <v/>
      </c>
      <c r="Y66" s="11"/>
      <c r="Z66" s="11"/>
      <c r="AA66" s="11"/>
      <c r="AB66" s="11"/>
      <c r="AC66" s="109" t="str">
        <f t="shared" si="17"/>
        <v/>
      </c>
      <c r="AD66" s="16"/>
      <c r="AE66" s="108" t="str">
        <f t="shared" si="18"/>
        <v/>
      </c>
      <c r="AF66" s="110"/>
      <c r="AG66" s="12"/>
      <c r="AH66" s="10"/>
      <c r="AI66" s="10"/>
      <c r="AJ66" s="10"/>
      <c r="AK66" s="109" t="str">
        <f t="shared" si="19"/>
        <v/>
      </c>
      <c r="AL66" s="11"/>
      <c r="AM66" s="11"/>
      <c r="AN66" s="11"/>
      <c r="AO66" s="11"/>
      <c r="AP66" s="109" t="str">
        <f t="shared" si="20"/>
        <v/>
      </c>
      <c r="AQ66" s="16"/>
      <c r="AR66" s="108" t="str">
        <f t="shared" si="21"/>
        <v/>
      </c>
      <c r="AS66" s="110"/>
      <c r="AT66" s="12"/>
      <c r="AU66" s="10"/>
      <c r="AV66" s="10"/>
      <c r="AW66" s="10"/>
      <c r="AX66" s="109" t="str">
        <f t="shared" si="22"/>
        <v/>
      </c>
      <c r="AY66" s="11"/>
      <c r="AZ66" s="11"/>
      <c r="BA66" s="11"/>
      <c r="BB66" s="11"/>
      <c r="BC66" s="109" t="str">
        <f t="shared" si="23"/>
        <v/>
      </c>
      <c r="BD66" s="16"/>
      <c r="BE66" s="108" t="str">
        <f t="shared" si="24"/>
        <v/>
      </c>
      <c r="BG66" s="97"/>
    </row>
    <row r="67" spans="1:59" s="98" customFormat="1" ht="14.1" customHeight="1" thickBot="1" x14ac:dyDescent="0.25">
      <c r="A67" s="97"/>
      <c r="C67" s="112">
        <f t="shared" si="12"/>
        <v>60</v>
      </c>
      <c r="D67" s="9"/>
      <c r="E67" s="96"/>
      <c r="F67" s="21"/>
      <c r="G67" s="13"/>
      <c r="H67" s="13"/>
      <c r="I67" s="13"/>
      <c r="J67" s="13"/>
      <c r="K67" s="307" t="str">
        <f t="shared" si="13"/>
        <v/>
      </c>
      <c r="L67" s="14"/>
      <c r="M67" s="14"/>
      <c r="N67" s="14"/>
      <c r="O67" s="14"/>
      <c r="P67" s="307" t="str">
        <f t="shared" si="14"/>
        <v/>
      </c>
      <c r="Q67" s="17"/>
      <c r="R67" s="308" t="str">
        <f t="shared" si="15"/>
        <v/>
      </c>
      <c r="S67" s="110"/>
      <c r="T67" s="15"/>
      <c r="U67" s="13"/>
      <c r="V67" s="13"/>
      <c r="W67" s="13"/>
      <c r="X67" s="307" t="str">
        <f t="shared" si="16"/>
        <v/>
      </c>
      <c r="Y67" s="14"/>
      <c r="Z67" s="14"/>
      <c r="AA67" s="14"/>
      <c r="AB67" s="14"/>
      <c r="AC67" s="307" t="str">
        <f t="shared" si="17"/>
        <v/>
      </c>
      <c r="AD67" s="17"/>
      <c r="AE67" s="308" t="str">
        <f t="shared" si="18"/>
        <v/>
      </c>
      <c r="AF67" s="110"/>
      <c r="AG67" s="15"/>
      <c r="AH67" s="13"/>
      <c r="AI67" s="13"/>
      <c r="AJ67" s="13"/>
      <c r="AK67" s="307" t="str">
        <f t="shared" si="19"/>
        <v/>
      </c>
      <c r="AL67" s="14"/>
      <c r="AM67" s="14"/>
      <c r="AN67" s="14"/>
      <c r="AO67" s="14"/>
      <c r="AP67" s="307" t="str">
        <f t="shared" si="20"/>
        <v/>
      </c>
      <c r="AQ67" s="17"/>
      <c r="AR67" s="308" t="str">
        <f t="shared" si="21"/>
        <v/>
      </c>
      <c r="AS67" s="110"/>
      <c r="AT67" s="15"/>
      <c r="AU67" s="13"/>
      <c r="AV67" s="13"/>
      <c r="AW67" s="13"/>
      <c r="AX67" s="307" t="str">
        <f t="shared" si="22"/>
        <v/>
      </c>
      <c r="AY67" s="14"/>
      <c r="AZ67" s="14"/>
      <c r="BA67" s="14"/>
      <c r="BB67" s="14"/>
      <c r="BC67" s="307" t="str">
        <f t="shared" si="23"/>
        <v/>
      </c>
      <c r="BD67" s="17"/>
      <c r="BE67" s="308" t="str">
        <f t="shared" si="24"/>
        <v/>
      </c>
      <c r="BG67" s="97"/>
    </row>
    <row r="68" spans="1:59" s="98" customFormat="1" ht="15" customHeight="1" x14ac:dyDescent="0.2">
      <c r="A68" s="97"/>
      <c r="C68" s="99"/>
      <c r="D68" s="100"/>
      <c r="E68" s="100"/>
      <c r="G68" s="101"/>
      <c r="H68" s="101"/>
      <c r="I68" s="101"/>
      <c r="J68" s="101"/>
      <c r="K68" s="101"/>
      <c r="L68" s="99"/>
      <c r="M68" s="99"/>
      <c r="N68" s="99"/>
      <c r="O68" s="99"/>
      <c r="P68" s="101"/>
      <c r="Q68" s="99"/>
      <c r="R68" s="99"/>
      <c r="T68" s="101"/>
      <c r="U68" s="101"/>
      <c r="V68" s="101"/>
      <c r="W68" s="101"/>
      <c r="X68" s="101"/>
      <c r="Y68" s="99"/>
      <c r="Z68" s="99"/>
      <c r="AA68" s="99"/>
      <c r="AB68" s="99"/>
      <c r="AC68" s="101"/>
      <c r="AD68" s="99"/>
      <c r="AE68" s="99"/>
      <c r="AG68" s="101"/>
      <c r="AH68" s="101"/>
      <c r="AI68" s="101"/>
      <c r="AJ68" s="101"/>
      <c r="AK68" s="101"/>
      <c r="AL68" s="99"/>
      <c r="AM68" s="99"/>
      <c r="AN68" s="99"/>
      <c r="AO68" s="99"/>
      <c r="AP68" s="101"/>
      <c r="AQ68" s="99"/>
      <c r="AR68" s="99"/>
      <c r="AT68" s="101"/>
      <c r="AU68" s="101"/>
      <c r="AV68" s="101"/>
      <c r="AW68" s="101"/>
      <c r="AX68" s="101"/>
      <c r="AY68" s="99"/>
      <c r="AZ68" s="99"/>
      <c r="BA68" s="99"/>
      <c r="BB68" s="99"/>
      <c r="BC68" s="101"/>
      <c r="BD68" s="99"/>
      <c r="BE68" s="99"/>
      <c r="BG68" s="97"/>
    </row>
    <row r="69" spans="1:59" s="98" customFormat="1" ht="9.9499999999999993" customHeight="1" x14ac:dyDescent="0.2">
      <c r="A69" s="97"/>
      <c r="B69" s="97"/>
      <c r="C69" s="102"/>
      <c r="D69" s="103"/>
      <c r="E69" s="103"/>
      <c r="F69" s="97"/>
      <c r="G69" s="104"/>
      <c r="H69" s="104"/>
      <c r="I69" s="104"/>
      <c r="J69" s="104"/>
      <c r="K69" s="104"/>
      <c r="L69" s="102"/>
      <c r="M69" s="102"/>
      <c r="N69" s="102"/>
      <c r="O69" s="102"/>
      <c r="P69" s="104"/>
      <c r="Q69" s="102"/>
      <c r="R69" s="102"/>
      <c r="S69" s="97"/>
      <c r="T69" s="104"/>
      <c r="U69" s="104"/>
      <c r="V69" s="104"/>
      <c r="W69" s="104"/>
      <c r="X69" s="104"/>
      <c r="Y69" s="102"/>
      <c r="Z69" s="102"/>
      <c r="AA69" s="102"/>
      <c r="AB69" s="102"/>
      <c r="AC69" s="104"/>
      <c r="AD69" s="102"/>
      <c r="AE69" s="102"/>
      <c r="AF69" s="97"/>
      <c r="AG69" s="104"/>
      <c r="AH69" s="104"/>
      <c r="AI69" s="104"/>
      <c r="AJ69" s="104"/>
      <c r="AK69" s="104"/>
      <c r="AL69" s="102"/>
      <c r="AM69" s="102"/>
      <c r="AN69" s="102"/>
      <c r="AO69" s="102"/>
      <c r="AP69" s="104"/>
      <c r="AQ69" s="102"/>
      <c r="AR69" s="102"/>
      <c r="AS69" s="97"/>
      <c r="AT69" s="104"/>
      <c r="AU69" s="104"/>
      <c r="AV69" s="104"/>
      <c r="AW69" s="104"/>
      <c r="AX69" s="104"/>
      <c r="AY69" s="102"/>
      <c r="AZ69" s="102"/>
      <c r="BA69" s="102"/>
      <c r="BB69" s="102"/>
      <c r="BC69" s="104"/>
      <c r="BD69" s="102"/>
      <c r="BE69" s="102"/>
      <c r="BF69" s="97"/>
      <c r="BG69" s="97"/>
    </row>
    <row r="70" spans="1:59" s="98" customFormat="1" x14ac:dyDescent="0.2">
      <c r="C70" s="99"/>
      <c r="D70" s="100"/>
      <c r="E70" s="100"/>
      <c r="G70" s="101"/>
      <c r="H70" s="101"/>
      <c r="I70" s="101"/>
      <c r="J70" s="101"/>
      <c r="K70" s="101"/>
      <c r="L70" s="99"/>
      <c r="M70" s="99"/>
      <c r="N70" s="99"/>
      <c r="O70" s="99"/>
      <c r="P70" s="101"/>
      <c r="Q70" s="99"/>
      <c r="R70" s="99"/>
      <c r="T70" s="101"/>
      <c r="U70" s="101"/>
      <c r="V70" s="101"/>
      <c r="W70" s="101"/>
      <c r="X70" s="101"/>
      <c r="Y70" s="99"/>
      <c r="Z70" s="99"/>
      <c r="AA70" s="99"/>
      <c r="AB70" s="99"/>
      <c r="AC70" s="101"/>
      <c r="AD70" s="99"/>
      <c r="AE70" s="99"/>
      <c r="AG70" s="101"/>
      <c r="AH70" s="101"/>
      <c r="AI70" s="101"/>
      <c r="AJ70" s="101"/>
      <c r="AK70" s="101"/>
      <c r="AL70" s="99"/>
      <c r="AM70" s="99"/>
      <c r="AN70" s="99"/>
      <c r="AO70" s="99"/>
      <c r="AP70" s="101"/>
      <c r="AQ70" s="99"/>
      <c r="AR70" s="99"/>
      <c r="AT70" s="101"/>
      <c r="AU70" s="101"/>
      <c r="AV70" s="101"/>
      <c r="AW70" s="101"/>
      <c r="AX70" s="101"/>
      <c r="AY70" s="99"/>
      <c r="AZ70" s="99"/>
      <c r="BA70" s="99"/>
      <c r="BB70" s="99"/>
      <c r="BC70" s="101"/>
      <c r="BD70" s="99"/>
      <c r="BE70" s="99"/>
    </row>
    <row r="71" spans="1:59" s="98" customFormat="1" x14ac:dyDescent="0.2">
      <c r="C71" s="99"/>
      <c r="D71" s="100"/>
      <c r="E71" s="100"/>
      <c r="G71" s="101"/>
      <c r="H71" s="101"/>
      <c r="I71" s="101"/>
      <c r="J71" s="101"/>
      <c r="K71" s="101"/>
      <c r="L71" s="99"/>
      <c r="M71" s="99"/>
      <c r="N71" s="99"/>
      <c r="O71" s="99"/>
      <c r="P71" s="101"/>
      <c r="Q71" s="99"/>
      <c r="R71" s="99"/>
      <c r="T71" s="101"/>
      <c r="U71" s="101"/>
      <c r="V71" s="101"/>
      <c r="W71" s="101"/>
      <c r="X71" s="101"/>
      <c r="Y71" s="99"/>
      <c r="Z71" s="99"/>
      <c r="AA71" s="99"/>
      <c r="AB71" s="99"/>
      <c r="AC71" s="101"/>
      <c r="AD71" s="99"/>
      <c r="AE71" s="99"/>
      <c r="AG71" s="101"/>
      <c r="AH71" s="101"/>
      <c r="AI71" s="101"/>
      <c r="AJ71" s="101"/>
      <c r="AK71" s="101"/>
      <c r="AL71" s="99"/>
      <c r="AM71" s="99"/>
      <c r="AN71" s="99"/>
      <c r="AO71" s="99"/>
      <c r="AP71" s="101"/>
      <c r="AQ71" s="99"/>
      <c r="AR71" s="99"/>
      <c r="AT71" s="101"/>
      <c r="AU71" s="101"/>
      <c r="AV71" s="101"/>
      <c r="AW71" s="101"/>
      <c r="AX71" s="101"/>
      <c r="AY71" s="99"/>
      <c r="AZ71" s="99"/>
      <c r="BA71" s="99"/>
      <c r="BB71" s="99"/>
      <c r="BC71" s="101"/>
      <c r="BD71" s="99"/>
      <c r="BE71" s="99"/>
    </row>
    <row r="72" spans="1:59" s="98" customFormat="1" x14ac:dyDescent="0.2">
      <c r="C72" s="99"/>
      <c r="D72" s="100"/>
      <c r="E72" s="100"/>
      <c r="G72" s="101"/>
      <c r="H72" s="101"/>
      <c r="I72" s="101"/>
      <c r="J72" s="101"/>
      <c r="K72" s="101"/>
      <c r="L72" s="99"/>
      <c r="M72" s="99"/>
      <c r="N72" s="99"/>
      <c r="O72" s="99"/>
      <c r="P72" s="101"/>
      <c r="Q72" s="99"/>
      <c r="R72" s="99"/>
      <c r="T72" s="101"/>
      <c r="U72" s="101"/>
      <c r="V72" s="101"/>
      <c r="W72" s="101"/>
      <c r="X72" s="101"/>
      <c r="Y72" s="99"/>
      <c r="Z72" s="99"/>
      <c r="AA72" s="99"/>
      <c r="AB72" s="99"/>
      <c r="AC72" s="101"/>
      <c r="AD72" s="99"/>
      <c r="AE72" s="99"/>
      <c r="AG72" s="101"/>
      <c r="AH72" s="101"/>
      <c r="AI72" s="101"/>
      <c r="AJ72" s="101"/>
      <c r="AK72" s="101"/>
      <c r="AL72" s="99"/>
      <c r="AM72" s="99"/>
      <c r="AN72" s="99"/>
      <c r="AO72" s="99"/>
      <c r="AP72" s="101"/>
      <c r="AQ72" s="99"/>
      <c r="AR72" s="99"/>
      <c r="AT72" s="101"/>
      <c r="AU72" s="101"/>
      <c r="AV72" s="101"/>
      <c r="AW72" s="101"/>
      <c r="AX72" s="101"/>
      <c r="AY72" s="99"/>
      <c r="AZ72" s="99"/>
      <c r="BA72" s="99"/>
      <c r="BB72" s="99"/>
      <c r="BC72" s="101"/>
      <c r="BD72" s="99"/>
      <c r="BE72" s="99"/>
    </row>
    <row r="73" spans="1:59" s="98" customFormat="1" x14ac:dyDescent="0.2">
      <c r="C73" s="99"/>
      <c r="D73" s="100"/>
      <c r="E73" s="100"/>
      <c r="G73" s="101"/>
      <c r="H73" s="101"/>
      <c r="I73" s="101"/>
      <c r="J73" s="101"/>
      <c r="K73" s="101"/>
      <c r="L73" s="99"/>
      <c r="M73" s="99"/>
      <c r="N73" s="99"/>
      <c r="O73" s="99"/>
      <c r="P73" s="101"/>
      <c r="Q73" s="99"/>
      <c r="R73" s="99"/>
      <c r="T73" s="101"/>
      <c r="U73" s="101"/>
      <c r="V73" s="101"/>
      <c r="W73" s="101"/>
      <c r="X73" s="101"/>
      <c r="Y73" s="99"/>
      <c r="Z73" s="99"/>
      <c r="AA73" s="99"/>
      <c r="AB73" s="99"/>
      <c r="AC73" s="101"/>
      <c r="AD73" s="99"/>
      <c r="AE73" s="99"/>
      <c r="AG73" s="101"/>
      <c r="AH73" s="101"/>
      <c r="AI73" s="101"/>
      <c r="AJ73" s="101"/>
      <c r="AK73" s="101"/>
      <c r="AL73" s="99"/>
      <c r="AM73" s="99"/>
      <c r="AN73" s="99"/>
      <c r="AO73" s="99"/>
      <c r="AP73" s="101"/>
      <c r="AQ73" s="99"/>
      <c r="AR73" s="99"/>
      <c r="AT73" s="101"/>
      <c r="AU73" s="101"/>
      <c r="AV73" s="101"/>
      <c r="AW73" s="101"/>
      <c r="AX73" s="101"/>
      <c r="AY73" s="99"/>
      <c r="AZ73" s="99"/>
      <c r="BA73" s="99"/>
      <c r="BB73" s="99"/>
      <c r="BC73" s="101"/>
      <c r="BD73" s="99"/>
      <c r="BE73" s="99"/>
    </row>
    <row r="74" spans="1:59" s="98" customFormat="1" x14ac:dyDescent="0.2">
      <c r="C74" s="99"/>
      <c r="D74" s="100"/>
      <c r="E74" s="100"/>
      <c r="G74" s="101"/>
      <c r="H74" s="101"/>
      <c r="I74" s="101"/>
      <c r="J74" s="101"/>
      <c r="K74" s="101"/>
      <c r="L74" s="99"/>
      <c r="M74" s="99"/>
      <c r="N74" s="99"/>
      <c r="O74" s="99"/>
      <c r="P74" s="101"/>
      <c r="Q74" s="99"/>
      <c r="R74" s="99"/>
      <c r="T74" s="101"/>
      <c r="U74" s="101"/>
      <c r="V74" s="101"/>
      <c r="W74" s="101"/>
      <c r="X74" s="101"/>
      <c r="Y74" s="99"/>
      <c r="Z74" s="99"/>
      <c r="AA74" s="99"/>
      <c r="AB74" s="99"/>
      <c r="AC74" s="101"/>
      <c r="AD74" s="99"/>
      <c r="AE74" s="99"/>
      <c r="AG74" s="101"/>
      <c r="AH74" s="101"/>
      <c r="AI74" s="101"/>
      <c r="AJ74" s="101"/>
      <c r="AK74" s="101"/>
      <c r="AL74" s="99"/>
      <c r="AM74" s="99"/>
      <c r="AN74" s="99"/>
      <c r="AO74" s="99"/>
      <c r="AP74" s="101"/>
      <c r="AQ74" s="99"/>
      <c r="AR74" s="99"/>
      <c r="AT74" s="101"/>
      <c r="AU74" s="101"/>
      <c r="AV74" s="101"/>
      <c r="AW74" s="101"/>
      <c r="AX74" s="101"/>
      <c r="AY74" s="99"/>
      <c r="AZ74" s="99"/>
      <c r="BA74" s="99"/>
      <c r="BB74" s="99"/>
      <c r="BC74" s="101"/>
      <c r="BD74" s="99"/>
      <c r="BE74" s="99"/>
    </row>
    <row r="75" spans="1:59" s="98" customFormat="1" x14ac:dyDescent="0.2">
      <c r="C75" s="99"/>
      <c r="D75" s="100"/>
      <c r="E75" s="100"/>
      <c r="G75" s="101"/>
      <c r="H75" s="101"/>
      <c r="I75" s="101"/>
      <c r="J75" s="101"/>
      <c r="K75" s="101"/>
      <c r="L75" s="99"/>
      <c r="M75" s="99"/>
      <c r="N75" s="99"/>
      <c r="O75" s="99"/>
      <c r="P75" s="101"/>
      <c r="Q75" s="99"/>
      <c r="R75" s="99"/>
      <c r="T75" s="101"/>
      <c r="U75" s="101"/>
      <c r="V75" s="101"/>
      <c r="W75" s="101"/>
      <c r="X75" s="101"/>
      <c r="Y75" s="99"/>
      <c r="Z75" s="99"/>
      <c r="AA75" s="99"/>
      <c r="AB75" s="99"/>
      <c r="AC75" s="101"/>
      <c r="AD75" s="99"/>
      <c r="AE75" s="99"/>
      <c r="AG75" s="101"/>
      <c r="AH75" s="101"/>
      <c r="AI75" s="101"/>
      <c r="AJ75" s="101"/>
      <c r="AK75" s="101"/>
      <c r="AL75" s="99"/>
      <c r="AM75" s="99"/>
      <c r="AN75" s="99"/>
      <c r="AO75" s="99"/>
      <c r="AP75" s="101"/>
      <c r="AQ75" s="99"/>
      <c r="AR75" s="99"/>
      <c r="AT75" s="101"/>
      <c r="AU75" s="101"/>
      <c r="AV75" s="101"/>
      <c r="AW75" s="101"/>
      <c r="AX75" s="101"/>
      <c r="AY75" s="99"/>
      <c r="AZ75" s="99"/>
      <c r="BA75" s="99"/>
      <c r="BB75" s="99"/>
      <c r="BC75" s="101"/>
      <c r="BD75" s="99"/>
      <c r="BE75" s="99"/>
    </row>
    <row r="76" spans="1:59" s="98" customFormat="1" x14ac:dyDescent="0.2">
      <c r="C76" s="99"/>
      <c r="D76" s="100"/>
      <c r="E76" s="100"/>
      <c r="G76" s="101"/>
      <c r="H76" s="101"/>
      <c r="I76" s="101"/>
      <c r="J76" s="101"/>
      <c r="K76" s="101"/>
      <c r="L76" s="99"/>
      <c r="M76" s="99"/>
      <c r="N76" s="99"/>
      <c r="O76" s="99"/>
      <c r="P76" s="101"/>
      <c r="Q76" s="99"/>
      <c r="R76" s="99"/>
      <c r="T76" s="101"/>
      <c r="U76" s="101"/>
      <c r="V76" s="101"/>
      <c r="W76" s="101"/>
      <c r="X76" s="101"/>
      <c r="Y76" s="99"/>
      <c r="Z76" s="99"/>
      <c r="AA76" s="99"/>
      <c r="AB76" s="99"/>
      <c r="AC76" s="101"/>
      <c r="AD76" s="99"/>
      <c r="AE76" s="99"/>
      <c r="AG76" s="101"/>
      <c r="AH76" s="101"/>
      <c r="AI76" s="101"/>
      <c r="AJ76" s="101"/>
      <c r="AK76" s="101"/>
      <c r="AL76" s="99"/>
      <c r="AM76" s="99"/>
      <c r="AN76" s="99"/>
      <c r="AO76" s="99"/>
      <c r="AP76" s="101"/>
      <c r="AQ76" s="99"/>
      <c r="AR76" s="99"/>
      <c r="AT76" s="101"/>
      <c r="AU76" s="101"/>
      <c r="AV76" s="101"/>
      <c r="AW76" s="101"/>
      <c r="AX76" s="101"/>
      <c r="AY76" s="99"/>
      <c r="AZ76" s="99"/>
      <c r="BA76" s="99"/>
      <c r="BB76" s="99"/>
      <c r="BC76" s="101"/>
      <c r="BD76" s="99"/>
      <c r="BE76" s="99"/>
    </row>
    <row r="77" spans="1:59" s="98" customFormat="1" x14ac:dyDescent="0.2">
      <c r="C77" s="99"/>
      <c r="D77" s="100"/>
      <c r="E77" s="100"/>
      <c r="G77" s="101"/>
      <c r="H77" s="101"/>
      <c r="I77" s="101"/>
      <c r="J77" s="101"/>
      <c r="K77" s="101"/>
      <c r="L77" s="99"/>
      <c r="M77" s="99"/>
      <c r="N77" s="99"/>
      <c r="O77" s="99"/>
      <c r="P77" s="101"/>
      <c r="Q77" s="99"/>
      <c r="R77" s="99"/>
      <c r="T77" s="101"/>
      <c r="U77" s="101"/>
      <c r="V77" s="101"/>
      <c r="W77" s="101"/>
      <c r="X77" s="101"/>
      <c r="Y77" s="99"/>
      <c r="Z77" s="99"/>
      <c r="AA77" s="99"/>
      <c r="AB77" s="99"/>
      <c r="AC77" s="101"/>
      <c r="AD77" s="99"/>
      <c r="AE77" s="99"/>
      <c r="AG77" s="101"/>
      <c r="AH77" s="101"/>
      <c r="AI77" s="101"/>
      <c r="AJ77" s="101"/>
      <c r="AK77" s="101"/>
      <c r="AL77" s="99"/>
      <c r="AM77" s="99"/>
      <c r="AN77" s="99"/>
      <c r="AO77" s="99"/>
      <c r="AP77" s="101"/>
      <c r="AQ77" s="99"/>
      <c r="AR77" s="99"/>
      <c r="AT77" s="101"/>
      <c r="AU77" s="101"/>
      <c r="AV77" s="101"/>
      <c r="AW77" s="101"/>
      <c r="AX77" s="101"/>
      <c r="AY77" s="99"/>
      <c r="AZ77" s="99"/>
      <c r="BA77" s="99"/>
      <c r="BB77" s="99"/>
      <c r="BC77" s="101"/>
      <c r="BD77" s="99"/>
      <c r="BE77" s="99"/>
    </row>
    <row r="78" spans="1:59" s="98" customFormat="1" x14ac:dyDescent="0.2">
      <c r="C78" s="99"/>
      <c r="D78" s="100"/>
      <c r="E78" s="100"/>
      <c r="G78" s="101"/>
      <c r="H78" s="101"/>
      <c r="I78" s="101"/>
      <c r="J78" s="101"/>
      <c r="K78" s="101"/>
      <c r="L78" s="99"/>
      <c r="M78" s="99"/>
      <c r="N78" s="99"/>
      <c r="O78" s="99"/>
      <c r="P78" s="101"/>
      <c r="Q78" s="99"/>
      <c r="R78" s="99"/>
      <c r="T78" s="101"/>
      <c r="U78" s="101"/>
      <c r="V78" s="101"/>
      <c r="W78" s="101"/>
      <c r="X78" s="101"/>
      <c r="Y78" s="99"/>
      <c r="Z78" s="99"/>
      <c r="AA78" s="99"/>
      <c r="AB78" s="99"/>
      <c r="AC78" s="101"/>
      <c r="AD78" s="99"/>
      <c r="AE78" s="99"/>
      <c r="AG78" s="101"/>
      <c r="AH78" s="101"/>
      <c r="AI78" s="101"/>
      <c r="AJ78" s="101"/>
      <c r="AK78" s="101"/>
      <c r="AL78" s="99"/>
      <c r="AM78" s="99"/>
      <c r="AN78" s="99"/>
      <c r="AO78" s="99"/>
      <c r="AP78" s="101"/>
      <c r="AQ78" s="99"/>
      <c r="AR78" s="99"/>
      <c r="AT78" s="101"/>
      <c r="AU78" s="101"/>
      <c r="AV78" s="101"/>
      <c r="AW78" s="101"/>
      <c r="AX78" s="101"/>
      <c r="AY78" s="99"/>
      <c r="AZ78" s="99"/>
      <c r="BA78" s="99"/>
      <c r="BB78" s="99"/>
      <c r="BC78" s="101"/>
      <c r="BD78" s="99"/>
      <c r="BE78" s="99"/>
    </row>
    <row r="79" spans="1:59" s="98" customFormat="1" x14ac:dyDescent="0.2">
      <c r="C79" s="99"/>
      <c r="D79" s="100"/>
      <c r="E79" s="100"/>
      <c r="G79" s="101"/>
      <c r="H79" s="101"/>
      <c r="I79" s="101"/>
      <c r="J79" s="101"/>
      <c r="K79" s="101"/>
      <c r="L79" s="99"/>
      <c r="M79" s="99"/>
      <c r="N79" s="99"/>
      <c r="O79" s="99"/>
      <c r="P79" s="101"/>
      <c r="Q79" s="99"/>
      <c r="R79" s="99"/>
      <c r="T79" s="101"/>
      <c r="U79" s="101"/>
      <c r="V79" s="101"/>
      <c r="W79" s="101"/>
      <c r="X79" s="101"/>
      <c r="Y79" s="99"/>
      <c r="Z79" s="99"/>
      <c r="AA79" s="99"/>
      <c r="AB79" s="99"/>
      <c r="AC79" s="101"/>
      <c r="AD79" s="99"/>
      <c r="AE79" s="99"/>
      <c r="AG79" s="101"/>
      <c r="AH79" s="101"/>
      <c r="AI79" s="101"/>
      <c r="AJ79" s="101"/>
      <c r="AK79" s="101"/>
      <c r="AL79" s="99"/>
      <c r="AM79" s="99"/>
      <c r="AN79" s="99"/>
      <c r="AO79" s="99"/>
      <c r="AP79" s="101"/>
      <c r="AQ79" s="99"/>
      <c r="AR79" s="99"/>
      <c r="AT79" s="101"/>
      <c r="AU79" s="101"/>
      <c r="AV79" s="101"/>
      <c r="AW79" s="101"/>
      <c r="AX79" s="101"/>
      <c r="AY79" s="99"/>
      <c r="AZ79" s="99"/>
      <c r="BA79" s="99"/>
      <c r="BB79" s="99"/>
      <c r="BC79" s="101"/>
      <c r="BD79" s="99"/>
      <c r="BE79" s="99"/>
    </row>
    <row r="80" spans="1:59" s="98" customFormat="1" x14ac:dyDescent="0.2">
      <c r="C80" s="99"/>
      <c r="D80" s="100"/>
      <c r="E80" s="100"/>
      <c r="G80" s="101"/>
      <c r="H80" s="101"/>
      <c r="I80" s="101"/>
      <c r="J80" s="101"/>
      <c r="K80" s="101"/>
      <c r="L80" s="99"/>
      <c r="M80" s="99"/>
      <c r="N80" s="99"/>
      <c r="O80" s="99"/>
      <c r="P80" s="101"/>
      <c r="Q80" s="99"/>
      <c r="R80" s="99"/>
      <c r="T80" s="101"/>
      <c r="U80" s="101"/>
      <c r="V80" s="101"/>
      <c r="W80" s="101"/>
      <c r="X80" s="101"/>
      <c r="Y80" s="99"/>
      <c r="Z80" s="99"/>
      <c r="AA80" s="99"/>
      <c r="AB80" s="99"/>
      <c r="AC80" s="101"/>
      <c r="AD80" s="99"/>
      <c r="AE80" s="99"/>
      <c r="AG80" s="101"/>
      <c r="AH80" s="101"/>
      <c r="AI80" s="101"/>
      <c r="AJ80" s="101"/>
      <c r="AK80" s="101"/>
      <c r="AL80" s="99"/>
      <c r="AM80" s="99"/>
      <c r="AN80" s="99"/>
      <c r="AO80" s="99"/>
      <c r="AP80" s="101"/>
      <c r="AQ80" s="99"/>
      <c r="AR80" s="99"/>
      <c r="AT80" s="101"/>
      <c r="AU80" s="101"/>
      <c r="AV80" s="101"/>
      <c r="AW80" s="101"/>
      <c r="AX80" s="101"/>
      <c r="AY80" s="99"/>
      <c r="AZ80" s="99"/>
      <c r="BA80" s="99"/>
      <c r="BB80" s="99"/>
      <c r="BC80" s="101"/>
      <c r="BD80" s="99"/>
      <c r="BE80" s="99"/>
    </row>
    <row r="81" spans="3:57" s="98" customFormat="1" x14ac:dyDescent="0.2">
      <c r="C81" s="99"/>
      <c r="D81" s="100"/>
      <c r="E81" s="100"/>
      <c r="G81" s="101"/>
      <c r="H81" s="101"/>
      <c r="I81" s="101"/>
      <c r="J81" s="101"/>
      <c r="K81" s="101"/>
      <c r="L81" s="99"/>
      <c r="M81" s="99"/>
      <c r="N81" s="99"/>
      <c r="O81" s="99"/>
      <c r="P81" s="101"/>
      <c r="Q81" s="99"/>
      <c r="R81" s="99"/>
      <c r="T81" s="101"/>
      <c r="U81" s="101"/>
      <c r="V81" s="101"/>
      <c r="W81" s="101"/>
      <c r="X81" s="101"/>
      <c r="Y81" s="99"/>
      <c r="Z81" s="99"/>
      <c r="AA81" s="99"/>
      <c r="AB81" s="99"/>
      <c r="AC81" s="101"/>
      <c r="AD81" s="99"/>
      <c r="AE81" s="99"/>
      <c r="AG81" s="101"/>
      <c r="AH81" s="101"/>
      <c r="AI81" s="101"/>
      <c r="AJ81" s="101"/>
      <c r="AK81" s="101"/>
      <c r="AL81" s="99"/>
      <c r="AM81" s="99"/>
      <c r="AN81" s="99"/>
      <c r="AO81" s="99"/>
      <c r="AP81" s="101"/>
      <c r="AQ81" s="99"/>
      <c r="AR81" s="99"/>
      <c r="AT81" s="101"/>
      <c r="AU81" s="101"/>
      <c r="AV81" s="101"/>
      <c r="AW81" s="101"/>
      <c r="AX81" s="101"/>
      <c r="AY81" s="99"/>
      <c r="AZ81" s="99"/>
      <c r="BA81" s="99"/>
      <c r="BB81" s="99"/>
      <c r="BC81" s="101"/>
      <c r="BD81" s="99"/>
      <c r="BE81" s="99"/>
    </row>
    <row r="82" spans="3:57" s="98" customFormat="1" x14ac:dyDescent="0.2">
      <c r="C82" s="99"/>
      <c r="D82" s="100"/>
      <c r="E82" s="100"/>
      <c r="G82" s="101"/>
      <c r="H82" s="101"/>
      <c r="I82" s="101"/>
      <c r="J82" s="101"/>
      <c r="K82" s="101"/>
      <c r="L82" s="99"/>
      <c r="M82" s="99"/>
      <c r="N82" s="99"/>
      <c r="O82" s="99"/>
      <c r="P82" s="101"/>
      <c r="Q82" s="99"/>
      <c r="R82" s="99"/>
      <c r="T82" s="101"/>
      <c r="U82" s="101"/>
      <c r="V82" s="101"/>
      <c r="W82" s="101"/>
      <c r="X82" s="101"/>
      <c r="Y82" s="99"/>
      <c r="Z82" s="99"/>
      <c r="AA82" s="99"/>
      <c r="AB82" s="99"/>
      <c r="AC82" s="101"/>
      <c r="AD82" s="99"/>
      <c r="AE82" s="99"/>
      <c r="AG82" s="101"/>
      <c r="AH82" s="101"/>
      <c r="AI82" s="101"/>
      <c r="AJ82" s="101"/>
      <c r="AK82" s="101"/>
      <c r="AL82" s="99"/>
      <c r="AM82" s="99"/>
      <c r="AN82" s="99"/>
      <c r="AO82" s="99"/>
      <c r="AP82" s="101"/>
      <c r="AQ82" s="99"/>
      <c r="AR82" s="99"/>
      <c r="AT82" s="101"/>
      <c r="AU82" s="101"/>
      <c r="AV82" s="101"/>
      <c r="AW82" s="101"/>
      <c r="AX82" s="101"/>
      <c r="AY82" s="99"/>
      <c r="AZ82" s="99"/>
      <c r="BA82" s="99"/>
      <c r="BB82" s="99"/>
      <c r="BC82" s="101"/>
      <c r="BD82" s="99"/>
      <c r="BE82" s="99"/>
    </row>
    <row r="83" spans="3:57" s="98" customFormat="1" x14ac:dyDescent="0.2">
      <c r="C83" s="99"/>
      <c r="D83" s="100"/>
      <c r="E83" s="100"/>
      <c r="G83" s="101"/>
      <c r="H83" s="101"/>
      <c r="I83" s="101"/>
      <c r="J83" s="101"/>
      <c r="K83" s="101"/>
      <c r="L83" s="99"/>
      <c r="M83" s="99"/>
      <c r="N83" s="99"/>
      <c r="O83" s="99"/>
      <c r="P83" s="101"/>
      <c r="Q83" s="99"/>
      <c r="R83" s="99"/>
      <c r="T83" s="101"/>
      <c r="U83" s="101"/>
      <c r="V83" s="101"/>
      <c r="W83" s="101"/>
      <c r="X83" s="101"/>
      <c r="Y83" s="99"/>
      <c r="Z83" s="99"/>
      <c r="AA83" s="99"/>
      <c r="AB83" s="99"/>
      <c r="AC83" s="101"/>
      <c r="AD83" s="99"/>
      <c r="AE83" s="99"/>
      <c r="AG83" s="101"/>
      <c r="AH83" s="101"/>
      <c r="AI83" s="101"/>
      <c r="AJ83" s="101"/>
      <c r="AK83" s="101"/>
      <c r="AL83" s="99"/>
      <c r="AM83" s="99"/>
      <c r="AN83" s="99"/>
      <c r="AO83" s="99"/>
      <c r="AP83" s="101"/>
      <c r="AQ83" s="99"/>
      <c r="AR83" s="99"/>
      <c r="AT83" s="101"/>
      <c r="AU83" s="101"/>
      <c r="AV83" s="101"/>
      <c r="AW83" s="101"/>
      <c r="AX83" s="101"/>
      <c r="AY83" s="99"/>
      <c r="AZ83" s="99"/>
      <c r="BA83" s="99"/>
      <c r="BB83" s="99"/>
      <c r="BC83" s="101"/>
      <c r="BD83" s="99"/>
      <c r="BE83" s="99"/>
    </row>
    <row r="84" spans="3:57" s="98" customFormat="1" x14ac:dyDescent="0.2">
      <c r="C84" s="99"/>
      <c r="D84" s="100"/>
      <c r="E84" s="100"/>
      <c r="G84" s="101"/>
      <c r="H84" s="101"/>
      <c r="I84" s="101"/>
      <c r="J84" s="101"/>
      <c r="K84" s="101"/>
      <c r="L84" s="99"/>
      <c r="M84" s="99"/>
      <c r="N84" s="99"/>
      <c r="O84" s="99"/>
      <c r="P84" s="101"/>
      <c r="Q84" s="99"/>
      <c r="R84" s="99"/>
      <c r="T84" s="101"/>
      <c r="U84" s="101"/>
      <c r="V84" s="101"/>
      <c r="W84" s="101"/>
      <c r="X84" s="101"/>
      <c r="Y84" s="99"/>
      <c r="Z84" s="99"/>
      <c r="AA84" s="99"/>
      <c r="AB84" s="99"/>
      <c r="AC84" s="101"/>
      <c r="AD84" s="99"/>
      <c r="AE84" s="99"/>
      <c r="AG84" s="101"/>
      <c r="AH84" s="101"/>
      <c r="AI84" s="101"/>
      <c r="AJ84" s="101"/>
      <c r="AK84" s="101"/>
      <c r="AL84" s="99"/>
      <c r="AM84" s="99"/>
      <c r="AN84" s="99"/>
      <c r="AO84" s="99"/>
      <c r="AP84" s="101"/>
      <c r="AQ84" s="99"/>
      <c r="AR84" s="99"/>
      <c r="AT84" s="101"/>
      <c r="AU84" s="101"/>
      <c r="AV84" s="101"/>
      <c r="AW84" s="101"/>
      <c r="AX84" s="101"/>
      <c r="AY84" s="99"/>
      <c r="AZ84" s="99"/>
      <c r="BA84" s="99"/>
      <c r="BB84" s="99"/>
      <c r="BC84" s="101"/>
      <c r="BD84" s="99"/>
      <c r="BE84" s="99"/>
    </row>
    <row r="85" spans="3:57" s="98" customFormat="1" x14ac:dyDescent="0.2">
      <c r="C85" s="99"/>
      <c r="D85" s="100"/>
      <c r="E85" s="100"/>
      <c r="G85" s="101"/>
      <c r="H85" s="101"/>
      <c r="I85" s="101"/>
      <c r="J85" s="101"/>
      <c r="K85" s="101"/>
      <c r="L85" s="99"/>
      <c r="M85" s="99"/>
      <c r="N85" s="99"/>
      <c r="O85" s="99"/>
      <c r="P85" s="101"/>
      <c r="Q85" s="99"/>
      <c r="R85" s="99"/>
      <c r="T85" s="101"/>
      <c r="U85" s="101"/>
      <c r="V85" s="101"/>
      <c r="W85" s="101"/>
      <c r="X85" s="101"/>
      <c r="Y85" s="99"/>
      <c r="Z85" s="99"/>
      <c r="AA85" s="99"/>
      <c r="AB85" s="99"/>
      <c r="AC85" s="101"/>
      <c r="AD85" s="99"/>
      <c r="AE85" s="99"/>
      <c r="AG85" s="101"/>
      <c r="AH85" s="101"/>
      <c r="AI85" s="101"/>
      <c r="AJ85" s="101"/>
      <c r="AK85" s="101"/>
      <c r="AL85" s="99"/>
      <c r="AM85" s="99"/>
      <c r="AN85" s="99"/>
      <c r="AO85" s="99"/>
      <c r="AP85" s="101"/>
      <c r="AQ85" s="99"/>
      <c r="AR85" s="99"/>
      <c r="AT85" s="101"/>
      <c r="AU85" s="101"/>
      <c r="AV85" s="101"/>
      <c r="AW85" s="101"/>
      <c r="AX85" s="101"/>
      <c r="AY85" s="99"/>
      <c r="AZ85" s="99"/>
      <c r="BA85" s="99"/>
      <c r="BB85" s="99"/>
      <c r="BC85" s="101"/>
      <c r="BD85" s="99"/>
      <c r="BE85" s="99"/>
    </row>
    <row r="86" spans="3:57" s="98" customFormat="1" x14ac:dyDescent="0.2">
      <c r="C86" s="99"/>
      <c r="D86" s="100"/>
      <c r="E86" s="100"/>
      <c r="G86" s="101"/>
      <c r="H86" s="101"/>
      <c r="I86" s="101"/>
      <c r="J86" s="101"/>
      <c r="K86" s="101"/>
      <c r="L86" s="99"/>
      <c r="M86" s="99"/>
      <c r="N86" s="99"/>
      <c r="O86" s="99"/>
      <c r="P86" s="101"/>
      <c r="Q86" s="99"/>
      <c r="R86" s="99"/>
      <c r="T86" s="101"/>
      <c r="U86" s="101"/>
      <c r="V86" s="101"/>
      <c r="W86" s="101"/>
      <c r="X86" s="101"/>
      <c r="Y86" s="99"/>
      <c r="Z86" s="99"/>
      <c r="AA86" s="99"/>
      <c r="AB86" s="99"/>
      <c r="AC86" s="101"/>
      <c r="AD86" s="99"/>
      <c r="AE86" s="99"/>
      <c r="AG86" s="101"/>
      <c r="AH86" s="101"/>
      <c r="AI86" s="101"/>
      <c r="AJ86" s="101"/>
      <c r="AK86" s="101"/>
      <c r="AL86" s="99"/>
      <c r="AM86" s="99"/>
      <c r="AN86" s="99"/>
      <c r="AO86" s="99"/>
      <c r="AP86" s="101"/>
      <c r="AQ86" s="99"/>
      <c r="AR86" s="99"/>
      <c r="AT86" s="101"/>
      <c r="AU86" s="101"/>
      <c r="AV86" s="101"/>
      <c r="AW86" s="101"/>
      <c r="AX86" s="101"/>
      <c r="AY86" s="99"/>
      <c r="AZ86" s="99"/>
      <c r="BA86" s="99"/>
      <c r="BB86" s="99"/>
      <c r="BC86" s="101"/>
      <c r="BD86" s="99"/>
      <c r="BE86" s="99"/>
    </row>
    <row r="87" spans="3:57" s="98" customFormat="1" x14ac:dyDescent="0.2">
      <c r="C87" s="99"/>
      <c r="D87" s="100"/>
      <c r="E87" s="100"/>
      <c r="G87" s="101"/>
      <c r="H87" s="101"/>
      <c r="I87" s="101"/>
      <c r="J87" s="101"/>
      <c r="K87" s="101"/>
      <c r="L87" s="99"/>
      <c r="M87" s="99"/>
      <c r="N87" s="99"/>
      <c r="O87" s="99"/>
      <c r="P87" s="101"/>
      <c r="Q87" s="99"/>
      <c r="R87" s="99"/>
      <c r="T87" s="101"/>
      <c r="U87" s="101"/>
      <c r="V87" s="101"/>
      <c r="W87" s="101"/>
      <c r="X87" s="101"/>
      <c r="Y87" s="99"/>
      <c r="Z87" s="99"/>
      <c r="AA87" s="99"/>
      <c r="AB87" s="99"/>
      <c r="AC87" s="101"/>
      <c r="AD87" s="99"/>
      <c r="AE87" s="99"/>
      <c r="AG87" s="101"/>
      <c r="AH87" s="101"/>
      <c r="AI87" s="101"/>
      <c r="AJ87" s="101"/>
      <c r="AK87" s="101"/>
      <c r="AL87" s="99"/>
      <c r="AM87" s="99"/>
      <c r="AN87" s="99"/>
      <c r="AO87" s="99"/>
      <c r="AP87" s="101"/>
      <c r="AQ87" s="99"/>
      <c r="AR87" s="99"/>
      <c r="AT87" s="101"/>
      <c r="AU87" s="101"/>
      <c r="AV87" s="101"/>
      <c r="AW87" s="101"/>
      <c r="AX87" s="101"/>
      <c r="AY87" s="99"/>
      <c r="AZ87" s="99"/>
      <c r="BA87" s="99"/>
      <c r="BB87" s="99"/>
      <c r="BC87" s="101"/>
      <c r="BD87" s="99"/>
      <c r="BE87" s="99"/>
    </row>
    <row r="88" spans="3:57" s="98" customFormat="1" x14ac:dyDescent="0.2">
      <c r="C88" s="99"/>
      <c r="D88" s="100"/>
      <c r="E88" s="100"/>
      <c r="G88" s="101"/>
      <c r="H88" s="101"/>
      <c r="I88" s="101"/>
      <c r="J88" s="101"/>
      <c r="K88" s="101"/>
      <c r="L88" s="99"/>
      <c r="M88" s="99"/>
      <c r="N88" s="99"/>
      <c r="O88" s="99"/>
      <c r="P88" s="101"/>
      <c r="Q88" s="99"/>
      <c r="R88" s="99"/>
      <c r="T88" s="101"/>
      <c r="U88" s="101"/>
      <c r="V88" s="101"/>
      <c r="W88" s="101"/>
      <c r="X88" s="101"/>
      <c r="Y88" s="99"/>
      <c r="Z88" s="99"/>
      <c r="AA88" s="99"/>
      <c r="AB88" s="99"/>
      <c r="AC88" s="101"/>
      <c r="AD88" s="99"/>
      <c r="AE88" s="99"/>
      <c r="AG88" s="101"/>
      <c r="AH88" s="101"/>
      <c r="AI88" s="101"/>
      <c r="AJ88" s="101"/>
      <c r="AK88" s="101"/>
      <c r="AL88" s="99"/>
      <c r="AM88" s="99"/>
      <c r="AN88" s="99"/>
      <c r="AO88" s="99"/>
      <c r="AP88" s="101"/>
      <c r="AQ88" s="99"/>
      <c r="AR88" s="99"/>
      <c r="AT88" s="101"/>
      <c r="AU88" s="101"/>
      <c r="AV88" s="101"/>
      <c r="AW88" s="101"/>
      <c r="AX88" s="101"/>
      <c r="AY88" s="99"/>
      <c r="AZ88" s="99"/>
      <c r="BA88" s="99"/>
      <c r="BB88" s="99"/>
      <c r="BC88" s="101"/>
      <c r="BD88" s="99"/>
      <c r="BE88" s="99"/>
    </row>
    <row r="89" spans="3:57" s="98" customFormat="1" x14ac:dyDescent="0.2">
      <c r="C89" s="99"/>
      <c r="D89" s="100"/>
      <c r="E89" s="100"/>
      <c r="G89" s="101"/>
      <c r="H89" s="101"/>
      <c r="I89" s="101"/>
      <c r="J89" s="101"/>
      <c r="K89" s="101"/>
      <c r="L89" s="99"/>
      <c r="M89" s="99"/>
      <c r="N89" s="99"/>
      <c r="O89" s="99"/>
      <c r="P89" s="101"/>
      <c r="Q89" s="99"/>
      <c r="R89" s="99"/>
      <c r="T89" s="101"/>
      <c r="U89" s="101"/>
      <c r="V89" s="101"/>
      <c r="W89" s="101"/>
      <c r="X89" s="101"/>
      <c r="Y89" s="99"/>
      <c r="Z89" s="99"/>
      <c r="AA89" s="99"/>
      <c r="AB89" s="99"/>
      <c r="AC89" s="101"/>
      <c r="AD89" s="99"/>
      <c r="AE89" s="99"/>
      <c r="AG89" s="101"/>
      <c r="AH89" s="101"/>
      <c r="AI89" s="101"/>
      <c r="AJ89" s="101"/>
      <c r="AK89" s="101"/>
      <c r="AL89" s="99"/>
      <c r="AM89" s="99"/>
      <c r="AN89" s="99"/>
      <c r="AO89" s="99"/>
      <c r="AP89" s="101"/>
      <c r="AQ89" s="99"/>
      <c r="AR89" s="99"/>
      <c r="AT89" s="101"/>
      <c r="AU89" s="101"/>
      <c r="AV89" s="101"/>
      <c r="AW89" s="101"/>
      <c r="AX89" s="101"/>
      <c r="AY89" s="99"/>
      <c r="AZ89" s="99"/>
      <c r="BA89" s="99"/>
      <c r="BB89" s="99"/>
      <c r="BC89" s="101"/>
      <c r="BD89" s="99"/>
      <c r="BE89" s="99"/>
    </row>
    <row r="90" spans="3:57" s="98" customFormat="1" x14ac:dyDescent="0.2">
      <c r="C90" s="99"/>
      <c r="D90" s="100"/>
      <c r="E90" s="100"/>
      <c r="G90" s="101"/>
      <c r="H90" s="101"/>
      <c r="I90" s="101"/>
      <c r="J90" s="101"/>
      <c r="K90" s="101"/>
      <c r="L90" s="99"/>
      <c r="M90" s="99"/>
      <c r="N90" s="99"/>
      <c r="O90" s="99"/>
      <c r="P90" s="101"/>
      <c r="Q90" s="99"/>
      <c r="R90" s="99"/>
      <c r="T90" s="101"/>
      <c r="U90" s="101"/>
      <c r="V90" s="101"/>
      <c r="W90" s="101"/>
      <c r="X90" s="101"/>
      <c r="Y90" s="99"/>
      <c r="Z90" s="99"/>
      <c r="AA90" s="99"/>
      <c r="AB90" s="99"/>
      <c r="AC90" s="101"/>
      <c r="AD90" s="99"/>
      <c r="AE90" s="99"/>
      <c r="AG90" s="101"/>
      <c r="AH90" s="101"/>
      <c r="AI90" s="101"/>
      <c r="AJ90" s="101"/>
      <c r="AK90" s="101"/>
      <c r="AL90" s="99"/>
      <c r="AM90" s="99"/>
      <c r="AN90" s="99"/>
      <c r="AO90" s="99"/>
      <c r="AP90" s="101"/>
      <c r="AQ90" s="99"/>
      <c r="AR90" s="99"/>
      <c r="AT90" s="101"/>
      <c r="AU90" s="101"/>
      <c r="AV90" s="101"/>
      <c r="AW90" s="101"/>
      <c r="AX90" s="101"/>
      <c r="AY90" s="99"/>
      <c r="AZ90" s="99"/>
      <c r="BA90" s="99"/>
      <c r="BB90" s="99"/>
      <c r="BC90" s="101"/>
      <c r="BD90" s="99"/>
      <c r="BE90" s="99"/>
    </row>
    <row r="91" spans="3:57" s="98" customFormat="1" x14ac:dyDescent="0.2">
      <c r="C91" s="99"/>
      <c r="D91" s="100"/>
      <c r="E91" s="100"/>
      <c r="G91" s="101"/>
      <c r="H91" s="101"/>
      <c r="I91" s="101"/>
      <c r="J91" s="101"/>
      <c r="K91" s="101"/>
      <c r="L91" s="99"/>
      <c r="M91" s="99"/>
      <c r="N91" s="99"/>
      <c r="O91" s="99"/>
      <c r="P91" s="101"/>
      <c r="Q91" s="99"/>
      <c r="R91" s="99"/>
      <c r="T91" s="101"/>
      <c r="U91" s="101"/>
      <c r="V91" s="101"/>
      <c r="W91" s="101"/>
      <c r="X91" s="101"/>
      <c r="Y91" s="99"/>
      <c r="Z91" s="99"/>
      <c r="AA91" s="99"/>
      <c r="AB91" s="99"/>
      <c r="AC91" s="101"/>
      <c r="AD91" s="99"/>
      <c r="AE91" s="99"/>
      <c r="AG91" s="101"/>
      <c r="AH91" s="101"/>
      <c r="AI91" s="101"/>
      <c r="AJ91" s="101"/>
      <c r="AK91" s="101"/>
      <c r="AL91" s="99"/>
      <c r="AM91" s="99"/>
      <c r="AN91" s="99"/>
      <c r="AO91" s="99"/>
      <c r="AP91" s="101"/>
      <c r="AQ91" s="99"/>
      <c r="AR91" s="99"/>
      <c r="AT91" s="101"/>
      <c r="AU91" s="101"/>
      <c r="AV91" s="101"/>
      <c r="AW91" s="101"/>
      <c r="AX91" s="101"/>
      <c r="AY91" s="99"/>
      <c r="AZ91" s="99"/>
      <c r="BA91" s="99"/>
      <c r="BB91" s="99"/>
      <c r="BC91" s="101"/>
      <c r="BD91" s="99"/>
      <c r="BE91" s="99"/>
    </row>
    <row r="92" spans="3:57" s="98" customFormat="1" x14ac:dyDescent="0.2">
      <c r="C92" s="99"/>
      <c r="D92" s="100"/>
      <c r="E92" s="100"/>
      <c r="G92" s="101"/>
      <c r="H92" s="101"/>
      <c r="I92" s="101"/>
      <c r="J92" s="101"/>
      <c r="K92" s="101"/>
      <c r="L92" s="99"/>
      <c r="M92" s="99"/>
      <c r="N92" s="99"/>
      <c r="O92" s="99"/>
      <c r="P92" s="101"/>
      <c r="Q92" s="99"/>
      <c r="R92" s="99"/>
      <c r="T92" s="101"/>
      <c r="U92" s="101"/>
      <c r="V92" s="101"/>
      <c r="W92" s="101"/>
      <c r="X92" s="101"/>
      <c r="Y92" s="99"/>
      <c r="Z92" s="99"/>
      <c r="AA92" s="99"/>
      <c r="AB92" s="99"/>
      <c r="AC92" s="101"/>
      <c r="AD92" s="99"/>
      <c r="AE92" s="99"/>
      <c r="AG92" s="101"/>
      <c r="AH92" s="101"/>
      <c r="AI92" s="101"/>
      <c r="AJ92" s="101"/>
      <c r="AK92" s="101"/>
      <c r="AL92" s="99"/>
      <c r="AM92" s="99"/>
      <c r="AN92" s="99"/>
      <c r="AO92" s="99"/>
      <c r="AP92" s="101"/>
      <c r="AQ92" s="99"/>
      <c r="AR92" s="99"/>
      <c r="AT92" s="101"/>
      <c r="AU92" s="101"/>
      <c r="AV92" s="101"/>
      <c r="AW92" s="101"/>
      <c r="AX92" s="101"/>
      <c r="AY92" s="99"/>
      <c r="AZ92" s="99"/>
      <c r="BA92" s="99"/>
      <c r="BB92" s="99"/>
      <c r="BC92" s="101"/>
      <c r="BD92" s="99"/>
      <c r="BE92" s="99"/>
    </row>
    <row r="93" spans="3:57" s="98" customFormat="1" x14ac:dyDescent="0.2">
      <c r="C93" s="99"/>
      <c r="D93" s="100"/>
      <c r="E93" s="100"/>
      <c r="G93" s="101"/>
      <c r="H93" s="101"/>
      <c r="I93" s="101"/>
      <c r="J93" s="101"/>
      <c r="K93" s="101"/>
      <c r="L93" s="99"/>
      <c r="M93" s="99"/>
      <c r="N93" s="99"/>
      <c r="O93" s="99"/>
      <c r="P93" s="101"/>
      <c r="Q93" s="99"/>
      <c r="R93" s="99"/>
      <c r="T93" s="101"/>
      <c r="U93" s="101"/>
      <c r="V93" s="101"/>
      <c r="W93" s="101"/>
      <c r="X93" s="101"/>
      <c r="Y93" s="99"/>
      <c r="Z93" s="99"/>
      <c r="AA93" s="99"/>
      <c r="AB93" s="99"/>
      <c r="AC93" s="101"/>
      <c r="AD93" s="99"/>
      <c r="AE93" s="99"/>
      <c r="AG93" s="101"/>
      <c r="AH93" s="101"/>
      <c r="AI93" s="101"/>
      <c r="AJ93" s="101"/>
      <c r="AK93" s="101"/>
      <c r="AL93" s="99"/>
      <c r="AM93" s="99"/>
      <c r="AN93" s="99"/>
      <c r="AO93" s="99"/>
      <c r="AP93" s="101"/>
      <c r="AQ93" s="99"/>
      <c r="AR93" s="99"/>
      <c r="AT93" s="101"/>
      <c r="AU93" s="101"/>
      <c r="AV93" s="101"/>
      <c r="AW93" s="101"/>
      <c r="AX93" s="101"/>
      <c r="AY93" s="99"/>
      <c r="AZ93" s="99"/>
      <c r="BA93" s="99"/>
      <c r="BB93" s="99"/>
      <c r="BC93" s="101"/>
      <c r="BD93" s="99"/>
      <c r="BE93" s="99"/>
    </row>
    <row r="94" spans="3:57" s="98" customFormat="1" x14ac:dyDescent="0.2">
      <c r="C94" s="99"/>
      <c r="D94" s="100"/>
      <c r="E94" s="100"/>
      <c r="G94" s="101"/>
      <c r="H94" s="101"/>
      <c r="I94" s="101"/>
      <c r="J94" s="101"/>
      <c r="K94" s="101"/>
      <c r="L94" s="99"/>
      <c r="M94" s="99"/>
      <c r="N94" s="99"/>
      <c r="O94" s="99"/>
      <c r="P94" s="101"/>
      <c r="Q94" s="99"/>
      <c r="R94" s="99"/>
      <c r="T94" s="101"/>
      <c r="U94" s="101"/>
      <c r="V94" s="101"/>
      <c r="W94" s="101"/>
      <c r="X94" s="101"/>
      <c r="Y94" s="99"/>
      <c r="Z94" s="99"/>
      <c r="AA94" s="99"/>
      <c r="AB94" s="99"/>
      <c r="AC94" s="101"/>
      <c r="AD94" s="99"/>
      <c r="AE94" s="99"/>
      <c r="AG94" s="101"/>
      <c r="AH94" s="101"/>
      <c r="AI94" s="101"/>
      <c r="AJ94" s="101"/>
      <c r="AK94" s="101"/>
      <c r="AL94" s="99"/>
      <c r="AM94" s="99"/>
      <c r="AN94" s="99"/>
      <c r="AO94" s="99"/>
      <c r="AP94" s="101"/>
      <c r="AQ94" s="99"/>
      <c r="AR94" s="99"/>
      <c r="AT94" s="101"/>
      <c r="AU94" s="101"/>
      <c r="AV94" s="101"/>
      <c r="AW94" s="101"/>
      <c r="AX94" s="101"/>
      <c r="AY94" s="99"/>
      <c r="AZ94" s="99"/>
      <c r="BA94" s="99"/>
      <c r="BB94" s="99"/>
      <c r="BC94" s="101"/>
      <c r="BD94" s="99"/>
      <c r="BE94" s="99"/>
    </row>
    <row r="95" spans="3:57" s="98" customFormat="1" x14ac:dyDescent="0.2">
      <c r="C95" s="99"/>
      <c r="D95" s="100"/>
      <c r="E95" s="100"/>
      <c r="G95" s="101"/>
      <c r="H95" s="101"/>
      <c r="I95" s="101"/>
      <c r="J95" s="101"/>
      <c r="K95" s="101"/>
      <c r="L95" s="99"/>
      <c r="M95" s="99"/>
      <c r="N95" s="99"/>
      <c r="O95" s="99"/>
      <c r="P95" s="101"/>
      <c r="Q95" s="99"/>
      <c r="R95" s="99"/>
      <c r="T95" s="101"/>
      <c r="U95" s="101"/>
      <c r="V95" s="101"/>
      <c r="W95" s="101"/>
      <c r="X95" s="101"/>
      <c r="Y95" s="99"/>
      <c r="Z95" s="99"/>
      <c r="AA95" s="99"/>
      <c r="AB95" s="99"/>
      <c r="AC95" s="101"/>
      <c r="AD95" s="99"/>
      <c r="AE95" s="99"/>
      <c r="AG95" s="101"/>
      <c r="AH95" s="101"/>
      <c r="AI95" s="101"/>
      <c r="AJ95" s="101"/>
      <c r="AK95" s="101"/>
      <c r="AL95" s="99"/>
      <c r="AM95" s="99"/>
      <c r="AN95" s="99"/>
      <c r="AO95" s="99"/>
      <c r="AP95" s="101"/>
      <c r="AQ95" s="99"/>
      <c r="AR95" s="99"/>
      <c r="AT95" s="101"/>
      <c r="AU95" s="101"/>
      <c r="AV95" s="101"/>
      <c r="AW95" s="101"/>
      <c r="AX95" s="101"/>
      <c r="AY95" s="99"/>
      <c r="AZ95" s="99"/>
      <c r="BA95" s="99"/>
      <c r="BB95" s="99"/>
      <c r="BC95" s="101"/>
      <c r="BD95" s="99"/>
      <c r="BE95" s="99"/>
    </row>
    <row r="96" spans="3:57" s="98" customFormat="1" x14ac:dyDescent="0.2">
      <c r="C96" s="99"/>
      <c r="D96" s="100"/>
      <c r="E96" s="100"/>
      <c r="G96" s="101"/>
      <c r="H96" s="101"/>
      <c r="I96" s="101"/>
      <c r="J96" s="101"/>
      <c r="K96" s="101"/>
      <c r="L96" s="99"/>
      <c r="M96" s="99"/>
      <c r="N96" s="99"/>
      <c r="O96" s="99"/>
      <c r="P96" s="101"/>
      <c r="Q96" s="99"/>
      <c r="R96" s="99"/>
      <c r="T96" s="101"/>
      <c r="U96" s="101"/>
      <c r="V96" s="101"/>
      <c r="W96" s="101"/>
      <c r="X96" s="101"/>
      <c r="Y96" s="99"/>
      <c r="Z96" s="99"/>
      <c r="AA96" s="99"/>
      <c r="AB96" s="99"/>
      <c r="AC96" s="101"/>
      <c r="AD96" s="99"/>
      <c r="AE96" s="99"/>
      <c r="AG96" s="101"/>
      <c r="AH96" s="101"/>
      <c r="AI96" s="101"/>
      <c r="AJ96" s="101"/>
      <c r="AK96" s="101"/>
      <c r="AL96" s="99"/>
      <c r="AM96" s="99"/>
      <c r="AN96" s="99"/>
      <c r="AO96" s="99"/>
      <c r="AP96" s="101"/>
      <c r="AQ96" s="99"/>
      <c r="AR96" s="99"/>
      <c r="AT96" s="101"/>
      <c r="AU96" s="101"/>
      <c r="AV96" s="101"/>
      <c r="AW96" s="101"/>
      <c r="AX96" s="101"/>
      <c r="AY96" s="99"/>
      <c r="AZ96" s="99"/>
      <c r="BA96" s="99"/>
      <c r="BB96" s="99"/>
      <c r="BC96" s="101"/>
      <c r="BD96" s="99"/>
      <c r="BE96" s="99"/>
    </row>
    <row r="97" spans="3:57" s="98" customFormat="1" x14ac:dyDescent="0.2">
      <c r="C97" s="99"/>
      <c r="D97" s="100"/>
      <c r="E97" s="100"/>
      <c r="G97" s="101"/>
      <c r="H97" s="101"/>
      <c r="I97" s="101"/>
      <c r="J97" s="101"/>
      <c r="K97" s="101"/>
      <c r="L97" s="99"/>
      <c r="M97" s="99"/>
      <c r="N97" s="99"/>
      <c r="O97" s="99"/>
      <c r="P97" s="101"/>
      <c r="Q97" s="99"/>
      <c r="R97" s="99"/>
      <c r="T97" s="101"/>
      <c r="U97" s="101"/>
      <c r="V97" s="101"/>
      <c r="W97" s="101"/>
      <c r="X97" s="101"/>
      <c r="Y97" s="99"/>
      <c r="Z97" s="99"/>
      <c r="AA97" s="99"/>
      <c r="AB97" s="99"/>
      <c r="AC97" s="101"/>
      <c r="AD97" s="99"/>
      <c r="AE97" s="99"/>
      <c r="AG97" s="101"/>
      <c r="AH97" s="101"/>
      <c r="AI97" s="101"/>
      <c r="AJ97" s="101"/>
      <c r="AK97" s="101"/>
      <c r="AL97" s="99"/>
      <c r="AM97" s="99"/>
      <c r="AN97" s="99"/>
      <c r="AO97" s="99"/>
      <c r="AP97" s="101"/>
      <c r="AQ97" s="99"/>
      <c r="AR97" s="99"/>
      <c r="AT97" s="101"/>
      <c r="AU97" s="101"/>
      <c r="AV97" s="101"/>
      <c r="AW97" s="101"/>
      <c r="AX97" s="101"/>
      <c r="AY97" s="99"/>
      <c r="AZ97" s="99"/>
      <c r="BA97" s="99"/>
      <c r="BB97" s="99"/>
      <c r="BC97" s="101"/>
      <c r="BD97" s="99"/>
      <c r="BE97" s="99"/>
    </row>
    <row r="98" spans="3:57" s="98" customFormat="1" x14ac:dyDescent="0.2">
      <c r="C98" s="99"/>
      <c r="D98" s="100"/>
      <c r="E98" s="100"/>
      <c r="G98" s="101"/>
      <c r="H98" s="101"/>
      <c r="I98" s="101"/>
      <c r="J98" s="101"/>
      <c r="K98" s="101"/>
      <c r="L98" s="99"/>
      <c r="M98" s="99"/>
      <c r="N98" s="99"/>
      <c r="O98" s="99"/>
      <c r="P98" s="101"/>
      <c r="Q98" s="99"/>
      <c r="R98" s="99"/>
      <c r="T98" s="101"/>
      <c r="U98" s="101"/>
      <c r="V98" s="101"/>
      <c r="W98" s="101"/>
      <c r="X98" s="101"/>
      <c r="Y98" s="99"/>
      <c r="Z98" s="99"/>
      <c r="AA98" s="99"/>
      <c r="AB98" s="99"/>
      <c r="AC98" s="101"/>
      <c r="AD98" s="99"/>
      <c r="AE98" s="99"/>
      <c r="AG98" s="101"/>
      <c r="AH98" s="101"/>
      <c r="AI98" s="101"/>
      <c r="AJ98" s="101"/>
      <c r="AK98" s="101"/>
      <c r="AL98" s="99"/>
      <c r="AM98" s="99"/>
      <c r="AN98" s="99"/>
      <c r="AO98" s="99"/>
      <c r="AP98" s="101"/>
      <c r="AQ98" s="99"/>
      <c r="AR98" s="99"/>
      <c r="AT98" s="101"/>
      <c r="AU98" s="101"/>
      <c r="AV98" s="101"/>
      <c r="AW98" s="101"/>
      <c r="AX98" s="101"/>
      <c r="AY98" s="99"/>
      <c r="AZ98" s="99"/>
      <c r="BA98" s="99"/>
      <c r="BB98" s="99"/>
      <c r="BC98" s="101"/>
      <c r="BD98" s="99"/>
      <c r="BE98" s="99"/>
    </row>
    <row r="99" spans="3:57" s="98" customFormat="1" x14ac:dyDescent="0.2">
      <c r="C99" s="99"/>
      <c r="D99" s="100"/>
      <c r="E99" s="100"/>
      <c r="G99" s="101"/>
      <c r="H99" s="101"/>
      <c r="I99" s="101"/>
      <c r="J99" s="101"/>
      <c r="K99" s="101"/>
      <c r="L99" s="99"/>
      <c r="M99" s="99"/>
      <c r="N99" s="99"/>
      <c r="O99" s="99"/>
      <c r="P99" s="101"/>
      <c r="Q99" s="99"/>
      <c r="R99" s="99"/>
      <c r="T99" s="101"/>
      <c r="U99" s="101"/>
      <c r="V99" s="101"/>
      <c r="W99" s="101"/>
      <c r="X99" s="101"/>
      <c r="Y99" s="99"/>
      <c r="Z99" s="99"/>
      <c r="AA99" s="99"/>
      <c r="AB99" s="99"/>
      <c r="AC99" s="101"/>
      <c r="AD99" s="99"/>
      <c r="AE99" s="99"/>
      <c r="AG99" s="101"/>
      <c r="AH99" s="101"/>
      <c r="AI99" s="101"/>
      <c r="AJ99" s="101"/>
      <c r="AK99" s="101"/>
      <c r="AL99" s="99"/>
      <c r="AM99" s="99"/>
      <c r="AN99" s="99"/>
      <c r="AO99" s="99"/>
      <c r="AP99" s="101"/>
      <c r="AQ99" s="99"/>
      <c r="AR99" s="99"/>
      <c r="AT99" s="101"/>
      <c r="AU99" s="101"/>
      <c r="AV99" s="101"/>
      <c r="AW99" s="101"/>
      <c r="AX99" s="101"/>
      <c r="AY99" s="99"/>
      <c r="AZ99" s="99"/>
      <c r="BA99" s="99"/>
      <c r="BB99" s="99"/>
      <c r="BC99" s="101"/>
      <c r="BD99" s="99"/>
      <c r="BE99" s="99"/>
    </row>
    <row r="100" spans="3:57" s="98" customFormat="1" x14ac:dyDescent="0.2">
      <c r="C100" s="99"/>
      <c r="D100" s="100"/>
      <c r="E100" s="100"/>
      <c r="G100" s="101"/>
      <c r="H100" s="101"/>
      <c r="I100" s="101"/>
      <c r="J100" s="101"/>
      <c r="K100" s="101"/>
      <c r="L100" s="99"/>
      <c r="M100" s="99"/>
      <c r="N100" s="99"/>
      <c r="O100" s="99"/>
      <c r="P100" s="101"/>
      <c r="Q100" s="99"/>
      <c r="R100" s="99"/>
      <c r="T100" s="101"/>
      <c r="U100" s="101"/>
      <c r="V100" s="101"/>
      <c r="W100" s="101"/>
      <c r="X100" s="101"/>
      <c r="Y100" s="99"/>
      <c r="Z100" s="99"/>
      <c r="AA100" s="99"/>
      <c r="AB100" s="99"/>
      <c r="AC100" s="101"/>
      <c r="AD100" s="99"/>
      <c r="AE100" s="99"/>
      <c r="AG100" s="101"/>
      <c r="AH100" s="101"/>
      <c r="AI100" s="101"/>
      <c r="AJ100" s="101"/>
      <c r="AK100" s="101"/>
      <c r="AL100" s="99"/>
      <c r="AM100" s="99"/>
      <c r="AN100" s="99"/>
      <c r="AO100" s="99"/>
      <c r="AP100" s="101"/>
      <c r="AQ100" s="99"/>
      <c r="AR100" s="99"/>
      <c r="AT100" s="101"/>
      <c r="AU100" s="101"/>
      <c r="AV100" s="101"/>
      <c r="AW100" s="101"/>
      <c r="AX100" s="101"/>
      <c r="AY100" s="99"/>
      <c r="AZ100" s="99"/>
      <c r="BA100" s="99"/>
      <c r="BB100" s="99"/>
      <c r="BC100" s="101"/>
      <c r="BD100" s="99"/>
      <c r="BE100" s="99"/>
    </row>
    <row r="101" spans="3:57" s="98" customFormat="1" x14ac:dyDescent="0.2">
      <c r="C101" s="99"/>
      <c r="D101" s="100"/>
      <c r="E101" s="100"/>
      <c r="G101" s="101"/>
      <c r="H101" s="101"/>
      <c r="I101" s="101"/>
      <c r="J101" s="101"/>
      <c r="K101" s="101"/>
      <c r="L101" s="99"/>
      <c r="M101" s="99"/>
      <c r="N101" s="99"/>
      <c r="O101" s="99"/>
      <c r="P101" s="101"/>
      <c r="Q101" s="99"/>
      <c r="R101" s="99"/>
      <c r="T101" s="101"/>
      <c r="U101" s="101"/>
      <c r="V101" s="101"/>
      <c r="W101" s="101"/>
      <c r="X101" s="101"/>
      <c r="Y101" s="99"/>
      <c r="Z101" s="99"/>
      <c r="AA101" s="99"/>
      <c r="AB101" s="99"/>
      <c r="AC101" s="101"/>
      <c r="AD101" s="99"/>
      <c r="AE101" s="99"/>
      <c r="AG101" s="101"/>
      <c r="AH101" s="101"/>
      <c r="AI101" s="101"/>
      <c r="AJ101" s="101"/>
      <c r="AK101" s="101"/>
      <c r="AL101" s="99"/>
      <c r="AM101" s="99"/>
      <c r="AN101" s="99"/>
      <c r="AO101" s="99"/>
      <c r="AP101" s="101"/>
      <c r="AQ101" s="99"/>
      <c r="AR101" s="99"/>
      <c r="AT101" s="101"/>
      <c r="AU101" s="101"/>
      <c r="AV101" s="101"/>
      <c r="AW101" s="101"/>
      <c r="AX101" s="101"/>
      <c r="AY101" s="99"/>
      <c r="AZ101" s="99"/>
      <c r="BA101" s="99"/>
      <c r="BB101" s="99"/>
      <c r="BC101" s="101"/>
      <c r="BD101" s="99"/>
      <c r="BE101" s="99"/>
    </row>
    <row r="102" spans="3:57" s="98" customFormat="1" x14ac:dyDescent="0.2">
      <c r="C102" s="99"/>
      <c r="D102" s="100"/>
      <c r="E102" s="100"/>
      <c r="G102" s="101"/>
      <c r="H102" s="101"/>
      <c r="I102" s="101"/>
      <c r="J102" s="101"/>
      <c r="K102" s="101"/>
      <c r="L102" s="99"/>
      <c r="M102" s="99"/>
      <c r="N102" s="99"/>
      <c r="O102" s="99"/>
      <c r="P102" s="101"/>
      <c r="Q102" s="99"/>
      <c r="R102" s="99"/>
      <c r="T102" s="101"/>
      <c r="U102" s="101"/>
      <c r="V102" s="101"/>
      <c r="W102" s="101"/>
      <c r="X102" s="101"/>
      <c r="Y102" s="99"/>
      <c r="Z102" s="99"/>
      <c r="AA102" s="99"/>
      <c r="AB102" s="99"/>
      <c r="AC102" s="101"/>
      <c r="AD102" s="99"/>
      <c r="AE102" s="99"/>
      <c r="AG102" s="101"/>
      <c r="AH102" s="101"/>
      <c r="AI102" s="101"/>
      <c r="AJ102" s="101"/>
      <c r="AK102" s="101"/>
      <c r="AL102" s="99"/>
      <c r="AM102" s="99"/>
      <c r="AN102" s="99"/>
      <c r="AO102" s="99"/>
      <c r="AP102" s="101"/>
      <c r="AQ102" s="99"/>
      <c r="AR102" s="99"/>
      <c r="AT102" s="101"/>
      <c r="AU102" s="101"/>
      <c r="AV102" s="101"/>
      <c r="AW102" s="101"/>
      <c r="AX102" s="101"/>
      <c r="AY102" s="99"/>
      <c r="AZ102" s="99"/>
      <c r="BA102" s="99"/>
      <c r="BB102" s="99"/>
      <c r="BC102" s="101"/>
      <c r="BD102" s="99"/>
      <c r="BE102" s="99"/>
    </row>
    <row r="103" spans="3:57" s="98" customFormat="1" x14ac:dyDescent="0.2">
      <c r="C103" s="99"/>
      <c r="D103" s="100"/>
      <c r="E103" s="100"/>
      <c r="G103" s="101"/>
      <c r="H103" s="101"/>
      <c r="I103" s="101"/>
      <c r="J103" s="101"/>
      <c r="K103" s="101"/>
      <c r="L103" s="99"/>
      <c r="M103" s="99"/>
      <c r="N103" s="99"/>
      <c r="O103" s="99"/>
      <c r="P103" s="101"/>
      <c r="Q103" s="99"/>
      <c r="R103" s="99"/>
      <c r="T103" s="101"/>
      <c r="U103" s="101"/>
      <c r="V103" s="101"/>
      <c r="W103" s="101"/>
      <c r="X103" s="101"/>
      <c r="Y103" s="99"/>
      <c r="Z103" s="99"/>
      <c r="AA103" s="99"/>
      <c r="AB103" s="99"/>
      <c r="AC103" s="101"/>
      <c r="AD103" s="99"/>
      <c r="AE103" s="99"/>
      <c r="AG103" s="101"/>
      <c r="AH103" s="101"/>
      <c r="AI103" s="101"/>
      <c r="AJ103" s="101"/>
      <c r="AK103" s="101"/>
      <c r="AL103" s="99"/>
      <c r="AM103" s="99"/>
      <c r="AN103" s="99"/>
      <c r="AO103" s="99"/>
      <c r="AP103" s="101"/>
      <c r="AQ103" s="99"/>
      <c r="AR103" s="99"/>
      <c r="AT103" s="101"/>
      <c r="AU103" s="101"/>
      <c r="AV103" s="101"/>
      <c r="AW103" s="101"/>
      <c r="AX103" s="101"/>
      <c r="AY103" s="99"/>
      <c r="AZ103" s="99"/>
      <c r="BA103" s="99"/>
      <c r="BB103" s="99"/>
      <c r="BC103" s="101"/>
      <c r="BD103" s="99"/>
      <c r="BE103" s="99"/>
    </row>
    <row r="104" spans="3:57" s="98" customFormat="1" x14ac:dyDescent="0.2">
      <c r="C104" s="99"/>
      <c r="D104" s="100"/>
      <c r="E104" s="100"/>
      <c r="G104" s="101"/>
      <c r="H104" s="101"/>
      <c r="I104" s="101"/>
      <c r="J104" s="101"/>
      <c r="K104" s="101"/>
      <c r="L104" s="99"/>
      <c r="M104" s="99"/>
      <c r="N104" s="99"/>
      <c r="O104" s="99"/>
      <c r="P104" s="101"/>
      <c r="Q104" s="99"/>
      <c r="R104" s="99"/>
      <c r="T104" s="101"/>
      <c r="U104" s="101"/>
      <c r="V104" s="101"/>
      <c r="W104" s="101"/>
      <c r="X104" s="101"/>
      <c r="Y104" s="99"/>
      <c r="Z104" s="99"/>
      <c r="AA104" s="99"/>
      <c r="AB104" s="99"/>
      <c r="AC104" s="101"/>
      <c r="AD104" s="99"/>
      <c r="AE104" s="99"/>
      <c r="AG104" s="101"/>
      <c r="AH104" s="101"/>
      <c r="AI104" s="101"/>
      <c r="AJ104" s="101"/>
      <c r="AK104" s="101"/>
      <c r="AL104" s="99"/>
      <c r="AM104" s="99"/>
      <c r="AN104" s="99"/>
      <c r="AO104" s="99"/>
      <c r="AP104" s="101"/>
      <c r="AQ104" s="99"/>
      <c r="AR104" s="99"/>
      <c r="AT104" s="101"/>
      <c r="AU104" s="101"/>
      <c r="AV104" s="101"/>
      <c r="AW104" s="101"/>
      <c r="AX104" s="101"/>
      <c r="AY104" s="99"/>
      <c r="AZ104" s="99"/>
      <c r="BA104" s="99"/>
      <c r="BB104" s="99"/>
      <c r="BC104" s="101"/>
      <c r="BD104" s="99"/>
      <c r="BE104" s="99"/>
    </row>
    <row r="105" spans="3:57" s="98" customFormat="1" x14ac:dyDescent="0.2">
      <c r="C105" s="99"/>
      <c r="D105" s="100"/>
      <c r="E105" s="100"/>
      <c r="G105" s="101"/>
      <c r="H105" s="101"/>
      <c r="I105" s="101"/>
      <c r="J105" s="101"/>
      <c r="K105" s="101"/>
      <c r="L105" s="99"/>
      <c r="M105" s="99"/>
      <c r="N105" s="99"/>
      <c r="O105" s="99"/>
      <c r="P105" s="101"/>
      <c r="Q105" s="99"/>
      <c r="R105" s="99"/>
      <c r="T105" s="101"/>
      <c r="U105" s="101"/>
      <c r="V105" s="101"/>
      <c r="W105" s="101"/>
      <c r="X105" s="101"/>
      <c r="Y105" s="99"/>
      <c r="Z105" s="99"/>
      <c r="AA105" s="99"/>
      <c r="AB105" s="99"/>
      <c r="AC105" s="101"/>
      <c r="AD105" s="99"/>
      <c r="AE105" s="99"/>
      <c r="AG105" s="101"/>
      <c r="AH105" s="101"/>
      <c r="AI105" s="101"/>
      <c r="AJ105" s="101"/>
      <c r="AK105" s="101"/>
      <c r="AL105" s="99"/>
      <c r="AM105" s="99"/>
      <c r="AN105" s="99"/>
      <c r="AO105" s="99"/>
      <c r="AP105" s="101"/>
      <c r="AQ105" s="99"/>
      <c r="AR105" s="99"/>
      <c r="AT105" s="101"/>
      <c r="AU105" s="101"/>
      <c r="AV105" s="101"/>
      <c r="AW105" s="101"/>
      <c r="AX105" s="101"/>
      <c r="AY105" s="99"/>
      <c r="AZ105" s="99"/>
      <c r="BA105" s="99"/>
      <c r="BB105" s="99"/>
      <c r="BC105" s="101"/>
      <c r="BD105" s="99"/>
      <c r="BE105" s="99"/>
    </row>
    <row r="106" spans="3:57" s="98" customFormat="1" x14ac:dyDescent="0.2">
      <c r="C106" s="99"/>
      <c r="D106" s="100"/>
      <c r="E106" s="100"/>
      <c r="G106" s="101"/>
      <c r="H106" s="101"/>
      <c r="I106" s="101"/>
      <c r="J106" s="101"/>
      <c r="K106" s="101"/>
      <c r="L106" s="99"/>
      <c r="M106" s="99"/>
      <c r="N106" s="99"/>
      <c r="O106" s="99"/>
      <c r="P106" s="101"/>
      <c r="Q106" s="99"/>
      <c r="R106" s="99"/>
      <c r="T106" s="101"/>
      <c r="U106" s="101"/>
      <c r="V106" s="101"/>
      <c r="W106" s="101"/>
      <c r="X106" s="101"/>
      <c r="Y106" s="99"/>
      <c r="Z106" s="99"/>
      <c r="AA106" s="99"/>
      <c r="AB106" s="99"/>
      <c r="AC106" s="101"/>
      <c r="AD106" s="99"/>
      <c r="AE106" s="99"/>
      <c r="AG106" s="101"/>
      <c r="AH106" s="101"/>
      <c r="AI106" s="101"/>
      <c r="AJ106" s="101"/>
      <c r="AK106" s="101"/>
      <c r="AL106" s="99"/>
      <c r="AM106" s="99"/>
      <c r="AN106" s="99"/>
      <c r="AO106" s="99"/>
      <c r="AP106" s="101"/>
      <c r="AQ106" s="99"/>
      <c r="AR106" s="99"/>
      <c r="AT106" s="101"/>
      <c r="AU106" s="101"/>
      <c r="AV106" s="101"/>
      <c r="AW106" s="101"/>
      <c r="AX106" s="101"/>
      <c r="AY106" s="99"/>
      <c r="AZ106" s="99"/>
      <c r="BA106" s="99"/>
      <c r="BB106" s="99"/>
      <c r="BC106" s="101"/>
      <c r="BD106" s="99"/>
      <c r="BE106" s="99"/>
    </row>
    <row r="107" spans="3:57" s="98" customFormat="1" x14ac:dyDescent="0.2">
      <c r="C107" s="99"/>
      <c r="D107" s="100"/>
      <c r="E107" s="100"/>
      <c r="G107" s="101"/>
      <c r="H107" s="101"/>
      <c r="I107" s="101"/>
      <c r="J107" s="101"/>
      <c r="K107" s="101"/>
      <c r="L107" s="99"/>
      <c r="M107" s="99"/>
      <c r="N107" s="99"/>
      <c r="O107" s="99"/>
      <c r="P107" s="101"/>
      <c r="Q107" s="99"/>
      <c r="R107" s="99"/>
      <c r="T107" s="101"/>
      <c r="U107" s="101"/>
      <c r="V107" s="101"/>
      <c r="W107" s="101"/>
      <c r="X107" s="101"/>
      <c r="Y107" s="99"/>
      <c r="Z107" s="99"/>
      <c r="AA107" s="99"/>
      <c r="AB107" s="99"/>
      <c r="AC107" s="101"/>
      <c r="AD107" s="99"/>
      <c r="AE107" s="99"/>
      <c r="AG107" s="101"/>
      <c r="AH107" s="101"/>
      <c r="AI107" s="101"/>
      <c r="AJ107" s="101"/>
      <c r="AK107" s="101"/>
      <c r="AL107" s="99"/>
      <c r="AM107" s="99"/>
      <c r="AN107" s="99"/>
      <c r="AO107" s="99"/>
      <c r="AP107" s="101"/>
      <c r="AQ107" s="99"/>
      <c r="AR107" s="99"/>
      <c r="AT107" s="101"/>
      <c r="AU107" s="101"/>
      <c r="AV107" s="101"/>
      <c r="AW107" s="101"/>
      <c r="AX107" s="101"/>
      <c r="AY107" s="99"/>
      <c r="AZ107" s="99"/>
      <c r="BA107" s="99"/>
      <c r="BB107" s="99"/>
      <c r="BC107" s="101"/>
      <c r="BD107" s="99"/>
      <c r="BE107" s="99"/>
    </row>
    <row r="108" spans="3:57" s="98" customFormat="1" x14ac:dyDescent="0.2">
      <c r="C108" s="99"/>
      <c r="D108" s="100"/>
      <c r="E108" s="100"/>
      <c r="G108" s="101"/>
      <c r="H108" s="101"/>
      <c r="I108" s="101"/>
      <c r="J108" s="101"/>
      <c r="K108" s="101"/>
      <c r="L108" s="99"/>
      <c r="M108" s="99"/>
      <c r="N108" s="99"/>
      <c r="O108" s="99"/>
      <c r="P108" s="101"/>
      <c r="Q108" s="99"/>
      <c r="R108" s="99"/>
      <c r="T108" s="101"/>
      <c r="U108" s="101"/>
      <c r="V108" s="101"/>
      <c r="W108" s="101"/>
      <c r="X108" s="101"/>
      <c r="Y108" s="99"/>
      <c r="Z108" s="99"/>
      <c r="AA108" s="99"/>
      <c r="AB108" s="99"/>
      <c r="AC108" s="101"/>
      <c r="AD108" s="99"/>
      <c r="AE108" s="99"/>
      <c r="AG108" s="101"/>
      <c r="AH108" s="101"/>
      <c r="AI108" s="101"/>
      <c r="AJ108" s="101"/>
      <c r="AK108" s="101"/>
      <c r="AL108" s="99"/>
      <c r="AM108" s="99"/>
      <c r="AN108" s="99"/>
      <c r="AO108" s="99"/>
      <c r="AP108" s="101"/>
      <c r="AQ108" s="99"/>
      <c r="AR108" s="99"/>
      <c r="AT108" s="101"/>
      <c r="AU108" s="101"/>
      <c r="AV108" s="101"/>
      <c r="AW108" s="101"/>
      <c r="AX108" s="101"/>
      <c r="AY108" s="99"/>
      <c r="AZ108" s="99"/>
      <c r="BA108" s="99"/>
      <c r="BB108" s="99"/>
      <c r="BC108" s="101"/>
      <c r="BD108" s="99"/>
      <c r="BE108" s="99"/>
    </row>
    <row r="109" spans="3:57" s="98" customFormat="1" x14ac:dyDescent="0.2">
      <c r="C109" s="99"/>
      <c r="D109" s="100"/>
      <c r="E109" s="100"/>
      <c r="G109" s="101"/>
      <c r="H109" s="101"/>
      <c r="I109" s="101"/>
      <c r="J109" s="101"/>
      <c r="K109" s="101"/>
      <c r="L109" s="99"/>
      <c r="M109" s="99"/>
      <c r="N109" s="99"/>
      <c r="O109" s="99"/>
      <c r="P109" s="101"/>
      <c r="Q109" s="99"/>
      <c r="R109" s="99"/>
      <c r="T109" s="101"/>
      <c r="U109" s="101"/>
      <c r="V109" s="101"/>
      <c r="W109" s="101"/>
      <c r="X109" s="101"/>
      <c r="Y109" s="99"/>
      <c r="Z109" s="99"/>
      <c r="AA109" s="99"/>
      <c r="AB109" s="99"/>
      <c r="AC109" s="101"/>
      <c r="AD109" s="99"/>
      <c r="AE109" s="99"/>
      <c r="AG109" s="101"/>
      <c r="AH109" s="101"/>
      <c r="AI109" s="101"/>
      <c r="AJ109" s="101"/>
      <c r="AK109" s="101"/>
      <c r="AL109" s="99"/>
      <c r="AM109" s="99"/>
      <c r="AN109" s="99"/>
      <c r="AO109" s="99"/>
      <c r="AP109" s="101"/>
      <c r="AQ109" s="99"/>
      <c r="AR109" s="99"/>
      <c r="AT109" s="101"/>
      <c r="AU109" s="101"/>
      <c r="AV109" s="101"/>
      <c r="AW109" s="101"/>
      <c r="AX109" s="101"/>
      <c r="AY109" s="99"/>
      <c r="AZ109" s="99"/>
      <c r="BA109" s="99"/>
      <c r="BB109" s="99"/>
      <c r="BC109" s="101"/>
      <c r="BD109" s="99"/>
      <c r="BE109" s="99"/>
    </row>
    <row r="110" spans="3:57" s="98" customFormat="1" x14ac:dyDescent="0.2">
      <c r="C110" s="99"/>
      <c r="D110" s="100"/>
      <c r="E110" s="100"/>
      <c r="G110" s="101"/>
      <c r="H110" s="101"/>
      <c r="I110" s="101"/>
      <c r="J110" s="101"/>
      <c r="K110" s="101"/>
      <c r="L110" s="99"/>
      <c r="M110" s="99"/>
      <c r="N110" s="99"/>
      <c r="O110" s="99"/>
      <c r="P110" s="101"/>
      <c r="Q110" s="99"/>
      <c r="R110" s="99"/>
      <c r="T110" s="101"/>
      <c r="U110" s="101"/>
      <c r="V110" s="101"/>
      <c r="W110" s="101"/>
      <c r="X110" s="101"/>
      <c r="Y110" s="99"/>
      <c r="Z110" s="99"/>
      <c r="AA110" s="99"/>
      <c r="AB110" s="99"/>
      <c r="AC110" s="101"/>
      <c r="AD110" s="99"/>
      <c r="AE110" s="99"/>
      <c r="AG110" s="101"/>
      <c r="AH110" s="101"/>
      <c r="AI110" s="101"/>
      <c r="AJ110" s="101"/>
      <c r="AK110" s="101"/>
      <c r="AL110" s="99"/>
      <c r="AM110" s="99"/>
      <c r="AN110" s="99"/>
      <c r="AO110" s="99"/>
      <c r="AP110" s="101"/>
      <c r="AQ110" s="99"/>
      <c r="AR110" s="99"/>
      <c r="AT110" s="101"/>
      <c r="AU110" s="101"/>
      <c r="AV110" s="101"/>
      <c r="AW110" s="101"/>
      <c r="AX110" s="101"/>
      <c r="AY110" s="99"/>
      <c r="AZ110" s="99"/>
      <c r="BA110" s="99"/>
      <c r="BB110" s="99"/>
      <c r="BC110" s="101"/>
      <c r="BD110" s="99"/>
      <c r="BE110" s="99"/>
    </row>
    <row r="111" spans="3:57" s="98" customFormat="1" x14ac:dyDescent="0.2">
      <c r="C111" s="99"/>
      <c r="D111" s="100"/>
      <c r="E111" s="100"/>
      <c r="G111" s="101"/>
      <c r="H111" s="101"/>
      <c r="I111" s="101"/>
      <c r="J111" s="101"/>
      <c r="K111" s="101"/>
      <c r="L111" s="99"/>
      <c r="M111" s="99"/>
      <c r="N111" s="99"/>
      <c r="O111" s="99"/>
      <c r="P111" s="101"/>
      <c r="Q111" s="99"/>
      <c r="R111" s="99"/>
      <c r="T111" s="101"/>
      <c r="U111" s="101"/>
      <c r="V111" s="101"/>
      <c r="W111" s="101"/>
      <c r="X111" s="101"/>
      <c r="Y111" s="99"/>
      <c r="Z111" s="99"/>
      <c r="AA111" s="99"/>
      <c r="AB111" s="99"/>
      <c r="AC111" s="101"/>
      <c r="AD111" s="99"/>
      <c r="AE111" s="99"/>
      <c r="AG111" s="101"/>
      <c r="AH111" s="101"/>
      <c r="AI111" s="101"/>
      <c r="AJ111" s="101"/>
      <c r="AK111" s="101"/>
      <c r="AL111" s="99"/>
      <c r="AM111" s="99"/>
      <c r="AN111" s="99"/>
      <c r="AO111" s="99"/>
      <c r="AP111" s="101"/>
      <c r="AQ111" s="99"/>
      <c r="AR111" s="99"/>
      <c r="AT111" s="101"/>
      <c r="AU111" s="101"/>
      <c r="AV111" s="101"/>
      <c r="AW111" s="101"/>
      <c r="AX111" s="101"/>
      <c r="AY111" s="99"/>
      <c r="AZ111" s="99"/>
      <c r="BA111" s="99"/>
      <c r="BB111" s="99"/>
      <c r="BC111" s="101"/>
      <c r="BD111" s="99"/>
      <c r="BE111" s="99"/>
    </row>
    <row r="112" spans="3:57" s="98" customFormat="1" x14ac:dyDescent="0.2">
      <c r="C112" s="99"/>
      <c r="D112" s="100"/>
      <c r="E112" s="100"/>
      <c r="G112" s="101"/>
      <c r="H112" s="101"/>
      <c r="I112" s="101"/>
      <c r="J112" s="101"/>
      <c r="K112" s="101"/>
      <c r="L112" s="99"/>
      <c r="M112" s="99"/>
      <c r="N112" s="99"/>
      <c r="O112" s="99"/>
      <c r="P112" s="101"/>
      <c r="Q112" s="99"/>
      <c r="R112" s="99"/>
      <c r="T112" s="101"/>
      <c r="U112" s="101"/>
      <c r="V112" s="101"/>
      <c r="W112" s="101"/>
      <c r="X112" s="101"/>
      <c r="Y112" s="99"/>
      <c r="Z112" s="99"/>
      <c r="AA112" s="99"/>
      <c r="AB112" s="99"/>
      <c r="AC112" s="101"/>
      <c r="AD112" s="99"/>
      <c r="AE112" s="99"/>
      <c r="AG112" s="101"/>
      <c r="AH112" s="101"/>
      <c r="AI112" s="101"/>
      <c r="AJ112" s="101"/>
      <c r="AK112" s="101"/>
      <c r="AL112" s="99"/>
      <c r="AM112" s="99"/>
      <c r="AN112" s="99"/>
      <c r="AO112" s="99"/>
      <c r="AP112" s="101"/>
      <c r="AQ112" s="99"/>
      <c r="AR112" s="99"/>
      <c r="AT112" s="101"/>
      <c r="AU112" s="101"/>
      <c r="AV112" s="101"/>
      <c r="AW112" s="101"/>
      <c r="AX112" s="101"/>
      <c r="AY112" s="99"/>
      <c r="AZ112" s="99"/>
      <c r="BA112" s="99"/>
      <c r="BB112" s="99"/>
      <c r="BC112" s="101"/>
      <c r="BD112" s="99"/>
      <c r="BE112" s="99"/>
    </row>
    <row r="113" spans="3:57" s="98" customFormat="1" x14ac:dyDescent="0.2">
      <c r="C113" s="99"/>
      <c r="D113" s="100"/>
      <c r="E113" s="100"/>
      <c r="G113" s="101"/>
      <c r="H113" s="101"/>
      <c r="I113" s="101"/>
      <c r="J113" s="101"/>
      <c r="K113" s="101"/>
      <c r="L113" s="99"/>
      <c r="M113" s="99"/>
      <c r="N113" s="99"/>
      <c r="O113" s="99"/>
      <c r="P113" s="101"/>
      <c r="Q113" s="99"/>
      <c r="R113" s="99"/>
      <c r="T113" s="101"/>
      <c r="U113" s="101"/>
      <c r="V113" s="101"/>
      <c r="W113" s="101"/>
      <c r="X113" s="101"/>
      <c r="Y113" s="99"/>
      <c r="Z113" s="99"/>
      <c r="AA113" s="99"/>
      <c r="AB113" s="99"/>
      <c r="AC113" s="101"/>
      <c r="AD113" s="99"/>
      <c r="AE113" s="99"/>
      <c r="AG113" s="101"/>
      <c r="AH113" s="101"/>
      <c r="AI113" s="101"/>
      <c r="AJ113" s="101"/>
      <c r="AK113" s="101"/>
      <c r="AL113" s="99"/>
      <c r="AM113" s="99"/>
      <c r="AN113" s="99"/>
      <c r="AO113" s="99"/>
      <c r="AP113" s="101"/>
      <c r="AQ113" s="99"/>
      <c r="AR113" s="99"/>
      <c r="AT113" s="101"/>
      <c r="AU113" s="101"/>
      <c r="AV113" s="101"/>
      <c r="AW113" s="101"/>
      <c r="AX113" s="101"/>
      <c r="AY113" s="99"/>
      <c r="AZ113" s="99"/>
      <c r="BA113" s="99"/>
      <c r="BB113" s="99"/>
      <c r="BC113" s="101"/>
      <c r="BD113" s="99"/>
      <c r="BE113" s="99"/>
    </row>
    <row r="114" spans="3:57" s="98" customFormat="1" x14ac:dyDescent="0.2">
      <c r="C114" s="99"/>
      <c r="D114" s="100"/>
      <c r="E114" s="100"/>
      <c r="G114" s="101"/>
      <c r="H114" s="101"/>
      <c r="I114" s="101"/>
      <c r="J114" s="101"/>
      <c r="K114" s="101"/>
      <c r="L114" s="99"/>
      <c r="M114" s="99"/>
      <c r="N114" s="99"/>
      <c r="O114" s="99"/>
      <c r="P114" s="101"/>
      <c r="Q114" s="99"/>
      <c r="R114" s="99"/>
      <c r="T114" s="101"/>
      <c r="U114" s="101"/>
      <c r="V114" s="101"/>
      <c r="W114" s="101"/>
      <c r="X114" s="101"/>
      <c r="Y114" s="99"/>
      <c r="Z114" s="99"/>
      <c r="AA114" s="99"/>
      <c r="AB114" s="99"/>
      <c r="AC114" s="101"/>
      <c r="AD114" s="99"/>
      <c r="AE114" s="99"/>
      <c r="AG114" s="101"/>
      <c r="AH114" s="101"/>
      <c r="AI114" s="101"/>
      <c r="AJ114" s="101"/>
      <c r="AK114" s="101"/>
      <c r="AL114" s="99"/>
      <c r="AM114" s="99"/>
      <c r="AN114" s="99"/>
      <c r="AO114" s="99"/>
      <c r="AP114" s="101"/>
      <c r="AQ114" s="99"/>
      <c r="AR114" s="99"/>
      <c r="AT114" s="101"/>
      <c r="AU114" s="101"/>
      <c r="AV114" s="101"/>
      <c r="AW114" s="101"/>
      <c r="AX114" s="101"/>
      <c r="AY114" s="99"/>
      <c r="AZ114" s="99"/>
      <c r="BA114" s="99"/>
      <c r="BB114" s="99"/>
      <c r="BC114" s="101"/>
      <c r="BD114" s="99"/>
      <c r="BE114" s="99"/>
    </row>
    <row r="115" spans="3:57" s="98" customFormat="1" x14ac:dyDescent="0.2">
      <c r="C115" s="99"/>
      <c r="D115" s="100"/>
      <c r="E115" s="100"/>
      <c r="G115" s="101"/>
      <c r="H115" s="101"/>
      <c r="I115" s="101"/>
      <c r="J115" s="101"/>
      <c r="K115" s="101"/>
      <c r="L115" s="99"/>
      <c r="M115" s="99"/>
      <c r="N115" s="99"/>
      <c r="O115" s="99"/>
      <c r="P115" s="101"/>
      <c r="Q115" s="99"/>
      <c r="R115" s="99"/>
      <c r="T115" s="101"/>
      <c r="U115" s="101"/>
      <c r="V115" s="101"/>
      <c r="W115" s="101"/>
      <c r="X115" s="101"/>
      <c r="Y115" s="99"/>
      <c r="Z115" s="99"/>
      <c r="AA115" s="99"/>
      <c r="AB115" s="99"/>
      <c r="AC115" s="101"/>
      <c r="AD115" s="99"/>
      <c r="AE115" s="99"/>
      <c r="AG115" s="101"/>
      <c r="AH115" s="101"/>
      <c r="AI115" s="101"/>
      <c r="AJ115" s="101"/>
      <c r="AK115" s="101"/>
      <c r="AL115" s="99"/>
      <c r="AM115" s="99"/>
      <c r="AN115" s="99"/>
      <c r="AO115" s="99"/>
      <c r="AP115" s="101"/>
      <c r="AQ115" s="99"/>
      <c r="AR115" s="99"/>
      <c r="AT115" s="101"/>
      <c r="AU115" s="101"/>
      <c r="AV115" s="101"/>
      <c r="AW115" s="101"/>
      <c r="AX115" s="101"/>
      <c r="AY115" s="99"/>
      <c r="AZ115" s="99"/>
      <c r="BA115" s="99"/>
      <c r="BB115" s="99"/>
      <c r="BC115" s="101"/>
      <c r="BD115" s="99"/>
      <c r="BE115" s="99"/>
    </row>
    <row r="116" spans="3:57" s="98" customFormat="1" x14ac:dyDescent="0.2">
      <c r="C116" s="99"/>
      <c r="D116" s="100"/>
      <c r="E116" s="100"/>
      <c r="G116" s="101"/>
      <c r="H116" s="101"/>
      <c r="I116" s="101"/>
      <c r="J116" s="101"/>
      <c r="K116" s="101"/>
      <c r="L116" s="99"/>
      <c r="M116" s="99"/>
      <c r="N116" s="99"/>
      <c r="O116" s="99"/>
      <c r="P116" s="101"/>
      <c r="Q116" s="99"/>
      <c r="R116" s="99"/>
      <c r="T116" s="101"/>
      <c r="U116" s="101"/>
      <c r="V116" s="101"/>
      <c r="W116" s="101"/>
      <c r="X116" s="101"/>
      <c r="Y116" s="99"/>
      <c r="Z116" s="99"/>
      <c r="AA116" s="99"/>
      <c r="AB116" s="99"/>
      <c r="AC116" s="101"/>
      <c r="AD116" s="99"/>
      <c r="AE116" s="99"/>
      <c r="AG116" s="101"/>
      <c r="AH116" s="101"/>
      <c r="AI116" s="101"/>
      <c r="AJ116" s="101"/>
      <c r="AK116" s="101"/>
      <c r="AL116" s="99"/>
      <c r="AM116" s="99"/>
      <c r="AN116" s="99"/>
      <c r="AO116" s="99"/>
      <c r="AP116" s="101"/>
      <c r="AQ116" s="99"/>
      <c r="AR116" s="99"/>
      <c r="AT116" s="101"/>
      <c r="AU116" s="101"/>
      <c r="AV116" s="101"/>
      <c r="AW116" s="101"/>
      <c r="AX116" s="101"/>
      <c r="AY116" s="99"/>
      <c r="AZ116" s="99"/>
      <c r="BA116" s="99"/>
      <c r="BB116" s="99"/>
      <c r="BC116" s="101"/>
      <c r="BD116" s="99"/>
      <c r="BE116" s="99"/>
    </row>
    <row r="117" spans="3:57" s="98" customFormat="1" x14ac:dyDescent="0.2">
      <c r="C117" s="99"/>
      <c r="D117" s="100"/>
      <c r="E117" s="100"/>
      <c r="G117" s="101"/>
      <c r="H117" s="101"/>
      <c r="I117" s="101"/>
      <c r="J117" s="101"/>
      <c r="K117" s="101"/>
      <c r="L117" s="99"/>
      <c r="M117" s="99"/>
      <c r="N117" s="99"/>
      <c r="O117" s="99"/>
      <c r="P117" s="101"/>
      <c r="Q117" s="99"/>
      <c r="R117" s="99"/>
      <c r="T117" s="101"/>
      <c r="U117" s="101"/>
      <c r="V117" s="101"/>
      <c r="W117" s="101"/>
      <c r="X117" s="101"/>
      <c r="Y117" s="99"/>
      <c r="Z117" s="99"/>
      <c r="AA117" s="99"/>
      <c r="AB117" s="99"/>
      <c r="AC117" s="101"/>
      <c r="AD117" s="99"/>
      <c r="AE117" s="99"/>
      <c r="AG117" s="101"/>
      <c r="AH117" s="101"/>
      <c r="AI117" s="101"/>
      <c r="AJ117" s="101"/>
      <c r="AK117" s="101"/>
      <c r="AL117" s="99"/>
      <c r="AM117" s="99"/>
      <c r="AN117" s="99"/>
      <c r="AO117" s="99"/>
      <c r="AP117" s="101"/>
      <c r="AQ117" s="99"/>
      <c r="AR117" s="99"/>
      <c r="AT117" s="101"/>
      <c r="AU117" s="101"/>
      <c r="AV117" s="101"/>
      <c r="AW117" s="101"/>
      <c r="AX117" s="101"/>
      <c r="AY117" s="99"/>
      <c r="AZ117" s="99"/>
      <c r="BA117" s="99"/>
      <c r="BB117" s="99"/>
      <c r="BC117" s="101"/>
      <c r="BD117" s="99"/>
      <c r="BE117" s="99"/>
    </row>
    <row r="118" spans="3:57" s="98" customFormat="1" x14ac:dyDescent="0.2">
      <c r="C118" s="99"/>
      <c r="D118" s="100"/>
      <c r="E118" s="100"/>
      <c r="G118" s="101"/>
      <c r="H118" s="101"/>
      <c r="I118" s="101"/>
      <c r="J118" s="101"/>
      <c r="K118" s="101"/>
      <c r="L118" s="99"/>
      <c r="M118" s="99"/>
      <c r="N118" s="99"/>
      <c r="O118" s="99"/>
      <c r="P118" s="101"/>
      <c r="Q118" s="99"/>
      <c r="R118" s="99"/>
      <c r="T118" s="101"/>
      <c r="U118" s="101"/>
      <c r="V118" s="101"/>
      <c r="W118" s="101"/>
      <c r="X118" s="101"/>
      <c r="Y118" s="99"/>
      <c r="Z118" s="99"/>
      <c r="AA118" s="99"/>
      <c r="AB118" s="99"/>
      <c r="AC118" s="101"/>
      <c r="AD118" s="99"/>
      <c r="AE118" s="99"/>
      <c r="AG118" s="101"/>
      <c r="AH118" s="101"/>
      <c r="AI118" s="101"/>
      <c r="AJ118" s="101"/>
      <c r="AK118" s="101"/>
      <c r="AL118" s="99"/>
      <c r="AM118" s="99"/>
      <c r="AN118" s="99"/>
      <c r="AO118" s="99"/>
      <c r="AP118" s="101"/>
      <c r="AQ118" s="99"/>
      <c r="AR118" s="99"/>
      <c r="AT118" s="101"/>
      <c r="AU118" s="101"/>
      <c r="AV118" s="101"/>
      <c r="AW118" s="101"/>
      <c r="AX118" s="101"/>
      <c r="AY118" s="99"/>
      <c r="AZ118" s="99"/>
      <c r="BA118" s="99"/>
      <c r="BB118" s="99"/>
      <c r="BC118" s="101"/>
      <c r="BD118" s="99"/>
      <c r="BE118" s="99"/>
    </row>
    <row r="119" spans="3:57" s="98" customFormat="1" x14ac:dyDescent="0.2">
      <c r="C119" s="99"/>
      <c r="D119" s="100"/>
      <c r="E119" s="100"/>
      <c r="G119" s="101"/>
      <c r="H119" s="101"/>
      <c r="I119" s="101"/>
      <c r="J119" s="101"/>
      <c r="K119" s="101"/>
      <c r="L119" s="99"/>
      <c r="M119" s="99"/>
      <c r="N119" s="99"/>
      <c r="O119" s="99"/>
      <c r="P119" s="101"/>
      <c r="Q119" s="99"/>
      <c r="R119" s="99"/>
      <c r="T119" s="101"/>
      <c r="U119" s="101"/>
      <c r="V119" s="101"/>
      <c r="W119" s="101"/>
      <c r="X119" s="101"/>
      <c r="Y119" s="99"/>
      <c r="Z119" s="99"/>
      <c r="AA119" s="99"/>
      <c r="AB119" s="99"/>
      <c r="AC119" s="101"/>
      <c r="AD119" s="99"/>
      <c r="AE119" s="99"/>
      <c r="AG119" s="101"/>
      <c r="AH119" s="101"/>
      <c r="AI119" s="101"/>
      <c r="AJ119" s="101"/>
      <c r="AK119" s="101"/>
      <c r="AL119" s="99"/>
      <c r="AM119" s="99"/>
      <c r="AN119" s="99"/>
      <c r="AO119" s="99"/>
      <c r="AP119" s="101"/>
      <c r="AQ119" s="99"/>
      <c r="AR119" s="99"/>
      <c r="AT119" s="101"/>
      <c r="AU119" s="101"/>
      <c r="AV119" s="101"/>
      <c r="AW119" s="101"/>
      <c r="AX119" s="101"/>
      <c r="AY119" s="99"/>
      <c r="AZ119" s="99"/>
      <c r="BA119" s="99"/>
      <c r="BB119" s="99"/>
      <c r="BC119" s="101"/>
      <c r="BD119" s="99"/>
      <c r="BE119" s="99"/>
    </row>
    <row r="120" spans="3:57" s="98" customFormat="1" x14ac:dyDescent="0.2">
      <c r="C120" s="99"/>
      <c r="D120" s="100"/>
      <c r="E120" s="100"/>
      <c r="G120" s="101"/>
      <c r="H120" s="101"/>
      <c r="I120" s="101"/>
      <c r="J120" s="101"/>
      <c r="K120" s="101"/>
      <c r="L120" s="99"/>
      <c r="M120" s="99"/>
      <c r="N120" s="99"/>
      <c r="O120" s="99"/>
      <c r="P120" s="101"/>
      <c r="Q120" s="99"/>
      <c r="R120" s="99"/>
      <c r="T120" s="101"/>
      <c r="U120" s="101"/>
      <c r="V120" s="101"/>
      <c r="W120" s="101"/>
      <c r="X120" s="101"/>
      <c r="Y120" s="99"/>
      <c r="Z120" s="99"/>
      <c r="AA120" s="99"/>
      <c r="AB120" s="99"/>
      <c r="AC120" s="101"/>
      <c r="AD120" s="99"/>
      <c r="AE120" s="99"/>
      <c r="AG120" s="101"/>
      <c r="AH120" s="101"/>
      <c r="AI120" s="101"/>
      <c r="AJ120" s="101"/>
      <c r="AK120" s="101"/>
      <c r="AL120" s="99"/>
      <c r="AM120" s="99"/>
      <c r="AN120" s="99"/>
      <c r="AO120" s="99"/>
      <c r="AP120" s="101"/>
      <c r="AQ120" s="99"/>
      <c r="AR120" s="99"/>
      <c r="AT120" s="101"/>
      <c r="AU120" s="101"/>
      <c r="AV120" s="101"/>
      <c r="AW120" s="101"/>
      <c r="AX120" s="101"/>
      <c r="AY120" s="99"/>
      <c r="AZ120" s="99"/>
      <c r="BA120" s="99"/>
      <c r="BB120" s="99"/>
      <c r="BC120" s="101"/>
      <c r="BD120" s="99"/>
      <c r="BE120" s="99"/>
    </row>
    <row r="121" spans="3:57" s="98" customFormat="1" x14ac:dyDescent="0.2">
      <c r="C121" s="99"/>
      <c r="D121" s="100"/>
      <c r="E121" s="100"/>
      <c r="G121" s="101"/>
      <c r="H121" s="101"/>
      <c r="I121" s="101"/>
      <c r="J121" s="101"/>
      <c r="K121" s="101"/>
      <c r="L121" s="99"/>
      <c r="M121" s="99"/>
      <c r="N121" s="99"/>
      <c r="O121" s="99"/>
      <c r="P121" s="101"/>
      <c r="Q121" s="99"/>
      <c r="R121" s="99"/>
      <c r="T121" s="101"/>
      <c r="U121" s="101"/>
      <c r="V121" s="101"/>
      <c r="W121" s="101"/>
      <c r="X121" s="101"/>
      <c r="Y121" s="99"/>
      <c r="Z121" s="99"/>
      <c r="AA121" s="99"/>
      <c r="AB121" s="99"/>
      <c r="AC121" s="101"/>
      <c r="AD121" s="99"/>
      <c r="AE121" s="99"/>
      <c r="AG121" s="101"/>
      <c r="AH121" s="101"/>
      <c r="AI121" s="101"/>
      <c r="AJ121" s="101"/>
      <c r="AK121" s="101"/>
      <c r="AL121" s="99"/>
      <c r="AM121" s="99"/>
      <c r="AN121" s="99"/>
      <c r="AO121" s="99"/>
      <c r="AP121" s="101"/>
      <c r="AQ121" s="99"/>
      <c r="AR121" s="99"/>
      <c r="AT121" s="101"/>
      <c r="AU121" s="101"/>
      <c r="AV121" s="101"/>
      <c r="AW121" s="101"/>
      <c r="AX121" s="101"/>
      <c r="AY121" s="99"/>
      <c r="AZ121" s="99"/>
      <c r="BA121" s="99"/>
      <c r="BB121" s="99"/>
      <c r="BC121" s="101"/>
      <c r="BD121" s="99"/>
      <c r="BE121" s="99"/>
    </row>
    <row r="122" spans="3:57" s="98" customFormat="1" x14ac:dyDescent="0.2">
      <c r="C122" s="99"/>
      <c r="D122" s="100"/>
      <c r="E122" s="100"/>
      <c r="G122" s="101"/>
      <c r="H122" s="101"/>
      <c r="I122" s="101"/>
      <c r="J122" s="101"/>
      <c r="K122" s="101"/>
      <c r="L122" s="99"/>
      <c r="M122" s="99"/>
      <c r="N122" s="99"/>
      <c r="O122" s="99"/>
      <c r="P122" s="101"/>
      <c r="Q122" s="99"/>
      <c r="R122" s="99"/>
      <c r="T122" s="101"/>
      <c r="U122" s="101"/>
      <c r="V122" s="101"/>
      <c r="W122" s="101"/>
      <c r="X122" s="101"/>
      <c r="Y122" s="99"/>
      <c r="Z122" s="99"/>
      <c r="AA122" s="99"/>
      <c r="AB122" s="99"/>
      <c r="AC122" s="101"/>
      <c r="AD122" s="99"/>
      <c r="AE122" s="99"/>
      <c r="AG122" s="101"/>
      <c r="AH122" s="101"/>
      <c r="AI122" s="101"/>
      <c r="AJ122" s="101"/>
      <c r="AK122" s="101"/>
      <c r="AL122" s="99"/>
      <c r="AM122" s="99"/>
      <c r="AN122" s="99"/>
      <c r="AO122" s="99"/>
      <c r="AP122" s="101"/>
      <c r="AQ122" s="99"/>
      <c r="AR122" s="99"/>
      <c r="AT122" s="101"/>
      <c r="AU122" s="101"/>
      <c r="AV122" s="101"/>
      <c r="AW122" s="101"/>
      <c r="AX122" s="101"/>
      <c r="AY122" s="99"/>
      <c r="AZ122" s="99"/>
      <c r="BA122" s="99"/>
      <c r="BB122" s="99"/>
      <c r="BC122" s="101"/>
      <c r="BD122" s="99"/>
      <c r="BE122" s="99"/>
    </row>
    <row r="123" spans="3:57" s="98" customFormat="1" x14ac:dyDescent="0.2">
      <c r="C123" s="99"/>
      <c r="D123" s="100"/>
      <c r="E123" s="100"/>
      <c r="G123" s="101"/>
      <c r="H123" s="101"/>
      <c r="I123" s="101"/>
      <c r="J123" s="101"/>
      <c r="K123" s="101"/>
      <c r="L123" s="99"/>
      <c r="M123" s="99"/>
      <c r="N123" s="99"/>
      <c r="O123" s="99"/>
      <c r="P123" s="101"/>
      <c r="Q123" s="99"/>
      <c r="R123" s="99"/>
      <c r="T123" s="101"/>
      <c r="U123" s="101"/>
      <c r="V123" s="101"/>
      <c r="W123" s="101"/>
      <c r="X123" s="101"/>
      <c r="Y123" s="99"/>
      <c r="Z123" s="99"/>
      <c r="AA123" s="99"/>
      <c r="AB123" s="99"/>
      <c r="AC123" s="101"/>
      <c r="AD123" s="99"/>
      <c r="AE123" s="99"/>
      <c r="AG123" s="101"/>
      <c r="AH123" s="101"/>
      <c r="AI123" s="101"/>
      <c r="AJ123" s="101"/>
      <c r="AK123" s="101"/>
      <c r="AL123" s="99"/>
      <c r="AM123" s="99"/>
      <c r="AN123" s="99"/>
      <c r="AO123" s="99"/>
      <c r="AP123" s="101"/>
      <c r="AQ123" s="99"/>
      <c r="AR123" s="99"/>
      <c r="AT123" s="101"/>
      <c r="AU123" s="101"/>
      <c r="AV123" s="101"/>
      <c r="AW123" s="101"/>
      <c r="AX123" s="101"/>
      <c r="AY123" s="99"/>
      <c r="AZ123" s="99"/>
      <c r="BA123" s="99"/>
      <c r="BB123" s="99"/>
      <c r="BC123" s="101"/>
      <c r="BD123" s="99"/>
      <c r="BE123" s="99"/>
    </row>
    <row r="124" spans="3:57" s="98" customFormat="1" x14ac:dyDescent="0.2">
      <c r="C124" s="99"/>
      <c r="D124" s="100"/>
      <c r="E124" s="100"/>
      <c r="G124" s="101"/>
      <c r="H124" s="101"/>
      <c r="I124" s="101"/>
      <c r="J124" s="101"/>
      <c r="K124" s="101"/>
      <c r="L124" s="99"/>
      <c r="M124" s="99"/>
      <c r="N124" s="99"/>
      <c r="O124" s="99"/>
      <c r="P124" s="101"/>
      <c r="Q124" s="99"/>
      <c r="R124" s="99"/>
      <c r="T124" s="101"/>
      <c r="U124" s="101"/>
      <c r="V124" s="101"/>
      <c r="W124" s="101"/>
      <c r="X124" s="101"/>
      <c r="Y124" s="99"/>
      <c r="Z124" s="99"/>
      <c r="AA124" s="99"/>
      <c r="AB124" s="99"/>
      <c r="AC124" s="101"/>
      <c r="AD124" s="99"/>
      <c r="AE124" s="99"/>
      <c r="AG124" s="101"/>
      <c r="AH124" s="101"/>
      <c r="AI124" s="101"/>
      <c r="AJ124" s="101"/>
      <c r="AK124" s="101"/>
      <c r="AL124" s="99"/>
      <c r="AM124" s="99"/>
      <c r="AN124" s="99"/>
      <c r="AO124" s="99"/>
      <c r="AP124" s="101"/>
      <c r="AQ124" s="99"/>
      <c r="AR124" s="99"/>
      <c r="AT124" s="101"/>
      <c r="AU124" s="101"/>
      <c r="AV124" s="101"/>
      <c r="AW124" s="101"/>
      <c r="AX124" s="101"/>
      <c r="AY124" s="99"/>
      <c r="AZ124" s="99"/>
      <c r="BA124" s="99"/>
      <c r="BB124" s="99"/>
      <c r="BC124" s="101"/>
      <c r="BD124" s="99"/>
      <c r="BE124" s="99"/>
    </row>
    <row r="125" spans="3:57" s="98" customFormat="1" x14ac:dyDescent="0.2">
      <c r="C125" s="99"/>
      <c r="D125" s="100"/>
      <c r="E125" s="100"/>
      <c r="G125" s="101"/>
      <c r="H125" s="101"/>
      <c r="I125" s="101"/>
      <c r="J125" s="101"/>
      <c r="K125" s="101"/>
      <c r="L125" s="99"/>
      <c r="M125" s="99"/>
      <c r="N125" s="99"/>
      <c r="O125" s="99"/>
      <c r="P125" s="101"/>
      <c r="Q125" s="99"/>
      <c r="R125" s="99"/>
      <c r="T125" s="101"/>
      <c r="U125" s="101"/>
      <c r="V125" s="101"/>
      <c r="W125" s="101"/>
      <c r="X125" s="101"/>
      <c r="Y125" s="99"/>
      <c r="Z125" s="99"/>
      <c r="AA125" s="99"/>
      <c r="AB125" s="99"/>
      <c r="AC125" s="101"/>
      <c r="AD125" s="99"/>
      <c r="AE125" s="99"/>
      <c r="AG125" s="101"/>
      <c r="AH125" s="101"/>
      <c r="AI125" s="101"/>
      <c r="AJ125" s="101"/>
      <c r="AK125" s="101"/>
      <c r="AL125" s="99"/>
      <c r="AM125" s="99"/>
      <c r="AN125" s="99"/>
      <c r="AO125" s="99"/>
      <c r="AP125" s="101"/>
      <c r="AQ125" s="99"/>
      <c r="AR125" s="99"/>
      <c r="AT125" s="101"/>
      <c r="AU125" s="101"/>
      <c r="AV125" s="101"/>
      <c r="AW125" s="101"/>
      <c r="AX125" s="101"/>
      <c r="AY125" s="99"/>
      <c r="AZ125" s="99"/>
      <c r="BA125" s="99"/>
      <c r="BB125" s="99"/>
      <c r="BC125" s="101"/>
      <c r="BD125" s="99"/>
      <c r="BE125" s="99"/>
    </row>
    <row r="126" spans="3:57" s="98" customFormat="1" x14ac:dyDescent="0.2">
      <c r="C126" s="99"/>
      <c r="D126" s="100"/>
      <c r="E126" s="100"/>
      <c r="G126" s="101"/>
      <c r="H126" s="101"/>
      <c r="I126" s="101"/>
      <c r="J126" s="101"/>
      <c r="K126" s="101"/>
      <c r="L126" s="99"/>
      <c r="M126" s="99"/>
      <c r="N126" s="99"/>
      <c r="O126" s="99"/>
      <c r="P126" s="101"/>
      <c r="Q126" s="99"/>
      <c r="R126" s="99"/>
      <c r="T126" s="101"/>
      <c r="U126" s="101"/>
      <c r="V126" s="101"/>
      <c r="W126" s="101"/>
      <c r="X126" s="101"/>
      <c r="Y126" s="99"/>
      <c r="Z126" s="99"/>
      <c r="AA126" s="99"/>
      <c r="AB126" s="99"/>
      <c r="AC126" s="101"/>
      <c r="AD126" s="99"/>
      <c r="AE126" s="99"/>
      <c r="AG126" s="101"/>
      <c r="AH126" s="101"/>
      <c r="AI126" s="101"/>
      <c r="AJ126" s="101"/>
      <c r="AK126" s="101"/>
      <c r="AL126" s="99"/>
      <c r="AM126" s="99"/>
      <c r="AN126" s="99"/>
      <c r="AO126" s="99"/>
      <c r="AP126" s="101"/>
      <c r="AQ126" s="99"/>
      <c r="AR126" s="99"/>
      <c r="AT126" s="101"/>
      <c r="AU126" s="101"/>
      <c r="AV126" s="101"/>
      <c r="AW126" s="101"/>
      <c r="AX126" s="101"/>
      <c r="AY126" s="99"/>
      <c r="AZ126" s="99"/>
      <c r="BA126" s="99"/>
      <c r="BB126" s="99"/>
      <c r="BC126" s="101"/>
      <c r="BD126" s="99"/>
      <c r="BE126" s="99"/>
    </row>
    <row r="127" spans="3:57" s="98" customFormat="1" x14ac:dyDescent="0.2">
      <c r="C127" s="99"/>
      <c r="D127" s="100"/>
      <c r="E127" s="100"/>
      <c r="G127" s="101"/>
      <c r="H127" s="101"/>
      <c r="I127" s="101"/>
      <c r="J127" s="101"/>
      <c r="K127" s="101"/>
      <c r="L127" s="99"/>
      <c r="M127" s="99"/>
      <c r="N127" s="99"/>
      <c r="O127" s="99"/>
      <c r="P127" s="101"/>
      <c r="Q127" s="99"/>
      <c r="R127" s="99"/>
      <c r="T127" s="101"/>
      <c r="U127" s="101"/>
      <c r="V127" s="101"/>
      <c r="W127" s="101"/>
      <c r="X127" s="101"/>
      <c r="Y127" s="99"/>
      <c r="Z127" s="99"/>
      <c r="AA127" s="99"/>
      <c r="AB127" s="99"/>
      <c r="AC127" s="101"/>
      <c r="AD127" s="99"/>
      <c r="AE127" s="99"/>
      <c r="AG127" s="101"/>
      <c r="AH127" s="101"/>
      <c r="AI127" s="101"/>
      <c r="AJ127" s="101"/>
      <c r="AK127" s="101"/>
      <c r="AL127" s="99"/>
      <c r="AM127" s="99"/>
      <c r="AN127" s="99"/>
      <c r="AO127" s="99"/>
      <c r="AP127" s="101"/>
      <c r="AQ127" s="99"/>
      <c r="AR127" s="99"/>
      <c r="AT127" s="101"/>
      <c r="AU127" s="101"/>
      <c r="AV127" s="101"/>
      <c r="AW127" s="101"/>
      <c r="AX127" s="101"/>
      <c r="AY127" s="99"/>
      <c r="AZ127" s="99"/>
      <c r="BA127" s="99"/>
      <c r="BB127" s="99"/>
      <c r="BC127" s="101"/>
      <c r="BD127" s="99"/>
      <c r="BE127" s="99"/>
    </row>
    <row r="128" spans="3:57" s="98" customFormat="1" x14ac:dyDescent="0.2">
      <c r="C128" s="99"/>
      <c r="D128" s="100"/>
      <c r="E128" s="100"/>
      <c r="G128" s="101"/>
      <c r="H128" s="101"/>
      <c r="I128" s="101"/>
      <c r="J128" s="101"/>
      <c r="K128" s="101"/>
      <c r="L128" s="99"/>
      <c r="M128" s="99"/>
      <c r="N128" s="99"/>
      <c r="O128" s="99"/>
      <c r="P128" s="101"/>
      <c r="Q128" s="99"/>
      <c r="R128" s="99"/>
      <c r="T128" s="101"/>
      <c r="U128" s="101"/>
      <c r="V128" s="101"/>
      <c r="W128" s="101"/>
      <c r="X128" s="101"/>
      <c r="Y128" s="99"/>
      <c r="Z128" s="99"/>
      <c r="AA128" s="99"/>
      <c r="AB128" s="99"/>
      <c r="AC128" s="101"/>
      <c r="AD128" s="99"/>
      <c r="AE128" s="99"/>
      <c r="AG128" s="101"/>
      <c r="AH128" s="101"/>
      <c r="AI128" s="101"/>
      <c r="AJ128" s="101"/>
      <c r="AK128" s="101"/>
      <c r="AL128" s="99"/>
      <c r="AM128" s="99"/>
      <c r="AN128" s="99"/>
      <c r="AO128" s="99"/>
      <c r="AP128" s="101"/>
      <c r="AQ128" s="99"/>
      <c r="AR128" s="99"/>
      <c r="AT128" s="101"/>
      <c r="AU128" s="101"/>
      <c r="AV128" s="101"/>
      <c r="AW128" s="101"/>
      <c r="AX128" s="101"/>
      <c r="AY128" s="99"/>
      <c r="AZ128" s="99"/>
      <c r="BA128" s="99"/>
      <c r="BB128" s="99"/>
      <c r="BC128" s="101"/>
      <c r="BD128" s="99"/>
      <c r="BE128" s="99"/>
    </row>
    <row r="129" spans="3:57" s="98" customFormat="1" x14ac:dyDescent="0.2">
      <c r="C129" s="99"/>
      <c r="D129" s="100"/>
      <c r="E129" s="100"/>
      <c r="G129" s="101"/>
      <c r="H129" s="101"/>
      <c r="I129" s="101"/>
      <c r="J129" s="101"/>
      <c r="K129" s="101"/>
      <c r="L129" s="99"/>
      <c r="M129" s="99"/>
      <c r="N129" s="99"/>
      <c r="O129" s="99"/>
      <c r="P129" s="101"/>
      <c r="Q129" s="99"/>
      <c r="R129" s="99"/>
      <c r="T129" s="101"/>
      <c r="U129" s="101"/>
      <c r="V129" s="101"/>
      <c r="W129" s="101"/>
      <c r="X129" s="101"/>
      <c r="Y129" s="99"/>
      <c r="Z129" s="99"/>
      <c r="AA129" s="99"/>
      <c r="AB129" s="99"/>
      <c r="AC129" s="101"/>
      <c r="AD129" s="99"/>
      <c r="AE129" s="99"/>
      <c r="AG129" s="101"/>
      <c r="AH129" s="101"/>
      <c r="AI129" s="101"/>
      <c r="AJ129" s="101"/>
      <c r="AK129" s="101"/>
      <c r="AL129" s="99"/>
      <c r="AM129" s="99"/>
      <c r="AN129" s="99"/>
      <c r="AO129" s="99"/>
      <c r="AP129" s="101"/>
      <c r="AQ129" s="99"/>
      <c r="AR129" s="99"/>
      <c r="AT129" s="101"/>
      <c r="AU129" s="101"/>
      <c r="AV129" s="101"/>
      <c r="AW129" s="101"/>
      <c r="AX129" s="101"/>
      <c r="AY129" s="99"/>
      <c r="AZ129" s="99"/>
      <c r="BA129" s="99"/>
      <c r="BB129" s="99"/>
      <c r="BC129" s="101"/>
      <c r="BD129" s="99"/>
      <c r="BE129" s="99"/>
    </row>
    <row r="130" spans="3:57" s="98" customFormat="1" x14ac:dyDescent="0.2">
      <c r="C130" s="99"/>
      <c r="D130" s="100"/>
      <c r="E130" s="100"/>
      <c r="G130" s="101"/>
      <c r="H130" s="101"/>
      <c r="I130" s="101"/>
      <c r="J130" s="101"/>
      <c r="K130" s="101"/>
      <c r="L130" s="99"/>
      <c r="M130" s="99"/>
      <c r="N130" s="99"/>
      <c r="O130" s="99"/>
      <c r="P130" s="101"/>
      <c r="Q130" s="99"/>
      <c r="R130" s="99"/>
      <c r="T130" s="101"/>
      <c r="U130" s="101"/>
      <c r="V130" s="101"/>
      <c r="W130" s="101"/>
      <c r="X130" s="101"/>
      <c r="Y130" s="99"/>
      <c r="Z130" s="99"/>
      <c r="AA130" s="99"/>
      <c r="AB130" s="99"/>
      <c r="AC130" s="101"/>
      <c r="AD130" s="99"/>
      <c r="AE130" s="99"/>
      <c r="AG130" s="101"/>
      <c r="AH130" s="101"/>
      <c r="AI130" s="101"/>
      <c r="AJ130" s="101"/>
      <c r="AK130" s="101"/>
      <c r="AL130" s="99"/>
      <c r="AM130" s="99"/>
      <c r="AN130" s="99"/>
      <c r="AO130" s="99"/>
      <c r="AP130" s="101"/>
      <c r="AQ130" s="99"/>
      <c r="AR130" s="99"/>
      <c r="AT130" s="101"/>
      <c r="AU130" s="101"/>
      <c r="AV130" s="101"/>
      <c r="AW130" s="101"/>
      <c r="AX130" s="101"/>
      <c r="AY130" s="99"/>
      <c r="AZ130" s="99"/>
      <c r="BA130" s="99"/>
      <c r="BB130" s="99"/>
      <c r="BC130" s="101"/>
      <c r="BD130" s="99"/>
      <c r="BE130" s="99"/>
    </row>
    <row r="131" spans="3:57" s="98" customFormat="1" x14ac:dyDescent="0.2">
      <c r="C131" s="99"/>
      <c r="D131" s="100"/>
      <c r="E131" s="100"/>
      <c r="G131" s="101"/>
      <c r="H131" s="101"/>
      <c r="I131" s="101"/>
      <c r="J131" s="101"/>
      <c r="K131" s="101"/>
      <c r="L131" s="99"/>
      <c r="M131" s="99"/>
      <c r="N131" s="99"/>
      <c r="O131" s="99"/>
      <c r="P131" s="101"/>
      <c r="Q131" s="99"/>
      <c r="R131" s="99"/>
      <c r="T131" s="101"/>
      <c r="U131" s="101"/>
      <c r="V131" s="101"/>
      <c r="W131" s="101"/>
      <c r="X131" s="101"/>
      <c r="Y131" s="99"/>
      <c r="Z131" s="99"/>
      <c r="AA131" s="99"/>
      <c r="AB131" s="99"/>
      <c r="AC131" s="101"/>
      <c r="AD131" s="99"/>
      <c r="AE131" s="99"/>
      <c r="AG131" s="101"/>
      <c r="AH131" s="101"/>
      <c r="AI131" s="101"/>
      <c r="AJ131" s="101"/>
      <c r="AK131" s="101"/>
      <c r="AL131" s="99"/>
      <c r="AM131" s="99"/>
      <c r="AN131" s="99"/>
      <c r="AO131" s="99"/>
      <c r="AP131" s="101"/>
      <c r="AQ131" s="99"/>
      <c r="AR131" s="99"/>
      <c r="AT131" s="101"/>
      <c r="AU131" s="101"/>
      <c r="AV131" s="101"/>
      <c r="AW131" s="101"/>
      <c r="AX131" s="101"/>
      <c r="AY131" s="99"/>
      <c r="AZ131" s="99"/>
      <c r="BA131" s="99"/>
      <c r="BB131" s="99"/>
      <c r="BC131" s="101"/>
      <c r="BD131" s="99"/>
      <c r="BE131" s="99"/>
    </row>
    <row r="132" spans="3:57" s="98" customFormat="1" x14ac:dyDescent="0.2">
      <c r="C132" s="99"/>
      <c r="D132" s="100"/>
      <c r="E132" s="100"/>
      <c r="G132" s="101"/>
      <c r="H132" s="101"/>
      <c r="I132" s="101"/>
      <c r="J132" s="101"/>
      <c r="K132" s="101"/>
      <c r="L132" s="99"/>
      <c r="M132" s="99"/>
      <c r="N132" s="99"/>
      <c r="O132" s="99"/>
      <c r="P132" s="101"/>
      <c r="Q132" s="99"/>
      <c r="R132" s="99"/>
      <c r="T132" s="101"/>
      <c r="U132" s="101"/>
      <c r="V132" s="101"/>
      <c r="W132" s="101"/>
      <c r="X132" s="101"/>
      <c r="Y132" s="99"/>
      <c r="Z132" s="99"/>
      <c r="AA132" s="99"/>
      <c r="AB132" s="99"/>
      <c r="AC132" s="101"/>
      <c r="AD132" s="99"/>
      <c r="AE132" s="99"/>
      <c r="AG132" s="101"/>
      <c r="AH132" s="101"/>
      <c r="AI132" s="101"/>
      <c r="AJ132" s="101"/>
      <c r="AK132" s="101"/>
      <c r="AL132" s="99"/>
      <c r="AM132" s="99"/>
      <c r="AN132" s="99"/>
      <c r="AO132" s="99"/>
      <c r="AP132" s="101"/>
      <c r="AQ132" s="99"/>
      <c r="AR132" s="99"/>
      <c r="AT132" s="101"/>
      <c r="AU132" s="101"/>
      <c r="AV132" s="101"/>
      <c r="AW132" s="101"/>
      <c r="AX132" s="101"/>
      <c r="AY132" s="99"/>
      <c r="AZ132" s="99"/>
      <c r="BA132" s="99"/>
      <c r="BB132" s="99"/>
      <c r="BC132" s="101"/>
      <c r="BD132" s="99"/>
      <c r="BE132" s="99"/>
    </row>
    <row r="133" spans="3:57" s="98" customFormat="1" x14ac:dyDescent="0.2">
      <c r="C133" s="99"/>
      <c r="D133" s="100"/>
      <c r="E133" s="100"/>
      <c r="G133" s="101"/>
      <c r="H133" s="101"/>
      <c r="I133" s="101"/>
      <c r="J133" s="101"/>
      <c r="K133" s="101"/>
      <c r="L133" s="99"/>
      <c r="M133" s="99"/>
      <c r="N133" s="99"/>
      <c r="O133" s="99"/>
      <c r="P133" s="101"/>
      <c r="Q133" s="99"/>
      <c r="R133" s="99"/>
      <c r="T133" s="101"/>
      <c r="U133" s="101"/>
      <c r="V133" s="101"/>
      <c r="W133" s="101"/>
      <c r="X133" s="101"/>
      <c r="Y133" s="99"/>
      <c r="Z133" s="99"/>
      <c r="AA133" s="99"/>
      <c r="AB133" s="99"/>
      <c r="AC133" s="101"/>
      <c r="AD133" s="99"/>
      <c r="AE133" s="99"/>
      <c r="AG133" s="101"/>
      <c r="AH133" s="101"/>
      <c r="AI133" s="101"/>
      <c r="AJ133" s="101"/>
      <c r="AK133" s="101"/>
      <c r="AL133" s="99"/>
      <c r="AM133" s="99"/>
      <c r="AN133" s="99"/>
      <c r="AO133" s="99"/>
      <c r="AP133" s="101"/>
      <c r="AQ133" s="99"/>
      <c r="AR133" s="99"/>
      <c r="AT133" s="101"/>
      <c r="AU133" s="101"/>
      <c r="AV133" s="101"/>
      <c r="AW133" s="101"/>
      <c r="AX133" s="101"/>
      <c r="AY133" s="99"/>
      <c r="AZ133" s="99"/>
      <c r="BA133" s="99"/>
      <c r="BB133" s="99"/>
      <c r="BC133" s="101"/>
      <c r="BD133" s="99"/>
      <c r="BE133" s="99"/>
    </row>
    <row r="134" spans="3:57" s="98" customFormat="1" x14ac:dyDescent="0.2">
      <c r="C134" s="99"/>
      <c r="D134" s="100"/>
      <c r="E134" s="100"/>
      <c r="G134" s="101"/>
      <c r="H134" s="101"/>
      <c r="I134" s="101"/>
      <c r="J134" s="101"/>
      <c r="K134" s="101"/>
      <c r="L134" s="99"/>
      <c r="M134" s="99"/>
      <c r="N134" s="99"/>
      <c r="O134" s="99"/>
      <c r="P134" s="101"/>
      <c r="Q134" s="99"/>
      <c r="R134" s="99"/>
      <c r="T134" s="101"/>
      <c r="U134" s="101"/>
      <c r="V134" s="101"/>
      <c r="W134" s="101"/>
      <c r="X134" s="101"/>
      <c r="Y134" s="99"/>
      <c r="Z134" s="99"/>
      <c r="AA134" s="99"/>
      <c r="AB134" s="99"/>
      <c r="AC134" s="101"/>
      <c r="AD134" s="99"/>
      <c r="AE134" s="99"/>
      <c r="AG134" s="101"/>
      <c r="AH134" s="101"/>
      <c r="AI134" s="101"/>
      <c r="AJ134" s="101"/>
      <c r="AK134" s="101"/>
      <c r="AL134" s="99"/>
      <c r="AM134" s="99"/>
      <c r="AN134" s="99"/>
      <c r="AO134" s="99"/>
      <c r="AP134" s="101"/>
      <c r="AQ134" s="99"/>
      <c r="AR134" s="99"/>
      <c r="AT134" s="101"/>
      <c r="AU134" s="101"/>
      <c r="AV134" s="101"/>
      <c r="AW134" s="101"/>
      <c r="AX134" s="101"/>
      <c r="AY134" s="99"/>
      <c r="AZ134" s="99"/>
      <c r="BA134" s="99"/>
      <c r="BB134" s="99"/>
      <c r="BC134" s="101"/>
      <c r="BD134" s="99"/>
      <c r="BE134" s="99"/>
    </row>
    <row r="135" spans="3:57" s="98" customFormat="1" x14ac:dyDescent="0.2">
      <c r="C135" s="99"/>
      <c r="D135" s="100"/>
      <c r="E135" s="100"/>
      <c r="G135" s="101"/>
      <c r="H135" s="101"/>
      <c r="I135" s="101"/>
      <c r="J135" s="101"/>
      <c r="K135" s="101"/>
      <c r="L135" s="99"/>
      <c r="M135" s="99"/>
      <c r="N135" s="99"/>
      <c r="O135" s="99"/>
      <c r="P135" s="101"/>
      <c r="Q135" s="99"/>
      <c r="R135" s="99"/>
      <c r="T135" s="101"/>
      <c r="U135" s="101"/>
      <c r="V135" s="101"/>
      <c r="W135" s="101"/>
      <c r="X135" s="101"/>
      <c r="Y135" s="99"/>
      <c r="Z135" s="99"/>
      <c r="AA135" s="99"/>
      <c r="AB135" s="99"/>
      <c r="AC135" s="101"/>
      <c r="AD135" s="99"/>
      <c r="AE135" s="99"/>
      <c r="AG135" s="101"/>
      <c r="AH135" s="101"/>
      <c r="AI135" s="101"/>
      <c r="AJ135" s="101"/>
      <c r="AK135" s="101"/>
      <c r="AL135" s="99"/>
      <c r="AM135" s="99"/>
      <c r="AN135" s="99"/>
      <c r="AO135" s="99"/>
      <c r="AP135" s="101"/>
      <c r="AQ135" s="99"/>
      <c r="AR135" s="99"/>
      <c r="AT135" s="101"/>
      <c r="AU135" s="101"/>
      <c r="AV135" s="101"/>
      <c r="AW135" s="101"/>
      <c r="AX135" s="101"/>
      <c r="AY135" s="99"/>
      <c r="AZ135" s="99"/>
      <c r="BA135" s="99"/>
      <c r="BB135" s="99"/>
      <c r="BC135" s="101"/>
      <c r="BD135" s="99"/>
      <c r="BE135" s="99"/>
    </row>
    <row r="136" spans="3:57" s="98" customFormat="1" x14ac:dyDescent="0.2">
      <c r="C136" s="99"/>
      <c r="D136" s="100"/>
      <c r="E136" s="100"/>
      <c r="G136" s="101"/>
      <c r="H136" s="101"/>
      <c r="I136" s="101"/>
      <c r="J136" s="101"/>
      <c r="K136" s="101"/>
      <c r="L136" s="99"/>
      <c r="M136" s="99"/>
      <c r="N136" s="99"/>
      <c r="O136" s="99"/>
      <c r="P136" s="101"/>
      <c r="Q136" s="99"/>
      <c r="R136" s="99"/>
      <c r="T136" s="101"/>
      <c r="U136" s="101"/>
      <c r="V136" s="101"/>
      <c r="W136" s="101"/>
      <c r="X136" s="101"/>
      <c r="Y136" s="99"/>
      <c r="Z136" s="99"/>
      <c r="AA136" s="99"/>
      <c r="AB136" s="99"/>
      <c r="AC136" s="101"/>
      <c r="AD136" s="99"/>
      <c r="AE136" s="99"/>
      <c r="AG136" s="101"/>
      <c r="AH136" s="101"/>
      <c r="AI136" s="101"/>
      <c r="AJ136" s="101"/>
      <c r="AK136" s="101"/>
      <c r="AL136" s="99"/>
      <c r="AM136" s="99"/>
      <c r="AN136" s="99"/>
      <c r="AO136" s="99"/>
      <c r="AP136" s="101"/>
      <c r="AQ136" s="99"/>
      <c r="AR136" s="99"/>
      <c r="AT136" s="101"/>
      <c r="AU136" s="101"/>
      <c r="AV136" s="101"/>
      <c r="AW136" s="101"/>
      <c r="AX136" s="101"/>
      <c r="AY136" s="99"/>
      <c r="AZ136" s="99"/>
      <c r="BA136" s="99"/>
      <c r="BB136" s="99"/>
      <c r="BC136" s="101"/>
      <c r="BD136" s="99"/>
      <c r="BE136" s="99"/>
    </row>
    <row r="137" spans="3:57" s="98" customFormat="1" x14ac:dyDescent="0.2">
      <c r="C137" s="99"/>
      <c r="D137" s="100"/>
      <c r="E137" s="100"/>
      <c r="G137" s="101"/>
      <c r="H137" s="101"/>
      <c r="I137" s="101"/>
      <c r="J137" s="101"/>
      <c r="K137" s="101"/>
      <c r="L137" s="99"/>
      <c r="M137" s="99"/>
      <c r="N137" s="99"/>
      <c r="O137" s="99"/>
      <c r="P137" s="101"/>
      <c r="Q137" s="99"/>
      <c r="R137" s="99"/>
      <c r="T137" s="101"/>
      <c r="U137" s="101"/>
      <c r="V137" s="101"/>
      <c r="W137" s="101"/>
      <c r="X137" s="101"/>
      <c r="Y137" s="99"/>
      <c r="Z137" s="99"/>
      <c r="AA137" s="99"/>
      <c r="AB137" s="99"/>
      <c r="AC137" s="101"/>
      <c r="AD137" s="99"/>
      <c r="AE137" s="99"/>
      <c r="AG137" s="101"/>
      <c r="AH137" s="101"/>
      <c r="AI137" s="101"/>
      <c r="AJ137" s="101"/>
      <c r="AK137" s="101"/>
      <c r="AL137" s="99"/>
      <c r="AM137" s="99"/>
      <c r="AN137" s="99"/>
      <c r="AO137" s="99"/>
      <c r="AP137" s="101"/>
      <c r="AQ137" s="99"/>
      <c r="AR137" s="99"/>
      <c r="AT137" s="101"/>
      <c r="AU137" s="101"/>
      <c r="AV137" s="101"/>
      <c r="AW137" s="101"/>
      <c r="AX137" s="101"/>
      <c r="AY137" s="99"/>
      <c r="AZ137" s="99"/>
      <c r="BA137" s="99"/>
      <c r="BB137" s="99"/>
      <c r="BC137" s="101"/>
      <c r="BD137" s="99"/>
      <c r="BE137" s="99"/>
    </row>
    <row r="138" spans="3:57" s="98" customFormat="1" x14ac:dyDescent="0.2">
      <c r="C138" s="99"/>
      <c r="D138" s="100"/>
      <c r="E138" s="100"/>
      <c r="G138" s="101"/>
      <c r="H138" s="101"/>
      <c r="I138" s="101"/>
      <c r="J138" s="101"/>
      <c r="K138" s="101"/>
      <c r="L138" s="99"/>
      <c r="M138" s="99"/>
      <c r="N138" s="99"/>
      <c r="O138" s="99"/>
      <c r="P138" s="101"/>
      <c r="Q138" s="99"/>
      <c r="R138" s="99"/>
      <c r="T138" s="101"/>
      <c r="U138" s="101"/>
      <c r="V138" s="101"/>
      <c r="W138" s="101"/>
      <c r="X138" s="101"/>
      <c r="Y138" s="99"/>
      <c r="Z138" s="99"/>
      <c r="AA138" s="99"/>
      <c r="AB138" s="99"/>
      <c r="AC138" s="101"/>
      <c r="AD138" s="99"/>
      <c r="AE138" s="99"/>
      <c r="AG138" s="101"/>
      <c r="AH138" s="101"/>
      <c r="AI138" s="101"/>
      <c r="AJ138" s="101"/>
      <c r="AK138" s="101"/>
      <c r="AL138" s="99"/>
      <c r="AM138" s="99"/>
      <c r="AN138" s="99"/>
      <c r="AO138" s="99"/>
      <c r="AP138" s="101"/>
      <c r="AQ138" s="99"/>
      <c r="AR138" s="99"/>
      <c r="AT138" s="101"/>
      <c r="AU138" s="101"/>
      <c r="AV138" s="101"/>
      <c r="AW138" s="101"/>
      <c r="AX138" s="101"/>
      <c r="AY138" s="99"/>
      <c r="AZ138" s="99"/>
      <c r="BA138" s="99"/>
      <c r="BB138" s="99"/>
      <c r="BC138" s="101"/>
      <c r="BD138" s="99"/>
      <c r="BE138" s="99"/>
    </row>
    <row r="139" spans="3:57" s="98" customFormat="1" x14ac:dyDescent="0.2">
      <c r="C139" s="99"/>
      <c r="D139" s="100"/>
      <c r="E139" s="100"/>
      <c r="G139" s="101"/>
      <c r="H139" s="101"/>
      <c r="I139" s="101"/>
      <c r="J139" s="101"/>
      <c r="K139" s="101"/>
      <c r="L139" s="99"/>
      <c r="M139" s="99"/>
      <c r="N139" s="99"/>
      <c r="O139" s="99"/>
      <c r="P139" s="101"/>
      <c r="Q139" s="99"/>
      <c r="R139" s="99"/>
      <c r="T139" s="101"/>
      <c r="U139" s="101"/>
      <c r="V139" s="101"/>
      <c r="W139" s="101"/>
      <c r="X139" s="101"/>
      <c r="Y139" s="99"/>
      <c r="Z139" s="99"/>
      <c r="AA139" s="99"/>
      <c r="AB139" s="99"/>
      <c r="AC139" s="101"/>
      <c r="AD139" s="99"/>
      <c r="AE139" s="99"/>
      <c r="AG139" s="101"/>
      <c r="AH139" s="101"/>
      <c r="AI139" s="101"/>
      <c r="AJ139" s="101"/>
      <c r="AK139" s="101"/>
      <c r="AL139" s="99"/>
      <c r="AM139" s="99"/>
      <c r="AN139" s="99"/>
      <c r="AO139" s="99"/>
      <c r="AP139" s="101"/>
      <c r="AQ139" s="99"/>
      <c r="AR139" s="99"/>
      <c r="AT139" s="101"/>
      <c r="AU139" s="101"/>
      <c r="AV139" s="101"/>
      <c r="AW139" s="101"/>
      <c r="AX139" s="101"/>
      <c r="AY139" s="99"/>
      <c r="AZ139" s="99"/>
      <c r="BA139" s="99"/>
      <c r="BB139" s="99"/>
      <c r="BC139" s="101"/>
      <c r="BD139" s="99"/>
      <c r="BE139" s="99"/>
    </row>
    <row r="140" spans="3:57" s="98" customFormat="1" x14ac:dyDescent="0.2">
      <c r="C140" s="99"/>
      <c r="D140" s="100"/>
      <c r="E140" s="100"/>
      <c r="G140" s="101"/>
      <c r="H140" s="101"/>
      <c r="I140" s="101"/>
      <c r="J140" s="101"/>
      <c r="K140" s="101"/>
      <c r="L140" s="99"/>
      <c r="M140" s="99"/>
      <c r="N140" s="99"/>
      <c r="O140" s="99"/>
      <c r="P140" s="101"/>
      <c r="Q140" s="99"/>
      <c r="R140" s="99"/>
      <c r="T140" s="101"/>
      <c r="U140" s="101"/>
      <c r="V140" s="101"/>
      <c r="W140" s="101"/>
      <c r="X140" s="101"/>
      <c r="Y140" s="99"/>
      <c r="Z140" s="99"/>
      <c r="AA140" s="99"/>
      <c r="AB140" s="99"/>
      <c r="AC140" s="101"/>
      <c r="AD140" s="99"/>
      <c r="AE140" s="99"/>
      <c r="AG140" s="101"/>
      <c r="AH140" s="101"/>
      <c r="AI140" s="101"/>
      <c r="AJ140" s="101"/>
      <c r="AK140" s="101"/>
      <c r="AL140" s="99"/>
      <c r="AM140" s="99"/>
      <c r="AN140" s="99"/>
      <c r="AO140" s="99"/>
      <c r="AP140" s="101"/>
      <c r="AQ140" s="99"/>
      <c r="AR140" s="99"/>
      <c r="AT140" s="101"/>
      <c r="AU140" s="101"/>
      <c r="AV140" s="101"/>
      <c r="AW140" s="101"/>
      <c r="AX140" s="101"/>
      <c r="AY140" s="99"/>
      <c r="AZ140" s="99"/>
      <c r="BA140" s="99"/>
      <c r="BB140" s="99"/>
      <c r="BC140" s="101"/>
      <c r="BD140" s="99"/>
      <c r="BE140" s="99"/>
    </row>
    <row r="141" spans="3:57" s="98" customFormat="1" x14ac:dyDescent="0.2">
      <c r="C141" s="99"/>
      <c r="D141" s="100"/>
      <c r="E141" s="100"/>
      <c r="G141" s="101"/>
      <c r="H141" s="101"/>
      <c r="I141" s="101"/>
      <c r="J141" s="101"/>
      <c r="K141" s="101"/>
      <c r="L141" s="99"/>
      <c r="M141" s="99"/>
      <c r="N141" s="99"/>
      <c r="O141" s="99"/>
      <c r="P141" s="101"/>
      <c r="Q141" s="99"/>
      <c r="R141" s="99"/>
      <c r="T141" s="101"/>
      <c r="U141" s="101"/>
      <c r="V141" s="101"/>
      <c r="W141" s="101"/>
      <c r="X141" s="101"/>
      <c r="Y141" s="99"/>
      <c r="Z141" s="99"/>
      <c r="AA141" s="99"/>
      <c r="AB141" s="99"/>
      <c r="AC141" s="101"/>
      <c r="AD141" s="99"/>
      <c r="AE141" s="99"/>
      <c r="AG141" s="101"/>
      <c r="AH141" s="101"/>
      <c r="AI141" s="101"/>
      <c r="AJ141" s="101"/>
      <c r="AK141" s="101"/>
      <c r="AL141" s="99"/>
      <c r="AM141" s="99"/>
      <c r="AN141" s="99"/>
      <c r="AO141" s="99"/>
      <c r="AP141" s="101"/>
      <c r="AQ141" s="99"/>
      <c r="AR141" s="99"/>
      <c r="AT141" s="101"/>
      <c r="AU141" s="101"/>
      <c r="AV141" s="101"/>
      <c r="AW141" s="101"/>
      <c r="AX141" s="101"/>
      <c r="AY141" s="99"/>
      <c r="AZ141" s="99"/>
      <c r="BA141" s="99"/>
      <c r="BB141" s="99"/>
      <c r="BC141" s="101"/>
      <c r="BD141" s="99"/>
      <c r="BE141" s="99"/>
    </row>
    <row r="142" spans="3:57" s="98" customFormat="1" x14ac:dyDescent="0.2">
      <c r="C142" s="99"/>
      <c r="D142" s="100"/>
      <c r="E142" s="100"/>
      <c r="G142" s="101"/>
      <c r="H142" s="101"/>
      <c r="I142" s="101"/>
      <c r="J142" s="101"/>
      <c r="K142" s="101"/>
      <c r="L142" s="99"/>
      <c r="M142" s="99"/>
      <c r="N142" s="99"/>
      <c r="O142" s="99"/>
      <c r="P142" s="101"/>
      <c r="Q142" s="99"/>
      <c r="R142" s="99"/>
      <c r="T142" s="101"/>
      <c r="U142" s="101"/>
      <c r="V142" s="101"/>
      <c r="W142" s="101"/>
      <c r="X142" s="101"/>
      <c r="Y142" s="99"/>
      <c r="Z142" s="99"/>
      <c r="AA142" s="99"/>
      <c r="AB142" s="99"/>
      <c r="AC142" s="101"/>
      <c r="AD142" s="99"/>
      <c r="AE142" s="99"/>
      <c r="AG142" s="101"/>
      <c r="AH142" s="101"/>
      <c r="AI142" s="101"/>
      <c r="AJ142" s="101"/>
      <c r="AK142" s="101"/>
      <c r="AL142" s="99"/>
      <c r="AM142" s="99"/>
      <c r="AN142" s="99"/>
      <c r="AO142" s="99"/>
      <c r="AP142" s="101"/>
      <c r="AQ142" s="99"/>
      <c r="AR142" s="99"/>
      <c r="AT142" s="101"/>
      <c r="AU142" s="101"/>
      <c r="AV142" s="101"/>
      <c r="AW142" s="101"/>
      <c r="AX142" s="101"/>
      <c r="AY142" s="99"/>
      <c r="AZ142" s="99"/>
      <c r="BA142" s="99"/>
      <c r="BB142" s="99"/>
      <c r="BC142" s="101"/>
      <c r="BD142" s="99"/>
      <c r="BE142" s="99"/>
    </row>
    <row r="143" spans="3:57" s="98" customFormat="1" x14ac:dyDescent="0.2">
      <c r="C143" s="99"/>
      <c r="D143" s="100"/>
      <c r="E143" s="100"/>
      <c r="G143" s="101"/>
      <c r="H143" s="101"/>
      <c r="I143" s="101"/>
      <c r="J143" s="101"/>
      <c r="K143" s="101"/>
      <c r="L143" s="99"/>
      <c r="M143" s="99"/>
      <c r="N143" s="99"/>
      <c r="O143" s="99"/>
      <c r="P143" s="101"/>
      <c r="Q143" s="99"/>
      <c r="R143" s="99"/>
      <c r="T143" s="101"/>
      <c r="U143" s="101"/>
      <c r="V143" s="101"/>
      <c r="W143" s="101"/>
      <c r="X143" s="101"/>
      <c r="Y143" s="99"/>
      <c r="Z143" s="99"/>
      <c r="AA143" s="99"/>
      <c r="AB143" s="99"/>
      <c r="AC143" s="101"/>
      <c r="AD143" s="99"/>
      <c r="AE143" s="99"/>
      <c r="AG143" s="101"/>
      <c r="AH143" s="101"/>
      <c r="AI143" s="101"/>
      <c r="AJ143" s="101"/>
      <c r="AK143" s="101"/>
      <c r="AL143" s="99"/>
      <c r="AM143" s="99"/>
      <c r="AN143" s="99"/>
      <c r="AO143" s="99"/>
      <c r="AP143" s="101"/>
      <c r="AQ143" s="99"/>
      <c r="AR143" s="99"/>
      <c r="AT143" s="101"/>
      <c r="AU143" s="101"/>
      <c r="AV143" s="101"/>
      <c r="AW143" s="101"/>
      <c r="AX143" s="101"/>
      <c r="AY143" s="99"/>
      <c r="AZ143" s="99"/>
      <c r="BA143" s="99"/>
      <c r="BB143" s="99"/>
      <c r="BC143" s="101"/>
      <c r="BD143" s="99"/>
      <c r="BE143" s="99"/>
    </row>
    <row r="144" spans="3:57" s="98" customFormat="1" x14ac:dyDescent="0.2">
      <c r="C144" s="99"/>
      <c r="D144" s="100"/>
      <c r="E144" s="100"/>
      <c r="G144" s="101"/>
      <c r="H144" s="101"/>
      <c r="I144" s="101"/>
      <c r="J144" s="101"/>
      <c r="K144" s="101"/>
      <c r="L144" s="99"/>
      <c r="M144" s="99"/>
      <c r="N144" s="99"/>
      <c r="O144" s="99"/>
      <c r="P144" s="101"/>
      <c r="Q144" s="99"/>
      <c r="R144" s="99"/>
      <c r="T144" s="101"/>
      <c r="U144" s="101"/>
      <c r="V144" s="101"/>
      <c r="W144" s="101"/>
      <c r="X144" s="101"/>
      <c r="Y144" s="99"/>
      <c r="Z144" s="99"/>
      <c r="AA144" s="99"/>
      <c r="AB144" s="99"/>
      <c r="AC144" s="101"/>
      <c r="AD144" s="99"/>
      <c r="AE144" s="99"/>
      <c r="AG144" s="101"/>
      <c r="AH144" s="101"/>
      <c r="AI144" s="101"/>
      <c r="AJ144" s="101"/>
      <c r="AK144" s="101"/>
      <c r="AL144" s="99"/>
      <c r="AM144" s="99"/>
      <c r="AN144" s="99"/>
      <c r="AO144" s="99"/>
      <c r="AP144" s="101"/>
      <c r="AQ144" s="99"/>
      <c r="AR144" s="99"/>
      <c r="AT144" s="101"/>
      <c r="AU144" s="101"/>
      <c r="AV144" s="101"/>
      <c r="AW144" s="101"/>
      <c r="AX144" s="101"/>
      <c r="AY144" s="99"/>
      <c r="AZ144" s="99"/>
      <c r="BA144" s="99"/>
      <c r="BB144" s="99"/>
      <c r="BC144" s="101"/>
      <c r="BD144" s="99"/>
      <c r="BE144" s="99"/>
    </row>
    <row r="145" spans="3:57" s="98" customFormat="1" x14ac:dyDescent="0.2">
      <c r="C145" s="99"/>
      <c r="D145" s="100"/>
      <c r="E145" s="100"/>
      <c r="G145" s="101"/>
      <c r="H145" s="101"/>
      <c r="I145" s="101"/>
      <c r="J145" s="101"/>
      <c r="K145" s="101"/>
      <c r="L145" s="99"/>
      <c r="M145" s="99"/>
      <c r="N145" s="99"/>
      <c r="O145" s="99"/>
      <c r="P145" s="101"/>
      <c r="Q145" s="99"/>
      <c r="R145" s="99"/>
      <c r="T145" s="101"/>
      <c r="U145" s="101"/>
      <c r="V145" s="101"/>
      <c r="W145" s="101"/>
      <c r="X145" s="101"/>
      <c r="Y145" s="99"/>
      <c r="Z145" s="99"/>
      <c r="AA145" s="99"/>
      <c r="AB145" s="99"/>
      <c r="AC145" s="101"/>
      <c r="AD145" s="99"/>
      <c r="AE145" s="99"/>
      <c r="AG145" s="101"/>
      <c r="AH145" s="101"/>
      <c r="AI145" s="101"/>
      <c r="AJ145" s="101"/>
      <c r="AK145" s="101"/>
      <c r="AL145" s="99"/>
      <c r="AM145" s="99"/>
      <c r="AN145" s="99"/>
      <c r="AO145" s="99"/>
      <c r="AP145" s="101"/>
      <c r="AQ145" s="99"/>
      <c r="AR145" s="99"/>
      <c r="AT145" s="101"/>
      <c r="AU145" s="101"/>
      <c r="AV145" s="101"/>
      <c r="AW145" s="101"/>
      <c r="AX145" s="101"/>
      <c r="AY145" s="99"/>
      <c r="AZ145" s="99"/>
      <c r="BA145" s="99"/>
      <c r="BB145" s="99"/>
      <c r="BC145" s="101"/>
      <c r="BD145" s="99"/>
      <c r="BE145" s="99"/>
    </row>
    <row r="146" spans="3:57" s="98" customFormat="1" x14ac:dyDescent="0.2">
      <c r="C146" s="99"/>
      <c r="D146" s="100"/>
      <c r="E146" s="100"/>
      <c r="G146" s="101"/>
      <c r="H146" s="101"/>
      <c r="I146" s="101"/>
      <c r="J146" s="101"/>
      <c r="K146" s="101"/>
      <c r="L146" s="99"/>
      <c r="M146" s="99"/>
      <c r="N146" s="99"/>
      <c r="O146" s="99"/>
      <c r="P146" s="101"/>
      <c r="Q146" s="99"/>
      <c r="R146" s="99"/>
      <c r="T146" s="101"/>
      <c r="U146" s="101"/>
      <c r="V146" s="101"/>
      <c r="W146" s="101"/>
      <c r="X146" s="101"/>
      <c r="Y146" s="99"/>
      <c r="Z146" s="99"/>
      <c r="AA146" s="99"/>
      <c r="AB146" s="99"/>
      <c r="AC146" s="101"/>
      <c r="AD146" s="99"/>
      <c r="AE146" s="99"/>
      <c r="AG146" s="101"/>
      <c r="AH146" s="101"/>
      <c r="AI146" s="101"/>
      <c r="AJ146" s="101"/>
      <c r="AK146" s="101"/>
      <c r="AL146" s="99"/>
      <c r="AM146" s="99"/>
      <c r="AN146" s="99"/>
      <c r="AO146" s="99"/>
      <c r="AP146" s="101"/>
      <c r="AQ146" s="99"/>
      <c r="AR146" s="99"/>
      <c r="AT146" s="101"/>
      <c r="AU146" s="101"/>
      <c r="AV146" s="101"/>
      <c r="AW146" s="101"/>
      <c r="AX146" s="101"/>
      <c r="AY146" s="99"/>
      <c r="AZ146" s="99"/>
      <c r="BA146" s="99"/>
      <c r="BB146" s="99"/>
      <c r="BC146" s="101"/>
      <c r="BD146" s="99"/>
      <c r="BE146" s="99"/>
    </row>
    <row r="147" spans="3:57" s="98" customFormat="1" x14ac:dyDescent="0.2">
      <c r="C147" s="99"/>
      <c r="D147" s="100"/>
      <c r="E147" s="100"/>
      <c r="G147" s="101"/>
      <c r="H147" s="101"/>
      <c r="I147" s="101"/>
      <c r="J147" s="101"/>
      <c r="K147" s="101"/>
      <c r="L147" s="99"/>
      <c r="M147" s="99"/>
      <c r="N147" s="99"/>
      <c r="O147" s="99"/>
      <c r="P147" s="101"/>
      <c r="Q147" s="99"/>
      <c r="R147" s="99"/>
      <c r="T147" s="101"/>
      <c r="U147" s="101"/>
      <c r="V147" s="101"/>
      <c r="W147" s="101"/>
      <c r="X147" s="101"/>
      <c r="Y147" s="99"/>
      <c r="Z147" s="99"/>
      <c r="AA147" s="99"/>
      <c r="AB147" s="99"/>
      <c r="AC147" s="101"/>
      <c r="AD147" s="99"/>
      <c r="AE147" s="99"/>
      <c r="AG147" s="101"/>
      <c r="AH147" s="101"/>
      <c r="AI147" s="101"/>
      <c r="AJ147" s="101"/>
      <c r="AK147" s="101"/>
      <c r="AL147" s="99"/>
      <c r="AM147" s="99"/>
      <c r="AN147" s="99"/>
      <c r="AO147" s="99"/>
      <c r="AP147" s="101"/>
      <c r="AQ147" s="99"/>
      <c r="AR147" s="99"/>
      <c r="AT147" s="101"/>
      <c r="AU147" s="101"/>
      <c r="AV147" s="101"/>
      <c r="AW147" s="101"/>
      <c r="AX147" s="101"/>
      <c r="AY147" s="99"/>
      <c r="AZ147" s="99"/>
      <c r="BA147" s="99"/>
      <c r="BB147" s="99"/>
      <c r="BC147" s="101"/>
      <c r="BD147" s="99"/>
      <c r="BE147" s="99"/>
    </row>
    <row r="148" spans="3:57" s="98" customFormat="1" x14ac:dyDescent="0.2">
      <c r="C148" s="99"/>
      <c r="D148" s="100"/>
      <c r="E148" s="100"/>
      <c r="G148" s="101"/>
      <c r="H148" s="101"/>
      <c r="I148" s="101"/>
      <c r="J148" s="101"/>
      <c r="K148" s="101"/>
      <c r="L148" s="99"/>
      <c r="M148" s="99"/>
      <c r="N148" s="99"/>
      <c r="O148" s="99"/>
      <c r="P148" s="101"/>
      <c r="Q148" s="99"/>
      <c r="R148" s="99"/>
      <c r="T148" s="101"/>
      <c r="U148" s="101"/>
      <c r="V148" s="101"/>
      <c r="W148" s="101"/>
      <c r="X148" s="101"/>
      <c r="Y148" s="99"/>
      <c r="Z148" s="99"/>
      <c r="AA148" s="99"/>
      <c r="AB148" s="99"/>
      <c r="AC148" s="101"/>
      <c r="AD148" s="99"/>
      <c r="AE148" s="99"/>
      <c r="AG148" s="101"/>
      <c r="AH148" s="101"/>
      <c r="AI148" s="101"/>
      <c r="AJ148" s="101"/>
      <c r="AK148" s="101"/>
      <c r="AL148" s="99"/>
      <c r="AM148" s="99"/>
      <c r="AN148" s="99"/>
      <c r="AO148" s="99"/>
      <c r="AP148" s="101"/>
      <c r="AQ148" s="99"/>
      <c r="AR148" s="99"/>
      <c r="AT148" s="101"/>
      <c r="AU148" s="101"/>
      <c r="AV148" s="101"/>
      <c r="AW148" s="101"/>
      <c r="AX148" s="101"/>
      <c r="AY148" s="99"/>
      <c r="AZ148" s="99"/>
      <c r="BA148" s="99"/>
      <c r="BB148" s="99"/>
      <c r="BC148" s="101"/>
      <c r="BD148" s="99"/>
      <c r="BE148" s="99"/>
    </row>
    <row r="149" spans="3:57" s="98" customFormat="1" x14ac:dyDescent="0.2">
      <c r="C149" s="99"/>
      <c r="D149" s="100"/>
      <c r="E149" s="100"/>
      <c r="G149" s="101"/>
      <c r="H149" s="101"/>
      <c r="I149" s="101"/>
      <c r="J149" s="101"/>
      <c r="K149" s="101"/>
      <c r="L149" s="99"/>
      <c r="M149" s="99"/>
      <c r="N149" s="99"/>
      <c r="O149" s="99"/>
      <c r="P149" s="101"/>
      <c r="Q149" s="99"/>
      <c r="R149" s="99"/>
      <c r="T149" s="101"/>
      <c r="U149" s="101"/>
      <c r="V149" s="101"/>
      <c r="W149" s="101"/>
      <c r="X149" s="101"/>
      <c r="Y149" s="99"/>
      <c r="Z149" s="99"/>
      <c r="AA149" s="99"/>
      <c r="AB149" s="99"/>
      <c r="AC149" s="101"/>
      <c r="AD149" s="99"/>
      <c r="AE149" s="99"/>
      <c r="AG149" s="101"/>
      <c r="AH149" s="101"/>
      <c r="AI149" s="101"/>
      <c r="AJ149" s="101"/>
      <c r="AK149" s="101"/>
      <c r="AL149" s="99"/>
      <c r="AM149" s="99"/>
      <c r="AN149" s="99"/>
      <c r="AO149" s="99"/>
      <c r="AP149" s="101"/>
      <c r="AQ149" s="99"/>
      <c r="AR149" s="99"/>
      <c r="AT149" s="101"/>
      <c r="AU149" s="101"/>
      <c r="AV149" s="101"/>
      <c r="AW149" s="101"/>
      <c r="AX149" s="101"/>
      <c r="AY149" s="99"/>
      <c r="AZ149" s="99"/>
      <c r="BA149" s="99"/>
      <c r="BB149" s="99"/>
      <c r="BC149" s="101"/>
      <c r="BD149" s="99"/>
      <c r="BE149" s="99"/>
    </row>
    <row r="150" spans="3:57" s="98" customFormat="1" x14ac:dyDescent="0.2">
      <c r="C150" s="99"/>
      <c r="D150" s="100"/>
      <c r="E150" s="100"/>
      <c r="G150" s="101"/>
      <c r="H150" s="101"/>
      <c r="I150" s="101"/>
      <c r="J150" s="101"/>
      <c r="K150" s="101"/>
      <c r="L150" s="99"/>
      <c r="M150" s="99"/>
      <c r="N150" s="99"/>
      <c r="O150" s="99"/>
      <c r="P150" s="101"/>
      <c r="Q150" s="99"/>
      <c r="R150" s="99"/>
      <c r="T150" s="101"/>
      <c r="U150" s="101"/>
      <c r="V150" s="101"/>
      <c r="W150" s="101"/>
      <c r="X150" s="101"/>
      <c r="Y150" s="99"/>
      <c r="Z150" s="99"/>
      <c r="AA150" s="99"/>
      <c r="AB150" s="99"/>
      <c r="AC150" s="101"/>
      <c r="AD150" s="99"/>
      <c r="AE150" s="99"/>
      <c r="AG150" s="101"/>
      <c r="AH150" s="101"/>
      <c r="AI150" s="101"/>
      <c r="AJ150" s="101"/>
      <c r="AK150" s="101"/>
      <c r="AL150" s="99"/>
      <c r="AM150" s="99"/>
      <c r="AN150" s="99"/>
      <c r="AO150" s="99"/>
      <c r="AP150" s="101"/>
      <c r="AQ150" s="99"/>
      <c r="AR150" s="99"/>
      <c r="AT150" s="101"/>
      <c r="AU150" s="101"/>
      <c r="AV150" s="101"/>
      <c r="AW150" s="101"/>
      <c r="AX150" s="101"/>
      <c r="AY150" s="99"/>
      <c r="AZ150" s="99"/>
      <c r="BA150" s="99"/>
      <c r="BB150" s="99"/>
      <c r="BC150" s="101"/>
      <c r="BD150" s="99"/>
      <c r="BE150" s="99"/>
    </row>
    <row r="151" spans="3:57" s="98" customFormat="1" x14ac:dyDescent="0.2">
      <c r="C151" s="99"/>
      <c r="D151" s="100"/>
      <c r="E151" s="100"/>
      <c r="G151" s="101"/>
      <c r="H151" s="101"/>
      <c r="I151" s="101"/>
      <c r="J151" s="101"/>
      <c r="K151" s="101"/>
      <c r="L151" s="99"/>
      <c r="M151" s="99"/>
      <c r="N151" s="99"/>
      <c r="O151" s="99"/>
      <c r="P151" s="101"/>
      <c r="Q151" s="99"/>
      <c r="R151" s="99"/>
      <c r="T151" s="101"/>
      <c r="U151" s="101"/>
      <c r="V151" s="101"/>
      <c r="W151" s="101"/>
      <c r="X151" s="101"/>
      <c r="Y151" s="99"/>
      <c r="Z151" s="99"/>
      <c r="AA151" s="99"/>
      <c r="AB151" s="99"/>
      <c r="AC151" s="101"/>
      <c r="AD151" s="99"/>
      <c r="AE151" s="99"/>
      <c r="AG151" s="101"/>
      <c r="AH151" s="101"/>
      <c r="AI151" s="101"/>
      <c r="AJ151" s="101"/>
      <c r="AK151" s="101"/>
      <c r="AL151" s="99"/>
      <c r="AM151" s="99"/>
      <c r="AN151" s="99"/>
      <c r="AO151" s="99"/>
      <c r="AP151" s="101"/>
      <c r="AQ151" s="99"/>
      <c r="AR151" s="99"/>
      <c r="AT151" s="101"/>
      <c r="AU151" s="101"/>
      <c r="AV151" s="101"/>
      <c r="AW151" s="101"/>
      <c r="AX151" s="101"/>
      <c r="AY151" s="99"/>
      <c r="AZ151" s="99"/>
      <c r="BA151" s="99"/>
      <c r="BB151" s="99"/>
      <c r="BC151" s="101"/>
      <c r="BD151" s="99"/>
      <c r="BE151" s="99"/>
    </row>
    <row r="152" spans="3:57" s="98" customFormat="1" x14ac:dyDescent="0.2">
      <c r="C152" s="99"/>
      <c r="D152" s="100"/>
      <c r="E152" s="100"/>
      <c r="G152" s="101"/>
      <c r="H152" s="101"/>
      <c r="I152" s="101"/>
      <c r="J152" s="101"/>
      <c r="K152" s="101"/>
      <c r="L152" s="99"/>
      <c r="M152" s="99"/>
      <c r="N152" s="99"/>
      <c r="O152" s="99"/>
      <c r="P152" s="101"/>
      <c r="Q152" s="99"/>
      <c r="R152" s="99"/>
      <c r="T152" s="101"/>
      <c r="U152" s="101"/>
      <c r="V152" s="101"/>
      <c r="W152" s="101"/>
      <c r="X152" s="101"/>
      <c r="Y152" s="99"/>
      <c r="Z152" s="99"/>
      <c r="AA152" s="99"/>
      <c r="AB152" s="99"/>
      <c r="AC152" s="101"/>
      <c r="AD152" s="99"/>
      <c r="AE152" s="99"/>
      <c r="AG152" s="101"/>
      <c r="AH152" s="101"/>
      <c r="AI152" s="101"/>
      <c r="AJ152" s="101"/>
      <c r="AK152" s="101"/>
      <c r="AL152" s="99"/>
      <c r="AM152" s="99"/>
      <c r="AN152" s="99"/>
      <c r="AO152" s="99"/>
      <c r="AP152" s="101"/>
      <c r="AQ152" s="99"/>
      <c r="AR152" s="99"/>
      <c r="AT152" s="101"/>
      <c r="AU152" s="101"/>
      <c r="AV152" s="101"/>
      <c r="AW152" s="101"/>
      <c r="AX152" s="101"/>
      <c r="AY152" s="99"/>
      <c r="AZ152" s="99"/>
      <c r="BA152" s="99"/>
      <c r="BB152" s="99"/>
      <c r="BC152" s="101"/>
      <c r="BD152" s="99"/>
      <c r="BE152" s="99"/>
    </row>
    <row r="153" spans="3:57" s="98" customFormat="1" x14ac:dyDescent="0.2">
      <c r="C153" s="99"/>
      <c r="D153" s="100"/>
      <c r="E153" s="100"/>
      <c r="G153" s="101"/>
      <c r="H153" s="101"/>
      <c r="I153" s="101"/>
      <c r="J153" s="101"/>
      <c r="K153" s="101"/>
      <c r="L153" s="99"/>
      <c r="M153" s="99"/>
      <c r="N153" s="99"/>
      <c r="O153" s="99"/>
      <c r="P153" s="101"/>
      <c r="Q153" s="99"/>
      <c r="R153" s="99"/>
      <c r="T153" s="101"/>
      <c r="U153" s="101"/>
      <c r="V153" s="101"/>
      <c r="W153" s="101"/>
      <c r="X153" s="101"/>
      <c r="Y153" s="99"/>
      <c r="Z153" s="99"/>
      <c r="AA153" s="99"/>
      <c r="AB153" s="99"/>
      <c r="AC153" s="101"/>
      <c r="AD153" s="99"/>
      <c r="AE153" s="99"/>
      <c r="AG153" s="101"/>
      <c r="AH153" s="101"/>
      <c r="AI153" s="101"/>
      <c r="AJ153" s="101"/>
      <c r="AK153" s="101"/>
      <c r="AL153" s="99"/>
      <c r="AM153" s="99"/>
      <c r="AN153" s="99"/>
      <c r="AO153" s="99"/>
      <c r="AP153" s="101"/>
      <c r="AQ153" s="99"/>
      <c r="AR153" s="99"/>
      <c r="AT153" s="101"/>
      <c r="AU153" s="101"/>
      <c r="AV153" s="101"/>
      <c r="AW153" s="101"/>
      <c r="AX153" s="101"/>
      <c r="AY153" s="99"/>
      <c r="AZ153" s="99"/>
      <c r="BA153" s="99"/>
      <c r="BB153" s="99"/>
      <c r="BC153" s="101"/>
      <c r="BD153" s="99"/>
      <c r="BE153" s="99"/>
    </row>
    <row r="154" spans="3:57" s="98" customFormat="1" x14ac:dyDescent="0.2">
      <c r="C154" s="99"/>
      <c r="D154" s="100"/>
      <c r="E154" s="100"/>
      <c r="G154" s="101"/>
      <c r="H154" s="101"/>
      <c r="I154" s="101"/>
      <c r="J154" s="101"/>
      <c r="K154" s="101"/>
      <c r="L154" s="99"/>
      <c r="M154" s="99"/>
      <c r="N154" s="99"/>
      <c r="O154" s="99"/>
      <c r="P154" s="101"/>
      <c r="Q154" s="99"/>
      <c r="R154" s="99"/>
      <c r="T154" s="101"/>
      <c r="U154" s="101"/>
      <c r="V154" s="101"/>
      <c r="W154" s="101"/>
      <c r="X154" s="101"/>
      <c r="Y154" s="99"/>
      <c r="Z154" s="99"/>
      <c r="AA154" s="99"/>
      <c r="AB154" s="99"/>
      <c r="AC154" s="101"/>
      <c r="AD154" s="99"/>
      <c r="AE154" s="99"/>
      <c r="AG154" s="101"/>
      <c r="AH154" s="101"/>
      <c r="AI154" s="101"/>
      <c r="AJ154" s="101"/>
      <c r="AK154" s="101"/>
      <c r="AL154" s="99"/>
      <c r="AM154" s="99"/>
      <c r="AN154" s="99"/>
      <c r="AO154" s="99"/>
      <c r="AP154" s="101"/>
      <c r="AQ154" s="99"/>
      <c r="AR154" s="99"/>
      <c r="AT154" s="101"/>
      <c r="AU154" s="101"/>
      <c r="AV154" s="101"/>
      <c r="AW154" s="101"/>
      <c r="AX154" s="101"/>
      <c r="AY154" s="99"/>
      <c r="AZ154" s="99"/>
      <c r="BA154" s="99"/>
      <c r="BB154" s="99"/>
      <c r="BC154" s="101"/>
      <c r="BD154" s="99"/>
      <c r="BE154" s="99"/>
    </row>
    <row r="155" spans="3:57" s="98" customFormat="1" x14ac:dyDescent="0.2">
      <c r="C155" s="99"/>
      <c r="D155" s="100"/>
      <c r="E155" s="100"/>
      <c r="G155" s="101"/>
      <c r="H155" s="101"/>
      <c r="I155" s="101"/>
      <c r="J155" s="101"/>
      <c r="K155" s="101"/>
      <c r="L155" s="99"/>
      <c r="M155" s="99"/>
      <c r="N155" s="99"/>
      <c r="O155" s="99"/>
      <c r="P155" s="101"/>
      <c r="Q155" s="99"/>
      <c r="R155" s="99"/>
      <c r="T155" s="101"/>
      <c r="U155" s="101"/>
      <c r="V155" s="101"/>
      <c r="W155" s="101"/>
      <c r="X155" s="101"/>
      <c r="Y155" s="99"/>
      <c r="Z155" s="99"/>
      <c r="AA155" s="99"/>
      <c r="AB155" s="99"/>
      <c r="AC155" s="101"/>
      <c r="AD155" s="99"/>
      <c r="AE155" s="99"/>
      <c r="AG155" s="101"/>
      <c r="AH155" s="101"/>
      <c r="AI155" s="101"/>
      <c r="AJ155" s="101"/>
      <c r="AK155" s="101"/>
      <c r="AL155" s="99"/>
      <c r="AM155" s="99"/>
      <c r="AN155" s="99"/>
      <c r="AO155" s="99"/>
      <c r="AP155" s="101"/>
      <c r="AQ155" s="99"/>
      <c r="AR155" s="99"/>
      <c r="AT155" s="101"/>
      <c r="AU155" s="101"/>
      <c r="AV155" s="101"/>
      <c r="AW155" s="101"/>
      <c r="AX155" s="101"/>
      <c r="AY155" s="99"/>
      <c r="AZ155" s="99"/>
      <c r="BA155" s="99"/>
      <c r="BB155" s="99"/>
      <c r="BC155" s="101"/>
      <c r="BD155" s="99"/>
      <c r="BE155" s="99"/>
    </row>
    <row r="156" spans="3:57" s="98" customFormat="1" x14ac:dyDescent="0.2">
      <c r="C156" s="99"/>
      <c r="D156" s="100"/>
      <c r="E156" s="100"/>
      <c r="G156" s="101"/>
      <c r="H156" s="101"/>
      <c r="I156" s="101"/>
      <c r="J156" s="101"/>
      <c r="K156" s="101"/>
      <c r="L156" s="99"/>
      <c r="M156" s="99"/>
      <c r="N156" s="99"/>
      <c r="O156" s="99"/>
      <c r="P156" s="101"/>
      <c r="Q156" s="99"/>
      <c r="R156" s="99"/>
      <c r="T156" s="101"/>
      <c r="U156" s="101"/>
      <c r="V156" s="101"/>
      <c r="W156" s="101"/>
      <c r="X156" s="101"/>
      <c r="Y156" s="99"/>
      <c r="Z156" s="99"/>
      <c r="AA156" s="99"/>
      <c r="AB156" s="99"/>
      <c r="AC156" s="101"/>
      <c r="AD156" s="99"/>
      <c r="AE156" s="99"/>
      <c r="AG156" s="101"/>
      <c r="AH156" s="101"/>
      <c r="AI156" s="101"/>
      <c r="AJ156" s="101"/>
      <c r="AK156" s="101"/>
      <c r="AL156" s="99"/>
      <c r="AM156" s="99"/>
      <c r="AN156" s="99"/>
      <c r="AO156" s="99"/>
      <c r="AP156" s="101"/>
      <c r="AQ156" s="99"/>
      <c r="AR156" s="99"/>
      <c r="AT156" s="101"/>
      <c r="AU156" s="101"/>
      <c r="AV156" s="101"/>
      <c r="AW156" s="101"/>
      <c r="AX156" s="101"/>
      <c r="AY156" s="99"/>
      <c r="AZ156" s="99"/>
      <c r="BA156" s="99"/>
      <c r="BB156" s="99"/>
      <c r="BC156" s="101"/>
      <c r="BD156" s="99"/>
      <c r="BE156" s="99"/>
    </row>
    <row r="157" spans="3:57" s="98" customFormat="1" x14ac:dyDescent="0.2">
      <c r="C157" s="99"/>
      <c r="D157" s="100"/>
      <c r="E157" s="100"/>
      <c r="G157" s="101"/>
      <c r="H157" s="101"/>
      <c r="I157" s="101"/>
      <c r="J157" s="101"/>
      <c r="K157" s="101"/>
      <c r="L157" s="99"/>
      <c r="M157" s="99"/>
      <c r="N157" s="99"/>
      <c r="O157" s="99"/>
      <c r="P157" s="101"/>
      <c r="Q157" s="99"/>
      <c r="R157" s="99"/>
      <c r="T157" s="101"/>
      <c r="U157" s="101"/>
      <c r="V157" s="101"/>
      <c r="W157" s="101"/>
      <c r="X157" s="101"/>
      <c r="Y157" s="99"/>
      <c r="Z157" s="99"/>
      <c r="AA157" s="99"/>
      <c r="AB157" s="99"/>
      <c r="AC157" s="101"/>
      <c r="AD157" s="99"/>
      <c r="AE157" s="99"/>
      <c r="AG157" s="101"/>
      <c r="AH157" s="101"/>
      <c r="AI157" s="101"/>
      <c r="AJ157" s="101"/>
      <c r="AK157" s="101"/>
      <c r="AL157" s="99"/>
      <c r="AM157" s="99"/>
      <c r="AN157" s="99"/>
      <c r="AO157" s="99"/>
      <c r="AP157" s="101"/>
      <c r="AQ157" s="99"/>
      <c r="AR157" s="99"/>
      <c r="AT157" s="101"/>
      <c r="AU157" s="101"/>
      <c r="AV157" s="101"/>
      <c r="AW157" s="101"/>
      <c r="AX157" s="101"/>
      <c r="AY157" s="99"/>
      <c r="AZ157" s="99"/>
      <c r="BA157" s="99"/>
      <c r="BB157" s="99"/>
      <c r="BC157" s="101"/>
      <c r="BD157" s="99"/>
      <c r="BE157" s="99"/>
    </row>
    <row r="158" spans="3:57" s="98" customFormat="1" x14ac:dyDescent="0.2">
      <c r="C158" s="99"/>
      <c r="D158" s="100"/>
      <c r="E158" s="100"/>
      <c r="G158" s="101"/>
      <c r="H158" s="101"/>
      <c r="I158" s="101"/>
      <c r="J158" s="101"/>
      <c r="K158" s="101"/>
      <c r="L158" s="99"/>
      <c r="M158" s="99"/>
      <c r="N158" s="99"/>
      <c r="O158" s="99"/>
      <c r="P158" s="101"/>
      <c r="Q158" s="99"/>
      <c r="R158" s="99"/>
      <c r="T158" s="101"/>
      <c r="U158" s="101"/>
      <c r="V158" s="101"/>
      <c r="W158" s="101"/>
      <c r="X158" s="101"/>
      <c r="Y158" s="99"/>
      <c r="Z158" s="99"/>
      <c r="AA158" s="99"/>
      <c r="AB158" s="99"/>
      <c r="AC158" s="101"/>
      <c r="AD158" s="99"/>
      <c r="AE158" s="99"/>
      <c r="AG158" s="101"/>
      <c r="AH158" s="101"/>
      <c r="AI158" s="101"/>
      <c r="AJ158" s="101"/>
      <c r="AK158" s="101"/>
      <c r="AL158" s="99"/>
      <c r="AM158" s="99"/>
      <c r="AN158" s="99"/>
      <c r="AO158" s="99"/>
      <c r="AP158" s="101"/>
      <c r="AQ158" s="99"/>
      <c r="AR158" s="99"/>
      <c r="AT158" s="101"/>
      <c r="AU158" s="101"/>
      <c r="AV158" s="101"/>
      <c r="AW158" s="101"/>
      <c r="AX158" s="101"/>
      <c r="AY158" s="99"/>
      <c r="AZ158" s="99"/>
      <c r="BA158" s="99"/>
      <c r="BB158" s="99"/>
      <c r="BC158" s="101"/>
      <c r="BD158" s="99"/>
      <c r="BE158" s="99"/>
    </row>
    <row r="159" spans="3:57" s="98" customFormat="1" x14ac:dyDescent="0.2">
      <c r="C159" s="99"/>
      <c r="D159" s="100"/>
      <c r="E159" s="100"/>
      <c r="G159" s="101"/>
      <c r="H159" s="101"/>
      <c r="I159" s="101"/>
      <c r="J159" s="101"/>
      <c r="K159" s="101"/>
      <c r="L159" s="99"/>
      <c r="M159" s="99"/>
      <c r="N159" s="99"/>
      <c r="O159" s="99"/>
      <c r="P159" s="101"/>
      <c r="Q159" s="99"/>
      <c r="R159" s="99"/>
      <c r="T159" s="101"/>
      <c r="U159" s="101"/>
      <c r="V159" s="101"/>
      <c r="W159" s="101"/>
      <c r="X159" s="101"/>
      <c r="Y159" s="99"/>
      <c r="Z159" s="99"/>
      <c r="AA159" s="99"/>
      <c r="AB159" s="99"/>
      <c r="AC159" s="101"/>
      <c r="AD159" s="99"/>
      <c r="AE159" s="99"/>
      <c r="AG159" s="101"/>
      <c r="AH159" s="101"/>
      <c r="AI159" s="101"/>
      <c r="AJ159" s="101"/>
      <c r="AK159" s="101"/>
      <c r="AL159" s="99"/>
      <c r="AM159" s="99"/>
      <c r="AN159" s="99"/>
      <c r="AO159" s="99"/>
      <c r="AP159" s="101"/>
      <c r="AQ159" s="99"/>
      <c r="AR159" s="99"/>
      <c r="AT159" s="101"/>
      <c r="AU159" s="101"/>
      <c r="AV159" s="101"/>
      <c r="AW159" s="101"/>
      <c r="AX159" s="101"/>
      <c r="AY159" s="99"/>
      <c r="AZ159" s="99"/>
      <c r="BA159" s="99"/>
      <c r="BB159" s="99"/>
      <c r="BC159" s="101"/>
      <c r="BD159" s="99"/>
      <c r="BE159" s="99"/>
    </row>
    <row r="160" spans="3:57" s="98" customFormat="1" x14ac:dyDescent="0.2">
      <c r="C160" s="99"/>
      <c r="D160" s="100"/>
      <c r="E160" s="100"/>
      <c r="G160" s="101"/>
      <c r="H160" s="101"/>
      <c r="I160" s="101"/>
      <c r="J160" s="101"/>
      <c r="K160" s="101"/>
      <c r="L160" s="99"/>
      <c r="M160" s="99"/>
      <c r="N160" s="99"/>
      <c r="O160" s="99"/>
      <c r="P160" s="101"/>
      <c r="Q160" s="99"/>
      <c r="R160" s="99"/>
      <c r="T160" s="101"/>
      <c r="U160" s="101"/>
      <c r="V160" s="101"/>
      <c r="W160" s="101"/>
      <c r="X160" s="101"/>
      <c r="Y160" s="99"/>
      <c r="Z160" s="99"/>
      <c r="AA160" s="99"/>
      <c r="AB160" s="99"/>
      <c r="AC160" s="101"/>
      <c r="AD160" s="99"/>
      <c r="AE160" s="99"/>
      <c r="AG160" s="101"/>
      <c r="AH160" s="101"/>
      <c r="AI160" s="101"/>
      <c r="AJ160" s="101"/>
      <c r="AK160" s="101"/>
      <c r="AL160" s="99"/>
      <c r="AM160" s="99"/>
      <c r="AN160" s="99"/>
      <c r="AO160" s="99"/>
      <c r="AP160" s="101"/>
      <c r="AQ160" s="99"/>
      <c r="AR160" s="99"/>
      <c r="AT160" s="101"/>
      <c r="AU160" s="101"/>
      <c r="AV160" s="101"/>
      <c r="AW160" s="101"/>
      <c r="AX160" s="101"/>
      <c r="AY160" s="99"/>
      <c r="AZ160" s="99"/>
      <c r="BA160" s="99"/>
      <c r="BB160" s="99"/>
      <c r="BC160" s="101"/>
      <c r="BD160" s="99"/>
      <c r="BE160" s="99"/>
    </row>
    <row r="161" spans="3:57" s="98" customFormat="1" x14ac:dyDescent="0.2">
      <c r="C161" s="99"/>
      <c r="D161" s="100"/>
      <c r="E161" s="100"/>
      <c r="G161" s="101"/>
      <c r="H161" s="101"/>
      <c r="I161" s="101"/>
      <c r="J161" s="101"/>
      <c r="K161" s="101"/>
      <c r="L161" s="99"/>
      <c r="M161" s="99"/>
      <c r="N161" s="99"/>
      <c r="O161" s="99"/>
      <c r="P161" s="101"/>
      <c r="Q161" s="99"/>
      <c r="R161" s="99"/>
      <c r="T161" s="101"/>
      <c r="U161" s="101"/>
      <c r="V161" s="101"/>
      <c r="W161" s="101"/>
      <c r="X161" s="101"/>
      <c r="Y161" s="99"/>
      <c r="Z161" s="99"/>
      <c r="AA161" s="99"/>
      <c r="AB161" s="99"/>
      <c r="AC161" s="101"/>
      <c r="AD161" s="99"/>
      <c r="AE161" s="99"/>
      <c r="AG161" s="101"/>
      <c r="AH161" s="101"/>
      <c r="AI161" s="101"/>
      <c r="AJ161" s="101"/>
      <c r="AK161" s="101"/>
      <c r="AL161" s="99"/>
      <c r="AM161" s="99"/>
      <c r="AN161" s="99"/>
      <c r="AO161" s="99"/>
      <c r="AP161" s="101"/>
      <c r="AQ161" s="99"/>
      <c r="AR161" s="99"/>
      <c r="AT161" s="101"/>
      <c r="AU161" s="101"/>
      <c r="AV161" s="101"/>
      <c r="AW161" s="101"/>
      <c r="AX161" s="101"/>
      <c r="AY161" s="99"/>
      <c r="AZ161" s="99"/>
      <c r="BA161" s="99"/>
      <c r="BB161" s="99"/>
      <c r="BC161" s="101"/>
      <c r="BD161" s="99"/>
      <c r="BE161" s="99"/>
    </row>
    <row r="162" spans="3:57" s="98" customFormat="1" x14ac:dyDescent="0.2">
      <c r="C162" s="99"/>
      <c r="D162" s="100"/>
      <c r="E162" s="100"/>
      <c r="G162" s="101"/>
      <c r="H162" s="101"/>
      <c r="I162" s="101"/>
      <c r="J162" s="101"/>
      <c r="K162" s="101"/>
      <c r="L162" s="99"/>
      <c r="M162" s="99"/>
      <c r="N162" s="99"/>
      <c r="O162" s="99"/>
      <c r="P162" s="101"/>
      <c r="Q162" s="99"/>
      <c r="R162" s="99"/>
      <c r="T162" s="101"/>
      <c r="U162" s="101"/>
      <c r="V162" s="101"/>
      <c r="W162" s="101"/>
      <c r="X162" s="101"/>
      <c r="Y162" s="99"/>
      <c r="Z162" s="99"/>
      <c r="AA162" s="99"/>
      <c r="AB162" s="99"/>
      <c r="AC162" s="101"/>
      <c r="AD162" s="99"/>
      <c r="AE162" s="99"/>
      <c r="AG162" s="101"/>
      <c r="AH162" s="101"/>
      <c r="AI162" s="101"/>
      <c r="AJ162" s="101"/>
      <c r="AK162" s="101"/>
      <c r="AL162" s="99"/>
      <c r="AM162" s="99"/>
      <c r="AN162" s="99"/>
      <c r="AO162" s="99"/>
      <c r="AP162" s="101"/>
      <c r="AQ162" s="99"/>
      <c r="AR162" s="99"/>
      <c r="AT162" s="101"/>
      <c r="AU162" s="101"/>
      <c r="AV162" s="101"/>
      <c r="AW162" s="101"/>
      <c r="AX162" s="101"/>
      <c r="AY162" s="99"/>
      <c r="AZ162" s="99"/>
      <c r="BA162" s="99"/>
      <c r="BB162" s="99"/>
      <c r="BC162" s="101"/>
      <c r="BD162" s="99"/>
      <c r="BE162" s="99"/>
    </row>
    <row r="163" spans="3:57" s="98" customFormat="1" x14ac:dyDescent="0.2">
      <c r="C163" s="99"/>
      <c r="D163" s="100"/>
      <c r="E163" s="100"/>
      <c r="G163" s="101"/>
      <c r="H163" s="101"/>
      <c r="I163" s="101"/>
      <c r="J163" s="101"/>
      <c r="K163" s="101"/>
      <c r="L163" s="99"/>
      <c r="M163" s="99"/>
      <c r="N163" s="99"/>
      <c r="O163" s="99"/>
      <c r="P163" s="101"/>
      <c r="Q163" s="99"/>
      <c r="R163" s="99"/>
      <c r="T163" s="101"/>
      <c r="U163" s="101"/>
      <c r="V163" s="101"/>
      <c r="W163" s="101"/>
      <c r="X163" s="101"/>
      <c r="Y163" s="99"/>
      <c r="Z163" s="99"/>
      <c r="AA163" s="99"/>
      <c r="AB163" s="99"/>
      <c r="AC163" s="101"/>
      <c r="AD163" s="99"/>
      <c r="AE163" s="99"/>
      <c r="AG163" s="101"/>
      <c r="AH163" s="101"/>
      <c r="AI163" s="101"/>
      <c r="AJ163" s="101"/>
      <c r="AK163" s="101"/>
      <c r="AL163" s="99"/>
      <c r="AM163" s="99"/>
      <c r="AN163" s="99"/>
      <c r="AO163" s="99"/>
      <c r="AP163" s="101"/>
      <c r="AQ163" s="99"/>
      <c r="AR163" s="99"/>
      <c r="AT163" s="101"/>
      <c r="AU163" s="101"/>
      <c r="AV163" s="101"/>
      <c r="AW163" s="101"/>
      <c r="AX163" s="101"/>
      <c r="AY163" s="99"/>
      <c r="AZ163" s="99"/>
      <c r="BA163" s="99"/>
      <c r="BB163" s="99"/>
      <c r="BC163" s="101"/>
      <c r="BD163" s="99"/>
      <c r="BE163" s="99"/>
    </row>
    <row r="164" spans="3:57" s="98" customFormat="1" x14ac:dyDescent="0.2">
      <c r="C164" s="99"/>
      <c r="D164" s="100"/>
      <c r="E164" s="100"/>
      <c r="G164" s="101"/>
      <c r="H164" s="101"/>
      <c r="I164" s="101"/>
      <c r="J164" s="101"/>
      <c r="K164" s="101"/>
      <c r="L164" s="99"/>
      <c r="M164" s="99"/>
      <c r="N164" s="99"/>
      <c r="O164" s="99"/>
      <c r="P164" s="101"/>
      <c r="Q164" s="99"/>
      <c r="R164" s="99"/>
      <c r="T164" s="101"/>
      <c r="U164" s="101"/>
      <c r="V164" s="101"/>
      <c r="W164" s="101"/>
      <c r="X164" s="101"/>
      <c r="Y164" s="99"/>
      <c r="Z164" s="99"/>
      <c r="AA164" s="99"/>
      <c r="AB164" s="99"/>
      <c r="AC164" s="101"/>
      <c r="AD164" s="99"/>
      <c r="AE164" s="99"/>
      <c r="AG164" s="101"/>
      <c r="AH164" s="101"/>
      <c r="AI164" s="101"/>
      <c r="AJ164" s="101"/>
      <c r="AK164" s="101"/>
      <c r="AL164" s="99"/>
      <c r="AM164" s="99"/>
      <c r="AN164" s="99"/>
      <c r="AO164" s="99"/>
      <c r="AP164" s="101"/>
      <c r="AQ164" s="99"/>
      <c r="AR164" s="99"/>
      <c r="AT164" s="101"/>
      <c r="AU164" s="101"/>
      <c r="AV164" s="101"/>
      <c r="AW164" s="101"/>
      <c r="AX164" s="101"/>
      <c r="AY164" s="99"/>
      <c r="AZ164" s="99"/>
      <c r="BA164" s="99"/>
      <c r="BB164" s="99"/>
      <c r="BC164" s="101"/>
      <c r="BD164" s="99"/>
      <c r="BE164" s="99"/>
    </row>
    <row r="165" spans="3:57" s="98" customFormat="1" x14ac:dyDescent="0.2">
      <c r="C165" s="99"/>
      <c r="D165" s="100"/>
      <c r="E165" s="100"/>
      <c r="G165" s="101"/>
      <c r="H165" s="101"/>
      <c r="I165" s="101"/>
      <c r="J165" s="101"/>
      <c r="K165" s="101"/>
      <c r="L165" s="99"/>
      <c r="M165" s="99"/>
      <c r="N165" s="99"/>
      <c r="O165" s="99"/>
      <c r="P165" s="101"/>
      <c r="Q165" s="99"/>
      <c r="R165" s="99"/>
      <c r="T165" s="101"/>
      <c r="U165" s="101"/>
      <c r="V165" s="101"/>
      <c r="W165" s="101"/>
      <c r="X165" s="101"/>
      <c r="Y165" s="99"/>
      <c r="Z165" s="99"/>
      <c r="AA165" s="99"/>
      <c r="AB165" s="99"/>
      <c r="AC165" s="101"/>
      <c r="AD165" s="99"/>
      <c r="AE165" s="99"/>
      <c r="AG165" s="101"/>
      <c r="AH165" s="101"/>
      <c r="AI165" s="101"/>
      <c r="AJ165" s="101"/>
      <c r="AK165" s="101"/>
      <c r="AL165" s="99"/>
      <c r="AM165" s="99"/>
      <c r="AN165" s="99"/>
      <c r="AO165" s="99"/>
      <c r="AP165" s="101"/>
      <c r="AQ165" s="99"/>
      <c r="AR165" s="99"/>
      <c r="AT165" s="101"/>
      <c r="AU165" s="101"/>
      <c r="AV165" s="101"/>
      <c r="AW165" s="101"/>
      <c r="AX165" s="101"/>
      <c r="AY165" s="99"/>
      <c r="AZ165" s="99"/>
      <c r="BA165" s="99"/>
      <c r="BB165" s="99"/>
      <c r="BC165" s="101"/>
      <c r="BD165" s="99"/>
      <c r="BE165" s="99"/>
    </row>
    <row r="166" spans="3:57" s="98" customFormat="1" x14ac:dyDescent="0.2">
      <c r="C166" s="99"/>
      <c r="D166" s="100"/>
      <c r="E166" s="100"/>
      <c r="G166" s="101"/>
      <c r="H166" s="101"/>
      <c r="I166" s="101"/>
      <c r="J166" s="101"/>
      <c r="K166" s="101"/>
      <c r="L166" s="99"/>
      <c r="M166" s="99"/>
      <c r="N166" s="99"/>
      <c r="O166" s="99"/>
      <c r="P166" s="101"/>
      <c r="Q166" s="99"/>
      <c r="R166" s="99"/>
      <c r="T166" s="101"/>
      <c r="U166" s="101"/>
      <c r="V166" s="101"/>
      <c r="W166" s="101"/>
      <c r="X166" s="101"/>
      <c r="Y166" s="99"/>
      <c r="Z166" s="99"/>
      <c r="AA166" s="99"/>
      <c r="AB166" s="99"/>
      <c r="AC166" s="101"/>
      <c r="AD166" s="99"/>
      <c r="AE166" s="99"/>
      <c r="AG166" s="101"/>
      <c r="AH166" s="101"/>
      <c r="AI166" s="101"/>
      <c r="AJ166" s="101"/>
      <c r="AK166" s="101"/>
      <c r="AL166" s="99"/>
      <c r="AM166" s="99"/>
      <c r="AN166" s="99"/>
      <c r="AO166" s="99"/>
      <c r="AP166" s="101"/>
      <c r="AQ166" s="99"/>
      <c r="AR166" s="99"/>
      <c r="AT166" s="101"/>
      <c r="AU166" s="101"/>
      <c r="AV166" s="101"/>
      <c r="AW166" s="101"/>
      <c r="AX166" s="101"/>
      <c r="AY166" s="99"/>
      <c r="AZ166" s="99"/>
      <c r="BA166" s="99"/>
      <c r="BB166" s="99"/>
      <c r="BC166" s="101"/>
      <c r="BD166" s="99"/>
      <c r="BE166" s="99"/>
    </row>
    <row r="167" spans="3:57" s="98" customFormat="1" x14ac:dyDescent="0.2">
      <c r="C167" s="99"/>
      <c r="D167" s="100"/>
      <c r="E167" s="100"/>
      <c r="G167" s="101"/>
      <c r="H167" s="101"/>
      <c r="I167" s="101"/>
      <c r="J167" s="101"/>
      <c r="K167" s="101"/>
      <c r="L167" s="99"/>
      <c r="M167" s="99"/>
      <c r="N167" s="99"/>
      <c r="O167" s="99"/>
      <c r="P167" s="101"/>
      <c r="Q167" s="99"/>
      <c r="R167" s="99"/>
      <c r="T167" s="101"/>
      <c r="U167" s="101"/>
      <c r="V167" s="101"/>
      <c r="W167" s="101"/>
      <c r="X167" s="101"/>
      <c r="Y167" s="99"/>
      <c r="Z167" s="99"/>
      <c r="AA167" s="99"/>
      <c r="AB167" s="99"/>
      <c r="AC167" s="101"/>
      <c r="AD167" s="99"/>
      <c r="AE167" s="99"/>
      <c r="AG167" s="101"/>
      <c r="AH167" s="101"/>
      <c r="AI167" s="101"/>
      <c r="AJ167" s="101"/>
      <c r="AK167" s="101"/>
      <c r="AL167" s="99"/>
      <c r="AM167" s="99"/>
      <c r="AN167" s="99"/>
      <c r="AO167" s="99"/>
      <c r="AP167" s="101"/>
      <c r="AQ167" s="99"/>
      <c r="AR167" s="99"/>
      <c r="AT167" s="101"/>
      <c r="AU167" s="101"/>
      <c r="AV167" s="101"/>
      <c r="AW167" s="101"/>
      <c r="AX167" s="101"/>
      <c r="AY167" s="99"/>
      <c r="AZ167" s="99"/>
      <c r="BA167" s="99"/>
      <c r="BB167" s="99"/>
      <c r="BC167" s="101"/>
      <c r="BD167" s="99"/>
      <c r="BE167" s="99"/>
    </row>
    <row r="168" spans="3:57" s="98" customFormat="1" x14ac:dyDescent="0.2">
      <c r="C168" s="99"/>
      <c r="D168" s="100"/>
      <c r="E168" s="100"/>
      <c r="G168" s="101"/>
      <c r="H168" s="101"/>
      <c r="I168" s="101"/>
      <c r="J168" s="101"/>
      <c r="K168" s="101"/>
      <c r="L168" s="99"/>
      <c r="M168" s="99"/>
      <c r="N168" s="99"/>
      <c r="O168" s="99"/>
      <c r="P168" s="101"/>
      <c r="Q168" s="99"/>
      <c r="R168" s="99"/>
      <c r="T168" s="101"/>
      <c r="U168" s="101"/>
      <c r="V168" s="101"/>
      <c r="W168" s="101"/>
      <c r="X168" s="101"/>
      <c r="Y168" s="99"/>
      <c r="Z168" s="99"/>
      <c r="AA168" s="99"/>
      <c r="AB168" s="99"/>
      <c r="AC168" s="101"/>
      <c r="AD168" s="99"/>
      <c r="AE168" s="99"/>
      <c r="AG168" s="101"/>
      <c r="AH168" s="101"/>
      <c r="AI168" s="101"/>
      <c r="AJ168" s="101"/>
      <c r="AK168" s="101"/>
      <c r="AL168" s="99"/>
      <c r="AM168" s="99"/>
      <c r="AN168" s="99"/>
      <c r="AO168" s="99"/>
      <c r="AP168" s="101"/>
      <c r="AQ168" s="99"/>
      <c r="AR168" s="99"/>
      <c r="AT168" s="101"/>
      <c r="AU168" s="101"/>
      <c r="AV168" s="101"/>
      <c r="AW168" s="101"/>
      <c r="AX168" s="101"/>
      <c r="AY168" s="99"/>
      <c r="AZ168" s="99"/>
      <c r="BA168" s="99"/>
      <c r="BB168" s="99"/>
      <c r="BC168" s="101"/>
      <c r="BD168" s="99"/>
      <c r="BE168" s="99"/>
    </row>
    <row r="169" spans="3:57" s="98" customFormat="1" x14ac:dyDescent="0.2">
      <c r="C169" s="99"/>
      <c r="D169" s="100"/>
      <c r="E169" s="100"/>
      <c r="G169" s="101"/>
      <c r="H169" s="101"/>
      <c r="I169" s="101"/>
      <c r="J169" s="101"/>
      <c r="K169" s="101"/>
      <c r="L169" s="99"/>
      <c r="M169" s="99"/>
      <c r="N169" s="99"/>
      <c r="O169" s="99"/>
      <c r="P169" s="101"/>
      <c r="Q169" s="99"/>
      <c r="R169" s="99"/>
      <c r="T169" s="101"/>
      <c r="U169" s="101"/>
      <c r="V169" s="101"/>
      <c r="W169" s="101"/>
      <c r="X169" s="101"/>
      <c r="Y169" s="99"/>
      <c r="Z169" s="99"/>
      <c r="AA169" s="99"/>
      <c r="AB169" s="99"/>
      <c r="AC169" s="101"/>
      <c r="AD169" s="99"/>
      <c r="AE169" s="99"/>
      <c r="AG169" s="101"/>
      <c r="AH169" s="101"/>
      <c r="AI169" s="101"/>
      <c r="AJ169" s="101"/>
      <c r="AK169" s="101"/>
      <c r="AL169" s="99"/>
      <c r="AM169" s="99"/>
      <c r="AN169" s="99"/>
      <c r="AO169" s="99"/>
      <c r="AP169" s="101"/>
      <c r="AQ169" s="99"/>
      <c r="AR169" s="99"/>
      <c r="AT169" s="101"/>
      <c r="AU169" s="101"/>
      <c r="AV169" s="101"/>
      <c r="AW169" s="101"/>
      <c r="AX169" s="101"/>
      <c r="AY169" s="99"/>
      <c r="AZ169" s="99"/>
      <c r="BA169" s="99"/>
      <c r="BB169" s="99"/>
      <c r="BC169" s="101"/>
      <c r="BD169" s="99"/>
      <c r="BE169" s="99"/>
    </row>
    <row r="170" spans="3:57" s="98" customFormat="1" x14ac:dyDescent="0.2">
      <c r="C170" s="99"/>
      <c r="D170" s="100"/>
      <c r="E170" s="100"/>
      <c r="G170" s="101"/>
      <c r="H170" s="101"/>
      <c r="I170" s="101"/>
      <c r="J170" s="101"/>
      <c r="K170" s="101"/>
      <c r="L170" s="99"/>
      <c r="M170" s="99"/>
      <c r="N170" s="99"/>
      <c r="O170" s="99"/>
      <c r="P170" s="101"/>
      <c r="Q170" s="99"/>
      <c r="R170" s="99"/>
      <c r="T170" s="101"/>
      <c r="U170" s="101"/>
      <c r="V170" s="101"/>
      <c r="W170" s="101"/>
      <c r="X170" s="101"/>
      <c r="Y170" s="99"/>
      <c r="Z170" s="99"/>
      <c r="AA170" s="99"/>
      <c r="AB170" s="99"/>
      <c r="AC170" s="101"/>
      <c r="AD170" s="99"/>
      <c r="AE170" s="99"/>
      <c r="AG170" s="101"/>
      <c r="AH170" s="101"/>
      <c r="AI170" s="101"/>
      <c r="AJ170" s="101"/>
      <c r="AK170" s="101"/>
      <c r="AL170" s="99"/>
      <c r="AM170" s="99"/>
      <c r="AN170" s="99"/>
      <c r="AO170" s="99"/>
      <c r="AP170" s="101"/>
      <c r="AQ170" s="99"/>
      <c r="AR170" s="99"/>
      <c r="AT170" s="101"/>
      <c r="AU170" s="101"/>
      <c r="AV170" s="101"/>
      <c r="AW170" s="101"/>
      <c r="AX170" s="101"/>
      <c r="AY170" s="99"/>
      <c r="AZ170" s="99"/>
      <c r="BA170" s="99"/>
      <c r="BB170" s="99"/>
      <c r="BC170" s="101"/>
      <c r="BD170" s="99"/>
      <c r="BE170" s="99"/>
    </row>
    <row r="171" spans="3:57" s="98" customFormat="1" x14ac:dyDescent="0.2">
      <c r="C171" s="99"/>
      <c r="D171" s="100"/>
      <c r="E171" s="100"/>
      <c r="G171" s="101"/>
      <c r="H171" s="101"/>
      <c r="I171" s="101"/>
      <c r="J171" s="101"/>
      <c r="K171" s="101"/>
      <c r="L171" s="99"/>
      <c r="M171" s="99"/>
      <c r="N171" s="99"/>
      <c r="O171" s="99"/>
      <c r="P171" s="101"/>
      <c r="Q171" s="99"/>
      <c r="R171" s="99"/>
      <c r="T171" s="101"/>
      <c r="U171" s="101"/>
      <c r="V171" s="101"/>
      <c r="W171" s="101"/>
      <c r="X171" s="101"/>
      <c r="Y171" s="99"/>
      <c r="Z171" s="99"/>
      <c r="AA171" s="99"/>
      <c r="AB171" s="99"/>
      <c r="AC171" s="101"/>
      <c r="AD171" s="99"/>
      <c r="AE171" s="99"/>
      <c r="AG171" s="101"/>
      <c r="AH171" s="101"/>
      <c r="AI171" s="101"/>
      <c r="AJ171" s="101"/>
      <c r="AK171" s="101"/>
      <c r="AL171" s="99"/>
      <c r="AM171" s="99"/>
      <c r="AN171" s="99"/>
      <c r="AO171" s="99"/>
      <c r="AP171" s="101"/>
      <c r="AQ171" s="99"/>
      <c r="AR171" s="99"/>
      <c r="AT171" s="101"/>
      <c r="AU171" s="101"/>
      <c r="AV171" s="101"/>
      <c r="AW171" s="101"/>
      <c r="AX171" s="101"/>
      <c r="AY171" s="99"/>
      <c r="AZ171" s="99"/>
      <c r="BA171" s="99"/>
      <c r="BB171" s="99"/>
      <c r="BC171" s="101"/>
      <c r="BD171" s="99"/>
      <c r="BE171" s="99"/>
    </row>
    <row r="172" spans="3:57" s="98" customFormat="1" x14ac:dyDescent="0.2">
      <c r="C172" s="99"/>
      <c r="D172" s="100"/>
      <c r="E172" s="100"/>
      <c r="G172" s="101"/>
      <c r="H172" s="101"/>
      <c r="I172" s="101"/>
      <c r="J172" s="101"/>
      <c r="K172" s="101"/>
      <c r="L172" s="99"/>
      <c r="M172" s="99"/>
      <c r="N172" s="99"/>
      <c r="O172" s="99"/>
      <c r="P172" s="101"/>
      <c r="Q172" s="99"/>
      <c r="R172" s="99"/>
      <c r="T172" s="101"/>
      <c r="U172" s="101"/>
      <c r="V172" s="101"/>
      <c r="W172" s="101"/>
      <c r="X172" s="101"/>
      <c r="Y172" s="99"/>
      <c r="Z172" s="99"/>
      <c r="AA172" s="99"/>
      <c r="AB172" s="99"/>
      <c r="AC172" s="101"/>
      <c r="AD172" s="99"/>
      <c r="AE172" s="99"/>
      <c r="AG172" s="101"/>
      <c r="AH172" s="101"/>
      <c r="AI172" s="101"/>
      <c r="AJ172" s="101"/>
      <c r="AK172" s="101"/>
      <c r="AL172" s="99"/>
      <c r="AM172" s="99"/>
      <c r="AN172" s="99"/>
      <c r="AO172" s="99"/>
      <c r="AP172" s="101"/>
      <c r="AQ172" s="99"/>
      <c r="AR172" s="99"/>
      <c r="AT172" s="101"/>
      <c r="AU172" s="101"/>
      <c r="AV172" s="101"/>
      <c r="AW172" s="101"/>
      <c r="AX172" s="101"/>
      <c r="AY172" s="99"/>
      <c r="AZ172" s="99"/>
      <c r="BA172" s="99"/>
      <c r="BB172" s="99"/>
      <c r="BC172" s="101"/>
      <c r="BD172" s="99"/>
      <c r="BE172" s="99"/>
    </row>
    <row r="173" spans="3:57" s="98" customFormat="1" x14ac:dyDescent="0.2">
      <c r="C173" s="99"/>
      <c r="D173" s="100"/>
      <c r="E173" s="100"/>
      <c r="G173" s="101"/>
      <c r="H173" s="101"/>
      <c r="I173" s="101"/>
      <c r="J173" s="101"/>
      <c r="K173" s="101"/>
      <c r="L173" s="99"/>
      <c r="M173" s="99"/>
      <c r="N173" s="99"/>
      <c r="O173" s="99"/>
      <c r="P173" s="101"/>
      <c r="Q173" s="99"/>
      <c r="R173" s="99"/>
      <c r="T173" s="101"/>
      <c r="U173" s="101"/>
      <c r="V173" s="101"/>
      <c r="W173" s="101"/>
      <c r="X173" s="101"/>
      <c r="Y173" s="99"/>
      <c r="Z173" s="99"/>
      <c r="AA173" s="99"/>
      <c r="AB173" s="99"/>
      <c r="AC173" s="101"/>
      <c r="AD173" s="99"/>
      <c r="AE173" s="99"/>
      <c r="AG173" s="101"/>
      <c r="AH173" s="101"/>
      <c r="AI173" s="101"/>
      <c r="AJ173" s="101"/>
      <c r="AK173" s="101"/>
      <c r="AL173" s="99"/>
      <c r="AM173" s="99"/>
      <c r="AN173" s="99"/>
      <c r="AO173" s="99"/>
      <c r="AP173" s="101"/>
      <c r="AQ173" s="99"/>
      <c r="AR173" s="99"/>
      <c r="AT173" s="101"/>
      <c r="AU173" s="101"/>
      <c r="AV173" s="101"/>
      <c r="AW173" s="101"/>
      <c r="AX173" s="101"/>
      <c r="AY173" s="99"/>
      <c r="AZ173" s="99"/>
      <c r="BA173" s="99"/>
      <c r="BB173" s="99"/>
      <c r="BC173" s="101"/>
      <c r="BD173" s="99"/>
      <c r="BE173" s="99"/>
    </row>
    <row r="174" spans="3:57" s="98" customFormat="1" x14ac:dyDescent="0.2">
      <c r="C174" s="99"/>
      <c r="D174" s="100"/>
      <c r="E174" s="100"/>
      <c r="G174" s="101"/>
      <c r="H174" s="101"/>
      <c r="I174" s="101"/>
      <c r="J174" s="101"/>
      <c r="K174" s="101"/>
      <c r="L174" s="99"/>
      <c r="M174" s="99"/>
      <c r="N174" s="99"/>
      <c r="O174" s="99"/>
      <c r="P174" s="101"/>
      <c r="Q174" s="99"/>
      <c r="R174" s="99"/>
      <c r="T174" s="101"/>
      <c r="U174" s="101"/>
      <c r="V174" s="101"/>
      <c r="W174" s="101"/>
      <c r="X174" s="101"/>
      <c r="Y174" s="99"/>
      <c r="Z174" s="99"/>
      <c r="AA174" s="99"/>
      <c r="AB174" s="99"/>
      <c r="AC174" s="101"/>
      <c r="AD174" s="99"/>
      <c r="AE174" s="99"/>
      <c r="AG174" s="101"/>
      <c r="AH174" s="101"/>
      <c r="AI174" s="101"/>
      <c r="AJ174" s="101"/>
      <c r="AK174" s="101"/>
      <c r="AL174" s="99"/>
      <c r="AM174" s="99"/>
      <c r="AN174" s="99"/>
      <c r="AO174" s="99"/>
      <c r="AP174" s="101"/>
      <c r="AQ174" s="99"/>
      <c r="AR174" s="99"/>
      <c r="AT174" s="101"/>
      <c r="AU174" s="101"/>
      <c r="AV174" s="101"/>
      <c r="AW174" s="101"/>
      <c r="AX174" s="101"/>
      <c r="AY174" s="99"/>
      <c r="AZ174" s="99"/>
      <c r="BA174" s="99"/>
      <c r="BB174" s="99"/>
      <c r="BC174" s="101"/>
      <c r="BD174" s="99"/>
      <c r="BE174" s="99"/>
    </row>
    <row r="175" spans="3:57" s="98" customFormat="1" x14ac:dyDescent="0.2">
      <c r="C175" s="99"/>
      <c r="D175" s="100"/>
      <c r="E175" s="100"/>
      <c r="G175" s="101"/>
      <c r="H175" s="101"/>
      <c r="I175" s="101"/>
      <c r="J175" s="101"/>
      <c r="K175" s="101"/>
      <c r="L175" s="99"/>
      <c r="M175" s="99"/>
      <c r="N175" s="99"/>
      <c r="O175" s="99"/>
      <c r="P175" s="101"/>
      <c r="Q175" s="99"/>
      <c r="R175" s="99"/>
      <c r="T175" s="101"/>
      <c r="U175" s="101"/>
      <c r="V175" s="101"/>
      <c r="W175" s="101"/>
      <c r="X175" s="101"/>
      <c r="Y175" s="99"/>
      <c r="Z175" s="99"/>
      <c r="AA175" s="99"/>
      <c r="AB175" s="99"/>
      <c r="AC175" s="101"/>
      <c r="AD175" s="99"/>
      <c r="AE175" s="99"/>
      <c r="AG175" s="101"/>
      <c r="AH175" s="101"/>
      <c r="AI175" s="101"/>
      <c r="AJ175" s="101"/>
      <c r="AK175" s="101"/>
      <c r="AL175" s="99"/>
      <c r="AM175" s="99"/>
      <c r="AN175" s="99"/>
      <c r="AO175" s="99"/>
      <c r="AP175" s="101"/>
      <c r="AQ175" s="99"/>
      <c r="AR175" s="99"/>
      <c r="AT175" s="101"/>
      <c r="AU175" s="101"/>
      <c r="AV175" s="101"/>
      <c r="AW175" s="101"/>
      <c r="AX175" s="101"/>
      <c r="AY175" s="99"/>
      <c r="AZ175" s="99"/>
      <c r="BA175" s="99"/>
      <c r="BB175" s="99"/>
      <c r="BC175" s="101"/>
      <c r="BD175" s="99"/>
      <c r="BE175" s="99"/>
    </row>
    <row r="176" spans="3:57" s="98" customFormat="1" x14ac:dyDescent="0.2">
      <c r="C176" s="99"/>
      <c r="D176" s="100"/>
      <c r="E176" s="100"/>
      <c r="G176" s="101"/>
      <c r="H176" s="101"/>
      <c r="I176" s="101"/>
      <c r="J176" s="101"/>
      <c r="K176" s="101"/>
      <c r="L176" s="99"/>
      <c r="M176" s="99"/>
      <c r="N176" s="99"/>
      <c r="O176" s="99"/>
      <c r="P176" s="101"/>
      <c r="Q176" s="99"/>
      <c r="R176" s="99"/>
      <c r="T176" s="101"/>
      <c r="U176" s="101"/>
      <c r="V176" s="101"/>
      <c r="W176" s="101"/>
      <c r="X176" s="101"/>
      <c r="Y176" s="99"/>
      <c r="Z176" s="99"/>
      <c r="AA176" s="99"/>
      <c r="AB176" s="99"/>
      <c r="AC176" s="101"/>
      <c r="AD176" s="99"/>
      <c r="AE176" s="99"/>
      <c r="AG176" s="101"/>
      <c r="AH176" s="101"/>
      <c r="AI176" s="101"/>
      <c r="AJ176" s="101"/>
      <c r="AK176" s="101"/>
      <c r="AL176" s="99"/>
      <c r="AM176" s="99"/>
      <c r="AN176" s="99"/>
      <c r="AO176" s="99"/>
      <c r="AP176" s="101"/>
      <c r="AQ176" s="99"/>
      <c r="AR176" s="99"/>
      <c r="AT176" s="101"/>
      <c r="AU176" s="101"/>
      <c r="AV176" s="101"/>
      <c r="AW176" s="101"/>
      <c r="AX176" s="101"/>
      <c r="AY176" s="99"/>
      <c r="AZ176" s="99"/>
      <c r="BA176" s="99"/>
      <c r="BB176" s="99"/>
      <c r="BC176" s="101"/>
      <c r="BD176" s="99"/>
      <c r="BE176" s="99"/>
    </row>
    <row r="177" spans="1:68" s="98" customFormat="1" x14ac:dyDescent="0.2">
      <c r="C177" s="99"/>
      <c r="D177" s="100"/>
      <c r="E177" s="100"/>
      <c r="G177" s="101"/>
      <c r="H177" s="101"/>
      <c r="I177" s="101"/>
      <c r="J177" s="101"/>
      <c r="K177" s="101"/>
      <c r="L177" s="99"/>
      <c r="M177" s="99"/>
      <c r="N177" s="99"/>
      <c r="O177" s="99"/>
      <c r="P177" s="101"/>
      <c r="Q177" s="99"/>
      <c r="R177" s="99"/>
      <c r="T177" s="101"/>
      <c r="U177" s="101"/>
      <c r="V177" s="101"/>
      <c r="W177" s="101"/>
      <c r="X177" s="101"/>
      <c r="Y177" s="99"/>
      <c r="Z177" s="99"/>
      <c r="AA177" s="99"/>
      <c r="AB177" s="99"/>
      <c r="AC177" s="101"/>
      <c r="AD177" s="99"/>
      <c r="AE177" s="99"/>
      <c r="AG177" s="101"/>
      <c r="AH177" s="101"/>
      <c r="AI177" s="101"/>
      <c r="AJ177" s="101"/>
      <c r="AK177" s="101"/>
      <c r="AL177" s="99"/>
      <c r="AM177" s="99"/>
      <c r="AN177" s="99"/>
      <c r="AO177" s="99"/>
      <c r="AP177" s="101"/>
      <c r="AQ177" s="99"/>
      <c r="AR177" s="99"/>
      <c r="AT177" s="101"/>
      <c r="AU177" s="101"/>
      <c r="AV177" s="101"/>
      <c r="AW177" s="101"/>
      <c r="AX177" s="101"/>
      <c r="AY177" s="99"/>
      <c r="AZ177" s="99"/>
      <c r="BA177" s="99"/>
      <c r="BB177" s="99"/>
      <c r="BC177" s="101"/>
      <c r="BD177" s="99"/>
      <c r="BE177" s="99"/>
    </row>
    <row r="178" spans="1:68" s="98" customFormat="1" x14ac:dyDescent="0.2">
      <c r="C178" s="99"/>
      <c r="D178" s="100"/>
      <c r="E178" s="100"/>
      <c r="G178" s="101"/>
      <c r="H178" s="101"/>
      <c r="I178" s="101"/>
      <c r="J178" s="101"/>
      <c r="K178" s="101"/>
      <c r="L178" s="99"/>
      <c r="M178" s="99"/>
      <c r="N178" s="99"/>
      <c r="O178" s="99"/>
      <c r="P178" s="101"/>
      <c r="Q178" s="99"/>
      <c r="R178" s="99"/>
      <c r="T178" s="101"/>
      <c r="U178" s="101"/>
      <c r="V178" s="101"/>
      <c r="W178" s="101"/>
      <c r="X178" s="101"/>
      <c r="Y178" s="99"/>
      <c r="Z178" s="99"/>
      <c r="AA178" s="99"/>
      <c r="AB178" s="99"/>
      <c r="AC178" s="101"/>
      <c r="AD178" s="99"/>
      <c r="AE178" s="99"/>
      <c r="AG178" s="101"/>
      <c r="AH178" s="101"/>
      <c r="AI178" s="101"/>
      <c r="AJ178" s="101"/>
      <c r="AK178" s="101"/>
      <c r="AL178" s="99"/>
      <c r="AM178" s="99"/>
      <c r="AN178" s="99"/>
      <c r="AO178" s="99"/>
      <c r="AP178" s="101"/>
      <c r="AQ178" s="99"/>
      <c r="AR178" s="99"/>
      <c r="AT178" s="101"/>
      <c r="AU178" s="101"/>
      <c r="AV178" s="101"/>
      <c r="AW178" s="101"/>
      <c r="AX178" s="101"/>
      <c r="AY178" s="99"/>
      <c r="AZ178" s="99"/>
      <c r="BA178" s="99"/>
      <c r="BB178" s="99"/>
      <c r="BC178" s="101"/>
      <c r="BD178" s="99"/>
      <c r="BE178" s="99"/>
    </row>
    <row r="179" spans="1:68" s="98" customFormat="1" x14ac:dyDescent="0.2">
      <c r="C179" s="99"/>
      <c r="D179" s="100"/>
      <c r="E179" s="100"/>
      <c r="G179" s="101"/>
      <c r="H179" s="101"/>
      <c r="I179" s="101"/>
      <c r="J179" s="101"/>
      <c r="K179" s="101"/>
      <c r="L179" s="99"/>
      <c r="M179" s="99"/>
      <c r="N179" s="99"/>
      <c r="O179" s="99"/>
      <c r="P179" s="101"/>
      <c r="Q179" s="99"/>
      <c r="R179" s="99"/>
      <c r="T179" s="101"/>
      <c r="U179" s="101"/>
      <c r="V179" s="101"/>
      <c r="W179" s="101"/>
      <c r="X179" s="101"/>
      <c r="Y179" s="99"/>
      <c r="Z179" s="99"/>
      <c r="AA179" s="99"/>
      <c r="AB179" s="99"/>
      <c r="AC179" s="101"/>
      <c r="AD179" s="99"/>
      <c r="AE179" s="99"/>
      <c r="AG179" s="101"/>
      <c r="AH179" s="101"/>
      <c r="AI179" s="101"/>
      <c r="AJ179" s="101"/>
      <c r="AK179" s="101"/>
      <c r="AL179" s="99"/>
      <c r="AM179" s="99"/>
      <c r="AN179" s="99"/>
      <c r="AO179" s="99"/>
      <c r="AP179" s="101"/>
      <c r="AQ179" s="99"/>
      <c r="AR179" s="99"/>
      <c r="AT179" s="101"/>
      <c r="AU179" s="101"/>
      <c r="AV179" s="101"/>
      <c r="AW179" s="101"/>
      <c r="AX179" s="101"/>
      <c r="AY179" s="99"/>
      <c r="AZ179" s="99"/>
      <c r="BA179" s="99"/>
      <c r="BB179" s="99"/>
      <c r="BC179" s="101"/>
      <c r="BD179" s="99"/>
      <c r="BE179" s="99"/>
    </row>
    <row r="180" spans="1:68" s="98" customFormat="1" x14ac:dyDescent="0.2">
      <c r="C180" s="99"/>
      <c r="D180" s="100"/>
      <c r="E180" s="100"/>
      <c r="G180" s="101"/>
      <c r="H180" s="101"/>
      <c r="I180" s="101"/>
      <c r="J180" s="101"/>
      <c r="K180" s="101"/>
      <c r="L180" s="99"/>
      <c r="M180" s="99"/>
      <c r="N180" s="99"/>
      <c r="O180" s="99"/>
      <c r="P180" s="101"/>
      <c r="Q180" s="99"/>
      <c r="R180" s="99"/>
      <c r="T180" s="101"/>
      <c r="U180" s="101"/>
      <c r="V180" s="101"/>
      <c r="W180" s="101"/>
      <c r="X180" s="101"/>
      <c r="Y180" s="99"/>
      <c r="Z180" s="99"/>
      <c r="AA180" s="99"/>
      <c r="AB180" s="99"/>
      <c r="AC180" s="101"/>
      <c r="AD180" s="99"/>
      <c r="AE180" s="99"/>
      <c r="AG180" s="101"/>
      <c r="AH180" s="101"/>
      <c r="AI180" s="101"/>
      <c r="AJ180" s="101"/>
      <c r="AK180" s="101"/>
      <c r="AL180" s="99"/>
      <c r="AM180" s="99"/>
      <c r="AN180" s="99"/>
      <c r="AO180" s="99"/>
      <c r="AP180" s="101"/>
      <c r="AQ180" s="99"/>
      <c r="AR180" s="99"/>
      <c r="AT180" s="101"/>
      <c r="AU180" s="101"/>
      <c r="AV180" s="101"/>
      <c r="AW180" s="101"/>
      <c r="AX180" s="101"/>
      <c r="AY180" s="99"/>
      <c r="AZ180" s="99"/>
      <c r="BA180" s="99"/>
      <c r="BB180" s="99"/>
      <c r="BC180" s="101"/>
      <c r="BD180" s="99"/>
      <c r="BE180" s="99"/>
    </row>
    <row r="181" spans="1:68" s="98" customFormat="1" x14ac:dyDescent="0.2">
      <c r="C181" s="99"/>
      <c r="D181" s="100"/>
      <c r="E181" s="100"/>
      <c r="G181" s="101"/>
      <c r="H181" s="101"/>
      <c r="I181" s="101"/>
      <c r="J181" s="101"/>
      <c r="K181" s="101"/>
      <c r="L181" s="99"/>
      <c r="M181" s="99"/>
      <c r="N181" s="99"/>
      <c r="O181" s="99"/>
      <c r="P181" s="101"/>
      <c r="Q181" s="99"/>
      <c r="R181" s="99"/>
      <c r="T181" s="101"/>
      <c r="U181" s="101"/>
      <c r="V181" s="101"/>
      <c r="W181" s="101"/>
      <c r="X181" s="101"/>
      <c r="Y181" s="99"/>
      <c r="Z181" s="99"/>
      <c r="AA181" s="99"/>
      <c r="AB181" s="99"/>
      <c r="AC181" s="101"/>
      <c r="AD181" s="99"/>
      <c r="AE181" s="99"/>
      <c r="AG181" s="101"/>
      <c r="AH181" s="101"/>
      <c r="AI181" s="101"/>
      <c r="AJ181" s="101"/>
      <c r="AK181" s="101"/>
      <c r="AL181" s="99"/>
      <c r="AM181" s="99"/>
      <c r="AN181" s="99"/>
      <c r="AO181" s="99"/>
      <c r="AP181" s="101"/>
      <c r="AQ181" s="99"/>
      <c r="AR181" s="99"/>
      <c r="AT181" s="101"/>
      <c r="AU181" s="101"/>
      <c r="AV181" s="101"/>
      <c r="AW181" s="101"/>
      <c r="AX181" s="101"/>
      <c r="AY181" s="99"/>
      <c r="AZ181" s="99"/>
      <c r="BA181" s="99"/>
      <c r="BB181" s="99"/>
      <c r="BC181" s="101"/>
      <c r="BD181" s="99"/>
      <c r="BE181" s="99"/>
    </row>
    <row r="182" spans="1:68" s="98" customFormat="1" x14ac:dyDescent="0.2">
      <c r="C182" s="99"/>
      <c r="D182" s="100"/>
      <c r="E182" s="100"/>
      <c r="G182" s="101"/>
      <c r="H182" s="101"/>
      <c r="I182" s="101"/>
      <c r="J182" s="101"/>
      <c r="K182" s="101"/>
      <c r="L182" s="99"/>
      <c r="M182" s="99"/>
      <c r="N182" s="99"/>
      <c r="O182" s="99"/>
      <c r="P182" s="101"/>
      <c r="Q182" s="99"/>
      <c r="R182" s="99"/>
      <c r="T182" s="101"/>
      <c r="U182" s="101"/>
      <c r="V182" s="101"/>
      <c r="W182" s="101"/>
      <c r="X182" s="101"/>
      <c r="Y182" s="99"/>
      <c r="Z182" s="99"/>
      <c r="AA182" s="99"/>
      <c r="AB182" s="99"/>
      <c r="AC182" s="101"/>
      <c r="AD182" s="99"/>
      <c r="AE182" s="99"/>
      <c r="AG182" s="101"/>
      <c r="AH182" s="101"/>
      <c r="AI182" s="101"/>
      <c r="AJ182" s="101"/>
      <c r="AK182" s="101"/>
      <c r="AL182" s="99"/>
      <c r="AM182" s="99"/>
      <c r="AN182" s="99"/>
      <c r="AO182" s="99"/>
      <c r="AP182" s="101"/>
      <c r="AQ182" s="99"/>
      <c r="AR182" s="99"/>
      <c r="AT182" s="101"/>
      <c r="AU182" s="101"/>
      <c r="AV182" s="101"/>
      <c r="AW182" s="101"/>
      <c r="AX182" s="101"/>
      <c r="AY182" s="99"/>
      <c r="AZ182" s="99"/>
      <c r="BA182" s="99"/>
      <c r="BB182" s="99"/>
      <c r="BC182" s="101"/>
      <c r="BD182" s="99"/>
      <c r="BE182" s="99"/>
    </row>
    <row r="183" spans="1:68" s="98" customFormat="1" x14ac:dyDescent="0.2">
      <c r="C183" s="99"/>
      <c r="D183" s="100"/>
      <c r="E183" s="100"/>
      <c r="G183" s="101"/>
      <c r="H183" s="101"/>
      <c r="I183" s="101"/>
      <c r="J183" s="101"/>
      <c r="K183" s="101"/>
      <c r="L183" s="99"/>
      <c r="M183" s="99"/>
      <c r="N183" s="99"/>
      <c r="O183" s="99"/>
      <c r="P183" s="101"/>
      <c r="Q183" s="99"/>
      <c r="R183" s="99"/>
      <c r="T183" s="101"/>
      <c r="U183" s="101"/>
      <c r="V183" s="101"/>
      <c r="W183" s="101"/>
      <c r="X183" s="101"/>
      <c r="Y183" s="99"/>
      <c r="Z183" s="99"/>
      <c r="AA183" s="99"/>
      <c r="AB183" s="99"/>
      <c r="AC183" s="101"/>
      <c r="AD183" s="99"/>
      <c r="AE183" s="99"/>
      <c r="AG183" s="101"/>
      <c r="AH183" s="101"/>
      <c r="AI183" s="101"/>
      <c r="AJ183" s="101"/>
      <c r="AK183" s="101"/>
      <c r="AL183" s="99"/>
      <c r="AM183" s="99"/>
      <c r="AN183" s="99"/>
      <c r="AO183" s="99"/>
      <c r="AP183" s="101"/>
      <c r="AQ183" s="99"/>
      <c r="AR183" s="99"/>
      <c r="AT183" s="101"/>
      <c r="AU183" s="101"/>
      <c r="AV183" s="101"/>
      <c r="AW183" s="101"/>
      <c r="AX183" s="101"/>
      <c r="AY183" s="99"/>
      <c r="AZ183" s="99"/>
      <c r="BA183" s="99"/>
      <c r="BB183" s="99"/>
      <c r="BC183" s="101"/>
      <c r="BD183" s="99"/>
      <c r="BE183" s="99"/>
    </row>
    <row r="184" spans="1:68" s="98" customFormat="1" x14ac:dyDescent="0.2">
      <c r="C184" s="99"/>
      <c r="D184" s="100"/>
      <c r="E184" s="100"/>
      <c r="G184" s="101"/>
      <c r="H184" s="101"/>
      <c r="I184" s="101"/>
      <c r="J184" s="101"/>
      <c r="K184" s="101"/>
      <c r="L184" s="99"/>
      <c r="M184" s="99"/>
      <c r="N184" s="99"/>
      <c r="O184" s="99"/>
      <c r="P184" s="101"/>
      <c r="Q184" s="99"/>
      <c r="R184" s="99"/>
      <c r="T184" s="101"/>
      <c r="U184" s="101"/>
      <c r="V184" s="101"/>
      <c r="W184" s="101"/>
      <c r="X184" s="101"/>
      <c r="Y184" s="99"/>
      <c r="Z184" s="99"/>
      <c r="AA184" s="99"/>
      <c r="AB184" s="99"/>
      <c r="AC184" s="101"/>
      <c r="AD184" s="99"/>
      <c r="AE184" s="99"/>
      <c r="AG184" s="101"/>
      <c r="AH184" s="101"/>
      <c r="AI184" s="101"/>
      <c r="AJ184" s="101"/>
      <c r="AK184" s="101"/>
      <c r="AL184" s="99"/>
      <c r="AM184" s="99"/>
      <c r="AN184" s="99"/>
      <c r="AO184" s="99"/>
      <c r="AP184" s="101"/>
      <c r="AQ184" s="99"/>
      <c r="AR184" s="99"/>
      <c r="AT184" s="101"/>
      <c r="AU184" s="101"/>
      <c r="AV184" s="101"/>
      <c r="AW184" s="101"/>
      <c r="AX184" s="101"/>
      <c r="AY184" s="99"/>
      <c r="AZ184" s="99"/>
      <c r="BA184" s="99"/>
      <c r="BB184" s="99"/>
      <c r="BC184" s="101"/>
      <c r="BD184" s="99"/>
      <c r="BE184" s="99"/>
    </row>
    <row r="185" spans="1:68" s="98" customFormat="1" x14ac:dyDescent="0.2">
      <c r="C185" s="99"/>
      <c r="D185" s="100"/>
      <c r="E185" s="100"/>
      <c r="G185" s="101"/>
      <c r="H185" s="101"/>
      <c r="I185" s="101"/>
      <c r="J185" s="101"/>
      <c r="K185" s="101"/>
      <c r="L185" s="99"/>
      <c r="M185" s="99"/>
      <c r="N185" s="99"/>
      <c r="O185" s="99"/>
      <c r="P185" s="101"/>
      <c r="Q185" s="99"/>
      <c r="R185" s="99"/>
      <c r="T185" s="101"/>
      <c r="U185" s="101"/>
      <c r="V185" s="101"/>
      <c r="W185" s="101"/>
      <c r="X185" s="101"/>
      <c r="Y185" s="99"/>
      <c r="Z185" s="99"/>
      <c r="AA185" s="99"/>
      <c r="AB185" s="99"/>
      <c r="AC185" s="101"/>
      <c r="AD185" s="99"/>
      <c r="AE185" s="99"/>
      <c r="AG185" s="101"/>
      <c r="AH185" s="101"/>
      <c r="AI185" s="101"/>
      <c r="AJ185" s="101"/>
      <c r="AK185" s="101"/>
      <c r="AL185" s="99"/>
      <c r="AM185" s="99"/>
      <c r="AN185" s="99"/>
      <c r="AO185" s="99"/>
      <c r="AP185" s="101"/>
      <c r="AQ185" s="99"/>
      <c r="AR185" s="99"/>
      <c r="AT185" s="101"/>
      <c r="AU185" s="101"/>
      <c r="AV185" s="101"/>
      <c r="AW185" s="101"/>
      <c r="AX185" s="101"/>
      <c r="AY185" s="99"/>
      <c r="AZ185" s="99"/>
      <c r="BA185" s="99"/>
      <c r="BB185" s="99"/>
      <c r="BC185" s="101"/>
      <c r="BD185" s="99"/>
      <c r="BE185" s="99"/>
    </row>
    <row r="186" spans="1:68" s="105" customFormat="1" x14ac:dyDescent="0.2">
      <c r="A186" s="98"/>
      <c r="B186" s="98"/>
      <c r="C186" s="99"/>
      <c r="D186" s="100"/>
      <c r="E186" s="100"/>
      <c r="F186" s="98"/>
      <c r="G186" s="101"/>
      <c r="H186" s="101"/>
      <c r="I186" s="101"/>
      <c r="J186" s="101"/>
      <c r="K186" s="101"/>
      <c r="L186" s="99"/>
      <c r="M186" s="99"/>
      <c r="N186" s="99"/>
      <c r="O186" s="99"/>
      <c r="P186" s="101"/>
      <c r="Q186" s="99"/>
      <c r="R186" s="99"/>
      <c r="S186" s="98"/>
      <c r="T186" s="101"/>
      <c r="U186" s="101"/>
      <c r="V186" s="101"/>
      <c r="W186" s="101"/>
      <c r="X186" s="101"/>
      <c r="Y186" s="99"/>
      <c r="Z186" s="99"/>
      <c r="AA186" s="99"/>
      <c r="AB186" s="99"/>
      <c r="AC186" s="101"/>
      <c r="AD186" s="99"/>
      <c r="AE186" s="99"/>
      <c r="AF186" s="98"/>
      <c r="AG186" s="101"/>
      <c r="AH186" s="101"/>
      <c r="AI186" s="101"/>
      <c r="AJ186" s="101"/>
      <c r="AK186" s="101"/>
      <c r="AL186" s="99"/>
      <c r="AM186" s="99"/>
      <c r="AN186" s="99"/>
      <c r="AO186" s="99"/>
      <c r="AP186" s="101"/>
      <c r="AQ186" s="99"/>
      <c r="AR186" s="99"/>
      <c r="AS186" s="98"/>
      <c r="AT186" s="101"/>
      <c r="AU186" s="101"/>
      <c r="AV186" s="101"/>
      <c r="AW186" s="101"/>
      <c r="AX186" s="101"/>
      <c r="AY186" s="99"/>
      <c r="AZ186" s="99"/>
      <c r="BA186" s="99"/>
      <c r="BB186" s="99"/>
      <c r="BC186" s="101"/>
      <c r="BD186" s="99"/>
      <c r="BE186" s="99"/>
      <c r="BF186" s="98"/>
      <c r="BG186" s="98"/>
      <c r="BH186" s="98"/>
      <c r="BI186" s="98"/>
      <c r="BJ186" s="98"/>
      <c r="BK186" s="98"/>
      <c r="BL186" s="98"/>
      <c r="BM186" s="98"/>
      <c r="BN186" s="98"/>
      <c r="BO186" s="98"/>
      <c r="BP186" s="98"/>
    </row>
    <row r="1048542" spans="6:6" x14ac:dyDescent="0.2">
      <c r="F1048542" s="106"/>
    </row>
  </sheetData>
  <sheetProtection algorithmName="SHA-512" hashValue="CZCPPP1IVRxoKMNAG143G8oq57CDYKyNRSeKy1d0oDETnEJ5C1yCbK5pER9e1qtj+otjFuEVBcscF8UTWf64HQ==" saltValue="ljr2Y+lFg8XSSegS3I6TGQ==" spinCount="100000" sheet="1" objects="1" scenarios="1"/>
  <mergeCells count="30">
    <mergeCell ref="AK5:AK6"/>
    <mergeCell ref="AG3:AR3"/>
    <mergeCell ref="BE5:BE6"/>
    <mergeCell ref="AR5:AR6"/>
    <mergeCell ref="BC5:BC6"/>
    <mergeCell ref="AX5:AX6"/>
    <mergeCell ref="AP5:AP6"/>
    <mergeCell ref="AT3:BE3"/>
    <mergeCell ref="AY4:BB4"/>
    <mergeCell ref="AT4:AW4"/>
    <mergeCell ref="E1:P1"/>
    <mergeCell ref="E2:P2"/>
    <mergeCell ref="G3:R3"/>
    <mergeCell ref="D3:F3"/>
    <mergeCell ref="AL4:AO4"/>
    <mergeCell ref="AG4:AJ4"/>
    <mergeCell ref="D4:F4"/>
    <mergeCell ref="D5:F6"/>
    <mergeCell ref="C3:C7"/>
    <mergeCell ref="T3:AE3"/>
    <mergeCell ref="AC5:AC6"/>
    <mergeCell ref="AE5:AE6"/>
    <mergeCell ref="Y4:AB4"/>
    <mergeCell ref="T4:W4"/>
    <mergeCell ref="X5:X6"/>
    <mergeCell ref="L4:O4"/>
    <mergeCell ref="R5:R6"/>
    <mergeCell ref="G4:J4"/>
    <mergeCell ref="K5:K6"/>
    <mergeCell ref="P5:P6"/>
  </mergeCells>
  <phoneticPr fontId="3" type="noConversion"/>
  <conditionalFormatting sqref="G8:G67">
    <cfRule type="cellIs" dxfId="130" priority="51" operator="greaterThan">
      <formula>$G$6</formula>
    </cfRule>
  </conditionalFormatting>
  <conditionalFormatting sqref="G6:J6 L6:O6 Q6 T6:W6 Y6:AB6 AD6 AG6:AJ6 AL6:AO6 AQ6 AT6:AW6 AY6:BB6 BD6">
    <cfRule type="expression" dxfId="129" priority="2">
      <formula>AND(ISTEXT(G6),G6&lt;&gt;"")</formula>
    </cfRule>
  </conditionalFormatting>
  <conditionalFormatting sqref="G8:J67 L8:O67 Q8:Q67 T8:W67 Y8:AB67 AD8:AD67 AG8:AJ67 AL8:AO67 AQ8:AQ67 AT8:AW67 AY8:BB67 BD8:BD67">
    <cfRule type="expression" dxfId="128" priority="1">
      <formula>ISTEXT(G8)</formula>
    </cfRule>
  </conditionalFormatting>
  <conditionalFormatting sqref="H8:H67">
    <cfRule type="cellIs" dxfId="127" priority="50" operator="greaterThan">
      <formula>$H$6</formula>
    </cfRule>
  </conditionalFormatting>
  <conditionalFormatting sqref="I8:I67">
    <cfRule type="cellIs" dxfId="126" priority="49" operator="greaterThan">
      <formula>$I$6</formula>
    </cfRule>
  </conditionalFormatting>
  <conditionalFormatting sqref="J8:J67">
    <cfRule type="cellIs" dxfId="125" priority="48" operator="greaterThan">
      <formula>$J$6</formula>
    </cfRule>
  </conditionalFormatting>
  <conditionalFormatting sqref="L8:L67">
    <cfRule type="cellIs" dxfId="124" priority="47" operator="greaterThan">
      <formula>$L$6</formula>
    </cfRule>
  </conditionalFormatting>
  <conditionalFormatting sqref="M8:M67">
    <cfRule type="cellIs" dxfId="123" priority="46" operator="greaterThan">
      <formula>$M$6</formula>
    </cfRule>
  </conditionalFormatting>
  <conditionalFormatting sqref="N8:N67">
    <cfRule type="cellIs" dxfId="122" priority="45" operator="greaterThan">
      <formula>$N$6</formula>
    </cfRule>
  </conditionalFormatting>
  <conditionalFormatting sqref="O8:O67">
    <cfRule type="cellIs" dxfId="121" priority="44" operator="greaterThan">
      <formula>$O$6</formula>
    </cfRule>
  </conditionalFormatting>
  <conditionalFormatting sqref="Q8:Q67">
    <cfRule type="cellIs" dxfId="120" priority="43" operator="greaterThan">
      <formula>$Q$6</formula>
    </cfRule>
  </conditionalFormatting>
  <conditionalFormatting sqref="T8:T67">
    <cfRule type="cellIs" dxfId="119" priority="42" operator="greaterThan">
      <formula>$T$6</formula>
    </cfRule>
  </conditionalFormatting>
  <conditionalFormatting sqref="U8:U67">
    <cfRule type="cellIs" dxfId="118" priority="41" operator="greaterThan">
      <formula>$U$6</formula>
    </cfRule>
  </conditionalFormatting>
  <conditionalFormatting sqref="V8:V67">
    <cfRule type="cellIs" dxfId="117" priority="40" operator="greaterThan">
      <formula>$V$6</formula>
    </cfRule>
  </conditionalFormatting>
  <conditionalFormatting sqref="W8:W67">
    <cfRule type="cellIs" dxfId="116" priority="39" operator="greaterThan">
      <formula>$W$6</formula>
    </cfRule>
  </conditionalFormatting>
  <conditionalFormatting sqref="Y8:Y67">
    <cfRule type="cellIs" dxfId="115" priority="38" operator="greaterThan">
      <formula>$Y$6</formula>
    </cfRule>
  </conditionalFormatting>
  <conditionalFormatting sqref="Z8:Z67">
    <cfRule type="cellIs" dxfId="114" priority="37" operator="greaterThan">
      <formula>$Z$6</formula>
    </cfRule>
  </conditionalFormatting>
  <conditionalFormatting sqref="AA8:AA67">
    <cfRule type="cellIs" dxfId="113" priority="36" operator="greaterThan">
      <formula>$AA$6</formula>
    </cfRule>
  </conditionalFormatting>
  <conditionalFormatting sqref="AB8:AB67">
    <cfRule type="cellIs" dxfId="112" priority="35" operator="greaterThan">
      <formula>$AB$6</formula>
    </cfRule>
  </conditionalFormatting>
  <conditionalFormatting sqref="AD8:AD67">
    <cfRule type="cellIs" dxfId="111" priority="34" operator="greaterThan">
      <formula>$AD$6</formula>
    </cfRule>
  </conditionalFormatting>
  <conditionalFormatting sqref="AG8:AG67">
    <cfRule type="cellIs" dxfId="110" priority="33" operator="greaterThan">
      <formula>$AG$6</formula>
    </cfRule>
  </conditionalFormatting>
  <conditionalFormatting sqref="AH8:AH67">
    <cfRule type="cellIs" dxfId="109" priority="32" operator="greaterThan">
      <formula>$AH$6</formula>
    </cfRule>
  </conditionalFormatting>
  <conditionalFormatting sqref="AI8:AI67">
    <cfRule type="cellIs" dxfId="108" priority="31" operator="greaterThan">
      <formula>$AI$6</formula>
    </cfRule>
  </conditionalFormatting>
  <conditionalFormatting sqref="AJ8:AJ67">
    <cfRule type="cellIs" dxfId="107" priority="30" operator="greaterThan">
      <formula>$AJ$6</formula>
    </cfRule>
  </conditionalFormatting>
  <conditionalFormatting sqref="AL8:AL67">
    <cfRule type="cellIs" dxfId="106" priority="29" operator="greaterThan">
      <formula>$AL$6</formula>
    </cfRule>
  </conditionalFormatting>
  <conditionalFormatting sqref="AM8:AM67">
    <cfRule type="cellIs" dxfId="105" priority="28" operator="greaterThan">
      <formula>$AM$6</formula>
    </cfRule>
  </conditionalFormatting>
  <conditionalFormatting sqref="AN8:AN67">
    <cfRule type="cellIs" dxfId="104" priority="27" operator="greaterThan">
      <formula>$AN$6</formula>
    </cfRule>
  </conditionalFormatting>
  <conditionalFormatting sqref="AO8:AO67">
    <cfRule type="cellIs" dxfId="103" priority="26" operator="greaterThan">
      <formula>$AO$6</formula>
    </cfRule>
  </conditionalFormatting>
  <conditionalFormatting sqref="AQ8:AQ67">
    <cfRule type="cellIs" dxfId="102" priority="25" operator="greaterThan">
      <formula>$AQ$6</formula>
    </cfRule>
  </conditionalFormatting>
  <conditionalFormatting sqref="AT8:AT67">
    <cfRule type="cellIs" dxfId="101" priority="24" operator="greaterThan">
      <formula>$AT$6</formula>
    </cfRule>
  </conditionalFormatting>
  <conditionalFormatting sqref="AU8:AU67">
    <cfRule type="cellIs" dxfId="100" priority="23" operator="greaterThan">
      <formula>$AU$6</formula>
    </cfRule>
  </conditionalFormatting>
  <conditionalFormatting sqref="AV8:AV67">
    <cfRule type="cellIs" dxfId="99" priority="22" operator="greaterThan">
      <formula>$AV$6</formula>
    </cfRule>
  </conditionalFormatting>
  <conditionalFormatting sqref="AW8:AW67">
    <cfRule type="cellIs" dxfId="98" priority="21" operator="greaterThan">
      <formula>$AW$6</formula>
    </cfRule>
  </conditionalFormatting>
  <conditionalFormatting sqref="AY8:AY67">
    <cfRule type="cellIs" dxfId="97" priority="20" operator="greaterThan">
      <formula>$AY$6</formula>
    </cfRule>
  </conditionalFormatting>
  <conditionalFormatting sqref="AZ8:AZ67">
    <cfRule type="cellIs" dxfId="96" priority="19" operator="greaterThan">
      <formula>$AZ$6</formula>
    </cfRule>
  </conditionalFormatting>
  <conditionalFormatting sqref="BA8:BA67">
    <cfRule type="cellIs" dxfId="95" priority="18" operator="greaterThan">
      <formula>$BA$6</formula>
    </cfRule>
  </conditionalFormatting>
  <conditionalFormatting sqref="BB8:BB67">
    <cfRule type="cellIs" dxfId="94" priority="17" operator="greaterThan">
      <formula>$BB$6</formula>
    </cfRule>
  </conditionalFormatting>
  <conditionalFormatting sqref="BD8:BD67">
    <cfRule type="cellIs" dxfId="93" priority="16" operator="greaterThan">
      <formula>$BD$6</formula>
    </cfRule>
  </conditionalFormatting>
  <dataValidations count="36">
    <dataValidation type="decimal" allowBlank="1" showInputMessage="1" showErrorMessage="1" errorTitle="Invalid Entry" error="Data entered is greater/less than the number of items." sqref="L8:L67" xr:uid="{00000000-0002-0000-0100-000001000000}">
      <formula1>0</formula1>
      <formula2>$L$6</formula2>
    </dataValidation>
    <dataValidation type="decimal" allowBlank="1" showInputMessage="1" showErrorMessage="1" errorTitle="Invalid Entry" error="Data entered is greater/less than the number of items." sqref="M8:M67" xr:uid="{00000000-0002-0000-0100-000002000000}">
      <formula1>0</formula1>
      <formula2>$M$6</formula2>
    </dataValidation>
    <dataValidation type="decimal" allowBlank="1" showInputMessage="1" showErrorMessage="1" errorTitle="Invalid Entry" error="Data entered is greater/less than the number of items." sqref="Q8:Q67" xr:uid="{00000000-0002-0000-0100-000004000000}">
      <formula1>0</formula1>
      <formula2>$Q$6</formula2>
    </dataValidation>
    <dataValidation type="decimal" allowBlank="1" showInputMessage="1" showErrorMessage="1" errorTitle="Invalid Entry" error="Data entered is greater/less than the number of items." sqref="Y8:Y67" xr:uid="{00000000-0002-0000-0100-000015000000}">
      <formula1>0</formula1>
      <formula2>$Y$6</formula2>
    </dataValidation>
    <dataValidation type="decimal" allowBlank="1" showInputMessage="1" showErrorMessage="1" errorTitle="Invalid Entry" error="Data entered is greater/less than the number of items." sqref="Z8:Z67" xr:uid="{00000000-0002-0000-0100-000016000000}">
      <formula1>0</formula1>
      <formula2>$Z$6</formula2>
    </dataValidation>
    <dataValidation type="decimal" allowBlank="1" showInputMessage="1" showErrorMessage="1" errorTitle="Invalid Entry" error="Data entered is greater/less than the number of items." sqref="AB8:AB67" xr:uid="{00000000-0002-0000-0100-000017000000}">
      <formula1>0</formula1>
      <formula2>$AB$6</formula2>
    </dataValidation>
    <dataValidation type="decimal" allowBlank="1" showInputMessage="1" showErrorMessage="1" errorTitle="Invalid Entry" error="Data entered is greater/less than the number of items." sqref="AD8:AD67" xr:uid="{00000000-0002-0000-0100-000018000000}">
      <formula1>0</formula1>
      <formula2>$AD$6</formula2>
    </dataValidation>
    <dataValidation type="decimal" allowBlank="1" showInputMessage="1" showErrorMessage="1" errorTitle="Invalid Entry" error="Data entered is greater/less than the number of items." sqref="AL8:AL67" xr:uid="{00000000-0002-0000-0100-000028000000}">
      <formula1>0</formula1>
      <formula2>$AL$6</formula2>
    </dataValidation>
    <dataValidation type="decimal" allowBlank="1" showInputMessage="1" showErrorMessage="1" errorTitle="Invalid Entry" error="Data entered is greater/less than the number of items." sqref="AM8:AM67" xr:uid="{00000000-0002-0000-0100-000029000000}">
      <formula1>0</formula1>
      <formula2>$AM$6</formula2>
    </dataValidation>
    <dataValidation type="decimal" allowBlank="1" showInputMessage="1" showErrorMessage="1" errorTitle="Invalid Entry" error="Data entered is greater/less than the number of items." sqref="AO8:AO67" xr:uid="{00000000-0002-0000-0100-00002A000000}">
      <formula1>0</formula1>
      <formula2>$AO$6</formula2>
    </dataValidation>
    <dataValidation type="decimal" allowBlank="1" showInputMessage="1" showErrorMessage="1" errorTitle="Invalid Entry" error="Data entered is greater/less than the number of items." sqref="AQ8:AQ67" xr:uid="{00000000-0002-0000-0100-00002B000000}">
      <formula1>0</formula1>
      <formula2>$AQ$6</formula2>
    </dataValidation>
    <dataValidation type="decimal" allowBlank="1" showInputMessage="1" showErrorMessage="1" errorTitle="Invalid Entry" error="Data entered is greater/less than the number of items." sqref="AY8:AY67" xr:uid="{00000000-0002-0000-0100-00003C000000}">
      <formula1>0</formula1>
      <formula2>$AY$6</formula2>
    </dataValidation>
    <dataValidation type="decimal" allowBlank="1" showInputMessage="1" showErrorMessage="1" errorTitle="Invalid Entry" error="Data entered is greater/less than the number of items." sqref="AZ8:AZ67" xr:uid="{00000000-0002-0000-0100-00003D000000}">
      <formula1>0</formula1>
      <formula2>$AZ$6</formula2>
    </dataValidation>
    <dataValidation type="decimal" allowBlank="1" showInputMessage="1" showErrorMessage="1" errorTitle="Invalid Entry" error="Data entered is greater/less than the number of items." sqref="BB8:BB67" xr:uid="{00000000-0002-0000-0100-00003E000000}">
      <formula1>0</formula1>
      <formula2>$BB$6</formula2>
    </dataValidation>
    <dataValidation type="decimal" allowBlank="1" showInputMessage="1" showErrorMessage="1" errorTitle="Invalid Entry" error="Data entered is greater/less than the number of items." sqref="BD8:BD67" xr:uid="{00000000-0002-0000-0100-00003F000000}">
      <formula1>0</formula1>
      <formula2>$BD$6</formula2>
    </dataValidation>
    <dataValidation type="decimal" allowBlank="1" showInputMessage="1" showErrorMessage="1" errorTitle="Invalid Entry" error="Data entered is greater/less than the number of items." sqref="AT8:AT67" xr:uid="{00000000-0002-0000-0100-000050000000}">
      <formula1>0</formula1>
      <formula2>$AT$6</formula2>
    </dataValidation>
    <dataValidation type="decimal" allowBlank="1" showInputMessage="1" showErrorMessage="1" errorTitle="Invalid Entry" error="Data entered is greater/less than the number of items." sqref="AU8:AU67" xr:uid="{00000000-0002-0000-0100-000051000000}">
      <formula1>0</formula1>
      <formula2>$AU$6</formula2>
    </dataValidation>
    <dataValidation type="decimal" allowBlank="1" showInputMessage="1" showErrorMessage="1" errorTitle="Invalid Entry" error="Data entered is greater/less than the number of items." sqref="AV8:AV67" xr:uid="{00000000-0002-0000-0100-000052000000}">
      <formula1>0</formula1>
      <formula2>$AV$6</formula2>
    </dataValidation>
    <dataValidation type="decimal" allowBlank="1" showInputMessage="1" showErrorMessage="1" errorTitle="Invalid Entry" error="Data entered is greater/less than the number of items." sqref="AW8:AW67" xr:uid="{00000000-0002-0000-0100-000053000000}">
      <formula1>0</formula1>
      <formula2>$AW$6</formula2>
    </dataValidation>
    <dataValidation type="decimal" allowBlank="1" showInputMessage="1" showErrorMessage="1" errorTitle="Invalid Entry" error="Data entered is greater/less than the number of items." sqref="G8:G67" xr:uid="{00000000-0002-0000-0100-000054000000}">
      <formula1>0</formula1>
      <formula2>$G$6</formula2>
    </dataValidation>
    <dataValidation type="decimal" allowBlank="1" showInputMessage="1" showErrorMessage="1" errorTitle="Invalid Entry" error="Data entered is greater/less than the number of items." sqref="H8:H67" xr:uid="{00000000-0002-0000-0100-000055000000}">
      <formula1>0</formula1>
      <formula2>$H$6</formula2>
    </dataValidation>
    <dataValidation type="decimal" allowBlank="1" showInputMessage="1" showErrorMessage="1" errorTitle="Invalid Entry" error="Data entered is greater/less than the number of items." sqref="I8:I67" xr:uid="{00000000-0002-0000-0100-000056000000}">
      <formula1>0</formula1>
      <formula2>$I$6</formula2>
    </dataValidation>
    <dataValidation type="decimal" allowBlank="1" showInputMessage="1" showErrorMessage="1" errorTitle="Invalid Entry" error="Data entered is greater/less than the number of items." sqref="J8:J67" xr:uid="{00000000-0002-0000-0100-000057000000}">
      <formula1>0</formula1>
      <formula2>$J$6</formula2>
    </dataValidation>
    <dataValidation type="decimal" allowBlank="1" showInputMessage="1" showErrorMessage="1" errorTitle="Invalid Entry" error="Data entered is greater/less than the number of items." sqref="T8:T67" xr:uid="{00000000-0002-0000-0100-000058000000}">
      <formula1>0</formula1>
      <formula2>$T$6</formula2>
    </dataValidation>
    <dataValidation type="decimal" allowBlank="1" showInputMessage="1" showErrorMessage="1" errorTitle="Invalid Entry" error="Data entered is greater/less than the number of items." sqref="U8:U67" xr:uid="{00000000-0002-0000-0100-000059000000}">
      <formula1>0</formula1>
      <formula2>$U$6</formula2>
    </dataValidation>
    <dataValidation type="decimal" allowBlank="1" showInputMessage="1" showErrorMessage="1" errorTitle="Invalid Entry" error="Data entered is greater/less than the number of items." sqref="V8:V67" xr:uid="{00000000-0002-0000-0100-00005A000000}">
      <formula1>0</formula1>
      <formula2>$V$6</formula2>
    </dataValidation>
    <dataValidation type="decimal" allowBlank="1" showInputMessage="1" showErrorMessage="1" errorTitle="Invalid Entry" error="Data entered is greater/less than the number of items." sqref="W8:W67" xr:uid="{00000000-0002-0000-0100-00005B000000}">
      <formula1>0</formula1>
      <formula2>$W$6</formula2>
    </dataValidation>
    <dataValidation type="decimal" allowBlank="1" showInputMessage="1" showErrorMessage="1" errorTitle="Invalid Entry" error="Data entered is greater/less than the number of items." sqref="AG8:AG67" xr:uid="{00000000-0002-0000-0100-00005C000000}">
      <formula1>0</formula1>
      <formula2>$AG$6</formula2>
    </dataValidation>
    <dataValidation type="decimal" allowBlank="1" showInputMessage="1" showErrorMessage="1" errorTitle="Invalid Entry" error="Data entered is greater/less than the number of items." sqref="AH8:AH67" xr:uid="{00000000-0002-0000-0100-00005D000000}">
      <formula1>0</formula1>
      <formula2>$AH$6</formula2>
    </dataValidation>
    <dataValidation type="decimal" allowBlank="1" showInputMessage="1" showErrorMessage="1" errorTitle="Invalid Entry" error="Data entered is greater/less than the number of items." sqref="AI8:AI67" xr:uid="{00000000-0002-0000-0100-00005E000000}">
      <formula1>0</formula1>
      <formula2>$AI$6</formula2>
    </dataValidation>
    <dataValidation type="decimal" allowBlank="1" showInputMessage="1" showErrorMessage="1" errorTitle="Invalid Entry" error="Data entered is greater/less than the number of items." sqref="AJ8:AJ67" xr:uid="{00000000-0002-0000-0100-00005F000000}">
      <formula1>0</formula1>
      <formula2>$AJ$6</formula2>
    </dataValidation>
    <dataValidation type="decimal" allowBlank="1" showInputMessage="1" showErrorMessage="1" errorTitle="Invalid Entry" error="Data entered is greater/less than the number of items." sqref="N8:N67" xr:uid="{5271C4CC-7A01-4D46-B7E8-5DC35AC7C63F}">
      <formula1>0</formula1>
      <formula2>$N$6</formula2>
    </dataValidation>
    <dataValidation type="decimal" allowBlank="1" showInputMessage="1" showErrorMessage="1" errorTitle="Invalid Entry" error="Data entered is greater/less than the number of items." sqref="O8:O67" xr:uid="{9914B579-3D53-4258-9DFA-4E6142C0EB3F}">
      <formula1>0</formula1>
      <formula2>$O$6</formula2>
    </dataValidation>
    <dataValidation type="decimal" allowBlank="1" showInputMessage="1" showErrorMessage="1" errorTitle="Invalid Entry" error="Data entered is greater/less than the number of items." sqref="AA8:AA67" xr:uid="{5EC0AC5A-206B-4880-8199-111769391F71}">
      <formula1>0</formula1>
      <formula2>$AA$6</formula2>
    </dataValidation>
    <dataValidation type="decimal" allowBlank="1" showInputMessage="1" showErrorMessage="1" errorTitle="Invalid Entry" error="Data entered is greater/less than the number of items." sqref="AN8:AN67" xr:uid="{924D3B46-662E-4A70-9C4D-A667C74E1AAE}">
      <formula1>0</formula1>
      <formula2>$AN$6</formula2>
    </dataValidation>
    <dataValidation type="decimal" allowBlank="1" showInputMessage="1" showErrorMessage="1" errorTitle="Invalid Entry" error="Data entered is greater/less than the number of items." sqref="BA8:BA67" xr:uid="{9964D405-C229-4ED1-B512-0167A1F5E668}">
      <formula1>0</formula1>
      <formula2>$BA$6</formula2>
    </dataValidation>
  </dataValidations>
  <pageMargins left="0.14000000000000001" right="0.1" top="0.21" bottom="0.26" header="0.21" footer="0.3"/>
  <pageSetup scale="24" fitToHeight="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A81"/>
  <sheetViews>
    <sheetView showGridLines="0" zoomScaleNormal="100" workbookViewId="0">
      <pane xSplit="6" ySplit="6" topLeftCell="G7" activePane="bottomRight" state="frozen"/>
      <selection pane="topRight"/>
      <selection pane="bottomLeft"/>
      <selection pane="bottomRight" activeCell="L7" sqref="L7:L23"/>
    </sheetView>
  </sheetViews>
  <sheetFormatPr defaultColWidth="9.140625" defaultRowHeight="12.75" x14ac:dyDescent="0.2"/>
  <cols>
    <col min="1" max="1" width="1.7109375" style="98" customWidth="1"/>
    <col min="2" max="2" width="2.7109375" style="98" customWidth="1"/>
    <col min="3" max="3" width="3.7109375" style="99" customWidth="1"/>
    <col min="4" max="4" width="11.7109375" style="100" customWidth="1"/>
    <col min="5" max="5" width="2.7109375" style="100" hidden="1" customWidth="1"/>
    <col min="6" max="6" width="50.7109375" style="98" customWidth="1"/>
    <col min="7" max="9" width="3.28515625" style="168" customWidth="1"/>
    <col min="10" max="21" width="3.28515625" style="155" customWidth="1"/>
    <col min="22" max="22" width="3.7109375" style="155" customWidth="1"/>
    <col min="23" max="23" width="1.7109375" style="155" customWidth="1"/>
    <col min="24" max="31" width="4" style="99" customWidth="1"/>
    <col min="32" max="32" width="7.140625" style="99" customWidth="1"/>
    <col min="33" max="33" width="1.7109375" style="99" customWidth="1"/>
    <col min="34" max="41" width="4" style="99" customWidth="1"/>
    <col min="42" max="42" width="7.140625" style="169" bestFit="1" customWidth="1"/>
    <col min="43" max="43" width="1.7109375" style="99" customWidth="1"/>
    <col min="44" max="44" width="4.7109375" style="170" customWidth="1"/>
    <col min="45" max="45" width="5.7109375" style="171" customWidth="1"/>
    <col min="46" max="46" width="7.7109375" style="172" customWidth="1"/>
    <col min="47" max="48" width="6.7109375" style="160" customWidth="1"/>
    <col min="49" max="49" width="1.7109375" style="98" customWidth="1"/>
    <col min="50" max="51" width="8.7109375" style="98" customWidth="1"/>
    <col min="52" max="52" width="2.7109375" style="98" customWidth="1"/>
    <col min="53" max="53" width="1.7109375" style="98" customWidth="1"/>
    <col min="54" max="16384" width="9.140625" style="98"/>
  </cols>
  <sheetData>
    <row r="1" spans="1:53" ht="9.9499999999999993" customHeight="1" x14ac:dyDescent="0.2">
      <c r="A1" s="97"/>
      <c r="B1" s="97"/>
      <c r="C1" s="102"/>
      <c r="D1" s="103"/>
      <c r="E1" s="472"/>
      <c r="F1" s="472"/>
      <c r="G1" s="472"/>
      <c r="H1" s="472"/>
      <c r="I1" s="472"/>
      <c r="J1" s="472"/>
      <c r="K1" s="472"/>
      <c r="L1" s="472"/>
      <c r="M1" s="472"/>
      <c r="N1" s="472"/>
      <c r="O1" s="472"/>
      <c r="P1" s="472"/>
      <c r="Q1" s="472"/>
      <c r="R1" s="472"/>
      <c r="S1" s="472"/>
      <c r="T1" s="472"/>
      <c r="U1" s="472"/>
      <c r="V1" s="472"/>
      <c r="W1" s="472"/>
      <c r="X1" s="472"/>
      <c r="Y1" s="472"/>
      <c r="Z1" s="472"/>
      <c r="AA1" s="472"/>
      <c r="AB1" s="472"/>
      <c r="AC1" s="472"/>
      <c r="AD1" s="472"/>
      <c r="AE1" s="472"/>
      <c r="AF1" s="472"/>
      <c r="AG1" s="472"/>
      <c r="AH1" s="472"/>
      <c r="AI1" s="472"/>
      <c r="AJ1" s="472"/>
      <c r="AK1" s="472"/>
      <c r="AL1" s="472"/>
      <c r="AM1" s="472"/>
      <c r="AN1" s="472"/>
      <c r="AO1" s="472"/>
      <c r="AP1" s="472"/>
      <c r="AQ1" s="472"/>
      <c r="AR1" s="196"/>
      <c r="AS1" s="165"/>
      <c r="AT1" s="165"/>
      <c r="AU1" s="167"/>
      <c r="AV1" s="167"/>
      <c r="AW1" s="97"/>
      <c r="AX1" s="97"/>
      <c r="AY1" s="97"/>
      <c r="AZ1" s="97"/>
      <c r="BA1" s="97"/>
    </row>
    <row r="2" spans="1:53" ht="15" customHeight="1" thickBot="1" x14ac:dyDescent="0.25">
      <c r="A2" s="97"/>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197"/>
      <c r="AT2" s="171"/>
      <c r="BA2" s="97"/>
    </row>
    <row r="3" spans="1:53" ht="30" customHeight="1" x14ac:dyDescent="0.2">
      <c r="A3" s="97"/>
      <c r="C3" s="557"/>
      <c r="D3" s="559" t="str">
        <f>Settings!E8&amp;" - "&amp;Settings!P5</f>
        <v>MATH IN THE MODERN WORLD - BSHM-1B</v>
      </c>
      <c r="E3" s="559"/>
      <c r="F3" s="559"/>
      <c r="G3" s="565" t="s">
        <v>204</v>
      </c>
      <c r="H3" s="565"/>
      <c r="I3" s="565"/>
      <c r="J3" s="565"/>
      <c r="K3" s="565"/>
      <c r="L3" s="565" t="s">
        <v>204</v>
      </c>
      <c r="M3" s="565"/>
      <c r="N3" s="565"/>
      <c r="O3" s="565"/>
      <c r="P3" s="565"/>
      <c r="Q3" s="565"/>
      <c r="R3" s="565"/>
      <c r="S3" s="565"/>
      <c r="T3" s="565"/>
      <c r="U3" s="565"/>
      <c r="V3" s="18"/>
      <c r="W3" s="198"/>
      <c r="X3" s="562" t="s">
        <v>109</v>
      </c>
      <c r="Y3" s="563"/>
      <c r="Z3" s="563"/>
      <c r="AA3" s="563"/>
      <c r="AB3" s="563"/>
      <c r="AC3" s="563"/>
      <c r="AD3" s="563"/>
      <c r="AE3" s="563"/>
      <c r="AF3" s="564"/>
      <c r="AG3" s="174"/>
      <c r="AH3" s="562" t="s">
        <v>89</v>
      </c>
      <c r="AI3" s="576"/>
      <c r="AJ3" s="576"/>
      <c r="AK3" s="576"/>
      <c r="AL3" s="576"/>
      <c r="AM3" s="576"/>
      <c r="AN3" s="576"/>
      <c r="AO3" s="576"/>
      <c r="AP3" s="564"/>
      <c r="AQ3" s="174"/>
      <c r="AR3" s="577" t="s">
        <v>102</v>
      </c>
      <c r="AS3" s="578"/>
      <c r="AT3" s="574" t="s">
        <v>110</v>
      </c>
      <c r="AU3" s="587" t="s">
        <v>111</v>
      </c>
      <c r="AV3" s="584" t="s">
        <v>112</v>
      </c>
      <c r="AW3" s="182"/>
      <c r="AX3" s="582" t="s">
        <v>113</v>
      </c>
      <c r="AY3" s="583"/>
      <c r="BA3" s="97"/>
    </row>
    <row r="4" spans="1:53" ht="15" customHeight="1" x14ac:dyDescent="0.2">
      <c r="A4" s="97"/>
      <c r="C4" s="558"/>
      <c r="D4" s="561" t="str">
        <f>IF(Settings!P4="","",Settings!P4)</f>
        <v>GEDC1005</v>
      </c>
      <c r="E4" s="561"/>
      <c r="F4" s="561"/>
      <c r="G4" s="22"/>
      <c r="H4" s="22"/>
      <c r="I4" s="22"/>
      <c r="J4" s="22"/>
      <c r="K4" s="22"/>
      <c r="L4" s="22">
        <v>2</v>
      </c>
      <c r="M4" s="22"/>
      <c r="N4" s="22"/>
      <c r="O4" s="22"/>
      <c r="P4" s="22"/>
      <c r="Q4" s="22"/>
      <c r="R4" s="22"/>
      <c r="S4" s="22"/>
      <c r="T4" s="22"/>
      <c r="U4" s="22"/>
      <c r="V4" s="566" t="s">
        <v>114</v>
      </c>
      <c r="W4" s="174"/>
      <c r="X4" s="593" t="s">
        <v>82</v>
      </c>
      <c r="Y4" s="592"/>
      <c r="Z4" s="592" t="s">
        <v>84</v>
      </c>
      <c r="AA4" s="592"/>
      <c r="AB4" s="592" t="s">
        <v>86</v>
      </c>
      <c r="AC4" s="592"/>
      <c r="AD4" s="592" t="s">
        <v>88</v>
      </c>
      <c r="AE4" s="592"/>
      <c r="AF4" s="594">
        <f>Input!K4</f>
        <v>0.3</v>
      </c>
      <c r="AG4" s="174"/>
      <c r="AH4" s="579" t="s">
        <v>91</v>
      </c>
      <c r="AI4" s="573"/>
      <c r="AJ4" s="573" t="s">
        <v>93</v>
      </c>
      <c r="AK4" s="573"/>
      <c r="AL4" s="573" t="s">
        <v>95</v>
      </c>
      <c r="AM4" s="573"/>
      <c r="AN4" s="573" t="s">
        <v>97</v>
      </c>
      <c r="AO4" s="573"/>
      <c r="AP4" s="581">
        <f>Input!P4</f>
        <v>0.2</v>
      </c>
      <c r="AQ4" s="174"/>
      <c r="AR4" s="572">
        <f>Settings!I39</f>
        <v>70</v>
      </c>
      <c r="AS4" s="589">
        <f>Input!R4</f>
        <v>0.5</v>
      </c>
      <c r="AT4" s="575"/>
      <c r="AU4" s="588"/>
      <c r="AV4" s="585"/>
      <c r="AW4" s="182"/>
      <c r="AX4" s="199" t="s">
        <v>110</v>
      </c>
      <c r="AY4" s="200" t="s">
        <v>115</v>
      </c>
      <c r="BA4" s="97"/>
    </row>
    <row r="5" spans="1:53" ht="15" customHeight="1" x14ac:dyDescent="0.2">
      <c r="A5" s="97"/>
      <c r="C5" s="558"/>
      <c r="D5" s="561"/>
      <c r="E5" s="561"/>
      <c r="F5" s="561"/>
      <c r="G5" s="560"/>
      <c r="H5" s="560"/>
      <c r="I5" s="560"/>
      <c r="J5" s="560"/>
      <c r="K5" s="560"/>
      <c r="L5" s="560" t="s">
        <v>203</v>
      </c>
      <c r="M5" s="560"/>
      <c r="N5" s="560"/>
      <c r="O5" s="560"/>
      <c r="P5" s="560"/>
      <c r="Q5" s="560"/>
      <c r="R5" s="560"/>
      <c r="S5" s="560"/>
      <c r="T5" s="560"/>
      <c r="U5" s="560"/>
      <c r="V5" s="566"/>
      <c r="W5" s="174"/>
      <c r="X5" s="591">
        <f>IF(Input!G6&lt;&gt;"",Input!G6,"")</f>
        <v>40</v>
      </c>
      <c r="Y5" s="571"/>
      <c r="Z5" s="571" t="str">
        <f>IF(Input!H6&lt;&gt;"",Input!H6,"")</f>
        <v/>
      </c>
      <c r="AA5" s="571"/>
      <c r="AB5" s="571" t="str">
        <f>IF(Input!I6&lt;&gt;"",Input!I6,"")</f>
        <v/>
      </c>
      <c r="AC5" s="571"/>
      <c r="AD5" s="571" t="str">
        <f>IF(Input!J6&lt;&gt;"",Input!J6,"")</f>
        <v/>
      </c>
      <c r="AE5" s="571"/>
      <c r="AF5" s="595"/>
      <c r="AG5" s="174"/>
      <c r="AH5" s="572">
        <f>IF(Input!L6&lt;&gt;"",Input!L6,"")</f>
        <v>30</v>
      </c>
      <c r="AI5" s="571"/>
      <c r="AJ5" s="571" t="str">
        <f>IF(Input!M6&lt;&gt;"",Input!M6,"")</f>
        <v/>
      </c>
      <c r="AK5" s="571"/>
      <c r="AL5" s="571" t="str">
        <f>IF(Input!N6&lt;&gt;"",Input!N6,"")</f>
        <v/>
      </c>
      <c r="AM5" s="571"/>
      <c r="AN5" s="571" t="str">
        <f>IF(Input!O6&lt;&gt;"",Input!O6,"")</f>
        <v/>
      </c>
      <c r="AO5" s="571"/>
      <c r="AP5" s="581"/>
      <c r="AQ5" s="174"/>
      <c r="AR5" s="572"/>
      <c r="AS5" s="589"/>
      <c r="AT5" s="575"/>
      <c r="AU5" s="588"/>
      <c r="AV5" s="585"/>
      <c r="AW5" s="182"/>
      <c r="AX5" s="183">
        <v>1</v>
      </c>
      <c r="AY5" s="184">
        <f>COUNTIF($AU$7:$AU$66,AX5)</f>
        <v>0</v>
      </c>
      <c r="BA5" s="97"/>
    </row>
    <row r="6" spans="1:53" s="99" customFormat="1" ht="15" customHeight="1" x14ac:dyDescent="0.2">
      <c r="A6" s="102"/>
      <c r="C6" s="558"/>
      <c r="D6" s="201" t="s">
        <v>106</v>
      </c>
      <c r="E6" s="202"/>
      <c r="F6" s="203" t="s">
        <v>107</v>
      </c>
      <c r="G6" s="560"/>
      <c r="H6" s="560"/>
      <c r="I6" s="560"/>
      <c r="J6" s="560"/>
      <c r="K6" s="560"/>
      <c r="L6" s="560"/>
      <c r="M6" s="560"/>
      <c r="N6" s="560"/>
      <c r="O6" s="560"/>
      <c r="P6" s="560"/>
      <c r="Q6" s="560"/>
      <c r="R6" s="560"/>
      <c r="S6" s="560"/>
      <c r="T6" s="560"/>
      <c r="U6" s="560"/>
      <c r="V6" s="566"/>
      <c r="W6" s="174"/>
      <c r="X6" s="590">
        <f>IF(Input!G7&lt;&gt;"",Input!G7,"")</f>
        <v>46269</v>
      </c>
      <c r="Y6" s="569"/>
      <c r="Z6" s="569" t="str">
        <f>IF(Input!H7&lt;&gt;"",Input!H7,"")</f>
        <v/>
      </c>
      <c r="AA6" s="569"/>
      <c r="AB6" s="569" t="str">
        <f>IF(Input!I7&lt;&gt;"",Input!I7,"")</f>
        <v/>
      </c>
      <c r="AC6" s="569"/>
      <c r="AD6" s="569" t="str">
        <f>IF(Input!J7&lt;&gt;"",Input!J7,"")</f>
        <v/>
      </c>
      <c r="AE6" s="569"/>
      <c r="AF6" s="313" t="s">
        <v>50</v>
      </c>
      <c r="AG6" s="174"/>
      <c r="AH6" s="580">
        <f>IF(Input!L7&lt;&gt;"",Input!L7,"")</f>
        <v>46241</v>
      </c>
      <c r="AI6" s="569"/>
      <c r="AJ6" s="569" t="str">
        <f>IF(Input!M7&lt;&gt;"",Input!M7,"")</f>
        <v/>
      </c>
      <c r="AK6" s="569"/>
      <c r="AL6" s="569" t="str">
        <f>IF(Input!N7&lt;&gt;"",Input!N7,"")</f>
        <v/>
      </c>
      <c r="AM6" s="569"/>
      <c r="AN6" s="569" t="str">
        <f>IF(Input!O7&lt;&gt;"",Input!O7,"")</f>
        <v/>
      </c>
      <c r="AO6" s="569"/>
      <c r="AP6" s="204" t="s">
        <v>50</v>
      </c>
      <c r="AQ6" s="174"/>
      <c r="AR6" s="205" t="str">
        <f>IF(Settings!H39&lt;&gt;"",Settings!H39,"")</f>
        <v/>
      </c>
      <c r="AS6" s="206" t="s">
        <v>50</v>
      </c>
      <c r="AT6" s="575"/>
      <c r="AU6" s="588"/>
      <c r="AV6" s="586"/>
      <c r="AW6" s="207"/>
      <c r="AX6" s="183">
        <v>1.25</v>
      </c>
      <c r="AY6" s="184">
        <f t="shared" ref="AY6:AY16" si="0">COUNTIF($AU$7:$AU$66,AX6)</f>
        <v>0</v>
      </c>
      <c r="BA6" s="102"/>
    </row>
    <row r="7" spans="1:53" ht="15" customHeight="1" x14ac:dyDescent="0.2">
      <c r="A7" s="97"/>
      <c r="C7" s="194">
        <v>1</v>
      </c>
      <c r="D7" s="203" t="str">
        <f>IF(Input!D8&lt;&gt;"",IF(F7&lt;&gt;"",Input!D8,""),"")</f>
        <v>02000503790</v>
      </c>
      <c r="E7" s="297"/>
      <c r="F7" s="298" t="str">
        <f>(IF(Input!F8&lt;&gt;"",Input!F8,""))</f>
        <v>BARICAS, CASSANDRA ALAB</v>
      </c>
      <c r="G7" s="333"/>
      <c r="H7" s="333"/>
      <c r="I7" s="333"/>
      <c r="J7" s="333"/>
      <c r="K7" s="333"/>
      <c r="L7" s="333" t="s">
        <v>16</v>
      </c>
      <c r="M7" s="333"/>
      <c r="N7" s="333"/>
      <c r="O7" s="333"/>
      <c r="P7" s="333"/>
      <c r="Q7" s="333"/>
      <c r="R7" s="333"/>
      <c r="S7" s="333"/>
      <c r="T7" s="333"/>
      <c r="U7" s="333"/>
      <c r="V7" s="336"/>
      <c r="W7" s="173"/>
      <c r="X7" s="309">
        <f>IF(F7&lt;&gt;"",IF(Input!G8&lt;&gt;"",Input!G8,""),"")</f>
        <v>39</v>
      </c>
      <c r="Y7" s="449">
        <f>IFERROR(IF($X$5="","",IF(F7&lt;&gt;"",(Input!G8/Input!$G$6)*100,"")),"NA")</f>
        <v>97.5</v>
      </c>
      <c r="Z7" s="310" t="str">
        <f>IF(F7&lt;&gt;"",IF(Input!H8&lt;&gt;"",Input!H8,""),"")</f>
        <v/>
      </c>
      <c r="AA7" s="449" t="str">
        <f>IFERROR(IF($Z$5="","",IF(F7&lt;&gt;"",(Input!H8/Input!$H$6)*100,"")),"NA")</f>
        <v/>
      </c>
      <c r="AB7" s="310" t="str">
        <f>IF(F7&lt;&gt;"",IF(Input!I8&lt;&gt;"",Input!I8,""),"")</f>
        <v/>
      </c>
      <c r="AC7" s="449" t="str">
        <f>IFERROR(IF($AB$5="","",IF(F7&lt;&gt;"",(Input!I8/Input!$I$6)*100,"")),"NA")</f>
        <v/>
      </c>
      <c r="AD7" s="310" t="str">
        <f>IF(F7&lt;&gt;"",IF(Input!J8&lt;&gt;"",Input!J8,""),"")</f>
        <v/>
      </c>
      <c r="AE7" s="449" t="str">
        <f>IFERROR(IF($AD$5="","",IF(F7&lt;&gt;"",(Input!J8/Input!$J$6)*100,"")),"NA")</f>
        <v/>
      </c>
      <c r="AF7" s="108">
        <f>IF(Input!K8="Error","Error",IF(F7="","",IF($X$5="",0,IF(F7&lt;&gt;"",IFERROR(AVERAGE(Y7,AA7,AC7,AE7)*$AF$4,0),""))))</f>
        <v>29.25</v>
      </c>
      <c r="AG7" s="174"/>
      <c r="AH7" s="175">
        <f>IF(F7&lt;&gt;"",IF(Input!L8&lt;&gt;"",Input!L8,""),"")</f>
        <v>28</v>
      </c>
      <c r="AI7" s="451">
        <f>IFERROR(IF($AH$5="","",IF(F7&lt;&gt;"",(Input!L8/Input!$L$6)*100,"")),"NA")</f>
        <v>93.333333333333329</v>
      </c>
      <c r="AJ7" s="176" t="str">
        <f>IF(F7&lt;&gt;"",IF(Input!M8&lt;&gt;"",Input!M8,""),"")</f>
        <v/>
      </c>
      <c r="AK7" s="451" t="str">
        <f>IFERROR(IF($AJ$5="","",IF(F7&lt;&gt;"",(Input!M8/Input!$M$6)*100,"")),"NA")</f>
        <v/>
      </c>
      <c r="AL7" s="177" t="str">
        <f>IF(F7&lt;&gt;"",IF(Input!N8&lt;&gt;"",Input!N8,""),"")</f>
        <v/>
      </c>
      <c r="AM7" s="451" t="str">
        <f>IFERROR(IF($AL$5="","",IF(F7&lt;&gt;"",(Input!N8/Input!$N$6)*100,"")),"NA")</f>
        <v/>
      </c>
      <c r="AN7" s="177" t="str">
        <f>IF(F7&lt;&gt;"",IF(Input!O8&lt;&gt;"",Input!O8,""),"")</f>
        <v/>
      </c>
      <c r="AO7" s="451" t="str">
        <f>IFERROR(IF($AN$5="","",IF(F7&lt;&gt;"",(Input!O8/Input!$O$6)*100,"")),"NA")</f>
        <v/>
      </c>
      <c r="AP7" s="303">
        <f>IF(Input!P8="Error","Error",IF(F7="","",IF($AH$5="",0,IF(F7&lt;&gt;"",IFERROR(AVERAGE(AI7,AK7,AM7,AO7)*$AP$4,0),""))))</f>
        <v>18.666666666666668</v>
      </c>
      <c r="AQ7" s="174"/>
      <c r="AR7" s="178">
        <f>IF(Input!Q8="","",IF(F7&lt;&gt;"",Input!Q8,""))</f>
        <v>58</v>
      </c>
      <c r="AS7" s="179">
        <f>IF(F7="", "",IF(Input!R8="Error","Error",IF(ISNUMBER(Input!R8),(Input!R8*$AS$4),"")))</f>
        <v>41.428571428571431</v>
      </c>
      <c r="AT7" s="330">
        <f>IF(V7="D","DRP",
IF(F7&lt;&gt;"",
IF(OR(AF7="Error",AP7="Error",AS7="Error"),"Error",
IF(Input!Q8="","-",ROUND(AF7+AP7+AS7,2))),""))</f>
        <v>89.35</v>
      </c>
      <c r="AU7" s="180">
        <f>IF(F7&lt;&gt;"",VLOOKUP(AT7,TRANSMUTATION!$A$2:$B$14,2),"")</f>
        <v>1.75</v>
      </c>
      <c r="AV7" s="181">
        <f>IF(AU7="Inc","",IF(F7&lt;&gt;"",IF(OR(AU7="Drp",AU7="-"),"",RANK(AT7,$AT$7:$AT$66)),""))</f>
        <v>3</v>
      </c>
      <c r="AW7" s="182"/>
      <c r="AX7" s="183">
        <v>1.5</v>
      </c>
      <c r="AY7" s="184">
        <f t="shared" si="0"/>
        <v>1</v>
      </c>
      <c r="BA7" s="97"/>
    </row>
    <row r="8" spans="1:53" ht="15" customHeight="1" x14ac:dyDescent="0.2">
      <c r="A8" s="97"/>
      <c r="C8" s="194">
        <v>2</v>
      </c>
      <c r="D8" s="203" t="str">
        <f>IF(Input!D9&lt;&gt;"",IF(F8&lt;&gt;"",Input!D9,""),"")</f>
        <v>02000512377</v>
      </c>
      <c r="E8" s="297"/>
      <c r="F8" s="298" t="str">
        <f>(IF(Input!F9&lt;&gt;"",Input!F9,""))</f>
        <v>BETITA, RUSSEL ANGELO ROJO</v>
      </c>
      <c r="G8" s="333"/>
      <c r="H8" s="333"/>
      <c r="I8" s="333"/>
      <c r="J8" s="333"/>
      <c r="K8" s="333"/>
      <c r="L8" s="333" t="s">
        <v>16</v>
      </c>
      <c r="M8" s="333"/>
      <c r="N8" s="333"/>
      <c r="O8" s="333"/>
      <c r="P8" s="333"/>
      <c r="Q8" s="333"/>
      <c r="R8" s="333"/>
      <c r="S8" s="333"/>
      <c r="T8" s="333"/>
      <c r="U8" s="333"/>
      <c r="V8" s="336"/>
      <c r="W8" s="173"/>
      <c r="X8" s="309">
        <f>IF(F8&lt;&gt;"",IF(Input!G9&lt;&gt;"",Input!G9,""),"")</f>
        <v>39</v>
      </c>
      <c r="Y8" s="449">
        <f>IFERROR(IF($X$5="","",IF(F8&lt;&gt;"",(Input!G9/Input!$G$6)*100,"")),"NA")</f>
        <v>97.5</v>
      </c>
      <c r="Z8" s="310" t="str">
        <f>IF(F8&lt;&gt;"",IF(Input!H9&lt;&gt;"",Input!H9,""),"")</f>
        <v/>
      </c>
      <c r="AA8" s="449" t="str">
        <f>IFERROR(IF($Z$5="","",IF(F8&lt;&gt;"",(Input!H9/Input!$H$6)*100,"")),"NA")</f>
        <v/>
      </c>
      <c r="AB8" s="310" t="str">
        <f>IF(F8&lt;&gt;"",IF(Input!I9&lt;&gt;"",Input!I9,""),"")</f>
        <v/>
      </c>
      <c r="AC8" s="449" t="str">
        <f>IFERROR(IF($AB$5="","",IF(F8&lt;&gt;"",(Input!I9/Input!$I$6)*100,"")),"NA")</f>
        <v/>
      </c>
      <c r="AD8" s="310" t="str">
        <f>IF(F8&lt;&gt;"",IF(Input!J9&lt;&gt;"",Input!J9,""),"")</f>
        <v/>
      </c>
      <c r="AE8" s="449" t="str">
        <f>IFERROR(IF($AD$5="","",IF(F8&lt;&gt;"",(Input!J9/Input!$J$6)*100,"")),"NA")</f>
        <v/>
      </c>
      <c r="AF8" s="108">
        <f>IF(Input!K9="Error","Error",IF(F8="","",IF($X$5="",0,IF(F8&lt;&gt;"",IFERROR(AVERAGE(Y8,AA8,AC8,AE8)*$AF$4,0),""))))</f>
        <v>29.25</v>
      </c>
      <c r="AG8" s="174"/>
      <c r="AH8" s="175">
        <f>IF(F8&lt;&gt;"",IF(Input!L9&lt;&gt;"",Input!L9,""),"")</f>
        <v>25</v>
      </c>
      <c r="AI8" s="451">
        <f>IFERROR(IF($AH$5="","",IF(F8&lt;&gt;"",(Input!L9/Input!$L$6)*100,"")),"NA")</f>
        <v>83.333333333333343</v>
      </c>
      <c r="AJ8" s="176" t="str">
        <f>IF(F8&lt;&gt;"",IF(Input!M9&lt;&gt;"",Input!M9,""),"")</f>
        <v/>
      </c>
      <c r="AK8" s="451" t="str">
        <f>IFERROR(IF($AJ$5="","",IF(F8&lt;&gt;"",(Input!M9/Input!$M$6)*100,"")),"NA")</f>
        <v/>
      </c>
      <c r="AL8" s="177" t="str">
        <f>IF(F8&lt;&gt;"",IF(Input!N9&lt;&gt;"",Input!N9,""),"")</f>
        <v/>
      </c>
      <c r="AM8" s="451" t="str">
        <f>IFERROR(IF($AL$5="","",IF(F8&lt;&gt;"",(Input!N9/Input!$N$6)*100,"")),"NA")</f>
        <v/>
      </c>
      <c r="AN8" s="177" t="str">
        <f>IF(F8&lt;&gt;"",IF(Input!O9&lt;&gt;"",Input!O9,""),"")</f>
        <v/>
      </c>
      <c r="AO8" s="451" t="str">
        <f>IFERROR(IF($AN$5="","",IF(F8&lt;&gt;"",(Input!O9/Input!$O$6)*100,"")),"NA")</f>
        <v/>
      </c>
      <c r="AP8" s="303">
        <f>IF(Input!P9="Error","Error",IF(F8="","",IF($AH$5="",0,IF(F8&lt;&gt;"",IFERROR(AVERAGE(AI8,AK8,AM8,AO8)*$AP$4,0),""))))</f>
        <v>16.666666666666668</v>
      </c>
      <c r="AQ8" s="174"/>
      <c r="AR8" s="178">
        <f>IF(Input!Q9="","",IF(F8&lt;&gt;"",Input!Q9,""))</f>
        <v>50</v>
      </c>
      <c r="AS8" s="179">
        <f>IF(F8="", "",IF(Input!R9="Error","Error",IF(ISNUMBER(Input!R9),(Input!R9*$AS$4),"")))</f>
        <v>35.714285714285715</v>
      </c>
      <c r="AT8" s="330">
        <f>IF(V8="D","DRP",
IF(F8&lt;&gt;"",
IF(OR(AF8="Error",AP8="Error",AS8="Error"),"Error",
IF(Input!Q9="","-",ROUND(AF8+AP8+AS8,2))),""))</f>
        <v>81.63</v>
      </c>
      <c r="AU8" s="180">
        <f>IF(F8&lt;&gt;"",VLOOKUP(AT8,TRANSMUTATION!$A$2:$B$14,2),"")</f>
        <v>2</v>
      </c>
      <c r="AV8" s="181">
        <f t="shared" ref="AV8:AV66" si="1">IF(AU8="Inc","",IF(F8&lt;&gt;"",IF(OR(AU8="Drp",AU8="-"),"",RANK(AT8,$AT$7:$AT$66)),""))</f>
        <v>8</v>
      </c>
      <c r="AW8" s="182"/>
      <c r="AX8" s="183">
        <v>1.75</v>
      </c>
      <c r="AY8" s="184">
        <f t="shared" si="0"/>
        <v>3</v>
      </c>
      <c r="BA8" s="97"/>
    </row>
    <row r="9" spans="1:53" ht="15" customHeight="1" x14ac:dyDescent="0.2">
      <c r="A9" s="97"/>
      <c r="C9" s="194">
        <v>3</v>
      </c>
      <c r="D9" s="203" t="str">
        <f>IF(Input!D10&lt;&gt;"",IF(F9&lt;&gt;"",Input!D10,""),"")</f>
        <v>02000509818</v>
      </c>
      <c r="E9" s="297"/>
      <c r="F9" s="298" t="str">
        <f>(IF(Input!F10&lt;&gt;"",Input!F10,""))</f>
        <v>DELA CRUZ, ANGEL CANDELARIA</v>
      </c>
      <c r="G9" s="333"/>
      <c r="H9" s="333"/>
      <c r="I9" s="333"/>
      <c r="J9" s="333"/>
      <c r="K9" s="333"/>
      <c r="L9" s="333" t="s">
        <v>16</v>
      </c>
      <c r="M9" s="333"/>
      <c r="N9" s="333"/>
      <c r="O9" s="333"/>
      <c r="P9" s="333"/>
      <c r="Q9" s="333"/>
      <c r="R9" s="333"/>
      <c r="S9" s="333"/>
      <c r="T9" s="333"/>
      <c r="U9" s="333"/>
      <c r="V9" s="336"/>
      <c r="W9" s="173"/>
      <c r="X9" s="309">
        <f>IF(F9&lt;&gt;"",IF(Input!G10&lt;&gt;"",Input!G10,""),"")</f>
        <v>38</v>
      </c>
      <c r="Y9" s="449">
        <f>IFERROR(IF($X$5="","",IF(F9&lt;&gt;"",(Input!G10/Input!$G$6)*100,"")),"NA")</f>
        <v>95</v>
      </c>
      <c r="Z9" s="310" t="str">
        <f>IF(F9&lt;&gt;"",IF(Input!H10&lt;&gt;"",Input!H10,""),"")</f>
        <v/>
      </c>
      <c r="AA9" s="449" t="str">
        <f>IFERROR(IF($Z$5="","",IF(F9&lt;&gt;"",(Input!H10/Input!$H$6)*100,"")),"NA")</f>
        <v/>
      </c>
      <c r="AB9" s="310" t="str">
        <f>IF(F9&lt;&gt;"",IF(Input!I10&lt;&gt;"",Input!I10,""),"")</f>
        <v/>
      </c>
      <c r="AC9" s="449" t="str">
        <f>IFERROR(IF($AB$5="","",IF(F9&lt;&gt;"",(Input!I10/Input!$I$6)*100,"")),"NA")</f>
        <v/>
      </c>
      <c r="AD9" s="310" t="str">
        <f>IF(F9&lt;&gt;"",IF(Input!J10&lt;&gt;"",Input!J10,""),"")</f>
        <v/>
      </c>
      <c r="AE9" s="449" t="str">
        <f>IFERROR(IF($AD$5="","",IF(F9&lt;&gt;"",(Input!J10/Input!$J$6)*100,"")),"NA")</f>
        <v/>
      </c>
      <c r="AF9" s="108">
        <f>IF(Input!K10="Error","Error",IF(F9="","",IF($X$5="",0,IF(F9&lt;&gt;"",IFERROR(AVERAGE(Y9,AA9,AC9,AE9)*$AF$4,0),""))))</f>
        <v>28.5</v>
      </c>
      <c r="AG9" s="174"/>
      <c r="AH9" s="175">
        <f>IF(F9&lt;&gt;"",IF(Input!L10&lt;&gt;"",Input!L10,""),"")</f>
        <v>28</v>
      </c>
      <c r="AI9" s="451">
        <f>IFERROR(IF($AH$5="","",IF(F9&lt;&gt;"",(Input!L10/Input!$L$6)*100,"")),"NA")</f>
        <v>93.333333333333329</v>
      </c>
      <c r="AJ9" s="176" t="str">
        <f>IF(F9&lt;&gt;"",IF(Input!M10&lt;&gt;"",Input!M10,""),"")</f>
        <v/>
      </c>
      <c r="AK9" s="451" t="str">
        <f>IFERROR(IF($AJ$5="","",IF(F9&lt;&gt;"",(Input!M10/Input!$M$6)*100,"")),"NA")</f>
        <v/>
      </c>
      <c r="AL9" s="177" t="str">
        <f>IF(F9&lt;&gt;"",IF(Input!N10&lt;&gt;"",Input!N10,""),"")</f>
        <v/>
      </c>
      <c r="AM9" s="451" t="str">
        <f>IFERROR(IF($AL$5="","",IF(F9&lt;&gt;"",(Input!N10/Input!$N$6)*100,"")),"NA")</f>
        <v/>
      </c>
      <c r="AN9" s="177" t="str">
        <f>IF(F9&lt;&gt;"",IF(Input!O10&lt;&gt;"",Input!O10,""),"")</f>
        <v/>
      </c>
      <c r="AO9" s="451" t="str">
        <f>IFERROR(IF($AN$5="","",IF(F9&lt;&gt;"",(Input!O10/Input!$O$6)*100,"")),"NA")</f>
        <v/>
      </c>
      <c r="AP9" s="303">
        <f>IF(Input!P10="Error","Error",IF(F9="","",IF($AH$5="",0,IF(F9&lt;&gt;"",IFERROR(AVERAGE(AI9,AK9,AM9,AO9)*$AP$4,0),""))))</f>
        <v>18.666666666666668</v>
      </c>
      <c r="AQ9" s="174"/>
      <c r="AR9" s="178">
        <f>IF(Input!Q10="","",IF(F9&lt;&gt;"",Input!Q10,""))</f>
        <v>0</v>
      </c>
      <c r="AS9" s="179">
        <f>IF(F9="", "",IF(Input!R10="Error","Error",IF(ISNUMBER(Input!R10),(Input!R10*$AS$4),"")))</f>
        <v>0</v>
      </c>
      <c r="AT9" s="330">
        <f>IF(V9="D","DRP",
IF(F9&lt;&gt;"",
IF(OR(AF9="Error",AP9="Error",AS9="Error"),"Error",
IF(Input!Q10="","-",ROUND(AF9+AP9+AS9,2))),""))</f>
        <v>47.17</v>
      </c>
      <c r="AU9" s="180">
        <f>IF(F9&lt;&gt;"",VLOOKUP(AT9,TRANSMUTATION!$A$2:$B$14,2),"")</f>
        <v>5</v>
      </c>
      <c r="AV9" s="181">
        <f t="shared" si="1"/>
        <v>16</v>
      </c>
      <c r="AW9" s="182"/>
      <c r="AX9" s="183">
        <v>2</v>
      </c>
      <c r="AY9" s="184">
        <f t="shared" si="0"/>
        <v>5</v>
      </c>
      <c r="BA9" s="97"/>
    </row>
    <row r="10" spans="1:53" ht="15" customHeight="1" x14ac:dyDescent="0.2">
      <c r="A10" s="97"/>
      <c r="C10" s="194">
        <v>4</v>
      </c>
      <c r="D10" s="203" t="str">
        <f>IF(Input!D11&lt;&gt;"",IF(F10&lt;&gt;"",Input!D11,""),"")</f>
        <v>02000367567</v>
      </c>
      <c r="E10" s="297"/>
      <c r="F10" s="298" t="str">
        <f>(IF(Input!F11&lt;&gt;"",Input!F11,""))</f>
        <v>DELMIGUEZ, DANIELLA CORTEZ</v>
      </c>
      <c r="G10" s="333"/>
      <c r="H10" s="333"/>
      <c r="I10" s="333"/>
      <c r="J10" s="333"/>
      <c r="K10" s="333"/>
      <c r="L10" s="333" t="s">
        <v>16</v>
      </c>
      <c r="M10" s="333"/>
      <c r="N10" s="333"/>
      <c r="O10" s="333"/>
      <c r="P10" s="333"/>
      <c r="Q10" s="333"/>
      <c r="R10" s="333"/>
      <c r="S10" s="333"/>
      <c r="T10" s="333"/>
      <c r="U10" s="333"/>
      <c r="V10" s="336"/>
      <c r="W10" s="173"/>
      <c r="X10" s="309">
        <f>IF(F10&lt;&gt;"",IF(Input!G11&lt;&gt;"",Input!G11,""),"")</f>
        <v>39</v>
      </c>
      <c r="Y10" s="449">
        <f>IFERROR(IF($X$5="","",IF(F10&lt;&gt;"",(Input!G11/Input!$G$6)*100,"")),"NA")</f>
        <v>97.5</v>
      </c>
      <c r="Z10" s="310" t="str">
        <f>IF(F10&lt;&gt;"",IF(Input!H11&lt;&gt;"",Input!H11,""),"")</f>
        <v/>
      </c>
      <c r="AA10" s="449" t="str">
        <f>IFERROR(IF($Z$5="","",IF(F10&lt;&gt;"",(Input!H11/Input!$H$6)*100,"")),"NA")</f>
        <v/>
      </c>
      <c r="AB10" s="310" t="str">
        <f>IF(F10&lt;&gt;"",IF(Input!I11&lt;&gt;"",Input!I11,""),"")</f>
        <v/>
      </c>
      <c r="AC10" s="449" t="str">
        <f>IFERROR(IF($AB$5="","",IF(F10&lt;&gt;"",(Input!I11/Input!$I$6)*100,"")),"NA")</f>
        <v/>
      </c>
      <c r="AD10" s="310" t="str">
        <f>IF(F10&lt;&gt;"",IF(Input!J11&lt;&gt;"",Input!J11,""),"")</f>
        <v/>
      </c>
      <c r="AE10" s="449" t="str">
        <f>IFERROR(IF($AD$5="","",IF(F10&lt;&gt;"",(Input!J11/Input!$J$6)*100,"")),"NA")</f>
        <v/>
      </c>
      <c r="AF10" s="108">
        <f>IF(Input!K11="Error","Error",IF(F10="","",IF($X$5="",0,IF(F10&lt;&gt;"",IFERROR(AVERAGE(Y10,AA10,AC10,AE10)*$AF$4,0),""))))</f>
        <v>29.25</v>
      </c>
      <c r="AG10" s="174"/>
      <c r="AH10" s="175">
        <f>IF(F10&lt;&gt;"",IF(Input!L11&lt;&gt;"",Input!L11,""),"")</f>
        <v>27</v>
      </c>
      <c r="AI10" s="451">
        <f>IFERROR(IF($AH$5="","",IF(F10&lt;&gt;"",(Input!L11/Input!$L$6)*100,"")),"NA")</f>
        <v>90</v>
      </c>
      <c r="AJ10" s="176" t="str">
        <f>IF(F10&lt;&gt;"",IF(Input!M11&lt;&gt;"",Input!M11,""),"")</f>
        <v/>
      </c>
      <c r="AK10" s="451" t="str">
        <f>IFERROR(IF($AJ$5="","",IF(F10&lt;&gt;"",(Input!M11/Input!$M$6)*100,"")),"NA")</f>
        <v/>
      </c>
      <c r="AL10" s="177" t="str">
        <f>IF(F10&lt;&gt;"",IF(Input!N11&lt;&gt;"",Input!N11,""),"")</f>
        <v/>
      </c>
      <c r="AM10" s="451" t="str">
        <f>IFERROR(IF($AL$5="","",IF(F10&lt;&gt;"",(Input!N11/Input!$N$6)*100,"")),"NA")</f>
        <v/>
      </c>
      <c r="AN10" s="177" t="str">
        <f>IF(F10&lt;&gt;"",IF(Input!O11&lt;&gt;"",Input!O11,""),"")</f>
        <v/>
      </c>
      <c r="AO10" s="451" t="str">
        <f>IFERROR(IF($AN$5="","",IF(F10&lt;&gt;"",(Input!O11/Input!$O$6)*100,"")),"NA")</f>
        <v/>
      </c>
      <c r="AP10" s="303">
        <f>IF(Input!P11="Error","Error",IF(F10="","",IF($AH$5="",0,IF(F10&lt;&gt;"",IFERROR(AVERAGE(AI10,AK10,AM10,AO10)*$AP$4,0),""))))</f>
        <v>18</v>
      </c>
      <c r="AQ10" s="174"/>
      <c r="AR10" s="178">
        <f>IF(Input!Q11="","",IF(F10&lt;&gt;"",Input!Q11,""))</f>
        <v>58</v>
      </c>
      <c r="AS10" s="179">
        <f>IF(F10="", "",IF(Input!R11="Error","Error",IF(ISNUMBER(Input!R11),(Input!R11*$AS$4),"")))</f>
        <v>41.428571428571431</v>
      </c>
      <c r="AT10" s="330">
        <f>IF(V10="D","DRP",
IF(F10&lt;&gt;"",
IF(OR(AF10="Error",AP10="Error",AS10="Error"),"Error",
IF(Input!Q11="","-",ROUND(AF10+AP10+AS10,2))),""))</f>
        <v>88.68</v>
      </c>
      <c r="AU10" s="180">
        <f>IF(F10&lt;&gt;"",VLOOKUP(AT10,TRANSMUTATION!$A$2:$B$14,2),"")</f>
        <v>1.75</v>
      </c>
      <c r="AV10" s="181">
        <f t="shared" si="1"/>
        <v>4</v>
      </c>
      <c r="AW10" s="182"/>
      <c r="AX10" s="183">
        <v>2.25</v>
      </c>
      <c r="AY10" s="184">
        <f t="shared" si="0"/>
        <v>0</v>
      </c>
      <c r="BA10" s="97"/>
    </row>
    <row r="11" spans="1:53" ht="15" customHeight="1" x14ac:dyDescent="0.2">
      <c r="A11" s="97"/>
      <c r="C11" s="194">
        <v>5</v>
      </c>
      <c r="D11" s="203" t="str">
        <f>IF(Input!D12&lt;&gt;"",IF(F11&lt;&gt;"",Input!D12,""),"")</f>
        <v>02000490904</v>
      </c>
      <c r="E11" s="297"/>
      <c r="F11" s="298" t="str">
        <f>(IF(Input!F12&lt;&gt;"",Input!F12,""))</f>
        <v>GONZAGA, SANDY</v>
      </c>
      <c r="G11" s="333"/>
      <c r="H11" s="333"/>
      <c r="I11" s="333"/>
      <c r="J11" s="333"/>
      <c r="K11" s="333"/>
      <c r="L11" s="333" t="s">
        <v>16</v>
      </c>
      <c r="M11" s="333"/>
      <c r="N11" s="333"/>
      <c r="O11" s="333"/>
      <c r="P11" s="333"/>
      <c r="Q11" s="333"/>
      <c r="R11" s="333"/>
      <c r="S11" s="333"/>
      <c r="T11" s="333"/>
      <c r="U11" s="333"/>
      <c r="V11" s="336"/>
      <c r="W11" s="173"/>
      <c r="X11" s="309">
        <f>IF(F11&lt;&gt;"",IF(Input!G12&lt;&gt;"",Input!G12,""),"")</f>
        <v>40</v>
      </c>
      <c r="Y11" s="449">
        <f>IFERROR(IF($X$5="","",IF(F11&lt;&gt;"",(Input!G12/Input!$G$6)*100,"")),"NA")</f>
        <v>100</v>
      </c>
      <c r="Z11" s="310" t="str">
        <f>IF(F11&lt;&gt;"",IF(Input!H12&lt;&gt;"",Input!H12,""),"")</f>
        <v/>
      </c>
      <c r="AA11" s="449" t="str">
        <f>IFERROR(IF($Z$5="","",IF(F11&lt;&gt;"",(Input!H12/Input!$H$6)*100,"")),"NA")</f>
        <v/>
      </c>
      <c r="AB11" s="310" t="str">
        <f>IF(F11&lt;&gt;"",IF(Input!I12&lt;&gt;"",Input!I12,""),"")</f>
        <v/>
      </c>
      <c r="AC11" s="449" t="str">
        <f>IFERROR(IF($AB$5="","",IF(F11&lt;&gt;"",(Input!I12/Input!$I$6)*100,"")),"NA")</f>
        <v/>
      </c>
      <c r="AD11" s="310" t="str">
        <f>IF(F11&lt;&gt;"",IF(Input!J12&lt;&gt;"",Input!J12,""),"")</f>
        <v/>
      </c>
      <c r="AE11" s="449" t="str">
        <f>IFERROR(IF($AD$5="","",IF(F11&lt;&gt;"",(Input!J12/Input!$J$6)*100,"")),"NA")</f>
        <v/>
      </c>
      <c r="AF11" s="108">
        <f>IF(Input!K12="Error","Error",IF(F11="","",IF($X$5="",0,IF(F11&lt;&gt;"",IFERROR(AVERAGE(Y11,AA11,AC11,AE11)*$AF$4,0),""))))</f>
        <v>30</v>
      </c>
      <c r="AG11" s="174"/>
      <c r="AH11" s="175">
        <f>IF(F11&lt;&gt;"",IF(Input!L12&lt;&gt;"",Input!L12,""),"")</f>
        <v>30</v>
      </c>
      <c r="AI11" s="451">
        <f>IFERROR(IF($AH$5="","",IF(F11&lt;&gt;"",(Input!L12/Input!$L$6)*100,"")),"NA")</f>
        <v>100</v>
      </c>
      <c r="AJ11" s="176" t="str">
        <f>IF(F11&lt;&gt;"",IF(Input!M12&lt;&gt;"",Input!M12,""),"")</f>
        <v/>
      </c>
      <c r="AK11" s="451" t="str">
        <f>IFERROR(IF($AJ$5="","",IF(F11&lt;&gt;"",(Input!M12/Input!$M$6)*100,"")),"NA")</f>
        <v/>
      </c>
      <c r="AL11" s="177" t="str">
        <f>IF(F11&lt;&gt;"",IF(Input!N12&lt;&gt;"",Input!N12,""),"")</f>
        <v/>
      </c>
      <c r="AM11" s="451" t="str">
        <f>IFERROR(IF($AL$5="","",IF(F11&lt;&gt;"",(Input!N12/Input!$N$6)*100,"")),"NA")</f>
        <v/>
      </c>
      <c r="AN11" s="177" t="str">
        <f>IF(F11&lt;&gt;"",IF(Input!O12&lt;&gt;"",Input!O12,""),"")</f>
        <v/>
      </c>
      <c r="AO11" s="451" t="str">
        <f>IFERROR(IF($AN$5="","",IF(F11&lt;&gt;"",(Input!O12/Input!$O$6)*100,"")),"NA")</f>
        <v/>
      </c>
      <c r="AP11" s="303">
        <f>IF(Input!P12="Error","Error",IF(F11="","",IF($AH$5="",0,IF(F11&lt;&gt;"",IFERROR(AVERAGE(AI11,AK11,AM11,AO11)*$AP$4,0),""))))</f>
        <v>20</v>
      </c>
      <c r="AQ11" s="174"/>
      <c r="AR11" s="178">
        <f>IF(Input!Q12="","",IF(F11&lt;&gt;"",Input!Q12,""))</f>
        <v>50</v>
      </c>
      <c r="AS11" s="179">
        <f>IF(F11="", "",IF(Input!R12="Error","Error",IF(ISNUMBER(Input!R12),(Input!R12*$AS$4),"")))</f>
        <v>35.714285714285715</v>
      </c>
      <c r="AT11" s="330">
        <f>IF(V11="D","DRP",
IF(F11&lt;&gt;"",
IF(OR(AF11="Error",AP11="Error",AS11="Error"),"Error",
IF(Input!Q12="","-",ROUND(AF11+AP11+AS11,2))),""))</f>
        <v>85.71</v>
      </c>
      <c r="AU11" s="180">
        <f>IF(F11&lt;&gt;"",VLOOKUP(AT11,TRANSMUTATION!$A$2:$B$14,2),"")</f>
        <v>2</v>
      </c>
      <c r="AV11" s="181">
        <f t="shared" si="1"/>
        <v>5</v>
      </c>
      <c r="AW11" s="182"/>
      <c r="AX11" s="183">
        <v>2.5</v>
      </c>
      <c r="AY11" s="184">
        <f t="shared" si="0"/>
        <v>4</v>
      </c>
      <c r="BA11" s="97"/>
    </row>
    <row r="12" spans="1:53" ht="15" customHeight="1" x14ac:dyDescent="0.2">
      <c r="A12" s="97"/>
      <c r="C12" s="194">
        <v>6</v>
      </c>
      <c r="D12" s="203" t="str">
        <f>IF(Input!D13&lt;&gt;"",IF(F12&lt;&gt;"",Input!D13,""),"")</f>
        <v>02000433161</v>
      </c>
      <c r="E12" s="297"/>
      <c r="F12" s="298" t="str">
        <f>(IF(Input!F13&lt;&gt;"",Input!F13,""))</f>
        <v>MAGADIA, LOURD GAVIN BUEZA</v>
      </c>
      <c r="G12" s="333"/>
      <c r="H12" s="333"/>
      <c r="I12" s="333"/>
      <c r="J12" s="333"/>
      <c r="K12" s="333"/>
      <c r="L12" s="333" t="s">
        <v>16</v>
      </c>
      <c r="M12" s="333"/>
      <c r="N12" s="333"/>
      <c r="O12" s="333"/>
      <c r="P12" s="333"/>
      <c r="Q12" s="333"/>
      <c r="R12" s="333"/>
      <c r="S12" s="333"/>
      <c r="T12" s="333"/>
      <c r="U12" s="333"/>
      <c r="V12" s="336"/>
      <c r="W12" s="173"/>
      <c r="X12" s="309">
        <f>IF(F12&lt;&gt;"",IF(Input!G13&lt;&gt;"",Input!G13,""),"")</f>
        <v>40</v>
      </c>
      <c r="Y12" s="449">
        <f>IFERROR(IF($X$5="","",IF(F12&lt;&gt;"",(Input!G13/Input!$G$6)*100,"")),"NA")</f>
        <v>100</v>
      </c>
      <c r="Z12" s="310" t="str">
        <f>IF(F12&lt;&gt;"",IF(Input!H13&lt;&gt;"",Input!H13,""),"")</f>
        <v/>
      </c>
      <c r="AA12" s="449" t="str">
        <f>IFERROR(IF($Z$5="","",IF(F12&lt;&gt;"",(Input!H13/Input!$H$6)*100,"")),"NA")</f>
        <v/>
      </c>
      <c r="AB12" s="310" t="str">
        <f>IF(F12&lt;&gt;"",IF(Input!I13&lt;&gt;"",Input!I13,""),"")</f>
        <v/>
      </c>
      <c r="AC12" s="449" t="str">
        <f>IFERROR(IF($AB$5="","",IF(F12&lt;&gt;"",(Input!I13/Input!$I$6)*100,"")),"NA")</f>
        <v/>
      </c>
      <c r="AD12" s="310" t="str">
        <f>IF(F12&lt;&gt;"",IF(Input!J13&lt;&gt;"",Input!J13,""),"")</f>
        <v/>
      </c>
      <c r="AE12" s="449" t="str">
        <f>IFERROR(IF($AD$5="","",IF(F12&lt;&gt;"",(Input!J13/Input!$J$6)*100,"")),"NA")</f>
        <v/>
      </c>
      <c r="AF12" s="108">
        <f>IF(Input!K13="Error","Error",IF(F12="","",IF($X$5="",0,IF(F12&lt;&gt;"",IFERROR(AVERAGE(Y12,AA12,AC12,AE12)*$AF$4,0),""))))</f>
        <v>30</v>
      </c>
      <c r="AG12" s="174"/>
      <c r="AH12" s="175">
        <f>IF(F12&lt;&gt;"",IF(Input!L13&lt;&gt;"",Input!L13,""),"")</f>
        <v>30</v>
      </c>
      <c r="AI12" s="451">
        <f>IFERROR(IF($AH$5="","",IF(F12&lt;&gt;"",(Input!L13/Input!$L$6)*100,"")),"NA")</f>
        <v>100</v>
      </c>
      <c r="AJ12" s="176" t="str">
        <f>IF(F12&lt;&gt;"",IF(Input!M13&lt;&gt;"",Input!M13,""),"")</f>
        <v/>
      </c>
      <c r="AK12" s="451" t="str">
        <f>IFERROR(IF($AJ$5="","",IF(F12&lt;&gt;"",(Input!M13/Input!$M$6)*100,"")),"NA")</f>
        <v/>
      </c>
      <c r="AL12" s="177" t="str">
        <f>IF(F12&lt;&gt;"",IF(Input!N13&lt;&gt;"",Input!N13,""),"")</f>
        <v/>
      </c>
      <c r="AM12" s="451" t="str">
        <f>IFERROR(IF($AL$5="","",IF(F12&lt;&gt;"",(Input!N13/Input!$N$6)*100,"")),"NA")</f>
        <v/>
      </c>
      <c r="AN12" s="177" t="str">
        <f>IF(F12&lt;&gt;"",IF(Input!O13&lt;&gt;"",Input!O13,""),"")</f>
        <v/>
      </c>
      <c r="AO12" s="451" t="str">
        <f>IFERROR(IF($AN$5="","",IF(F12&lt;&gt;"",(Input!O13/Input!$O$6)*100,"")),"NA")</f>
        <v/>
      </c>
      <c r="AP12" s="303">
        <f>IF(Input!P13="Error","Error",IF(F12="","",IF($AH$5="",0,IF(F12&lt;&gt;"",IFERROR(AVERAGE(AI12,AK12,AM12,AO12)*$AP$4,0),""))))</f>
        <v>20</v>
      </c>
      <c r="AQ12" s="174"/>
      <c r="AR12" s="178">
        <f>IF(Input!Q13="","",IF(F12&lt;&gt;"",Input!Q13,""))</f>
        <v>48</v>
      </c>
      <c r="AS12" s="179">
        <f>IF(F12="", "",IF(Input!R13="Error","Error",IF(ISNUMBER(Input!R13),(Input!R13*$AS$4),"")))</f>
        <v>34.285714285714285</v>
      </c>
      <c r="AT12" s="330">
        <f>IF(V12="D","DRP",
IF(F12&lt;&gt;"",
IF(OR(AF12="Error",AP12="Error",AS12="Error"),"Error",
IF(Input!Q13="","-",ROUND(AF12+AP12+AS12,2))),""))</f>
        <v>84.29</v>
      </c>
      <c r="AU12" s="180">
        <f>IF(F12&lt;&gt;"",VLOOKUP(AT12,TRANSMUTATION!$A$2:$B$14,2),"")</f>
        <v>2</v>
      </c>
      <c r="AV12" s="181">
        <f t="shared" si="1"/>
        <v>7</v>
      </c>
      <c r="AW12" s="182"/>
      <c r="AX12" s="183">
        <v>2.75</v>
      </c>
      <c r="AY12" s="184">
        <f t="shared" si="0"/>
        <v>0</v>
      </c>
      <c r="BA12" s="97"/>
    </row>
    <row r="13" spans="1:53" ht="15" customHeight="1" x14ac:dyDescent="0.2">
      <c r="A13" s="97"/>
      <c r="C13" s="194">
        <v>7</v>
      </c>
      <c r="D13" s="203" t="str">
        <f>IF(Input!D14&lt;&gt;"",IF(F13&lt;&gt;"",Input!D14,""),"")</f>
        <v>02000511375</v>
      </c>
      <c r="E13" s="297"/>
      <c r="F13" s="298" t="str">
        <f>(IF(Input!F14&lt;&gt;"",Input!F14,""))</f>
        <v>MANZANO, JHON KENNETH</v>
      </c>
      <c r="G13" s="333"/>
      <c r="H13" s="333"/>
      <c r="I13" s="333"/>
      <c r="J13" s="333"/>
      <c r="K13" s="333"/>
      <c r="L13" s="333" t="s">
        <v>16</v>
      </c>
      <c r="M13" s="333"/>
      <c r="N13" s="333"/>
      <c r="O13" s="333"/>
      <c r="P13" s="333"/>
      <c r="Q13" s="333"/>
      <c r="R13" s="333"/>
      <c r="S13" s="333"/>
      <c r="T13" s="333"/>
      <c r="U13" s="333"/>
      <c r="V13" s="336"/>
      <c r="W13" s="173"/>
      <c r="X13" s="309">
        <f>IF(F13&lt;&gt;"",IF(Input!G14&lt;&gt;"",Input!G14,""),"")</f>
        <v>40</v>
      </c>
      <c r="Y13" s="449">
        <f>IFERROR(IF($X$5="","",IF(F13&lt;&gt;"",(Input!G14/Input!$G$6)*100,"")),"NA")</f>
        <v>100</v>
      </c>
      <c r="Z13" s="310" t="str">
        <f>IF(F13&lt;&gt;"",IF(Input!H14&lt;&gt;"",Input!H14,""),"")</f>
        <v/>
      </c>
      <c r="AA13" s="449" t="str">
        <f>IFERROR(IF($Z$5="","",IF(F13&lt;&gt;"",(Input!H14/Input!$H$6)*100,"")),"NA")</f>
        <v/>
      </c>
      <c r="AB13" s="310" t="str">
        <f>IF(F13&lt;&gt;"",IF(Input!I14&lt;&gt;"",Input!I14,""),"")</f>
        <v/>
      </c>
      <c r="AC13" s="449" t="str">
        <f>IFERROR(IF($AB$5="","",IF(F13&lt;&gt;"",(Input!I14/Input!$I$6)*100,"")),"NA")</f>
        <v/>
      </c>
      <c r="AD13" s="310" t="str">
        <f>IF(F13&lt;&gt;"",IF(Input!J14&lt;&gt;"",Input!J14,""),"")</f>
        <v/>
      </c>
      <c r="AE13" s="449" t="str">
        <f>IFERROR(IF($AD$5="","",IF(F13&lt;&gt;"",(Input!J14/Input!$J$6)*100,"")),"NA")</f>
        <v/>
      </c>
      <c r="AF13" s="108">
        <f>IF(Input!K14="Error","Error",IF(F13="","",IF($X$5="",0,IF(F13&lt;&gt;"",IFERROR(AVERAGE(Y13,AA13,AC13,AE13)*$AF$4,0),""))))</f>
        <v>30</v>
      </c>
      <c r="AG13" s="174"/>
      <c r="AH13" s="175">
        <f>IF(F13&lt;&gt;"",IF(Input!L14&lt;&gt;"",Input!L14,""),"")</f>
        <v>30</v>
      </c>
      <c r="AI13" s="451">
        <f>IFERROR(IF($AH$5="","",IF(F13&lt;&gt;"",(Input!L14/Input!$L$6)*100,"")),"NA")</f>
        <v>100</v>
      </c>
      <c r="AJ13" s="176" t="str">
        <f>IF(F13&lt;&gt;"",IF(Input!M14&lt;&gt;"",Input!M14,""),"")</f>
        <v/>
      </c>
      <c r="AK13" s="451" t="str">
        <f>IFERROR(IF($AJ$5="","",IF(F13&lt;&gt;"",(Input!M14/Input!$M$6)*100,"")),"NA")</f>
        <v/>
      </c>
      <c r="AL13" s="177" t="str">
        <f>IF(F13&lt;&gt;"",IF(Input!N14&lt;&gt;"",Input!N14,""),"")</f>
        <v/>
      </c>
      <c r="AM13" s="451" t="str">
        <f>IFERROR(IF($AL$5="","",IF(F13&lt;&gt;"",(Input!N14/Input!$N$6)*100,"")),"NA")</f>
        <v/>
      </c>
      <c r="AN13" s="177" t="str">
        <f>IF(F13&lt;&gt;"",IF(Input!O14&lt;&gt;"",Input!O14,""),"")</f>
        <v/>
      </c>
      <c r="AO13" s="451" t="str">
        <f>IFERROR(IF($AN$5="","",IF(F13&lt;&gt;"",(Input!O14/Input!$O$6)*100,"")),"NA")</f>
        <v/>
      </c>
      <c r="AP13" s="303">
        <f>IF(Input!P14="Error","Error",IF(F13="","",IF($AH$5="",0,IF(F13&lt;&gt;"",IFERROR(AVERAGE(AI13,AK13,AM13,AO13)*$AP$4,0),""))))</f>
        <v>20</v>
      </c>
      <c r="AQ13" s="174"/>
      <c r="AR13" s="178">
        <f>IF(Input!Q14="","",IF(F13&lt;&gt;"",Input!Q14,""))</f>
        <v>30</v>
      </c>
      <c r="AS13" s="179">
        <f>IF(F13="", "",IF(Input!R14="Error","Error",IF(ISNUMBER(Input!R14),(Input!R14*$AS$4),"")))</f>
        <v>21.428571428571427</v>
      </c>
      <c r="AT13" s="330">
        <f>IF(V13="D","DRP",
IF(F13&lt;&gt;"",
IF(OR(AF13="Error",AP13="Error",AS13="Error"),"Error",
IF(Input!Q14="","-",ROUND(AF13+AP13+AS13,2))),""))</f>
        <v>71.430000000000007</v>
      </c>
      <c r="AU13" s="180">
        <f>IF(F13&lt;&gt;"",VLOOKUP(AT13,TRANSMUTATION!$A$2:$B$14,2),"")</f>
        <v>2.5</v>
      </c>
      <c r="AV13" s="181">
        <f t="shared" si="1"/>
        <v>12</v>
      </c>
      <c r="AW13" s="182"/>
      <c r="AX13" s="183">
        <v>3</v>
      </c>
      <c r="AY13" s="184">
        <f t="shared" si="0"/>
        <v>2</v>
      </c>
      <c r="BA13" s="97"/>
    </row>
    <row r="14" spans="1:53" ht="15" customHeight="1" x14ac:dyDescent="0.2">
      <c r="A14" s="97"/>
      <c r="C14" s="194">
        <v>8</v>
      </c>
      <c r="D14" s="203" t="str">
        <f>IF(Input!D15&lt;&gt;"",IF(F14&lt;&gt;"",Input!D15,""),"")</f>
        <v>02000511957</v>
      </c>
      <c r="E14" s="297"/>
      <c r="F14" s="298" t="str">
        <f>(IF(Input!F15&lt;&gt;"",Input!F15,""))</f>
        <v>OLAYRES, PRINCESS ENOLVA</v>
      </c>
      <c r="G14" s="333"/>
      <c r="H14" s="333"/>
      <c r="I14" s="333"/>
      <c r="J14" s="333"/>
      <c r="K14" s="333"/>
      <c r="L14" s="333" t="s">
        <v>16</v>
      </c>
      <c r="M14" s="333"/>
      <c r="N14" s="333"/>
      <c r="O14" s="333"/>
      <c r="P14" s="333"/>
      <c r="Q14" s="333"/>
      <c r="R14" s="333"/>
      <c r="S14" s="333"/>
      <c r="T14" s="333"/>
      <c r="U14" s="333"/>
      <c r="V14" s="336"/>
      <c r="W14" s="173"/>
      <c r="X14" s="309">
        <f>IF(F14&lt;&gt;"",IF(Input!G15&lt;&gt;"",Input!G15,""),"")</f>
        <v>38</v>
      </c>
      <c r="Y14" s="449">
        <f>IFERROR(IF($X$5="","",IF(F14&lt;&gt;"",(Input!G15/Input!$G$6)*100,"")),"NA")</f>
        <v>95</v>
      </c>
      <c r="Z14" s="310" t="str">
        <f>IF(F14&lt;&gt;"",IF(Input!H15&lt;&gt;"",Input!H15,""),"")</f>
        <v/>
      </c>
      <c r="AA14" s="449" t="str">
        <f>IFERROR(IF($Z$5="","",IF(F14&lt;&gt;"",(Input!H15/Input!$H$6)*100,"")),"NA")</f>
        <v/>
      </c>
      <c r="AB14" s="310" t="str">
        <f>IF(F14&lt;&gt;"",IF(Input!I15&lt;&gt;"",Input!I15,""),"")</f>
        <v/>
      </c>
      <c r="AC14" s="449" t="str">
        <f>IFERROR(IF($AB$5="","",IF(F14&lt;&gt;"",(Input!I15/Input!$I$6)*100,"")),"NA")</f>
        <v/>
      </c>
      <c r="AD14" s="310" t="str">
        <f>IF(F14&lt;&gt;"",IF(Input!J15&lt;&gt;"",Input!J15,""),"")</f>
        <v/>
      </c>
      <c r="AE14" s="449" t="str">
        <f>IFERROR(IF($AD$5="","",IF(F14&lt;&gt;"",(Input!J15/Input!$J$6)*100,"")),"NA")</f>
        <v/>
      </c>
      <c r="AF14" s="108">
        <f>IF(Input!K15="Error","Error",IF(F14="","",IF($X$5="",0,IF(F14&lt;&gt;"",IFERROR(AVERAGE(Y14,AA14,AC14,AE14)*$AF$4,0),""))))</f>
        <v>28.5</v>
      </c>
      <c r="AG14" s="174"/>
      <c r="AH14" s="175">
        <f>IF(F14&lt;&gt;"",IF(Input!L15&lt;&gt;"",Input!L15,""),"")</f>
        <v>28</v>
      </c>
      <c r="AI14" s="451">
        <f>IFERROR(IF($AH$5="","",IF(F14&lt;&gt;"",(Input!L15/Input!$L$6)*100,"")),"NA")</f>
        <v>93.333333333333329</v>
      </c>
      <c r="AJ14" s="176" t="str">
        <f>IF(F14&lt;&gt;"",IF(Input!M15&lt;&gt;"",Input!M15,""),"")</f>
        <v/>
      </c>
      <c r="AK14" s="451" t="str">
        <f>IFERROR(IF($AJ$5="","",IF(F14&lt;&gt;"",(Input!M15/Input!$M$6)*100,"")),"NA")</f>
        <v/>
      </c>
      <c r="AL14" s="177" t="str">
        <f>IF(F14&lt;&gt;"",IF(Input!N15&lt;&gt;"",Input!N15,""),"")</f>
        <v/>
      </c>
      <c r="AM14" s="451" t="str">
        <f>IFERROR(IF($AL$5="","",IF(F14&lt;&gt;"",(Input!N15/Input!$N$6)*100,"")),"NA")</f>
        <v/>
      </c>
      <c r="AN14" s="177" t="str">
        <f>IF(F14&lt;&gt;"",IF(Input!O15&lt;&gt;"",Input!O15,""),"")</f>
        <v/>
      </c>
      <c r="AO14" s="451" t="str">
        <f>IFERROR(IF($AN$5="","",IF(F14&lt;&gt;"",(Input!O15/Input!$O$6)*100,"")),"NA")</f>
        <v/>
      </c>
      <c r="AP14" s="303">
        <f>IF(Input!P15="Error","Error",IF(F14="","",IF($AH$5="",0,IF(F14&lt;&gt;"",IFERROR(AVERAGE(AI14,AK14,AM14,AO14)*$AP$4,0),""))))</f>
        <v>18.666666666666668</v>
      </c>
      <c r="AQ14" s="174"/>
      <c r="AR14" s="178">
        <f>IF(Input!Q15="","",IF(F14&lt;&gt;"",Input!Q15,""))</f>
        <v>36</v>
      </c>
      <c r="AS14" s="179">
        <f>IF(F14="", "",IF(Input!R15="Error","Error",IF(ISNUMBER(Input!R15),(Input!R15*$AS$4),"")))</f>
        <v>25.714285714285712</v>
      </c>
      <c r="AT14" s="330">
        <f>IF(V14="D","DRP",
IF(F14&lt;&gt;"",
IF(OR(AF14="Error",AP14="Error",AS14="Error"),"Error",
IF(Input!Q15="","-",ROUND(AF14+AP14+AS14,2))),""))</f>
        <v>72.88</v>
      </c>
      <c r="AU14" s="180">
        <f>IF(F14&lt;&gt;"",VLOOKUP(AT14,TRANSMUTATION!$A$2:$B$14,2),"")</f>
        <v>2.5</v>
      </c>
      <c r="AV14" s="181">
        <f t="shared" si="1"/>
        <v>11</v>
      </c>
      <c r="AW14" s="182"/>
      <c r="AX14" s="183">
        <v>5</v>
      </c>
      <c r="AY14" s="184">
        <f t="shared" si="0"/>
        <v>2</v>
      </c>
      <c r="BA14" s="97"/>
    </row>
    <row r="15" spans="1:53" ht="15" customHeight="1" x14ac:dyDescent="0.2">
      <c r="A15" s="97"/>
      <c r="C15" s="194">
        <v>9</v>
      </c>
      <c r="D15" s="203" t="str">
        <f>IF(Input!D16&lt;&gt;"",IF(F15&lt;&gt;"",Input!D16,""),"")</f>
        <v>02000512988</v>
      </c>
      <c r="E15" s="297"/>
      <c r="F15" s="298" t="str">
        <f>(IF(Input!F16&lt;&gt;"",Input!F16,""))</f>
        <v>OSEA, SANTINO JOSHUA NUYDA</v>
      </c>
      <c r="G15" s="333"/>
      <c r="H15" s="333"/>
      <c r="I15" s="333"/>
      <c r="J15" s="333"/>
      <c r="K15" s="333"/>
      <c r="L15" s="333" t="s">
        <v>16</v>
      </c>
      <c r="M15" s="333"/>
      <c r="N15" s="333"/>
      <c r="O15" s="333"/>
      <c r="P15" s="333"/>
      <c r="Q15" s="333"/>
      <c r="R15" s="333"/>
      <c r="S15" s="333"/>
      <c r="T15" s="333"/>
      <c r="U15" s="333"/>
      <c r="V15" s="336"/>
      <c r="W15" s="173"/>
      <c r="X15" s="309">
        <f>IF(F15&lt;&gt;"",IF(Input!G16&lt;&gt;"",Input!G16,""),"")</f>
        <v>40</v>
      </c>
      <c r="Y15" s="449">
        <f>IFERROR(IF($X$5="","",IF(F15&lt;&gt;"",(Input!G16/Input!$G$6)*100,"")),"NA")</f>
        <v>100</v>
      </c>
      <c r="Z15" s="310" t="str">
        <f>IF(F15&lt;&gt;"",IF(Input!H16&lt;&gt;"",Input!H16,""),"")</f>
        <v/>
      </c>
      <c r="AA15" s="449" t="str">
        <f>IFERROR(IF($Z$5="","",IF(F15&lt;&gt;"",(Input!H16/Input!$H$6)*100,"")),"NA")</f>
        <v/>
      </c>
      <c r="AB15" s="310" t="str">
        <f>IF(F15&lt;&gt;"",IF(Input!I16&lt;&gt;"",Input!I16,""),"")</f>
        <v/>
      </c>
      <c r="AC15" s="449" t="str">
        <f>IFERROR(IF($AB$5="","",IF(F15&lt;&gt;"",(Input!I16/Input!$I$6)*100,"")),"NA")</f>
        <v/>
      </c>
      <c r="AD15" s="310" t="str">
        <f>IF(F15&lt;&gt;"",IF(Input!J16&lt;&gt;"",Input!J16,""),"")</f>
        <v/>
      </c>
      <c r="AE15" s="449" t="str">
        <f>IFERROR(IF($AD$5="","",IF(F15&lt;&gt;"",(Input!J16/Input!$J$6)*100,"")),"NA")</f>
        <v/>
      </c>
      <c r="AF15" s="108">
        <f>IF(Input!K16="Error","Error",IF(F15="","",IF($X$5="",0,IF(F15&lt;&gt;"",IFERROR(AVERAGE(Y15,AA15,AC15,AE15)*$AF$4,0),""))))</f>
        <v>30</v>
      </c>
      <c r="AG15" s="174"/>
      <c r="AH15" s="175">
        <f>IF(F15&lt;&gt;"",IF(Input!L16&lt;&gt;"",Input!L16,""),"")</f>
        <v>29</v>
      </c>
      <c r="AI15" s="451">
        <f>IFERROR(IF($AH$5="","",IF(F15&lt;&gt;"",(Input!L16/Input!$L$6)*100,"")),"NA")</f>
        <v>96.666666666666671</v>
      </c>
      <c r="AJ15" s="176" t="str">
        <f>IF(F15&lt;&gt;"",IF(Input!M16&lt;&gt;"",Input!M16,""),"")</f>
        <v/>
      </c>
      <c r="AK15" s="451" t="str">
        <f>IFERROR(IF($AJ$5="","",IF(F15&lt;&gt;"",(Input!M16/Input!$M$6)*100,"")),"NA")</f>
        <v/>
      </c>
      <c r="AL15" s="177" t="str">
        <f>IF(F15&lt;&gt;"",IF(Input!N16&lt;&gt;"",Input!N16,""),"")</f>
        <v/>
      </c>
      <c r="AM15" s="451" t="str">
        <f>IFERROR(IF($AL$5="","",IF(F15&lt;&gt;"",(Input!N16/Input!$N$6)*100,"")),"NA")</f>
        <v/>
      </c>
      <c r="AN15" s="177" t="str">
        <f>IF(F15&lt;&gt;"",IF(Input!O16&lt;&gt;"",Input!O16,""),"")</f>
        <v/>
      </c>
      <c r="AO15" s="451" t="str">
        <f>IFERROR(IF($AN$5="","",IF(F15&lt;&gt;"",(Input!O16/Input!$O$6)*100,"")),"NA")</f>
        <v/>
      </c>
      <c r="AP15" s="303">
        <f>IF(Input!P16="Error","Error",IF(F15="","",IF($AH$5="",0,IF(F15&lt;&gt;"",IFERROR(AVERAGE(AI15,AK15,AM15,AO15)*$AP$4,0),""))))</f>
        <v>19.333333333333336</v>
      </c>
      <c r="AQ15" s="174"/>
      <c r="AR15" s="178">
        <f>IF(Input!Q16="","",IF(F15&lt;&gt;"",Input!Q16,""))</f>
        <v>58</v>
      </c>
      <c r="AS15" s="179">
        <f>IF(F15="", "",IF(Input!R16="Error","Error",IF(ISNUMBER(Input!R16),(Input!R16*$AS$4),"")))</f>
        <v>41.428571428571431</v>
      </c>
      <c r="AT15" s="330">
        <f>IF(V15="D","DRP",
IF(F15&lt;&gt;"",
IF(OR(AF15="Error",AP15="Error",AS15="Error"),"Error",
IF(Input!Q16="","-",ROUND(AF15+AP15+AS15,2))),""))</f>
        <v>90.76</v>
      </c>
      <c r="AU15" s="180">
        <f>IF(F15&lt;&gt;"",VLOOKUP(AT15,TRANSMUTATION!$A$2:$B$14,2),"")</f>
        <v>1.75</v>
      </c>
      <c r="AV15" s="181">
        <f t="shared" si="1"/>
        <v>2</v>
      </c>
      <c r="AW15" s="182"/>
      <c r="AX15" s="183" t="s">
        <v>116</v>
      </c>
      <c r="AY15" s="184">
        <f t="shared" si="0"/>
        <v>0</v>
      </c>
      <c r="BA15" s="97"/>
    </row>
    <row r="16" spans="1:53" ht="15" customHeight="1" x14ac:dyDescent="0.2">
      <c r="A16" s="97"/>
      <c r="C16" s="194">
        <v>10</v>
      </c>
      <c r="D16" s="203" t="str">
        <f>IF(Input!D17&lt;&gt;"",IF(F16&lt;&gt;"",Input!D17,""),"")</f>
        <v>02000509944</v>
      </c>
      <c r="E16" s="297"/>
      <c r="F16" s="298" t="str">
        <f>(IF(Input!F17&lt;&gt;"",Input!F17,""))</f>
        <v>RAMOS, RAFAH MORAL</v>
      </c>
      <c r="G16" s="333"/>
      <c r="H16" s="333"/>
      <c r="I16" s="333"/>
      <c r="J16" s="333"/>
      <c r="K16" s="333"/>
      <c r="L16" s="333" t="s">
        <v>16</v>
      </c>
      <c r="M16" s="333"/>
      <c r="N16" s="333"/>
      <c r="O16" s="333"/>
      <c r="P16" s="333"/>
      <c r="Q16" s="333"/>
      <c r="R16" s="333"/>
      <c r="S16" s="333"/>
      <c r="T16" s="333"/>
      <c r="U16" s="333"/>
      <c r="V16" s="336"/>
      <c r="W16" s="173"/>
      <c r="X16" s="309">
        <f>IF(F16&lt;&gt;"",IF(Input!G17&lt;&gt;"",Input!G17,""),"")</f>
        <v>40</v>
      </c>
      <c r="Y16" s="449">
        <f>IFERROR(IF($X$5="","",IF(F16&lt;&gt;"",(Input!G17/Input!$G$6)*100,"")),"NA")</f>
        <v>100</v>
      </c>
      <c r="Z16" s="310" t="str">
        <f>IF(F16&lt;&gt;"",IF(Input!H17&lt;&gt;"",Input!H17,""),"")</f>
        <v/>
      </c>
      <c r="AA16" s="449" t="str">
        <f>IFERROR(IF($Z$5="","",IF(F16&lt;&gt;"",(Input!H17/Input!$H$6)*100,"")),"NA")</f>
        <v/>
      </c>
      <c r="AB16" s="310" t="str">
        <f>IF(F16&lt;&gt;"",IF(Input!I17&lt;&gt;"",Input!I17,""),"")</f>
        <v/>
      </c>
      <c r="AC16" s="449" t="str">
        <f>IFERROR(IF($AB$5="","",IF(F16&lt;&gt;"",(Input!I17/Input!$I$6)*100,"")),"NA")</f>
        <v/>
      </c>
      <c r="AD16" s="310" t="str">
        <f>IF(F16&lt;&gt;"",IF(Input!J17&lt;&gt;"",Input!J17,""),"")</f>
        <v/>
      </c>
      <c r="AE16" s="449" t="str">
        <f>IFERROR(IF($AD$5="","",IF(F16&lt;&gt;"",(Input!J17/Input!$J$6)*100,"")),"NA")</f>
        <v/>
      </c>
      <c r="AF16" s="108">
        <f>IF(Input!K17="Error","Error",IF(F16="","",IF($X$5="",0,IF(F16&lt;&gt;"",IFERROR(AVERAGE(Y16,AA16,AC16,AE16)*$AF$4,0),""))))</f>
        <v>30</v>
      </c>
      <c r="AG16" s="174"/>
      <c r="AH16" s="175">
        <f>IF(F16&lt;&gt;"",IF(Input!L17&lt;&gt;"",Input!L17,""),"")</f>
        <v>25</v>
      </c>
      <c r="AI16" s="451">
        <f>IFERROR(IF($AH$5="","",IF(F16&lt;&gt;"",(Input!L17/Input!$L$6)*100,"")),"NA")</f>
        <v>83.333333333333343</v>
      </c>
      <c r="AJ16" s="176" t="str">
        <f>IF(F16&lt;&gt;"",IF(Input!M17&lt;&gt;"",Input!M17,""),"")</f>
        <v/>
      </c>
      <c r="AK16" s="451" t="str">
        <f>IFERROR(IF($AJ$5="","",IF(F16&lt;&gt;"",(Input!M17/Input!$M$6)*100,"")),"NA")</f>
        <v/>
      </c>
      <c r="AL16" s="177" t="str">
        <f>IF(F16&lt;&gt;"",IF(Input!N17&lt;&gt;"",Input!N17,""),"")</f>
        <v/>
      </c>
      <c r="AM16" s="451" t="str">
        <f>IFERROR(IF($AL$5="","",IF(F16&lt;&gt;"",(Input!N17/Input!$N$6)*100,"")),"NA")</f>
        <v/>
      </c>
      <c r="AN16" s="177" t="str">
        <f>IF(F16&lt;&gt;"",IF(Input!O17&lt;&gt;"",Input!O17,""),"")</f>
        <v/>
      </c>
      <c r="AO16" s="451" t="str">
        <f>IFERROR(IF($AN$5="","",IF(F16&lt;&gt;"",(Input!O17/Input!$O$6)*100,"")),"NA")</f>
        <v/>
      </c>
      <c r="AP16" s="303">
        <f>IF(Input!P17="Error","Error",IF(F16="","",IF($AH$5="",0,IF(F16&lt;&gt;"",IFERROR(AVERAGE(AI16,AK16,AM16,AO16)*$AP$4,0),""))))</f>
        <v>16.666666666666668</v>
      </c>
      <c r="AQ16" s="174"/>
      <c r="AR16" s="178">
        <f>IF(Input!Q17="","",IF(F16&lt;&gt;"",Input!Q17,""))</f>
        <v>20</v>
      </c>
      <c r="AS16" s="179">
        <f>IF(F16="", "",IF(Input!R17="Error","Error",IF(ISNUMBER(Input!R17),(Input!R17*$AS$4),"")))</f>
        <v>14.285714285714285</v>
      </c>
      <c r="AT16" s="330">
        <f>IF(V16="D","DRP",
IF(F16&lt;&gt;"",
IF(OR(AF16="Error",AP16="Error",AS16="Error"),"Error",
IF(Input!Q17="","-",ROUND(AF16+AP16+AS16,2))),""))</f>
        <v>60.95</v>
      </c>
      <c r="AU16" s="180">
        <f>IF(F16&lt;&gt;"",VLOOKUP(AT16,TRANSMUTATION!$A$2:$B$14,2),"")</f>
        <v>3</v>
      </c>
      <c r="AV16" s="181">
        <f t="shared" si="1"/>
        <v>14</v>
      </c>
      <c r="AW16" s="182"/>
      <c r="AX16" s="185" t="s">
        <v>117</v>
      </c>
      <c r="AY16" s="186">
        <f t="shared" si="0"/>
        <v>0</v>
      </c>
      <c r="BA16" s="97"/>
    </row>
    <row r="17" spans="1:53" ht="15" customHeight="1" thickBot="1" x14ac:dyDescent="0.25">
      <c r="A17" s="97"/>
      <c r="C17" s="194">
        <v>11</v>
      </c>
      <c r="D17" s="203" t="str">
        <f>IF(Input!D18&lt;&gt;"",IF(F17&lt;&gt;"",Input!D18,""),"")</f>
        <v>02000492694</v>
      </c>
      <c r="E17" s="297"/>
      <c r="F17" s="298" t="str">
        <f>(IF(Input!F18&lt;&gt;"",Input!F18,""))</f>
        <v>RAYNES, RAISSEN ISAIAH NOCITO</v>
      </c>
      <c r="G17" s="333"/>
      <c r="H17" s="333"/>
      <c r="I17" s="333"/>
      <c r="J17" s="333"/>
      <c r="K17" s="333"/>
      <c r="L17" s="333" t="s">
        <v>16</v>
      </c>
      <c r="M17" s="333"/>
      <c r="N17" s="333"/>
      <c r="O17" s="333"/>
      <c r="P17" s="333"/>
      <c r="Q17" s="333"/>
      <c r="R17" s="333"/>
      <c r="S17" s="333"/>
      <c r="T17" s="333"/>
      <c r="U17" s="333"/>
      <c r="V17" s="336"/>
      <c r="W17" s="173"/>
      <c r="X17" s="309">
        <f>IF(F17&lt;&gt;"",IF(Input!G18&lt;&gt;"",Input!G18,""),"")</f>
        <v>38</v>
      </c>
      <c r="Y17" s="449">
        <f>IFERROR(IF($X$5="","",IF(F17&lt;&gt;"",(Input!G18/Input!$G$6)*100,"")),"NA")</f>
        <v>95</v>
      </c>
      <c r="Z17" s="310" t="str">
        <f>IF(F17&lt;&gt;"",IF(Input!H18&lt;&gt;"",Input!H18,""),"")</f>
        <v/>
      </c>
      <c r="AA17" s="449" t="str">
        <f>IFERROR(IF($Z$5="","",IF(F17&lt;&gt;"",(Input!H18/Input!$H$6)*100,"")),"NA")</f>
        <v/>
      </c>
      <c r="AB17" s="310" t="str">
        <f>IF(F17&lt;&gt;"",IF(Input!I18&lt;&gt;"",Input!I18,""),"")</f>
        <v/>
      </c>
      <c r="AC17" s="449" t="str">
        <f>IFERROR(IF($AB$5="","",IF(F17&lt;&gt;"",(Input!I18/Input!$I$6)*100,"")),"NA")</f>
        <v/>
      </c>
      <c r="AD17" s="310" t="str">
        <f>IF(F17&lt;&gt;"",IF(Input!J18&lt;&gt;"",Input!J18,""),"")</f>
        <v/>
      </c>
      <c r="AE17" s="449" t="str">
        <f>IFERROR(IF($AD$5="","",IF(F17&lt;&gt;"",(Input!J18/Input!$J$6)*100,"")),"NA")</f>
        <v/>
      </c>
      <c r="AF17" s="108">
        <f>IF(Input!K18="Error","Error",IF(F17="","",IF($X$5="",0,IF(F17&lt;&gt;"",IFERROR(AVERAGE(Y17,AA17,AC17,AE17)*$AF$4,0),""))))</f>
        <v>28.5</v>
      </c>
      <c r="AG17" s="174"/>
      <c r="AH17" s="175">
        <f>IF(F17&lt;&gt;"",IF(Input!L18&lt;&gt;"",Input!L18,""),"")</f>
        <v>26</v>
      </c>
      <c r="AI17" s="451">
        <f>IFERROR(IF($AH$5="","",IF(F17&lt;&gt;"",(Input!L18/Input!$L$6)*100,"")),"NA")</f>
        <v>86.666666666666671</v>
      </c>
      <c r="AJ17" s="176" t="str">
        <f>IF(F17&lt;&gt;"",IF(Input!M18&lt;&gt;"",Input!M18,""),"")</f>
        <v/>
      </c>
      <c r="AK17" s="451" t="str">
        <f>IFERROR(IF($AJ$5="","",IF(F17&lt;&gt;"",(Input!M18/Input!$M$6)*100,"")),"NA")</f>
        <v/>
      </c>
      <c r="AL17" s="177" t="str">
        <f>IF(F17&lt;&gt;"",IF(Input!N18&lt;&gt;"",Input!N18,""),"")</f>
        <v/>
      </c>
      <c r="AM17" s="451" t="str">
        <f>IFERROR(IF($AL$5="","",IF(F17&lt;&gt;"",(Input!N18/Input!$N$6)*100,"")),"NA")</f>
        <v/>
      </c>
      <c r="AN17" s="177" t="str">
        <f>IF(F17&lt;&gt;"",IF(Input!O18&lt;&gt;"",Input!O18,""),"")</f>
        <v/>
      </c>
      <c r="AO17" s="451" t="str">
        <f>IFERROR(IF($AN$5="","",IF(F17&lt;&gt;"",(Input!O18/Input!$O$6)*100,"")),"NA")</f>
        <v/>
      </c>
      <c r="AP17" s="303">
        <f>IF(Input!P18="Error","Error",IF(F17="","",IF($AH$5="",0,IF(F17&lt;&gt;"",IFERROR(AVERAGE(AI17,AK17,AM17,AO17)*$AP$4,0),""))))</f>
        <v>17.333333333333336</v>
      </c>
      <c r="AQ17" s="174"/>
      <c r="AR17" s="178">
        <f>IF(Input!Q18="","",IF(F17&lt;&gt;"",Input!Q18,""))</f>
        <v>54</v>
      </c>
      <c r="AS17" s="179">
        <f>IF(F17="", "",IF(Input!R18="Error","Error",IF(ISNUMBER(Input!R18),(Input!R18*$AS$4),"")))</f>
        <v>38.571428571428577</v>
      </c>
      <c r="AT17" s="330">
        <f>IF(V17="D","DRP",
IF(F17&lt;&gt;"",
IF(OR(AF17="Error",AP17="Error",AS17="Error"),"Error",
IF(Input!Q18="","-",ROUND(AF17+AP17+AS17,2))),""))</f>
        <v>84.4</v>
      </c>
      <c r="AU17" s="180">
        <f>IF(F17&lt;&gt;"",VLOOKUP(AT17,TRANSMUTATION!$A$2:$B$14,2),"")</f>
        <v>2</v>
      </c>
      <c r="AV17" s="181">
        <f t="shared" si="1"/>
        <v>6</v>
      </c>
      <c r="AW17" s="182"/>
      <c r="AX17" s="187" t="s">
        <v>118</v>
      </c>
      <c r="AY17" s="188">
        <f>SUM(AY5:AY16)</f>
        <v>17</v>
      </c>
      <c r="BA17" s="97"/>
    </row>
    <row r="18" spans="1:53" ht="15" customHeight="1" x14ac:dyDescent="0.2">
      <c r="A18" s="97"/>
      <c r="C18" s="194">
        <v>12</v>
      </c>
      <c r="D18" s="203" t="str">
        <f>IF(Input!D19&lt;&gt;"",IF(F18&lt;&gt;"",Input!D19,""),"")</f>
        <v>02000512583</v>
      </c>
      <c r="E18" s="297"/>
      <c r="F18" s="298" t="str">
        <f>(IF(Input!F19&lt;&gt;"",Input!F19,""))</f>
        <v>SANCHEZ, CASEY FIONA NOCUS</v>
      </c>
      <c r="G18" s="333"/>
      <c r="H18" s="333"/>
      <c r="I18" s="333"/>
      <c r="J18" s="333"/>
      <c r="K18" s="333"/>
      <c r="L18" s="333" t="s">
        <v>16</v>
      </c>
      <c r="M18" s="333"/>
      <c r="N18" s="333"/>
      <c r="O18" s="333"/>
      <c r="P18" s="333"/>
      <c r="Q18" s="333"/>
      <c r="R18" s="333"/>
      <c r="S18" s="333"/>
      <c r="T18" s="333"/>
      <c r="U18" s="333"/>
      <c r="V18" s="336"/>
      <c r="W18" s="173"/>
      <c r="X18" s="309">
        <f>IF(F18&lt;&gt;"",IF(Input!G19&lt;&gt;"",Input!G19,""),"")</f>
        <v>37</v>
      </c>
      <c r="Y18" s="449">
        <f>IFERROR(IF($X$5="","",IF(F18&lt;&gt;"",(Input!G19/Input!$G$6)*100,"")),"NA")</f>
        <v>92.5</v>
      </c>
      <c r="Z18" s="310" t="str">
        <f>IF(F18&lt;&gt;"",IF(Input!H19&lt;&gt;"",Input!H19,""),"")</f>
        <v/>
      </c>
      <c r="AA18" s="449" t="str">
        <f>IFERROR(IF($Z$5="","",IF(F18&lt;&gt;"",(Input!H19/Input!$H$6)*100,"")),"NA")</f>
        <v/>
      </c>
      <c r="AB18" s="310" t="str">
        <f>IF(F18&lt;&gt;"",IF(Input!I19&lt;&gt;"",Input!I19,""),"")</f>
        <v/>
      </c>
      <c r="AC18" s="449" t="str">
        <f>IFERROR(IF($AB$5="","",IF(F18&lt;&gt;"",(Input!I19/Input!$I$6)*100,"")),"NA")</f>
        <v/>
      </c>
      <c r="AD18" s="310" t="str">
        <f>IF(F18&lt;&gt;"",IF(Input!J19&lt;&gt;"",Input!J19,""),"")</f>
        <v/>
      </c>
      <c r="AE18" s="449" t="str">
        <f>IFERROR(IF($AD$5="","",IF(F18&lt;&gt;"",(Input!J19/Input!$J$6)*100,"")),"NA")</f>
        <v/>
      </c>
      <c r="AF18" s="108">
        <f>IF(Input!K19="Error","Error",IF(F18="","",IF($X$5="",0,IF(F18&lt;&gt;"",IFERROR(AVERAGE(Y18,AA18,AC18,AE18)*$AF$4,0),""))))</f>
        <v>27.75</v>
      </c>
      <c r="AG18" s="174"/>
      <c r="AH18" s="175">
        <f>IF(F18&lt;&gt;"",IF(Input!L19&lt;&gt;"",Input!L19,""),"")</f>
        <v>25</v>
      </c>
      <c r="AI18" s="451">
        <f>IFERROR(IF($AH$5="","",IF(F18&lt;&gt;"",(Input!L19/Input!$L$6)*100,"")),"NA")</f>
        <v>83.333333333333343</v>
      </c>
      <c r="AJ18" s="176" t="str">
        <f>IF(F18&lt;&gt;"",IF(Input!M19&lt;&gt;"",Input!M19,""),"")</f>
        <v/>
      </c>
      <c r="AK18" s="451" t="str">
        <f>IFERROR(IF($AJ$5="","",IF(F18&lt;&gt;"",(Input!M19/Input!$M$6)*100,"")),"NA")</f>
        <v/>
      </c>
      <c r="AL18" s="177" t="str">
        <f>IF(F18&lt;&gt;"",IF(Input!N19&lt;&gt;"",Input!N19,""),"")</f>
        <v/>
      </c>
      <c r="AM18" s="451" t="str">
        <f>IFERROR(IF($AL$5="","",IF(F18&lt;&gt;"",(Input!N19/Input!$N$6)*100,"")),"NA")</f>
        <v/>
      </c>
      <c r="AN18" s="177" t="str">
        <f>IF(F18&lt;&gt;"",IF(Input!O19&lt;&gt;"",Input!O19,""),"")</f>
        <v/>
      </c>
      <c r="AO18" s="451" t="str">
        <f>IFERROR(IF($AN$5="","",IF(F18&lt;&gt;"",(Input!O19/Input!$O$6)*100,"")),"NA")</f>
        <v/>
      </c>
      <c r="AP18" s="303">
        <f>IF(Input!P19="Error","Error",IF(F18="","",IF($AH$5="",0,IF(F18&lt;&gt;"",IFERROR(AVERAGE(AI18,AK18,AM18,AO18)*$AP$4,0),""))))</f>
        <v>16.666666666666668</v>
      </c>
      <c r="AQ18" s="174"/>
      <c r="AR18" s="178">
        <f>IF(Input!Q19="","",IF(F18&lt;&gt;"",Input!Q19,""))</f>
        <v>52</v>
      </c>
      <c r="AS18" s="179">
        <f>IF(F18="", "",IF(Input!R19="Error","Error",IF(ISNUMBER(Input!R19),(Input!R19*$AS$4),"")))</f>
        <v>37.142857142857146</v>
      </c>
      <c r="AT18" s="330">
        <f>IF(V18="D","DRP",
IF(F18&lt;&gt;"",
IF(OR(AF18="Error",AP18="Error",AS18="Error"),"Error",
IF(Input!Q19="","-",ROUND(AF18+AP18+AS18,2))),""))</f>
        <v>81.56</v>
      </c>
      <c r="AU18" s="180">
        <f>IF(F18&lt;&gt;"",VLOOKUP(AT18,TRANSMUTATION!$A$2:$B$14,2),"")</f>
        <v>2</v>
      </c>
      <c r="AV18" s="181">
        <f t="shared" si="1"/>
        <v>9</v>
      </c>
      <c r="AW18" s="182"/>
      <c r="AX18" s="189"/>
      <c r="AY18" s="189"/>
      <c r="BA18" s="97"/>
    </row>
    <row r="19" spans="1:53" ht="15" customHeight="1" x14ac:dyDescent="0.2">
      <c r="A19" s="97"/>
      <c r="C19" s="194">
        <v>13</v>
      </c>
      <c r="D19" s="203" t="str">
        <f>IF(Input!D20&lt;&gt;"",IF(F19&lt;&gt;"",Input!D20,""),"")</f>
        <v>02000510067</v>
      </c>
      <c r="E19" s="297"/>
      <c r="F19" s="298" t="str">
        <f>(IF(Input!F20&lt;&gt;"",Input!F20,""))</f>
        <v>SANOY, KARL ASHER MEDINA</v>
      </c>
      <c r="G19" s="333"/>
      <c r="H19" s="333"/>
      <c r="I19" s="333"/>
      <c r="J19" s="333"/>
      <c r="K19" s="333"/>
      <c r="L19" s="333" t="s">
        <v>18</v>
      </c>
      <c r="M19" s="333"/>
      <c r="N19" s="333"/>
      <c r="O19" s="333"/>
      <c r="P19" s="333"/>
      <c r="Q19" s="333"/>
      <c r="R19" s="333"/>
      <c r="S19" s="333"/>
      <c r="T19" s="333"/>
      <c r="U19" s="333"/>
      <c r="V19" s="336"/>
      <c r="W19" s="173"/>
      <c r="X19" s="309">
        <f>IF(F19&lt;&gt;"",IF(Input!G20&lt;&gt;"",Input!G20,""),"")</f>
        <v>0</v>
      </c>
      <c r="Y19" s="449">
        <f>IFERROR(IF($X$5="","",IF(F19&lt;&gt;"",(Input!G20/Input!$G$6)*100,"")),"NA")</f>
        <v>0</v>
      </c>
      <c r="Z19" s="310" t="str">
        <f>IF(F19&lt;&gt;"",IF(Input!H20&lt;&gt;"",Input!H20,""),"")</f>
        <v/>
      </c>
      <c r="AA19" s="449" t="str">
        <f>IFERROR(IF($Z$5="","",IF(F19&lt;&gt;"",(Input!H20/Input!$H$6)*100,"")),"NA")</f>
        <v/>
      </c>
      <c r="AB19" s="310" t="str">
        <f>IF(F19&lt;&gt;"",IF(Input!I20&lt;&gt;"",Input!I20,""),"")</f>
        <v/>
      </c>
      <c r="AC19" s="449" t="str">
        <f>IFERROR(IF($AB$5="","",IF(F19&lt;&gt;"",(Input!I20/Input!$I$6)*100,"")),"NA")</f>
        <v/>
      </c>
      <c r="AD19" s="310" t="str">
        <f>IF(F19&lt;&gt;"",IF(Input!J20&lt;&gt;"",Input!J20,""),"")</f>
        <v/>
      </c>
      <c r="AE19" s="449" t="str">
        <f>IFERROR(IF($AD$5="","",IF(F19&lt;&gt;"",(Input!J20/Input!$J$6)*100,"")),"NA")</f>
        <v/>
      </c>
      <c r="AF19" s="108">
        <f>IF(Input!K20="Error","Error",IF(F19="","",IF($X$5="",0,IF(F19&lt;&gt;"",IFERROR(AVERAGE(Y19,AA19,AC19,AE19)*$AF$4,0),""))))</f>
        <v>0</v>
      </c>
      <c r="AG19" s="174"/>
      <c r="AH19" s="175">
        <f>IF(F19&lt;&gt;"",IF(Input!L20&lt;&gt;"",Input!L20,""),"")</f>
        <v>0</v>
      </c>
      <c r="AI19" s="451">
        <f>IFERROR(IF($AH$5="","",IF(F19&lt;&gt;"",(Input!L20/Input!$L$6)*100,"")),"NA")</f>
        <v>0</v>
      </c>
      <c r="AJ19" s="176" t="str">
        <f>IF(F19&lt;&gt;"",IF(Input!M20&lt;&gt;"",Input!M20,""),"")</f>
        <v/>
      </c>
      <c r="AK19" s="451" t="str">
        <f>IFERROR(IF($AJ$5="","",IF(F19&lt;&gt;"",(Input!M20/Input!$M$6)*100,"")),"NA")</f>
        <v/>
      </c>
      <c r="AL19" s="177" t="str">
        <f>IF(F19&lt;&gt;"",IF(Input!N20&lt;&gt;"",Input!N20,""),"")</f>
        <v/>
      </c>
      <c r="AM19" s="451" t="str">
        <f>IFERROR(IF($AL$5="","",IF(F19&lt;&gt;"",(Input!N20/Input!$N$6)*100,"")),"NA")</f>
        <v/>
      </c>
      <c r="AN19" s="177" t="str">
        <f>IF(F19&lt;&gt;"",IF(Input!O20&lt;&gt;"",Input!O20,""),"")</f>
        <v/>
      </c>
      <c r="AO19" s="451" t="str">
        <f>IFERROR(IF($AN$5="","",IF(F19&lt;&gt;"",(Input!O20/Input!$O$6)*100,"")),"NA")</f>
        <v/>
      </c>
      <c r="AP19" s="303">
        <f>IF(Input!P20="Error","Error",IF(F19="","",IF($AH$5="",0,IF(F19&lt;&gt;"",IFERROR(AVERAGE(AI19,AK19,AM19,AO19)*$AP$4,0),""))))</f>
        <v>0</v>
      </c>
      <c r="AQ19" s="174"/>
      <c r="AR19" s="178">
        <f>IF(Input!Q20="","",IF(F19&lt;&gt;"",Input!Q20,""))</f>
        <v>0</v>
      </c>
      <c r="AS19" s="179">
        <f>IF(F19="", "",IF(Input!R20="Error","Error",IF(ISNUMBER(Input!R20),(Input!R20*$AS$4),"")))</f>
        <v>0</v>
      </c>
      <c r="AT19" s="330">
        <f>IF(V19="D","DRP",
IF(F19&lt;&gt;"",
IF(OR(AF19="Error",AP19="Error",AS19="Error"),"Error",
IF(Input!Q20="","-",ROUND(AF19+AP19+AS19,2))),""))</f>
        <v>0</v>
      </c>
      <c r="AU19" s="180">
        <f>IF(F19&lt;&gt;"",VLOOKUP(AT19,TRANSMUTATION!$A$2:$B$14,2),"")</f>
        <v>5</v>
      </c>
      <c r="AV19" s="181">
        <f t="shared" si="1"/>
        <v>17</v>
      </c>
      <c r="AW19" s="182"/>
      <c r="BA19" s="97"/>
    </row>
    <row r="20" spans="1:53" ht="15" customHeight="1" x14ac:dyDescent="0.2">
      <c r="A20" s="97"/>
      <c r="C20" s="194">
        <v>14</v>
      </c>
      <c r="D20" s="203" t="str">
        <f>IF(Input!D21&lt;&gt;"",IF(F20&lt;&gt;"",Input!D21,""),"")</f>
        <v>02000511216</v>
      </c>
      <c r="E20" s="297"/>
      <c r="F20" s="298" t="str">
        <f>(IF(Input!F21&lt;&gt;"",Input!F21,""))</f>
        <v>TENORIO, JENINA ROSE TIBATIB</v>
      </c>
      <c r="G20" s="333"/>
      <c r="H20" s="333"/>
      <c r="I20" s="333"/>
      <c r="J20" s="333"/>
      <c r="K20" s="333"/>
      <c r="L20" s="333" t="s">
        <v>16</v>
      </c>
      <c r="M20" s="333"/>
      <c r="N20" s="333"/>
      <c r="O20" s="333"/>
      <c r="P20" s="333"/>
      <c r="Q20" s="333"/>
      <c r="R20" s="333"/>
      <c r="S20" s="333"/>
      <c r="T20" s="333"/>
      <c r="U20" s="333"/>
      <c r="V20" s="336"/>
      <c r="W20" s="173"/>
      <c r="X20" s="309">
        <f>IF(F20&lt;&gt;"",IF(Input!G21&lt;&gt;"",Input!G21,""),"")</f>
        <v>40</v>
      </c>
      <c r="Y20" s="449">
        <f>IFERROR(IF($X$5="","",IF(F20&lt;&gt;"",(Input!G21/Input!$G$6)*100,"")),"NA")</f>
        <v>100</v>
      </c>
      <c r="Z20" s="310" t="str">
        <f>IF(F20&lt;&gt;"",IF(Input!H21&lt;&gt;"",Input!H21,""),"")</f>
        <v/>
      </c>
      <c r="AA20" s="449" t="str">
        <f>IFERROR(IF($Z$5="","",IF(F20&lt;&gt;"",(Input!H21/Input!$H$6)*100,"")),"NA")</f>
        <v/>
      </c>
      <c r="AB20" s="310" t="str">
        <f>IF(F20&lt;&gt;"",IF(Input!I21&lt;&gt;"",Input!I21,""),"")</f>
        <v/>
      </c>
      <c r="AC20" s="449" t="str">
        <f>IFERROR(IF($AB$5="","",IF(F20&lt;&gt;"",(Input!I21/Input!$I$6)*100,"")),"NA")</f>
        <v/>
      </c>
      <c r="AD20" s="310" t="str">
        <f>IF(F20&lt;&gt;"",IF(Input!J21&lt;&gt;"",Input!J21,""),"")</f>
        <v/>
      </c>
      <c r="AE20" s="449" t="str">
        <f>IFERROR(IF($AD$5="","",IF(F20&lt;&gt;"",(Input!J21/Input!$J$6)*100,"")),"NA")</f>
        <v/>
      </c>
      <c r="AF20" s="108">
        <f>IF(Input!K21="Error","Error",IF(F20="","",IF($X$5="",0,IF(F20&lt;&gt;"",IFERROR(AVERAGE(Y20,AA20,AC20,AE20)*$AF$4,0),""))))</f>
        <v>30</v>
      </c>
      <c r="AG20" s="174"/>
      <c r="AH20" s="175">
        <f>IF(F20&lt;&gt;"",IF(Input!L21&lt;&gt;"",Input!L21,""),"")</f>
        <v>30</v>
      </c>
      <c r="AI20" s="451">
        <f>IFERROR(IF($AH$5="","",IF(F20&lt;&gt;"",(Input!L21/Input!$L$6)*100,"")),"NA")</f>
        <v>100</v>
      </c>
      <c r="AJ20" s="176" t="str">
        <f>IF(F20&lt;&gt;"",IF(Input!M21&lt;&gt;"",Input!M21,""),"")</f>
        <v/>
      </c>
      <c r="AK20" s="451" t="str">
        <f>IFERROR(IF($AJ$5="","",IF(F20&lt;&gt;"",(Input!M21/Input!$M$6)*100,"")),"NA")</f>
        <v/>
      </c>
      <c r="AL20" s="177" t="str">
        <f>IF(F20&lt;&gt;"",IF(Input!N21&lt;&gt;"",Input!N21,""),"")</f>
        <v/>
      </c>
      <c r="AM20" s="451" t="str">
        <f>IFERROR(IF($AL$5="","",IF(F20&lt;&gt;"",(Input!N21/Input!$N$6)*100,"")),"NA")</f>
        <v/>
      </c>
      <c r="AN20" s="177" t="str">
        <f>IF(F20&lt;&gt;"",IF(Input!O21&lt;&gt;"",Input!O21,""),"")</f>
        <v/>
      </c>
      <c r="AO20" s="451" t="str">
        <f>IFERROR(IF($AN$5="","",IF(F20&lt;&gt;"",(Input!O21/Input!$O$6)*100,"")),"NA")</f>
        <v/>
      </c>
      <c r="AP20" s="303">
        <f>IF(Input!P21="Error","Error",IF(F20="","",IF($AH$5="",0,IF(F20&lt;&gt;"",IFERROR(AVERAGE(AI20,AK20,AM20,AO20)*$AP$4,0),""))))</f>
        <v>20</v>
      </c>
      <c r="AQ20" s="174"/>
      <c r="AR20" s="178">
        <f>IF(Input!Q21="","",IF(F20&lt;&gt;"",Input!Q21,""))</f>
        <v>34</v>
      </c>
      <c r="AS20" s="179">
        <f>IF(F20="", "",IF(Input!R21="Error","Error",IF(ISNUMBER(Input!R21),(Input!R21*$AS$4),"")))</f>
        <v>24.285714285714285</v>
      </c>
      <c r="AT20" s="330">
        <f>IF(V20="D","DRP",
IF(F20&lt;&gt;"",
IF(OR(AF20="Error",AP20="Error",AS20="Error"),"Error",
IF(Input!Q21="","-",ROUND(AF20+AP20+AS20,2))),""))</f>
        <v>74.290000000000006</v>
      </c>
      <c r="AU20" s="180">
        <f>IF(F20&lt;&gt;"",VLOOKUP(AT20,TRANSMUTATION!$A$2:$B$14,2),"")</f>
        <v>2.5</v>
      </c>
      <c r="AV20" s="181">
        <f t="shared" si="1"/>
        <v>10</v>
      </c>
      <c r="AW20" s="182"/>
      <c r="BA20" s="97"/>
    </row>
    <row r="21" spans="1:53" ht="15" customHeight="1" x14ac:dyDescent="0.2">
      <c r="A21" s="97"/>
      <c r="C21" s="194">
        <v>15</v>
      </c>
      <c r="D21" s="203" t="str">
        <f>IF(Input!D22&lt;&gt;"",IF(F21&lt;&gt;"",Input!D22,""),"")</f>
        <v>02000402782</v>
      </c>
      <c r="E21" s="297"/>
      <c r="F21" s="298" t="str">
        <f>(IF(Input!F22&lt;&gt;"",Input!F22,""))</f>
        <v>TUAZON, PHOEBE RONTAS</v>
      </c>
      <c r="G21" s="333"/>
      <c r="H21" s="333"/>
      <c r="I21" s="333"/>
      <c r="J21" s="333"/>
      <c r="K21" s="333"/>
      <c r="L21" s="333" t="s">
        <v>16</v>
      </c>
      <c r="M21" s="333"/>
      <c r="N21" s="333"/>
      <c r="O21" s="333"/>
      <c r="P21" s="333"/>
      <c r="Q21" s="333"/>
      <c r="R21" s="333"/>
      <c r="S21" s="333"/>
      <c r="T21" s="333"/>
      <c r="U21" s="333"/>
      <c r="V21" s="336"/>
      <c r="W21" s="173"/>
      <c r="X21" s="309">
        <f>IF(F21&lt;&gt;"",IF(Input!G22&lt;&gt;"",Input!G22,""),"")</f>
        <v>38</v>
      </c>
      <c r="Y21" s="449">
        <f>IFERROR(IF($X$5="","",IF(F21&lt;&gt;"",(Input!G22/Input!$G$6)*100,"")),"NA")</f>
        <v>95</v>
      </c>
      <c r="Z21" s="310" t="str">
        <f>IF(F21&lt;&gt;"",IF(Input!H22&lt;&gt;"",Input!H22,""),"")</f>
        <v/>
      </c>
      <c r="AA21" s="449" t="str">
        <f>IFERROR(IF($Z$5="","",IF(F21&lt;&gt;"",(Input!H22/Input!$H$6)*100,"")),"NA")</f>
        <v/>
      </c>
      <c r="AB21" s="310" t="str">
        <f>IF(F21&lt;&gt;"",IF(Input!I22&lt;&gt;"",Input!I22,""),"")</f>
        <v/>
      </c>
      <c r="AC21" s="449" t="str">
        <f>IFERROR(IF($AB$5="","",IF(F21&lt;&gt;"",(Input!I22/Input!$I$6)*100,"")),"NA")</f>
        <v/>
      </c>
      <c r="AD21" s="310" t="str">
        <f>IF(F21&lt;&gt;"",IF(Input!J22&lt;&gt;"",Input!J22,""),"")</f>
        <v/>
      </c>
      <c r="AE21" s="449" t="str">
        <f>IFERROR(IF($AD$5="","",IF(F21&lt;&gt;"",(Input!J22/Input!$J$6)*100,"")),"NA")</f>
        <v/>
      </c>
      <c r="AF21" s="108">
        <f>IF(Input!K22="Error","Error",IF(F21="","",IF($X$5="",0,IF(F21&lt;&gt;"",IFERROR(AVERAGE(Y21,AA21,AC21,AE21)*$AF$4,0),""))))</f>
        <v>28.5</v>
      </c>
      <c r="AG21" s="174"/>
      <c r="AH21" s="175">
        <f>IF(F21&lt;&gt;"",IF(Input!L22&lt;&gt;"",Input!L22,""),"")</f>
        <v>28</v>
      </c>
      <c r="AI21" s="451">
        <f>IFERROR(IF($AH$5="","",IF(F21&lt;&gt;"",(Input!L22/Input!$L$6)*100,"")),"NA")</f>
        <v>93.333333333333329</v>
      </c>
      <c r="AJ21" s="176" t="str">
        <f>IF(F21&lt;&gt;"",IF(Input!M22&lt;&gt;"",Input!M22,""),"")</f>
        <v/>
      </c>
      <c r="AK21" s="451" t="str">
        <f>IFERROR(IF($AJ$5="","",IF(F21&lt;&gt;"",(Input!M22/Input!$M$6)*100,"")),"NA")</f>
        <v/>
      </c>
      <c r="AL21" s="177" t="str">
        <f>IF(F21&lt;&gt;"",IF(Input!N22&lt;&gt;"",Input!N22,""),"")</f>
        <v/>
      </c>
      <c r="AM21" s="451" t="str">
        <f>IFERROR(IF($AL$5="","",IF(F21&lt;&gt;"",(Input!N22/Input!$N$6)*100,"")),"NA")</f>
        <v/>
      </c>
      <c r="AN21" s="177" t="str">
        <f>IF(F21&lt;&gt;"",IF(Input!O22&lt;&gt;"",Input!O22,""),"")</f>
        <v/>
      </c>
      <c r="AO21" s="451" t="str">
        <f>IFERROR(IF($AN$5="","",IF(F21&lt;&gt;"",(Input!O22/Input!$O$6)*100,"")),"NA")</f>
        <v/>
      </c>
      <c r="AP21" s="303">
        <f>IF(Input!P22="Error","Error",IF(F21="","",IF($AH$5="",0,IF(F21&lt;&gt;"",IFERROR(AVERAGE(AI21,AK21,AM21,AO21)*$AP$4,0),""))))</f>
        <v>18.666666666666668</v>
      </c>
      <c r="AQ21" s="174"/>
      <c r="AR21" s="178">
        <f>IF(Input!Q22="","",IF(F21&lt;&gt;"",Input!Q22,""))</f>
        <v>66</v>
      </c>
      <c r="AS21" s="179">
        <f>IF(F21="", "",IF(Input!R22="Error","Error",IF(ISNUMBER(Input!R22),(Input!R22*$AS$4),"")))</f>
        <v>47.142857142857139</v>
      </c>
      <c r="AT21" s="330">
        <f>IF(V21="D","DRP",
IF(F21&lt;&gt;"",
IF(OR(AF21="Error",AP21="Error",AS21="Error"),"Error",
IF(Input!Q22="","-",ROUND(AF21+AP21+AS21,2))),""))</f>
        <v>94.31</v>
      </c>
      <c r="AU21" s="180">
        <f>IF(F21&lt;&gt;"",VLOOKUP(AT21,TRANSMUTATION!$A$2:$B$14,2),"")</f>
        <v>1.5</v>
      </c>
      <c r="AV21" s="181">
        <f t="shared" si="1"/>
        <v>1</v>
      </c>
      <c r="AW21" s="182"/>
      <c r="BA21" s="97"/>
    </row>
    <row r="22" spans="1:53" ht="15" customHeight="1" x14ac:dyDescent="0.2">
      <c r="A22" s="97"/>
      <c r="C22" s="194">
        <v>16</v>
      </c>
      <c r="D22" s="203" t="str">
        <f>IF(Input!D23&lt;&gt;"",IF(F22&lt;&gt;"",Input!D23,""),"")</f>
        <v>02000511382</v>
      </c>
      <c r="E22" s="297"/>
      <c r="F22" s="298" t="str">
        <f>(IF(Input!F23&lt;&gt;"",Input!F23,""))</f>
        <v>TUMACAG, JOHN RAVE VALERA</v>
      </c>
      <c r="G22" s="333"/>
      <c r="H22" s="333"/>
      <c r="I22" s="333"/>
      <c r="J22" s="333"/>
      <c r="K22" s="333"/>
      <c r="L22" s="333" t="s">
        <v>16</v>
      </c>
      <c r="M22" s="333"/>
      <c r="N22" s="333"/>
      <c r="O22" s="333"/>
      <c r="P22" s="333"/>
      <c r="Q22" s="333"/>
      <c r="R22" s="333"/>
      <c r="S22" s="333"/>
      <c r="T22" s="333"/>
      <c r="U22" s="333"/>
      <c r="V22" s="336"/>
      <c r="W22" s="173"/>
      <c r="X22" s="309">
        <f>IF(F22&lt;&gt;"",IF(Input!G23&lt;&gt;"",Input!G23,""),"")</f>
        <v>39</v>
      </c>
      <c r="Y22" s="449">
        <f>IFERROR(IF($X$5="","",IF(F22&lt;&gt;"",(Input!G23/Input!$G$6)*100,"")),"NA")</f>
        <v>97.5</v>
      </c>
      <c r="Z22" s="310" t="str">
        <f>IF(F22&lt;&gt;"",IF(Input!H23&lt;&gt;"",Input!H23,""),"")</f>
        <v/>
      </c>
      <c r="AA22" s="449" t="str">
        <f>IFERROR(IF($Z$5="","",IF(F22&lt;&gt;"",(Input!H23/Input!$H$6)*100,"")),"NA")</f>
        <v/>
      </c>
      <c r="AB22" s="310" t="str">
        <f>IF(F22&lt;&gt;"",IF(Input!I23&lt;&gt;"",Input!I23,""),"")</f>
        <v/>
      </c>
      <c r="AC22" s="449" t="str">
        <f>IFERROR(IF($AB$5="","",IF(F22&lt;&gt;"",(Input!I23/Input!$I$6)*100,"")),"NA")</f>
        <v/>
      </c>
      <c r="AD22" s="310" t="str">
        <f>IF(F22&lt;&gt;"",IF(Input!J23&lt;&gt;"",Input!J23,""),"")</f>
        <v/>
      </c>
      <c r="AE22" s="449" t="str">
        <f>IFERROR(IF($AD$5="","",IF(F22&lt;&gt;"",(Input!J23/Input!$J$6)*100,"")),"NA")</f>
        <v/>
      </c>
      <c r="AF22" s="108">
        <f>IF(Input!K23="Error","Error",IF(F22="","",IF($X$5="",0,IF(F22&lt;&gt;"",IFERROR(AVERAGE(Y22,AA22,AC22,AE22)*$AF$4,0),""))))</f>
        <v>29.25</v>
      </c>
      <c r="AG22" s="174"/>
      <c r="AH22" s="175">
        <f>IF(F22&lt;&gt;"",IF(Input!L23&lt;&gt;"",Input!L23,""),"")</f>
        <v>28</v>
      </c>
      <c r="AI22" s="451">
        <f>IFERROR(IF($AH$5="","",IF(F22&lt;&gt;"",(Input!L23/Input!$L$6)*100,"")),"NA")</f>
        <v>93.333333333333329</v>
      </c>
      <c r="AJ22" s="176" t="str">
        <f>IF(F22&lt;&gt;"",IF(Input!M23&lt;&gt;"",Input!M23,""),"")</f>
        <v/>
      </c>
      <c r="AK22" s="451" t="str">
        <f>IFERROR(IF($AJ$5="","",IF(F22&lt;&gt;"",(Input!M23/Input!$M$6)*100,"")),"NA")</f>
        <v/>
      </c>
      <c r="AL22" s="177" t="str">
        <f>IF(F22&lt;&gt;"",IF(Input!N23&lt;&gt;"",Input!N23,""),"")</f>
        <v/>
      </c>
      <c r="AM22" s="451" t="str">
        <f>IFERROR(IF($AL$5="","",IF(F22&lt;&gt;"",(Input!N23/Input!$N$6)*100,"")),"NA")</f>
        <v/>
      </c>
      <c r="AN22" s="177" t="str">
        <f>IF(F22&lt;&gt;"",IF(Input!O23&lt;&gt;"",Input!O23,""),"")</f>
        <v/>
      </c>
      <c r="AO22" s="451" t="str">
        <f>IFERROR(IF($AN$5="","",IF(F22&lt;&gt;"",(Input!O23/Input!$O$6)*100,"")),"NA")</f>
        <v/>
      </c>
      <c r="AP22" s="303">
        <f>IF(Input!P23="Error","Error",IF(F22="","",IF($AH$5="",0,IF(F22&lt;&gt;"",IFERROR(AVERAGE(AI22,AK22,AM22,AO22)*$AP$4,0),""))))</f>
        <v>18.666666666666668</v>
      </c>
      <c r="AQ22" s="174"/>
      <c r="AR22" s="178">
        <f>IF(Input!Q23="","",IF(F22&lt;&gt;"",Input!Q23,""))</f>
        <v>32</v>
      </c>
      <c r="AS22" s="179">
        <f>IF(F22="", "",IF(Input!R23="Error","Error",IF(ISNUMBER(Input!R23),(Input!R23*$AS$4),"")))</f>
        <v>22.857142857142858</v>
      </c>
      <c r="AT22" s="330">
        <f>IF(V22="D","DRP",
IF(F22&lt;&gt;"",
IF(OR(AF22="Error",AP22="Error",AS22="Error"),"Error",
IF(Input!Q23="","-",ROUND(AF22+AP22+AS22,2))),""))</f>
        <v>70.77</v>
      </c>
      <c r="AU22" s="180">
        <f>IF(F22&lt;&gt;"",VLOOKUP(AT22,TRANSMUTATION!$A$2:$B$14,2),"")</f>
        <v>2.5</v>
      </c>
      <c r="AV22" s="181">
        <f t="shared" si="1"/>
        <v>13</v>
      </c>
      <c r="AW22" s="182"/>
      <c r="BA22" s="97"/>
    </row>
    <row r="23" spans="1:53" ht="15" customHeight="1" x14ac:dyDescent="0.2">
      <c r="A23" s="97"/>
      <c r="C23" s="194">
        <v>17</v>
      </c>
      <c r="D23" s="203" t="str">
        <f>IF(Input!D24&lt;&gt;"",IF(F23&lt;&gt;"",Input!D24,""),"")</f>
        <v>02000301305</v>
      </c>
      <c r="E23" s="297"/>
      <c r="F23" s="298" t="str">
        <f>(IF(Input!F24&lt;&gt;"",Input!F24,""))</f>
        <v>UMALI, RINZO CAMU</v>
      </c>
      <c r="G23" s="333"/>
      <c r="H23" s="333"/>
      <c r="I23" s="333"/>
      <c r="J23" s="333"/>
      <c r="K23" s="333"/>
      <c r="L23" s="333" t="s">
        <v>18</v>
      </c>
      <c r="M23" s="333"/>
      <c r="N23" s="333"/>
      <c r="O23" s="333"/>
      <c r="P23" s="333"/>
      <c r="Q23" s="333"/>
      <c r="R23" s="333"/>
      <c r="S23" s="333"/>
      <c r="T23" s="333"/>
      <c r="U23" s="333"/>
      <c r="V23" s="336"/>
      <c r="W23" s="173"/>
      <c r="X23" s="309">
        <f>IF(F23&lt;&gt;"",IF(Input!G24&lt;&gt;"",Input!G24,""),"")</f>
        <v>35</v>
      </c>
      <c r="Y23" s="449">
        <f>IFERROR(IF($X$5="","",IF(F23&lt;&gt;"",(Input!G24/Input!$G$6)*100,"")),"NA")</f>
        <v>87.5</v>
      </c>
      <c r="Z23" s="310" t="str">
        <f>IF(F23&lt;&gt;"",IF(Input!H24&lt;&gt;"",Input!H24,""),"")</f>
        <v/>
      </c>
      <c r="AA23" s="449" t="str">
        <f>IFERROR(IF($Z$5="","",IF(F23&lt;&gt;"",(Input!H24/Input!$H$6)*100,"")),"NA")</f>
        <v/>
      </c>
      <c r="AB23" s="310" t="str">
        <f>IF(F23&lt;&gt;"",IF(Input!I24&lt;&gt;"",Input!I24,""),"")</f>
        <v/>
      </c>
      <c r="AC23" s="449" t="str">
        <f>IFERROR(IF($AB$5="","",IF(F23&lt;&gt;"",(Input!I24/Input!$I$6)*100,"")),"NA")</f>
        <v/>
      </c>
      <c r="AD23" s="310" t="str">
        <f>IF(F23&lt;&gt;"",IF(Input!J24&lt;&gt;"",Input!J24,""),"")</f>
        <v/>
      </c>
      <c r="AE23" s="449" t="str">
        <f>IFERROR(IF($AD$5="","",IF(F23&lt;&gt;"",(Input!J24/Input!$J$6)*100,"")),"NA")</f>
        <v/>
      </c>
      <c r="AF23" s="108">
        <f>IF(Input!K24="Error","Error",IF(F23="","",IF($X$5="",0,IF(F23&lt;&gt;"",IFERROR(AVERAGE(Y23,AA23,AC23,AE23)*$AF$4,0),""))))</f>
        <v>26.25</v>
      </c>
      <c r="AG23" s="174"/>
      <c r="AH23" s="175">
        <f>IF(F23&lt;&gt;"",IF(Input!L24&lt;&gt;"",Input!L24,""),"")</f>
        <v>25</v>
      </c>
      <c r="AI23" s="451">
        <f>IFERROR(IF($AH$5="","",IF(F23&lt;&gt;"",(Input!L24/Input!$L$6)*100,"")),"NA")</f>
        <v>83.333333333333343</v>
      </c>
      <c r="AJ23" s="176" t="str">
        <f>IF(F23&lt;&gt;"",IF(Input!M24&lt;&gt;"",Input!M24,""),"")</f>
        <v/>
      </c>
      <c r="AK23" s="451" t="str">
        <f>IFERROR(IF($AJ$5="","",IF(F23&lt;&gt;"",(Input!M24/Input!$M$6)*100,"")),"NA")</f>
        <v/>
      </c>
      <c r="AL23" s="177" t="str">
        <f>IF(F23&lt;&gt;"",IF(Input!N24&lt;&gt;"",Input!N24,""),"")</f>
        <v/>
      </c>
      <c r="AM23" s="451" t="str">
        <f>IFERROR(IF($AL$5="","",IF(F23&lt;&gt;"",(Input!N24/Input!$N$6)*100,"")),"NA")</f>
        <v/>
      </c>
      <c r="AN23" s="177" t="str">
        <f>IF(F23&lt;&gt;"",IF(Input!O24&lt;&gt;"",Input!O24,""),"")</f>
        <v/>
      </c>
      <c r="AO23" s="451" t="str">
        <f>IFERROR(IF($AN$5="","",IF(F23&lt;&gt;"",(Input!O24/Input!$O$6)*100,"")),"NA")</f>
        <v/>
      </c>
      <c r="AP23" s="303">
        <f>IF(Input!P24="Error","Error",IF(F23="","",IF($AH$5="",0,IF(F23&lt;&gt;"",IFERROR(AVERAGE(AI23,AK23,AM23,AO23)*$AP$4,0),""))))</f>
        <v>16.666666666666668</v>
      </c>
      <c r="AQ23" s="174"/>
      <c r="AR23" s="178">
        <f>IF(Input!Q24="","",IF(F23&lt;&gt;"",Input!Q24,""))</f>
        <v>24</v>
      </c>
      <c r="AS23" s="179">
        <f>IF(F23="", "",IF(Input!R24="Error","Error",IF(ISNUMBER(Input!R24),(Input!R24*$AS$4),"")))</f>
        <v>17.142857142857142</v>
      </c>
      <c r="AT23" s="330">
        <f>IF(V23="D","DRP",
IF(F23&lt;&gt;"",
IF(OR(AF23="Error",AP23="Error",AS23="Error"),"Error",
IF(Input!Q24="","-",ROUND(AF23+AP23+AS23,2))),""))</f>
        <v>60.06</v>
      </c>
      <c r="AU23" s="180">
        <f>IF(F23&lt;&gt;"",VLOOKUP(AT23,TRANSMUTATION!$A$2:$B$14,2),"")</f>
        <v>3</v>
      </c>
      <c r="AV23" s="181">
        <f t="shared" si="1"/>
        <v>15</v>
      </c>
      <c r="AW23" s="182"/>
      <c r="BA23" s="97"/>
    </row>
    <row r="24" spans="1:53" ht="15" customHeight="1" x14ac:dyDescent="0.2">
      <c r="A24" s="97"/>
      <c r="C24" s="194">
        <v>18</v>
      </c>
      <c r="D24" s="203" t="str">
        <f>IF(Input!D25&lt;&gt;"",IF(F24&lt;&gt;"",Input!D25,""),"")</f>
        <v/>
      </c>
      <c r="E24" s="297"/>
      <c r="F24" s="298" t="str">
        <f>(IF(Input!F25&lt;&gt;"",Input!F25,""))</f>
        <v/>
      </c>
      <c r="G24" s="333"/>
      <c r="H24" s="333"/>
      <c r="I24" s="333"/>
      <c r="J24" s="333"/>
      <c r="K24" s="333"/>
      <c r="L24" s="333"/>
      <c r="M24" s="333"/>
      <c r="N24" s="333"/>
      <c r="O24" s="333"/>
      <c r="P24" s="333"/>
      <c r="Q24" s="333"/>
      <c r="R24" s="333"/>
      <c r="S24" s="333"/>
      <c r="T24" s="333"/>
      <c r="U24" s="333"/>
      <c r="V24" s="336"/>
      <c r="W24" s="173"/>
      <c r="X24" s="309" t="str">
        <f>IF(F24&lt;&gt;"",IF(Input!G25&lt;&gt;"",Input!G25,""),"")</f>
        <v/>
      </c>
      <c r="Y24" s="449" t="str">
        <f>IFERROR(IF($X$5="","",IF(F24&lt;&gt;"",(Input!G25/Input!$G$6)*100,"")),"NA")</f>
        <v/>
      </c>
      <c r="Z24" s="310" t="str">
        <f>IF(F24&lt;&gt;"",IF(Input!H25&lt;&gt;"",Input!H25,""),"")</f>
        <v/>
      </c>
      <c r="AA24" s="449" t="str">
        <f>IFERROR(IF($Z$5="","",IF(F24&lt;&gt;"",(Input!H25/Input!$H$6)*100,"")),"NA")</f>
        <v/>
      </c>
      <c r="AB24" s="310" t="str">
        <f>IF(F24&lt;&gt;"",IF(Input!I25&lt;&gt;"",Input!I25,""),"")</f>
        <v/>
      </c>
      <c r="AC24" s="449" t="str">
        <f>IFERROR(IF($AB$5="","",IF(F24&lt;&gt;"",(Input!I25/Input!$I$6)*100,"")),"NA")</f>
        <v/>
      </c>
      <c r="AD24" s="310" t="str">
        <f>IF(F24&lt;&gt;"",IF(Input!J25&lt;&gt;"",Input!J25,""),"")</f>
        <v/>
      </c>
      <c r="AE24" s="449" t="str">
        <f>IFERROR(IF($AD$5="","",IF(F24&lt;&gt;"",(Input!J25/Input!$J$6)*100,"")),"NA")</f>
        <v/>
      </c>
      <c r="AF24" s="108" t="str">
        <f>IF(Input!K25="Error","Error",IF(F24="","",IF($X$5="",0,IF(F24&lt;&gt;"",IFERROR(AVERAGE(Y24,AA24,AC24,AE24)*$AF$4,0),""))))</f>
        <v/>
      </c>
      <c r="AG24" s="174"/>
      <c r="AH24" s="175" t="str">
        <f>IF(F24&lt;&gt;"",IF(Input!L25&lt;&gt;"",Input!L25,""),"")</f>
        <v/>
      </c>
      <c r="AI24" s="451" t="str">
        <f>IFERROR(IF($AH$5="","",IF(F24&lt;&gt;"",(Input!L25/Input!$L$6)*100,"")),"NA")</f>
        <v/>
      </c>
      <c r="AJ24" s="176" t="str">
        <f>IF(F24&lt;&gt;"",IF(Input!M25&lt;&gt;"",Input!M25,""),"")</f>
        <v/>
      </c>
      <c r="AK24" s="451" t="str">
        <f>IFERROR(IF($AJ$5="","",IF(F24&lt;&gt;"",(Input!M25/Input!$M$6)*100,"")),"NA")</f>
        <v/>
      </c>
      <c r="AL24" s="177" t="str">
        <f>IF(F24&lt;&gt;"",IF(Input!N25&lt;&gt;"",Input!N25,""),"")</f>
        <v/>
      </c>
      <c r="AM24" s="451" t="str">
        <f>IFERROR(IF($AL$5="","",IF(F24&lt;&gt;"",(Input!N25/Input!$N$6)*100,"")),"NA")</f>
        <v/>
      </c>
      <c r="AN24" s="177" t="str">
        <f>IF(F24&lt;&gt;"",IF(Input!O25&lt;&gt;"",Input!O25,""),"")</f>
        <v/>
      </c>
      <c r="AO24" s="451" t="str">
        <f>IFERROR(IF($AN$5="","",IF(F24&lt;&gt;"",(Input!O25/Input!$O$6)*100,"")),"NA")</f>
        <v/>
      </c>
      <c r="AP24" s="303" t="str">
        <f>IF(Input!P25="Error","Error",IF(F24="","",IF($AH$5="",0,IF(F24&lt;&gt;"",IFERROR(AVERAGE(AI24,AK24,AM24,AO24)*$AP$4,0),""))))</f>
        <v/>
      </c>
      <c r="AQ24" s="174"/>
      <c r="AR24" s="178" t="str">
        <f>IF(Input!Q25="","",IF(F24&lt;&gt;"",Input!Q25,""))</f>
        <v/>
      </c>
      <c r="AS24" s="179" t="str">
        <f>IF(F24="", "",IF(Input!R25="Error","Error",IF(ISNUMBER(Input!R25),(Input!R25*$AS$4),"")))</f>
        <v/>
      </c>
      <c r="AT24" s="330" t="str">
        <f>IF(V24="D","DRP",
IF(F24&lt;&gt;"",
IF(OR(AF24="Error",AP24="Error",AS24="Error"),"Error",
IF(Input!Q25="","-",ROUND(AF24+AP24+AS24,2))),""))</f>
        <v/>
      </c>
      <c r="AU24" s="180" t="str">
        <f>IF(F24&lt;&gt;"",VLOOKUP(AT24,TRANSMUTATION!$A$2:$B$14,2),"")</f>
        <v/>
      </c>
      <c r="AV24" s="181" t="str">
        <f t="shared" si="1"/>
        <v/>
      </c>
      <c r="AW24" s="182"/>
      <c r="BA24" s="97"/>
    </row>
    <row r="25" spans="1:53" ht="15" customHeight="1" x14ac:dyDescent="0.2">
      <c r="A25" s="97"/>
      <c r="C25" s="194">
        <v>19</v>
      </c>
      <c r="D25" s="203" t="str">
        <f>IF(Input!D26&lt;&gt;"",IF(F25&lt;&gt;"",Input!D26,""),"")</f>
        <v/>
      </c>
      <c r="E25" s="297"/>
      <c r="F25" s="298" t="str">
        <f>(IF(Input!F26&lt;&gt;"",Input!F26,""))</f>
        <v/>
      </c>
      <c r="G25" s="333"/>
      <c r="H25" s="333"/>
      <c r="I25" s="333"/>
      <c r="J25" s="333"/>
      <c r="K25" s="333"/>
      <c r="L25" s="333"/>
      <c r="M25" s="333"/>
      <c r="N25" s="333"/>
      <c r="O25" s="333"/>
      <c r="P25" s="333"/>
      <c r="Q25" s="333"/>
      <c r="R25" s="333"/>
      <c r="S25" s="333"/>
      <c r="T25" s="333"/>
      <c r="U25" s="333"/>
      <c r="V25" s="336"/>
      <c r="W25" s="173"/>
      <c r="X25" s="309" t="str">
        <f>IF(F25&lt;&gt;"",IF(Input!G26&lt;&gt;"",Input!G26,""),"")</f>
        <v/>
      </c>
      <c r="Y25" s="449" t="str">
        <f>IFERROR(IF($X$5="","",IF(F25&lt;&gt;"",(Input!G26/Input!$G$6)*100,"")),"NA")</f>
        <v/>
      </c>
      <c r="Z25" s="310" t="str">
        <f>IF(F25&lt;&gt;"",IF(Input!H26&lt;&gt;"",Input!H26,""),"")</f>
        <v/>
      </c>
      <c r="AA25" s="449" t="str">
        <f>IFERROR(IF($Z$5="","",IF(F25&lt;&gt;"",(Input!H26/Input!$H$6)*100,"")),"NA")</f>
        <v/>
      </c>
      <c r="AB25" s="310" t="str">
        <f>IF(F25&lt;&gt;"",IF(Input!I26&lt;&gt;"",Input!I26,""),"")</f>
        <v/>
      </c>
      <c r="AC25" s="449" t="str">
        <f>IFERROR(IF($AB$5="","",IF(F25&lt;&gt;"",(Input!I26/Input!$I$6)*100,"")),"NA")</f>
        <v/>
      </c>
      <c r="AD25" s="310" t="str">
        <f>IF(F25&lt;&gt;"",IF(Input!J26&lt;&gt;"",Input!J26,""),"")</f>
        <v/>
      </c>
      <c r="AE25" s="449" t="str">
        <f>IFERROR(IF($AD$5="","",IF(F25&lt;&gt;"",(Input!J26/Input!$J$6)*100,"")),"NA")</f>
        <v/>
      </c>
      <c r="AF25" s="108" t="str">
        <f>IF(Input!K26="Error","Error",IF(F25="","",IF($X$5="",0,IF(F25&lt;&gt;"",IFERROR(AVERAGE(Y25,AA25,AC25,AE25)*$AF$4,0),""))))</f>
        <v/>
      </c>
      <c r="AG25" s="174"/>
      <c r="AH25" s="175" t="str">
        <f>IF(F25&lt;&gt;"",IF(Input!L26&lt;&gt;"",Input!L26,""),"")</f>
        <v/>
      </c>
      <c r="AI25" s="451" t="str">
        <f>IFERROR(IF($AH$5="","",IF(F25&lt;&gt;"",(Input!L26/Input!$L$6)*100,"")),"NA")</f>
        <v/>
      </c>
      <c r="AJ25" s="176" t="str">
        <f>IF(F25&lt;&gt;"",IF(Input!M26&lt;&gt;"",Input!M26,""),"")</f>
        <v/>
      </c>
      <c r="AK25" s="451" t="str">
        <f>IFERROR(IF($AJ$5="","",IF(F25&lt;&gt;"",(Input!M26/Input!$M$6)*100,"")),"NA")</f>
        <v/>
      </c>
      <c r="AL25" s="177" t="str">
        <f>IF(F25&lt;&gt;"",IF(Input!N26&lt;&gt;"",Input!N26,""),"")</f>
        <v/>
      </c>
      <c r="AM25" s="451" t="str">
        <f>IFERROR(IF($AL$5="","",IF(F25&lt;&gt;"",(Input!N26/Input!$N$6)*100,"")),"NA")</f>
        <v/>
      </c>
      <c r="AN25" s="177" t="str">
        <f>IF(F25&lt;&gt;"",IF(Input!O26&lt;&gt;"",Input!O26,""),"")</f>
        <v/>
      </c>
      <c r="AO25" s="451" t="str">
        <f>IFERROR(IF($AN$5="","",IF(F25&lt;&gt;"",(Input!O26/Input!$O$6)*100,"")),"NA")</f>
        <v/>
      </c>
      <c r="AP25" s="303" t="str">
        <f>IF(Input!P26="Error","Error",IF(F25="","",IF($AH$5="",0,IF(F25&lt;&gt;"",IFERROR(AVERAGE(AI25,AK25,AM25,AO25)*$AP$4,0),""))))</f>
        <v/>
      </c>
      <c r="AQ25" s="174"/>
      <c r="AR25" s="178" t="str">
        <f>IF(Input!Q26="","",IF(F25&lt;&gt;"",Input!Q26,""))</f>
        <v/>
      </c>
      <c r="AS25" s="179" t="str">
        <f>IF(F25="", "",IF(Input!R26="Error","Error",IF(ISNUMBER(Input!R26),(Input!R26*$AS$4),"")))</f>
        <v/>
      </c>
      <c r="AT25" s="330" t="str">
        <f>IF(V25="D","DRP",
IF(F25&lt;&gt;"",
IF(OR(AF25="Error",AP25="Error",AS25="Error"),"Error",
IF(Input!Q26="","-",ROUND(AF25+AP25+AS25,2))),""))</f>
        <v/>
      </c>
      <c r="AU25" s="180" t="str">
        <f>IF(F25&lt;&gt;"",VLOOKUP(AT25,TRANSMUTATION!$A$2:$B$14,2),"")</f>
        <v/>
      </c>
      <c r="AV25" s="181" t="str">
        <f t="shared" si="1"/>
        <v/>
      </c>
      <c r="AW25" s="182"/>
      <c r="BA25" s="97"/>
    </row>
    <row r="26" spans="1:53" ht="15" customHeight="1" x14ac:dyDescent="0.2">
      <c r="A26" s="97"/>
      <c r="C26" s="194">
        <v>20</v>
      </c>
      <c r="D26" s="203" t="str">
        <f>IF(Input!D27&lt;&gt;"",IF(F26&lt;&gt;"",Input!D27,""),"")</f>
        <v/>
      </c>
      <c r="E26" s="297"/>
      <c r="F26" s="298" t="str">
        <f>(IF(Input!F27&lt;&gt;"",Input!F27,""))</f>
        <v/>
      </c>
      <c r="G26" s="333"/>
      <c r="H26" s="333"/>
      <c r="I26" s="333"/>
      <c r="J26" s="333"/>
      <c r="K26" s="333"/>
      <c r="L26" s="333"/>
      <c r="M26" s="333"/>
      <c r="N26" s="333"/>
      <c r="O26" s="333"/>
      <c r="P26" s="333"/>
      <c r="Q26" s="333"/>
      <c r="R26" s="333"/>
      <c r="S26" s="333"/>
      <c r="T26" s="333"/>
      <c r="U26" s="333"/>
      <c r="V26" s="336"/>
      <c r="W26" s="173"/>
      <c r="X26" s="309" t="str">
        <f>IF(F26&lt;&gt;"",IF(Input!G27&lt;&gt;"",Input!G27,""),"")</f>
        <v/>
      </c>
      <c r="Y26" s="449" t="str">
        <f>IFERROR(IF($X$5="","",IF(F26&lt;&gt;"",(Input!G27/Input!$G$6)*100,"")),"NA")</f>
        <v/>
      </c>
      <c r="Z26" s="310" t="str">
        <f>IF(F26&lt;&gt;"",IF(Input!H27&lt;&gt;"",Input!H27,""),"")</f>
        <v/>
      </c>
      <c r="AA26" s="449" t="str">
        <f>IFERROR(IF($Z$5="","",IF(F26&lt;&gt;"",(Input!H27/Input!$H$6)*100,"")),"NA")</f>
        <v/>
      </c>
      <c r="AB26" s="310" t="str">
        <f>IF(F26&lt;&gt;"",IF(Input!I27&lt;&gt;"",Input!I27,""),"")</f>
        <v/>
      </c>
      <c r="AC26" s="449" t="str">
        <f>IFERROR(IF($AB$5="","",IF(F26&lt;&gt;"",(Input!I27/Input!$I$6)*100,"")),"NA")</f>
        <v/>
      </c>
      <c r="AD26" s="310" t="str">
        <f>IF(F26&lt;&gt;"",IF(Input!J27&lt;&gt;"",Input!J27,""),"")</f>
        <v/>
      </c>
      <c r="AE26" s="449" t="str">
        <f>IFERROR(IF($AD$5="","",IF(F26&lt;&gt;"",(Input!J27/Input!$J$6)*100,"")),"NA")</f>
        <v/>
      </c>
      <c r="AF26" s="108" t="str">
        <f>IF(Input!K27="Error","Error",IF(F26="","",IF($X$5="",0,IF(F26&lt;&gt;"",IFERROR(AVERAGE(Y26,AA26,AC26,AE26)*$AF$4,0),""))))</f>
        <v/>
      </c>
      <c r="AG26" s="174"/>
      <c r="AH26" s="175" t="str">
        <f>IF(F26&lt;&gt;"",IF(Input!L27&lt;&gt;"",Input!L27,""),"")</f>
        <v/>
      </c>
      <c r="AI26" s="451" t="str">
        <f>IFERROR(IF($AH$5="","",IF(F26&lt;&gt;"",(Input!L27/Input!$L$6)*100,"")),"NA")</f>
        <v/>
      </c>
      <c r="AJ26" s="176" t="str">
        <f>IF(F26&lt;&gt;"",IF(Input!M27&lt;&gt;"",Input!M27,""),"")</f>
        <v/>
      </c>
      <c r="AK26" s="451" t="str">
        <f>IFERROR(IF($AJ$5="","",IF(F26&lt;&gt;"",(Input!M27/Input!$M$6)*100,"")),"NA")</f>
        <v/>
      </c>
      <c r="AL26" s="177" t="str">
        <f>IF(F26&lt;&gt;"",IF(Input!N27&lt;&gt;"",Input!N27,""),"")</f>
        <v/>
      </c>
      <c r="AM26" s="451" t="str">
        <f>IFERROR(IF($AL$5="","",IF(F26&lt;&gt;"",(Input!N27/Input!$N$6)*100,"")),"NA")</f>
        <v/>
      </c>
      <c r="AN26" s="177" t="str">
        <f>IF(F26&lt;&gt;"",IF(Input!O27&lt;&gt;"",Input!O27,""),"")</f>
        <v/>
      </c>
      <c r="AO26" s="451" t="str">
        <f>IFERROR(IF($AN$5="","",IF(F26&lt;&gt;"",(Input!O27/Input!$O$6)*100,"")),"NA")</f>
        <v/>
      </c>
      <c r="AP26" s="303" t="str">
        <f>IF(Input!P27="Error","Error",IF(F26="","",IF($AH$5="",0,IF(F26&lt;&gt;"",IFERROR(AVERAGE(AI26,AK26,AM26,AO26)*$AP$4,0),""))))</f>
        <v/>
      </c>
      <c r="AQ26" s="174"/>
      <c r="AR26" s="178" t="str">
        <f>IF(Input!Q27="","",IF(F26&lt;&gt;"",Input!Q27,""))</f>
        <v/>
      </c>
      <c r="AS26" s="179" t="str">
        <f>IF(F26="", "",IF(Input!R27="Error","Error",IF(ISNUMBER(Input!R27),(Input!R27*$AS$4),"")))</f>
        <v/>
      </c>
      <c r="AT26" s="330" t="str">
        <f>IF(V26="D","DRP",
IF(F26&lt;&gt;"",
IF(OR(AF26="Error",AP26="Error",AS26="Error"),"Error",
IF(Input!Q27="","-",ROUND(AF26+AP26+AS26,2))),""))</f>
        <v/>
      </c>
      <c r="AU26" s="180" t="str">
        <f>IF(F26&lt;&gt;"",VLOOKUP(AT26,TRANSMUTATION!$A$2:$B$14,2),"")</f>
        <v/>
      </c>
      <c r="AV26" s="181" t="str">
        <f t="shared" si="1"/>
        <v/>
      </c>
      <c r="AW26" s="182"/>
      <c r="BA26" s="97"/>
    </row>
    <row r="27" spans="1:53" ht="15" customHeight="1" x14ac:dyDescent="0.2">
      <c r="A27" s="97"/>
      <c r="C27" s="194">
        <v>21</v>
      </c>
      <c r="D27" s="203" t="str">
        <f>IF(Input!D28&lt;&gt;"",IF(F27&lt;&gt;"",Input!D28,""),"")</f>
        <v/>
      </c>
      <c r="E27" s="297"/>
      <c r="F27" s="298" t="str">
        <f>(IF(Input!F28&lt;&gt;"",Input!F28,""))</f>
        <v/>
      </c>
      <c r="G27" s="333"/>
      <c r="H27" s="333"/>
      <c r="I27" s="333"/>
      <c r="J27" s="333"/>
      <c r="K27" s="333"/>
      <c r="L27" s="333"/>
      <c r="M27" s="333"/>
      <c r="N27" s="333"/>
      <c r="O27" s="333"/>
      <c r="P27" s="333"/>
      <c r="Q27" s="333"/>
      <c r="R27" s="333"/>
      <c r="S27" s="333"/>
      <c r="T27" s="333"/>
      <c r="U27" s="333"/>
      <c r="V27" s="336"/>
      <c r="W27" s="173"/>
      <c r="X27" s="309" t="str">
        <f>IF(F27&lt;&gt;"",IF(Input!G28&lt;&gt;"",Input!G28,""),"")</f>
        <v/>
      </c>
      <c r="Y27" s="449" t="str">
        <f>IFERROR(IF($X$5="","",IF(F27&lt;&gt;"",(Input!G28/Input!$G$6)*100,"")),"NA")</f>
        <v/>
      </c>
      <c r="Z27" s="310" t="str">
        <f>IF(F27&lt;&gt;"",IF(Input!H28&lt;&gt;"",Input!H28,""),"")</f>
        <v/>
      </c>
      <c r="AA27" s="449" t="str">
        <f>IFERROR(IF($Z$5="","",IF(F27&lt;&gt;"",(Input!H28/Input!$H$6)*100,"")),"NA")</f>
        <v/>
      </c>
      <c r="AB27" s="310" t="str">
        <f>IF(F27&lt;&gt;"",IF(Input!I28&lt;&gt;"",Input!I28,""),"")</f>
        <v/>
      </c>
      <c r="AC27" s="449" t="str">
        <f>IFERROR(IF($AB$5="","",IF(F27&lt;&gt;"",(Input!I28/Input!$I$6)*100,"")),"NA")</f>
        <v/>
      </c>
      <c r="AD27" s="310" t="str">
        <f>IF(F27&lt;&gt;"",IF(Input!J28&lt;&gt;"",Input!J28,""),"")</f>
        <v/>
      </c>
      <c r="AE27" s="449" t="str">
        <f>IFERROR(IF($AD$5="","",IF(F27&lt;&gt;"",(Input!J28/Input!$J$6)*100,"")),"NA")</f>
        <v/>
      </c>
      <c r="AF27" s="108" t="str">
        <f>IF(Input!K28="Error","Error",IF(F27="","",IF($X$5="",0,IF(F27&lt;&gt;"",IFERROR(AVERAGE(Y27,AA27,AC27,AE27)*$AF$4,0),""))))</f>
        <v/>
      </c>
      <c r="AG27" s="174"/>
      <c r="AH27" s="175" t="str">
        <f>IF(F27&lt;&gt;"",IF(Input!L28&lt;&gt;"",Input!L28,""),"")</f>
        <v/>
      </c>
      <c r="AI27" s="451" t="str">
        <f>IFERROR(IF($AH$5="","",IF(F27&lt;&gt;"",(Input!L28/Input!$L$6)*100,"")),"NA")</f>
        <v/>
      </c>
      <c r="AJ27" s="176" t="str">
        <f>IF(F27&lt;&gt;"",IF(Input!M28&lt;&gt;"",Input!M28,""),"")</f>
        <v/>
      </c>
      <c r="AK27" s="451" t="str">
        <f>IFERROR(IF($AJ$5="","",IF(F27&lt;&gt;"",(Input!M28/Input!$M$6)*100,"")),"NA")</f>
        <v/>
      </c>
      <c r="AL27" s="177" t="str">
        <f>IF(F27&lt;&gt;"",IF(Input!N28&lt;&gt;"",Input!N28,""),"")</f>
        <v/>
      </c>
      <c r="AM27" s="451" t="str">
        <f>IFERROR(IF($AL$5="","",IF(F27&lt;&gt;"",(Input!N28/Input!$N$6)*100,"")),"NA")</f>
        <v/>
      </c>
      <c r="AN27" s="177" t="str">
        <f>IF(F27&lt;&gt;"",IF(Input!O28&lt;&gt;"",Input!O28,""),"")</f>
        <v/>
      </c>
      <c r="AO27" s="451" t="str">
        <f>IFERROR(IF($AN$5="","",IF(F27&lt;&gt;"",(Input!O28/Input!$O$6)*100,"")),"NA")</f>
        <v/>
      </c>
      <c r="AP27" s="303" t="str">
        <f>IF(Input!P28="Error","Error",IF(F27="","",IF($AH$5="",0,IF(F27&lt;&gt;"",IFERROR(AVERAGE(AI27,AK27,AM27,AO27)*$AP$4,0),""))))</f>
        <v/>
      </c>
      <c r="AQ27" s="174"/>
      <c r="AR27" s="178" t="str">
        <f>IF(Input!Q28="","",IF(F27&lt;&gt;"",Input!Q28,""))</f>
        <v/>
      </c>
      <c r="AS27" s="179" t="str">
        <f>IF(F27="", "",IF(Input!R28="Error","Error",IF(ISNUMBER(Input!R28),(Input!R28*$AS$4),"")))</f>
        <v/>
      </c>
      <c r="AT27" s="330" t="str">
        <f>IF(V27="D","DRP",
IF(F27&lt;&gt;"",
IF(OR(AF27="Error",AP27="Error",AS27="Error"),"Error",
IF(Input!Q28="","-",ROUND(AF27+AP27+AS27,2))),""))</f>
        <v/>
      </c>
      <c r="AU27" s="180" t="str">
        <f>IF(F27&lt;&gt;"",VLOOKUP(AT27,TRANSMUTATION!$A$2:$B$14,2),"")</f>
        <v/>
      </c>
      <c r="AV27" s="181" t="str">
        <f t="shared" si="1"/>
        <v/>
      </c>
      <c r="AW27" s="182"/>
      <c r="BA27" s="97"/>
    </row>
    <row r="28" spans="1:53" ht="15" customHeight="1" x14ac:dyDescent="0.2">
      <c r="A28" s="97"/>
      <c r="C28" s="194">
        <v>22</v>
      </c>
      <c r="D28" s="203" t="str">
        <f>IF(Input!D29&lt;&gt;"",IF(F28&lt;&gt;"",Input!D29,""),"")</f>
        <v/>
      </c>
      <c r="E28" s="297"/>
      <c r="F28" s="298" t="str">
        <f>(IF(Input!F29&lt;&gt;"",Input!F29,""))</f>
        <v/>
      </c>
      <c r="G28" s="333"/>
      <c r="H28" s="333"/>
      <c r="I28" s="333"/>
      <c r="J28" s="333"/>
      <c r="K28" s="333"/>
      <c r="L28" s="333"/>
      <c r="M28" s="333"/>
      <c r="N28" s="333"/>
      <c r="O28" s="333"/>
      <c r="P28" s="333"/>
      <c r="Q28" s="333"/>
      <c r="R28" s="333"/>
      <c r="S28" s="333"/>
      <c r="T28" s="333"/>
      <c r="U28" s="333"/>
      <c r="V28" s="336"/>
      <c r="W28" s="173"/>
      <c r="X28" s="309" t="str">
        <f>IF(F28&lt;&gt;"",IF(Input!G29&lt;&gt;"",Input!G29,""),"")</f>
        <v/>
      </c>
      <c r="Y28" s="449" t="str">
        <f>IFERROR(IF($X$5="","",IF(F28&lt;&gt;"",(Input!G29/Input!$G$6)*100,"")),"NA")</f>
        <v/>
      </c>
      <c r="Z28" s="310" t="str">
        <f>IF(F28&lt;&gt;"",IF(Input!H29&lt;&gt;"",Input!H29,""),"")</f>
        <v/>
      </c>
      <c r="AA28" s="449" t="str">
        <f>IFERROR(IF($Z$5="","",IF(F28&lt;&gt;"",(Input!H29/Input!$H$6)*100,"")),"NA")</f>
        <v/>
      </c>
      <c r="AB28" s="310" t="str">
        <f>IF(F28&lt;&gt;"",IF(Input!I29&lt;&gt;"",Input!I29,""),"")</f>
        <v/>
      </c>
      <c r="AC28" s="449" t="str">
        <f>IFERROR(IF($AB$5="","",IF(F28&lt;&gt;"",(Input!I29/Input!$I$6)*100,"")),"NA")</f>
        <v/>
      </c>
      <c r="AD28" s="310" t="str">
        <f>IF(F28&lt;&gt;"",IF(Input!J29&lt;&gt;"",Input!J29,""),"")</f>
        <v/>
      </c>
      <c r="AE28" s="449" t="str">
        <f>IFERROR(IF($AD$5="","",IF(F28&lt;&gt;"",(Input!J29/Input!$J$6)*100,"")),"NA")</f>
        <v/>
      </c>
      <c r="AF28" s="108" t="str">
        <f>IF(Input!K29="Error","Error",IF(F28="","",IF($X$5="",0,IF(F28&lt;&gt;"",IFERROR(AVERAGE(Y28,AA28,AC28,AE28)*$AF$4,0),""))))</f>
        <v/>
      </c>
      <c r="AG28" s="174"/>
      <c r="AH28" s="175" t="str">
        <f>IF(F28&lt;&gt;"",IF(Input!L29&lt;&gt;"",Input!L29,""),"")</f>
        <v/>
      </c>
      <c r="AI28" s="451" t="str">
        <f>IFERROR(IF($AH$5="","",IF(F28&lt;&gt;"",(Input!L29/Input!$L$6)*100,"")),"NA")</f>
        <v/>
      </c>
      <c r="AJ28" s="176" t="str">
        <f>IF(F28&lt;&gt;"",IF(Input!M29&lt;&gt;"",Input!M29,""),"")</f>
        <v/>
      </c>
      <c r="AK28" s="451" t="str">
        <f>IFERROR(IF($AJ$5="","",IF(F28&lt;&gt;"",(Input!M29/Input!$M$6)*100,"")),"NA")</f>
        <v/>
      </c>
      <c r="AL28" s="177" t="str">
        <f>IF(F28&lt;&gt;"",IF(Input!N29&lt;&gt;"",Input!N29,""),"")</f>
        <v/>
      </c>
      <c r="AM28" s="451" t="str">
        <f>IFERROR(IF($AL$5="","",IF(F28&lt;&gt;"",(Input!N29/Input!$N$6)*100,"")),"NA")</f>
        <v/>
      </c>
      <c r="AN28" s="177" t="str">
        <f>IF(F28&lt;&gt;"",IF(Input!O29&lt;&gt;"",Input!O29,""),"")</f>
        <v/>
      </c>
      <c r="AO28" s="451" t="str">
        <f>IFERROR(IF($AN$5="","",IF(F28&lt;&gt;"",(Input!O29/Input!$O$6)*100,"")),"NA")</f>
        <v/>
      </c>
      <c r="AP28" s="303" t="str">
        <f>IF(Input!P29="Error","Error",IF(F28="","",IF($AH$5="",0,IF(F28&lt;&gt;"",IFERROR(AVERAGE(AI28,AK28,AM28,AO28)*$AP$4,0),""))))</f>
        <v/>
      </c>
      <c r="AQ28" s="174"/>
      <c r="AR28" s="178" t="str">
        <f>IF(Input!Q29="","",IF(F28&lt;&gt;"",Input!Q29,""))</f>
        <v/>
      </c>
      <c r="AS28" s="179" t="str">
        <f>IF(F28="", "",IF(Input!R29="Error","Error",IF(ISNUMBER(Input!R29),(Input!R29*$AS$4),"")))</f>
        <v/>
      </c>
      <c r="AT28" s="330" t="str">
        <f>IF(V28="D","DRP",
IF(F28&lt;&gt;"",
IF(OR(AF28="Error",AP28="Error",AS28="Error"),"Error",
IF(Input!Q29="","-",ROUND(AF28+AP28+AS28,2))),""))</f>
        <v/>
      </c>
      <c r="AU28" s="180" t="str">
        <f>IF(F28&lt;&gt;"",VLOOKUP(AT28,TRANSMUTATION!$A$2:$B$14,2),"")</f>
        <v/>
      </c>
      <c r="AV28" s="181" t="str">
        <f t="shared" si="1"/>
        <v/>
      </c>
      <c r="AW28" s="182"/>
      <c r="BA28" s="97"/>
    </row>
    <row r="29" spans="1:53" ht="15" customHeight="1" x14ac:dyDescent="0.2">
      <c r="A29" s="97"/>
      <c r="C29" s="194">
        <v>23</v>
      </c>
      <c r="D29" s="203" t="str">
        <f>IF(Input!D30&lt;&gt;"",IF(F29&lt;&gt;"",Input!D30,""),"")</f>
        <v/>
      </c>
      <c r="E29" s="297"/>
      <c r="F29" s="298" t="str">
        <f>(IF(Input!F30&lt;&gt;"",Input!F30,""))</f>
        <v/>
      </c>
      <c r="G29" s="333"/>
      <c r="H29" s="333"/>
      <c r="I29" s="333"/>
      <c r="J29" s="333"/>
      <c r="K29" s="333"/>
      <c r="L29" s="333"/>
      <c r="M29" s="333"/>
      <c r="N29" s="333"/>
      <c r="O29" s="333"/>
      <c r="P29" s="333"/>
      <c r="Q29" s="333"/>
      <c r="R29" s="333"/>
      <c r="S29" s="333"/>
      <c r="T29" s="333"/>
      <c r="U29" s="333"/>
      <c r="V29" s="336"/>
      <c r="W29" s="173"/>
      <c r="X29" s="309" t="str">
        <f>IF(F29&lt;&gt;"",IF(Input!G30&lt;&gt;"",Input!G30,""),"")</f>
        <v/>
      </c>
      <c r="Y29" s="449" t="str">
        <f>IFERROR(IF($X$5="","",IF(F29&lt;&gt;"",(Input!G30/Input!$G$6)*100,"")),"NA")</f>
        <v/>
      </c>
      <c r="Z29" s="310" t="str">
        <f>IF(F29&lt;&gt;"",IF(Input!H30&lt;&gt;"",Input!H30,""),"")</f>
        <v/>
      </c>
      <c r="AA29" s="449" t="str">
        <f>IFERROR(IF($Z$5="","",IF(F29&lt;&gt;"",(Input!H30/Input!$H$6)*100,"")),"NA")</f>
        <v/>
      </c>
      <c r="AB29" s="310" t="str">
        <f>IF(F29&lt;&gt;"",IF(Input!I30&lt;&gt;"",Input!I30,""),"")</f>
        <v/>
      </c>
      <c r="AC29" s="449" t="str">
        <f>IFERROR(IF($AB$5="","",IF(F29&lt;&gt;"",(Input!I30/Input!$I$6)*100,"")),"NA")</f>
        <v/>
      </c>
      <c r="AD29" s="310" t="str">
        <f>IF(F29&lt;&gt;"",IF(Input!J30&lt;&gt;"",Input!J30,""),"")</f>
        <v/>
      </c>
      <c r="AE29" s="449" t="str">
        <f>IFERROR(IF($AD$5="","",IF(F29&lt;&gt;"",(Input!J30/Input!$J$6)*100,"")),"NA")</f>
        <v/>
      </c>
      <c r="AF29" s="108" t="str">
        <f>IF(Input!K30="Error","Error",IF(F29="","",IF($X$5="",0,IF(F29&lt;&gt;"",IFERROR(AVERAGE(Y29,AA29,AC29,AE29)*$AF$4,0),""))))</f>
        <v/>
      </c>
      <c r="AG29" s="174"/>
      <c r="AH29" s="175" t="str">
        <f>IF(F29&lt;&gt;"",IF(Input!L30&lt;&gt;"",Input!L30,""),"")</f>
        <v/>
      </c>
      <c r="AI29" s="451" t="str">
        <f>IFERROR(IF($AH$5="","",IF(F29&lt;&gt;"",(Input!L30/Input!$L$6)*100,"")),"NA")</f>
        <v/>
      </c>
      <c r="AJ29" s="176" t="str">
        <f>IF(F29&lt;&gt;"",IF(Input!M30&lt;&gt;"",Input!M30,""),"")</f>
        <v/>
      </c>
      <c r="AK29" s="451" t="str">
        <f>IFERROR(IF($AJ$5="","",IF(F29&lt;&gt;"",(Input!M30/Input!$M$6)*100,"")),"NA")</f>
        <v/>
      </c>
      <c r="AL29" s="177" t="str">
        <f>IF(F29&lt;&gt;"",IF(Input!N30&lt;&gt;"",Input!N30,""),"")</f>
        <v/>
      </c>
      <c r="AM29" s="451" t="str">
        <f>IFERROR(IF($AL$5="","",IF(F29&lt;&gt;"",(Input!N30/Input!$N$6)*100,"")),"NA")</f>
        <v/>
      </c>
      <c r="AN29" s="177" t="str">
        <f>IF(F29&lt;&gt;"",IF(Input!O30&lt;&gt;"",Input!O30,""),"")</f>
        <v/>
      </c>
      <c r="AO29" s="451" t="str">
        <f>IFERROR(IF($AN$5="","",IF(F29&lt;&gt;"",(Input!O30/Input!$O$6)*100,"")),"NA")</f>
        <v/>
      </c>
      <c r="AP29" s="303" t="str">
        <f>IF(Input!P30="Error","Error",IF(F29="","",IF($AH$5="",0,IF(F29&lt;&gt;"",IFERROR(AVERAGE(AI29,AK29,AM29,AO29)*$AP$4,0),""))))</f>
        <v/>
      </c>
      <c r="AQ29" s="174"/>
      <c r="AR29" s="178" t="str">
        <f>IF(Input!Q30="","",IF(F29&lt;&gt;"",Input!Q30,""))</f>
        <v/>
      </c>
      <c r="AS29" s="179" t="str">
        <f>IF(F29="", "",IF(Input!R30="Error","Error",IF(ISNUMBER(Input!R30),(Input!R30*$AS$4),"")))</f>
        <v/>
      </c>
      <c r="AT29" s="330" t="str">
        <f>IF(V29="D","DRP",
IF(F29&lt;&gt;"",
IF(OR(AF29="Error",AP29="Error",AS29="Error"),"Error",
IF(Input!Q30="","-",ROUND(AF29+AP29+AS29,2))),""))</f>
        <v/>
      </c>
      <c r="AU29" s="180" t="str">
        <f>IF(F29&lt;&gt;"",VLOOKUP(AT29,TRANSMUTATION!$A$2:$B$14,2),"")</f>
        <v/>
      </c>
      <c r="AV29" s="181" t="str">
        <f t="shared" si="1"/>
        <v/>
      </c>
      <c r="AW29" s="182"/>
      <c r="BA29" s="97"/>
    </row>
    <row r="30" spans="1:53" ht="15" customHeight="1" x14ac:dyDescent="0.2">
      <c r="A30" s="97"/>
      <c r="C30" s="194">
        <v>24</v>
      </c>
      <c r="D30" s="203" t="str">
        <f>IF(Input!D31&lt;&gt;"",IF(F30&lt;&gt;"",Input!D31,""),"")</f>
        <v/>
      </c>
      <c r="E30" s="297"/>
      <c r="F30" s="298" t="str">
        <f>(IF(Input!F31&lt;&gt;"",Input!F31,""))</f>
        <v/>
      </c>
      <c r="G30" s="333"/>
      <c r="H30" s="333"/>
      <c r="I30" s="333"/>
      <c r="J30" s="333"/>
      <c r="K30" s="333"/>
      <c r="L30" s="333"/>
      <c r="M30" s="333"/>
      <c r="N30" s="333"/>
      <c r="O30" s="333"/>
      <c r="P30" s="333"/>
      <c r="Q30" s="333"/>
      <c r="R30" s="333"/>
      <c r="S30" s="333"/>
      <c r="T30" s="333"/>
      <c r="U30" s="333"/>
      <c r="V30" s="336"/>
      <c r="W30" s="173"/>
      <c r="X30" s="309" t="str">
        <f>IF(F30&lt;&gt;"",IF(Input!G31&lt;&gt;"",Input!G31,""),"")</f>
        <v/>
      </c>
      <c r="Y30" s="449" t="str">
        <f>IFERROR(IF($X$5="","",IF(F30&lt;&gt;"",(Input!G31/Input!$G$6)*100,"")),"NA")</f>
        <v/>
      </c>
      <c r="Z30" s="310" t="str">
        <f>IF(F30&lt;&gt;"",IF(Input!H31&lt;&gt;"",Input!H31,""),"")</f>
        <v/>
      </c>
      <c r="AA30" s="449" t="str">
        <f>IFERROR(IF($Z$5="","",IF(F30&lt;&gt;"",(Input!H31/Input!$H$6)*100,"")),"NA")</f>
        <v/>
      </c>
      <c r="AB30" s="310" t="str">
        <f>IF(F30&lt;&gt;"",IF(Input!I31&lt;&gt;"",Input!I31,""),"")</f>
        <v/>
      </c>
      <c r="AC30" s="449" t="str">
        <f>IFERROR(IF($AB$5="","",IF(F30&lt;&gt;"",(Input!I31/Input!$I$6)*100,"")),"NA")</f>
        <v/>
      </c>
      <c r="AD30" s="310" t="str">
        <f>IF(F30&lt;&gt;"",IF(Input!J31&lt;&gt;"",Input!J31,""),"")</f>
        <v/>
      </c>
      <c r="AE30" s="449" t="str">
        <f>IFERROR(IF($AD$5="","",IF(F30&lt;&gt;"",(Input!J31/Input!$J$6)*100,"")),"NA")</f>
        <v/>
      </c>
      <c r="AF30" s="108" t="str">
        <f>IF(Input!K31="Error","Error",IF(F30="","",IF($X$5="",0,IF(F30&lt;&gt;"",IFERROR(AVERAGE(Y30,AA30,AC30,AE30)*$AF$4,0),""))))</f>
        <v/>
      </c>
      <c r="AG30" s="174"/>
      <c r="AH30" s="175" t="str">
        <f>IF(F30&lt;&gt;"",IF(Input!L31&lt;&gt;"",Input!L31,""),"")</f>
        <v/>
      </c>
      <c r="AI30" s="451" t="str">
        <f>IFERROR(IF($AH$5="","",IF(F30&lt;&gt;"",(Input!L31/Input!$L$6)*100,"")),"NA")</f>
        <v/>
      </c>
      <c r="AJ30" s="176" t="str">
        <f>IF(F30&lt;&gt;"",IF(Input!M31&lt;&gt;"",Input!M31,""),"")</f>
        <v/>
      </c>
      <c r="AK30" s="451" t="str">
        <f>IFERROR(IF($AJ$5="","",IF(F30&lt;&gt;"",(Input!M31/Input!$M$6)*100,"")),"NA")</f>
        <v/>
      </c>
      <c r="AL30" s="177" t="str">
        <f>IF(F30&lt;&gt;"",IF(Input!N31&lt;&gt;"",Input!N31,""),"")</f>
        <v/>
      </c>
      <c r="AM30" s="451" t="str">
        <f>IFERROR(IF($AL$5="","",IF(F30&lt;&gt;"",(Input!N31/Input!$N$6)*100,"")),"NA")</f>
        <v/>
      </c>
      <c r="AN30" s="177" t="str">
        <f>IF(F30&lt;&gt;"",IF(Input!O31&lt;&gt;"",Input!O31,""),"")</f>
        <v/>
      </c>
      <c r="AO30" s="451" t="str">
        <f>IFERROR(IF($AN$5="","",IF(F30&lt;&gt;"",(Input!O31/Input!$O$6)*100,"")),"NA")</f>
        <v/>
      </c>
      <c r="AP30" s="303" t="str">
        <f>IF(Input!P31="Error","Error",IF(F30="","",IF($AH$5="",0,IF(F30&lt;&gt;"",IFERROR(AVERAGE(AI30,AK30,AM30,AO30)*$AP$4,0),""))))</f>
        <v/>
      </c>
      <c r="AQ30" s="174"/>
      <c r="AR30" s="178" t="str">
        <f>IF(Input!Q31="","",IF(F30&lt;&gt;"",Input!Q31,""))</f>
        <v/>
      </c>
      <c r="AS30" s="179" t="str">
        <f>IF(F30="", "",IF(Input!R31="Error","Error",IF(ISNUMBER(Input!R31),(Input!R31*$AS$4),"")))</f>
        <v/>
      </c>
      <c r="AT30" s="330" t="str">
        <f>IF(V30="D","DRP",
IF(F30&lt;&gt;"",
IF(OR(AF30="Error",AP30="Error",AS30="Error"),"Error",
IF(Input!Q31="","-",ROUND(AF30+AP30+AS30,2))),""))</f>
        <v/>
      </c>
      <c r="AU30" s="180" t="str">
        <f>IF(F30&lt;&gt;"",VLOOKUP(AT30,TRANSMUTATION!$A$2:$B$14,2),"")</f>
        <v/>
      </c>
      <c r="AV30" s="181" t="str">
        <f t="shared" si="1"/>
        <v/>
      </c>
      <c r="AW30" s="182"/>
      <c r="BA30" s="97"/>
    </row>
    <row r="31" spans="1:53" ht="15" customHeight="1" x14ac:dyDescent="0.2">
      <c r="A31" s="97"/>
      <c r="C31" s="194">
        <v>25</v>
      </c>
      <c r="D31" s="203" t="str">
        <f>IF(Input!D32&lt;&gt;"",IF(F31&lt;&gt;"",Input!D32,""),"")</f>
        <v/>
      </c>
      <c r="E31" s="297"/>
      <c r="F31" s="298" t="str">
        <f>(IF(Input!F32&lt;&gt;"",Input!F32,""))</f>
        <v/>
      </c>
      <c r="G31" s="333"/>
      <c r="H31" s="333"/>
      <c r="I31" s="333"/>
      <c r="J31" s="333"/>
      <c r="K31" s="333"/>
      <c r="L31" s="333"/>
      <c r="M31" s="333"/>
      <c r="N31" s="333"/>
      <c r="O31" s="333"/>
      <c r="P31" s="333"/>
      <c r="Q31" s="333"/>
      <c r="R31" s="333"/>
      <c r="S31" s="333"/>
      <c r="T31" s="333"/>
      <c r="U31" s="333"/>
      <c r="V31" s="336"/>
      <c r="W31" s="173"/>
      <c r="X31" s="309" t="str">
        <f>IF(F31&lt;&gt;"",IF(Input!G32&lt;&gt;"",Input!G32,""),"")</f>
        <v/>
      </c>
      <c r="Y31" s="449" t="str">
        <f>IFERROR(IF($X$5="","",IF(F31&lt;&gt;"",(Input!G32/Input!$G$6)*100,"")),"NA")</f>
        <v/>
      </c>
      <c r="Z31" s="310" t="str">
        <f>IF(F31&lt;&gt;"",IF(Input!H32&lt;&gt;"",Input!H32,""),"")</f>
        <v/>
      </c>
      <c r="AA31" s="449" t="str">
        <f>IFERROR(IF($Z$5="","",IF(F31&lt;&gt;"",(Input!H32/Input!$H$6)*100,"")),"NA")</f>
        <v/>
      </c>
      <c r="AB31" s="310" t="str">
        <f>IF(F31&lt;&gt;"",IF(Input!I32&lt;&gt;"",Input!I32,""),"")</f>
        <v/>
      </c>
      <c r="AC31" s="449" t="str">
        <f>IFERROR(IF($AB$5="","",IF(F31&lt;&gt;"",(Input!I32/Input!$I$6)*100,"")),"NA")</f>
        <v/>
      </c>
      <c r="AD31" s="310" t="str">
        <f>IF(F31&lt;&gt;"",IF(Input!J32&lt;&gt;"",Input!J32,""),"")</f>
        <v/>
      </c>
      <c r="AE31" s="449" t="str">
        <f>IFERROR(IF($AD$5="","",IF(F31&lt;&gt;"",(Input!J32/Input!$J$6)*100,"")),"NA")</f>
        <v/>
      </c>
      <c r="AF31" s="108" t="str">
        <f>IF(Input!K32="Error","Error",IF(F31="","",IF($X$5="",0,IF(F31&lt;&gt;"",IFERROR(AVERAGE(Y31,AA31,AC31,AE31)*$AF$4,0),""))))</f>
        <v/>
      </c>
      <c r="AG31" s="174"/>
      <c r="AH31" s="175" t="str">
        <f>IF(F31&lt;&gt;"",IF(Input!L32&lt;&gt;"",Input!L32,""),"")</f>
        <v/>
      </c>
      <c r="AI31" s="451" t="str">
        <f>IFERROR(IF($AH$5="","",IF(F31&lt;&gt;"",(Input!L32/Input!$L$6)*100,"")),"NA")</f>
        <v/>
      </c>
      <c r="AJ31" s="176" t="str">
        <f>IF(F31&lt;&gt;"",IF(Input!M32&lt;&gt;"",Input!M32,""),"")</f>
        <v/>
      </c>
      <c r="AK31" s="451" t="str">
        <f>IFERROR(IF($AJ$5="","",IF(F31&lt;&gt;"",(Input!M32/Input!$M$6)*100,"")),"NA")</f>
        <v/>
      </c>
      <c r="AL31" s="177" t="str">
        <f>IF(F31&lt;&gt;"",IF(Input!N32&lt;&gt;"",Input!N32,""),"")</f>
        <v/>
      </c>
      <c r="AM31" s="451" t="str">
        <f>IFERROR(IF($AL$5="","",IF(F31&lt;&gt;"",(Input!N32/Input!$N$6)*100,"")),"NA")</f>
        <v/>
      </c>
      <c r="AN31" s="177" t="str">
        <f>IF(F31&lt;&gt;"",IF(Input!O32&lt;&gt;"",Input!O32,""),"")</f>
        <v/>
      </c>
      <c r="AO31" s="451" t="str">
        <f>IFERROR(IF($AN$5="","",IF(F31&lt;&gt;"",(Input!O32/Input!$O$6)*100,"")),"NA")</f>
        <v/>
      </c>
      <c r="AP31" s="303" t="str">
        <f>IF(Input!P32="Error","Error",IF(F31="","",IF($AH$5="",0,IF(F31&lt;&gt;"",IFERROR(AVERAGE(AI31,AK31,AM31,AO31)*$AP$4,0),""))))</f>
        <v/>
      </c>
      <c r="AQ31" s="174"/>
      <c r="AR31" s="178" t="str">
        <f>IF(Input!Q32="","",IF(F31&lt;&gt;"",Input!Q32,""))</f>
        <v/>
      </c>
      <c r="AS31" s="179" t="str">
        <f>IF(F31="", "",IF(Input!R32="Error","Error",IF(ISNUMBER(Input!R32),(Input!R32*$AS$4),"")))</f>
        <v/>
      </c>
      <c r="AT31" s="330" t="str">
        <f>IF(V31="D","DRP",
IF(F31&lt;&gt;"",
IF(OR(AF31="Error",AP31="Error",AS31="Error"),"Error",
IF(Input!Q32="","-",ROUND(AF31+AP31+AS31,2))),""))</f>
        <v/>
      </c>
      <c r="AU31" s="180" t="str">
        <f>IF(F31&lt;&gt;"",VLOOKUP(AT31,TRANSMUTATION!$A$2:$B$14,2),"")</f>
        <v/>
      </c>
      <c r="AV31" s="181" t="str">
        <f t="shared" si="1"/>
        <v/>
      </c>
      <c r="AW31" s="182"/>
      <c r="BA31" s="97"/>
    </row>
    <row r="32" spans="1:53" ht="15" customHeight="1" x14ac:dyDescent="0.2">
      <c r="A32" s="97"/>
      <c r="C32" s="194">
        <v>26</v>
      </c>
      <c r="D32" s="203" t="str">
        <f>IF(Input!D33&lt;&gt;"",IF(F32&lt;&gt;"",Input!D33,""),"")</f>
        <v/>
      </c>
      <c r="E32" s="297"/>
      <c r="F32" s="298" t="str">
        <f>(IF(Input!F33&lt;&gt;"",Input!F33,""))</f>
        <v/>
      </c>
      <c r="G32" s="333"/>
      <c r="H32" s="333"/>
      <c r="I32" s="333"/>
      <c r="J32" s="333"/>
      <c r="K32" s="333"/>
      <c r="L32" s="333"/>
      <c r="M32" s="333"/>
      <c r="N32" s="333"/>
      <c r="O32" s="333"/>
      <c r="P32" s="333"/>
      <c r="Q32" s="333"/>
      <c r="R32" s="333"/>
      <c r="S32" s="333"/>
      <c r="T32" s="333"/>
      <c r="U32" s="333"/>
      <c r="V32" s="336"/>
      <c r="W32" s="173"/>
      <c r="X32" s="309" t="str">
        <f>IF(F32&lt;&gt;"",IF(Input!G33&lt;&gt;"",Input!G33,""),"")</f>
        <v/>
      </c>
      <c r="Y32" s="449" t="str">
        <f>IFERROR(IF($X$5="","",IF(F32&lt;&gt;"",(Input!G33/Input!$G$6)*100,"")),"NA")</f>
        <v/>
      </c>
      <c r="Z32" s="310" t="str">
        <f>IF(F32&lt;&gt;"",IF(Input!H33&lt;&gt;"",Input!H33,""),"")</f>
        <v/>
      </c>
      <c r="AA32" s="449" t="str">
        <f>IFERROR(IF($Z$5="","",IF(F32&lt;&gt;"",(Input!H33/Input!$H$6)*100,"")),"NA")</f>
        <v/>
      </c>
      <c r="AB32" s="310" t="str">
        <f>IF(F32&lt;&gt;"",IF(Input!I33&lt;&gt;"",Input!I33,""),"")</f>
        <v/>
      </c>
      <c r="AC32" s="449" t="str">
        <f>IFERROR(IF($AB$5="","",IF(F32&lt;&gt;"",(Input!I33/Input!$I$6)*100,"")),"NA")</f>
        <v/>
      </c>
      <c r="AD32" s="310" t="str">
        <f>IF(F32&lt;&gt;"",IF(Input!J33&lt;&gt;"",Input!J33,""),"")</f>
        <v/>
      </c>
      <c r="AE32" s="449" t="str">
        <f>IFERROR(IF($AD$5="","",IF(F32&lt;&gt;"",(Input!J33/Input!$J$6)*100,"")),"NA")</f>
        <v/>
      </c>
      <c r="AF32" s="108" t="str">
        <f>IF(Input!K33="Error","Error",IF(F32="","",IF($X$5="",0,IF(F32&lt;&gt;"",IFERROR(AVERAGE(Y32,AA32,AC32,AE32)*$AF$4,0),""))))</f>
        <v/>
      </c>
      <c r="AG32" s="174"/>
      <c r="AH32" s="175" t="str">
        <f>IF(F32&lt;&gt;"",IF(Input!L33&lt;&gt;"",Input!L33,""),"")</f>
        <v/>
      </c>
      <c r="AI32" s="451" t="str">
        <f>IFERROR(IF($AH$5="","",IF(F32&lt;&gt;"",(Input!L33/Input!$L$6)*100,"")),"NA")</f>
        <v/>
      </c>
      <c r="AJ32" s="176" t="str">
        <f>IF(F32&lt;&gt;"",IF(Input!M33&lt;&gt;"",Input!M33,""),"")</f>
        <v/>
      </c>
      <c r="AK32" s="451" t="str">
        <f>IFERROR(IF($AJ$5="","",IF(F32&lt;&gt;"",(Input!M33/Input!$M$6)*100,"")),"NA")</f>
        <v/>
      </c>
      <c r="AL32" s="177" t="str">
        <f>IF(F32&lt;&gt;"",IF(Input!N33&lt;&gt;"",Input!N33,""),"")</f>
        <v/>
      </c>
      <c r="AM32" s="451" t="str">
        <f>IFERROR(IF($AL$5="","",IF(F32&lt;&gt;"",(Input!N33/Input!$N$6)*100,"")),"NA")</f>
        <v/>
      </c>
      <c r="AN32" s="177" t="str">
        <f>IF(F32&lt;&gt;"",IF(Input!O33&lt;&gt;"",Input!O33,""),"")</f>
        <v/>
      </c>
      <c r="AO32" s="451" t="str">
        <f>IFERROR(IF($AN$5="","",IF(F32&lt;&gt;"",(Input!O33/Input!$O$6)*100,"")),"NA")</f>
        <v/>
      </c>
      <c r="AP32" s="303" t="str">
        <f>IF(Input!P33="Error","Error",IF(F32="","",IF($AH$5="",0,IF(F32&lt;&gt;"",IFERROR(AVERAGE(AI32,AK32,AM32,AO32)*$AP$4,0),""))))</f>
        <v/>
      </c>
      <c r="AQ32" s="174"/>
      <c r="AR32" s="178" t="str">
        <f>IF(Input!Q33="","",IF(F32&lt;&gt;"",Input!Q33,""))</f>
        <v/>
      </c>
      <c r="AS32" s="179" t="str">
        <f>IF(F32="", "",IF(Input!R33="Error","Error",IF(ISNUMBER(Input!R33),(Input!R33*$AS$4),"")))</f>
        <v/>
      </c>
      <c r="AT32" s="330" t="str">
        <f>IF(V32="D","DRP",
IF(F32&lt;&gt;"",
IF(OR(AF32="Error",AP32="Error",AS32="Error"),"Error",
IF(Input!Q33="","-",ROUND(AF32+AP32+AS32,2))),""))</f>
        <v/>
      </c>
      <c r="AU32" s="180" t="str">
        <f>IF(F32&lt;&gt;"",VLOOKUP(AT32,TRANSMUTATION!$A$2:$B$14,2),"")</f>
        <v/>
      </c>
      <c r="AV32" s="181" t="str">
        <f t="shared" si="1"/>
        <v/>
      </c>
      <c r="AW32" s="182"/>
      <c r="BA32" s="97"/>
    </row>
    <row r="33" spans="1:53" ht="15" customHeight="1" x14ac:dyDescent="0.2">
      <c r="A33" s="97"/>
      <c r="C33" s="194">
        <v>27</v>
      </c>
      <c r="D33" s="203" t="str">
        <f>IF(Input!D34&lt;&gt;"",IF(F33&lt;&gt;"",Input!D34,""),"")</f>
        <v/>
      </c>
      <c r="E33" s="297"/>
      <c r="F33" s="298" t="str">
        <f>(IF(Input!F34&lt;&gt;"",Input!F34,""))</f>
        <v/>
      </c>
      <c r="G33" s="333"/>
      <c r="H33" s="333"/>
      <c r="I33" s="333"/>
      <c r="J33" s="333"/>
      <c r="K33" s="333"/>
      <c r="L33" s="333"/>
      <c r="M33" s="333"/>
      <c r="N33" s="333"/>
      <c r="O33" s="333"/>
      <c r="P33" s="333"/>
      <c r="Q33" s="333"/>
      <c r="R33" s="333"/>
      <c r="S33" s="333"/>
      <c r="T33" s="333"/>
      <c r="U33" s="333"/>
      <c r="V33" s="336"/>
      <c r="W33" s="173"/>
      <c r="X33" s="309" t="str">
        <f>IF(F33&lt;&gt;"",IF(Input!G34&lt;&gt;"",Input!G34,""),"")</f>
        <v/>
      </c>
      <c r="Y33" s="449" t="str">
        <f>IFERROR(IF($X$5="","",IF(F33&lt;&gt;"",(Input!G34/Input!$G$6)*100,"")),"NA")</f>
        <v/>
      </c>
      <c r="Z33" s="310" t="str">
        <f>IF(F33&lt;&gt;"",IF(Input!H34&lt;&gt;"",Input!H34,""),"")</f>
        <v/>
      </c>
      <c r="AA33" s="449" t="str">
        <f>IFERROR(IF($Z$5="","",IF(F33&lt;&gt;"",(Input!H34/Input!$H$6)*100,"")),"NA")</f>
        <v/>
      </c>
      <c r="AB33" s="310" t="str">
        <f>IF(F33&lt;&gt;"",IF(Input!I34&lt;&gt;"",Input!I34,""),"")</f>
        <v/>
      </c>
      <c r="AC33" s="449" t="str">
        <f>IFERROR(IF($AB$5="","",IF(F33&lt;&gt;"",(Input!I34/Input!$I$6)*100,"")),"NA")</f>
        <v/>
      </c>
      <c r="AD33" s="310" t="str">
        <f>IF(F33&lt;&gt;"",IF(Input!J34&lt;&gt;"",Input!J34,""),"")</f>
        <v/>
      </c>
      <c r="AE33" s="449" t="str">
        <f>IFERROR(IF($AD$5="","",IF(F33&lt;&gt;"",(Input!J34/Input!$J$6)*100,"")),"NA")</f>
        <v/>
      </c>
      <c r="AF33" s="108" t="str">
        <f>IF(Input!K34="Error","Error",IF(F33="","",IF($X$5="",0,IF(F33&lt;&gt;"",IFERROR(AVERAGE(Y33,AA33,AC33,AE33)*$AF$4,0),""))))</f>
        <v/>
      </c>
      <c r="AG33" s="174"/>
      <c r="AH33" s="175" t="str">
        <f>IF(F33&lt;&gt;"",IF(Input!L34&lt;&gt;"",Input!L34,""),"")</f>
        <v/>
      </c>
      <c r="AI33" s="451" t="str">
        <f>IFERROR(IF($AH$5="","",IF(F33&lt;&gt;"",(Input!L34/Input!$L$6)*100,"")),"NA")</f>
        <v/>
      </c>
      <c r="AJ33" s="176" t="str">
        <f>IF(F33&lt;&gt;"",IF(Input!M34&lt;&gt;"",Input!M34,""),"")</f>
        <v/>
      </c>
      <c r="AK33" s="451" t="str">
        <f>IFERROR(IF($AJ$5="","",IF(F33&lt;&gt;"",(Input!M34/Input!$M$6)*100,"")),"NA")</f>
        <v/>
      </c>
      <c r="AL33" s="177" t="str">
        <f>IF(F33&lt;&gt;"",IF(Input!N34&lt;&gt;"",Input!N34,""),"")</f>
        <v/>
      </c>
      <c r="AM33" s="451" t="str">
        <f>IFERROR(IF($AL$5="","",IF(F33&lt;&gt;"",(Input!N34/Input!$N$6)*100,"")),"NA")</f>
        <v/>
      </c>
      <c r="AN33" s="177" t="str">
        <f>IF(F33&lt;&gt;"",IF(Input!O34&lt;&gt;"",Input!O34,""),"")</f>
        <v/>
      </c>
      <c r="AO33" s="451" t="str">
        <f>IFERROR(IF($AN$5="","",IF(F33&lt;&gt;"",(Input!O34/Input!$O$6)*100,"")),"NA")</f>
        <v/>
      </c>
      <c r="AP33" s="303" t="str">
        <f>IF(Input!P34="Error","Error",IF(F33="","",IF($AH$5="",0,IF(F33&lt;&gt;"",IFERROR(AVERAGE(AI33,AK33,AM33,AO33)*$AP$4,0),""))))</f>
        <v/>
      </c>
      <c r="AQ33" s="174"/>
      <c r="AR33" s="178" t="str">
        <f>IF(Input!Q34="","",IF(F33&lt;&gt;"",Input!Q34,""))</f>
        <v/>
      </c>
      <c r="AS33" s="179" t="str">
        <f>IF(F33="", "",IF(Input!R34="Error","Error",IF(ISNUMBER(Input!R34),(Input!R34*$AS$4),"")))</f>
        <v/>
      </c>
      <c r="AT33" s="330" t="str">
        <f>IF(V33="D","DRP",
IF(F33&lt;&gt;"",
IF(OR(AF33="Error",AP33="Error",AS33="Error"),"Error",
IF(Input!Q34="","-",ROUND(AF33+AP33+AS33,2))),""))</f>
        <v/>
      </c>
      <c r="AU33" s="180" t="str">
        <f>IF(F33&lt;&gt;"",VLOOKUP(AT33,TRANSMUTATION!$A$2:$B$14,2),"")</f>
        <v/>
      </c>
      <c r="AV33" s="181" t="str">
        <f t="shared" si="1"/>
        <v/>
      </c>
      <c r="AW33" s="182"/>
      <c r="BA33" s="97"/>
    </row>
    <row r="34" spans="1:53" ht="15" customHeight="1" x14ac:dyDescent="0.2">
      <c r="A34" s="97"/>
      <c r="C34" s="194">
        <v>28</v>
      </c>
      <c r="D34" s="203" t="str">
        <f>IF(Input!D35&lt;&gt;"",IF(F34&lt;&gt;"",Input!D35,""),"")</f>
        <v/>
      </c>
      <c r="E34" s="297"/>
      <c r="F34" s="298" t="str">
        <f>(IF(Input!F35&lt;&gt;"",Input!F35,""))</f>
        <v/>
      </c>
      <c r="G34" s="333"/>
      <c r="H34" s="333"/>
      <c r="I34" s="333"/>
      <c r="J34" s="333"/>
      <c r="K34" s="333"/>
      <c r="L34" s="333"/>
      <c r="M34" s="333"/>
      <c r="N34" s="333"/>
      <c r="O34" s="333"/>
      <c r="P34" s="333"/>
      <c r="Q34" s="333"/>
      <c r="R34" s="333"/>
      <c r="S34" s="333"/>
      <c r="T34" s="333"/>
      <c r="U34" s="333"/>
      <c r="V34" s="336"/>
      <c r="W34" s="173"/>
      <c r="X34" s="309" t="str">
        <f>IF(F34&lt;&gt;"",IF(Input!G35&lt;&gt;"",Input!G35,""),"")</f>
        <v/>
      </c>
      <c r="Y34" s="449" t="str">
        <f>IFERROR(IF($X$5="","",IF(F34&lt;&gt;"",(Input!G35/Input!$G$6)*100,"")),"NA")</f>
        <v/>
      </c>
      <c r="Z34" s="310" t="str">
        <f>IF(F34&lt;&gt;"",IF(Input!H35&lt;&gt;"",Input!H35,""),"")</f>
        <v/>
      </c>
      <c r="AA34" s="449" t="str">
        <f>IFERROR(IF($Z$5="","",IF(F34&lt;&gt;"",(Input!H35/Input!$H$6)*100,"")),"NA")</f>
        <v/>
      </c>
      <c r="AB34" s="310" t="str">
        <f>IF(F34&lt;&gt;"",IF(Input!I35&lt;&gt;"",Input!I35,""),"")</f>
        <v/>
      </c>
      <c r="AC34" s="449" t="str">
        <f>IFERROR(IF($AB$5="","",IF(F34&lt;&gt;"",(Input!I35/Input!$I$6)*100,"")),"NA")</f>
        <v/>
      </c>
      <c r="AD34" s="310" t="str">
        <f>IF(F34&lt;&gt;"",IF(Input!J35&lt;&gt;"",Input!J35,""),"")</f>
        <v/>
      </c>
      <c r="AE34" s="449" t="str">
        <f>IFERROR(IF($AD$5="","",IF(F34&lt;&gt;"",(Input!J35/Input!$J$6)*100,"")),"NA")</f>
        <v/>
      </c>
      <c r="AF34" s="108" t="str">
        <f>IF(Input!K35="Error","Error",IF(F34="","",IF($X$5="",0,IF(F34&lt;&gt;"",IFERROR(AVERAGE(Y34,AA34,AC34,AE34)*$AF$4,0),""))))</f>
        <v/>
      </c>
      <c r="AG34" s="174"/>
      <c r="AH34" s="175" t="str">
        <f>IF(F34&lt;&gt;"",IF(Input!L35&lt;&gt;"",Input!L35,""),"")</f>
        <v/>
      </c>
      <c r="AI34" s="451" t="str">
        <f>IFERROR(IF($AH$5="","",IF(F34&lt;&gt;"",(Input!L35/Input!$L$6)*100,"")),"NA")</f>
        <v/>
      </c>
      <c r="AJ34" s="176" t="str">
        <f>IF(F34&lt;&gt;"",IF(Input!M35&lt;&gt;"",Input!M35,""),"")</f>
        <v/>
      </c>
      <c r="AK34" s="451" t="str">
        <f>IFERROR(IF($AJ$5="","",IF(F34&lt;&gt;"",(Input!M35/Input!$M$6)*100,"")),"NA")</f>
        <v/>
      </c>
      <c r="AL34" s="177" t="str">
        <f>IF(F34&lt;&gt;"",IF(Input!N35&lt;&gt;"",Input!N35,""),"")</f>
        <v/>
      </c>
      <c r="AM34" s="451" t="str">
        <f>IFERROR(IF($AL$5="","",IF(F34&lt;&gt;"",(Input!N35/Input!$N$6)*100,"")),"NA")</f>
        <v/>
      </c>
      <c r="AN34" s="177" t="str">
        <f>IF(F34&lt;&gt;"",IF(Input!O35&lt;&gt;"",Input!O35,""),"")</f>
        <v/>
      </c>
      <c r="AO34" s="451" t="str">
        <f>IFERROR(IF($AN$5="","",IF(F34&lt;&gt;"",(Input!O35/Input!$O$6)*100,"")),"NA")</f>
        <v/>
      </c>
      <c r="AP34" s="303" t="str">
        <f>IF(Input!P35="Error","Error",IF(F34="","",IF($AH$5="",0,IF(F34&lt;&gt;"",IFERROR(AVERAGE(AI34,AK34,AM34,AO34)*$AP$4,0),""))))</f>
        <v/>
      </c>
      <c r="AQ34" s="174"/>
      <c r="AR34" s="178" t="str">
        <f>IF(Input!Q35="","",IF(F34&lt;&gt;"",Input!Q35,""))</f>
        <v/>
      </c>
      <c r="AS34" s="179" t="str">
        <f>IF(F34="", "",IF(Input!R35="Error","Error",IF(ISNUMBER(Input!R35),(Input!R35*$AS$4),"")))</f>
        <v/>
      </c>
      <c r="AT34" s="330" t="str">
        <f>IF(V34="D","DRP",
IF(F34&lt;&gt;"",
IF(OR(AF34="Error",AP34="Error",AS34="Error"),"Error",
IF(Input!Q35="","-",ROUND(AF34+AP34+AS34,2))),""))</f>
        <v/>
      </c>
      <c r="AU34" s="180" t="str">
        <f>IF(F34&lt;&gt;"",VLOOKUP(AT34,TRANSMUTATION!$A$2:$B$14,2),"")</f>
        <v/>
      </c>
      <c r="AV34" s="181" t="str">
        <f t="shared" si="1"/>
        <v/>
      </c>
      <c r="AW34" s="182"/>
      <c r="BA34" s="97"/>
    </row>
    <row r="35" spans="1:53" ht="15" customHeight="1" x14ac:dyDescent="0.2">
      <c r="A35" s="97"/>
      <c r="C35" s="194">
        <v>29</v>
      </c>
      <c r="D35" s="203" t="str">
        <f>IF(Input!D36&lt;&gt;"",IF(F35&lt;&gt;"",Input!D36,""),"")</f>
        <v/>
      </c>
      <c r="E35" s="297"/>
      <c r="F35" s="298" t="str">
        <f>(IF(Input!F36&lt;&gt;"",Input!F36,""))</f>
        <v/>
      </c>
      <c r="G35" s="333"/>
      <c r="H35" s="333"/>
      <c r="I35" s="333"/>
      <c r="J35" s="333"/>
      <c r="K35" s="333"/>
      <c r="L35" s="333"/>
      <c r="M35" s="333"/>
      <c r="N35" s="333"/>
      <c r="O35" s="333"/>
      <c r="P35" s="333"/>
      <c r="Q35" s="333"/>
      <c r="R35" s="333"/>
      <c r="S35" s="333"/>
      <c r="T35" s="333"/>
      <c r="U35" s="333"/>
      <c r="V35" s="336"/>
      <c r="W35" s="173"/>
      <c r="X35" s="309" t="str">
        <f>IF(F35&lt;&gt;"",IF(Input!G36&lt;&gt;"",Input!G36,""),"")</f>
        <v/>
      </c>
      <c r="Y35" s="449" t="str">
        <f>IFERROR(IF($X$5="","",IF(F35&lt;&gt;"",(Input!G36/Input!$G$6)*100,"")),"NA")</f>
        <v/>
      </c>
      <c r="Z35" s="310" t="str">
        <f>IF(F35&lt;&gt;"",IF(Input!H36&lt;&gt;"",Input!H36,""),"")</f>
        <v/>
      </c>
      <c r="AA35" s="449" t="str">
        <f>IFERROR(IF($Z$5="","",IF(F35&lt;&gt;"",(Input!H36/Input!$H$6)*100,"")),"NA")</f>
        <v/>
      </c>
      <c r="AB35" s="310" t="str">
        <f>IF(F35&lt;&gt;"",IF(Input!I36&lt;&gt;"",Input!I36,""),"")</f>
        <v/>
      </c>
      <c r="AC35" s="449" t="str">
        <f>IFERROR(IF($AB$5="","",IF(F35&lt;&gt;"",(Input!I36/Input!$I$6)*100,"")),"NA")</f>
        <v/>
      </c>
      <c r="AD35" s="310" t="str">
        <f>IF(F35&lt;&gt;"",IF(Input!J36&lt;&gt;"",Input!J36,""),"")</f>
        <v/>
      </c>
      <c r="AE35" s="449" t="str">
        <f>IFERROR(IF($AD$5="","",IF(F35&lt;&gt;"",(Input!J36/Input!$J$6)*100,"")),"NA")</f>
        <v/>
      </c>
      <c r="AF35" s="108" t="str">
        <f>IF(Input!K36="Error","Error",IF(F35="","",IF($X$5="",0,IF(F35&lt;&gt;"",IFERROR(AVERAGE(Y35,AA35,AC35,AE35)*$AF$4,0),""))))</f>
        <v/>
      </c>
      <c r="AG35" s="174"/>
      <c r="AH35" s="175" t="str">
        <f>IF(F35&lt;&gt;"",IF(Input!L36&lt;&gt;"",Input!L36,""),"")</f>
        <v/>
      </c>
      <c r="AI35" s="451" t="str">
        <f>IFERROR(IF($AH$5="","",IF(F35&lt;&gt;"",(Input!L36/Input!$L$6)*100,"")),"NA")</f>
        <v/>
      </c>
      <c r="AJ35" s="176" t="str">
        <f>IF(F35&lt;&gt;"",IF(Input!M36&lt;&gt;"",Input!M36,""),"")</f>
        <v/>
      </c>
      <c r="AK35" s="451" t="str">
        <f>IFERROR(IF($AJ$5="","",IF(F35&lt;&gt;"",(Input!M36/Input!$M$6)*100,"")),"NA")</f>
        <v/>
      </c>
      <c r="AL35" s="177" t="str">
        <f>IF(F35&lt;&gt;"",IF(Input!N36&lt;&gt;"",Input!N36,""),"")</f>
        <v/>
      </c>
      <c r="AM35" s="451" t="str">
        <f>IFERROR(IF($AL$5="","",IF(F35&lt;&gt;"",(Input!N36/Input!$N$6)*100,"")),"NA")</f>
        <v/>
      </c>
      <c r="AN35" s="177" t="str">
        <f>IF(F35&lt;&gt;"",IF(Input!O36&lt;&gt;"",Input!O36,""),"")</f>
        <v/>
      </c>
      <c r="AO35" s="451" t="str">
        <f>IFERROR(IF($AN$5="","",IF(F35&lt;&gt;"",(Input!O36/Input!$O$6)*100,"")),"NA")</f>
        <v/>
      </c>
      <c r="AP35" s="303" t="str">
        <f>IF(Input!P36="Error","Error",IF(F35="","",IF($AH$5="",0,IF(F35&lt;&gt;"",IFERROR(AVERAGE(AI35,AK35,AM35,AO35)*$AP$4,0),""))))</f>
        <v/>
      </c>
      <c r="AQ35" s="174"/>
      <c r="AR35" s="178" t="str">
        <f>IF(Input!Q36="","",IF(F35&lt;&gt;"",Input!Q36,""))</f>
        <v/>
      </c>
      <c r="AS35" s="179" t="str">
        <f>IF(F35="", "",IF(Input!R36="Error","Error",IF(ISNUMBER(Input!R36),(Input!R36*$AS$4),"")))</f>
        <v/>
      </c>
      <c r="AT35" s="330" t="str">
        <f>IF(V35="D","DRP",
IF(F35&lt;&gt;"",
IF(OR(AF35="Error",AP35="Error",AS35="Error"),"Error",
IF(Input!Q36="","-",ROUND(AF35+AP35+AS35,2))),""))</f>
        <v/>
      </c>
      <c r="AU35" s="180" t="str">
        <f>IF(F35&lt;&gt;"",VLOOKUP(AT35,TRANSMUTATION!$A$2:$B$14,2),"")</f>
        <v/>
      </c>
      <c r="AV35" s="181" t="str">
        <f t="shared" si="1"/>
        <v/>
      </c>
      <c r="AW35" s="182"/>
      <c r="BA35" s="97"/>
    </row>
    <row r="36" spans="1:53" ht="15" customHeight="1" x14ac:dyDescent="0.2">
      <c r="A36" s="97"/>
      <c r="C36" s="194">
        <v>30</v>
      </c>
      <c r="D36" s="203" t="str">
        <f>IF(Input!D37&lt;&gt;"",IF(F36&lt;&gt;"",Input!D37,""),"")</f>
        <v/>
      </c>
      <c r="E36" s="297"/>
      <c r="F36" s="298" t="str">
        <f>(IF(Input!F37&lt;&gt;"",Input!F37,""))</f>
        <v/>
      </c>
      <c r="G36" s="333"/>
      <c r="H36" s="333"/>
      <c r="I36" s="333"/>
      <c r="J36" s="333"/>
      <c r="K36" s="333"/>
      <c r="L36" s="333"/>
      <c r="M36" s="333"/>
      <c r="N36" s="333"/>
      <c r="O36" s="333"/>
      <c r="P36" s="333"/>
      <c r="Q36" s="333"/>
      <c r="R36" s="333"/>
      <c r="S36" s="333"/>
      <c r="T36" s="333"/>
      <c r="U36" s="333"/>
      <c r="V36" s="336"/>
      <c r="W36" s="173"/>
      <c r="X36" s="309" t="str">
        <f>IF(F36&lt;&gt;"",IF(Input!G37&lt;&gt;"",Input!G37,""),"")</f>
        <v/>
      </c>
      <c r="Y36" s="449" t="str">
        <f>IFERROR(IF($X$5="","",IF(F36&lt;&gt;"",(Input!G37/Input!$G$6)*100,"")),"NA")</f>
        <v/>
      </c>
      <c r="Z36" s="310" t="str">
        <f>IF(F36&lt;&gt;"",IF(Input!H37&lt;&gt;"",Input!H37,""),"")</f>
        <v/>
      </c>
      <c r="AA36" s="449" t="str">
        <f>IFERROR(IF($Z$5="","",IF(F36&lt;&gt;"",(Input!H37/Input!$H$6)*100,"")),"NA")</f>
        <v/>
      </c>
      <c r="AB36" s="310" t="str">
        <f>IF(F36&lt;&gt;"",IF(Input!I37&lt;&gt;"",Input!I37,""),"")</f>
        <v/>
      </c>
      <c r="AC36" s="449" t="str">
        <f>IFERROR(IF($AB$5="","",IF(F36&lt;&gt;"",(Input!I37/Input!$I$6)*100,"")),"NA")</f>
        <v/>
      </c>
      <c r="AD36" s="310" t="str">
        <f>IF(F36&lt;&gt;"",IF(Input!J37&lt;&gt;"",Input!J37,""),"")</f>
        <v/>
      </c>
      <c r="AE36" s="449" t="str">
        <f>IFERROR(IF($AD$5="","",IF(F36&lt;&gt;"",(Input!J37/Input!$J$6)*100,"")),"NA")</f>
        <v/>
      </c>
      <c r="AF36" s="108" t="str">
        <f>IF(Input!K37="Error","Error",IF(F36="","",IF($X$5="",0,IF(F36&lt;&gt;"",IFERROR(AVERAGE(Y36,AA36,AC36,AE36)*$AF$4,0),""))))</f>
        <v/>
      </c>
      <c r="AG36" s="174"/>
      <c r="AH36" s="175" t="str">
        <f>IF(F36&lt;&gt;"",IF(Input!L37&lt;&gt;"",Input!L37,""),"")</f>
        <v/>
      </c>
      <c r="AI36" s="451" t="str">
        <f>IFERROR(IF($AH$5="","",IF(F36&lt;&gt;"",(Input!L37/Input!$L$6)*100,"")),"NA")</f>
        <v/>
      </c>
      <c r="AJ36" s="176" t="str">
        <f>IF(F36&lt;&gt;"",IF(Input!M37&lt;&gt;"",Input!M37,""),"")</f>
        <v/>
      </c>
      <c r="AK36" s="451" t="str">
        <f>IFERROR(IF($AJ$5="","",IF(F36&lt;&gt;"",(Input!M37/Input!$M$6)*100,"")),"NA")</f>
        <v/>
      </c>
      <c r="AL36" s="177" t="str">
        <f>IF(F36&lt;&gt;"",IF(Input!N37&lt;&gt;"",Input!N37,""),"")</f>
        <v/>
      </c>
      <c r="AM36" s="451" t="str">
        <f>IFERROR(IF($AL$5="","",IF(F36&lt;&gt;"",(Input!N37/Input!$N$6)*100,"")),"NA")</f>
        <v/>
      </c>
      <c r="AN36" s="177" t="str">
        <f>IF(F36&lt;&gt;"",IF(Input!O37&lt;&gt;"",Input!O37,""),"")</f>
        <v/>
      </c>
      <c r="AO36" s="451" t="str">
        <f>IFERROR(IF($AN$5="","",IF(F36&lt;&gt;"",(Input!O37/Input!$O$6)*100,"")),"NA")</f>
        <v/>
      </c>
      <c r="AP36" s="303" t="str">
        <f>IF(Input!P37="Error","Error",IF(F36="","",IF($AH$5="",0,IF(F36&lt;&gt;"",IFERROR(AVERAGE(AI36,AK36,AM36,AO36)*$AP$4,0),""))))</f>
        <v/>
      </c>
      <c r="AQ36" s="174"/>
      <c r="AR36" s="178" t="str">
        <f>IF(Input!Q37="","",IF(F36&lt;&gt;"",Input!Q37,""))</f>
        <v/>
      </c>
      <c r="AS36" s="179" t="str">
        <f>IF(F36="", "",IF(Input!R37="Error","Error",IF(ISNUMBER(Input!R37),(Input!R37*$AS$4),"")))</f>
        <v/>
      </c>
      <c r="AT36" s="330" t="str">
        <f>IF(V36="D","DRP",
IF(F36&lt;&gt;"",
IF(OR(AF36="Error",AP36="Error",AS36="Error"),"Error",
IF(Input!Q37="","-",ROUND(AF36+AP36+AS36,2))),""))</f>
        <v/>
      </c>
      <c r="AU36" s="180" t="str">
        <f>IF(F36&lt;&gt;"",VLOOKUP(AT36,TRANSMUTATION!$A$2:$B$14,2),"")</f>
        <v/>
      </c>
      <c r="AV36" s="181" t="str">
        <f t="shared" si="1"/>
        <v/>
      </c>
      <c r="AW36" s="182"/>
      <c r="BA36" s="97"/>
    </row>
    <row r="37" spans="1:53" ht="15" customHeight="1" x14ac:dyDescent="0.2">
      <c r="A37" s="97"/>
      <c r="C37" s="194">
        <v>31</v>
      </c>
      <c r="D37" s="203" t="str">
        <f>IF(Input!D38&lt;&gt;"",IF(F37&lt;&gt;"",Input!D38,""),"")</f>
        <v/>
      </c>
      <c r="E37" s="297"/>
      <c r="F37" s="298" t="str">
        <f>(IF(Input!F38&lt;&gt;"",Input!F38,""))</f>
        <v/>
      </c>
      <c r="G37" s="333"/>
      <c r="H37" s="333"/>
      <c r="I37" s="333"/>
      <c r="J37" s="333"/>
      <c r="K37" s="333"/>
      <c r="L37" s="333"/>
      <c r="M37" s="333"/>
      <c r="N37" s="333"/>
      <c r="O37" s="333"/>
      <c r="P37" s="333"/>
      <c r="Q37" s="333"/>
      <c r="R37" s="333"/>
      <c r="S37" s="333"/>
      <c r="T37" s="333"/>
      <c r="U37" s="333"/>
      <c r="V37" s="336"/>
      <c r="W37" s="173"/>
      <c r="X37" s="309" t="str">
        <f>IF(F37&lt;&gt;"",IF(Input!G38&lt;&gt;"",Input!G38,""),"")</f>
        <v/>
      </c>
      <c r="Y37" s="449" t="str">
        <f>IFERROR(IF($X$5="","",IF(F37&lt;&gt;"",(Input!G38/Input!$G$6)*100,"")),"NA")</f>
        <v/>
      </c>
      <c r="Z37" s="310" t="str">
        <f>IF(F37&lt;&gt;"",IF(Input!H38&lt;&gt;"",Input!H38,""),"")</f>
        <v/>
      </c>
      <c r="AA37" s="449" t="str">
        <f>IFERROR(IF($Z$5="","",IF(F37&lt;&gt;"",(Input!H38/Input!$H$6)*100,"")),"NA")</f>
        <v/>
      </c>
      <c r="AB37" s="310" t="str">
        <f>IF(F37&lt;&gt;"",IF(Input!I38&lt;&gt;"",Input!I38,""),"")</f>
        <v/>
      </c>
      <c r="AC37" s="449" t="str">
        <f>IFERROR(IF($AB$5="","",IF(F37&lt;&gt;"",(Input!I38/Input!$I$6)*100,"")),"NA")</f>
        <v/>
      </c>
      <c r="AD37" s="310" t="str">
        <f>IF(F37&lt;&gt;"",IF(Input!J38&lt;&gt;"",Input!J38,""),"")</f>
        <v/>
      </c>
      <c r="AE37" s="449" t="str">
        <f>IFERROR(IF($AD$5="","",IF(F37&lt;&gt;"",(Input!J38/Input!$J$6)*100,"")),"NA")</f>
        <v/>
      </c>
      <c r="AF37" s="108" t="str">
        <f>IF(Input!K38="Error","Error",IF(F37="","",IF($X$5="",0,IF(F37&lt;&gt;"",IFERROR(AVERAGE(Y37,AA37,AC37,AE37)*$AF$4,0),""))))</f>
        <v/>
      </c>
      <c r="AG37" s="174"/>
      <c r="AH37" s="175" t="str">
        <f>IF(F37&lt;&gt;"",IF(Input!L38&lt;&gt;"",Input!L38,""),"")</f>
        <v/>
      </c>
      <c r="AI37" s="451" t="str">
        <f>IFERROR(IF($AH$5="","",IF(F37&lt;&gt;"",(Input!L38/Input!$L$6)*100,"")),"NA")</f>
        <v/>
      </c>
      <c r="AJ37" s="176" t="str">
        <f>IF(F37&lt;&gt;"",IF(Input!M38&lt;&gt;"",Input!M38,""),"")</f>
        <v/>
      </c>
      <c r="AK37" s="451" t="str">
        <f>IFERROR(IF($AJ$5="","",IF(F37&lt;&gt;"",(Input!M38/Input!$M$6)*100,"")),"NA")</f>
        <v/>
      </c>
      <c r="AL37" s="177" t="str">
        <f>IF(F37&lt;&gt;"",IF(Input!N38&lt;&gt;"",Input!N38,""),"")</f>
        <v/>
      </c>
      <c r="AM37" s="451" t="str">
        <f>IFERROR(IF($AL$5="","",IF(F37&lt;&gt;"",(Input!N38/Input!$N$6)*100,"")),"NA")</f>
        <v/>
      </c>
      <c r="AN37" s="177" t="str">
        <f>IF(F37&lt;&gt;"",IF(Input!O38&lt;&gt;"",Input!O38,""),"")</f>
        <v/>
      </c>
      <c r="AO37" s="451" t="str">
        <f>IFERROR(IF($AN$5="","",IF(F37&lt;&gt;"",(Input!O38/Input!$O$6)*100,"")),"NA")</f>
        <v/>
      </c>
      <c r="AP37" s="303" t="str">
        <f>IF(Input!P38="Error","Error",IF(F37="","",IF($AH$5="",0,IF(F37&lt;&gt;"",IFERROR(AVERAGE(AI37,AK37,AM37,AO37)*$AP$4,0),""))))</f>
        <v/>
      </c>
      <c r="AQ37" s="174"/>
      <c r="AR37" s="178" t="str">
        <f>IF(Input!Q38="","",IF(F37&lt;&gt;"",Input!Q38,""))</f>
        <v/>
      </c>
      <c r="AS37" s="179" t="str">
        <f>IF(F37="", "",IF(Input!R38="Error","Error",IF(ISNUMBER(Input!R38),(Input!R38*$AS$4),"")))</f>
        <v/>
      </c>
      <c r="AT37" s="330" t="str">
        <f>IF(V37="D","DRP",
IF(F37&lt;&gt;"",
IF(OR(AF37="Error",AP37="Error",AS37="Error"),"Error",
IF(Input!Q38="","-",ROUND(AF37+AP37+AS37,2))),""))</f>
        <v/>
      </c>
      <c r="AU37" s="180" t="str">
        <f>IF(F37&lt;&gt;"",VLOOKUP(AT37,TRANSMUTATION!$A$2:$B$14,2),"")</f>
        <v/>
      </c>
      <c r="AV37" s="181" t="str">
        <f t="shared" si="1"/>
        <v/>
      </c>
      <c r="AW37" s="182"/>
      <c r="BA37" s="97"/>
    </row>
    <row r="38" spans="1:53" ht="15" customHeight="1" x14ac:dyDescent="0.2">
      <c r="A38" s="97"/>
      <c r="C38" s="194">
        <v>32</v>
      </c>
      <c r="D38" s="203" t="str">
        <f>IF(Input!D39&lt;&gt;"",IF(F38&lt;&gt;"",Input!D39,""),"")</f>
        <v/>
      </c>
      <c r="E38" s="297"/>
      <c r="F38" s="298" t="str">
        <f>(IF(Input!F39&lt;&gt;"",Input!F39,""))</f>
        <v/>
      </c>
      <c r="G38" s="333"/>
      <c r="H38" s="333"/>
      <c r="I38" s="333"/>
      <c r="J38" s="333"/>
      <c r="K38" s="333"/>
      <c r="L38" s="333"/>
      <c r="M38" s="333"/>
      <c r="N38" s="333"/>
      <c r="O38" s="333"/>
      <c r="P38" s="333"/>
      <c r="Q38" s="333"/>
      <c r="R38" s="333"/>
      <c r="S38" s="333"/>
      <c r="T38" s="333"/>
      <c r="U38" s="333"/>
      <c r="V38" s="336"/>
      <c r="W38" s="173"/>
      <c r="X38" s="309" t="str">
        <f>IF(F38&lt;&gt;"",IF(Input!G39&lt;&gt;"",Input!G39,""),"")</f>
        <v/>
      </c>
      <c r="Y38" s="449" t="str">
        <f>IFERROR(IF($X$5="","",IF(F38&lt;&gt;"",(Input!G39/Input!$G$6)*100,"")),"NA")</f>
        <v/>
      </c>
      <c r="Z38" s="310" t="str">
        <f>IF(F38&lt;&gt;"",IF(Input!H39&lt;&gt;"",Input!H39,""),"")</f>
        <v/>
      </c>
      <c r="AA38" s="449" t="str">
        <f>IFERROR(IF($Z$5="","",IF(F38&lt;&gt;"",(Input!H39/Input!$H$6)*100,"")),"NA")</f>
        <v/>
      </c>
      <c r="AB38" s="310" t="str">
        <f>IF(F38&lt;&gt;"",IF(Input!I39&lt;&gt;"",Input!I39,""),"")</f>
        <v/>
      </c>
      <c r="AC38" s="449" t="str">
        <f>IFERROR(IF($AB$5="","",IF(F38&lt;&gt;"",(Input!I39/Input!$I$6)*100,"")),"NA")</f>
        <v/>
      </c>
      <c r="AD38" s="310" t="str">
        <f>IF(F38&lt;&gt;"",IF(Input!J39&lt;&gt;"",Input!J39,""),"")</f>
        <v/>
      </c>
      <c r="AE38" s="449" t="str">
        <f>IFERROR(IF($AD$5="","",IF(F38&lt;&gt;"",(Input!J39/Input!$J$6)*100,"")),"NA")</f>
        <v/>
      </c>
      <c r="AF38" s="108" t="str">
        <f>IF(Input!K39="Error","Error",IF(F38="","",IF($X$5="",0,IF(F38&lt;&gt;"",IFERROR(AVERAGE(Y38,AA38,AC38,AE38)*$AF$4,0),""))))</f>
        <v/>
      </c>
      <c r="AG38" s="174"/>
      <c r="AH38" s="175" t="str">
        <f>IF(F38&lt;&gt;"",IF(Input!L39&lt;&gt;"",Input!L39,""),"")</f>
        <v/>
      </c>
      <c r="AI38" s="451" t="str">
        <f>IFERROR(IF($AH$5="","",IF(F38&lt;&gt;"",(Input!L39/Input!$L$6)*100,"")),"NA")</f>
        <v/>
      </c>
      <c r="AJ38" s="176" t="str">
        <f>IF(F38&lt;&gt;"",IF(Input!M39&lt;&gt;"",Input!M39,""),"")</f>
        <v/>
      </c>
      <c r="AK38" s="451" t="str">
        <f>IFERROR(IF($AJ$5="","",IF(F38&lt;&gt;"",(Input!M39/Input!$M$6)*100,"")),"NA")</f>
        <v/>
      </c>
      <c r="AL38" s="177" t="str">
        <f>IF(F38&lt;&gt;"",IF(Input!N39&lt;&gt;"",Input!N39,""),"")</f>
        <v/>
      </c>
      <c r="AM38" s="451" t="str">
        <f>IFERROR(IF($AL$5="","",IF(F38&lt;&gt;"",(Input!N39/Input!$N$6)*100,"")),"NA")</f>
        <v/>
      </c>
      <c r="AN38" s="177" t="str">
        <f>IF(F38&lt;&gt;"",IF(Input!O39&lt;&gt;"",Input!O39,""),"")</f>
        <v/>
      </c>
      <c r="AO38" s="451" t="str">
        <f>IFERROR(IF($AN$5="","",IF(F38&lt;&gt;"",(Input!O39/Input!$O$6)*100,"")),"NA")</f>
        <v/>
      </c>
      <c r="AP38" s="303" t="str">
        <f>IF(Input!P39="Error","Error",IF(F38="","",IF($AH$5="",0,IF(F38&lt;&gt;"",IFERROR(AVERAGE(AI38,AK38,AM38,AO38)*$AP$4,0),""))))</f>
        <v/>
      </c>
      <c r="AQ38" s="174"/>
      <c r="AR38" s="178" t="str">
        <f>IF(Input!Q39="","",IF(F38&lt;&gt;"",Input!Q39,""))</f>
        <v/>
      </c>
      <c r="AS38" s="179" t="str">
        <f>IF(F38="", "",IF(Input!R39="Error","Error",IF(ISNUMBER(Input!R39),(Input!R39*$AS$4),"")))</f>
        <v/>
      </c>
      <c r="AT38" s="330" t="str">
        <f>IF(V38="D","DRP",
IF(F38&lt;&gt;"",
IF(OR(AF38="Error",AP38="Error",AS38="Error"),"Error",
IF(Input!Q39="","-",ROUND(AF38+AP38+AS38,2))),""))</f>
        <v/>
      </c>
      <c r="AU38" s="180" t="str">
        <f>IF(F38&lt;&gt;"",VLOOKUP(AT38,TRANSMUTATION!$A$2:$B$14,2),"")</f>
        <v/>
      </c>
      <c r="AV38" s="181" t="str">
        <f t="shared" si="1"/>
        <v/>
      </c>
      <c r="AW38" s="182"/>
      <c r="BA38" s="97"/>
    </row>
    <row r="39" spans="1:53" ht="15" customHeight="1" x14ac:dyDescent="0.2">
      <c r="A39" s="97"/>
      <c r="C39" s="194">
        <v>33</v>
      </c>
      <c r="D39" s="203" t="str">
        <f>IF(Input!D40&lt;&gt;"",IF(F39&lt;&gt;"",Input!D40,""),"")</f>
        <v/>
      </c>
      <c r="E39" s="297"/>
      <c r="F39" s="298" t="str">
        <f>(IF(Input!F40&lt;&gt;"",Input!F40,""))</f>
        <v/>
      </c>
      <c r="G39" s="333"/>
      <c r="H39" s="333"/>
      <c r="I39" s="333"/>
      <c r="J39" s="333"/>
      <c r="K39" s="333"/>
      <c r="L39" s="333"/>
      <c r="M39" s="333"/>
      <c r="N39" s="333"/>
      <c r="O39" s="333"/>
      <c r="P39" s="333"/>
      <c r="Q39" s="333"/>
      <c r="R39" s="333"/>
      <c r="S39" s="333"/>
      <c r="T39" s="333"/>
      <c r="U39" s="333"/>
      <c r="V39" s="336"/>
      <c r="W39" s="173"/>
      <c r="X39" s="309" t="str">
        <f>IF(F39&lt;&gt;"",IF(Input!G40&lt;&gt;"",Input!G40,""),"")</f>
        <v/>
      </c>
      <c r="Y39" s="449" t="str">
        <f>IFERROR(IF($X$5="","",IF(F39&lt;&gt;"",(Input!G40/Input!$G$6)*100,"")),"NA")</f>
        <v/>
      </c>
      <c r="Z39" s="310" t="str">
        <f>IF(F39&lt;&gt;"",IF(Input!H40&lt;&gt;"",Input!H40,""),"")</f>
        <v/>
      </c>
      <c r="AA39" s="449" t="str">
        <f>IFERROR(IF($Z$5="","",IF(F39&lt;&gt;"",(Input!H40/Input!$H$6)*100,"")),"NA")</f>
        <v/>
      </c>
      <c r="AB39" s="310" t="str">
        <f>IF(F39&lt;&gt;"",IF(Input!I40&lt;&gt;"",Input!I40,""),"")</f>
        <v/>
      </c>
      <c r="AC39" s="449" t="str">
        <f>IFERROR(IF($AB$5="","",IF(F39&lt;&gt;"",(Input!I40/Input!$I$6)*100,"")),"NA")</f>
        <v/>
      </c>
      <c r="AD39" s="310" t="str">
        <f>IF(F39&lt;&gt;"",IF(Input!J40&lt;&gt;"",Input!J40,""),"")</f>
        <v/>
      </c>
      <c r="AE39" s="449" t="str">
        <f>IFERROR(IF($AD$5="","",IF(F39&lt;&gt;"",(Input!J40/Input!$J$6)*100,"")),"NA")</f>
        <v/>
      </c>
      <c r="AF39" s="108" t="str">
        <f>IF(Input!K40="Error","Error",IF(F39="","",IF($X$5="",0,IF(F39&lt;&gt;"",IFERROR(AVERAGE(Y39,AA39,AC39,AE39)*$AF$4,0),""))))</f>
        <v/>
      </c>
      <c r="AG39" s="174"/>
      <c r="AH39" s="175" t="str">
        <f>IF(F39&lt;&gt;"",IF(Input!L40&lt;&gt;"",Input!L40,""),"")</f>
        <v/>
      </c>
      <c r="AI39" s="451" t="str">
        <f>IFERROR(IF($AH$5="","",IF(F39&lt;&gt;"",(Input!L40/Input!$L$6)*100,"")),"NA")</f>
        <v/>
      </c>
      <c r="AJ39" s="176" t="str">
        <f>IF(F39&lt;&gt;"",IF(Input!M40&lt;&gt;"",Input!M40,""),"")</f>
        <v/>
      </c>
      <c r="AK39" s="451" t="str">
        <f>IFERROR(IF($AJ$5="","",IF(F39&lt;&gt;"",(Input!M40/Input!$M$6)*100,"")),"NA")</f>
        <v/>
      </c>
      <c r="AL39" s="177" t="str">
        <f>IF(F39&lt;&gt;"",IF(Input!N40&lt;&gt;"",Input!N40,""),"")</f>
        <v/>
      </c>
      <c r="AM39" s="451" t="str">
        <f>IFERROR(IF($AL$5="","",IF(F39&lt;&gt;"",(Input!N40/Input!$N$6)*100,"")),"NA")</f>
        <v/>
      </c>
      <c r="AN39" s="177" t="str">
        <f>IF(F39&lt;&gt;"",IF(Input!O40&lt;&gt;"",Input!O40,""),"")</f>
        <v/>
      </c>
      <c r="AO39" s="451" t="str">
        <f>IFERROR(IF($AN$5="","",IF(F39&lt;&gt;"",(Input!O40/Input!$O$6)*100,"")),"NA")</f>
        <v/>
      </c>
      <c r="AP39" s="303" t="str">
        <f>IF(Input!P40="Error","Error",IF(F39="","",IF($AH$5="",0,IF(F39&lt;&gt;"",IFERROR(AVERAGE(AI39,AK39,AM39,AO39)*$AP$4,0),""))))</f>
        <v/>
      </c>
      <c r="AQ39" s="174"/>
      <c r="AR39" s="178" t="str">
        <f>IF(Input!Q40="","",IF(F39&lt;&gt;"",Input!Q40,""))</f>
        <v/>
      </c>
      <c r="AS39" s="179" t="str">
        <f>IF(F39="", "",IF(Input!R40="Error","Error",IF(ISNUMBER(Input!R40),(Input!R40*$AS$4),"")))</f>
        <v/>
      </c>
      <c r="AT39" s="330" t="str">
        <f>IF(V39="D","DRP",
IF(F39&lt;&gt;"",
IF(OR(AF39="Error",AP39="Error",AS39="Error"),"Error",
IF(Input!Q40="","-",ROUND(AF39+AP39+AS39,2))),""))</f>
        <v/>
      </c>
      <c r="AU39" s="180" t="str">
        <f>IF(F39&lt;&gt;"",VLOOKUP(AT39,TRANSMUTATION!$A$2:$B$14,2),"")</f>
        <v/>
      </c>
      <c r="AV39" s="181" t="str">
        <f t="shared" si="1"/>
        <v/>
      </c>
      <c r="AW39" s="182"/>
      <c r="BA39" s="97"/>
    </row>
    <row r="40" spans="1:53" ht="15" customHeight="1" x14ac:dyDescent="0.2">
      <c r="A40" s="97"/>
      <c r="C40" s="194">
        <v>34</v>
      </c>
      <c r="D40" s="203" t="str">
        <f>IF(Input!D41&lt;&gt;"",IF(F40&lt;&gt;"",Input!D41,""),"")</f>
        <v/>
      </c>
      <c r="E40" s="297"/>
      <c r="F40" s="298" t="str">
        <f>(IF(Input!F41&lt;&gt;"",Input!F41,""))</f>
        <v/>
      </c>
      <c r="G40" s="333"/>
      <c r="H40" s="333"/>
      <c r="I40" s="333"/>
      <c r="J40" s="333"/>
      <c r="K40" s="333"/>
      <c r="L40" s="333"/>
      <c r="M40" s="333"/>
      <c r="N40" s="333"/>
      <c r="O40" s="333"/>
      <c r="P40" s="333"/>
      <c r="Q40" s="333"/>
      <c r="R40" s="333"/>
      <c r="S40" s="333"/>
      <c r="T40" s="333"/>
      <c r="U40" s="333"/>
      <c r="V40" s="336"/>
      <c r="W40" s="173"/>
      <c r="X40" s="309" t="str">
        <f>IF(F40&lt;&gt;"",IF(Input!G41&lt;&gt;"",Input!G41,""),"")</f>
        <v/>
      </c>
      <c r="Y40" s="449" t="str">
        <f>IFERROR(IF($X$5="","",IF(F40&lt;&gt;"",(Input!G41/Input!$G$6)*100,"")),"NA")</f>
        <v/>
      </c>
      <c r="Z40" s="310" t="str">
        <f>IF(F40&lt;&gt;"",IF(Input!H41&lt;&gt;"",Input!H41,""),"")</f>
        <v/>
      </c>
      <c r="AA40" s="449" t="str">
        <f>IFERROR(IF($Z$5="","",IF(F40&lt;&gt;"",(Input!H41/Input!$H$6)*100,"")),"NA")</f>
        <v/>
      </c>
      <c r="AB40" s="310" t="str">
        <f>IF(F40&lt;&gt;"",IF(Input!I41&lt;&gt;"",Input!I41,""),"")</f>
        <v/>
      </c>
      <c r="AC40" s="449" t="str">
        <f>IFERROR(IF($AB$5="","",IF(F40&lt;&gt;"",(Input!I41/Input!$I$6)*100,"")),"NA")</f>
        <v/>
      </c>
      <c r="AD40" s="310" t="str">
        <f>IF(F40&lt;&gt;"",IF(Input!J41&lt;&gt;"",Input!J41,""),"")</f>
        <v/>
      </c>
      <c r="AE40" s="449" t="str">
        <f>IFERROR(IF($AD$5="","",IF(F40&lt;&gt;"",(Input!J41/Input!$J$6)*100,"")),"NA")</f>
        <v/>
      </c>
      <c r="AF40" s="108" t="str">
        <f>IF(Input!K41="Error","Error",IF(F40="","",IF($X$5="",0,IF(F40&lt;&gt;"",IFERROR(AVERAGE(Y40,AA40,AC40,AE40)*$AF$4,0),""))))</f>
        <v/>
      </c>
      <c r="AG40" s="174"/>
      <c r="AH40" s="175" t="str">
        <f>IF(F40&lt;&gt;"",IF(Input!L41&lt;&gt;"",Input!L41,""),"")</f>
        <v/>
      </c>
      <c r="AI40" s="451" t="str">
        <f>IFERROR(IF($AH$5="","",IF(F40&lt;&gt;"",(Input!L41/Input!$L$6)*100,"")),"NA")</f>
        <v/>
      </c>
      <c r="AJ40" s="176" t="str">
        <f>IF(F40&lt;&gt;"",IF(Input!M41&lt;&gt;"",Input!M41,""),"")</f>
        <v/>
      </c>
      <c r="AK40" s="451" t="str">
        <f>IFERROR(IF($AJ$5="","",IF(F40&lt;&gt;"",(Input!M41/Input!$M$6)*100,"")),"NA")</f>
        <v/>
      </c>
      <c r="AL40" s="177" t="str">
        <f>IF(F40&lt;&gt;"",IF(Input!N41&lt;&gt;"",Input!N41,""),"")</f>
        <v/>
      </c>
      <c r="AM40" s="451" t="str">
        <f>IFERROR(IF($AL$5="","",IF(F40&lt;&gt;"",(Input!N41/Input!$N$6)*100,"")),"NA")</f>
        <v/>
      </c>
      <c r="AN40" s="177" t="str">
        <f>IF(F40&lt;&gt;"",IF(Input!O41&lt;&gt;"",Input!O41,""),"")</f>
        <v/>
      </c>
      <c r="AO40" s="451" t="str">
        <f>IFERROR(IF($AN$5="","",IF(F40&lt;&gt;"",(Input!O41/Input!$O$6)*100,"")),"NA")</f>
        <v/>
      </c>
      <c r="AP40" s="303" t="str">
        <f>IF(Input!P41="Error","Error",IF(F40="","",IF($AH$5="",0,IF(F40&lt;&gt;"",IFERROR(AVERAGE(AI40,AK40,AM40,AO40)*$AP$4,0),""))))</f>
        <v/>
      </c>
      <c r="AQ40" s="174"/>
      <c r="AR40" s="178" t="str">
        <f>IF(Input!Q41="","",IF(F40&lt;&gt;"",Input!Q41,""))</f>
        <v/>
      </c>
      <c r="AS40" s="179" t="str">
        <f>IF(F40="", "",IF(Input!R41="Error","Error",IF(ISNUMBER(Input!R41),(Input!R41*$AS$4),"")))</f>
        <v/>
      </c>
      <c r="AT40" s="330" t="str">
        <f>IF(V40="D","DRP",
IF(F40&lt;&gt;"",
IF(OR(AF40="Error",AP40="Error",AS40="Error"),"Error",
IF(Input!Q41="","-",ROUND(AF40+AP40+AS40,2))),""))</f>
        <v/>
      </c>
      <c r="AU40" s="180" t="str">
        <f>IF(F40&lt;&gt;"",VLOOKUP(AT40,TRANSMUTATION!$A$2:$B$14,2),"")</f>
        <v/>
      </c>
      <c r="AV40" s="181" t="str">
        <f t="shared" si="1"/>
        <v/>
      </c>
      <c r="AW40" s="182"/>
      <c r="BA40" s="97"/>
    </row>
    <row r="41" spans="1:53" ht="15" customHeight="1" x14ac:dyDescent="0.2">
      <c r="A41" s="97"/>
      <c r="C41" s="194">
        <v>35</v>
      </c>
      <c r="D41" s="203" t="str">
        <f>IF(Input!D42&lt;&gt;"",IF(F41&lt;&gt;"",Input!D42,""),"")</f>
        <v/>
      </c>
      <c r="E41" s="297"/>
      <c r="F41" s="298" t="str">
        <f>(IF(Input!F42&lt;&gt;"",Input!F42,""))</f>
        <v/>
      </c>
      <c r="G41" s="333"/>
      <c r="H41" s="333"/>
      <c r="I41" s="333"/>
      <c r="J41" s="333"/>
      <c r="K41" s="333"/>
      <c r="L41" s="333"/>
      <c r="M41" s="333"/>
      <c r="N41" s="333"/>
      <c r="O41" s="333"/>
      <c r="P41" s="333"/>
      <c r="Q41" s="333"/>
      <c r="R41" s="333"/>
      <c r="S41" s="333"/>
      <c r="T41" s="333"/>
      <c r="U41" s="333"/>
      <c r="V41" s="336"/>
      <c r="W41" s="173"/>
      <c r="X41" s="309" t="str">
        <f>IF(F41&lt;&gt;"",IF(Input!G42&lt;&gt;"",Input!G42,""),"")</f>
        <v/>
      </c>
      <c r="Y41" s="449" t="str">
        <f>IFERROR(IF($X$5="","",IF(F41&lt;&gt;"",(Input!G42/Input!$G$6)*100,"")),"NA")</f>
        <v/>
      </c>
      <c r="Z41" s="310" t="str">
        <f>IF(F41&lt;&gt;"",IF(Input!H42&lt;&gt;"",Input!H42,""),"")</f>
        <v/>
      </c>
      <c r="AA41" s="449" t="str">
        <f>IFERROR(IF($Z$5="","",IF(F41&lt;&gt;"",(Input!H42/Input!$H$6)*100,"")),"NA")</f>
        <v/>
      </c>
      <c r="AB41" s="310" t="str">
        <f>IF(F41&lt;&gt;"",IF(Input!I42&lt;&gt;"",Input!I42,""),"")</f>
        <v/>
      </c>
      <c r="AC41" s="449" t="str">
        <f>IFERROR(IF($AB$5="","",IF(F41&lt;&gt;"",(Input!I42/Input!$I$6)*100,"")),"NA")</f>
        <v/>
      </c>
      <c r="AD41" s="310" t="str">
        <f>IF(F41&lt;&gt;"",IF(Input!J42&lt;&gt;"",Input!J42,""),"")</f>
        <v/>
      </c>
      <c r="AE41" s="449" t="str">
        <f>IFERROR(IF($AD$5="","",IF(F41&lt;&gt;"",(Input!J42/Input!$J$6)*100,"")),"NA")</f>
        <v/>
      </c>
      <c r="AF41" s="108" t="str">
        <f>IF(Input!K42="Error","Error",IF(F41="","",IF($X$5="",0,IF(F41&lt;&gt;"",IFERROR(AVERAGE(Y41,AA41,AC41,AE41)*$AF$4,0),""))))</f>
        <v/>
      </c>
      <c r="AG41" s="174"/>
      <c r="AH41" s="175" t="str">
        <f>IF(F41&lt;&gt;"",IF(Input!L42&lt;&gt;"",Input!L42,""),"")</f>
        <v/>
      </c>
      <c r="AI41" s="451" t="str">
        <f>IFERROR(IF($AH$5="","",IF(F41&lt;&gt;"",(Input!L42/Input!$L$6)*100,"")),"NA")</f>
        <v/>
      </c>
      <c r="AJ41" s="176" t="str">
        <f>IF(F41&lt;&gt;"",IF(Input!M42&lt;&gt;"",Input!M42,""),"")</f>
        <v/>
      </c>
      <c r="AK41" s="451" t="str">
        <f>IFERROR(IF($AJ$5="","",IF(F41&lt;&gt;"",(Input!M42/Input!$M$6)*100,"")),"NA")</f>
        <v/>
      </c>
      <c r="AL41" s="177" t="str">
        <f>IF(F41&lt;&gt;"",IF(Input!N42&lt;&gt;"",Input!N42,""),"")</f>
        <v/>
      </c>
      <c r="AM41" s="451" t="str">
        <f>IFERROR(IF($AL$5="","",IF(F41&lt;&gt;"",(Input!N42/Input!$N$6)*100,"")),"NA")</f>
        <v/>
      </c>
      <c r="AN41" s="177" t="str">
        <f>IF(F41&lt;&gt;"",IF(Input!O42&lt;&gt;"",Input!O42,""),"")</f>
        <v/>
      </c>
      <c r="AO41" s="451" t="str">
        <f>IFERROR(IF($AN$5="","",IF(F41&lt;&gt;"",(Input!O42/Input!$O$6)*100,"")),"NA")</f>
        <v/>
      </c>
      <c r="AP41" s="303" t="str">
        <f>IF(Input!P42="Error","Error",IF(F41="","",IF($AH$5="",0,IF(F41&lt;&gt;"",IFERROR(AVERAGE(AI41,AK41,AM41,AO41)*$AP$4,0),""))))</f>
        <v/>
      </c>
      <c r="AQ41" s="174"/>
      <c r="AR41" s="178" t="str">
        <f>IF(Input!Q42="","",IF(F41&lt;&gt;"",Input!Q42,""))</f>
        <v/>
      </c>
      <c r="AS41" s="179" t="str">
        <f>IF(F41="", "",IF(Input!R42="Error","Error",IF(ISNUMBER(Input!R42),(Input!R42*$AS$4),"")))</f>
        <v/>
      </c>
      <c r="AT41" s="330" t="str">
        <f>IF(V41="D","DRP",
IF(F41&lt;&gt;"",
IF(OR(AF41="Error",AP41="Error",AS41="Error"),"Error",
IF(Input!Q42="","-",ROUND(AF41+AP41+AS41,2))),""))</f>
        <v/>
      </c>
      <c r="AU41" s="180" t="str">
        <f>IF(F41&lt;&gt;"",VLOOKUP(AT41,TRANSMUTATION!$A$2:$B$14,2),"")</f>
        <v/>
      </c>
      <c r="AV41" s="181" t="str">
        <f t="shared" si="1"/>
        <v/>
      </c>
      <c r="AW41" s="182"/>
      <c r="BA41" s="97"/>
    </row>
    <row r="42" spans="1:53" ht="15" customHeight="1" x14ac:dyDescent="0.2">
      <c r="A42" s="97"/>
      <c r="C42" s="194">
        <v>36</v>
      </c>
      <c r="D42" s="203" t="str">
        <f>IF(Input!D43&lt;&gt;"",IF(F42&lt;&gt;"",Input!D43,""),"")</f>
        <v/>
      </c>
      <c r="E42" s="297"/>
      <c r="F42" s="298" t="str">
        <f>(IF(Input!F43&lt;&gt;"",Input!F43,""))</f>
        <v/>
      </c>
      <c r="G42" s="333"/>
      <c r="H42" s="333"/>
      <c r="I42" s="333"/>
      <c r="J42" s="333"/>
      <c r="K42" s="333"/>
      <c r="L42" s="333"/>
      <c r="M42" s="333"/>
      <c r="N42" s="333"/>
      <c r="O42" s="333"/>
      <c r="P42" s="333"/>
      <c r="Q42" s="333"/>
      <c r="R42" s="333"/>
      <c r="S42" s="333"/>
      <c r="T42" s="333"/>
      <c r="U42" s="333"/>
      <c r="V42" s="336"/>
      <c r="W42" s="173"/>
      <c r="X42" s="309" t="str">
        <f>IF(F42&lt;&gt;"",IF(Input!G43&lt;&gt;"",Input!G43,""),"")</f>
        <v/>
      </c>
      <c r="Y42" s="449" t="str">
        <f>IFERROR(IF($X$5="","",IF(F42&lt;&gt;"",(Input!G43/Input!$G$6)*100,"")),"NA")</f>
        <v/>
      </c>
      <c r="Z42" s="310" t="str">
        <f>IF(F42&lt;&gt;"",IF(Input!H43&lt;&gt;"",Input!H43,""),"")</f>
        <v/>
      </c>
      <c r="AA42" s="449" t="str">
        <f>IFERROR(IF($Z$5="","",IF(F42&lt;&gt;"",(Input!H43/Input!$H$6)*100,"")),"NA")</f>
        <v/>
      </c>
      <c r="AB42" s="310" t="str">
        <f>IF(F42&lt;&gt;"",IF(Input!I43&lt;&gt;"",Input!I43,""),"")</f>
        <v/>
      </c>
      <c r="AC42" s="449" t="str">
        <f>IFERROR(IF($AB$5="","",IF(F42&lt;&gt;"",(Input!I43/Input!$I$6)*100,"")),"NA")</f>
        <v/>
      </c>
      <c r="AD42" s="310" t="str">
        <f>IF(F42&lt;&gt;"",IF(Input!J43&lt;&gt;"",Input!J43,""),"")</f>
        <v/>
      </c>
      <c r="AE42" s="449" t="str">
        <f>IFERROR(IF($AD$5="","",IF(F42&lt;&gt;"",(Input!J43/Input!$J$6)*100,"")),"NA")</f>
        <v/>
      </c>
      <c r="AF42" s="108" t="str">
        <f>IF(Input!K43="Error","Error",IF(F42="","",IF($X$5="",0,IF(F42&lt;&gt;"",IFERROR(AVERAGE(Y42,AA42,AC42,AE42)*$AF$4,0),""))))</f>
        <v/>
      </c>
      <c r="AG42" s="174"/>
      <c r="AH42" s="175" t="str">
        <f>IF(F42&lt;&gt;"",IF(Input!L43&lt;&gt;"",Input!L43,""),"")</f>
        <v/>
      </c>
      <c r="AI42" s="451" t="str">
        <f>IFERROR(IF($AH$5="","",IF(F42&lt;&gt;"",(Input!L43/Input!$L$6)*100,"")),"NA")</f>
        <v/>
      </c>
      <c r="AJ42" s="176" t="str">
        <f>IF(F42&lt;&gt;"",IF(Input!M43&lt;&gt;"",Input!M43,""),"")</f>
        <v/>
      </c>
      <c r="AK42" s="451" t="str">
        <f>IFERROR(IF($AJ$5="","",IF(F42&lt;&gt;"",(Input!M43/Input!$M$6)*100,"")),"NA")</f>
        <v/>
      </c>
      <c r="AL42" s="177" t="str">
        <f>IF(F42&lt;&gt;"",IF(Input!N43&lt;&gt;"",Input!N43,""),"")</f>
        <v/>
      </c>
      <c r="AM42" s="451" t="str">
        <f>IFERROR(IF($AL$5="","",IF(F42&lt;&gt;"",(Input!N43/Input!$N$6)*100,"")),"NA")</f>
        <v/>
      </c>
      <c r="AN42" s="177" t="str">
        <f>IF(F42&lt;&gt;"",IF(Input!O43&lt;&gt;"",Input!O43,""),"")</f>
        <v/>
      </c>
      <c r="AO42" s="451" t="str">
        <f>IFERROR(IF($AN$5="","",IF(F42&lt;&gt;"",(Input!O43/Input!$O$6)*100,"")),"NA")</f>
        <v/>
      </c>
      <c r="AP42" s="303" t="str">
        <f>IF(Input!P43="Error","Error",IF(F42="","",IF($AH$5="",0,IF(F42&lt;&gt;"",IFERROR(AVERAGE(AI42,AK42,AM42,AO42)*$AP$4,0),""))))</f>
        <v/>
      </c>
      <c r="AQ42" s="174"/>
      <c r="AR42" s="178" t="str">
        <f>IF(Input!Q43="","",IF(F42&lt;&gt;"",Input!Q43,""))</f>
        <v/>
      </c>
      <c r="AS42" s="179" t="str">
        <f>IF(F42="", "",IF(Input!R43="Error","Error",IF(ISNUMBER(Input!R43),(Input!R43*$AS$4),"")))</f>
        <v/>
      </c>
      <c r="AT42" s="330" t="str">
        <f>IF(V42="D","DRP",
IF(F42&lt;&gt;"",
IF(OR(AF42="Error",AP42="Error",AS42="Error"),"Error",
IF(Input!Q43="","-",ROUND(AF42+AP42+AS42,2))),""))</f>
        <v/>
      </c>
      <c r="AU42" s="180" t="str">
        <f>IF(F42&lt;&gt;"",VLOOKUP(AT42,TRANSMUTATION!$A$2:$B$14,2),"")</f>
        <v/>
      </c>
      <c r="AV42" s="181" t="str">
        <f t="shared" si="1"/>
        <v/>
      </c>
      <c r="AW42" s="182"/>
      <c r="BA42" s="97"/>
    </row>
    <row r="43" spans="1:53" ht="15" customHeight="1" x14ac:dyDescent="0.2">
      <c r="A43" s="97"/>
      <c r="C43" s="194">
        <v>37</v>
      </c>
      <c r="D43" s="203" t="str">
        <f>IF(Input!D44&lt;&gt;"",IF(F43&lt;&gt;"",Input!D44,""),"")</f>
        <v/>
      </c>
      <c r="E43" s="297"/>
      <c r="F43" s="298" t="str">
        <f>(IF(Input!F44&lt;&gt;"",Input!F44,""))</f>
        <v/>
      </c>
      <c r="G43" s="333"/>
      <c r="H43" s="333"/>
      <c r="I43" s="333"/>
      <c r="J43" s="333"/>
      <c r="K43" s="333"/>
      <c r="L43" s="333"/>
      <c r="M43" s="333"/>
      <c r="N43" s="333"/>
      <c r="O43" s="333"/>
      <c r="P43" s="333"/>
      <c r="Q43" s="333"/>
      <c r="R43" s="333"/>
      <c r="S43" s="333"/>
      <c r="T43" s="333"/>
      <c r="U43" s="333"/>
      <c r="V43" s="336"/>
      <c r="W43" s="173"/>
      <c r="X43" s="309" t="str">
        <f>IF(F43&lt;&gt;"",IF(Input!G44&lt;&gt;"",Input!G44,""),"")</f>
        <v/>
      </c>
      <c r="Y43" s="449" t="str">
        <f>IFERROR(IF($X$5="","",IF(F43&lt;&gt;"",(Input!G44/Input!$G$6)*100,"")),"NA")</f>
        <v/>
      </c>
      <c r="Z43" s="310" t="str">
        <f>IF(F43&lt;&gt;"",IF(Input!H44&lt;&gt;"",Input!H44,""),"")</f>
        <v/>
      </c>
      <c r="AA43" s="449" t="str">
        <f>IFERROR(IF($Z$5="","",IF(F43&lt;&gt;"",(Input!H44/Input!$H$6)*100,"")),"NA")</f>
        <v/>
      </c>
      <c r="AB43" s="310" t="str">
        <f>IF(F43&lt;&gt;"",IF(Input!I44&lt;&gt;"",Input!I44,""),"")</f>
        <v/>
      </c>
      <c r="AC43" s="449" t="str">
        <f>IFERROR(IF($AB$5="","",IF(F43&lt;&gt;"",(Input!I44/Input!$I$6)*100,"")),"NA")</f>
        <v/>
      </c>
      <c r="AD43" s="310" t="str">
        <f>IF(F43&lt;&gt;"",IF(Input!J44&lt;&gt;"",Input!J44,""),"")</f>
        <v/>
      </c>
      <c r="AE43" s="449" t="str">
        <f>IFERROR(IF($AD$5="","",IF(F43&lt;&gt;"",(Input!J44/Input!$J$6)*100,"")),"NA")</f>
        <v/>
      </c>
      <c r="AF43" s="108" t="str">
        <f>IF(Input!K44="Error","Error",IF(F43="","",IF($X$5="",0,IF(F43&lt;&gt;"",IFERROR(AVERAGE(Y43,AA43,AC43,AE43)*$AF$4,0),""))))</f>
        <v/>
      </c>
      <c r="AG43" s="174"/>
      <c r="AH43" s="175" t="str">
        <f>IF(F43&lt;&gt;"",IF(Input!L44&lt;&gt;"",Input!L44,""),"")</f>
        <v/>
      </c>
      <c r="AI43" s="451" t="str">
        <f>IFERROR(IF($AH$5="","",IF(F43&lt;&gt;"",(Input!L44/Input!$L$6)*100,"")),"NA")</f>
        <v/>
      </c>
      <c r="AJ43" s="176" t="str">
        <f>IF(F43&lt;&gt;"",IF(Input!M44&lt;&gt;"",Input!M44,""),"")</f>
        <v/>
      </c>
      <c r="AK43" s="451" t="str">
        <f>IFERROR(IF($AJ$5="","",IF(F43&lt;&gt;"",(Input!M44/Input!$M$6)*100,"")),"NA")</f>
        <v/>
      </c>
      <c r="AL43" s="177" t="str">
        <f>IF(F43&lt;&gt;"",IF(Input!N44&lt;&gt;"",Input!N44,""),"")</f>
        <v/>
      </c>
      <c r="AM43" s="451" t="str">
        <f>IFERROR(IF($AL$5="","",IF(F43&lt;&gt;"",(Input!N44/Input!$N$6)*100,"")),"NA")</f>
        <v/>
      </c>
      <c r="AN43" s="177" t="str">
        <f>IF(F43&lt;&gt;"",IF(Input!O44&lt;&gt;"",Input!O44,""),"")</f>
        <v/>
      </c>
      <c r="AO43" s="451" t="str">
        <f>IFERROR(IF($AN$5="","",IF(F43&lt;&gt;"",(Input!O44/Input!$O$6)*100,"")),"NA")</f>
        <v/>
      </c>
      <c r="AP43" s="303" t="str">
        <f>IF(Input!P44="Error","Error",IF(F43="","",IF($AH$5="",0,IF(F43&lt;&gt;"",IFERROR(AVERAGE(AI43,AK43,AM43,AO43)*$AP$4,0),""))))</f>
        <v/>
      </c>
      <c r="AQ43" s="174"/>
      <c r="AR43" s="178" t="str">
        <f>IF(Input!Q44="","",IF(F43&lt;&gt;"",Input!Q44,""))</f>
        <v/>
      </c>
      <c r="AS43" s="179" t="str">
        <f>IF(F43="", "",IF(Input!R44="Error","Error",IF(ISNUMBER(Input!R44),(Input!R44*$AS$4),"")))</f>
        <v/>
      </c>
      <c r="AT43" s="330" t="str">
        <f>IF(V43="D","DRP",
IF(F43&lt;&gt;"",
IF(OR(AF43="Error",AP43="Error",AS43="Error"),"Error",
IF(Input!Q44="","-",ROUND(AF43+AP43+AS43,2))),""))</f>
        <v/>
      </c>
      <c r="AU43" s="180" t="str">
        <f>IF(F43&lt;&gt;"",VLOOKUP(AT43,TRANSMUTATION!$A$2:$B$14,2),"")</f>
        <v/>
      </c>
      <c r="AV43" s="181" t="str">
        <f t="shared" si="1"/>
        <v/>
      </c>
      <c r="AW43" s="182"/>
      <c r="BA43" s="97"/>
    </row>
    <row r="44" spans="1:53" ht="15" customHeight="1" x14ac:dyDescent="0.2">
      <c r="A44" s="97"/>
      <c r="C44" s="194">
        <v>38</v>
      </c>
      <c r="D44" s="203" t="str">
        <f>IF(Input!D45&lt;&gt;"",IF(F44&lt;&gt;"",Input!D45,""),"")</f>
        <v/>
      </c>
      <c r="E44" s="297"/>
      <c r="F44" s="298" t="str">
        <f>(IF(Input!F45&lt;&gt;"",Input!F45,""))</f>
        <v/>
      </c>
      <c r="G44" s="333"/>
      <c r="H44" s="333"/>
      <c r="I44" s="333"/>
      <c r="J44" s="333"/>
      <c r="K44" s="333"/>
      <c r="L44" s="333"/>
      <c r="M44" s="333"/>
      <c r="N44" s="333"/>
      <c r="O44" s="333"/>
      <c r="P44" s="333"/>
      <c r="Q44" s="333"/>
      <c r="R44" s="333"/>
      <c r="S44" s="333"/>
      <c r="T44" s="333"/>
      <c r="U44" s="333"/>
      <c r="V44" s="336"/>
      <c r="W44" s="173"/>
      <c r="X44" s="309" t="str">
        <f>IF(F44&lt;&gt;"",IF(Input!G45&lt;&gt;"",Input!G45,""),"")</f>
        <v/>
      </c>
      <c r="Y44" s="449" t="str">
        <f>IFERROR(IF($X$5="","",IF(F44&lt;&gt;"",(Input!G45/Input!$G$6)*100,"")),"NA")</f>
        <v/>
      </c>
      <c r="Z44" s="310" t="str">
        <f>IF(F44&lt;&gt;"",IF(Input!H45&lt;&gt;"",Input!H45,""),"")</f>
        <v/>
      </c>
      <c r="AA44" s="449" t="str">
        <f>IFERROR(IF($Z$5="","",IF(F44&lt;&gt;"",(Input!H45/Input!$H$6)*100,"")),"NA")</f>
        <v/>
      </c>
      <c r="AB44" s="310" t="str">
        <f>IF(F44&lt;&gt;"",IF(Input!I45&lt;&gt;"",Input!I45,""),"")</f>
        <v/>
      </c>
      <c r="AC44" s="449" t="str">
        <f>IFERROR(IF($AB$5="","",IF(F44&lt;&gt;"",(Input!I45/Input!$I$6)*100,"")),"NA")</f>
        <v/>
      </c>
      <c r="AD44" s="310" t="str">
        <f>IF(F44&lt;&gt;"",IF(Input!J45&lt;&gt;"",Input!J45,""),"")</f>
        <v/>
      </c>
      <c r="AE44" s="449" t="str">
        <f>IFERROR(IF($AD$5="","",IF(F44&lt;&gt;"",(Input!J45/Input!$J$6)*100,"")),"NA")</f>
        <v/>
      </c>
      <c r="AF44" s="108" t="str">
        <f>IF(Input!K45="Error","Error",IF(F44="","",IF($X$5="",0,IF(F44&lt;&gt;"",IFERROR(AVERAGE(Y44,AA44,AC44,AE44)*$AF$4,0),""))))</f>
        <v/>
      </c>
      <c r="AG44" s="174"/>
      <c r="AH44" s="175" t="str">
        <f>IF(F44&lt;&gt;"",IF(Input!L45&lt;&gt;"",Input!L45,""),"")</f>
        <v/>
      </c>
      <c r="AI44" s="451" t="str">
        <f>IFERROR(IF($AH$5="","",IF(F44&lt;&gt;"",(Input!L45/Input!$L$6)*100,"")),"NA")</f>
        <v/>
      </c>
      <c r="AJ44" s="176" t="str">
        <f>IF(F44&lt;&gt;"",IF(Input!M45&lt;&gt;"",Input!M45,""),"")</f>
        <v/>
      </c>
      <c r="AK44" s="451" t="str">
        <f>IFERROR(IF($AJ$5="","",IF(F44&lt;&gt;"",(Input!M45/Input!$M$6)*100,"")),"NA")</f>
        <v/>
      </c>
      <c r="AL44" s="177" t="str">
        <f>IF(F44&lt;&gt;"",IF(Input!N45&lt;&gt;"",Input!N45,""),"")</f>
        <v/>
      </c>
      <c r="AM44" s="451" t="str">
        <f>IFERROR(IF($AL$5="","",IF(F44&lt;&gt;"",(Input!N45/Input!$N$6)*100,"")),"NA")</f>
        <v/>
      </c>
      <c r="AN44" s="177" t="str">
        <f>IF(F44&lt;&gt;"",IF(Input!O45&lt;&gt;"",Input!O45,""),"")</f>
        <v/>
      </c>
      <c r="AO44" s="451" t="str">
        <f>IFERROR(IF($AN$5="","",IF(F44&lt;&gt;"",(Input!O45/Input!$O$6)*100,"")),"NA")</f>
        <v/>
      </c>
      <c r="AP44" s="303" t="str">
        <f>IF(Input!P45="Error","Error",IF(F44="","",IF($AH$5="",0,IF(F44&lt;&gt;"",IFERROR(AVERAGE(AI44,AK44,AM44,AO44)*$AP$4,0),""))))</f>
        <v/>
      </c>
      <c r="AQ44" s="174"/>
      <c r="AR44" s="178" t="str">
        <f>IF(Input!Q45="","",IF(F44&lt;&gt;"",Input!Q45,""))</f>
        <v/>
      </c>
      <c r="AS44" s="179" t="str">
        <f>IF(F44="", "",IF(Input!R45="Error","Error",IF(ISNUMBER(Input!R45),(Input!R45*$AS$4),"")))</f>
        <v/>
      </c>
      <c r="AT44" s="330" t="str">
        <f>IF(V44="D","DRP",
IF(F44&lt;&gt;"",
IF(OR(AF44="Error",AP44="Error",AS44="Error"),"Error",
IF(Input!Q45="","-",ROUND(AF44+AP44+AS44,2))),""))</f>
        <v/>
      </c>
      <c r="AU44" s="180" t="str">
        <f>IF(F44&lt;&gt;"",VLOOKUP(AT44,TRANSMUTATION!$A$2:$B$14,2),"")</f>
        <v/>
      </c>
      <c r="AV44" s="181" t="str">
        <f t="shared" si="1"/>
        <v/>
      </c>
      <c r="AW44" s="182"/>
      <c r="BA44" s="97"/>
    </row>
    <row r="45" spans="1:53" ht="15" customHeight="1" x14ac:dyDescent="0.2">
      <c r="A45" s="97"/>
      <c r="C45" s="194">
        <v>39</v>
      </c>
      <c r="D45" s="203" t="str">
        <f>IF(Input!D46&lt;&gt;"",IF(F45&lt;&gt;"",Input!D46,""),"")</f>
        <v/>
      </c>
      <c r="E45" s="297"/>
      <c r="F45" s="298" t="str">
        <f>(IF(Input!F46&lt;&gt;"",Input!F46,""))</f>
        <v/>
      </c>
      <c r="G45" s="333"/>
      <c r="H45" s="333"/>
      <c r="I45" s="333"/>
      <c r="J45" s="333"/>
      <c r="K45" s="333"/>
      <c r="L45" s="333"/>
      <c r="M45" s="333"/>
      <c r="N45" s="333"/>
      <c r="O45" s="333"/>
      <c r="P45" s="333"/>
      <c r="Q45" s="333"/>
      <c r="R45" s="333"/>
      <c r="S45" s="333"/>
      <c r="T45" s="333"/>
      <c r="U45" s="333"/>
      <c r="V45" s="336"/>
      <c r="W45" s="173"/>
      <c r="X45" s="309" t="str">
        <f>IF(F45&lt;&gt;"",IF(Input!G46&lt;&gt;"",Input!G46,""),"")</f>
        <v/>
      </c>
      <c r="Y45" s="449" t="str">
        <f>IFERROR(IF($X$5="","",IF(F45&lt;&gt;"",(Input!G46/Input!$G$6)*100,"")),"NA")</f>
        <v/>
      </c>
      <c r="Z45" s="310" t="str">
        <f>IF(F45&lt;&gt;"",IF(Input!H46&lt;&gt;"",Input!H46,""),"")</f>
        <v/>
      </c>
      <c r="AA45" s="449" t="str">
        <f>IFERROR(IF($Z$5="","",IF(F45&lt;&gt;"",(Input!H46/Input!$H$6)*100,"")),"NA")</f>
        <v/>
      </c>
      <c r="AB45" s="310" t="str">
        <f>IF(F45&lt;&gt;"",IF(Input!I46&lt;&gt;"",Input!I46,""),"")</f>
        <v/>
      </c>
      <c r="AC45" s="449" t="str">
        <f>IFERROR(IF($AB$5="","",IF(F45&lt;&gt;"",(Input!I46/Input!$I$6)*100,"")),"NA")</f>
        <v/>
      </c>
      <c r="AD45" s="310" t="str">
        <f>IF(F45&lt;&gt;"",IF(Input!J46&lt;&gt;"",Input!J46,""),"")</f>
        <v/>
      </c>
      <c r="AE45" s="449" t="str">
        <f>IFERROR(IF($AD$5="","",IF(F45&lt;&gt;"",(Input!J46/Input!$J$6)*100,"")),"NA")</f>
        <v/>
      </c>
      <c r="AF45" s="108" t="str">
        <f>IF(Input!K46="Error","Error",IF(F45="","",IF($X$5="",0,IF(F45&lt;&gt;"",IFERROR(AVERAGE(Y45,AA45,AC45,AE45)*$AF$4,0),""))))</f>
        <v/>
      </c>
      <c r="AG45" s="174"/>
      <c r="AH45" s="175" t="str">
        <f>IF(F45&lt;&gt;"",IF(Input!L46&lt;&gt;"",Input!L46,""),"")</f>
        <v/>
      </c>
      <c r="AI45" s="451" t="str">
        <f>IFERROR(IF($AH$5="","",IF(F45&lt;&gt;"",(Input!L46/Input!$L$6)*100,"")),"NA")</f>
        <v/>
      </c>
      <c r="AJ45" s="176" t="str">
        <f>IF(F45&lt;&gt;"",IF(Input!M46&lt;&gt;"",Input!M46,""),"")</f>
        <v/>
      </c>
      <c r="AK45" s="451" t="str">
        <f>IFERROR(IF($AJ$5="","",IF(F45&lt;&gt;"",(Input!M46/Input!$M$6)*100,"")),"NA")</f>
        <v/>
      </c>
      <c r="AL45" s="177" t="str">
        <f>IF(F45&lt;&gt;"",IF(Input!N46&lt;&gt;"",Input!N46,""),"")</f>
        <v/>
      </c>
      <c r="AM45" s="451" t="str">
        <f>IFERROR(IF($AL$5="","",IF(F45&lt;&gt;"",(Input!N46/Input!$N$6)*100,"")),"NA")</f>
        <v/>
      </c>
      <c r="AN45" s="177" t="str">
        <f>IF(F45&lt;&gt;"",IF(Input!O46&lt;&gt;"",Input!O46,""),"")</f>
        <v/>
      </c>
      <c r="AO45" s="451" t="str">
        <f>IFERROR(IF($AN$5="","",IF(F45&lt;&gt;"",(Input!O46/Input!$O$6)*100,"")),"NA")</f>
        <v/>
      </c>
      <c r="AP45" s="303" t="str">
        <f>IF(Input!P46="Error","Error",IF(F45="","",IF($AH$5="",0,IF(F45&lt;&gt;"",IFERROR(AVERAGE(AI45,AK45,AM45,AO45)*$AP$4,0),""))))</f>
        <v/>
      </c>
      <c r="AQ45" s="174"/>
      <c r="AR45" s="178" t="str">
        <f>IF(Input!Q46="","",IF(F45&lt;&gt;"",Input!Q46,""))</f>
        <v/>
      </c>
      <c r="AS45" s="179" t="str">
        <f>IF(F45="", "",IF(Input!R46="Error","Error",IF(ISNUMBER(Input!R46),(Input!R46*$AS$4),"")))</f>
        <v/>
      </c>
      <c r="AT45" s="330" t="str">
        <f>IF(V45="D","DRP",
IF(F45&lt;&gt;"",
IF(OR(AF45="Error",AP45="Error",AS45="Error"),"Error",
IF(Input!Q46="","-",ROUND(AF45+AP45+AS45,2))),""))</f>
        <v/>
      </c>
      <c r="AU45" s="180" t="str">
        <f>IF(F45&lt;&gt;"",VLOOKUP(AT45,TRANSMUTATION!$A$2:$B$14,2),"")</f>
        <v/>
      </c>
      <c r="AV45" s="181" t="str">
        <f t="shared" si="1"/>
        <v/>
      </c>
      <c r="AW45" s="182"/>
      <c r="BA45" s="97"/>
    </row>
    <row r="46" spans="1:53" ht="15" customHeight="1" x14ac:dyDescent="0.2">
      <c r="A46" s="97"/>
      <c r="C46" s="194">
        <v>40</v>
      </c>
      <c r="D46" s="203" t="str">
        <f>IF(Input!D47&lt;&gt;"",IF(F46&lt;&gt;"",Input!D47,""),"")</f>
        <v/>
      </c>
      <c r="E46" s="297"/>
      <c r="F46" s="298" t="str">
        <f>(IF(Input!F47&lt;&gt;"",Input!F47,""))</f>
        <v/>
      </c>
      <c r="G46" s="333"/>
      <c r="H46" s="333"/>
      <c r="I46" s="333"/>
      <c r="J46" s="333"/>
      <c r="K46" s="333"/>
      <c r="L46" s="333"/>
      <c r="M46" s="333"/>
      <c r="N46" s="333"/>
      <c r="O46" s="333"/>
      <c r="P46" s="333"/>
      <c r="Q46" s="333"/>
      <c r="R46" s="333"/>
      <c r="S46" s="333"/>
      <c r="T46" s="333"/>
      <c r="U46" s="333"/>
      <c r="V46" s="336"/>
      <c r="W46" s="173"/>
      <c r="X46" s="309" t="str">
        <f>IF(F46&lt;&gt;"",IF(Input!G47&lt;&gt;"",Input!G47,""),"")</f>
        <v/>
      </c>
      <c r="Y46" s="449" t="str">
        <f>IFERROR(IF($X$5="","",IF(F46&lt;&gt;"",(Input!G47/Input!$G$6)*100,"")),"NA")</f>
        <v/>
      </c>
      <c r="Z46" s="310" t="str">
        <f>IF(F46&lt;&gt;"",IF(Input!H47&lt;&gt;"",Input!H47,""),"")</f>
        <v/>
      </c>
      <c r="AA46" s="449" t="str">
        <f>IFERROR(IF($Z$5="","",IF(F46&lt;&gt;"",(Input!H47/Input!$H$6)*100,"")),"NA")</f>
        <v/>
      </c>
      <c r="AB46" s="310" t="str">
        <f>IF(F46&lt;&gt;"",IF(Input!I47&lt;&gt;"",Input!I47,""),"")</f>
        <v/>
      </c>
      <c r="AC46" s="449" t="str">
        <f>IFERROR(IF($AB$5="","",IF(F46&lt;&gt;"",(Input!I47/Input!$I$6)*100,"")),"NA")</f>
        <v/>
      </c>
      <c r="AD46" s="310" t="str">
        <f>IF(F46&lt;&gt;"",IF(Input!J47&lt;&gt;"",Input!J47,""),"")</f>
        <v/>
      </c>
      <c r="AE46" s="449" t="str">
        <f>IFERROR(IF($AD$5="","",IF(F46&lt;&gt;"",(Input!J47/Input!$J$6)*100,"")),"NA")</f>
        <v/>
      </c>
      <c r="AF46" s="108" t="str">
        <f>IF(Input!K47="Error","Error",IF(F46="","",IF($X$5="",0,IF(F46&lt;&gt;"",IFERROR(AVERAGE(Y46,AA46,AC46,AE46)*$AF$4,0),""))))</f>
        <v/>
      </c>
      <c r="AG46" s="174"/>
      <c r="AH46" s="175" t="str">
        <f>IF(F46&lt;&gt;"",IF(Input!L47&lt;&gt;"",Input!L47,""),"")</f>
        <v/>
      </c>
      <c r="AI46" s="451" t="str">
        <f>IFERROR(IF($AH$5="","",IF(F46&lt;&gt;"",(Input!L47/Input!$L$6)*100,"")),"NA")</f>
        <v/>
      </c>
      <c r="AJ46" s="176" t="str">
        <f>IF(F46&lt;&gt;"",IF(Input!M47&lt;&gt;"",Input!M47,""),"")</f>
        <v/>
      </c>
      <c r="AK46" s="451" t="str">
        <f>IFERROR(IF($AJ$5="","",IF(F46&lt;&gt;"",(Input!M47/Input!$M$6)*100,"")),"NA")</f>
        <v/>
      </c>
      <c r="AL46" s="177" t="str">
        <f>IF(F46&lt;&gt;"",IF(Input!N47&lt;&gt;"",Input!N47,""),"")</f>
        <v/>
      </c>
      <c r="AM46" s="451" t="str">
        <f>IFERROR(IF($AL$5="","",IF(F46&lt;&gt;"",(Input!N47/Input!$N$6)*100,"")),"NA")</f>
        <v/>
      </c>
      <c r="AN46" s="177" t="str">
        <f>IF(F46&lt;&gt;"",IF(Input!O47&lt;&gt;"",Input!O47,""),"")</f>
        <v/>
      </c>
      <c r="AO46" s="451" t="str">
        <f>IFERROR(IF($AN$5="","",IF(F46&lt;&gt;"",(Input!O47/Input!$O$6)*100,"")),"NA")</f>
        <v/>
      </c>
      <c r="AP46" s="303" t="str">
        <f>IF(Input!P47="Error","Error",IF(F46="","",IF($AH$5="",0,IF(F46&lt;&gt;"",IFERROR(AVERAGE(AI46,AK46,AM46,AO46)*$AP$4,0),""))))</f>
        <v/>
      </c>
      <c r="AQ46" s="174"/>
      <c r="AR46" s="178" t="str">
        <f>IF(Input!Q47="","",IF(F46&lt;&gt;"",Input!Q47,""))</f>
        <v/>
      </c>
      <c r="AS46" s="179" t="str">
        <f>IF(F46="", "",IF(Input!R47="Error","Error",IF(ISNUMBER(Input!R47),(Input!R47*$AS$4),"")))</f>
        <v/>
      </c>
      <c r="AT46" s="330" t="str">
        <f>IF(V46="D","DRP",
IF(F46&lt;&gt;"",
IF(OR(AF46="Error",AP46="Error",AS46="Error"),"Error",
IF(Input!Q47="","-",ROUND(AF46+AP46+AS46,2))),""))</f>
        <v/>
      </c>
      <c r="AU46" s="180" t="str">
        <f>IF(F46&lt;&gt;"",VLOOKUP(AT46,TRANSMUTATION!$A$2:$B$14,2),"")</f>
        <v/>
      </c>
      <c r="AV46" s="181" t="str">
        <f t="shared" si="1"/>
        <v/>
      </c>
      <c r="AW46" s="182"/>
      <c r="BA46" s="97"/>
    </row>
    <row r="47" spans="1:53" ht="15" customHeight="1" x14ac:dyDescent="0.2">
      <c r="A47" s="97"/>
      <c r="C47" s="194">
        <v>41</v>
      </c>
      <c r="D47" s="203" t="str">
        <f>IF(Input!D48&lt;&gt;"",IF(F47&lt;&gt;"",Input!D48,""),"")</f>
        <v/>
      </c>
      <c r="E47" s="297"/>
      <c r="F47" s="298" t="str">
        <f>(IF(Input!F48&lt;&gt;"",Input!F48,""))</f>
        <v/>
      </c>
      <c r="G47" s="333"/>
      <c r="H47" s="333"/>
      <c r="I47" s="333"/>
      <c r="J47" s="333"/>
      <c r="K47" s="333"/>
      <c r="L47" s="333"/>
      <c r="M47" s="333"/>
      <c r="N47" s="333"/>
      <c r="O47" s="333"/>
      <c r="P47" s="333"/>
      <c r="Q47" s="333"/>
      <c r="R47" s="333"/>
      <c r="S47" s="333"/>
      <c r="T47" s="333"/>
      <c r="U47" s="333"/>
      <c r="V47" s="336"/>
      <c r="W47" s="173"/>
      <c r="X47" s="309" t="str">
        <f>IF(F47&lt;&gt;"",IF(Input!G48&lt;&gt;"",Input!G48,""),"")</f>
        <v/>
      </c>
      <c r="Y47" s="449" t="str">
        <f>IFERROR(IF($X$5="","",IF(F47&lt;&gt;"",(Input!G48/Input!$G$6)*100,"")),"NA")</f>
        <v/>
      </c>
      <c r="Z47" s="310" t="str">
        <f>IF(F47&lt;&gt;"",IF(Input!H48&lt;&gt;"",Input!H48,""),"")</f>
        <v/>
      </c>
      <c r="AA47" s="449" t="str">
        <f>IFERROR(IF($Z$5="","",IF(F47&lt;&gt;"",(Input!H48/Input!$H$6)*100,"")),"NA")</f>
        <v/>
      </c>
      <c r="AB47" s="310" t="str">
        <f>IF(F47&lt;&gt;"",IF(Input!I48&lt;&gt;"",Input!I48,""),"")</f>
        <v/>
      </c>
      <c r="AC47" s="449" t="str">
        <f>IFERROR(IF($AB$5="","",IF(F47&lt;&gt;"",(Input!I48/Input!$I$6)*100,"")),"NA")</f>
        <v/>
      </c>
      <c r="AD47" s="310" t="str">
        <f>IF(F47&lt;&gt;"",IF(Input!J48&lt;&gt;"",Input!J48,""),"")</f>
        <v/>
      </c>
      <c r="AE47" s="449" t="str">
        <f>IFERROR(IF($AD$5="","",IF(F47&lt;&gt;"",(Input!J48/Input!$J$6)*100,"")),"NA")</f>
        <v/>
      </c>
      <c r="AF47" s="108" t="str">
        <f>IF(Input!K48="Error","Error",IF(F47="","",IF($X$5="",0,IF(F47&lt;&gt;"",IFERROR(AVERAGE(Y47,AA47,AC47,AE47)*$AF$4,0),""))))</f>
        <v/>
      </c>
      <c r="AG47" s="174"/>
      <c r="AH47" s="175" t="str">
        <f>IF(F47&lt;&gt;"",IF(Input!L48&lt;&gt;"",Input!L48,""),"")</f>
        <v/>
      </c>
      <c r="AI47" s="451" t="str">
        <f>IFERROR(IF($AH$5="","",IF(F47&lt;&gt;"",(Input!L48/Input!$L$6)*100,"")),"NA")</f>
        <v/>
      </c>
      <c r="AJ47" s="176" t="str">
        <f>IF(F47&lt;&gt;"",IF(Input!M48&lt;&gt;"",Input!M48,""),"")</f>
        <v/>
      </c>
      <c r="AK47" s="451" t="str">
        <f>IFERROR(IF($AJ$5="","",IF(F47&lt;&gt;"",(Input!M48/Input!$M$6)*100,"")),"NA")</f>
        <v/>
      </c>
      <c r="AL47" s="177" t="str">
        <f>IF(F47&lt;&gt;"",IF(Input!N48&lt;&gt;"",Input!N48,""),"")</f>
        <v/>
      </c>
      <c r="AM47" s="451" t="str">
        <f>IFERROR(IF($AL$5="","",IF(F47&lt;&gt;"",(Input!N48/Input!$N$6)*100,"")),"NA")</f>
        <v/>
      </c>
      <c r="AN47" s="177" t="str">
        <f>IF(F47&lt;&gt;"",IF(Input!O48&lt;&gt;"",Input!O48,""),"")</f>
        <v/>
      </c>
      <c r="AO47" s="451" t="str">
        <f>IFERROR(IF($AN$5="","",IF(F47&lt;&gt;"",(Input!O48/Input!$O$6)*100,"")),"NA")</f>
        <v/>
      </c>
      <c r="AP47" s="303" t="str">
        <f>IF(Input!P48="Error","Error",IF(F47="","",IF($AH$5="",0,IF(F47&lt;&gt;"",IFERROR(AVERAGE(AI47,AK47,AM47,AO47)*$AP$4,0),""))))</f>
        <v/>
      </c>
      <c r="AQ47" s="174"/>
      <c r="AR47" s="178" t="str">
        <f>IF(Input!Q48="","",IF(F47&lt;&gt;"",Input!Q48,""))</f>
        <v/>
      </c>
      <c r="AS47" s="179" t="str">
        <f>IF(F47="", "",IF(Input!R48="Error","Error",IF(ISNUMBER(Input!R48),(Input!R48*$AS$4),"")))</f>
        <v/>
      </c>
      <c r="AT47" s="330" t="str">
        <f>IF(V47="D","DRP",
IF(F47&lt;&gt;"",
IF(OR(AF47="Error",AP47="Error",AS47="Error"),"Error",
IF(Input!Q48="","-",ROUND(AF47+AP47+AS47,2))),""))</f>
        <v/>
      </c>
      <c r="AU47" s="180" t="str">
        <f>IF(F47&lt;&gt;"",VLOOKUP(AT47,TRANSMUTATION!$A$2:$B$14,2),"")</f>
        <v/>
      </c>
      <c r="AV47" s="181" t="str">
        <f t="shared" si="1"/>
        <v/>
      </c>
      <c r="AW47" s="182"/>
      <c r="BA47" s="97"/>
    </row>
    <row r="48" spans="1:53" ht="15" customHeight="1" x14ac:dyDescent="0.2">
      <c r="A48" s="97"/>
      <c r="C48" s="194">
        <v>42</v>
      </c>
      <c r="D48" s="203" t="str">
        <f>IF(Input!D49&lt;&gt;"",IF(F48&lt;&gt;"",Input!D49,""),"")</f>
        <v/>
      </c>
      <c r="E48" s="297"/>
      <c r="F48" s="298" t="str">
        <f>(IF(Input!F49&lt;&gt;"",Input!F49,""))</f>
        <v/>
      </c>
      <c r="G48" s="333"/>
      <c r="H48" s="333"/>
      <c r="I48" s="333"/>
      <c r="J48" s="333"/>
      <c r="K48" s="333"/>
      <c r="L48" s="333"/>
      <c r="M48" s="333"/>
      <c r="N48" s="333"/>
      <c r="O48" s="333"/>
      <c r="P48" s="333"/>
      <c r="Q48" s="333"/>
      <c r="R48" s="333"/>
      <c r="S48" s="333"/>
      <c r="T48" s="333"/>
      <c r="U48" s="333"/>
      <c r="V48" s="336"/>
      <c r="W48" s="173"/>
      <c r="X48" s="309" t="str">
        <f>IF(F48&lt;&gt;"",IF(Input!G49&lt;&gt;"",Input!G49,""),"")</f>
        <v/>
      </c>
      <c r="Y48" s="449" t="str">
        <f>IFERROR(IF($X$5="","",IF(F48&lt;&gt;"",(Input!G49/Input!$G$6)*100,"")),"NA")</f>
        <v/>
      </c>
      <c r="Z48" s="310" t="str">
        <f>IF(F48&lt;&gt;"",IF(Input!H49&lt;&gt;"",Input!H49,""),"")</f>
        <v/>
      </c>
      <c r="AA48" s="449" t="str">
        <f>IFERROR(IF($Z$5="","",IF(F48&lt;&gt;"",(Input!H49/Input!$H$6)*100,"")),"NA")</f>
        <v/>
      </c>
      <c r="AB48" s="310" t="str">
        <f>IF(F48&lt;&gt;"",IF(Input!I49&lt;&gt;"",Input!I49,""),"")</f>
        <v/>
      </c>
      <c r="AC48" s="449" t="str">
        <f>IFERROR(IF($AB$5="","",IF(F48&lt;&gt;"",(Input!I49/Input!$I$6)*100,"")),"NA")</f>
        <v/>
      </c>
      <c r="AD48" s="310" t="str">
        <f>IF(F48&lt;&gt;"",IF(Input!J49&lt;&gt;"",Input!J49,""),"")</f>
        <v/>
      </c>
      <c r="AE48" s="449" t="str">
        <f>IFERROR(IF($AD$5="","",IF(F48&lt;&gt;"",(Input!J49/Input!$J$6)*100,"")),"NA")</f>
        <v/>
      </c>
      <c r="AF48" s="108" t="str">
        <f>IF(Input!K49="Error","Error",IF(F48="","",IF($X$5="",0,IF(F48&lt;&gt;"",IFERROR(AVERAGE(Y48,AA48,AC48,AE48)*$AF$4,0),""))))</f>
        <v/>
      </c>
      <c r="AG48" s="174"/>
      <c r="AH48" s="175" t="str">
        <f>IF(F48&lt;&gt;"",IF(Input!L49&lt;&gt;"",Input!L49,""),"")</f>
        <v/>
      </c>
      <c r="AI48" s="451" t="str">
        <f>IFERROR(IF($AH$5="","",IF(F48&lt;&gt;"",(Input!L49/Input!$L$6)*100,"")),"NA")</f>
        <v/>
      </c>
      <c r="AJ48" s="176" t="str">
        <f>IF(F48&lt;&gt;"",IF(Input!M49&lt;&gt;"",Input!M49,""),"")</f>
        <v/>
      </c>
      <c r="AK48" s="451" t="str">
        <f>IFERROR(IF($AJ$5="","",IF(F48&lt;&gt;"",(Input!M49/Input!$M$6)*100,"")),"NA")</f>
        <v/>
      </c>
      <c r="AL48" s="177" t="str">
        <f>IF(F48&lt;&gt;"",IF(Input!N49&lt;&gt;"",Input!N49,""),"")</f>
        <v/>
      </c>
      <c r="AM48" s="451" t="str">
        <f>IFERROR(IF($AL$5="","",IF(F48&lt;&gt;"",(Input!N49/Input!$N$6)*100,"")),"NA")</f>
        <v/>
      </c>
      <c r="AN48" s="177" t="str">
        <f>IF(F48&lt;&gt;"",IF(Input!O49&lt;&gt;"",Input!O49,""),"")</f>
        <v/>
      </c>
      <c r="AO48" s="451" t="str">
        <f>IFERROR(IF($AN$5="","",IF(F48&lt;&gt;"",(Input!O49/Input!$O$6)*100,"")),"NA")</f>
        <v/>
      </c>
      <c r="AP48" s="303" t="str">
        <f>IF(Input!P49="Error","Error",IF(F48="","",IF($AH$5="",0,IF(F48&lt;&gt;"",IFERROR(AVERAGE(AI48,AK48,AM48,AO48)*$AP$4,0),""))))</f>
        <v/>
      </c>
      <c r="AQ48" s="174"/>
      <c r="AR48" s="178" t="str">
        <f>IF(Input!Q49="","",IF(F48&lt;&gt;"",Input!Q49,""))</f>
        <v/>
      </c>
      <c r="AS48" s="179" t="str">
        <f>IF(F48="", "",IF(Input!R49="Error","Error",IF(ISNUMBER(Input!R49),(Input!R49*$AS$4),"")))</f>
        <v/>
      </c>
      <c r="AT48" s="330" t="str">
        <f>IF(V48="D","DRP",
IF(F48&lt;&gt;"",
IF(OR(AF48="Error",AP48="Error",AS48="Error"),"Error",
IF(Input!Q49="","-",ROUND(AF48+AP48+AS48,2))),""))</f>
        <v/>
      </c>
      <c r="AU48" s="180" t="str">
        <f>IF(F48&lt;&gt;"",VLOOKUP(AT48,TRANSMUTATION!$A$2:$B$14,2),"")</f>
        <v/>
      </c>
      <c r="AV48" s="181" t="str">
        <f t="shared" si="1"/>
        <v/>
      </c>
      <c r="AW48" s="182"/>
      <c r="BA48" s="97"/>
    </row>
    <row r="49" spans="1:53" ht="15" customHeight="1" x14ac:dyDescent="0.2">
      <c r="A49" s="97"/>
      <c r="C49" s="194">
        <v>43</v>
      </c>
      <c r="D49" s="203" t="str">
        <f>IF(Input!D50&lt;&gt;"",IF(F49&lt;&gt;"",Input!D50,""),"")</f>
        <v/>
      </c>
      <c r="E49" s="297"/>
      <c r="F49" s="298" t="str">
        <f>(IF(Input!F50&lt;&gt;"",Input!F50,""))</f>
        <v/>
      </c>
      <c r="G49" s="333"/>
      <c r="H49" s="333"/>
      <c r="I49" s="333"/>
      <c r="J49" s="333"/>
      <c r="K49" s="333"/>
      <c r="L49" s="333"/>
      <c r="M49" s="333"/>
      <c r="N49" s="333"/>
      <c r="O49" s="333"/>
      <c r="P49" s="333"/>
      <c r="Q49" s="333"/>
      <c r="R49" s="333"/>
      <c r="S49" s="333"/>
      <c r="T49" s="333"/>
      <c r="U49" s="333"/>
      <c r="V49" s="336"/>
      <c r="W49" s="173"/>
      <c r="X49" s="309" t="str">
        <f>IF(F49&lt;&gt;"",IF(Input!G50&lt;&gt;"",Input!G50,""),"")</f>
        <v/>
      </c>
      <c r="Y49" s="449" t="str">
        <f>IFERROR(IF($X$5="","",IF(F49&lt;&gt;"",(Input!G50/Input!$G$6)*100,"")),"NA")</f>
        <v/>
      </c>
      <c r="Z49" s="310" t="str">
        <f>IF(F49&lt;&gt;"",IF(Input!H50&lt;&gt;"",Input!H50,""),"")</f>
        <v/>
      </c>
      <c r="AA49" s="449" t="str">
        <f>IFERROR(IF($Z$5="","",IF(F49&lt;&gt;"",(Input!H50/Input!$H$6)*100,"")),"NA")</f>
        <v/>
      </c>
      <c r="AB49" s="310" t="str">
        <f>IF(F49&lt;&gt;"",IF(Input!I50&lt;&gt;"",Input!I50,""),"")</f>
        <v/>
      </c>
      <c r="AC49" s="449" t="str">
        <f>IFERROR(IF($AB$5="","",IF(F49&lt;&gt;"",(Input!I50/Input!$I$6)*100,"")),"NA")</f>
        <v/>
      </c>
      <c r="AD49" s="310" t="str">
        <f>IF(F49&lt;&gt;"",IF(Input!J50&lt;&gt;"",Input!J50,""),"")</f>
        <v/>
      </c>
      <c r="AE49" s="449" t="str">
        <f>IFERROR(IF($AD$5="","",IF(F49&lt;&gt;"",(Input!J50/Input!$J$6)*100,"")),"NA")</f>
        <v/>
      </c>
      <c r="AF49" s="108" t="str">
        <f>IF(Input!K50="Error","Error",IF(F49="","",IF($X$5="",0,IF(F49&lt;&gt;"",IFERROR(AVERAGE(Y49,AA49,AC49,AE49)*$AF$4,0),""))))</f>
        <v/>
      </c>
      <c r="AG49" s="174"/>
      <c r="AH49" s="175" t="str">
        <f>IF(F49&lt;&gt;"",IF(Input!L50&lt;&gt;"",Input!L50,""),"")</f>
        <v/>
      </c>
      <c r="AI49" s="451" t="str">
        <f>IFERROR(IF($AH$5="","",IF(F49&lt;&gt;"",(Input!L50/Input!$L$6)*100,"")),"NA")</f>
        <v/>
      </c>
      <c r="AJ49" s="176" t="str">
        <f>IF(F49&lt;&gt;"",IF(Input!M50&lt;&gt;"",Input!M50,""),"")</f>
        <v/>
      </c>
      <c r="AK49" s="451" t="str">
        <f>IFERROR(IF($AJ$5="","",IF(F49&lt;&gt;"",(Input!M50/Input!$M$6)*100,"")),"NA")</f>
        <v/>
      </c>
      <c r="AL49" s="177" t="str">
        <f>IF(F49&lt;&gt;"",IF(Input!N50&lt;&gt;"",Input!N50,""),"")</f>
        <v/>
      </c>
      <c r="AM49" s="451" t="str">
        <f>IFERROR(IF($AL$5="","",IF(F49&lt;&gt;"",(Input!N50/Input!$N$6)*100,"")),"NA")</f>
        <v/>
      </c>
      <c r="AN49" s="177" t="str">
        <f>IF(F49&lt;&gt;"",IF(Input!O50&lt;&gt;"",Input!O50,""),"")</f>
        <v/>
      </c>
      <c r="AO49" s="451" t="str">
        <f>IFERROR(IF($AN$5="","",IF(F49&lt;&gt;"",(Input!O50/Input!$O$6)*100,"")),"NA")</f>
        <v/>
      </c>
      <c r="AP49" s="303" t="str">
        <f>IF(Input!P50="Error","Error",IF(F49="","",IF($AH$5="",0,IF(F49&lt;&gt;"",IFERROR(AVERAGE(AI49,AK49,AM49,AO49)*$AP$4,0),""))))</f>
        <v/>
      </c>
      <c r="AQ49" s="174"/>
      <c r="AR49" s="178" t="str">
        <f>IF(Input!Q50="","",IF(F49&lt;&gt;"",Input!Q50,""))</f>
        <v/>
      </c>
      <c r="AS49" s="179" t="str">
        <f>IF(F49="", "",IF(Input!R50="Error","Error",IF(ISNUMBER(Input!R50),(Input!R50*$AS$4),"")))</f>
        <v/>
      </c>
      <c r="AT49" s="330" t="str">
        <f>IF(V49="D","DRP",
IF(F49&lt;&gt;"",
IF(OR(AF49="Error",AP49="Error",AS49="Error"),"Error",
IF(Input!Q50="","-",ROUND(AF49+AP49+AS49,2))),""))</f>
        <v/>
      </c>
      <c r="AU49" s="180" t="str">
        <f>IF(F49&lt;&gt;"",VLOOKUP(AT49,TRANSMUTATION!$A$2:$B$14,2),"")</f>
        <v/>
      </c>
      <c r="AV49" s="181" t="str">
        <f t="shared" si="1"/>
        <v/>
      </c>
      <c r="AW49" s="182"/>
      <c r="BA49" s="97"/>
    </row>
    <row r="50" spans="1:53" ht="15" customHeight="1" x14ac:dyDescent="0.2">
      <c r="A50" s="97"/>
      <c r="C50" s="194">
        <v>44</v>
      </c>
      <c r="D50" s="203" t="str">
        <f>IF(Input!D51&lt;&gt;"",IF(F50&lt;&gt;"",Input!D51,""),"")</f>
        <v/>
      </c>
      <c r="E50" s="297"/>
      <c r="F50" s="298" t="str">
        <f>(IF(Input!F51&lt;&gt;"",Input!F51,""))</f>
        <v/>
      </c>
      <c r="G50" s="333"/>
      <c r="H50" s="333"/>
      <c r="I50" s="333"/>
      <c r="J50" s="333"/>
      <c r="K50" s="333"/>
      <c r="L50" s="333"/>
      <c r="M50" s="333"/>
      <c r="N50" s="333"/>
      <c r="O50" s="333"/>
      <c r="P50" s="333"/>
      <c r="Q50" s="333"/>
      <c r="R50" s="333"/>
      <c r="S50" s="333"/>
      <c r="T50" s="333"/>
      <c r="U50" s="333"/>
      <c r="V50" s="336"/>
      <c r="W50" s="173"/>
      <c r="X50" s="309" t="str">
        <f>IF(F50&lt;&gt;"",IF(Input!G51&lt;&gt;"",Input!G51,""),"")</f>
        <v/>
      </c>
      <c r="Y50" s="449" t="str">
        <f>IFERROR(IF($X$5="","",IF(F50&lt;&gt;"",(Input!G51/Input!$G$6)*100,"")),"NA")</f>
        <v/>
      </c>
      <c r="Z50" s="310" t="str">
        <f>IF(F50&lt;&gt;"",IF(Input!H51&lt;&gt;"",Input!H51,""),"")</f>
        <v/>
      </c>
      <c r="AA50" s="449" t="str">
        <f>IFERROR(IF($Z$5="","",IF(F50&lt;&gt;"",(Input!H51/Input!$H$6)*100,"")),"NA")</f>
        <v/>
      </c>
      <c r="AB50" s="310" t="str">
        <f>IF(F50&lt;&gt;"",IF(Input!I51&lt;&gt;"",Input!I51,""),"")</f>
        <v/>
      </c>
      <c r="AC50" s="449" t="str">
        <f>IFERROR(IF($AB$5="","",IF(F50&lt;&gt;"",(Input!I51/Input!$I$6)*100,"")),"NA")</f>
        <v/>
      </c>
      <c r="AD50" s="310" t="str">
        <f>IF(F50&lt;&gt;"",IF(Input!J51&lt;&gt;"",Input!J51,""),"")</f>
        <v/>
      </c>
      <c r="AE50" s="449" t="str">
        <f>IFERROR(IF($AD$5="","",IF(F50&lt;&gt;"",(Input!J51/Input!$J$6)*100,"")),"NA")</f>
        <v/>
      </c>
      <c r="AF50" s="108" t="str">
        <f>IF(Input!K51="Error","Error",IF(F50="","",IF($X$5="",0,IF(F50&lt;&gt;"",IFERROR(AVERAGE(Y50,AA50,AC50,AE50)*$AF$4,0),""))))</f>
        <v/>
      </c>
      <c r="AG50" s="174"/>
      <c r="AH50" s="175" t="str">
        <f>IF(F50&lt;&gt;"",IF(Input!L51&lt;&gt;"",Input!L51,""),"")</f>
        <v/>
      </c>
      <c r="AI50" s="451" t="str">
        <f>IFERROR(IF($AH$5="","",IF(F50&lt;&gt;"",(Input!L51/Input!$L$6)*100,"")),"NA")</f>
        <v/>
      </c>
      <c r="AJ50" s="176" t="str">
        <f>IF(F50&lt;&gt;"",IF(Input!M51&lt;&gt;"",Input!M51,""),"")</f>
        <v/>
      </c>
      <c r="AK50" s="451" t="str">
        <f>IFERROR(IF($AJ$5="","",IF(F50&lt;&gt;"",(Input!M51/Input!$M$6)*100,"")),"NA")</f>
        <v/>
      </c>
      <c r="AL50" s="177" t="str">
        <f>IF(F50&lt;&gt;"",IF(Input!N51&lt;&gt;"",Input!N51,""),"")</f>
        <v/>
      </c>
      <c r="AM50" s="451" t="str">
        <f>IFERROR(IF($AL$5="","",IF(F50&lt;&gt;"",(Input!N51/Input!$N$6)*100,"")),"NA")</f>
        <v/>
      </c>
      <c r="AN50" s="177" t="str">
        <f>IF(F50&lt;&gt;"",IF(Input!O51&lt;&gt;"",Input!O51,""),"")</f>
        <v/>
      </c>
      <c r="AO50" s="451" t="str">
        <f>IFERROR(IF($AN$5="","",IF(F50&lt;&gt;"",(Input!O51/Input!$O$6)*100,"")),"NA")</f>
        <v/>
      </c>
      <c r="AP50" s="303" t="str">
        <f>IF(Input!P51="Error","Error",IF(F50="","",IF($AH$5="",0,IF(F50&lt;&gt;"",IFERROR(AVERAGE(AI50,AK50,AM50,AO50)*$AP$4,0),""))))</f>
        <v/>
      </c>
      <c r="AQ50" s="174"/>
      <c r="AR50" s="178" t="str">
        <f>IF(Input!Q51="","",IF(F50&lt;&gt;"",Input!Q51,""))</f>
        <v/>
      </c>
      <c r="AS50" s="179" t="str">
        <f>IF(F50="", "",IF(Input!R51="Error","Error",IF(ISNUMBER(Input!R51),(Input!R51*$AS$4),"")))</f>
        <v/>
      </c>
      <c r="AT50" s="330" t="str">
        <f>IF(V50="D","DRP",
IF(F50&lt;&gt;"",
IF(OR(AF50="Error",AP50="Error",AS50="Error"),"Error",
IF(Input!Q51="","-",ROUND(AF50+AP50+AS50,2))),""))</f>
        <v/>
      </c>
      <c r="AU50" s="180" t="str">
        <f>IF(F50&lt;&gt;"",VLOOKUP(AT50,TRANSMUTATION!$A$2:$B$14,2),"")</f>
        <v/>
      </c>
      <c r="AV50" s="181" t="str">
        <f t="shared" si="1"/>
        <v/>
      </c>
      <c r="AW50" s="182"/>
      <c r="BA50" s="97"/>
    </row>
    <row r="51" spans="1:53" ht="15" customHeight="1" x14ac:dyDescent="0.2">
      <c r="A51" s="97"/>
      <c r="C51" s="194">
        <v>45</v>
      </c>
      <c r="D51" s="203" t="str">
        <f>IF(Input!D52&lt;&gt;"",IF(F51&lt;&gt;"",Input!D52,""),"")</f>
        <v/>
      </c>
      <c r="E51" s="297"/>
      <c r="F51" s="298" t="str">
        <f>(IF(Input!F52&lt;&gt;"",Input!F52,""))</f>
        <v/>
      </c>
      <c r="G51" s="333"/>
      <c r="H51" s="333"/>
      <c r="I51" s="333"/>
      <c r="J51" s="333"/>
      <c r="K51" s="333"/>
      <c r="L51" s="333"/>
      <c r="M51" s="333"/>
      <c r="N51" s="333"/>
      <c r="O51" s="333"/>
      <c r="P51" s="333"/>
      <c r="Q51" s="333"/>
      <c r="R51" s="333"/>
      <c r="S51" s="333"/>
      <c r="T51" s="333"/>
      <c r="U51" s="333"/>
      <c r="V51" s="336"/>
      <c r="W51" s="173"/>
      <c r="X51" s="309" t="str">
        <f>IF(F51&lt;&gt;"",IF(Input!G52&lt;&gt;"",Input!G52,""),"")</f>
        <v/>
      </c>
      <c r="Y51" s="449" t="str">
        <f>IFERROR(IF($X$5="","",IF(F51&lt;&gt;"",(Input!G52/Input!$G$6)*100,"")),"NA")</f>
        <v/>
      </c>
      <c r="Z51" s="310" t="str">
        <f>IF(F51&lt;&gt;"",IF(Input!H52&lt;&gt;"",Input!H52,""),"")</f>
        <v/>
      </c>
      <c r="AA51" s="449" t="str">
        <f>IFERROR(IF($Z$5="","",IF(F51&lt;&gt;"",(Input!H52/Input!$H$6)*100,"")),"NA")</f>
        <v/>
      </c>
      <c r="AB51" s="310" t="str">
        <f>IF(F51&lt;&gt;"",IF(Input!I52&lt;&gt;"",Input!I52,""),"")</f>
        <v/>
      </c>
      <c r="AC51" s="449" t="str">
        <f>IFERROR(IF($AB$5="","",IF(F51&lt;&gt;"",(Input!I52/Input!$I$6)*100,"")),"NA")</f>
        <v/>
      </c>
      <c r="AD51" s="310" t="str">
        <f>IF(F51&lt;&gt;"",IF(Input!J52&lt;&gt;"",Input!J52,""),"")</f>
        <v/>
      </c>
      <c r="AE51" s="449" t="str">
        <f>IFERROR(IF($AD$5="","",IF(F51&lt;&gt;"",(Input!J52/Input!$J$6)*100,"")),"NA")</f>
        <v/>
      </c>
      <c r="AF51" s="108" t="str">
        <f>IF(Input!K52="Error","Error",IF(F51="","",IF($X$5="",0,IF(F51&lt;&gt;"",IFERROR(AVERAGE(Y51,AA51,AC51,AE51)*$AF$4,0),""))))</f>
        <v/>
      </c>
      <c r="AG51" s="174"/>
      <c r="AH51" s="175" t="str">
        <f>IF(F51&lt;&gt;"",IF(Input!L52&lt;&gt;"",Input!L52,""),"")</f>
        <v/>
      </c>
      <c r="AI51" s="451" t="str">
        <f>IFERROR(IF($AH$5="","",IF(F51&lt;&gt;"",(Input!L52/Input!$L$6)*100,"")),"NA")</f>
        <v/>
      </c>
      <c r="AJ51" s="176" t="str">
        <f>IF(F51&lt;&gt;"",IF(Input!M52&lt;&gt;"",Input!M52,""),"")</f>
        <v/>
      </c>
      <c r="AK51" s="451" t="str">
        <f>IFERROR(IF($AJ$5="","",IF(F51&lt;&gt;"",(Input!M52/Input!$M$6)*100,"")),"NA")</f>
        <v/>
      </c>
      <c r="AL51" s="177" t="str">
        <f>IF(F51&lt;&gt;"",IF(Input!N52&lt;&gt;"",Input!N52,""),"")</f>
        <v/>
      </c>
      <c r="AM51" s="451" t="str">
        <f>IFERROR(IF($AL$5="","",IF(F51&lt;&gt;"",(Input!N52/Input!$N$6)*100,"")),"NA")</f>
        <v/>
      </c>
      <c r="AN51" s="177" t="str">
        <f>IF(F51&lt;&gt;"",IF(Input!O52&lt;&gt;"",Input!O52,""),"")</f>
        <v/>
      </c>
      <c r="AO51" s="451" t="str">
        <f>IFERROR(IF($AN$5="","",IF(F51&lt;&gt;"",(Input!O52/Input!$O$6)*100,"")),"NA")</f>
        <v/>
      </c>
      <c r="AP51" s="303" t="str">
        <f>IF(Input!P52="Error","Error",IF(F51="","",IF($AH$5="",0,IF(F51&lt;&gt;"",IFERROR(AVERAGE(AI51,AK51,AM51,AO51)*$AP$4,0),""))))</f>
        <v/>
      </c>
      <c r="AQ51" s="174"/>
      <c r="AR51" s="178" t="str">
        <f>IF(Input!Q52="","",IF(F51&lt;&gt;"",Input!Q52,""))</f>
        <v/>
      </c>
      <c r="AS51" s="179" t="str">
        <f>IF(F51="", "",IF(Input!R52="Error","Error",IF(ISNUMBER(Input!R52),(Input!R52*$AS$4),"")))</f>
        <v/>
      </c>
      <c r="AT51" s="330" t="str">
        <f>IF(V51="D","DRP",
IF(F51&lt;&gt;"",
IF(OR(AF51="Error",AP51="Error",AS51="Error"),"Error",
IF(Input!Q52="","-",ROUND(AF51+AP51+AS51,2))),""))</f>
        <v/>
      </c>
      <c r="AU51" s="180" t="str">
        <f>IF(F51&lt;&gt;"",VLOOKUP(AT51,TRANSMUTATION!$A$2:$B$14,2),"")</f>
        <v/>
      </c>
      <c r="AV51" s="181" t="str">
        <f t="shared" si="1"/>
        <v/>
      </c>
      <c r="AW51" s="182"/>
      <c r="BA51" s="97"/>
    </row>
    <row r="52" spans="1:53" ht="15" customHeight="1" x14ac:dyDescent="0.2">
      <c r="A52" s="97"/>
      <c r="C52" s="194">
        <v>46</v>
      </c>
      <c r="D52" s="203" t="str">
        <f>IF(Input!D53&lt;&gt;"",IF(F52&lt;&gt;"",Input!D53,""),"")</f>
        <v/>
      </c>
      <c r="E52" s="297"/>
      <c r="F52" s="298" t="str">
        <f>(IF(Input!F53&lt;&gt;"",Input!F53,""))</f>
        <v/>
      </c>
      <c r="G52" s="333"/>
      <c r="H52" s="333"/>
      <c r="I52" s="333"/>
      <c r="J52" s="333"/>
      <c r="K52" s="333"/>
      <c r="L52" s="333"/>
      <c r="M52" s="333"/>
      <c r="N52" s="333"/>
      <c r="O52" s="333"/>
      <c r="P52" s="333"/>
      <c r="Q52" s="333"/>
      <c r="R52" s="333"/>
      <c r="S52" s="333"/>
      <c r="T52" s="333"/>
      <c r="U52" s="333"/>
      <c r="V52" s="336"/>
      <c r="W52" s="173"/>
      <c r="X52" s="309" t="str">
        <f>IF(F52&lt;&gt;"",IF(Input!G53&lt;&gt;"",Input!G53,""),"")</f>
        <v/>
      </c>
      <c r="Y52" s="449" t="str">
        <f>IFERROR(IF($X$5="","",IF(F52&lt;&gt;"",(Input!G53/Input!$G$6)*100,"")),"NA")</f>
        <v/>
      </c>
      <c r="Z52" s="310" t="str">
        <f>IF(F52&lt;&gt;"",IF(Input!H53&lt;&gt;"",Input!H53,""),"")</f>
        <v/>
      </c>
      <c r="AA52" s="449" t="str">
        <f>IFERROR(IF($Z$5="","",IF(F52&lt;&gt;"",(Input!H53/Input!$H$6)*100,"")),"NA")</f>
        <v/>
      </c>
      <c r="AB52" s="310" t="str">
        <f>IF(F52&lt;&gt;"",IF(Input!I53&lt;&gt;"",Input!I53,""),"")</f>
        <v/>
      </c>
      <c r="AC52" s="449" t="str">
        <f>IFERROR(IF($AB$5="","",IF(F52&lt;&gt;"",(Input!I53/Input!$I$6)*100,"")),"NA")</f>
        <v/>
      </c>
      <c r="AD52" s="310" t="str">
        <f>IF(F52&lt;&gt;"",IF(Input!J53&lt;&gt;"",Input!J53,""),"")</f>
        <v/>
      </c>
      <c r="AE52" s="449" t="str">
        <f>IFERROR(IF($AD$5="","",IF(F52&lt;&gt;"",(Input!J53/Input!$J$6)*100,"")),"NA")</f>
        <v/>
      </c>
      <c r="AF52" s="108" t="str">
        <f>IF(Input!K53="Error","Error",IF(F52="","",IF($X$5="",0,IF(F52&lt;&gt;"",IFERROR(AVERAGE(Y52,AA52,AC52,AE52)*$AF$4,0),""))))</f>
        <v/>
      </c>
      <c r="AG52" s="174"/>
      <c r="AH52" s="175" t="str">
        <f>IF(F52&lt;&gt;"",IF(Input!L53&lt;&gt;"",Input!L53,""),"")</f>
        <v/>
      </c>
      <c r="AI52" s="451" t="str">
        <f>IFERROR(IF($AH$5="","",IF(F52&lt;&gt;"",(Input!L53/Input!$L$6)*100,"")),"NA")</f>
        <v/>
      </c>
      <c r="AJ52" s="176" t="str">
        <f>IF(F52&lt;&gt;"",IF(Input!M53&lt;&gt;"",Input!M53,""),"")</f>
        <v/>
      </c>
      <c r="AK52" s="451" t="str">
        <f>IFERROR(IF($AJ$5="","",IF(F52&lt;&gt;"",(Input!M53/Input!$M$6)*100,"")),"NA")</f>
        <v/>
      </c>
      <c r="AL52" s="177" t="str">
        <f>IF(F52&lt;&gt;"",IF(Input!N53&lt;&gt;"",Input!N53,""),"")</f>
        <v/>
      </c>
      <c r="AM52" s="451" t="str">
        <f>IFERROR(IF($AL$5="","",IF(F52&lt;&gt;"",(Input!N53/Input!$N$6)*100,"")),"NA")</f>
        <v/>
      </c>
      <c r="AN52" s="177" t="str">
        <f>IF(F52&lt;&gt;"",IF(Input!O53&lt;&gt;"",Input!O53,""),"")</f>
        <v/>
      </c>
      <c r="AO52" s="451" t="str">
        <f>IFERROR(IF($AN$5="","",IF(F52&lt;&gt;"",(Input!O53/Input!$O$6)*100,"")),"NA")</f>
        <v/>
      </c>
      <c r="AP52" s="303" t="str">
        <f>IF(Input!P53="Error","Error",IF(F52="","",IF($AH$5="",0,IF(F52&lt;&gt;"",IFERROR(AVERAGE(AI52,AK52,AM52,AO52)*$AP$4,0),""))))</f>
        <v/>
      </c>
      <c r="AQ52" s="174"/>
      <c r="AR52" s="178" t="str">
        <f>IF(Input!Q53="","",IF(F52&lt;&gt;"",Input!Q53,""))</f>
        <v/>
      </c>
      <c r="AS52" s="179" t="str">
        <f>IF(F52="", "",IF(Input!R53="Error","Error",IF(ISNUMBER(Input!R53),(Input!R53*$AS$4),"")))</f>
        <v/>
      </c>
      <c r="AT52" s="330" t="str">
        <f>IF(V52="D","DRP",
IF(F52&lt;&gt;"",
IF(OR(AF52="Error",AP52="Error",AS52="Error"),"Error",
IF(Input!Q53="","-",ROUND(AF52+AP52+AS52,2))),""))</f>
        <v/>
      </c>
      <c r="AU52" s="180" t="str">
        <f>IF(F52&lt;&gt;"",VLOOKUP(AT52,TRANSMUTATION!$A$2:$B$14,2),"")</f>
        <v/>
      </c>
      <c r="AV52" s="181" t="str">
        <f t="shared" si="1"/>
        <v/>
      </c>
      <c r="AW52" s="182"/>
      <c r="BA52" s="97"/>
    </row>
    <row r="53" spans="1:53" ht="15" customHeight="1" x14ac:dyDescent="0.2">
      <c r="A53" s="97"/>
      <c r="C53" s="194">
        <v>47</v>
      </c>
      <c r="D53" s="203" t="str">
        <f>IF(Input!D54&lt;&gt;"",IF(F53&lt;&gt;"",Input!D54,""),"")</f>
        <v/>
      </c>
      <c r="E53" s="297"/>
      <c r="F53" s="298" t="str">
        <f>(IF(Input!F54&lt;&gt;"",Input!F54,""))</f>
        <v/>
      </c>
      <c r="G53" s="333"/>
      <c r="H53" s="333"/>
      <c r="I53" s="333"/>
      <c r="J53" s="333"/>
      <c r="K53" s="333"/>
      <c r="L53" s="333"/>
      <c r="M53" s="333"/>
      <c r="N53" s="333"/>
      <c r="O53" s="333"/>
      <c r="P53" s="333"/>
      <c r="Q53" s="333"/>
      <c r="R53" s="333"/>
      <c r="S53" s="333"/>
      <c r="T53" s="333"/>
      <c r="U53" s="333"/>
      <c r="V53" s="336"/>
      <c r="W53" s="173"/>
      <c r="X53" s="309" t="str">
        <f>IF(F53&lt;&gt;"",IF(Input!G54&lt;&gt;"",Input!G54,""),"")</f>
        <v/>
      </c>
      <c r="Y53" s="449" t="str">
        <f>IFERROR(IF($X$5="","",IF(F53&lt;&gt;"",(Input!G54/Input!$G$6)*100,"")),"NA")</f>
        <v/>
      </c>
      <c r="Z53" s="310" t="str">
        <f>IF(F53&lt;&gt;"",IF(Input!H54&lt;&gt;"",Input!H54,""),"")</f>
        <v/>
      </c>
      <c r="AA53" s="449" t="str">
        <f>IFERROR(IF($Z$5="","",IF(F53&lt;&gt;"",(Input!H54/Input!$H$6)*100,"")),"NA")</f>
        <v/>
      </c>
      <c r="AB53" s="310" t="str">
        <f>IF(F53&lt;&gt;"",IF(Input!I54&lt;&gt;"",Input!I54,""),"")</f>
        <v/>
      </c>
      <c r="AC53" s="449" t="str">
        <f>IFERROR(IF($AB$5="","",IF(F53&lt;&gt;"",(Input!I54/Input!$I$6)*100,"")),"NA")</f>
        <v/>
      </c>
      <c r="AD53" s="310" t="str">
        <f>IF(F53&lt;&gt;"",IF(Input!J54&lt;&gt;"",Input!J54,""),"")</f>
        <v/>
      </c>
      <c r="AE53" s="449" t="str">
        <f>IFERROR(IF($AD$5="","",IF(F53&lt;&gt;"",(Input!J54/Input!$J$6)*100,"")),"NA")</f>
        <v/>
      </c>
      <c r="AF53" s="108" t="str">
        <f>IF(Input!K54="Error","Error",IF(F53="","",IF($X$5="",0,IF(F53&lt;&gt;"",IFERROR(AVERAGE(Y53,AA53,AC53,AE53)*$AF$4,0),""))))</f>
        <v/>
      </c>
      <c r="AG53" s="174"/>
      <c r="AH53" s="175" t="str">
        <f>IF(F53&lt;&gt;"",IF(Input!L54&lt;&gt;"",Input!L54,""),"")</f>
        <v/>
      </c>
      <c r="AI53" s="451" t="str">
        <f>IFERROR(IF($AH$5="","",IF(F53&lt;&gt;"",(Input!L54/Input!$L$6)*100,"")),"NA")</f>
        <v/>
      </c>
      <c r="AJ53" s="176" t="str">
        <f>IF(F53&lt;&gt;"",IF(Input!M54&lt;&gt;"",Input!M54,""),"")</f>
        <v/>
      </c>
      <c r="AK53" s="451" t="str">
        <f>IFERROR(IF($AJ$5="","",IF(F53&lt;&gt;"",(Input!M54/Input!$M$6)*100,"")),"NA")</f>
        <v/>
      </c>
      <c r="AL53" s="177" t="str">
        <f>IF(F53&lt;&gt;"",IF(Input!N54&lt;&gt;"",Input!N54,""),"")</f>
        <v/>
      </c>
      <c r="AM53" s="451" t="str">
        <f>IFERROR(IF($AL$5="","",IF(F53&lt;&gt;"",(Input!N54/Input!$N$6)*100,"")),"NA")</f>
        <v/>
      </c>
      <c r="AN53" s="177" t="str">
        <f>IF(F53&lt;&gt;"",IF(Input!O54&lt;&gt;"",Input!O54,""),"")</f>
        <v/>
      </c>
      <c r="AO53" s="451" t="str">
        <f>IFERROR(IF($AN$5="","",IF(F53&lt;&gt;"",(Input!O54/Input!$O$6)*100,"")),"NA")</f>
        <v/>
      </c>
      <c r="AP53" s="303" t="str">
        <f>IF(Input!P54="Error","Error",IF(F53="","",IF($AH$5="",0,IF(F53&lt;&gt;"",IFERROR(AVERAGE(AI53,AK53,AM53,AO53)*$AP$4,0),""))))</f>
        <v/>
      </c>
      <c r="AQ53" s="174"/>
      <c r="AR53" s="178" t="str">
        <f>IF(Input!Q54="","",IF(F53&lt;&gt;"",Input!Q54,""))</f>
        <v/>
      </c>
      <c r="AS53" s="179" t="str">
        <f>IF(F53="", "",IF(Input!R54="Error","Error",IF(ISNUMBER(Input!R54),(Input!R54*$AS$4),"")))</f>
        <v/>
      </c>
      <c r="AT53" s="330" t="str">
        <f>IF(V53="D","DRP",
IF(F53&lt;&gt;"",
IF(OR(AF53="Error",AP53="Error",AS53="Error"),"Error",
IF(Input!Q54="","-",ROUND(AF53+AP53+AS53,2))),""))</f>
        <v/>
      </c>
      <c r="AU53" s="180" t="str">
        <f>IF(F53&lt;&gt;"",VLOOKUP(AT53,TRANSMUTATION!$A$2:$B$14,2),"")</f>
        <v/>
      </c>
      <c r="AV53" s="181" t="str">
        <f t="shared" si="1"/>
        <v/>
      </c>
      <c r="AW53" s="182"/>
      <c r="BA53" s="97"/>
    </row>
    <row r="54" spans="1:53" ht="15" customHeight="1" x14ac:dyDescent="0.2">
      <c r="A54" s="97"/>
      <c r="C54" s="194">
        <v>48</v>
      </c>
      <c r="D54" s="203" t="str">
        <f>IF(Input!D55&lt;&gt;"",IF(F54&lt;&gt;"",Input!D55,""),"")</f>
        <v/>
      </c>
      <c r="E54" s="297"/>
      <c r="F54" s="298" t="str">
        <f>(IF(Input!F55&lt;&gt;"",Input!F55,""))</f>
        <v/>
      </c>
      <c r="G54" s="333"/>
      <c r="H54" s="333"/>
      <c r="I54" s="333"/>
      <c r="J54" s="333"/>
      <c r="K54" s="333"/>
      <c r="L54" s="333"/>
      <c r="M54" s="333"/>
      <c r="N54" s="333"/>
      <c r="O54" s="333"/>
      <c r="P54" s="333"/>
      <c r="Q54" s="333"/>
      <c r="R54" s="333"/>
      <c r="S54" s="333"/>
      <c r="T54" s="333"/>
      <c r="U54" s="333"/>
      <c r="V54" s="336"/>
      <c r="W54" s="173"/>
      <c r="X54" s="309" t="str">
        <f>IF(F54&lt;&gt;"",IF(Input!G55&lt;&gt;"",Input!G55,""),"")</f>
        <v/>
      </c>
      <c r="Y54" s="449" t="str">
        <f>IFERROR(IF($X$5="","",IF(F54&lt;&gt;"",(Input!G55/Input!$G$6)*100,"")),"NA")</f>
        <v/>
      </c>
      <c r="Z54" s="310" t="str">
        <f>IF(F54&lt;&gt;"",IF(Input!H55&lt;&gt;"",Input!H55,""),"")</f>
        <v/>
      </c>
      <c r="AA54" s="449" t="str">
        <f>IFERROR(IF($Z$5="","",IF(F54&lt;&gt;"",(Input!H55/Input!$H$6)*100,"")),"NA")</f>
        <v/>
      </c>
      <c r="AB54" s="310" t="str">
        <f>IF(F54&lt;&gt;"",IF(Input!I55&lt;&gt;"",Input!I55,""),"")</f>
        <v/>
      </c>
      <c r="AC54" s="449" t="str">
        <f>IFERROR(IF($AB$5="","",IF(F54&lt;&gt;"",(Input!I55/Input!$I$6)*100,"")),"NA")</f>
        <v/>
      </c>
      <c r="AD54" s="310" t="str">
        <f>IF(F54&lt;&gt;"",IF(Input!J55&lt;&gt;"",Input!J55,""),"")</f>
        <v/>
      </c>
      <c r="AE54" s="449" t="str">
        <f>IFERROR(IF($AD$5="","",IF(F54&lt;&gt;"",(Input!J55/Input!$J$6)*100,"")),"NA")</f>
        <v/>
      </c>
      <c r="AF54" s="108" t="str">
        <f>IF(Input!K55="Error","Error",IF(F54="","",IF($X$5="",0,IF(F54&lt;&gt;"",IFERROR(AVERAGE(Y54,AA54,AC54,AE54)*$AF$4,0),""))))</f>
        <v/>
      </c>
      <c r="AG54" s="174"/>
      <c r="AH54" s="175" t="str">
        <f>IF(F54&lt;&gt;"",IF(Input!L55&lt;&gt;"",Input!L55,""),"")</f>
        <v/>
      </c>
      <c r="AI54" s="451" t="str">
        <f>IFERROR(IF($AH$5="","",IF(F54&lt;&gt;"",(Input!L55/Input!$L$6)*100,"")),"NA")</f>
        <v/>
      </c>
      <c r="AJ54" s="176" t="str">
        <f>IF(F54&lt;&gt;"",IF(Input!M55&lt;&gt;"",Input!M55,""),"")</f>
        <v/>
      </c>
      <c r="AK54" s="451" t="str">
        <f>IFERROR(IF($AJ$5="","",IF(F54&lt;&gt;"",(Input!M55/Input!$M$6)*100,"")),"NA")</f>
        <v/>
      </c>
      <c r="AL54" s="177" t="str">
        <f>IF(F54&lt;&gt;"",IF(Input!N55&lt;&gt;"",Input!N55,""),"")</f>
        <v/>
      </c>
      <c r="AM54" s="451" t="str">
        <f>IFERROR(IF($AL$5="","",IF(F54&lt;&gt;"",(Input!N55/Input!$N$6)*100,"")),"NA")</f>
        <v/>
      </c>
      <c r="AN54" s="177" t="str">
        <f>IF(F54&lt;&gt;"",IF(Input!O55&lt;&gt;"",Input!O55,""),"")</f>
        <v/>
      </c>
      <c r="AO54" s="451" t="str">
        <f>IFERROR(IF($AN$5="","",IF(F54&lt;&gt;"",(Input!O55/Input!$O$6)*100,"")),"NA")</f>
        <v/>
      </c>
      <c r="AP54" s="303" t="str">
        <f>IF(Input!P55="Error","Error",IF(F54="","",IF($AH$5="",0,IF(F54&lt;&gt;"",IFERROR(AVERAGE(AI54,AK54,AM54,AO54)*$AP$4,0),""))))</f>
        <v/>
      </c>
      <c r="AQ54" s="174"/>
      <c r="AR54" s="178" t="str">
        <f>IF(Input!Q55="","",IF(F54&lt;&gt;"",Input!Q55,""))</f>
        <v/>
      </c>
      <c r="AS54" s="179" t="str">
        <f>IF(F54="", "",IF(Input!R55="Error","Error",IF(ISNUMBER(Input!R55),(Input!R55*$AS$4),"")))</f>
        <v/>
      </c>
      <c r="AT54" s="330" t="str">
        <f>IF(V54="D","DRP",
IF(F54&lt;&gt;"",
IF(OR(AF54="Error",AP54="Error",AS54="Error"),"Error",
IF(Input!Q55="","-",ROUND(AF54+AP54+AS54,2))),""))</f>
        <v/>
      </c>
      <c r="AU54" s="180" t="str">
        <f>IF(F54&lt;&gt;"",VLOOKUP(AT54,TRANSMUTATION!$A$2:$B$14,2),"")</f>
        <v/>
      </c>
      <c r="AV54" s="181" t="str">
        <f t="shared" si="1"/>
        <v/>
      </c>
      <c r="AW54" s="182"/>
      <c r="BA54" s="97"/>
    </row>
    <row r="55" spans="1:53" ht="15" customHeight="1" x14ac:dyDescent="0.2">
      <c r="A55" s="97"/>
      <c r="C55" s="194">
        <v>49</v>
      </c>
      <c r="D55" s="203" t="str">
        <f>IF(Input!D56&lt;&gt;"",IF(F55&lt;&gt;"",Input!D56,""),"")</f>
        <v/>
      </c>
      <c r="E55" s="297"/>
      <c r="F55" s="298" t="str">
        <f>(IF(Input!F56&lt;&gt;"",Input!F56,""))</f>
        <v/>
      </c>
      <c r="G55" s="333"/>
      <c r="H55" s="333"/>
      <c r="I55" s="333"/>
      <c r="J55" s="333"/>
      <c r="K55" s="333"/>
      <c r="L55" s="333"/>
      <c r="M55" s="333"/>
      <c r="N55" s="333"/>
      <c r="O55" s="333"/>
      <c r="P55" s="333"/>
      <c r="Q55" s="333"/>
      <c r="R55" s="333"/>
      <c r="S55" s="333"/>
      <c r="T55" s="333"/>
      <c r="U55" s="333"/>
      <c r="V55" s="336"/>
      <c r="W55" s="173"/>
      <c r="X55" s="309" t="str">
        <f>IF(F55&lt;&gt;"",IF(Input!G56&lt;&gt;"",Input!G56,""),"")</f>
        <v/>
      </c>
      <c r="Y55" s="449" t="str">
        <f>IFERROR(IF($X$5="","",IF(F55&lt;&gt;"",(Input!G56/Input!$G$6)*100,"")),"NA")</f>
        <v/>
      </c>
      <c r="Z55" s="310" t="str">
        <f>IF(F55&lt;&gt;"",IF(Input!H56&lt;&gt;"",Input!H56,""),"")</f>
        <v/>
      </c>
      <c r="AA55" s="449" t="str">
        <f>IFERROR(IF($Z$5="","",IF(F55&lt;&gt;"",(Input!H56/Input!$H$6)*100,"")),"NA")</f>
        <v/>
      </c>
      <c r="AB55" s="310" t="str">
        <f>IF(F55&lt;&gt;"",IF(Input!I56&lt;&gt;"",Input!I56,""),"")</f>
        <v/>
      </c>
      <c r="AC55" s="449" t="str">
        <f>IFERROR(IF($AB$5="","",IF(F55&lt;&gt;"",(Input!I56/Input!$I$6)*100,"")),"NA")</f>
        <v/>
      </c>
      <c r="AD55" s="310" t="str">
        <f>IF(F55&lt;&gt;"",IF(Input!J56&lt;&gt;"",Input!J56,""),"")</f>
        <v/>
      </c>
      <c r="AE55" s="449" t="str">
        <f>IFERROR(IF($AD$5="","",IF(F55&lt;&gt;"",(Input!J56/Input!$J$6)*100,"")),"NA")</f>
        <v/>
      </c>
      <c r="AF55" s="108" t="str">
        <f>IF(Input!K56="Error","Error",IF(F55="","",IF($X$5="",0,IF(F55&lt;&gt;"",IFERROR(AVERAGE(Y55,AA55,AC55,AE55)*$AF$4,0),""))))</f>
        <v/>
      </c>
      <c r="AG55" s="174"/>
      <c r="AH55" s="175" t="str">
        <f>IF(F55&lt;&gt;"",IF(Input!L56&lt;&gt;"",Input!L56,""),"")</f>
        <v/>
      </c>
      <c r="AI55" s="451" t="str">
        <f>IFERROR(IF($AH$5="","",IF(F55&lt;&gt;"",(Input!L56/Input!$L$6)*100,"")),"NA")</f>
        <v/>
      </c>
      <c r="AJ55" s="176" t="str">
        <f>IF(F55&lt;&gt;"",IF(Input!M56&lt;&gt;"",Input!M56,""),"")</f>
        <v/>
      </c>
      <c r="AK55" s="451" t="str">
        <f>IFERROR(IF($AJ$5="","",IF(F55&lt;&gt;"",(Input!M56/Input!$M$6)*100,"")),"NA")</f>
        <v/>
      </c>
      <c r="AL55" s="177" t="str">
        <f>IF(F55&lt;&gt;"",IF(Input!N56&lt;&gt;"",Input!N56,""),"")</f>
        <v/>
      </c>
      <c r="AM55" s="451" t="str">
        <f>IFERROR(IF($AL$5="","",IF(F55&lt;&gt;"",(Input!N56/Input!$N$6)*100,"")),"NA")</f>
        <v/>
      </c>
      <c r="AN55" s="177" t="str">
        <f>IF(F55&lt;&gt;"",IF(Input!O56&lt;&gt;"",Input!O56,""),"")</f>
        <v/>
      </c>
      <c r="AO55" s="451" t="str">
        <f>IFERROR(IF($AN$5="","",IF(F55&lt;&gt;"",(Input!O56/Input!$O$6)*100,"")),"NA")</f>
        <v/>
      </c>
      <c r="AP55" s="303" t="str">
        <f>IF(Input!P56="Error","Error",IF(F55="","",IF($AH$5="",0,IF(F55&lt;&gt;"",IFERROR(AVERAGE(AI55,AK55,AM55,AO55)*$AP$4,0),""))))</f>
        <v/>
      </c>
      <c r="AQ55" s="174"/>
      <c r="AR55" s="178" t="str">
        <f>IF(Input!Q56="","",IF(F55&lt;&gt;"",Input!Q56,""))</f>
        <v/>
      </c>
      <c r="AS55" s="179" t="str">
        <f>IF(F55="", "",IF(Input!R56="Error","Error",IF(ISNUMBER(Input!R56),(Input!R56*$AS$4),"")))</f>
        <v/>
      </c>
      <c r="AT55" s="330" t="str">
        <f>IF(V55="D","DRP",
IF(F55&lt;&gt;"",
IF(OR(AF55="Error",AP55="Error",AS55="Error"),"Error",
IF(Input!Q56="","-",ROUND(AF55+AP55+AS55,2))),""))</f>
        <v/>
      </c>
      <c r="AU55" s="180" t="str">
        <f>IF(F55&lt;&gt;"",VLOOKUP(AT55,TRANSMUTATION!$A$2:$B$14,2),"")</f>
        <v/>
      </c>
      <c r="AV55" s="181" t="str">
        <f t="shared" si="1"/>
        <v/>
      </c>
      <c r="AW55" s="182"/>
      <c r="BA55" s="97"/>
    </row>
    <row r="56" spans="1:53" ht="15" customHeight="1" x14ac:dyDescent="0.2">
      <c r="A56" s="97"/>
      <c r="C56" s="194">
        <v>50</v>
      </c>
      <c r="D56" s="203" t="str">
        <f>IF(Input!D57&lt;&gt;"",IF(F56&lt;&gt;"",Input!D57,""),"")</f>
        <v/>
      </c>
      <c r="E56" s="297"/>
      <c r="F56" s="298" t="str">
        <f>(IF(Input!F57&lt;&gt;"",Input!F57,""))</f>
        <v/>
      </c>
      <c r="G56" s="333"/>
      <c r="H56" s="333"/>
      <c r="I56" s="333"/>
      <c r="J56" s="333"/>
      <c r="K56" s="333"/>
      <c r="L56" s="333"/>
      <c r="M56" s="333"/>
      <c r="N56" s="333"/>
      <c r="O56" s="333"/>
      <c r="P56" s="333"/>
      <c r="Q56" s="333"/>
      <c r="R56" s="333"/>
      <c r="S56" s="333"/>
      <c r="T56" s="333"/>
      <c r="U56" s="333"/>
      <c r="V56" s="337"/>
      <c r="W56" s="173"/>
      <c r="X56" s="309" t="str">
        <f>IF(F56&lt;&gt;"",IF(Input!G57&lt;&gt;"",Input!G57,""),"")</f>
        <v/>
      </c>
      <c r="Y56" s="449" t="str">
        <f>IFERROR(IF($X$5="","",IF(F56&lt;&gt;"",(Input!G57/Input!$G$6)*100,"")),"NA")</f>
        <v/>
      </c>
      <c r="Z56" s="310" t="str">
        <f>IF(F56&lt;&gt;"",IF(Input!H57&lt;&gt;"",Input!H57,""),"")</f>
        <v/>
      </c>
      <c r="AA56" s="449" t="str">
        <f>IFERROR(IF($Z$5="","",IF(F56&lt;&gt;"",(Input!H57/Input!$H$6)*100,"")),"NA")</f>
        <v/>
      </c>
      <c r="AB56" s="310" t="str">
        <f>IF(F56&lt;&gt;"",IF(Input!I57&lt;&gt;"",Input!I57,""),"")</f>
        <v/>
      </c>
      <c r="AC56" s="449" t="str">
        <f>IFERROR(IF($AB$5="","",IF(F56&lt;&gt;"",(Input!I57/Input!$I$6)*100,"")),"NA")</f>
        <v/>
      </c>
      <c r="AD56" s="310" t="str">
        <f>IF(F56&lt;&gt;"",IF(Input!J57&lt;&gt;"",Input!J57,""),"")</f>
        <v/>
      </c>
      <c r="AE56" s="449" t="str">
        <f>IFERROR(IF($AD$5="","",IF(F56&lt;&gt;"",(Input!J57/Input!$J$6)*100,"")),"NA")</f>
        <v/>
      </c>
      <c r="AF56" s="108" t="str">
        <f>IF(Input!K57="Error","Error",IF(F56="","",IF($X$5="",0,IF(F56&lt;&gt;"",IFERROR(AVERAGE(Y56,AA56,AC56,AE56)*$AF$4,0),""))))</f>
        <v/>
      </c>
      <c r="AG56" s="174"/>
      <c r="AH56" s="175" t="str">
        <f>IF(F56&lt;&gt;"",IF(Input!L57&lt;&gt;"",Input!L57,""),"")</f>
        <v/>
      </c>
      <c r="AI56" s="451" t="str">
        <f>IFERROR(IF($AH$5="","",IF(F56&lt;&gt;"",(Input!L57/Input!$L$6)*100,"")),"NA")</f>
        <v/>
      </c>
      <c r="AJ56" s="176" t="str">
        <f>IF(F56&lt;&gt;"",IF(Input!M57&lt;&gt;"",Input!M57,""),"")</f>
        <v/>
      </c>
      <c r="AK56" s="451" t="str">
        <f>IFERROR(IF($AJ$5="","",IF(F56&lt;&gt;"",(Input!M57/Input!$M$6)*100,"")),"NA")</f>
        <v/>
      </c>
      <c r="AL56" s="177" t="str">
        <f>IF(F56&lt;&gt;"",IF(Input!N57&lt;&gt;"",Input!N57,""),"")</f>
        <v/>
      </c>
      <c r="AM56" s="451" t="str">
        <f>IFERROR(IF($AL$5="","",IF(F56&lt;&gt;"",(Input!N57/Input!$N$6)*100,"")),"NA")</f>
        <v/>
      </c>
      <c r="AN56" s="177" t="str">
        <f>IF(F56&lt;&gt;"",IF(Input!O57&lt;&gt;"",Input!O57,""),"")</f>
        <v/>
      </c>
      <c r="AO56" s="451" t="str">
        <f>IFERROR(IF($AN$5="","",IF(F56&lt;&gt;"",(Input!O57/Input!$O$6)*100,"")),"NA")</f>
        <v/>
      </c>
      <c r="AP56" s="303" t="str">
        <f>IF(Input!P57="Error","Error",IF(F56="","",IF($AH$5="",0,IF(F56&lt;&gt;"",IFERROR(AVERAGE(AI56,AK56,AM56,AO56)*$AP$4,0),""))))</f>
        <v/>
      </c>
      <c r="AQ56" s="174"/>
      <c r="AR56" s="178" t="str">
        <f>IF(Input!Q57="","",IF(F56&lt;&gt;"",Input!Q57,""))</f>
        <v/>
      </c>
      <c r="AS56" s="179" t="str">
        <f>IF(F56="", "",IF(Input!R57="Error","Error",IF(ISNUMBER(Input!R57),(Input!R57*$AS$4),"")))</f>
        <v/>
      </c>
      <c r="AT56" s="330" t="str">
        <f>IF(V56="D","DRP",
IF(F56&lt;&gt;"",
IF(OR(AF56="Error",AP56="Error",AS56="Error"),"Error",
IF(Input!Q57="","-",ROUND(AF56+AP56+AS56,2))),""))</f>
        <v/>
      </c>
      <c r="AU56" s="180" t="str">
        <f>IF(F56&lt;&gt;"",VLOOKUP(AT56,TRANSMUTATION!$A$2:$B$14,2),"")</f>
        <v/>
      </c>
      <c r="AV56" s="181" t="str">
        <f t="shared" si="1"/>
        <v/>
      </c>
      <c r="AW56" s="182"/>
      <c r="BA56" s="97"/>
    </row>
    <row r="57" spans="1:53" ht="15" customHeight="1" x14ac:dyDescent="0.2">
      <c r="A57" s="97"/>
      <c r="C57" s="194">
        <v>51</v>
      </c>
      <c r="D57" s="203" t="str">
        <f>IF(Input!D58&lt;&gt;"",IF(F57&lt;&gt;"",Input!D58,""),"")</f>
        <v/>
      </c>
      <c r="E57" s="314"/>
      <c r="F57" s="298" t="str">
        <f>(IF(Input!F58&lt;&gt;"",Input!F58,""))</f>
        <v/>
      </c>
      <c r="G57" s="334"/>
      <c r="H57" s="334"/>
      <c r="I57" s="334"/>
      <c r="J57" s="334"/>
      <c r="K57" s="334"/>
      <c r="L57" s="334"/>
      <c r="M57" s="334"/>
      <c r="N57" s="334"/>
      <c r="O57" s="334"/>
      <c r="P57" s="334"/>
      <c r="Q57" s="334"/>
      <c r="R57" s="334"/>
      <c r="S57" s="334"/>
      <c r="T57" s="334"/>
      <c r="U57" s="334"/>
      <c r="V57" s="338"/>
      <c r="W57" s="173"/>
      <c r="X57" s="309" t="str">
        <f>IF(F57&lt;&gt;"",IF(Input!G58&lt;&gt;"",Input!G58,""),"")</f>
        <v/>
      </c>
      <c r="Y57" s="449" t="str">
        <f>IFERROR(IF($X$5="","",IF(F57&lt;&gt;"",(Input!G58/Input!$G$6)*100,"")),"NA")</f>
        <v/>
      </c>
      <c r="Z57" s="310" t="str">
        <f>IF(F57&lt;&gt;"",IF(Input!H58&lt;&gt;"",Input!H58,""),"")</f>
        <v/>
      </c>
      <c r="AA57" s="449" t="str">
        <f>IFERROR(IF($Z$5="","",IF(F57&lt;&gt;"",(Input!H58/Input!$H$6)*100,"")),"NA")</f>
        <v/>
      </c>
      <c r="AB57" s="310" t="str">
        <f>IF(F57&lt;&gt;"",IF(Input!I58&lt;&gt;"",Input!I58,""),"")</f>
        <v/>
      </c>
      <c r="AC57" s="449" t="str">
        <f>IFERROR(IF($AB$5="","",IF(F57&lt;&gt;"",(Input!I58/Input!$I$6)*100,"")),"NA")</f>
        <v/>
      </c>
      <c r="AD57" s="310" t="str">
        <f>IF(F57&lt;&gt;"",IF(Input!J58&lt;&gt;"",Input!J58,""),"")</f>
        <v/>
      </c>
      <c r="AE57" s="449" t="str">
        <f>IFERROR(IF($AD$5="","",IF(F57&lt;&gt;"",(Input!J58/Input!$J$6)*100,"")),"NA")</f>
        <v/>
      </c>
      <c r="AF57" s="108" t="str">
        <f>IF(Input!K58="Error","Error",IF(F57="","",IF($X$5="",0,IF(F57&lt;&gt;"",IFERROR(AVERAGE(Y57,AA57,AC57,AE57)*$AF$4,0),""))))</f>
        <v/>
      </c>
      <c r="AG57" s="174"/>
      <c r="AH57" s="175" t="str">
        <f>IF(F57&lt;&gt;"",IF(Input!L58&lt;&gt;"",Input!L58,""),"")</f>
        <v/>
      </c>
      <c r="AI57" s="451" t="str">
        <f>IFERROR(IF($AH$5="","",IF(F57&lt;&gt;"",(Input!L58/Input!$L$6)*100,"")),"NA")</f>
        <v/>
      </c>
      <c r="AJ57" s="176" t="str">
        <f>IF(F57&lt;&gt;"",IF(Input!M58&lt;&gt;"",Input!M58,""),"")</f>
        <v/>
      </c>
      <c r="AK57" s="451" t="str">
        <f>IFERROR(IF($AJ$5="","",IF(F57&lt;&gt;"",(Input!M58/Input!$M$6)*100,"")),"NA")</f>
        <v/>
      </c>
      <c r="AL57" s="177" t="str">
        <f>IF(F57&lt;&gt;"",IF(Input!N58&lt;&gt;"",Input!N58,""),"")</f>
        <v/>
      </c>
      <c r="AM57" s="451" t="str">
        <f>IFERROR(IF($AL$5="","",IF(F57&lt;&gt;"",(Input!N58/Input!$N$6)*100,"")),"NA")</f>
        <v/>
      </c>
      <c r="AN57" s="177" t="str">
        <f>IF(F57&lt;&gt;"",IF(Input!O58&lt;&gt;"",Input!O58,""),"")</f>
        <v/>
      </c>
      <c r="AO57" s="451" t="str">
        <f>IFERROR(IF($AN$5="","",IF(F57&lt;&gt;"",(Input!O58/Input!$O$6)*100,"")),"NA")</f>
        <v/>
      </c>
      <c r="AP57" s="303" t="str">
        <f>IF(Input!P58="Error","Error",IF(F57="","",IF($AH$5="",0,IF(F57&lt;&gt;"",IFERROR(AVERAGE(AI57,AK57,AM57,AO57)*$AP$4,0),""))))</f>
        <v/>
      </c>
      <c r="AQ57" s="174"/>
      <c r="AR57" s="178" t="str">
        <f>IF(Input!Q58="","",IF(F57&lt;&gt;"",Input!Q58,""))</f>
        <v/>
      </c>
      <c r="AS57" s="179" t="str">
        <f>IF(F57="", "",IF(Input!R58="Error","Error",IF(ISNUMBER(Input!R58),(Input!R58*$AS$4),"")))</f>
        <v/>
      </c>
      <c r="AT57" s="330" t="str">
        <f>IF(V57="D","DRP",
IF(F57&lt;&gt;"",
IF(OR(AF57="Error",AP57="Error",AS57="Error"),"Error",
IF(Input!Q58="","-",ROUND(AF57+AP57+AS57,2))),""))</f>
        <v/>
      </c>
      <c r="AU57" s="180" t="str">
        <f>IF(F57&lt;&gt;"",VLOOKUP(AT57,TRANSMUTATION!$A$2:$B$14,2),"")</f>
        <v/>
      </c>
      <c r="AV57" s="181" t="str">
        <f t="shared" si="1"/>
        <v/>
      </c>
      <c r="AW57" s="182"/>
      <c r="BA57" s="97"/>
    </row>
    <row r="58" spans="1:53" ht="15" customHeight="1" x14ac:dyDescent="0.2">
      <c r="A58" s="97"/>
      <c r="C58" s="194">
        <v>52</v>
      </c>
      <c r="D58" s="203" t="str">
        <f>IF(Input!D59&lt;&gt;"",IF(F58&lt;&gt;"",Input!D59,""),"")</f>
        <v/>
      </c>
      <c r="E58" s="297"/>
      <c r="F58" s="298" t="str">
        <f>(IF(Input!F59&lt;&gt;"",Input!F59,""))</f>
        <v/>
      </c>
      <c r="G58" s="333"/>
      <c r="H58" s="333"/>
      <c r="I58" s="333"/>
      <c r="J58" s="333"/>
      <c r="K58" s="333"/>
      <c r="L58" s="333"/>
      <c r="M58" s="333"/>
      <c r="N58" s="333"/>
      <c r="O58" s="333"/>
      <c r="P58" s="333"/>
      <c r="Q58" s="333"/>
      <c r="R58" s="333"/>
      <c r="S58" s="333"/>
      <c r="T58" s="333"/>
      <c r="U58" s="333"/>
      <c r="V58" s="336"/>
      <c r="W58" s="173"/>
      <c r="X58" s="309" t="str">
        <f>IF(F58&lt;&gt;"",IF(Input!G59&lt;&gt;"",Input!G59,""),"")</f>
        <v/>
      </c>
      <c r="Y58" s="449" t="str">
        <f>IFERROR(IF($X$5="","",IF(F58&lt;&gt;"",(Input!G59/Input!$G$6)*100,"")),"NA")</f>
        <v/>
      </c>
      <c r="Z58" s="310" t="str">
        <f>IF(F58&lt;&gt;"",IF(Input!H59&lt;&gt;"",Input!H59,""),"")</f>
        <v/>
      </c>
      <c r="AA58" s="449" t="str">
        <f>IFERROR(IF($Z$5="","",IF(F58&lt;&gt;"",(Input!H59/Input!$H$6)*100,"")),"NA")</f>
        <v/>
      </c>
      <c r="AB58" s="310" t="str">
        <f>IF(F58&lt;&gt;"",IF(Input!I59&lt;&gt;"",Input!I59,""),"")</f>
        <v/>
      </c>
      <c r="AC58" s="449" t="str">
        <f>IFERROR(IF($AB$5="","",IF(F58&lt;&gt;"",(Input!I59/Input!$I$6)*100,"")),"NA")</f>
        <v/>
      </c>
      <c r="AD58" s="310" t="str">
        <f>IF(F58&lt;&gt;"",IF(Input!J59&lt;&gt;"",Input!J59,""),"")</f>
        <v/>
      </c>
      <c r="AE58" s="449" t="str">
        <f>IFERROR(IF($AD$5="","",IF(F58&lt;&gt;"",(Input!J59/Input!$J$6)*100,"")),"NA")</f>
        <v/>
      </c>
      <c r="AF58" s="108" t="str">
        <f>IF(Input!K59="Error","Error",IF(F58="","",IF($X$5="",0,IF(F58&lt;&gt;"",IFERROR(AVERAGE(Y58,AA58,AC58,AE58)*$AF$4,0),""))))</f>
        <v/>
      </c>
      <c r="AG58" s="174"/>
      <c r="AH58" s="175" t="str">
        <f>IF(F58&lt;&gt;"",IF(Input!L59&lt;&gt;"",Input!L59,""),"")</f>
        <v/>
      </c>
      <c r="AI58" s="451" t="str">
        <f>IFERROR(IF($AH$5="","",IF(F58&lt;&gt;"",(Input!L59/Input!$L$6)*100,"")),"NA")</f>
        <v/>
      </c>
      <c r="AJ58" s="176" t="str">
        <f>IF(F58&lt;&gt;"",IF(Input!M59&lt;&gt;"",Input!M59,""),"")</f>
        <v/>
      </c>
      <c r="AK58" s="451" t="str">
        <f>IFERROR(IF($AJ$5="","",IF(F58&lt;&gt;"",(Input!M59/Input!$M$6)*100,"")),"NA")</f>
        <v/>
      </c>
      <c r="AL58" s="177" t="str">
        <f>IF(F58&lt;&gt;"",IF(Input!N59&lt;&gt;"",Input!N59,""),"")</f>
        <v/>
      </c>
      <c r="AM58" s="451" t="str">
        <f>IFERROR(IF($AL$5="","",IF(F58&lt;&gt;"",(Input!N59/Input!$N$6)*100,"")),"NA")</f>
        <v/>
      </c>
      <c r="AN58" s="177" t="str">
        <f>IF(F58&lt;&gt;"",IF(Input!O59&lt;&gt;"",Input!O59,""),"")</f>
        <v/>
      </c>
      <c r="AO58" s="451" t="str">
        <f>IFERROR(IF($AN$5="","",IF(F58&lt;&gt;"",(Input!O59/Input!$O$6)*100,"")),"NA")</f>
        <v/>
      </c>
      <c r="AP58" s="303" t="str">
        <f>IF(Input!P59="Error","Error",IF(F58="","",IF($AH$5="",0,IF(F58&lt;&gt;"",IFERROR(AVERAGE(AI58,AK58,AM58,AO58)*$AP$4,0),""))))</f>
        <v/>
      </c>
      <c r="AQ58" s="174"/>
      <c r="AR58" s="178" t="str">
        <f>IF(Input!Q59="","",IF(F58&lt;&gt;"",Input!Q59,""))</f>
        <v/>
      </c>
      <c r="AS58" s="179" t="str">
        <f>IF(F58="", "",IF(Input!R59="Error","Error",IF(ISNUMBER(Input!R59),(Input!R59*$AS$4),"")))</f>
        <v/>
      </c>
      <c r="AT58" s="330" t="str">
        <f>IF(V58="D","DRP",
IF(F58&lt;&gt;"",
IF(OR(AF58="Error",AP58="Error",AS58="Error"),"Error",
IF(Input!Q59="","-",ROUND(AF58+AP58+AS58,2))),""))</f>
        <v/>
      </c>
      <c r="AU58" s="180" t="str">
        <f>IF(F58&lt;&gt;"",VLOOKUP(AT58,TRANSMUTATION!$A$2:$B$14,2),"")</f>
        <v/>
      </c>
      <c r="AV58" s="181" t="str">
        <f t="shared" si="1"/>
        <v/>
      </c>
      <c r="AW58" s="182"/>
      <c r="BA58" s="97"/>
    </row>
    <row r="59" spans="1:53" ht="15" customHeight="1" x14ac:dyDescent="0.2">
      <c r="A59" s="97"/>
      <c r="C59" s="194">
        <v>53</v>
      </c>
      <c r="D59" s="203" t="str">
        <f>IF(Input!D60&lt;&gt;"",IF(F59&lt;&gt;"",Input!D60,""),"")</f>
        <v/>
      </c>
      <c r="E59" s="297"/>
      <c r="F59" s="298" t="str">
        <f>(IF(Input!F60&lt;&gt;"",Input!F60,""))</f>
        <v/>
      </c>
      <c r="G59" s="333"/>
      <c r="H59" s="333"/>
      <c r="I59" s="333"/>
      <c r="J59" s="333"/>
      <c r="K59" s="333"/>
      <c r="L59" s="333"/>
      <c r="M59" s="333"/>
      <c r="N59" s="333"/>
      <c r="O59" s="333"/>
      <c r="P59" s="333"/>
      <c r="Q59" s="333"/>
      <c r="R59" s="333"/>
      <c r="S59" s="333"/>
      <c r="T59" s="333"/>
      <c r="U59" s="333"/>
      <c r="V59" s="336"/>
      <c r="W59" s="173"/>
      <c r="X59" s="309" t="str">
        <f>IF(F59&lt;&gt;"",IF(Input!G60&lt;&gt;"",Input!G60,""),"")</f>
        <v/>
      </c>
      <c r="Y59" s="449" t="str">
        <f>IFERROR(IF($X$5="","",IF(F59&lt;&gt;"",(Input!G60/Input!$G$6)*100,"")),"NA")</f>
        <v/>
      </c>
      <c r="Z59" s="310" t="str">
        <f>IF(F59&lt;&gt;"",IF(Input!H60&lt;&gt;"",Input!H60,""),"")</f>
        <v/>
      </c>
      <c r="AA59" s="449" t="str">
        <f>IFERROR(IF($Z$5="","",IF(F59&lt;&gt;"",(Input!H60/Input!$H$6)*100,"")),"NA")</f>
        <v/>
      </c>
      <c r="AB59" s="310" t="str">
        <f>IF(F59&lt;&gt;"",IF(Input!I60&lt;&gt;"",Input!I60,""),"")</f>
        <v/>
      </c>
      <c r="AC59" s="449" t="str">
        <f>IFERROR(IF($AB$5="","",IF(F59&lt;&gt;"",(Input!I60/Input!$I$6)*100,"")),"NA")</f>
        <v/>
      </c>
      <c r="AD59" s="310" t="str">
        <f>IF(F59&lt;&gt;"",IF(Input!J60&lt;&gt;"",Input!J60,""),"")</f>
        <v/>
      </c>
      <c r="AE59" s="449" t="str">
        <f>IFERROR(IF($AD$5="","",IF(F59&lt;&gt;"",(Input!J60/Input!$J$6)*100,"")),"NA")</f>
        <v/>
      </c>
      <c r="AF59" s="108" t="str">
        <f>IF(Input!K60="Error","Error",IF(F59="","",IF($X$5="",0,IF(F59&lt;&gt;"",IFERROR(AVERAGE(Y59,AA59,AC59,AE59)*$AF$4,0),""))))</f>
        <v/>
      </c>
      <c r="AG59" s="174"/>
      <c r="AH59" s="175" t="str">
        <f>IF(F59&lt;&gt;"",IF(Input!L60&lt;&gt;"",Input!L60,""),"")</f>
        <v/>
      </c>
      <c r="AI59" s="451" t="str">
        <f>IFERROR(IF($AH$5="","",IF(F59&lt;&gt;"",(Input!L60/Input!$L$6)*100,"")),"NA")</f>
        <v/>
      </c>
      <c r="AJ59" s="176" t="str">
        <f>IF(F59&lt;&gt;"",IF(Input!M60&lt;&gt;"",Input!M60,""),"")</f>
        <v/>
      </c>
      <c r="AK59" s="451" t="str">
        <f>IFERROR(IF($AJ$5="","",IF(F59&lt;&gt;"",(Input!M60/Input!$M$6)*100,"")),"NA")</f>
        <v/>
      </c>
      <c r="AL59" s="177" t="str">
        <f>IF(F59&lt;&gt;"",IF(Input!N60&lt;&gt;"",Input!N60,""),"")</f>
        <v/>
      </c>
      <c r="AM59" s="451" t="str">
        <f>IFERROR(IF($AL$5="","",IF(F59&lt;&gt;"",(Input!N60/Input!$N$6)*100,"")),"NA")</f>
        <v/>
      </c>
      <c r="AN59" s="177" t="str">
        <f>IF(F59&lt;&gt;"",IF(Input!O60&lt;&gt;"",Input!O60,""),"")</f>
        <v/>
      </c>
      <c r="AO59" s="451" t="str">
        <f>IFERROR(IF($AN$5="","",IF(F59&lt;&gt;"",(Input!O60/Input!$O$6)*100,"")),"NA")</f>
        <v/>
      </c>
      <c r="AP59" s="303" t="str">
        <f>IF(Input!P60="Error","Error",IF(F59="","",IF($AH$5="",0,IF(F59&lt;&gt;"",IFERROR(AVERAGE(AI59,AK59,AM59,AO59)*$AP$4,0),""))))</f>
        <v/>
      </c>
      <c r="AQ59" s="174"/>
      <c r="AR59" s="178" t="str">
        <f>IF(Input!Q60="","",IF(F59&lt;&gt;"",Input!Q60,""))</f>
        <v/>
      </c>
      <c r="AS59" s="179" t="str">
        <f>IF(F59="", "",IF(Input!R60="Error","Error",IF(ISNUMBER(Input!R60),(Input!R60*$AS$4),"")))</f>
        <v/>
      </c>
      <c r="AT59" s="330" t="str">
        <f>IF(V59="D","DRP",
IF(F59&lt;&gt;"",
IF(OR(AF59="Error",AP59="Error",AS59="Error"),"Error",
IF(Input!Q60="","-",ROUND(AF59+AP59+AS59,2))),""))</f>
        <v/>
      </c>
      <c r="AU59" s="180" t="str">
        <f>IF(F59&lt;&gt;"",VLOOKUP(AT59,TRANSMUTATION!$A$2:$B$14,2),"")</f>
        <v/>
      </c>
      <c r="AV59" s="181" t="str">
        <f t="shared" si="1"/>
        <v/>
      </c>
      <c r="AW59" s="182"/>
      <c r="BA59" s="97"/>
    </row>
    <row r="60" spans="1:53" ht="15" customHeight="1" x14ac:dyDescent="0.2">
      <c r="A60" s="97"/>
      <c r="C60" s="194">
        <v>54</v>
      </c>
      <c r="D60" s="203" t="str">
        <f>IF(Input!D61&lt;&gt;"",IF(F60&lt;&gt;"",Input!D61,""),"")</f>
        <v/>
      </c>
      <c r="E60" s="297"/>
      <c r="F60" s="298" t="str">
        <f>(IF(Input!F61&lt;&gt;"",Input!F61,""))</f>
        <v/>
      </c>
      <c r="G60" s="333"/>
      <c r="H60" s="333"/>
      <c r="I60" s="333"/>
      <c r="J60" s="333"/>
      <c r="K60" s="333"/>
      <c r="L60" s="333"/>
      <c r="M60" s="333"/>
      <c r="N60" s="333"/>
      <c r="O60" s="333"/>
      <c r="P60" s="333"/>
      <c r="Q60" s="333"/>
      <c r="R60" s="333"/>
      <c r="S60" s="333"/>
      <c r="T60" s="333"/>
      <c r="U60" s="333"/>
      <c r="V60" s="336"/>
      <c r="W60" s="173"/>
      <c r="X60" s="309" t="str">
        <f>IF(F60&lt;&gt;"",IF(Input!G61&lt;&gt;"",Input!G61,""),"")</f>
        <v/>
      </c>
      <c r="Y60" s="449" t="str">
        <f>IFERROR(IF($X$5="","",IF(F60&lt;&gt;"",(Input!G61/Input!$G$6)*100,"")),"NA")</f>
        <v/>
      </c>
      <c r="Z60" s="310" t="str">
        <f>IF(F60&lt;&gt;"",IF(Input!H61&lt;&gt;"",Input!H61,""),"")</f>
        <v/>
      </c>
      <c r="AA60" s="449" t="str">
        <f>IFERROR(IF($Z$5="","",IF(F60&lt;&gt;"",(Input!H61/Input!$H$6)*100,"")),"NA")</f>
        <v/>
      </c>
      <c r="AB60" s="310" t="str">
        <f>IF(F60&lt;&gt;"",IF(Input!I61&lt;&gt;"",Input!I61,""),"")</f>
        <v/>
      </c>
      <c r="AC60" s="449" t="str">
        <f>IFERROR(IF($AB$5="","",IF(F60&lt;&gt;"",(Input!I61/Input!$I$6)*100,"")),"NA")</f>
        <v/>
      </c>
      <c r="AD60" s="310" t="str">
        <f>IF(F60&lt;&gt;"",IF(Input!J61&lt;&gt;"",Input!J61,""),"")</f>
        <v/>
      </c>
      <c r="AE60" s="449" t="str">
        <f>IFERROR(IF($AD$5="","",IF(F60&lt;&gt;"",(Input!J61/Input!$J$6)*100,"")),"NA")</f>
        <v/>
      </c>
      <c r="AF60" s="108" t="str">
        <f>IF(Input!K61="Error","Error",IF(F60="","",IF($X$5="",0,IF(F60&lt;&gt;"",IFERROR(AVERAGE(Y60,AA60,AC60,AE60)*$AF$4,0),""))))</f>
        <v/>
      </c>
      <c r="AG60" s="174"/>
      <c r="AH60" s="175" t="str">
        <f>IF(F60&lt;&gt;"",IF(Input!L61&lt;&gt;"",Input!L61,""),"")</f>
        <v/>
      </c>
      <c r="AI60" s="451" t="str">
        <f>IFERROR(IF($AH$5="","",IF(F60&lt;&gt;"",(Input!L61/Input!$L$6)*100,"")),"NA")</f>
        <v/>
      </c>
      <c r="AJ60" s="176" t="str">
        <f>IF(F60&lt;&gt;"",IF(Input!M61&lt;&gt;"",Input!M61,""),"")</f>
        <v/>
      </c>
      <c r="AK60" s="451" t="str">
        <f>IFERROR(IF($AJ$5="","",IF(F60&lt;&gt;"",(Input!M61/Input!$M$6)*100,"")),"NA")</f>
        <v/>
      </c>
      <c r="AL60" s="177" t="str">
        <f>IF(F60&lt;&gt;"",IF(Input!N61&lt;&gt;"",Input!N61,""),"")</f>
        <v/>
      </c>
      <c r="AM60" s="451" t="str">
        <f>IFERROR(IF($AL$5="","",IF(F60&lt;&gt;"",(Input!N61/Input!$N$6)*100,"")),"NA")</f>
        <v/>
      </c>
      <c r="AN60" s="177" t="str">
        <f>IF(F60&lt;&gt;"",IF(Input!O61&lt;&gt;"",Input!O61,""),"")</f>
        <v/>
      </c>
      <c r="AO60" s="451" t="str">
        <f>IFERROR(IF($AN$5="","",IF(F60&lt;&gt;"",(Input!O61/Input!$O$6)*100,"")),"NA")</f>
        <v/>
      </c>
      <c r="AP60" s="303" t="str">
        <f>IF(Input!P61="Error","Error",IF(F60="","",IF($AH$5="",0,IF(F60&lt;&gt;"",IFERROR(AVERAGE(AI60,AK60,AM60,AO60)*$AP$4,0),""))))</f>
        <v/>
      </c>
      <c r="AQ60" s="174"/>
      <c r="AR60" s="178" t="str">
        <f>IF(Input!Q61="","",IF(F60&lt;&gt;"",Input!Q61,""))</f>
        <v/>
      </c>
      <c r="AS60" s="179" t="str">
        <f>IF(F60="", "",IF(Input!R61="Error","Error",IF(ISNUMBER(Input!R61),(Input!R61*$AS$4),"")))</f>
        <v/>
      </c>
      <c r="AT60" s="330" t="str">
        <f>IF(V60="D","DRP",
IF(F60&lt;&gt;"",
IF(OR(AF60="Error",AP60="Error",AS60="Error"),"Error",
IF(Input!Q61="","-",ROUND(AF60+AP60+AS60,2))),""))</f>
        <v/>
      </c>
      <c r="AU60" s="180" t="str">
        <f>IF(F60&lt;&gt;"",VLOOKUP(AT60,TRANSMUTATION!$A$2:$B$14,2),"")</f>
        <v/>
      </c>
      <c r="AV60" s="181" t="str">
        <f t="shared" si="1"/>
        <v/>
      </c>
      <c r="AW60" s="182"/>
      <c r="BA60" s="97"/>
    </row>
    <row r="61" spans="1:53" ht="15" customHeight="1" x14ac:dyDescent="0.2">
      <c r="A61" s="97"/>
      <c r="C61" s="194">
        <v>55</v>
      </c>
      <c r="D61" s="203" t="str">
        <f>IF(Input!D62&lt;&gt;"",IF(F61&lt;&gt;"",Input!D62,""),"")</f>
        <v/>
      </c>
      <c r="E61" s="297"/>
      <c r="F61" s="298" t="str">
        <f>(IF(Input!F62&lt;&gt;"",Input!F62,""))</f>
        <v/>
      </c>
      <c r="G61" s="333"/>
      <c r="H61" s="333"/>
      <c r="I61" s="333"/>
      <c r="J61" s="333"/>
      <c r="K61" s="333"/>
      <c r="L61" s="333"/>
      <c r="M61" s="333"/>
      <c r="N61" s="333"/>
      <c r="O61" s="333"/>
      <c r="P61" s="333"/>
      <c r="Q61" s="333"/>
      <c r="R61" s="333"/>
      <c r="S61" s="333"/>
      <c r="T61" s="333"/>
      <c r="U61" s="333"/>
      <c r="V61" s="336"/>
      <c r="W61" s="173"/>
      <c r="X61" s="309" t="str">
        <f>IF(F61&lt;&gt;"",IF(Input!G62&lt;&gt;"",Input!G62,""),"")</f>
        <v/>
      </c>
      <c r="Y61" s="449" t="str">
        <f>IFERROR(IF($X$5="","",IF(F61&lt;&gt;"",(Input!G62/Input!$G$6)*100,"")),"NA")</f>
        <v/>
      </c>
      <c r="Z61" s="310" t="str">
        <f>IF(F61&lt;&gt;"",IF(Input!H62&lt;&gt;"",Input!H62,""),"")</f>
        <v/>
      </c>
      <c r="AA61" s="449" t="str">
        <f>IFERROR(IF($Z$5="","",IF(F61&lt;&gt;"",(Input!H62/Input!$H$6)*100,"")),"NA")</f>
        <v/>
      </c>
      <c r="AB61" s="310" t="str">
        <f>IF(F61&lt;&gt;"",IF(Input!I62&lt;&gt;"",Input!I62,""),"")</f>
        <v/>
      </c>
      <c r="AC61" s="449" t="str">
        <f>IFERROR(IF($AB$5="","",IF(F61&lt;&gt;"",(Input!I62/Input!$I$6)*100,"")),"NA")</f>
        <v/>
      </c>
      <c r="AD61" s="310" t="str">
        <f>IF(F61&lt;&gt;"",IF(Input!J62&lt;&gt;"",Input!J62,""),"")</f>
        <v/>
      </c>
      <c r="AE61" s="449" t="str">
        <f>IFERROR(IF($AD$5="","",IF(F61&lt;&gt;"",(Input!J62/Input!$J$6)*100,"")),"NA")</f>
        <v/>
      </c>
      <c r="AF61" s="108" t="str">
        <f>IF(Input!K62="Error","Error",IF(F61="","",IF($X$5="",0,IF(F61&lt;&gt;"",IFERROR(AVERAGE(Y61,AA61,AC61,AE61)*$AF$4,0),""))))</f>
        <v/>
      </c>
      <c r="AG61" s="174"/>
      <c r="AH61" s="175" t="str">
        <f>IF(F61&lt;&gt;"",IF(Input!L62&lt;&gt;"",Input!L62,""),"")</f>
        <v/>
      </c>
      <c r="AI61" s="451" t="str">
        <f>IFERROR(IF($AH$5="","",IF(F61&lt;&gt;"",(Input!L62/Input!$L$6)*100,"")),"NA")</f>
        <v/>
      </c>
      <c r="AJ61" s="176" t="str">
        <f>IF(F61&lt;&gt;"",IF(Input!M62&lt;&gt;"",Input!M62,""),"")</f>
        <v/>
      </c>
      <c r="AK61" s="451" t="str">
        <f>IFERROR(IF($AJ$5="","",IF(F61&lt;&gt;"",(Input!M62/Input!$M$6)*100,"")),"NA")</f>
        <v/>
      </c>
      <c r="AL61" s="177" t="str">
        <f>IF(F61&lt;&gt;"",IF(Input!N62&lt;&gt;"",Input!N62,""),"")</f>
        <v/>
      </c>
      <c r="AM61" s="451" t="str">
        <f>IFERROR(IF($AL$5="","",IF(F61&lt;&gt;"",(Input!N62/Input!$N$6)*100,"")),"NA")</f>
        <v/>
      </c>
      <c r="AN61" s="177" t="str">
        <f>IF(F61&lt;&gt;"",IF(Input!O62&lt;&gt;"",Input!O62,""),"")</f>
        <v/>
      </c>
      <c r="AO61" s="451" t="str">
        <f>IFERROR(IF($AN$5="","",IF(F61&lt;&gt;"",(Input!O62/Input!$O$6)*100,"")),"NA")</f>
        <v/>
      </c>
      <c r="AP61" s="303" t="str">
        <f>IF(Input!P62="Error","Error",IF(F61="","",IF($AH$5="",0,IF(F61&lt;&gt;"",IFERROR(AVERAGE(AI61,AK61,AM61,AO61)*$AP$4,0),""))))</f>
        <v/>
      </c>
      <c r="AQ61" s="174"/>
      <c r="AR61" s="178" t="str">
        <f>IF(Input!Q62="","",IF(F61&lt;&gt;"",Input!Q62,""))</f>
        <v/>
      </c>
      <c r="AS61" s="179" t="str">
        <f>IF(F61="", "",IF(Input!R62="Error","Error",IF(ISNUMBER(Input!R62),(Input!R62*$AS$4),"")))</f>
        <v/>
      </c>
      <c r="AT61" s="330" t="str">
        <f>IF(V61="D","DRP",
IF(F61&lt;&gt;"",
IF(OR(AF61="Error",AP61="Error",AS61="Error"),"Error",
IF(Input!Q62="","-",ROUND(AF61+AP61+AS61,2))),""))</f>
        <v/>
      </c>
      <c r="AU61" s="180" t="str">
        <f>IF(F61&lt;&gt;"",VLOOKUP(AT61,TRANSMUTATION!$A$2:$B$14,2),"")</f>
        <v/>
      </c>
      <c r="AV61" s="181" t="str">
        <f t="shared" si="1"/>
        <v/>
      </c>
      <c r="AW61" s="182"/>
      <c r="BA61" s="97"/>
    </row>
    <row r="62" spans="1:53" ht="15" customHeight="1" x14ac:dyDescent="0.2">
      <c r="A62" s="97"/>
      <c r="C62" s="194">
        <v>56</v>
      </c>
      <c r="D62" s="203" t="str">
        <f>IF(Input!D63&lt;&gt;"",IF(F62&lt;&gt;"",Input!D63,""),"")</f>
        <v/>
      </c>
      <c r="E62" s="297"/>
      <c r="F62" s="298" t="str">
        <f>(IF(Input!F63&lt;&gt;"",Input!F63,""))</f>
        <v/>
      </c>
      <c r="G62" s="333"/>
      <c r="H62" s="333"/>
      <c r="I62" s="333"/>
      <c r="J62" s="333"/>
      <c r="K62" s="333"/>
      <c r="L62" s="333"/>
      <c r="M62" s="333"/>
      <c r="N62" s="333"/>
      <c r="O62" s="333"/>
      <c r="P62" s="333"/>
      <c r="Q62" s="333"/>
      <c r="R62" s="333"/>
      <c r="S62" s="333"/>
      <c r="T62" s="333"/>
      <c r="U62" s="333"/>
      <c r="V62" s="336"/>
      <c r="W62" s="173"/>
      <c r="X62" s="309" t="str">
        <f>IF(F62&lt;&gt;"",IF(Input!G63&lt;&gt;"",Input!G63,""),"")</f>
        <v/>
      </c>
      <c r="Y62" s="449" t="str">
        <f>IFERROR(IF($X$5="","",IF(F62&lt;&gt;"",(Input!G63/Input!$G$6)*100,"")),"NA")</f>
        <v/>
      </c>
      <c r="Z62" s="310" t="str">
        <f>IF(F62&lt;&gt;"",IF(Input!H63&lt;&gt;"",Input!H63,""),"")</f>
        <v/>
      </c>
      <c r="AA62" s="449" t="str">
        <f>IFERROR(IF($Z$5="","",IF(F62&lt;&gt;"",(Input!H63/Input!$H$6)*100,"")),"NA")</f>
        <v/>
      </c>
      <c r="AB62" s="310" t="str">
        <f>IF(F62&lt;&gt;"",IF(Input!I63&lt;&gt;"",Input!I63,""),"")</f>
        <v/>
      </c>
      <c r="AC62" s="449" t="str">
        <f>IFERROR(IF($AB$5="","",IF(F62&lt;&gt;"",(Input!I63/Input!$I$6)*100,"")),"NA")</f>
        <v/>
      </c>
      <c r="AD62" s="310" t="str">
        <f>IF(F62&lt;&gt;"",IF(Input!J63&lt;&gt;"",Input!J63,""),"")</f>
        <v/>
      </c>
      <c r="AE62" s="449" t="str">
        <f>IFERROR(IF($AD$5="","",IF(F62&lt;&gt;"",(Input!J63/Input!$J$6)*100,"")),"NA")</f>
        <v/>
      </c>
      <c r="AF62" s="108" t="str">
        <f>IF(Input!K63="Error","Error",IF(F62="","",IF($X$5="",0,IF(F62&lt;&gt;"",IFERROR(AVERAGE(Y62,AA62,AC62,AE62)*$AF$4,0),""))))</f>
        <v/>
      </c>
      <c r="AG62" s="174"/>
      <c r="AH62" s="175" t="str">
        <f>IF(F62&lt;&gt;"",IF(Input!L63&lt;&gt;"",Input!L63,""),"")</f>
        <v/>
      </c>
      <c r="AI62" s="451" t="str">
        <f>IFERROR(IF($AH$5="","",IF(F62&lt;&gt;"",(Input!L63/Input!$L$6)*100,"")),"NA")</f>
        <v/>
      </c>
      <c r="AJ62" s="176" t="str">
        <f>IF(F62&lt;&gt;"",IF(Input!M63&lt;&gt;"",Input!M63,""),"")</f>
        <v/>
      </c>
      <c r="AK62" s="451" t="str">
        <f>IFERROR(IF($AJ$5="","",IF(F62&lt;&gt;"",(Input!M63/Input!$M$6)*100,"")),"NA")</f>
        <v/>
      </c>
      <c r="AL62" s="177" t="str">
        <f>IF(F62&lt;&gt;"",IF(Input!N63&lt;&gt;"",Input!N63,""),"")</f>
        <v/>
      </c>
      <c r="AM62" s="451" t="str">
        <f>IFERROR(IF($AL$5="","",IF(F62&lt;&gt;"",(Input!N63/Input!$N$6)*100,"")),"NA")</f>
        <v/>
      </c>
      <c r="AN62" s="177" t="str">
        <f>IF(F62&lt;&gt;"",IF(Input!O63&lt;&gt;"",Input!O63,""),"")</f>
        <v/>
      </c>
      <c r="AO62" s="451" t="str">
        <f>IFERROR(IF($AN$5="","",IF(F62&lt;&gt;"",(Input!O63/Input!$O$6)*100,"")),"NA")</f>
        <v/>
      </c>
      <c r="AP62" s="303" t="str">
        <f>IF(Input!P63="Error","Error",IF(F62="","",IF($AH$5="",0,IF(F62&lt;&gt;"",IFERROR(AVERAGE(AI62,AK62,AM62,AO62)*$AP$4,0),""))))</f>
        <v/>
      </c>
      <c r="AQ62" s="174"/>
      <c r="AR62" s="178" t="str">
        <f>IF(Input!Q63="","",IF(F62&lt;&gt;"",Input!Q63,""))</f>
        <v/>
      </c>
      <c r="AS62" s="179" t="str">
        <f>IF(F62="", "",IF(Input!R63="Error","Error",IF(ISNUMBER(Input!R63),(Input!R63*$AS$4),"")))</f>
        <v/>
      </c>
      <c r="AT62" s="330" t="str">
        <f>IF(V62="D","DRP",
IF(F62&lt;&gt;"",
IF(OR(AF62="Error",AP62="Error",AS62="Error"),"Error",
IF(Input!Q63="","-",ROUND(AF62+AP62+AS62,2))),""))</f>
        <v/>
      </c>
      <c r="AU62" s="180" t="str">
        <f>IF(F62&lt;&gt;"",VLOOKUP(AT62,TRANSMUTATION!$A$2:$B$14,2),"")</f>
        <v/>
      </c>
      <c r="AV62" s="181" t="str">
        <f t="shared" si="1"/>
        <v/>
      </c>
      <c r="AW62" s="182"/>
      <c r="BA62" s="97"/>
    </row>
    <row r="63" spans="1:53" ht="15" customHeight="1" x14ac:dyDescent="0.2">
      <c r="A63" s="97"/>
      <c r="C63" s="194">
        <v>57</v>
      </c>
      <c r="D63" s="203" t="str">
        <f>IF(Input!D64&lt;&gt;"",IF(F63&lt;&gt;"",Input!D64,""),"")</f>
        <v/>
      </c>
      <c r="E63" s="297"/>
      <c r="F63" s="298" t="str">
        <f>(IF(Input!F64&lt;&gt;"",Input!F64,""))</f>
        <v/>
      </c>
      <c r="G63" s="333"/>
      <c r="H63" s="333"/>
      <c r="I63" s="333"/>
      <c r="J63" s="333"/>
      <c r="K63" s="333"/>
      <c r="L63" s="333"/>
      <c r="M63" s="333"/>
      <c r="N63" s="333"/>
      <c r="O63" s="333"/>
      <c r="P63" s="333"/>
      <c r="Q63" s="333"/>
      <c r="R63" s="333"/>
      <c r="S63" s="333"/>
      <c r="T63" s="333"/>
      <c r="U63" s="333"/>
      <c r="V63" s="336"/>
      <c r="W63" s="173"/>
      <c r="X63" s="309" t="str">
        <f>IF(F63&lt;&gt;"",IF(Input!G64&lt;&gt;"",Input!G64,""),"")</f>
        <v/>
      </c>
      <c r="Y63" s="449" t="str">
        <f>IFERROR(IF($X$5="","",IF(F63&lt;&gt;"",(Input!G64/Input!$G$6)*100,"")),"NA")</f>
        <v/>
      </c>
      <c r="Z63" s="310" t="str">
        <f>IF(F63&lt;&gt;"",IF(Input!H64&lt;&gt;"",Input!H64,""),"")</f>
        <v/>
      </c>
      <c r="AA63" s="449" t="str">
        <f>IFERROR(IF($Z$5="","",IF(F63&lt;&gt;"",(Input!H64/Input!$H$6)*100,"")),"NA")</f>
        <v/>
      </c>
      <c r="AB63" s="310" t="str">
        <f>IF(F63&lt;&gt;"",IF(Input!I64&lt;&gt;"",Input!I64,""),"")</f>
        <v/>
      </c>
      <c r="AC63" s="449" t="str">
        <f>IFERROR(IF($AB$5="","",IF(F63&lt;&gt;"",(Input!I64/Input!$I$6)*100,"")),"NA")</f>
        <v/>
      </c>
      <c r="AD63" s="310" t="str">
        <f>IF(F63&lt;&gt;"",IF(Input!J64&lt;&gt;"",Input!J64,""),"")</f>
        <v/>
      </c>
      <c r="AE63" s="449" t="str">
        <f>IFERROR(IF($AD$5="","",IF(F63&lt;&gt;"",(Input!J64/Input!$J$6)*100,"")),"NA")</f>
        <v/>
      </c>
      <c r="AF63" s="108" t="str">
        <f>IF(Input!K64="Error","Error",IF(F63="","",IF($X$5="",0,IF(F63&lt;&gt;"",IFERROR(AVERAGE(Y63,AA63,AC63,AE63)*$AF$4,0),""))))</f>
        <v/>
      </c>
      <c r="AG63" s="174"/>
      <c r="AH63" s="175" t="str">
        <f>IF(F63&lt;&gt;"",IF(Input!L64&lt;&gt;"",Input!L64,""),"")</f>
        <v/>
      </c>
      <c r="AI63" s="451" t="str">
        <f>IFERROR(IF($AH$5="","",IF(F63&lt;&gt;"",(Input!L64/Input!$L$6)*100,"")),"NA")</f>
        <v/>
      </c>
      <c r="AJ63" s="176" t="str">
        <f>IF(F63&lt;&gt;"",IF(Input!M64&lt;&gt;"",Input!M64,""),"")</f>
        <v/>
      </c>
      <c r="AK63" s="451" t="str">
        <f>IFERROR(IF($AJ$5="","",IF(F63&lt;&gt;"",(Input!M64/Input!$M$6)*100,"")),"NA")</f>
        <v/>
      </c>
      <c r="AL63" s="177" t="str">
        <f>IF(F63&lt;&gt;"",IF(Input!N64&lt;&gt;"",Input!N64,""),"")</f>
        <v/>
      </c>
      <c r="AM63" s="451" t="str">
        <f>IFERROR(IF($AL$5="","",IF(F63&lt;&gt;"",(Input!N64/Input!$N$6)*100,"")),"NA")</f>
        <v/>
      </c>
      <c r="AN63" s="177" t="str">
        <f>IF(F63&lt;&gt;"",IF(Input!O64&lt;&gt;"",Input!O64,""),"")</f>
        <v/>
      </c>
      <c r="AO63" s="451" t="str">
        <f>IFERROR(IF($AN$5="","",IF(F63&lt;&gt;"",(Input!O64/Input!$O$6)*100,"")),"NA")</f>
        <v/>
      </c>
      <c r="AP63" s="303" t="str">
        <f>IF(Input!P64="Error","Error",IF(F63="","",IF($AH$5="",0,IF(F63&lt;&gt;"",IFERROR(AVERAGE(AI63,AK63,AM63,AO63)*$AP$4,0),""))))</f>
        <v/>
      </c>
      <c r="AQ63" s="174"/>
      <c r="AR63" s="178" t="str">
        <f>IF(Input!Q64="","",IF(F63&lt;&gt;"",Input!Q64,""))</f>
        <v/>
      </c>
      <c r="AS63" s="179" t="str">
        <f>IF(F63="", "",IF(Input!R64="Error","Error",IF(ISNUMBER(Input!R64),(Input!R64*$AS$4),"")))</f>
        <v/>
      </c>
      <c r="AT63" s="330" t="str">
        <f>IF(V63="D","DRP",
IF(F63&lt;&gt;"",
IF(OR(AF63="Error",AP63="Error",AS63="Error"),"Error",
IF(Input!Q64="","-",ROUND(AF63+AP63+AS63,2))),""))</f>
        <v/>
      </c>
      <c r="AU63" s="180" t="str">
        <f>IF(F63&lt;&gt;"",VLOOKUP(AT63,TRANSMUTATION!$A$2:$B$14,2),"")</f>
        <v/>
      </c>
      <c r="AV63" s="181" t="str">
        <f t="shared" si="1"/>
        <v/>
      </c>
      <c r="AW63" s="182"/>
      <c r="BA63" s="97"/>
    </row>
    <row r="64" spans="1:53" ht="15" customHeight="1" x14ac:dyDescent="0.2">
      <c r="A64" s="97"/>
      <c r="C64" s="194">
        <v>58</v>
      </c>
      <c r="D64" s="203" t="str">
        <f>IF(Input!D65&lt;&gt;"",IF(F64&lt;&gt;"",Input!D65,""),"")</f>
        <v/>
      </c>
      <c r="E64" s="297"/>
      <c r="F64" s="298" t="str">
        <f>(IF(Input!F65&lt;&gt;"",Input!F65,""))</f>
        <v/>
      </c>
      <c r="G64" s="333"/>
      <c r="H64" s="333"/>
      <c r="I64" s="333"/>
      <c r="J64" s="333"/>
      <c r="K64" s="333"/>
      <c r="L64" s="333"/>
      <c r="M64" s="333"/>
      <c r="N64" s="333"/>
      <c r="O64" s="333"/>
      <c r="P64" s="333"/>
      <c r="Q64" s="333"/>
      <c r="R64" s="333"/>
      <c r="S64" s="333"/>
      <c r="T64" s="333"/>
      <c r="U64" s="333"/>
      <c r="V64" s="336"/>
      <c r="W64" s="173"/>
      <c r="X64" s="309" t="str">
        <f>IF(F64&lt;&gt;"",IF(Input!G65&lt;&gt;"",Input!G65,""),"")</f>
        <v/>
      </c>
      <c r="Y64" s="449" t="str">
        <f>IFERROR(IF($X$5="","",IF(F64&lt;&gt;"",(Input!G65/Input!$G$6)*100,"")),"NA")</f>
        <v/>
      </c>
      <c r="Z64" s="310" t="str">
        <f>IF(F64&lt;&gt;"",IF(Input!H65&lt;&gt;"",Input!H65,""),"")</f>
        <v/>
      </c>
      <c r="AA64" s="449" t="str">
        <f>IFERROR(IF($Z$5="","",IF(F64&lt;&gt;"",(Input!H65/Input!$H$6)*100,"")),"NA")</f>
        <v/>
      </c>
      <c r="AB64" s="310" t="str">
        <f>IF(F64&lt;&gt;"",IF(Input!I65&lt;&gt;"",Input!I65,""),"")</f>
        <v/>
      </c>
      <c r="AC64" s="449" t="str">
        <f>IFERROR(IF($AB$5="","",IF(F64&lt;&gt;"",(Input!I65/Input!$I$6)*100,"")),"NA")</f>
        <v/>
      </c>
      <c r="AD64" s="310" t="str">
        <f>IF(F64&lt;&gt;"",IF(Input!J65&lt;&gt;"",Input!J65,""),"")</f>
        <v/>
      </c>
      <c r="AE64" s="449" t="str">
        <f>IFERROR(IF($AD$5="","",IF(F64&lt;&gt;"",(Input!J65/Input!$J$6)*100,"")),"NA")</f>
        <v/>
      </c>
      <c r="AF64" s="108" t="str">
        <f>IF(Input!K65="Error","Error",IF(F64="","",IF($X$5="",0,IF(F64&lt;&gt;"",IFERROR(AVERAGE(Y64,AA64,AC64,AE64)*$AF$4,0),""))))</f>
        <v/>
      </c>
      <c r="AG64" s="174"/>
      <c r="AH64" s="175" t="str">
        <f>IF(F64&lt;&gt;"",IF(Input!L65&lt;&gt;"",Input!L65,""),"")</f>
        <v/>
      </c>
      <c r="AI64" s="451" t="str">
        <f>IFERROR(IF($AH$5="","",IF(F64&lt;&gt;"",(Input!L65/Input!$L$6)*100,"")),"NA")</f>
        <v/>
      </c>
      <c r="AJ64" s="176" t="str">
        <f>IF(F64&lt;&gt;"",IF(Input!M65&lt;&gt;"",Input!M65,""),"")</f>
        <v/>
      </c>
      <c r="AK64" s="451" t="str">
        <f>IFERROR(IF($AJ$5="","",IF(F64&lt;&gt;"",(Input!M65/Input!$M$6)*100,"")),"NA")</f>
        <v/>
      </c>
      <c r="AL64" s="177" t="str">
        <f>IF(F64&lt;&gt;"",IF(Input!N65&lt;&gt;"",Input!N65,""),"")</f>
        <v/>
      </c>
      <c r="AM64" s="451" t="str">
        <f>IFERROR(IF($AL$5="","",IF(F64&lt;&gt;"",(Input!N65/Input!$N$6)*100,"")),"NA")</f>
        <v/>
      </c>
      <c r="AN64" s="177" t="str">
        <f>IF(F64&lt;&gt;"",IF(Input!O65&lt;&gt;"",Input!O65,""),"")</f>
        <v/>
      </c>
      <c r="AO64" s="451" t="str">
        <f>IFERROR(IF($AN$5="","",IF(F64&lt;&gt;"",(Input!O65/Input!$O$6)*100,"")),"NA")</f>
        <v/>
      </c>
      <c r="AP64" s="303" t="str">
        <f>IF(Input!P65="Error","Error",IF(F64="","",IF($AH$5="",0,IF(F64&lt;&gt;"",IFERROR(AVERAGE(AI64,AK64,AM64,AO64)*$AP$4,0),""))))</f>
        <v/>
      </c>
      <c r="AQ64" s="174"/>
      <c r="AR64" s="178" t="str">
        <f>IF(Input!Q65="","",IF(F64&lt;&gt;"",Input!Q65,""))</f>
        <v/>
      </c>
      <c r="AS64" s="179" t="str">
        <f>IF(F64="", "",IF(Input!R65="Error","Error",IF(ISNUMBER(Input!R65),(Input!R65*$AS$4),"")))</f>
        <v/>
      </c>
      <c r="AT64" s="330" t="str">
        <f>IF(V64="D","DRP",
IF(F64&lt;&gt;"",
IF(OR(AF64="Error",AP64="Error",AS64="Error"),"Error",
IF(Input!Q65="","-",ROUND(AF64+AP64+AS64,2))),""))</f>
        <v/>
      </c>
      <c r="AU64" s="180" t="str">
        <f>IF(F64&lt;&gt;"",VLOOKUP(AT64,TRANSMUTATION!$A$2:$B$14,2),"")</f>
        <v/>
      </c>
      <c r="AV64" s="181" t="str">
        <f t="shared" si="1"/>
        <v/>
      </c>
      <c r="AW64" s="182"/>
      <c r="BA64" s="97"/>
    </row>
    <row r="65" spans="1:53" ht="15" customHeight="1" x14ac:dyDescent="0.2">
      <c r="A65" s="97"/>
      <c r="C65" s="194">
        <v>59</v>
      </c>
      <c r="D65" s="203" t="str">
        <f>IF(Input!D66&lt;&gt;"",IF(F65&lt;&gt;"",Input!D66,""),"")</f>
        <v/>
      </c>
      <c r="E65" s="297"/>
      <c r="F65" s="298" t="str">
        <f>(IF(Input!F66&lt;&gt;"",Input!F66,""))</f>
        <v/>
      </c>
      <c r="G65" s="333"/>
      <c r="H65" s="333"/>
      <c r="I65" s="333"/>
      <c r="J65" s="333"/>
      <c r="K65" s="333"/>
      <c r="L65" s="333"/>
      <c r="M65" s="333"/>
      <c r="N65" s="333"/>
      <c r="O65" s="333"/>
      <c r="P65" s="333"/>
      <c r="Q65" s="333"/>
      <c r="R65" s="333"/>
      <c r="S65" s="333"/>
      <c r="T65" s="333"/>
      <c r="U65" s="333"/>
      <c r="V65" s="336"/>
      <c r="W65" s="173"/>
      <c r="X65" s="309" t="str">
        <f>IF(F65&lt;&gt;"",IF(Input!G66&lt;&gt;"",Input!G66,""),"")</f>
        <v/>
      </c>
      <c r="Y65" s="449" t="str">
        <f>IFERROR(IF($X$5="","",IF(F65&lt;&gt;"",(Input!G66/Input!$G$6)*100,"")),"NA")</f>
        <v/>
      </c>
      <c r="Z65" s="310" t="str">
        <f>IF(F65&lt;&gt;"",IF(Input!H66&lt;&gt;"",Input!H66,""),"")</f>
        <v/>
      </c>
      <c r="AA65" s="449" t="str">
        <f>IFERROR(IF($Z$5="","",IF(F65&lt;&gt;"",(Input!H66/Input!$H$6)*100,"")),"NA")</f>
        <v/>
      </c>
      <c r="AB65" s="310" t="str">
        <f>IF(F65&lt;&gt;"",IF(Input!I66&lt;&gt;"",Input!I66,""),"")</f>
        <v/>
      </c>
      <c r="AC65" s="449" t="str">
        <f>IFERROR(IF($AB$5="","",IF(F65&lt;&gt;"",(Input!I66/Input!$I$6)*100,"")),"NA")</f>
        <v/>
      </c>
      <c r="AD65" s="310" t="str">
        <f>IF(F65&lt;&gt;"",IF(Input!J66&lt;&gt;"",Input!J66,""),"")</f>
        <v/>
      </c>
      <c r="AE65" s="449" t="str">
        <f>IFERROR(IF($AD$5="","",IF(F65&lt;&gt;"",(Input!J66/Input!$J$6)*100,"")),"NA")</f>
        <v/>
      </c>
      <c r="AF65" s="108" t="str">
        <f>IF(Input!K66="Error","Error",IF(F65="","",IF($X$5="",0,IF(F65&lt;&gt;"",IFERROR(AVERAGE(Y65,AA65,AC65,AE65)*$AF$4,0),""))))</f>
        <v/>
      </c>
      <c r="AG65" s="174"/>
      <c r="AH65" s="175" t="str">
        <f>IF(F65&lt;&gt;"",IF(Input!L66&lt;&gt;"",Input!L66,""),"")</f>
        <v/>
      </c>
      <c r="AI65" s="451" t="str">
        <f>IFERROR(IF($AH$5="","",IF(F65&lt;&gt;"",(Input!L66/Input!$L$6)*100,"")),"NA")</f>
        <v/>
      </c>
      <c r="AJ65" s="176" t="str">
        <f>IF(F65&lt;&gt;"",IF(Input!M66&lt;&gt;"",Input!M66,""),"")</f>
        <v/>
      </c>
      <c r="AK65" s="451" t="str">
        <f>IFERROR(IF($AJ$5="","",IF(F65&lt;&gt;"",(Input!M66/Input!$M$6)*100,"")),"NA")</f>
        <v/>
      </c>
      <c r="AL65" s="177" t="str">
        <f>IF(F65&lt;&gt;"",IF(Input!N66&lt;&gt;"",Input!N66,""),"")</f>
        <v/>
      </c>
      <c r="AM65" s="451" t="str">
        <f>IFERROR(IF($AL$5="","",IF(F65&lt;&gt;"",(Input!N66/Input!$N$6)*100,"")),"NA")</f>
        <v/>
      </c>
      <c r="AN65" s="177" t="str">
        <f>IF(F65&lt;&gt;"",IF(Input!O66&lt;&gt;"",Input!O66,""),"")</f>
        <v/>
      </c>
      <c r="AO65" s="451" t="str">
        <f>IFERROR(IF($AN$5="","",IF(F65&lt;&gt;"",(Input!O66/Input!$O$6)*100,"")),"NA")</f>
        <v/>
      </c>
      <c r="AP65" s="303" t="str">
        <f>IF(Input!P66="Error","Error",IF(F65="","",IF($AH$5="",0,IF(F65&lt;&gt;"",IFERROR(AVERAGE(AI65,AK65,AM65,AO65)*$AP$4,0),""))))</f>
        <v/>
      </c>
      <c r="AQ65" s="174"/>
      <c r="AR65" s="178" t="str">
        <f>IF(Input!Q66="","",IF(F65&lt;&gt;"",Input!Q66,""))</f>
        <v/>
      </c>
      <c r="AS65" s="179" t="str">
        <f>IF(F65="", "",IF(Input!R66="Error","Error",IF(ISNUMBER(Input!R66),(Input!R66*$AS$4),"")))</f>
        <v/>
      </c>
      <c r="AT65" s="330" t="str">
        <f>IF(V65="D","DRP",
IF(F65&lt;&gt;"",
IF(OR(AF65="Error",AP65="Error",AS65="Error"),"Error",
IF(Input!Q66="","-",ROUND(AF65+AP65+AS65,2))),""))</f>
        <v/>
      </c>
      <c r="AU65" s="180" t="str">
        <f>IF(F65&lt;&gt;"",VLOOKUP(AT65,TRANSMUTATION!$A$2:$B$14,2),"")</f>
        <v/>
      </c>
      <c r="AV65" s="181" t="str">
        <f t="shared" si="1"/>
        <v/>
      </c>
      <c r="AW65" s="182"/>
      <c r="BA65" s="97"/>
    </row>
    <row r="66" spans="1:53" ht="15" customHeight="1" thickBot="1" x14ac:dyDescent="0.25">
      <c r="A66" s="97"/>
      <c r="C66" s="195">
        <v>60</v>
      </c>
      <c r="D66" s="299" t="str">
        <f>IF(Input!D67&lt;&gt;"",IF(F66&lt;&gt;"",Input!D67,""),"")</f>
        <v/>
      </c>
      <c r="E66" s="300"/>
      <c r="F66" s="301" t="str">
        <f>(IF(Input!F67&lt;&gt;"",Input!F67,""))</f>
        <v/>
      </c>
      <c r="G66" s="335"/>
      <c r="H66" s="335"/>
      <c r="I66" s="335"/>
      <c r="J66" s="335"/>
      <c r="K66" s="335"/>
      <c r="L66" s="335"/>
      <c r="M66" s="335"/>
      <c r="N66" s="335"/>
      <c r="O66" s="335"/>
      <c r="P66" s="335"/>
      <c r="Q66" s="335"/>
      <c r="R66" s="335"/>
      <c r="S66" s="335"/>
      <c r="T66" s="335"/>
      <c r="U66" s="335"/>
      <c r="V66" s="339"/>
      <c r="W66" s="173"/>
      <c r="X66" s="311" t="str">
        <f>IF(F66&lt;&gt;"",IF(Input!G67&lt;&gt;"",Input!G67,""),"")</f>
        <v/>
      </c>
      <c r="Y66" s="450" t="str">
        <f>IFERROR(IF($X$5="","",IF(F66&lt;&gt;"",(Input!G67/Input!$G$6)*100,"")),"NA")</f>
        <v/>
      </c>
      <c r="Z66" s="312" t="str">
        <f>IF(F66&lt;&gt;"",IF(Input!H67&lt;&gt;"",Input!H67,""),"")</f>
        <v/>
      </c>
      <c r="AA66" s="450" t="str">
        <f>IFERROR(IF($Z$5="","",IF(F66&lt;&gt;"",(Input!H67/Input!$H$6)*100,"")),"NA")</f>
        <v/>
      </c>
      <c r="AB66" s="312" t="str">
        <f>IF(F66&lt;&gt;"",IF(Input!I67&lt;&gt;"",Input!I67,""),"")</f>
        <v/>
      </c>
      <c r="AC66" s="450" t="str">
        <f>IFERROR(IF($AB$5="","",IF(F66&lt;&gt;"",(Input!I67/Input!$I$6)*100,"")),"NA")</f>
        <v/>
      </c>
      <c r="AD66" s="312" t="str">
        <f>IF(F66&lt;&gt;"",IF(Input!J67&lt;&gt;"",Input!J67,""),"")</f>
        <v/>
      </c>
      <c r="AE66" s="450" t="str">
        <f>IFERROR(IF($AD$5="","",IF(F66&lt;&gt;"",(Input!J67/Input!$J$6)*100,"")),"NA")</f>
        <v/>
      </c>
      <c r="AF66" s="308" t="str">
        <f>IF(Input!K67="Error","Error",IF(F66="","",IF($X$5="",0,IF(F66&lt;&gt;"",IFERROR(AVERAGE(Y66,AA66,AC66,AE66)*$AF$4,0),""))))</f>
        <v/>
      </c>
      <c r="AG66" s="174"/>
      <c r="AH66" s="302" t="str">
        <f>IF(F66&lt;&gt;"",IF(Input!L67&lt;&gt;"",Input!L67,""),"")</f>
        <v/>
      </c>
      <c r="AI66" s="452" t="str">
        <f>IFERROR(IF($AH$5="","",IF(F66&lt;&gt;"",(Input!L67/Input!$L$6)*100,"")),"NA")</f>
        <v/>
      </c>
      <c r="AJ66" s="190" t="str">
        <f>IF(F66&lt;&gt;"",IF(Input!M67&lt;&gt;"",Input!M67,""),"")</f>
        <v/>
      </c>
      <c r="AK66" s="452" t="str">
        <f>IFERROR(IF($AJ$5="","",IF(F66&lt;&gt;"",(Input!M67/Input!$M$6)*100,"")),"NA")</f>
        <v/>
      </c>
      <c r="AL66" s="191" t="str">
        <f>IF(F66&lt;&gt;"",IF(Input!N67&lt;&gt;"",Input!N67,""),"")</f>
        <v/>
      </c>
      <c r="AM66" s="452" t="str">
        <f>IFERROR(IF($AL$5="","",IF(F66&lt;&gt;"",(Input!N67/Input!$N$6)*100,"")),"NA")</f>
        <v/>
      </c>
      <c r="AN66" s="191" t="str">
        <f>IF(F66&lt;&gt;"",IF(Input!O67&lt;&gt;"",Input!O67,""),"")</f>
        <v/>
      </c>
      <c r="AO66" s="452" t="str">
        <f>IFERROR(IF($AN$5="","",IF(F66&lt;&gt;"",(Input!O67/Input!$O$6)*100,"")),"NA")</f>
        <v/>
      </c>
      <c r="AP66" s="444" t="str">
        <f>IF(Input!P67="Error","Error",IF(F66="","",IF($AH$5="",0,IF(F66&lt;&gt;"",IFERROR(AVERAGE(AI66,AK66,AM66,AO66)*$AP$4,0),""))))</f>
        <v/>
      </c>
      <c r="AQ66" s="174"/>
      <c r="AR66" s="233" t="str">
        <f>IF(Input!Q67="","",IF(F66&lt;&gt;"",Input!Q67,""))</f>
        <v/>
      </c>
      <c r="AS66" s="445" t="str">
        <f>IF(F66="", "",IF(Input!R67="Error","Error",IF(ISNUMBER(Input!R67),(Input!R67*$AS$4),"")))</f>
        <v/>
      </c>
      <c r="AT66" s="332" t="str">
        <f>IF(V66="D","DRP",
IF(F66&lt;&gt;"",
IF(OR(AF66="Error",AP66="Error",AS66="Error"),"Error",
IF(Input!Q67="","-",ROUND(AF66+AP66+AS66,2))),""))</f>
        <v/>
      </c>
      <c r="AU66" s="192" t="str">
        <f>IF(F66&lt;&gt;"",VLOOKUP(AT66,TRANSMUTATION!$A$2:$B$14,2),"")</f>
        <v/>
      </c>
      <c r="AV66" s="193" t="str">
        <f t="shared" si="1"/>
        <v/>
      </c>
      <c r="AW66" s="182"/>
      <c r="BA66" s="97"/>
    </row>
    <row r="67" spans="1:53" s="99" customFormat="1" ht="21" hidden="1" customHeight="1" thickBot="1" x14ac:dyDescent="0.25">
      <c r="A67" s="102"/>
      <c r="B67" s="131"/>
      <c r="C67" s="132"/>
      <c r="D67" s="133"/>
      <c r="E67" s="133"/>
      <c r="F67" s="134"/>
      <c r="G67" s="135">
        <f t="shared" ref="G67:U67" si="2">COUNT(G7:G56)</f>
        <v>0</v>
      </c>
      <c r="H67" s="135">
        <f t="shared" si="2"/>
        <v>0</v>
      </c>
      <c r="I67" s="135">
        <f t="shared" si="2"/>
        <v>0</v>
      </c>
      <c r="J67" s="135">
        <f t="shared" si="2"/>
        <v>0</v>
      </c>
      <c r="K67" s="135">
        <f t="shared" si="2"/>
        <v>0</v>
      </c>
      <c r="L67" s="135">
        <f t="shared" si="2"/>
        <v>0</v>
      </c>
      <c r="M67" s="135">
        <f t="shared" si="2"/>
        <v>0</v>
      </c>
      <c r="N67" s="135">
        <f t="shared" si="2"/>
        <v>0</v>
      </c>
      <c r="O67" s="135">
        <f t="shared" si="2"/>
        <v>0</v>
      </c>
      <c r="P67" s="135">
        <f t="shared" si="2"/>
        <v>0</v>
      </c>
      <c r="Q67" s="135">
        <f t="shared" si="2"/>
        <v>0</v>
      </c>
      <c r="R67" s="135">
        <f t="shared" si="2"/>
        <v>0</v>
      </c>
      <c r="S67" s="135">
        <f t="shared" si="2"/>
        <v>0</v>
      </c>
      <c r="T67" s="135">
        <f t="shared" si="2"/>
        <v>0</v>
      </c>
      <c r="U67" s="136">
        <f t="shared" si="2"/>
        <v>0</v>
      </c>
      <c r="V67" s="137"/>
      <c r="W67" s="138"/>
      <c r="X67" s="132"/>
      <c r="Y67" s="245"/>
      <c r="Z67" s="245"/>
      <c r="AA67" s="245"/>
      <c r="AB67" s="245"/>
      <c r="AC67" s="245"/>
      <c r="AD67" s="245"/>
      <c r="AE67" s="245"/>
      <c r="AF67" s="139"/>
      <c r="AH67" s="570">
        <f>AVERAGE(AI7:AI56)</f>
        <v>86.666666666666643</v>
      </c>
      <c r="AI67" s="568"/>
      <c r="AJ67" s="567"/>
      <c r="AK67" s="568"/>
      <c r="AL67" s="140" t="str">
        <f>IF(F67&lt;&gt;"",IF(Input!N68&lt;&gt;"",Input!N68,""),"")</f>
        <v/>
      </c>
      <c r="AM67" s="141" t="str">
        <f>IF($AL$5="","",IF(F67&lt;&gt;"",(Input!N68/Input!$N$6)*100,""))</f>
        <v/>
      </c>
      <c r="AN67" s="567"/>
      <c r="AO67" s="568"/>
      <c r="AP67" s="142"/>
      <c r="AQ67" s="131"/>
      <c r="AR67" s="143"/>
      <c r="AS67" s="144"/>
      <c r="AT67" s="145" t="str">
        <f>IF(V67="D", "Drp", IF(F67&lt;&gt;"", IF(Input!Q68="", "-", IF(OR(AF67="Error", AP67="Error", AS67="Error"), "Error", AF67+AP67+AS67)), ""))</f>
        <v/>
      </c>
      <c r="AU67" s="146"/>
      <c r="AV67" s="147"/>
      <c r="AW67" s="148"/>
      <c r="AX67" s="148"/>
      <c r="AY67" s="148"/>
      <c r="AZ67" s="149"/>
      <c r="BA67" s="102"/>
    </row>
    <row r="68" spans="1:53" ht="15" customHeight="1" x14ac:dyDescent="0.2">
      <c r="A68" s="97"/>
      <c r="C68" s="150"/>
      <c r="D68" s="151"/>
      <c r="E68" s="151"/>
      <c r="F68" s="152"/>
      <c r="G68" s="153"/>
      <c r="H68" s="153"/>
      <c r="I68" s="153"/>
      <c r="J68" s="154"/>
      <c r="K68" s="154"/>
      <c r="L68" s="154"/>
      <c r="M68" s="154"/>
      <c r="N68" s="154"/>
      <c r="O68" s="154"/>
      <c r="P68" s="154"/>
      <c r="Q68" s="154"/>
      <c r="R68" s="154"/>
      <c r="S68" s="154"/>
      <c r="T68" s="154"/>
      <c r="U68" s="154"/>
      <c r="V68" s="154"/>
      <c r="X68" s="150"/>
      <c r="Y68" s="150"/>
      <c r="Z68" s="150"/>
      <c r="AA68" s="150"/>
      <c r="AB68" s="150"/>
      <c r="AC68" s="150"/>
      <c r="AD68" s="150"/>
      <c r="AE68" s="150"/>
      <c r="AF68" s="150"/>
      <c r="AH68" s="150"/>
      <c r="AI68" s="150"/>
      <c r="AJ68" s="150"/>
      <c r="AK68" s="150"/>
      <c r="AL68" s="150"/>
      <c r="AM68" s="150"/>
      <c r="AN68" s="150"/>
      <c r="AO68" s="150"/>
      <c r="AP68" s="156"/>
      <c r="AR68" s="157"/>
      <c r="AS68" s="158"/>
      <c r="AT68" s="159"/>
      <c r="BA68" s="97"/>
    </row>
    <row r="69" spans="1:53" ht="9.9499999999999993" customHeight="1" x14ac:dyDescent="0.2">
      <c r="A69" s="97"/>
      <c r="B69" s="97"/>
      <c r="C69" s="102"/>
      <c r="D69" s="103"/>
      <c r="E69" s="103"/>
      <c r="F69" s="97"/>
      <c r="G69" s="161"/>
      <c r="H69" s="161"/>
      <c r="I69" s="161"/>
      <c r="J69" s="162"/>
      <c r="K69" s="162"/>
      <c r="L69" s="162"/>
      <c r="M69" s="162"/>
      <c r="N69" s="162"/>
      <c r="O69" s="162"/>
      <c r="P69" s="162"/>
      <c r="Q69" s="162"/>
      <c r="R69" s="162"/>
      <c r="S69" s="162"/>
      <c r="T69" s="162"/>
      <c r="U69" s="162"/>
      <c r="V69" s="162"/>
      <c r="W69" s="162"/>
      <c r="X69" s="102"/>
      <c r="Y69" s="102"/>
      <c r="Z69" s="102"/>
      <c r="AA69" s="102"/>
      <c r="AB69" s="102"/>
      <c r="AC69" s="102"/>
      <c r="AD69" s="102"/>
      <c r="AE69" s="102"/>
      <c r="AF69" s="102"/>
      <c r="AG69" s="102"/>
      <c r="AH69" s="102"/>
      <c r="AI69" s="102"/>
      <c r="AJ69" s="102"/>
      <c r="AK69" s="102"/>
      <c r="AL69" s="102"/>
      <c r="AM69" s="102"/>
      <c r="AN69" s="102"/>
      <c r="AO69" s="102"/>
      <c r="AP69" s="163"/>
      <c r="AQ69" s="102"/>
      <c r="AR69" s="164"/>
      <c r="AS69" s="165"/>
      <c r="AT69" s="166"/>
      <c r="AU69" s="167"/>
      <c r="AV69" s="167"/>
      <c r="AW69" s="97"/>
      <c r="AX69" s="97"/>
      <c r="AY69" s="97"/>
      <c r="AZ69" s="97"/>
      <c r="BA69" s="97"/>
    </row>
    <row r="81" spans="7:7" x14ac:dyDescent="0.2">
      <c r="G81" s="98"/>
    </row>
  </sheetData>
  <sheetProtection algorithmName="SHA-512" hashValue="Vmu7y+ncEZsxA/g4RD6lGWW2rO6szsrtkN4+LzDRrILYL7vBFAzaDFlWP637AJuSV6ebRtMI96QEbkEn8CFJ+Q==" saltValue="xit+8xHGQtUUpBY1EU+T9w==" spinCount="100000" sheet="1" objects="1" scenarios="1"/>
  <mergeCells count="62">
    <mergeCell ref="AD4:AE4"/>
    <mergeCell ref="AB4:AC4"/>
    <mergeCell ref="Z4:AA4"/>
    <mergeCell ref="X4:Y4"/>
    <mergeCell ref="AF4:AF5"/>
    <mergeCell ref="AD6:AE6"/>
    <mergeCell ref="AB6:AC6"/>
    <mergeCell ref="Z6:AA6"/>
    <mergeCell ref="X6:Y6"/>
    <mergeCell ref="AD5:AE5"/>
    <mergeCell ref="AB5:AC5"/>
    <mergeCell ref="Z5:AA5"/>
    <mergeCell ref="X5:Y5"/>
    <mergeCell ref="AX3:AY3"/>
    <mergeCell ref="AV3:AV6"/>
    <mergeCell ref="AL4:AM4"/>
    <mergeCell ref="AL5:AM5"/>
    <mergeCell ref="AL6:AM6"/>
    <mergeCell ref="AU3:AU6"/>
    <mergeCell ref="AR4:AR5"/>
    <mergeCell ref="AS4:AS5"/>
    <mergeCell ref="AJ4:AK4"/>
    <mergeCell ref="AT3:AT6"/>
    <mergeCell ref="AH3:AP3"/>
    <mergeCell ref="AR3:AS3"/>
    <mergeCell ref="AN6:AO6"/>
    <mergeCell ref="AH4:AI4"/>
    <mergeCell ref="AN4:AO4"/>
    <mergeCell ref="AH6:AI6"/>
    <mergeCell ref="AP4:AP5"/>
    <mergeCell ref="AN67:AO67"/>
    <mergeCell ref="AJ6:AK6"/>
    <mergeCell ref="AH67:AI67"/>
    <mergeCell ref="AJ67:AK67"/>
    <mergeCell ref="AN5:AO5"/>
    <mergeCell ref="AH5:AI5"/>
    <mergeCell ref="AJ5:AK5"/>
    <mergeCell ref="V4:V6"/>
    <mergeCell ref="R5:R6"/>
    <mergeCell ref="U5:U6"/>
    <mergeCell ref="S5:S6"/>
    <mergeCell ref="T5:T6"/>
    <mergeCell ref="E1:AQ1"/>
    <mergeCell ref="E2:AQ2"/>
    <mergeCell ref="X3:AF3"/>
    <mergeCell ref="G3:K3"/>
    <mergeCell ref="L3:P3"/>
    <mergeCell ref="Q3:U3"/>
    <mergeCell ref="C3:C6"/>
    <mergeCell ref="D3:F3"/>
    <mergeCell ref="P5:P6"/>
    <mergeCell ref="Q5:Q6"/>
    <mergeCell ref="D4:F5"/>
    <mergeCell ref="H5:H6"/>
    <mergeCell ref="J5:J6"/>
    <mergeCell ref="N5:N6"/>
    <mergeCell ref="G5:G6"/>
    <mergeCell ref="K5:K6"/>
    <mergeCell ref="M5:M6"/>
    <mergeCell ref="I5:I6"/>
    <mergeCell ref="L5:L6"/>
    <mergeCell ref="O5:O6"/>
  </mergeCells>
  <phoneticPr fontId="4" type="noConversion"/>
  <conditionalFormatting sqref="V7:V66">
    <cfRule type="containsText" dxfId="92" priority="1" operator="containsText" text="D">
      <formula>NOT(ISERROR(SEARCH("D",V7)))</formula>
    </cfRule>
  </conditionalFormatting>
  <conditionalFormatting sqref="X7:X66 Z7:Z66 AB7:AB66 AD7:AD66">
    <cfRule type="expression" dxfId="91" priority="7">
      <formula>AND(ISTEXT(X7),X7&lt;&gt;"")</formula>
    </cfRule>
  </conditionalFormatting>
  <conditionalFormatting sqref="X7:X66">
    <cfRule type="expression" dxfId="90" priority="6">
      <formula>AND(X7&gt;$X$5,X7&lt;&gt;"")</formula>
    </cfRule>
  </conditionalFormatting>
  <conditionalFormatting sqref="X5:AE5">
    <cfRule type="expression" dxfId="89" priority="2">
      <formula>AND(ISTEXT(X5),X5&lt;&gt;"")</formula>
    </cfRule>
  </conditionalFormatting>
  <conditionalFormatting sqref="Z7:Z66">
    <cfRule type="expression" dxfId="88" priority="5">
      <formula>AND(Z7&gt;$Z$5,Z7&lt;&gt;"")</formula>
    </cfRule>
  </conditionalFormatting>
  <conditionalFormatting sqref="AB7:AB66">
    <cfRule type="expression" dxfId="87" priority="4">
      <formula>AND(AB7&gt;$AB$5,AB7&lt;&gt;"")</formula>
    </cfRule>
  </conditionalFormatting>
  <conditionalFormatting sqref="AD7:AD66">
    <cfRule type="expression" dxfId="86" priority="3">
      <formula>AND(AD7&gt;$AD$5,AD7&lt;&gt;"")</formula>
    </cfRule>
  </conditionalFormatting>
  <conditionalFormatting sqref="AH7:AH66 AJ7:AJ66 AL7:AL66 AN7:AN66">
    <cfRule type="expression" dxfId="85" priority="15">
      <formula>AND(ISTEXT(AH7),AH7&lt;&gt;"")</formula>
    </cfRule>
  </conditionalFormatting>
  <conditionalFormatting sqref="AH7:AH66">
    <cfRule type="expression" dxfId="84" priority="22">
      <formula>AND(AH7&gt;$AH$5,AH7&lt;&gt;"")</formula>
    </cfRule>
  </conditionalFormatting>
  <conditionalFormatting sqref="AH5:AO5">
    <cfRule type="expression" dxfId="83" priority="14">
      <formula>AND(ISTEXT(AH5),AH5&lt;&gt;"")</formula>
    </cfRule>
  </conditionalFormatting>
  <conditionalFormatting sqref="AI1:AI6 AO1:AO6 AK4:AK6 AM4:AM6 AK1:AM3 AK67 AM67 AI67:AI1048576 AO67:AO1048576 AK68:AM1048576">
    <cfRule type="cellIs" dxfId="82" priority="75" stopIfTrue="1" operator="lessThan">
      <formula>75</formula>
    </cfRule>
  </conditionalFormatting>
  <conditionalFormatting sqref="AJ7:AJ66">
    <cfRule type="expression" dxfId="81" priority="21">
      <formula>AND(AJ7&gt;$AJ$5,AJ7&lt;&gt;"")</formula>
    </cfRule>
  </conditionalFormatting>
  <conditionalFormatting sqref="AL7:AL66">
    <cfRule type="expression" dxfId="80" priority="20">
      <formula>AND(AL7&gt;$AL$5,AL7&lt;&gt;"")</formula>
    </cfRule>
  </conditionalFormatting>
  <conditionalFormatting sqref="AN7:AN66">
    <cfRule type="expression" dxfId="79" priority="19">
      <formula>AND(AN7&gt;$AN$5,AN7&lt;&gt;"")</formula>
    </cfRule>
  </conditionalFormatting>
  <conditionalFormatting sqref="AR4:AR5">
    <cfRule type="expression" dxfId="78" priority="11">
      <formula>AND(ISTEXT(AR4),AR4&lt;&gt;"")</formula>
    </cfRule>
  </conditionalFormatting>
  <conditionalFormatting sqref="AR7:AR66">
    <cfRule type="expression" dxfId="77" priority="12">
      <formula>AND(ISTEXT(AR7),AR7&lt;&gt;"")</formula>
    </cfRule>
    <cfRule type="expression" dxfId="76" priority="17">
      <formula>AND(AR7&gt;$AR$4,AR7&lt;&gt;"")</formula>
    </cfRule>
  </conditionalFormatting>
  <conditionalFormatting sqref="AU1:AV3 AU4:AU66 AU67:AV1048576">
    <cfRule type="cellIs" dxfId="75" priority="39" stopIfTrue="1" operator="lessThanOrEqual">
      <formula>1.75</formula>
    </cfRule>
    <cfRule type="cellIs" dxfId="74" priority="40" stopIfTrue="1" operator="equal">
      <formula>5</formula>
    </cfRule>
  </conditionalFormatting>
  <dataValidations count="4">
    <dataValidation type="list" allowBlank="1" showInputMessage="1" showErrorMessage="1" sqref="G4:U4" xr:uid="{74EFABCA-4946-4D86-AA9D-027005EEFFA8}">
      <formula1>"1,2,3,4,5,6,7,8,9,10,11,12,13,14,15,16,17,18,19,20,21,22,23,24,25,26,27,28,29,30,31"</formula1>
    </dataValidation>
    <dataValidation type="list" allowBlank="1" showInputMessage="1" showErrorMessage="1" sqref="G3:U3" xr:uid="{A86F2633-6562-4E96-8A1F-F2845F1B194C}">
      <formula1>"January,February,March,April,May,June,July,August,September,October,November,December"</formula1>
    </dataValidation>
    <dataValidation type="list" allowBlank="1" showInputMessage="1" showErrorMessage="1" sqref="G5:U6" xr:uid="{1EF7ADF5-8539-4CBC-B758-A1DAA873DBDA}">
      <formula1>"M,T,W,Th,F,Sat,Sun"</formula1>
    </dataValidation>
    <dataValidation type="list" allowBlank="1" showInputMessage="1" showErrorMessage="1" sqref="G7:U66" xr:uid="{B23A6C1D-FE79-478C-B050-D16A33678687}">
      <formula1>"P,A,L,E,D"</formula1>
    </dataValidation>
  </dataValidations>
  <pageMargins left="0.14000000000000001" right="0.11" top="0.17" bottom="0.38" header="0.17" footer="0.14000000000000001"/>
  <pageSetup scale="53" orientation="landscape"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CB33EB9B-C066-4E3B-83F6-B658E441D892}">
          <x14:formula1>
            <xm:f>'Student Helper'!$D$2:$D$3</xm:f>
          </x14:formula1>
          <xm:sqref>V7:V66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A333"/>
  <sheetViews>
    <sheetView showGridLines="0" zoomScaleNormal="100" workbookViewId="0">
      <pane xSplit="6" ySplit="6" topLeftCell="G7" activePane="bottomRight" state="frozen"/>
      <selection pane="topRight"/>
      <selection pane="bottomLeft"/>
      <selection pane="bottomRight" activeCell="L7" sqref="L7:L23"/>
    </sheetView>
  </sheetViews>
  <sheetFormatPr defaultColWidth="9.140625" defaultRowHeight="15.75" x14ac:dyDescent="0.2"/>
  <cols>
    <col min="1" max="1" width="1.7109375" style="98" customWidth="1"/>
    <col min="2" max="2" width="2.7109375" style="98" customWidth="1"/>
    <col min="3" max="3" width="3.7109375" style="222" customWidth="1"/>
    <col min="4" max="4" width="11.7109375" style="223" customWidth="1"/>
    <col min="5" max="5" width="2.7109375" style="223" hidden="1" customWidth="1"/>
    <col min="6" max="6" width="50.7109375" style="107" customWidth="1"/>
    <col min="7" max="9" width="3.28515625" style="224" customWidth="1"/>
    <col min="10" max="21" width="3.28515625" style="225" customWidth="1"/>
    <col min="22" max="22" width="3.7109375" style="225" customWidth="1"/>
    <col min="23" max="23" width="1.7109375" style="225" customWidth="1"/>
    <col min="24" max="31" width="4" style="222" customWidth="1"/>
    <col min="32" max="32" width="7.140625" style="222" customWidth="1"/>
    <col min="33" max="33" width="1.7109375" style="222" customWidth="1"/>
    <col min="34" max="41" width="4" style="222" customWidth="1"/>
    <col min="42" max="42" width="7.140625" style="226" customWidth="1"/>
    <col min="43" max="43" width="1.7109375" style="222" customWidth="1"/>
    <col min="44" max="44" width="4.7109375" style="227" customWidth="1"/>
    <col min="45" max="45" width="5.7109375" style="228" customWidth="1"/>
    <col min="46" max="46" width="7.7109375" style="229" customWidth="1"/>
    <col min="47" max="47" width="6.7109375" style="160" customWidth="1"/>
    <col min="48" max="48" width="6.7109375" style="220" customWidth="1"/>
    <col min="49" max="49" width="1.7109375" style="107" customWidth="1"/>
    <col min="50" max="51" width="8.7109375" style="107" customWidth="1"/>
    <col min="52" max="52" width="2.7109375" style="230" customWidth="1"/>
    <col min="53" max="53" width="1.7109375" style="98" customWidth="1"/>
    <col min="54" max="16384" width="9.140625" style="98"/>
  </cols>
  <sheetData>
    <row r="1" spans="1:53" ht="9.9499999999999993" customHeight="1" x14ac:dyDescent="0.2">
      <c r="A1" s="97"/>
      <c r="B1" s="97"/>
      <c r="C1" s="102"/>
      <c r="D1" s="103"/>
      <c r="E1" s="602"/>
      <c r="F1" s="602"/>
      <c r="G1" s="602"/>
      <c r="H1" s="602"/>
      <c r="I1" s="602"/>
      <c r="J1" s="602"/>
      <c r="K1" s="602"/>
      <c r="L1" s="602"/>
      <c r="M1" s="602"/>
      <c r="N1" s="602"/>
      <c r="O1" s="602"/>
      <c r="P1" s="602"/>
      <c r="Q1" s="602"/>
      <c r="R1" s="602"/>
      <c r="S1" s="602"/>
      <c r="T1" s="602"/>
      <c r="U1" s="602"/>
      <c r="V1" s="602"/>
      <c r="W1" s="602"/>
      <c r="X1" s="602"/>
      <c r="Y1" s="602"/>
      <c r="Z1" s="602"/>
      <c r="AA1" s="602"/>
      <c r="AB1" s="602"/>
      <c r="AC1" s="602"/>
      <c r="AD1" s="602"/>
      <c r="AE1" s="602"/>
      <c r="AF1" s="602"/>
      <c r="AG1" s="602"/>
      <c r="AH1" s="602"/>
      <c r="AI1" s="602"/>
      <c r="AJ1" s="602"/>
      <c r="AK1" s="602"/>
      <c r="AL1" s="602"/>
      <c r="AM1" s="602"/>
      <c r="AN1" s="602"/>
      <c r="AO1" s="602"/>
      <c r="AP1" s="602"/>
      <c r="AQ1" s="602"/>
      <c r="AR1" s="236"/>
      <c r="AS1" s="165"/>
      <c r="AT1" s="165"/>
      <c r="AU1" s="167"/>
      <c r="AV1" s="221"/>
      <c r="AW1" s="97"/>
      <c r="AX1" s="97"/>
      <c r="AY1" s="97"/>
      <c r="AZ1" s="97"/>
      <c r="BA1" s="97"/>
    </row>
    <row r="2" spans="1:53" ht="15" customHeight="1" thickBot="1" x14ac:dyDescent="0.25">
      <c r="A2" s="97"/>
      <c r="C2" s="99"/>
      <c r="D2" s="100"/>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197"/>
      <c r="AS2" s="171"/>
      <c r="AT2" s="171"/>
      <c r="AW2" s="98"/>
      <c r="AX2" s="98"/>
      <c r="AY2" s="98"/>
      <c r="AZ2" s="98"/>
      <c r="BA2" s="97"/>
    </row>
    <row r="3" spans="1:53" ht="30" customHeight="1" x14ac:dyDescent="0.2">
      <c r="A3" s="97"/>
      <c r="C3" s="557"/>
      <c r="D3" s="559" t="str">
        <f>Settings!E8&amp;" - "&amp;Settings!P5</f>
        <v>MATH IN THE MODERN WORLD - BSHM-1B</v>
      </c>
      <c r="E3" s="559"/>
      <c r="F3" s="559"/>
      <c r="G3" s="565" t="s">
        <v>201</v>
      </c>
      <c r="H3" s="565"/>
      <c r="I3" s="565"/>
      <c r="J3" s="565"/>
      <c r="K3" s="565"/>
      <c r="L3" s="565" t="s">
        <v>204</v>
      </c>
      <c r="M3" s="565"/>
      <c r="N3" s="565"/>
      <c r="O3" s="565"/>
      <c r="P3" s="565"/>
      <c r="Q3" s="565"/>
      <c r="R3" s="565"/>
      <c r="S3" s="565"/>
      <c r="T3" s="565"/>
      <c r="U3" s="565"/>
      <c r="V3" s="18"/>
      <c r="W3" s="198"/>
      <c r="X3" s="562" t="s">
        <v>109</v>
      </c>
      <c r="Y3" s="563"/>
      <c r="Z3" s="563"/>
      <c r="AA3" s="563"/>
      <c r="AB3" s="563"/>
      <c r="AC3" s="563"/>
      <c r="AD3" s="563"/>
      <c r="AE3" s="563"/>
      <c r="AF3" s="564"/>
      <c r="AG3" s="174"/>
      <c r="AH3" s="562" t="s">
        <v>89</v>
      </c>
      <c r="AI3" s="576"/>
      <c r="AJ3" s="576"/>
      <c r="AK3" s="576"/>
      <c r="AL3" s="576"/>
      <c r="AM3" s="576"/>
      <c r="AN3" s="576"/>
      <c r="AO3" s="576"/>
      <c r="AP3" s="564"/>
      <c r="AQ3" s="174"/>
      <c r="AR3" s="601" t="s">
        <v>102</v>
      </c>
      <c r="AS3" s="578"/>
      <c r="AT3" s="574" t="s">
        <v>110</v>
      </c>
      <c r="AU3" s="587" t="s">
        <v>111</v>
      </c>
      <c r="AV3" s="599" t="s">
        <v>112</v>
      </c>
      <c r="AW3" s="98"/>
      <c r="AX3" s="582" t="s">
        <v>113</v>
      </c>
      <c r="AY3" s="583"/>
      <c r="AZ3" s="98"/>
      <c r="BA3" s="97"/>
    </row>
    <row r="4" spans="1:53" ht="15" customHeight="1" x14ac:dyDescent="0.2">
      <c r="A4" s="97"/>
      <c r="C4" s="558"/>
      <c r="D4" s="561" t="str">
        <f>IF(Settings!P4="","",Settings!P4)</f>
        <v>GEDC1005</v>
      </c>
      <c r="E4" s="561"/>
      <c r="F4" s="561"/>
      <c r="G4" s="22"/>
      <c r="H4" s="22"/>
      <c r="I4" s="22">
        <v>29</v>
      </c>
      <c r="J4" s="22">
        <v>31</v>
      </c>
      <c r="K4" s="22"/>
      <c r="L4" s="22">
        <v>2</v>
      </c>
      <c r="M4" s="22"/>
      <c r="N4" s="22"/>
      <c r="O4" s="22"/>
      <c r="P4" s="22"/>
      <c r="Q4" s="22"/>
      <c r="R4" s="22"/>
      <c r="S4" s="22"/>
      <c r="T4" s="22"/>
      <c r="U4" s="22"/>
      <c r="V4" s="566" t="s">
        <v>114</v>
      </c>
      <c r="W4" s="174"/>
      <c r="X4" s="593" t="s">
        <v>82</v>
      </c>
      <c r="Y4" s="592"/>
      <c r="Z4" s="592" t="s">
        <v>84</v>
      </c>
      <c r="AA4" s="592"/>
      <c r="AB4" s="592" t="s">
        <v>86</v>
      </c>
      <c r="AC4" s="592"/>
      <c r="AD4" s="592" t="s">
        <v>88</v>
      </c>
      <c r="AE4" s="592"/>
      <c r="AF4" s="594">
        <f>Input!X4</f>
        <v>0.3</v>
      </c>
      <c r="AG4" s="174"/>
      <c r="AH4" s="579" t="s">
        <v>91</v>
      </c>
      <c r="AI4" s="573"/>
      <c r="AJ4" s="573" t="s">
        <v>93</v>
      </c>
      <c r="AK4" s="573"/>
      <c r="AL4" s="573" t="s">
        <v>95</v>
      </c>
      <c r="AM4" s="573"/>
      <c r="AN4" s="573" t="s">
        <v>97</v>
      </c>
      <c r="AO4" s="573"/>
      <c r="AP4" s="581">
        <f>Input!AC4</f>
        <v>0.2</v>
      </c>
      <c r="AQ4" s="174"/>
      <c r="AR4" s="603">
        <f>Settings!M39</f>
        <v>70</v>
      </c>
      <c r="AS4" s="589">
        <f>Input!AE4</f>
        <v>0.5</v>
      </c>
      <c r="AT4" s="575"/>
      <c r="AU4" s="588"/>
      <c r="AV4" s="600"/>
      <c r="AW4" s="98"/>
      <c r="AX4" s="199" t="s">
        <v>110</v>
      </c>
      <c r="AY4" s="200" t="s">
        <v>115</v>
      </c>
      <c r="AZ4" s="98"/>
      <c r="BA4" s="97"/>
    </row>
    <row r="5" spans="1:53" ht="15" customHeight="1" x14ac:dyDescent="0.2">
      <c r="A5" s="97"/>
      <c r="C5" s="558"/>
      <c r="D5" s="561"/>
      <c r="E5" s="561"/>
      <c r="F5" s="561"/>
      <c r="G5" s="560"/>
      <c r="H5" s="560"/>
      <c r="I5" s="560" t="s">
        <v>202</v>
      </c>
      <c r="J5" s="560" t="s">
        <v>203</v>
      </c>
      <c r="K5" s="560"/>
      <c r="L5" s="560"/>
      <c r="M5" s="560"/>
      <c r="N5" s="560"/>
      <c r="O5" s="560"/>
      <c r="P5" s="560"/>
      <c r="Q5" s="560"/>
      <c r="R5" s="560"/>
      <c r="S5" s="560"/>
      <c r="T5" s="560"/>
      <c r="U5" s="560"/>
      <c r="V5" s="566"/>
      <c r="W5" s="174"/>
      <c r="X5" s="591">
        <f>IF(Input!T6&lt;&gt;"",Input!T6,"")</f>
        <v>50</v>
      </c>
      <c r="Y5" s="571"/>
      <c r="Z5" s="571">
        <f>IF(Input!U6&lt;&gt;"",Input!U6,"")</f>
        <v>50</v>
      </c>
      <c r="AA5" s="571"/>
      <c r="AB5" s="571" t="str">
        <f>IF(Input!V6&lt;&gt;"",Input!V6,"")</f>
        <v/>
      </c>
      <c r="AC5" s="571"/>
      <c r="AD5" s="571" t="str">
        <f>IF(Input!W6&lt;&gt;"",Input!W6,"")</f>
        <v/>
      </c>
      <c r="AE5" s="571"/>
      <c r="AF5" s="595"/>
      <c r="AG5" s="174"/>
      <c r="AH5" s="572">
        <f>IF(Input!Y6&lt;&gt;"",Input!Y6,"")</f>
        <v>10</v>
      </c>
      <c r="AI5" s="571"/>
      <c r="AJ5" s="571">
        <f>IF(Input!Z6&lt;&gt;"",Input!Z6,"")</f>
        <v>20</v>
      </c>
      <c r="AK5" s="571"/>
      <c r="AL5" s="571">
        <f>IF(Input!AA6&lt;&gt;"",Input!AA6,"")</f>
        <v>35</v>
      </c>
      <c r="AM5" s="571"/>
      <c r="AN5" s="571" t="str">
        <f>IF(Input!AB6&lt;&gt;"",Input!AB6,"")</f>
        <v/>
      </c>
      <c r="AO5" s="571"/>
      <c r="AP5" s="581"/>
      <c r="AQ5" s="174"/>
      <c r="AR5" s="603"/>
      <c r="AS5" s="589"/>
      <c r="AT5" s="575"/>
      <c r="AU5" s="588"/>
      <c r="AV5" s="600"/>
      <c r="AW5" s="98"/>
      <c r="AX5" s="183">
        <v>1</v>
      </c>
      <c r="AY5" s="184">
        <f>COUNTIF($AU$7:$AU$66,AX5)</f>
        <v>0</v>
      </c>
      <c r="AZ5" s="98"/>
      <c r="BA5" s="97"/>
    </row>
    <row r="6" spans="1:53" s="99" customFormat="1" ht="15" customHeight="1" x14ac:dyDescent="0.2">
      <c r="A6" s="102"/>
      <c r="C6" s="558"/>
      <c r="D6" s="201" t="s">
        <v>106</v>
      </c>
      <c r="E6" s="202"/>
      <c r="F6" s="203" t="s">
        <v>107</v>
      </c>
      <c r="G6" s="560"/>
      <c r="H6" s="560"/>
      <c r="I6" s="560"/>
      <c r="J6" s="560"/>
      <c r="K6" s="560"/>
      <c r="L6" s="560"/>
      <c r="M6" s="560"/>
      <c r="N6" s="560"/>
      <c r="O6" s="560"/>
      <c r="P6" s="560"/>
      <c r="Q6" s="560"/>
      <c r="R6" s="560"/>
      <c r="S6" s="560"/>
      <c r="T6" s="560"/>
      <c r="U6" s="560"/>
      <c r="V6" s="566"/>
      <c r="W6" s="174"/>
      <c r="X6" s="590" t="str">
        <f>IF(Input!T7&lt;&gt;"",Input!T7,"")</f>
        <v/>
      </c>
      <c r="Y6" s="569"/>
      <c r="Z6" s="569" t="str">
        <f>IF(Input!U7&lt;&gt;"",Input!U7,"")</f>
        <v/>
      </c>
      <c r="AA6" s="569"/>
      <c r="AB6" s="569" t="str">
        <f>IF(Input!V7&lt;&gt;"",Input!V7,"")</f>
        <v/>
      </c>
      <c r="AC6" s="569"/>
      <c r="AD6" s="569" t="str">
        <f>IF(Input!W7&lt;&gt;"",Input!W7,"")</f>
        <v/>
      </c>
      <c r="AE6" s="569"/>
      <c r="AF6" s="313" t="s">
        <v>50</v>
      </c>
      <c r="AG6" s="174"/>
      <c r="AH6" s="580" t="str">
        <f>IF(Input!Y7&lt;&gt;"",Input!Y7,"")</f>
        <v/>
      </c>
      <c r="AI6" s="569"/>
      <c r="AJ6" s="569" t="str">
        <f>IF(Input!Z7&lt;&gt;"",Input!Z7,"")</f>
        <v/>
      </c>
      <c r="AK6" s="569"/>
      <c r="AL6" s="569" t="str">
        <f>IF(Input!AA7&lt;&gt;"",Input!AA7,"")</f>
        <v/>
      </c>
      <c r="AM6" s="569"/>
      <c r="AN6" s="569" t="str">
        <f>IF(Input!AB7&lt;&gt;"",Input!AB7,"")</f>
        <v/>
      </c>
      <c r="AO6" s="569"/>
      <c r="AP6" s="204" t="s">
        <v>50</v>
      </c>
      <c r="AQ6" s="174"/>
      <c r="AR6" s="235" t="str">
        <f>IF(Settings!L39&lt;&gt;"",Settings!L39,"")</f>
        <v/>
      </c>
      <c r="AS6" s="206" t="s">
        <v>50</v>
      </c>
      <c r="AT6" s="575"/>
      <c r="AU6" s="588"/>
      <c r="AV6" s="600"/>
      <c r="AX6" s="183">
        <v>1.25</v>
      </c>
      <c r="AY6" s="184">
        <f t="shared" ref="AY6:AY16" si="0">COUNTIF($AU$7:$AU$66,AX6)</f>
        <v>0</v>
      </c>
      <c r="BA6" s="102"/>
    </row>
    <row r="7" spans="1:53" ht="15" x14ac:dyDescent="0.2">
      <c r="A7" s="97"/>
      <c r="C7" s="194">
        <v>1</v>
      </c>
      <c r="D7" s="203" t="str">
        <f>IF(Input!D8&lt;&gt;"",IF(F7&lt;&gt;"",Input!D8,""),"")</f>
        <v>02000503790</v>
      </c>
      <c r="E7" s="297"/>
      <c r="F7" s="298" t="str">
        <f>(IF(Input!F8&lt;&gt;"",Input!F8,""))</f>
        <v>BARICAS, CASSANDRA ALAB</v>
      </c>
      <c r="G7" s="333"/>
      <c r="H7" s="333"/>
      <c r="I7" s="333" t="s">
        <v>16</v>
      </c>
      <c r="J7" s="333"/>
      <c r="K7" s="333"/>
      <c r="L7" s="333" t="s">
        <v>16</v>
      </c>
      <c r="M7" s="333"/>
      <c r="N7" s="333"/>
      <c r="O7" s="333"/>
      <c r="P7" s="333"/>
      <c r="Q7" s="333"/>
      <c r="R7" s="333"/>
      <c r="S7" s="333"/>
      <c r="T7" s="333"/>
      <c r="U7" s="333"/>
      <c r="V7" s="336"/>
      <c r="W7" s="173"/>
      <c r="X7" s="309">
        <f>IF(F7&lt;&gt;"",IF(Input!T8&lt;&gt;"",Input!T8,""),"")</f>
        <v>30</v>
      </c>
      <c r="Y7" s="449">
        <f>IFERROR(IF($X$5="","",IF(F7&lt;&gt;"",(Input!T8/Input!$T$6)*100,"")),"NA")</f>
        <v>60</v>
      </c>
      <c r="Z7" s="310" t="str">
        <f>IF(F7&lt;&gt;"",IF(Input!U8&lt;&gt;"",Input!U8,""),"")</f>
        <v/>
      </c>
      <c r="AA7" s="449">
        <f>IFERROR(IF($Z$5="","",IF(F7&lt;&gt;"",(Input!U8/Input!$U$6)*100,"")),"NA")</f>
        <v>0</v>
      </c>
      <c r="AB7" s="310" t="str">
        <f>IF(F7&lt;&gt;"",IF(Input!V8&lt;&gt;"",Input!V8,""),"")</f>
        <v/>
      </c>
      <c r="AC7" s="449" t="str">
        <f>IFERROR(IF($AB$5="","",IF(F7&lt;&gt;"",(Input!V8/Input!$V$6)*100,"")),"NA")</f>
        <v/>
      </c>
      <c r="AD7" s="310" t="str">
        <f>IF(F7&lt;&gt;"",IF(Input!W8&lt;&gt;"",Input!W8,""),"")</f>
        <v/>
      </c>
      <c r="AE7" s="449" t="str">
        <f>IFERROR(IF($AD$5="","",IF(F7&lt;&gt;"",(Input!W8/Input!$W$6)*100,"")),"NA")</f>
        <v/>
      </c>
      <c r="AF7" s="108">
        <f>IF(Input!X8="Error","Error",IF(F7="","",IF($X$5="",0,IF(F7&lt;&gt;"",IFERROR(AVERAGE(Y7,AA7,AC7,AE7)*$AF$4,0),""))))</f>
        <v>9</v>
      </c>
      <c r="AG7" s="174"/>
      <c r="AH7" s="175">
        <f>IF(F7&lt;&gt;"",IF(Input!Y8&lt;&gt;"",Input!Y8,""),"")</f>
        <v>0</v>
      </c>
      <c r="AI7" s="451">
        <f>IFERROR(IF($AH$5="","",IF(F7&lt;&gt;"",(Input!Y8/Input!$Y$6)*100,"")),"NA")</f>
        <v>0</v>
      </c>
      <c r="AJ7" s="176">
        <f>IF(F7&lt;&gt;"",IF(Input!Z8&lt;&gt;"",Input!Z8,""),"")</f>
        <v>19</v>
      </c>
      <c r="AK7" s="451">
        <f>IFERROR(IF($AJ$5="","",IF(F7&lt;&gt;"",(Input!Z8/Input!$Z$6)*100,"")),"NA")</f>
        <v>95</v>
      </c>
      <c r="AL7" s="176" t="str">
        <f>IF(F7&lt;&gt;"",IF(Input!AA8&lt;&gt;"",Input!AA8,""),"")</f>
        <v/>
      </c>
      <c r="AM7" s="451">
        <f>IFERROR(IF($AL$5="","",IF(F7&lt;&gt;"",(Input!AA8/Input!$AA$6)*100,"")),"NA")</f>
        <v>0</v>
      </c>
      <c r="AN7" s="177" t="str">
        <f>IF(F7&lt;&gt;"",IF(Input!AB8&lt;&gt;"",Input!AB8,""),"")</f>
        <v/>
      </c>
      <c r="AO7" s="451" t="str">
        <f>IFERROR(IF($AN$5="","",IF(F7&lt;&gt;"",(Input!AB8/Input!$AB$6)*100,"")),"NA")</f>
        <v/>
      </c>
      <c r="AP7" s="303">
        <f>IF(Input!AC8="Error","Error",IF(F7="","",IF($AH$5="",0,IF(F7&lt;&gt;"",IFERROR(AVERAGE(AI7,AK7,AM7,AO7)*$AP$4,0),""))))</f>
        <v>6.3333333333333339</v>
      </c>
      <c r="AQ7" s="174"/>
      <c r="AR7" s="231">
        <f>IF(Input!AD8="","",IF(F7&lt;&gt;"",Input!AD8,""))</f>
        <v>44</v>
      </c>
      <c r="AS7" s="179">
        <f>IF(F7="","",IF(Input!AE8="Error","Error",IF(ISNUMBER(Input!AE8),(Input!AE8*$AS$4),"")))</f>
        <v>31.428571428571427</v>
      </c>
      <c r="AT7" s="331">
        <f>IF(V7="D","DRP",
IF(F7&lt;&gt;"",
IF(OR(AF7="Error",AP7="Error",AS7="Error"),"Error",
IF(Input!AD8="","-",ROUND(AF7+AP7+AS7,2))),""))</f>
        <v>46.76</v>
      </c>
      <c r="AU7" s="180">
        <f>IF(F7&lt;&gt;"",VLOOKUP(AT7,TRANSMUTATION!$A$2:$B$14,2),"")</f>
        <v>5</v>
      </c>
      <c r="AV7" s="232">
        <f>IF(AU7="Inc","",IF(F7&lt;&gt;"",IF(OR(AU7="Drp",AU7="-"),"",RANK(AT7,$AT$7:$AT$66)),""))</f>
        <v>5</v>
      </c>
      <c r="AW7" s="98"/>
      <c r="AX7" s="183">
        <v>1.5</v>
      </c>
      <c r="AY7" s="184">
        <f t="shared" si="0"/>
        <v>0</v>
      </c>
      <c r="AZ7" s="98"/>
      <c r="BA7" s="97"/>
    </row>
    <row r="8" spans="1:53" ht="15" x14ac:dyDescent="0.2">
      <c r="A8" s="97"/>
      <c r="C8" s="194">
        <v>2</v>
      </c>
      <c r="D8" s="203" t="str">
        <f>IF(Input!D9&lt;&gt;"",IF(F8&lt;&gt;"",Input!D9,""),"")</f>
        <v>02000512377</v>
      </c>
      <c r="E8" s="297"/>
      <c r="F8" s="298" t="str">
        <f>(IF(Input!F9&lt;&gt;"",Input!F9,""))</f>
        <v>BETITA, RUSSEL ANGELO ROJO</v>
      </c>
      <c r="G8" s="333"/>
      <c r="H8" s="333"/>
      <c r="I8" s="333" t="s">
        <v>16</v>
      </c>
      <c r="J8" s="333"/>
      <c r="K8" s="333"/>
      <c r="L8" s="333" t="s">
        <v>16</v>
      </c>
      <c r="M8" s="333"/>
      <c r="N8" s="333"/>
      <c r="O8" s="333"/>
      <c r="P8" s="333"/>
      <c r="Q8" s="333"/>
      <c r="R8" s="333"/>
      <c r="S8" s="333"/>
      <c r="T8" s="333"/>
      <c r="U8" s="333"/>
      <c r="V8" s="336"/>
      <c r="W8" s="173"/>
      <c r="X8" s="309">
        <f>IF(F8&lt;&gt;"",IF(Input!T9&lt;&gt;"",Input!T9,""),"")</f>
        <v>0</v>
      </c>
      <c r="Y8" s="449">
        <f>IFERROR(IF($X$5="","",IF(F8&lt;&gt;"",(Input!T9/Input!$T$6)*100,"")),"NA")</f>
        <v>0</v>
      </c>
      <c r="Z8" s="310" t="str">
        <f>IF(F8&lt;&gt;"",IF(Input!U9&lt;&gt;"",Input!U9,""),"")</f>
        <v/>
      </c>
      <c r="AA8" s="449">
        <f>IFERROR(IF($Z$5="","",IF(F8&lt;&gt;"",(Input!U9/Input!$U$6)*100,"")),"NA")</f>
        <v>0</v>
      </c>
      <c r="AB8" s="310" t="str">
        <f>IF(F8&lt;&gt;"",IF(Input!V9&lt;&gt;"",Input!V9,""),"")</f>
        <v/>
      </c>
      <c r="AC8" s="449" t="str">
        <f>IFERROR(IF($AB$5="","",IF(F8&lt;&gt;"",(Input!V9/Input!$V$6)*100,"")),"NA")</f>
        <v/>
      </c>
      <c r="AD8" s="310" t="str">
        <f>IF(F8&lt;&gt;"",IF(Input!W9&lt;&gt;"",Input!W9,""),"")</f>
        <v/>
      </c>
      <c r="AE8" s="449" t="str">
        <f>IFERROR(IF($AD$5="","",IF(F8&lt;&gt;"",(Input!W9/Input!$W$6)*100,"")),"NA")</f>
        <v/>
      </c>
      <c r="AF8" s="108">
        <f>IF(Input!X9="Error","Error",IF(F8="","",IF($X$5="",0,IF(F8&lt;&gt;"",IFERROR(AVERAGE(Y8,AA8,AC8,AE8)*$AF$4,0),""))))</f>
        <v>0</v>
      </c>
      <c r="AG8" s="174"/>
      <c r="AH8" s="175">
        <f>IF(F8&lt;&gt;"",IF(Input!Y9&lt;&gt;"",Input!Y9,""),"")</f>
        <v>0</v>
      </c>
      <c r="AI8" s="451">
        <f>IFERROR(IF($AH$5="","",IF(F8&lt;&gt;"",(Input!Y9/Input!$Y$6)*100,"")),"NA")</f>
        <v>0</v>
      </c>
      <c r="AJ8" s="176">
        <f>IF(F8&lt;&gt;"",IF(Input!Z9&lt;&gt;"",Input!Z9,""),"")</f>
        <v>0</v>
      </c>
      <c r="AK8" s="451">
        <f>IFERROR(IF($AJ$5="","",IF(F8&lt;&gt;"",(Input!Z9/Input!$Z$6)*100,"")),"NA")</f>
        <v>0</v>
      </c>
      <c r="AL8" s="176" t="str">
        <f>IF(F8&lt;&gt;"",IF(Input!AA9&lt;&gt;"",Input!AA9,""),"")</f>
        <v/>
      </c>
      <c r="AM8" s="451">
        <f>IFERROR(IF($AL$5="","",IF(F8&lt;&gt;"",(Input!AA9/Input!$AA$6)*100,"")),"NA")</f>
        <v>0</v>
      </c>
      <c r="AN8" s="177" t="str">
        <f>IF(F8&lt;&gt;"",IF(Input!AB9&lt;&gt;"",Input!AB9,""),"")</f>
        <v/>
      </c>
      <c r="AO8" s="451" t="str">
        <f>IFERROR(IF($AN$5="","",IF(F8&lt;&gt;"",(Input!AB9/Input!$AB$6)*100,"")),"NA")</f>
        <v/>
      </c>
      <c r="AP8" s="303">
        <f>IF(Input!AC9="Error","Error",IF(F8="","",IF($AH$5="",0,IF(F8&lt;&gt;"",IFERROR(AVERAGE(AI8,AK8,AM8,AO8)*$AP$4,0),""))))</f>
        <v>0</v>
      </c>
      <c r="AQ8" s="174"/>
      <c r="AR8" s="231" t="str">
        <f>IF(Input!AD9="","",IF(F8&lt;&gt;"",Input!AD9,""))</f>
        <v/>
      </c>
      <c r="AS8" s="179" t="str">
        <f>IF(F8="","",IF(Input!AE9="Error","Error",IF(ISNUMBER(Input!AE9),(Input!AE9*$AS$4),"")))</f>
        <v/>
      </c>
      <c r="AT8" s="331" t="str">
        <f>IF(V8="D","DRP",
IF(F8&lt;&gt;"",
IF(OR(AF8="Error",AP8="Error",AS8="Error"),"Error",
IF(Input!AD9="","-",ROUND(AF8+AP8+AS8,2))),""))</f>
        <v>-</v>
      </c>
      <c r="AU8" s="180" t="str">
        <f>IF(F8&lt;&gt;"",VLOOKUP(AT8,TRANSMUTATION!$A$2:$B$14,2),"")</f>
        <v>INC</v>
      </c>
      <c r="AV8" s="232" t="str">
        <f t="shared" ref="AV8:AV65" si="1">IF(AU8="Inc","",IF(F8&lt;&gt;"",IF(OR(AU8="Drp",AU8="-"),"",RANK(AT8,$AT$7:$AT$66)),""))</f>
        <v/>
      </c>
      <c r="AW8" s="182"/>
      <c r="AX8" s="183">
        <v>1.75</v>
      </c>
      <c r="AY8" s="184">
        <f t="shared" si="0"/>
        <v>0</v>
      </c>
      <c r="AZ8" s="98"/>
      <c r="BA8" s="97"/>
    </row>
    <row r="9" spans="1:53" ht="15" x14ac:dyDescent="0.2">
      <c r="A9" s="97"/>
      <c r="C9" s="194">
        <v>3</v>
      </c>
      <c r="D9" s="203" t="str">
        <f>IF(Input!D10&lt;&gt;"",IF(F9&lt;&gt;"",Input!D10,""),"")</f>
        <v>02000509818</v>
      </c>
      <c r="E9" s="297"/>
      <c r="F9" s="298" t="str">
        <f>(IF(Input!F10&lt;&gt;"",Input!F10,""))</f>
        <v>DELA CRUZ, ANGEL CANDELARIA</v>
      </c>
      <c r="G9" s="333"/>
      <c r="H9" s="333"/>
      <c r="I9" s="333" t="s">
        <v>16</v>
      </c>
      <c r="J9" s="333"/>
      <c r="K9" s="333"/>
      <c r="L9" s="333" t="s">
        <v>16</v>
      </c>
      <c r="M9" s="333"/>
      <c r="N9" s="333"/>
      <c r="O9" s="333"/>
      <c r="P9" s="333"/>
      <c r="Q9" s="333"/>
      <c r="R9" s="333"/>
      <c r="S9" s="333"/>
      <c r="T9" s="333"/>
      <c r="U9" s="333"/>
      <c r="V9" s="336"/>
      <c r="W9" s="173"/>
      <c r="X9" s="309">
        <f>IF(F9&lt;&gt;"",IF(Input!T10&lt;&gt;"",Input!T10,""),"")</f>
        <v>0</v>
      </c>
      <c r="Y9" s="449">
        <f>IFERROR(IF($X$5="","",IF(F9&lt;&gt;"",(Input!T10/Input!$T$6)*100,"")),"NA")</f>
        <v>0</v>
      </c>
      <c r="Z9" s="310" t="str">
        <f>IF(F9&lt;&gt;"",IF(Input!U10&lt;&gt;"",Input!U10,""),"")</f>
        <v/>
      </c>
      <c r="AA9" s="449">
        <f>IFERROR(IF($Z$5="","",IF(F9&lt;&gt;"",(Input!U10/Input!$U$6)*100,"")),"NA")</f>
        <v>0</v>
      </c>
      <c r="AB9" s="310" t="str">
        <f>IF(F9&lt;&gt;"",IF(Input!V10&lt;&gt;"",Input!V10,""),"")</f>
        <v/>
      </c>
      <c r="AC9" s="449" t="str">
        <f>IFERROR(IF($AB$5="","",IF(F9&lt;&gt;"",(Input!V10/Input!$V$6)*100,"")),"NA")</f>
        <v/>
      </c>
      <c r="AD9" s="310" t="str">
        <f>IF(F9&lt;&gt;"",IF(Input!W10&lt;&gt;"",Input!W10,""),"")</f>
        <v/>
      </c>
      <c r="AE9" s="449" t="str">
        <f>IFERROR(IF($AD$5="","",IF(F9&lt;&gt;"",(Input!W10/Input!$W$6)*100,"")),"NA")</f>
        <v/>
      </c>
      <c r="AF9" s="108">
        <f>IF(Input!X10="Error","Error",IF(F9="","",IF($X$5="",0,IF(F9&lt;&gt;"",IFERROR(AVERAGE(Y9,AA9,AC9,AE9)*$AF$4,0),""))))</f>
        <v>0</v>
      </c>
      <c r="AG9" s="174"/>
      <c r="AH9" s="175">
        <f>IF(F9&lt;&gt;"",IF(Input!Y10&lt;&gt;"",Input!Y10,""),"")</f>
        <v>3</v>
      </c>
      <c r="AI9" s="451">
        <f>IFERROR(IF($AH$5="","",IF(F9&lt;&gt;"",(Input!Y10/Input!$Y$6)*100,"")),"NA")</f>
        <v>30</v>
      </c>
      <c r="AJ9" s="176">
        <f>IF(F9&lt;&gt;"",IF(Input!Z10&lt;&gt;"",Input!Z10,""),"")</f>
        <v>0</v>
      </c>
      <c r="AK9" s="451">
        <f>IFERROR(IF($AJ$5="","",IF(F9&lt;&gt;"",(Input!Z10/Input!$Z$6)*100,"")),"NA")</f>
        <v>0</v>
      </c>
      <c r="AL9" s="176" t="str">
        <f>IF(F9&lt;&gt;"",IF(Input!AA10&lt;&gt;"",Input!AA10,""),"")</f>
        <v/>
      </c>
      <c r="AM9" s="451">
        <f>IFERROR(IF($AL$5="","",IF(F9&lt;&gt;"",(Input!AA10/Input!$AA$6)*100,"")),"NA")</f>
        <v>0</v>
      </c>
      <c r="AN9" s="177" t="str">
        <f>IF(F9&lt;&gt;"",IF(Input!AB10&lt;&gt;"",Input!AB10,""),"")</f>
        <v/>
      </c>
      <c r="AO9" s="451" t="str">
        <f>IFERROR(IF($AN$5="","",IF(F9&lt;&gt;"",(Input!AB10/Input!$AB$6)*100,"")),"NA")</f>
        <v/>
      </c>
      <c r="AP9" s="303">
        <f>IF(Input!AC10="Error","Error",IF(F9="","",IF($AH$5="",0,IF(F9&lt;&gt;"",IFERROR(AVERAGE(AI9,AK9,AM9,AO9)*$AP$4,0),""))))</f>
        <v>2</v>
      </c>
      <c r="AQ9" s="174"/>
      <c r="AR9" s="231">
        <f>IF(Input!AD10="","",IF(F9&lt;&gt;"",Input!AD10,""))</f>
        <v>20</v>
      </c>
      <c r="AS9" s="179">
        <f>IF(F9="","",IF(Input!AE10="Error","Error",IF(ISNUMBER(Input!AE10),(Input!AE10*$AS$4),"")))</f>
        <v>14.285714285714285</v>
      </c>
      <c r="AT9" s="331">
        <f>IF(V9="D","DRP",
IF(F9&lt;&gt;"",
IF(OR(AF9="Error",AP9="Error",AS9="Error"),"Error",
IF(Input!AD10="","-",ROUND(AF9+AP9+AS9,2))),""))</f>
        <v>16.29</v>
      </c>
      <c r="AU9" s="180">
        <f>IF(F9&lt;&gt;"",VLOOKUP(AT9,TRANSMUTATION!$A$2:$B$14,2),"")</f>
        <v>5</v>
      </c>
      <c r="AV9" s="232">
        <f t="shared" si="1"/>
        <v>11</v>
      </c>
      <c r="AW9" s="182"/>
      <c r="AX9" s="183">
        <v>2</v>
      </c>
      <c r="AY9" s="184">
        <f t="shared" si="0"/>
        <v>0</v>
      </c>
      <c r="AZ9" s="98"/>
      <c r="BA9" s="97"/>
    </row>
    <row r="10" spans="1:53" ht="15" x14ac:dyDescent="0.2">
      <c r="A10" s="97"/>
      <c r="C10" s="194">
        <v>4</v>
      </c>
      <c r="D10" s="203" t="str">
        <f>IF(Input!D11&lt;&gt;"",IF(F10&lt;&gt;"",Input!D11,""),"")</f>
        <v>02000367567</v>
      </c>
      <c r="E10" s="297"/>
      <c r="F10" s="298" t="str">
        <f>(IF(Input!F11&lt;&gt;"",Input!F11,""))</f>
        <v>DELMIGUEZ, DANIELLA CORTEZ</v>
      </c>
      <c r="G10" s="333"/>
      <c r="H10" s="333"/>
      <c r="I10" s="333" t="s">
        <v>16</v>
      </c>
      <c r="J10" s="333"/>
      <c r="K10" s="333"/>
      <c r="L10" s="333" t="s">
        <v>16</v>
      </c>
      <c r="M10" s="333"/>
      <c r="N10" s="333"/>
      <c r="O10" s="333"/>
      <c r="P10" s="333"/>
      <c r="Q10" s="333"/>
      <c r="R10" s="333"/>
      <c r="S10" s="333"/>
      <c r="T10" s="333"/>
      <c r="U10" s="333"/>
      <c r="V10" s="336"/>
      <c r="W10" s="173"/>
      <c r="X10" s="309">
        <f>IF(F10&lt;&gt;"",IF(Input!T11&lt;&gt;"",Input!T11,""),"")</f>
        <v>50</v>
      </c>
      <c r="Y10" s="449">
        <f>IFERROR(IF($X$5="","",IF(F10&lt;&gt;"",(Input!T11/Input!$T$6)*100,"")),"NA")</f>
        <v>100</v>
      </c>
      <c r="Z10" s="310" t="str">
        <f>IF(F10&lt;&gt;"",IF(Input!U11&lt;&gt;"",Input!U11,""),"")</f>
        <v/>
      </c>
      <c r="AA10" s="449">
        <f>IFERROR(IF($Z$5="","",IF(F10&lt;&gt;"",(Input!U11/Input!$U$6)*100,"")),"NA")</f>
        <v>0</v>
      </c>
      <c r="AB10" s="310" t="str">
        <f>IF(F10&lt;&gt;"",IF(Input!V11&lt;&gt;"",Input!V11,""),"")</f>
        <v/>
      </c>
      <c r="AC10" s="449" t="str">
        <f>IFERROR(IF($AB$5="","",IF(F10&lt;&gt;"",(Input!V11/Input!$V$6)*100,"")),"NA")</f>
        <v/>
      </c>
      <c r="AD10" s="310" t="str">
        <f>IF(F10&lt;&gt;"",IF(Input!W11&lt;&gt;"",Input!W11,""),"")</f>
        <v/>
      </c>
      <c r="AE10" s="449" t="str">
        <f>IFERROR(IF($AD$5="","",IF(F10&lt;&gt;"",(Input!W11/Input!$W$6)*100,"")),"NA")</f>
        <v/>
      </c>
      <c r="AF10" s="108">
        <f>IF(Input!X11="Error","Error",IF(F10="","",IF($X$5="",0,IF(F10&lt;&gt;"",IFERROR(AVERAGE(Y10,AA10,AC10,AE10)*$AF$4,0),""))))</f>
        <v>15</v>
      </c>
      <c r="AG10" s="174"/>
      <c r="AH10" s="175">
        <f>IF(F10&lt;&gt;"",IF(Input!Y11&lt;&gt;"",Input!Y11,""),"")</f>
        <v>8</v>
      </c>
      <c r="AI10" s="451">
        <f>IFERROR(IF($AH$5="","",IF(F10&lt;&gt;"",(Input!Y11/Input!$Y$6)*100,"")),"NA")</f>
        <v>80</v>
      </c>
      <c r="AJ10" s="176">
        <f>IF(F10&lt;&gt;"",IF(Input!Z11&lt;&gt;"",Input!Z11,""),"")</f>
        <v>15</v>
      </c>
      <c r="AK10" s="451">
        <f>IFERROR(IF($AJ$5="","",IF(F10&lt;&gt;"",(Input!Z11/Input!$Z$6)*100,"")),"NA")</f>
        <v>75</v>
      </c>
      <c r="AL10" s="176" t="str">
        <f>IF(F10&lt;&gt;"",IF(Input!AA11&lt;&gt;"",Input!AA11,""),"")</f>
        <v/>
      </c>
      <c r="AM10" s="451">
        <f>IFERROR(IF($AL$5="","",IF(F10&lt;&gt;"",(Input!AA11/Input!$AA$6)*100,"")),"NA")</f>
        <v>0</v>
      </c>
      <c r="AN10" s="177" t="str">
        <f>IF(F10&lt;&gt;"",IF(Input!AB11&lt;&gt;"",Input!AB11,""),"")</f>
        <v/>
      </c>
      <c r="AO10" s="451" t="str">
        <f>IFERROR(IF($AN$5="","",IF(F10&lt;&gt;"",(Input!AB11/Input!$AB$6)*100,"")),"NA")</f>
        <v/>
      </c>
      <c r="AP10" s="303">
        <f>IF(Input!AC11="Error","Error",IF(F10="","",IF($AH$5="",0,IF(F10&lt;&gt;"",IFERROR(AVERAGE(AI10,AK10,AM10,AO10)*$AP$4,0),""))))</f>
        <v>10.333333333333334</v>
      </c>
      <c r="AQ10" s="174"/>
      <c r="AR10" s="231">
        <f>IF(Input!AD11="","",IF(F10&lt;&gt;"",Input!AD11,""))</f>
        <v>54</v>
      </c>
      <c r="AS10" s="179">
        <f>IF(F10="","",IF(Input!AE11="Error","Error",IF(ISNUMBER(Input!AE11),(Input!AE11*$AS$4),"")))</f>
        <v>38.571428571428577</v>
      </c>
      <c r="AT10" s="331">
        <f>IF(V10="D","DRP",
IF(F10&lt;&gt;"",
IF(OR(AF10="Error",AP10="Error",AS10="Error"),"Error",
IF(Input!AD11="","-",ROUND(AF10+AP10+AS10,2))),""))</f>
        <v>63.9</v>
      </c>
      <c r="AU10" s="180">
        <f>IF(F10&lt;&gt;"",VLOOKUP(AT10,TRANSMUTATION!$A$2:$B$14,2),"")</f>
        <v>3</v>
      </c>
      <c r="AV10" s="232">
        <f t="shared" si="1"/>
        <v>1</v>
      </c>
      <c r="AW10" s="182"/>
      <c r="AX10" s="183">
        <v>2.25</v>
      </c>
      <c r="AY10" s="184">
        <f t="shared" si="0"/>
        <v>0</v>
      </c>
      <c r="AZ10" s="98"/>
      <c r="BA10" s="97"/>
    </row>
    <row r="11" spans="1:53" ht="15" x14ac:dyDescent="0.2">
      <c r="A11" s="97"/>
      <c r="C11" s="194">
        <v>5</v>
      </c>
      <c r="D11" s="203" t="str">
        <f>IF(Input!D12&lt;&gt;"",IF(F11&lt;&gt;"",Input!D12,""),"")</f>
        <v>02000490904</v>
      </c>
      <c r="E11" s="297"/>
      <c r="F11" s="298" t="str">
        <f>(IF(Input!F12&lt;&gt;"",Input!F12,""))</f>
        <v>GONZAGA, SANDY</v>
      </c>
      <c r="G11" s="333"/>
      <c r="H11" s="333"/>
      <c r="I11" s="333" t="s">
        <v>16</v>
      </c>
      <c r="J11" s="333"/>
      <c r="K11" s="333"/>
      <c r="L11" s="333" t="s">
        <v>16</v>
      </c>
      <c r="M11" s="333"/>
      <c r="N11" s="333"/>
      <c r="O11" s="333"/>
      <c r="P11" s="333"/>
      <c r="Q11" s="333"/>
      <c r="R11" s="333"/>
      <c r="S11" s="333"/>
      <c r="T11" s="333"/>
      <c r="U11" s="333"/>
      <c r="V11" s="336"/>
      <c r="W11" s="173"/>
      <c r="X11" s="309">
        <f>IF(F11&lt;&gt;"",IF(Input!T12&lt;&gt;"",Input!T12,""),"")</f>
        <v>0</v>
      </c>
      <c r="Y11" s="449">
        <f>IFERROR(IF($X$5="","",IF(F11&lt;&gt;"",(Input!T12/Input!$T$6)*100,"")),"NA")</f>
        <v>0</v>
      </c>
      <c r="Z11" s="310" t="str">
        <f>IF(F11&lt;&gt;"",IF(Input!U12&lt;&gt;"",Input!U12,""),"")</f>
        <v/>
      </c>
      <c r="AA11" s="449">
        <f>IFERROR(IF($Z$5="","",IF(F11&lt;&gt;"",(Input!U12/Input!$U$6)*100,"")),"NA")</f>
        <v>0</v>
      </c>
      <c r="AB11" s="310" t="str">
        <f>IF(F11&lt;&gt;"",IF(Input!V12&lt;&gt;"",Input!V12,""),"")</f>
        <v/>
      </c>
      <c r="AC11" s="449" t="str">
        <f>IFERROR(IF($AB$5="","",IF(F11&lt;&gt;"",(Input!V12/Input!$V$6)*100,"")),"NA")</f>
        <v/>
      </c>
      <c r="AD11" s="310" t="str">
        <f>IF(F11&lt;&gt;"",IF(Input!W12&lt;&gt;"",Input!W12,""),"")</f>
        <v/>
      </c>
      <c r="AE11" s="449" t="str">
        <f>IFERROR(IF($AD$5="","",IF(F11&lt;&gt;"",(Input!W12/Input!$W$6)*100,"")),"NA")</f>
        <v/>
      </c>
      <c r="AF11" s="108">
        <f>IF(Input!X12="Error","Error",IF(F11="","",IF($X$5="",0,IF(F11&lt;&gt;"",IFERROR(AVERAGE(Y11,AA11,AC11,AE11)*$AF$4,0),""))))</f>
        <v>0</v>
      </c>
      <c r="AG11" s="174"/>
      <c r="AH11" s="175">
        <f>IF(F11&lt;&gt;"",IF(Input!Y12&lt;&gt;"",Input!Y12,""),"")</f>
        <v>9</v>
      </c>
      <c r="AI11" s="451">
        <f>IFERROR(IF($AH$5="","",IF(F11&lt;&gt;"",(Input!Y12/Input!$Y$6)*100,"")),"NA")</f>
        <v>90</v>
      </c>
      <c r="AJ11" s="176">
        <f>IF(F11&lt;&gt;"",IF(Input!Z12&lt;&gt;"",Input!Z12,""),"")</f>
        <v>0</v>
      </c>
      <c r="AK11" s="451">
        <f>IFERROR(IF($AJ$5="","",IF(F11&lt;&gt;"",(Input!Z12/Input!$Z$6)*100,"")),"NA")</f>
        <v>0</v>
      </c>
      <c r="AL11" s="176" t="str">
        <f>IF(F11&lt;&gt;"",IF(Input!AA12&lt;&gt;"",Input!AA12,""),"")</f>
        <v/>
      </c>
      <c r="AM11" s="451">
        <f>IFERROR(IF($AL$5="","",IF(F11&lt;&gt;"",(Input!AA12/Input!$AA$6)*100,"")),"NA")</f>
        <v>0</v>
      </c>
      <c r="AN11" s="177" t="str">
        <f>IF(F11&lt;&gt;"",IF(Input!AB12&lt;&gt;"",Input!AB12,""),"")</f>
        <v/>
      </c>
      <c r="AO11" s="451" t="str">
        <f>IFERROR(IF($AN$5="","",IF(F11&lt;&gt;"",(Input!AB12/Input!$AB$6)*100,"")),"NA")</f>
        <v/>
      </c>
      <c r="AP11" s="303">
        <f>IF(Input!AC12="Error","Error",IF(F11="","",IF($AH$5="",0,IF(F11&lt;&gt;"",IFERROR(AVERAGE(AI11,AK11,AM11,AO11)*$AP$4,0),""))))</f>
        <v>6</v>
      </c>
      <c r="AQ11" s="174"/>
      <c r="AR11" s="231">
        <f>IF(Input!AD12="","",IF(F11&lt;&gt;"",Input!AD12,""))</f>
        <v>30</v>
      </c>
      <c r="AS11" s="179">
        <f>IF(F11="","",IF(Input!AE12="Error","Error",IF(ISNUMBER(Input!AE12),(Input!AE12*$AS$4),"")))</f>
        <v>21.428571428571427</v>
      </c>
      <c r="AT11" s="331">
        <f>IF(V11="D","DRP",
IF(F11&lt;&gt;"",
IF(OR(AF11="Error",AP11="Error",AS11="Error"),"Error",
IF(Input!AD12="","-",ROUND(AF11+AP11+AS11,2))),""))</f>
        <v>27.43</v>
      </c>
      <c r="AU11" s="180">
        <f>IF(F11&lt;&gt;"",VLOOKUP(AT11,TRANSMUTATION!$A$2:$B$14,2),"")</f>
        <v>5</v>
      </c>
      <c r="AV11" s="232">
        <f t="shared" si="1"/>
        <v>9</v>
      </c>
      <c r="AW11" s="182"/>
      <c r="AX11" s="183">
        <v>2.5</v>
      </c>
      <c r="AY11" s="184">
        <f t="shared" si="0"/>
        <v>0</v>
      </c>
      <c r="AZ11" s="98"/>
      <c r="BA11" s="97"/>
    </row>
    <row r="12" spans="1:53" ht="15" x14ac:dyDescent="0.2">
      <c r="A12" s="97"/>
      <c r="C12" s="194">
        <v>6</v>
      </c>
      <c r="D12" s="203" t="str">
        <f>IF(Input!D13&lt;&gt;"",IF(F12&lt;&gt;"",Input!D13,""),"")</f>
        <v>02000433161</v>
      </c>
      <c r="E12" s="297"/>
      <c r="F12" s="298" t="str">
        <f>(IF(Input!F13&lt;&gt;"",Input!F13,""))</f>
        <v>MAGADIA, LOURD GAVIN BUEZA</v>
      </c>
      <c r="G12" s="333"/>
      <c r="H12" s="333"/>
      <c r="I12" s="333" t="s">
        <v>16</v>
      </c>
      <c r="J12" s="333"/>
      <c r="K12" s="333"/>
      <c r="L12" s="333" t="s">
        <v>16</v>
      </c>
      <c r="M12" s="333"/>
      <c r="N12" s="333"/>
      <c r="O12" s="333"/>
      <c r="P12" s="333"/>
      <c r="Q12" s="333"/>
      <c r="R12" s="333"/>
      <c r="S12" s="333"/>
      <c r="T12" s="333"/>
      <c r="U12" s="333"/>
      <c r="V12" s="336"/>
      <c r="W12" s="173"/>
      <c r="X12" s="309">
        <f>IF(F12&lt;&gt;"",IF(Input!T13&lt;&gt;"",Input!T13,""),"")</f>
        <v>0</v>
      </c>
      <c r="Y12" s="449">
        <f>IFERROR(IF($X$5="","",IF(F12&lt;&gt;"",(Input!T13/Input!$T$6)*100,"")),"NA")</f>
        <v>0</v>
      </c>
      <c r="Z12" s="310" t="str">
        <f>IF(F12&lt;&gt;"",IF(Input!U13&lt;&gt;"",Input!U13,""),"")</f>
        <v/>
      </c>
      <c r="AA12" s="449">
        <f>IFERROR(IF($Z$5="","",IF(F12&lt;&gt;"",(Input!U13/Input!$U$6)*100,"")),"NA")</f>
        <v>0</v>
      </c>
      <c r="AB12" s="310" t="str">
        <f>IF(F12&lt;&gt;"",IF(Input!V13&lt;&gt;"",Input!V13,""),"")</f>
        <v/>
      </c>
      <c r="AC12" s="449" t="str">
        <f>IFERROR(IF($AB$5="","",IF(F12&lt;&gt;"",(Input!V13/Input!$V$6)*100,"")),"NA")</f>
        <v/>
      </c>
      <c r="AD12" s="310" t="str">
        <f>IF(F12&lt;&gt;"",IF(Input!W13&lt;&gt;"",Input!W13,""),"")</f>
        <v/>
      </c>
      <c r="AE12" s="449" t="str">
        <f>IFERROR(IF($AD$5="","",IF(F12&lt;&gt;"",(Input!W13/Input!$W$6)*100,"")),"NA")</f>
        <v/>
      </c>
      <c r="AF12" s="108">
        <f>IF(Input!X13="Error","Error",IF(F12="","",IF($X$5="",0,IF(F12&lt;&gt;"",IFERROR(AVERAGE(Y12,AA12,AC12,AE12)*$AF$4,0),""))))</f>
        <v>0</v>
      </c>
      <c r="AG12" s="174"/>
      <c r="AH12" s="175">
        <f>IF(F12&lt;&gt;"",IF(Input!Y13&lt;&gt;"",Input!Y13,""),"")</f>
        <v>0</v>
      </c>
      <c r="AI12" s="451">
        <f>IFERROR(IF($AH$5="","",IF(F12&lt;&gt;"",(Input!Y13/Input!$Y$6)*100,"")),"NA")</f>
        <v>0</v>
      </c>
      <c r="AJ12" s="176">
        <f>IF(F12&lt;&gt;"",IF(Input!Z13&lt;&gt;"",Input!Z13,""),"")</f>
        <v>0</v>
      </c>
      <c r="AK12" s="451">
        <f>IFERROR(IF($AJ$5="","",IF(F12&lt;&gt;"",(Input!Z13/Input!$Z$6)*100,"")),"NA")</f>
        <v>0</v>
      </c>
      <c r="AL12" s="176" t="str">
        <f>IF(F12&lt;&gt;"",IF(Input!AA13&lt;&gt;"",Input!AA13,""),"")</f>
        <v/>
      </c>
      <c r="AM12" s="451">
        <f>IFERROR(IF($AL$5="","",IF(F12&lt;&gt;"",(Input!AA13/Input!$AA$6)*100,"")),"NA")</f>
        <v>0</v>
      </c>
      <c r="AN12" s="177" t="str">
        <f>IF(F12&lt;&gt;"",IF(Input!AB13&lt;&gt;"",Input!AB13,""),"")</f>
        <v/>
      </c>
      <c r="AO12" s="451" t="str">
        <f>IFERROR(IF($AN$5="","",IF(F12&lt;&gt;"",(Input!AB13/Input!$AB$6)*100,"")),"NA")</f>
        <v/>
      </c>
      <c r="AP12" s="303">
        <f>IF(Input!AC13="Error","Error",IF(F12="","",IF($AH$5="",0,IF(F12&lt;&gt;"",IFERROR(AVERAGE(AI12,AK12,AM12,AO12)*$AP$4,0),""))))</f>
        <v>0</v>
      </c>
      <c r="AQ12" s="174"/>
      <c r="AR12" s="231">
        <f>IF(Input!AD13="","",IF(F12&lt;&gt;"",Input!AD13,""))</f>
        <v>30</v>
      </c>
      <c r="AS12" s="179">
        <f>IF(F12="","",IF(Input!AE13="Error","Error",IF(ISNUMBER(Input!AE13),(Input!AE13*$AS$4),"")))</f>
        <v>21.428571428571427</v>
      </c>
      <c r="AT12" s="331">
        <f>IF(V12="D","DRP",
IF(F12&lt;&gt;"",
IF(OR(AF12="Error",AP12="Error",AS12="Error"),"Error",
IF(Input!AD13="","-",ROUND(AF12+AP12+AS12,2))),""))</f>
        <v>21.43</v>
      </c>
      <c r="AU12" s="180">
        <f>IF(F12&lt;&gt;"",VLOOKUP(AT12,TRANSMUTATION!$A$2:$B$14,2),"")</f>
        <v>5</v>
      </c>
      <c r="AV12" s="232">
        <f t="shared" si="1"/>
        <v>10</v>
      </c>
      <c r="AW12" s="182"/>
      <c r="AX12" s="183">
        <v>2.75</v>
      </c>
      <c r="AY12" s="184">
        <f t="shared" si="0"/>
        <v>0</v>
      </c>
      <c r="AZ12" s="98"/>
      <c r="BA12" s="97"/>
    </row>
    <row r="13" spans="1:53" ht="15" x14ac:dyDescent="0.2">
      <c r="A13" s="97"/>
      <c r="C13" s="194">
        <v>7</v>
      </c>
      <c r="D13" s="203" t="str">
        <f>IF(Input!D14&lt;&gt;"",IF(F13&lt;&gt;"",Input!D14,""),"")</f>
        <v>02000511375</v>
      </c>
      <c r="E13" s="297"/>
      <c r="F13" s="298" t="str">
        <f>(IF(Input!F14&lt;&gt;"",Input!F14,""))</f>
        <v>MANZANO, JHON KENNETH</v>
      </c>
      <c r="G13" s="333"/>
      <c r="H13" s="333"/>
      <c r="I13" s="333" t="s">
        <v>16</v>
      </c>
      <c r="J13" s="333"/>
      <c r="K13" s="333"/>
      <c r="L13" s="333" t="s">
        <v>16</v>
      </c>
      <c r="M13" s="333"/>
      <c r="N13" s="333"/>
      <c r="O13" s="333"/>
      <c r="P13" s="333"/>
      <c r="Q13" s="333"/>
      <c r="R13" s="333"/>
      <c r="S13" s="333"/>
      <c r="T13" s="333"/>
      <c r="U13" s="333"/>
      <c r="V13" s="336"/>
      <c r="W13" s="173"/>
      <c r="X13" s="309">
        <f>IF(F13&lt;&gt;"",IF(Input!T14&lt;&gt;"",Input!T14,""),"")</f>
        <v>0</v>
      </c>
      <c r="Y13" s="449">
        <f>IFERROR(IF($X$5="","",IF(F13&lt;&gt;"",(Input!T14/Input!$T$6)*100,"")),"NA")</f>
        <v>0</v>
      </c>
      <c r="Z13" s="310" t="str">
        <f>IF(F13&lt;&gt;"",IF(Input!U14&lt;&gt;"",Input!U14,""),"")</f>
        <v/>
      </c>
      <c r="AA13" s="449">
        <f>IFERROR(IF($Z$5="","",IF(F13&lt;&gt;"",(Input!U14/Input!$U$6)*100,"")),"NA")</f>
        <v>0</v>
      </c>
      <c r="AB13" s="310" t="str">
        <f>IF(F13&lt;&gt;"",IF(Input!V14&lt;&gt;"",Input!V14,""),"")</f>
        <v/>
      </c>
      <c r="AC13" s="449" t="str">
        <f>IFERROR(IF($AB$5="","",IF(F13&lt;&gt;"",(Input!V14/Input!$V$6)*100,"")),"NA")</f>
        <v/>
      </c>
      <c r="AD13" s="310" t="str">
        <f>IF(F13&lt;&gt;"",IF(Input!W14&lt;&gt;"",Input!W14,""),"")</f>
        <v/>
      </c>
      <c r="AE13" s="449" t="str">
        <f>IFERROR(IF($AD$5="","",IF(F13&lt;&gt;"",(Input!W14/Input!$W$6)*100,"")),"NA")</f>
        <v/>
      </c>
      <c r="AF13" s="108">
        <f>IF(Input!X14="Error","Error",IF(F13="","",IF($X$5="",0,IF(F13&lt;&gt;"",IFERROR(AVERAGE(Y13,AA13,AC13,AE13)*$AF$4,0),""))))</f>
        <v>0</v>
      </c>
      <c r="AG13" s="174"/>
      <c r="AH13" s="175">
        <f>IF(F13&lt;&gt;"",IF(Input!Y14&lt;&gt;"",Input!Y14,""),"")</f>
        <v>7</v>
      </c>
      <c r="AI13" s="451">
        <f>IFERROR(IF($AH$5="","",IF(F13&lt;&gt;"",(Input!Y14/Input!$Y$6)*100,"")),"NA")</f>
        <v>70</v>
      </c>
      <c r="AJ13" s="176">
        <f>IF(F13&lt;&gt;"",IF(Input!Z14&lt;&gt;"",Input!Z14,""),"")</f>
        <v>0</v>
      </c>
      <c r="AK13" s="451">
        <f>IFERROR(IF($AJ$5="","",IF(F13&lt;&gt;"",(Input!Z14/Input!$Z$6)*100,"")),"NA")</f>
        <v>0</v>
      </c>
      <c r="AL13" s="176" t="str">
        <f>IF(F13&lt;&gt;"",IF(Input!AA14&lt;&gt;"",Input!AA14,""),"")</f>
        <v/>
      </c>
      <c r="AM13" s="451">
        <f>IFERROR(IF($AL$5="","",IF(F13&lt;&gt;"",(Input!AA14/Input!$AA$6)*100,"")),"NA")</f>
        <v>0</v>
      </c>
      <c r="AN13" s="177" t="str">
        <f>IF(F13&lt;&gt;"",IF(Input!AB14&lt;&gt;"",Input!AB14,""),"")</f>
        <v/>
      </c>
      <c r="AO13" s="451" t="str">
        <f>IFERROR(IF($AN$5="","",IF(F13&lt;&gt;"",(Input!AB14/Input!$AB$6)*100,"")),"NA")</f>
        <v/>
      </c>
      <c r="AP13" s="303">
        <f>IF(Input!AC14="Error","Error",IF(F13="","",IF($AH$5="",0,IF(F13&lt;&gt;"",IFERROR(AVERAGE(AI13,AK13,AM13,AO13)*$AP$4,0),""))))</f>
        <v>4.666666666666667</v>
      </c>
      <c r="AQ13" s="174"/>
      <c r="AR13" s="231" t="str">
        <f>IF(Input!AD14="","",IF(F13&lt;&gt;"",Input!AD14,""))</f>
        <v/>
      </c>
      <c r="AS13" s="179" t="str">
        <f>IF(F13="","",IF(Input!AE14="Error","Error",IF(ISNUMBER(Input!AE14),(Input!AE14*$AS$4),"")))</f>
        <v/>
      </c>
      <c r="AT13" s="331" t="str">
        <f>IF(V13="D","DRP",
IF(F13&lt;&gt;"",
IF(OR(AF13="Error",AP13="Error",AS13="Error"),"Error",
IF(Input!AD14="","-",ROUND(AF13+AP13+AS13,2))),""))</f>
        <v>-</v>
      </c>
      <c r="AU13" s="180" t="str">
        <f>IF(F13&lt;&gt;"",VLOOKUP(AT13,TRANSMUTATION!$A$2:$B$14,2),"")</f>
        <v>INC</v>
      </c>
      <c r="AV13" s="232" t="str">
        <f t="shared" si="1"/>
        <v/>
      </c>
      <c r="AW13" s="182"/>
      <c r="AX13" s="183">
        <v>3</v>
      </c>
      <c r="AY13" s="184">
        <f t="shared" si="0"/>
        <v>1</v>
      </c>
      <c r="AZ13" s="98"/>
      <c r="BA13" s="97"/>
    </row>
    <row r="14" spans="1:53" ht="15" x14ac:dyDescent="0.2">
      <c r="A14" s="97"/>
      <c r="C14" s="194">
        <v>8</v>
      </c>
      <c r="D14" s="203" t="str">
        <f>IF(Input!D15&lt;&gt;"",IF(F14&lt;&gt;"",Input!D15,""),"")</f>
        <v>02000511957</v>
      </c>
      <c r="E14" s="297"/>
      <c r="F14" s="298" t="str">
        <f>(IF(Input!F15&lt;&gt;"",Input!F15,""))</f>
        <v>OLAYRES, PRINCESS ENOLVA</v>
      </c>
      <c r="G14" s="333"/>
      <c r="H14" s="333"/>
      <c r="I14" s="333" t="s">
        <v>16</v>
      </c>
      <c r="J14" s="333"/>
      <c r="K14" s="333"/>
      <c r="L14" s="333" t="s">
        <v>16</v>
      </c>
      <c r="M14" s="333"/>
      <c r="N14" s="333"/>
      <c r="O14" s="333"/>
      <c r="P14" s="333"/>
      <c r="Q14" s="333"/>
      <c r="R14" s="333"/>
      <c r="S14" s="333"/>
      <c r="T14" s="333"/>
      <c r="U14" s="333"/>
      <c r="V14" s="336"/>
      <c r="W14" s="173"/>
      <c r="X14" s="309">
        <f>IF(F14&lt;&gt;"",IF(Input!T15&lt;&gt;"",Input!T15,""),"")</f>
        <v>18</v>
      </c>
      <c r="Y14" s="449">
        <f>IFERROR(IF($X$5="","",IF(F14&lt;&gt;"",(Input!T15/Input!$T$6)*100,"")),"NA")</f>
        <v>36</v>
      </c>
      <c r="Z14" s="310" t="str">
        <f>IF(F14&lt;&gt;"",IF(Input!U15&lt;&gt;"",Input!U15,""),"")</f>
        <v/>
      </c>
      <c r="AA14" s="449">
        <f>IFERROR(IF($Z$5="","",IF(F14&lt;&gt;"",(Input!U15/Input!$U$6)*100,"")),"NA")</f>
        <v>0</v>
      </c>
      <c r="AB14" s="310" t="str">
        <f>IF(F14&lt;&gt;"",IF(Input!V15&lt;&gt;"",Input!V15,""),"")</f>
        <v/>
      </c>
      <c r="AC14" s="449" t="str">
        <f>IFERROR(IF($AB$5="","",IF(F14&lt;&gt;"",(Input!V15/Input!$V$6)*100,"")),"NA")</f>
        <v/>
      </c>
      <c r="AD14" s="310" t="str">
        <f>IF(F14&lt;&gt;"",IF(Input!W15&lt;&gt;"",Input!W15,""),"")</f>
        <v/>
      </c>
      <c r="AE14" s="449" t="str">
        <f>IFERROR(IF($AD$5="","",IF(F14&lt;&gt;"",(Input!W15/Input!$W$6)*100,"")),"NA")</f>
        <v/>
      </c>
      <c r="AF14" s="108">
        <f>IF(Input!X15="Error","Error",IF(F14="","",IF($X$5="",0,IF(F14&lt;&gt;"",IFERROR(AVERAGE(Y14,AA14,AC14,AE14)*$AF$4,0),""))))</f>
        <v>5.3999999999999995</v>
      </c>
      <c r="AG14" s="174"/>
      <c r="AH14" s="175">
        <f>IF(F14&lt;&gt;"",IF(Input!Y15&lt;&gt;"",Input!Y15,""),"")</f>
        <v>6</v>
      </c>
      <c r="AI14" s="451">
        <f>IFERROR(IF($AH$5="","",IF(F14&lt;&gt;"",(Input!Y15/Input!$Y$6)*100,"")),"NA")</f>
        <v>60</v>
      </c>
      <c r="AJ14" s="176">
        <f>IF(F14&lt;&gt;"",IF(Input!Z15&lt;&gt;"",Input!Z15,""),"")</f>
        <v>20</v>
      </c>
      <c r="AK14" s="451">
        <f>IFERROR(IF($AJ$5="","",IF(F14&lt;&gt;"",(Input!Z15/Input!$Z$6)*100,"")),"NA")</f>
        <v>100</v>
      </c>
      <c r="AL14" s="176" t="str">
        <f>IF(F14&lt;&gt;"",IF(Input!AA15&lt;&gt;"",Input!AA15,""),"")</f>
        <v/>
      </c>
      <c r="AM14" s="451">
        <f>IFERROR(IF($AL$5="","",IF(F14&lt;&gt;"",(Input!AA15/Input!$AA$6)*100,"")),"NA")</f>
        <v>0</v>
      </c>
      <c r="AN14" s="177" t="str">
        <f>IF(F14&lt;&gt;"",IF(Input!AB15&lt;&gt;"",Input!AB15,""),"")</f>
        <v/>
      </c>
      <c r="AO14" s="451" t="str">
        <f>IFERROR(IF($AN$5="","",IF(F14&lt;&gt;"",(Input!AB15/Input!$AB$6)*100,"")),"NA")</f>
        <v/>
      </c>
      <c r="AP14" s="303">
        <f>IF(Input!AC15="Error","Error",IF(F14="","",IF($AH$5="",0,IF(F14&lt;&gt;"",IFERROR(AVERAGE(AI14,AK14,AM14,AO14)*$AP$4,0),""))))</f>
        <v>10.666666666666668</v>
      </c>
      <c r="AQ14" s="174"/>
      <c r="AR14" s="231">
        <f>IF(Input!AD15="","",IF(F14&lt;&gt;"",Input!AD15,""))</f>
        <v>30</v>
      </c>
      <c r="AS14" s="179">
        <f>IF(F14="","",IF(Input!AE15="Error","Error",IF(ISNUMBER(Input!AE15),(Input!AE15*$AS$4),"")))</f>
        <v>21.428571428571427</v>
      </c>
      <c r="AT14" s="331">
        <f>IF(V14="D","DRP",
IF(F14&lt;&gt;"",
IF(OR(AF14="Error",AP14="Error",AS14="Error"),"Error",
IF(Input!AD15="","-",ROUND(AF14+AP14+AS14,2))),""))</f>
        <v>37.5</v>
      </c>
      <c r="AU14" s="180">
        <f>IF(F14&lt;&gt;"",VLOOKUP(AT14,TRANSMUTATION!$A$2:$B$14,2),"")</f>
        <v>5</v>
      </c>
      <c r="AV14" s="232">
        <f t="shared" si="1"/>
        <v>8</v>
      </c>
      <c r="AW14" s="182"/>
      <c r="AX14" s="183">
        <v>5</v>
      </c>
      <c r="AY14" s="184">
        <f t="shared" si="0"/>
        <v>12</v>
      </c>
      <c r="AZ14" s="98"/>
      <c r="BA14" s="97"/>
    </row>
    <row r="15" spans="1:53" ht="15" x14ac:dyDescent="0.2">
      <c r="A15" s="97"/>
      <c r="C15" s="194">
        <v>9</v>
      </c>
      <c r="D15" s="203" t="str">
        <f>IF(Input!D16&lt;&gt;"",IF(F15&lt;&gt;"",Input!D16,""),"")</f>
        <v>02000512988</v>
      </c>
      <c r="E15" s="297"/>
      <c r="F15" s="298" t="str">
        <f>(IF(Input!F16&lt;&gt;"",Input!F16,""))</f>
        <v>OSEA, SANTINO JOSHUA NUYDA</v>
      </c>
      <c r="G15" s="333"/>
      <c r="H15" s="333"/>
      <c r="I15" s="333" t="s">
        <v>16</v>
      </c>
      <c r="J15" s="333"/>
      <c r="K15" s="333"/>
      <c r="L15" s="333" t="s">
        <v>16</v>
      </c>
      <c r="M15" s="333"/>
      <c r="N15" s="333"/>
      <c r="O15" s="333"/>
      <c r="P15" s="333"/>
      <c r="Q15" s="333"/>
      <c r="R15" s="333"/>
      <c r="S15" s="333"/>
      <c r="T15" s="333"/>
      <c r="U15" s="333"/>
      <c r="V15" s="336"/>
      <c r="W15" s="173"/>
      <c r="X15" s="309">
        <f>IF(F15&lt;&gt;"",IF(Input!T16&lt;&gt;"",Input!T16,""),"")</f>
        <v>0</v>
      </c>
      <c r="Y15" s="449">
        <f>IFERROR(IF($X$5="","",IF(F15&lt;&gt;"",(Input!T16/Input!$T$6)*100,"")),"NA")</f>
        <v>0</v>
      </c>
      <c r="Z15" s="310" t="str">
        <f>IF(F15&lt;&gt;"",IF(Input!U16&lt;&gt;"",Input!U16,""),"")</f>
        <v/>
      </c>
      <c r="AA15" s="449">
        <f>IFERROR(IF($Z$5="","",IF(F15&lt;&gt;"",(Input!U16/Input!$U$6)*100,"")),"NA")</f>
        <v>0</v>
      </c>
      <c r="AB15" s="310" t="str">
        <f>IF(F15&lt;&gt;"",IF(Input!V16&lt;&gt;"",Input!V16,""),"")</f>
        <v/>
      </c>
      <c r="AC15" s="449" t="str">
        <f>IFERROR(IF($AB$5="","",IF(F15&lt;&gt;"",(Input!V16/Input!$V$6)*100,"")),"NA")</f>
        <v/>
      </c>
      <c r="AD15" s="310" t="str">
        <f>IF(F15&lt;&gt;"",IF(Input!W16&lt;&gt;"",Input!W16,""),"")</f>
        <v/>
      </c>
      <c r="AE15" s="449" t="str">
        <f>IFERROR(IF($AD$5="","",IF(F15&lt;&gt;"",(Input!W16/Input!$W$6)*100,"")),"NA")</f>
        <v/>
      </c>
      <c r="AF15" s="108">
        <f>IF(Input!X16="Error","Error",IF(F15="","",IF($X$5="",0,IF(F15&lt;&gt;"",IFERROR(AVERAGE(Y15,AA15,AC15,AE15)*$AF$4,0),""))))</f>
        <v>0</v>
      </c>
      <c r="AG15" s="174"/>
      <c r="AH15" s="175">
        <f>IF(F15&lt;&gt;"",IF(Input!Y16&lt;&gt;"",Input!Y16,""),"")</f>
        <v>5</v>
      </c>
      <c r="AI15" s="451">
        <f>IFERROR(IF($AH$5="","",IF(F15&lt;&gt;"",(Input!Y16/Input!$Y$6)*100,"")),"NA")</f>
        <v>50</v>
      </c>
      <c r="AJ15" s="176">
        <f>IF(F15&lt;&gt;"",IF(Input!Z16&lt;&gt;"",Input!Z16,""),"")</f>
        <v>0</v>
      </c>
      <c r="AK15" s="451">
        <f>IFERROR(IF($AJ$5="","",IF(F15&lt;&gt;"",(Input!Z16/Input!$Z$6)*100,"")),"NA")</f>
        <v>0</v>
      </c>
      <c r="AL15" s="176" t="str">
        <f>IF(F15&lt;&gt;"",IF(Input!AA16&lt;&gt;"",Input!AA16,""),"")</f>
        <v/>
      </c>
      <c r="AM15" s="451">
        <f>IFERROR(IF($AL$5="","",IF(F15&lt;&gt;"",(Input!AA16/Input!$AA$6)*100,"")),"NA")</f>
        <v>0</v>
      </c>
      <c r="AN15" s="177" t="str">
        <f>IF(F15&lt;&gt;"",IF(Input!AB16&lt;&gt;"",Input!AB16,""),"")</f>
        <v/>
      </c>
      <c r="AO15" s="451" t="str">
        <f>IFERROR(IF($AN$5="","",IF(F15&lt;&gt;"",(Input!AB16/Input!$AB$6)*100,"")),"NA")</f>
        <v/>
      </c>
      <c r="AP15" s="303">
        <f>IF(Input!AC16="Error","Error",IF(F15="","",IF($AH$5="",0,IF(F15&lt;&gt;"",IFERROR(AVERAGE(AI15,AK15,AM15,AO15)*$AP$4,0),""))))</f>
        <v>3.3333333333333339</v>
      </c>
      <c r="AQ15" s="174"/>
      <c r="AR15" s="231">
        <f>IF(Input!AD16="","",IF(F15&lt;&gt;"",Input!AD16,""))</f>
        <v>48</v>
      </c>
      <c r="AS15" s="179">
        <f>IF(F15="","",IF(Input!AE16="Error","Error",IF(ISNUMBER(Input!AE16),(Input!AE16*$AS$4),"")))</f>
        <v>34.285714285714285</v>
      </c>
      <c r="AT15" s="331">
        <f>IF(V15="D","DRP",
IF(F15&lt;&gt;"",
IF(OR(AF15="Error",AP15="Error",AS15="Error"),"Error",
IF(Input!AD16="","-",ROUND(AF15+AP15+AS15,2))),""))</f>
        <v>37.619999999999997</v>
      </c>
      <c r="AU15" s="180">
        <f>IF(F15&lt;&gt;"",VLOOKUP(AT15,TRANSMUTATION!$A$2:$B$14,2),"")</f>
        <v>5</v>
      </c>
      <c r="AV15" s="232">
        <f t="shared" si="1"/>
        <v>7</v>
      </c>
      <c r="AW15" s="182"/>
      <c r="AX15" s="183" t="s">
        <v>116</v>
      </c>
      <c r="AY15" s="184">
        <f t="shared" si="0"/>
        <v>0</v>
      </c>
      <c r="AZ15" s="98"/>
      <c r="BA15" s="97"/>
    </row>
    <row r="16" spans="1:53" ht="15" x14ac:dyDescent="0.2">
      <c r="A16" s="97"/>
      <c r="C16" s="194">
        <v>10</v>
      </c>
      <c r="D16" s="203" t="str">
        <f>IF(Input!D17&lt;&gt;"",IF(F16&lt;&gt;"",Input!D17,""),"")</f>
        <v>02000509944</v>
      </c>
      <c r="E16" s="297"/>
      <c r="F16" s="298" t="str">
        <f>(IF(Input!F17&lt;&gt;"",Input!F17,""))</f>
        <v>RAMOS, RAFAH MORAL</v>
      </c>
      <c r="G16" s="333"/>
      <c r="H16" s="333"/>
      <c r="I16" s="333" t="s">
        <v>16</v>
      </c>
      <c r="J16" s="333"/>
      <c r="K16" s="333"/>
      <c r="L16" s="333" t="s">
        <v>16</v>
      </c>
      <c r="M16" s="333"/>
      <c r="N16" s="333"/>
      <c r="O16" s="333"/>
      <c r="P16" s="333"/>
      <c r="Q16" s="333"/>
      <c r="R16" s="333"/>
      <c r="S16" s="333"/>
      <c r="T16" s="333"/>
      <c r="U16" s="333"/>
      <c r="V16" s="336"/>
      <c r="W16" s="173"/>
      <c r="X16" s="309">
        <f>IF(F16&lt;&gt;"",IF(Input!T17&lt;&gt;"",Input!T17,""),"")</f>
        <v>0</v>
      </c>
      <c r="Y16" s="449">
        <f>IFERROR(IF($X$5="","",IF(F16&lt;&gt;"",(Input!T17/Input!$T$6)*100,"")),"NA")</f>
        <v>0</v>
      </c>
      <c r="Z16" s="310" t="str">
        <f>IF(F16&lt;&gt;"",IF(Input!U17&lt;&gt;"",Input!U17,""),"")</f>
        <v/>
      </c>
      <c r="AA16" s="449">
        <f>IFERROR(IF($Z$5="","",IF(F16&lt;&gt;"",(Input!U17/Input!$U$6)*100,"")),"NA")</f>
        <v>0</v>
      </c>
      <c r="AB16" s="310" t="str">
        <f>IF(F16&lt;&gt;"",IF(Input!V17&lt;&gt;"",Input!V17,""),"")</f>
        <v/>
      </c>
      <c r="AC16" s="449" t="str">
        <f>IFERROR(IF($AB$5="","",IF(F16&lt;&gt;"",(Input!V17/Input!$V$6)*100,"")),"NA")</f>
        <v/>
      </c>
      <c r="AD16" s="310" t="str">
        <f>IF(F16&lt;&gt;"",IF(Input!W17&lt;&gt;"",Input!W17,""),"")</f>
        <v/>
      </c>
      <c r="AE16" s="449" t="str">
        <f>IFERROR(IF($AD$5="","",IF(F16&lt;&gt;"",(Input!W17/Input!$W$6)*100,"")),"NA")</f>
        <v/>
      </c>
      <c r="AF16" s="108">
        <f>IF(Input!X17="Error","Error",IF(F16="","",IF($X$5="",0,IF(F16&lt;&gt;"",IFERROR(AVERAGE(Y16,AA16,AC16,AE16)*$AF$4,0),""))))</f>
        <v>0</v>
      </c>
      <c r="AG16" s="174"/>
      <c r="AH16" s="175">
        <f>IF(F16&lt;&gt;"",IF(Input!Y17&lt;&gt;"",Input!Y17,""),"")</f>
        <v>0</v>
      </c>
      <c r="AI16" s="451">
        <f>IFERROR(IF($AH$5="","",IF(F16&lt;&gt;"",(Input!Y17/Input!$Y$6)*100,"")),"NA")</f>
        <v>0</v>
      </c>
      <c r="AJ16" s="176">
        <f>IF(F16&lt;&gt;"",IF(Input!Z17&lt;&gt;"",Input!Z17,""),"")</f>
        <v>0</v>
      </c>
      <c r="AK16" s="451">
        <f>IFERROR(IF($AJ$5="","",IF(F16&lt;&gt;"",(Input!Z17/Input!$Z$6)*100,"")),"NA")</f>
        <v>0</v>
      </c>
      <c r="AL16" s="176" t="str">
        <f>IF(F16&lt;&gt;"",IF(Input!AA17&lt;&gt;"",Input!AA17,""),"")</f>
        <v/>
      </c>
      <c r="AM16" s="451">
        <f>IFERROR(IF($AL$5="","",IF(F16&lt;&gt;"",(Input!AA17/Input!$AA$6)*100,"")),"NA")</f>
        <v>0</v>
      </c>
      <c r="AN16" s="177" t="str">
        <f>IF(F16&lt;&gt;"",IF(Input!AB17&lt;&gt;"",Input!AB17,""),"")</f>
        <v/>
      </c>
      <c r="AO16" s="451" t="str">
        <f>IFERROR(IF($AN$5="","",IF(F16&lt;&gt;"",(Input!AB17/Input!$AB$6)*100,"")),"NA")</f>
        <v/>
      </c>
      <c r="AP16" s="303">
        <f>IF(Input!AC17="Error","Error",IF(F16="","",IF($AH$5="",0,IF(F16&lt;&gt;"",IFERROR(AVERAGE(AI16,AK16,AM16,AO16)*$AP$4,0),""))))</f>
        <v>0</v>
      </c>
      <c r="AQ16" s="174"/>
      <c r="AR16" s="231">
        <f>IF(Input!AD17="","",IF(F16&lt;&gt;"",Input!AD17,""))</f>
        <v>18</v>
      </c>
      <c r="AS16" s="179">
        <f>IF(F16="","",IF(Input!AE17="Error","Error",IF(ISNUMBER(Input!AE17),(Input!AE17*$AS$4),"")))</f>
        <v>12.857142857142856</v>
      </c>
      <c r="AT16" s="331">
        <f>IF(V16="D","DRP",
IF(F16&lt;&gt;"",
IF(OR(AF16="Error",AP16="Error",AS16="Error"),"Error",
IF(Input!AD17="","-",ROUND(AF16+AP16+AS16,2))),""))</f>
        <v>12.86</v>
      </c>
      <c r="AU16" s="180">
        <f>IF(F16&lt;&gt;"",VLOOKUP(AT16,TRANSMUTATION!$A$2:$B$14,2),"")</f>
        <v>5</v>
      </c>
      <c r="AV16" s="232">
        <f t="shared" si="1"/>
        <v>13</v>
      </c>
      <c r="AW16" s="182"/>
      <c r="AX16" s="185" t="s">
        <v>117</v>
      </c>
      <c r="AY16" s="186">
        <f t="shared" si="0"/>
        <v>4</v>
      </c>
      <c r="AZ16" s="98"/>
      <c r="BA16" s="97"/>
    </row>
    <row r="17" spans="1:53" ht="15" customHeight="1" thickBot="1" x14ac:dyDescent="0.25">
      <c r="A17" s="97"/>
      <c r="C17" s="194">
        <v>11</v>
      </c>
      <c r="D17" s="203" t="str">
        <f>IF(Input!D18&lt;&gt;"",IF(F17&lt;&gt;"",Input!D18,""),"")</f>
        <v>02000492694</v>
      </c>
      <c r="E17" s="297"/>
      <c r="F17" s="298" t="str">
        <f>(IF(Input!F18&lt;&gt;"",Input!F18,""))</f>
        <v>RAYNES, RAISSEN ISAIAH NOCITO</v>
      </c>
      <c r="G17" s="333"/>
      <c r="H17" s="333"/>
      <c r="I17" s="333" t="s">
        <v>16</v>
      </c>
      <c r="J17" s="333"/>
      <c r="K17" s="333"/>
      <c r="L17" s="333" t="s">
        <v>16</v>
      </c>
      <c r="M17" s="333"/>
      <c r="N17" s="333"/>
      <c r="O17" s="333"/>
      <c r="P17" s="333"/>
      <c r="Q17" s="333"/>
      <c r="R17" s="333"/>
      <c r="S17" s="333"/>
      <c r="T17" s="333"/>
      <c r="U17" s="333"/>
      <c r="V17" s="336"/>
      <c r="W17" s="173"/>
      <c r="X17" s="309">
        <f>IF(F17&lt;&gt;"",IF(Input!T18&lt;&gt;"",Input!T18,""),"")</f>
        <v>0</v>
      </c>
      <c r="Y17" s="449">
        <f>IFERROR(IF($X$5="","",IF(F17&lt;&gt;"",(Input!T18/Input!$T$6)*100,"")),"NA")</f>
        <v>0</v>
      </c>
      <c r="Z17" s="310" t="str">
        <f>IF(F17&lt;&gt;"",IF(Input!U18&lt;&gt;"",Input!U18,""),"")</f>
        <v/>
      </c>
      <c r="AA17" s="449">
        <f>IFERROR(IF($Z$5="","",IF(F17&lt;&gt;"",(Input!U18/Input!$U$6)*100,"")),"NA")</f>
        <v>0</v>
      </c>
      <c r="AB17" s="310" t="str">
        <f>IF(F17&lt;&gt;"",IF(Input!V18&lt;&gt;"",Input!V18,""),"")</f>
        <v/>
      </c>
      <c r="AC17" s="449" t="str">
        <f>IFERROR(IF($AB$5="","",IF(F17&lt;&gt;"",(Input!V18/Input!$V$6)*100,"")),"NA")</f>
        <v/>
      </c>
      <c r="AD17" s="310" t="str">
        <f>IF(F17&lt;&gt;"",IF(Input!W18&lt;&gt;"",Input!W18,""),"")</f>
        <v/>
      </c>
      <c r="AE17" s="449" t="str">
        <f>IFERROR(IF($AD$5="","",IF(F17&lt;&gt;"",(Input!W18/Input!$W$6)*100,"")),"NA")</f>
        <v/>
      </c>
      <c r="AF17" s="108">
        <f>IF(Input!X18="Error","Error",IF(F17="","",IF($X$5="",0,IF(F17&lt;&gt;"",IFERROR(AVERAGE(Y17,AA17,AC17,AE17)*$AF$4,0),""))))</f>
        <v>0</v>
      </c>
      <c r="AG17" s="174"/>
      <c r="AH17" s="175">
        <f>IF(F17&lt;&gt;"",IF(Input!Y18&lt;&gt;"",Input!Y18,""),"")</f>
        <v>9</v>
      </c>
      <c r="AI17" s="451">
        <f>IFERROR(IF($AH$5="","",IF(F17&lt;&gt;"",(Input!Y18/Input!$Y$6)*100,"")),"NA")</f>
        <v>90</v>
      </c>
      <c r="AJ17" s="176">
        <f>IF(F17&lt;&gt;"",IF(Input!Z18&lt;&gt;"",Input!Z18,""),"")</f>
        <v>0</v>
      </c>
      <c r="AK17" s="451">
        <f>IFERROR(IF($AJ$5="","",IF(F17&lt;&gt;"",(Input!Z18/Input!$Z$6)*100,"")),"NA")</f>
        <v>0</v>
      </c>
      <c r="AL17" s="176" t="str">
        <f>IF(F17&lt;&gt;"",IF(Input!AA18&lt;&gt;"",Input!AA18,""),"")</f>
        <v/>
      </c>
      <c r="AM17" s="451">
        <f>IFERROR(IF($AL$5="","",IF(F17&lt;&gt;"",(Input!AA18/Input!$AA$6)*100,"")),"NA")</f>
        <v>0</v>
      </c>
      <c r="AN17" s="177" t="str">
        <f>IF(F17&lt;&gt;"",IF(Input!AB18&lt;&gt;"",Input!AB18,""),"")</f>
        <v/>
      </c>
      <c r="AO17" s="451" t="str">
        <f>IFERROR(IF($AN$5="","",IF(F17&lt;&gt;"",(Input!AB18/Input!$AB$6)*100,"")),"NA")</f>
        <v/>
      </c>
      <c r="AP17" s="303">
        <f>IF(Input!AC18="Error","Error",IF(F17="","",IF($AH$5="",0,IF(F17&lt;&gt;"",IFERROR(AVERAGE(AI17,AK17,AM17,AO17)*$AP$4,0),""))))</f>
        <v>6</v>
      </c>
      <c r="AQ17" s="174"/>
      <c r="AR17" s="231">
        <f>IF(Input!AD18="","",IF(F17&lt;&gt;"",Input!AD18,""))</f>
        <v>48</v>
      </c>
      <c r="AS17" s="179">
        <f>IF(F17="","",IF(Input!AE18="Error","Error",IF(ISNUMBER(Input!AE18),(Input!AE18*$AS$4),"")))</f>
        <v>34.285714285714285</v>
      </c>
      <c r="AT17" s="331">
        <f>IF(V17="D","DRP",
IF(F17&lt;&gt;"",
IF(OR(AF17="Error",AP17="Error",AS17="Error"),"Error",
IF(Input!AD18="","-",ROUND(AF17+AP17+AS17,2))),""))</f>
        <v>40.29</v>
      </c>
      <c r="AU17" s="180">
        <f>IF(F17&lt;&gt;"",VLOOKUP(AT17,TRANSMUTATION!$A$2:$B$14,2),"")</f>
        <v>5</v>
      </c>
      <c r="AV17" s="232">
        <f t="shared" si="1"/>
        <v>6</v>
      </c>
      <c r="AW17" s="182"/>
      <c r="AX17" s="187" t="s">
        <v>118</v>
      </c>
      <c r="AY17" s="188">
        <f>SUM(AY5:AY16)</f>
        <v>17</v>
      </c>
      <c r="AZ17" s="98"/>
      <c r="BA17" s="97"/>
    </row>
    <row r="18" spans="1:53" ht="15" x14ac:dyDescent="0.2">
      <c r="A18" s="97"/>
      <c r="C18" s="194">
        <v>12</v>
      </c>
      <c r="D18" s="203" t="str">
        <f>IF(Input!D19&lt;&gt;"",IF(F18&lt;&gt;"",Input!D19,""),"")</f>
        <v>02000512583</v>
      </c>
      <c r="E18" s="297"/>
      <c r="F18" s="298" t="str">
        <f>(IF(Input!F19&lt;&gt;"",Input!F19,""))</f>
        <v>SANCHEZ, CASEY FIONA NOCUS</v>
      </c>
      <c r="G18" s="333"/>
      <c r="H18" s="333"/>
      <c r="I18" s="333" t="s">
        <v>16</v>
      </c>
      <c r="J18" s="333"/>
      <c r="K18" s="333"/>
      <c r="L18" s="333" t="s">
        <v>16</v>
      </c>
      <c r="M18" s="333"/>
      <c r="N18" s="333"/>
      <c r="O18" s="333"/>
      <c r="P18" s="333"/>
      <c r="Q18" s="333"/>
      <c r="R18" s="333"/>
      <c r="S18" s="333"/>
      <c r="T18" s="333"/>
      <c r="U18" s="333"/>
      <c r="V18" s="336"/>
      <c r="W18" s="173"/>
      <c r="X18" s="309">
        <f>IF(F18&lt;&gt;"",IF(Input!T19&lt;&gt;"",Input!T19,""),"")</f>
        <v>24</v>
      </c>
      <c r="Y18" s="449">
        <f>IFERROR(IF($X$5="","",IF(F18&lt;&gt;"",(Input!T19/Input!$T$6)*100,"")),"NA")</f>
        <v>48</v>
      </c>
      <c r="Z18" s="310" t="str">
        <f>IF(F18&lt;&gt;"",IF(Input!U19&lt;&gt;"",Input!U19,""),"")</f>
        <v/>
      </c>
      <c r="AA18" s="449">
        <f>IFERROR(IF($Z$5="","",IF(F18&lt;&gt;"",(Input!U19/Input!$U$6)*100,"")),"NA")</f>
        <v>0</v>
      </c>
      <c r="AB18" s="310" t="str">
        <f>IF(F18&lt;&gt;"",IF(Input!V19&lt;&gt;"",Input!V19,""),"")</f>
        <v/>
      </c>
      <c r="AC18" s="449" t="str">
        <f>IFERROR(IF($AB$5="","",IF(F18&lt;&gt;"",(Input!V19/Input!$V$6)*100,"")),"NA")</f>
        <v/>
      </c>
      <c r="AD18" s="310" t="str">
        <f>IF(F18&lt;&gt;"",IF(Input!W19&lt;&gt;"",Input!W19,""),"")</f>
        <v/>
      </c>
      <c r="AE18" s="449" t="str">
        <f>IFERROR(IF($AD$5="","",IF(F18&lt;&gt;"",(Input!W19/Input!$W$6)*100,"")),"NA")</f>
        <v/>
      </c>
      <c r="AF18" s="108">
        <f>IF(Input!X19="Error","Error",IF(F18="","",IF($X$5="",0,IF(F18&lt;&gt;"",IFERROR(AVERAGE(Y18,AA18,AC18,AE18)*$AF$4,0),""))))</f>
        <v>7.1999999999999993</v>
      </c>
      <c r="AG18" s="174"/>
      <c r="AH18" s="175">
        <f>IF(F18&lt;&gt;"",IF(Input!Y19&lt;&gt;"",Input!Y19,""),"")</f>
        <v>9</v>
      </c>
      <c r="AI18" s="451">
        <f>IFERROR(IF($AH$5="","",IF(F18&lt;&gt;"",(Input!Y19/Input!$Y$6)*100,"")),"NA")</f>
        <v>90</v>
      </c>
      <c r="AJ18" s="176">
        <f>IF(F18&lt;&gt;"",IF(Input!Z19&lt;&gt;"",Input!Z19,""),"")</f>
        <v>16</v>
      </c>
      <c r="AK18" s="451">
        <f>IFERROR(IF($AJ$5="","",IF(F18&lt;&gt;"",(Input!Z19/Input!$Z$6)*100,"")),"NA")</f>
        <v>80</v>
      </c>
      <c r="AL18" s="176" t="str">
        <f>IF(F18&lt;&gt;"",IF(Input!AA19&lt;&gt;"",Input!AA19,""),"")</f>
        <v/>
      </c>
      <c r="AM18" s="451">
        <f>IFERROR(IF($AL$5="","",IF(F18&lt;&gt;"",(Input!AA19/Input!$AA$6)*100,"")),"NA")</f>
        <v>0</v>
      </c>
      <c r="AN18" s="177" t="str">
        <f>IF(F18&lt;&gt;"",IF(Input!AB19&lt;&gt;"",Input!AB19,""),"")</f>
        <v/>
      </c>
      <c r="AO18" s="451" t="str">
        <f>IFERROR(IF($AN$5="","",IF(F18&lt;&gt;"",(Input!AB19/Input!$AB$6)*100,"")),"NA")</f>
        <v/>
      </c>
      <c r="AP18" s="303">
        <f>IF(Input!AC19="Error","Error",IF(F18="","",IF($AH$5="",0,IF(F18&lt;&gt;"",IFERROR(AVERAGE(AI18,AK18,AM18,AO18)*$AP$4,0),""))))</f>
        <v>11.333333333333334</v>
      </c>
      <c r="AQ18" s="174"/>
      <c r="AR18" s="231">
        <f>IF(Input!AD19="","",IF(F18&lt;&gt;"",Input!AD19,""))</f>
        <v>50</v>
      </c>
      <c r="AS18" s="179">
        <f>IF(F18="","",IF(Input!AE19="Error","Error",IF(ISNUMBER(Input!AE19),(Input!AE19*$AS$4),"")))</f>
        <v>35.714285714285715</v>
      </c>
      <c r="AT18" s="331">
        <f>IF(V18="D","DRP",
IF(F18&lt;&gt;"",
IF(OR(AF18="Error",AP18="Error",AS18="Error"),"Error",
IF(Input!AD19="","-",ROUND(AF18+AP18+AS18,2))),""))</f>
        <v>54.25</v>
      </c>
      <c r="AU18" s="180">
        <f>IF(F18&lt;&gt;"",VLOOKUP(AT18,TRANSMUTATION!$A$2:$B$14,2),"")</f>
        <v>5</v>
      </c>
      <c r="AV18" s="232">
        <f t="shared" si="1"/>
        <v>3</v>
      </c>
      <c r="AW18" s="182"/>
      <c r="AX18" s="98"/>
      <c r="AY18" s="98"/>
      <c r="AZ18" s="98"/>
      <c r="BA18" s="97"/>
    </row>
    <row r="19" spans="1:53" ht="15" x14ac:dyDescent="0.2">
      <c r="A19" s="97"/>
      <c r="C19" s="194">
        <v>13</v>
      </c>
      <c r="D19" s="203" t="str">
        <f>IF(Input!D20&lt;&gt;"",IF(F19&lt;&gt;"",Input!D20,""),"")</f>
        <v>02000510067</v>
      </c>
      <c r="E19" s="297"/>
      <c r="F19" s="298" t="str">
        <f>(IF(Input!F20&lt;&gt;"",Input!F20,""))</f>
        <v>SANOY, KARL ASHER MEDINA</v>
      </c>
      <c r="G19" s="333"/>
      <c r="H19" s="333"/>
      <c r="I19" s="333" t="s">
        <v>18</v>
      </c>
      <c r="J19" s="333"/>
      <c r="K19" s="333"/>
      <c r="L19" s="333" t="s">
        <v>18</v>
      </c>
      <c r="M19" s="333"/>
      <c r="N19" s="333"/>
      <c r="O19" s="333"/>
      <c r="P19" s="333"/>
      <c r="Q19" s="333"/>
      <c r="R19" s="333"/>
      <c r="S19" s="333"/>
      <c r="T19" s="333"/>
      <c r="U19" s="333"/>
      <c r="V19" s="336"/>
      <c r="W19" s="173"/>
      <c r="X19" s="309">
        <f>IF(F19&lt;&gt;"",IF(Input!T20&lt;&gt;"",Input!T20,""),"")</f>
        <v>14</v>
      </c>
      <c r="Y19" s="449">
        <f>IFERROR(IF($X$5="","",IF(F19&lt;&gt;"",(Input!T20/Input!$T$6)*100,"")),"NA")</f>
        <v>28.000000000000004</v>
      </c>
      <c r="Z19" s="310" t="str">
        <f>IF(F19&lt;&gt;"",IF(Input!U20&lt;&gt;"",Input!U20,""),"")</f>
        <v/>
      </c>
      <c r="AA19" s="449">
        <f>IFERROR(IF($Z$5="","",IF(F19&lt;&gt;"",(Input!U20/Input!$U$6)*100,"")),"NA")</f>
        <v>0</v>
      </c>
      <c r="AB19" s="310" t="str">
        <f>IF(F19&lt;&gt;"",IF(Input!V20&lt;&gt;"",Input!V20,""),"")</f>
        <v/>
      </c>
      <c r="AC19" s="449" t="str">
        <f>IFERROR(IF($AB$5="","",IF(F19&lt;&gt;"",(Input!V20/Input!$V$6)*100,"")),"NA")</f>
        <v/>
      </c>
      <c r="AD19" s="310" t="str">
        <f>IF(F19&lt;&gt;"",IF(Input!W20&lt;&gt;"",Input!W20,""),"")</f>
        <v/>
      </c>
      <c r="AE19" s="449" t="str">
        <f>IFERROR(IF($AD$5="","",IF(F19&lt;&gt;"",(Input!W20/Input!$W$6)*100,"")),"NA")</f>
        <v/>
      </c>
      <c r="AF19" s="108">
        <f>IF(Input!X20="Error","Error",IF(F19="","",IF($X$5="",0,IF(F19&lt;&gt;"",IFERROR(AVERAGE(Y19,AA19,AC19,AE19)*$AF$4,0),""))))</f>
        <v>4.2</v>
      </c>
      <c r="AG19" s="174"/>
      <c r="AH19" s="175">
        <f>IF(F19&lt;&gt;"",IF(Input!Y20&lt;&gt;"",Input!Y20,""),"")</f>
        <v>1</v>
      </c>
      <c r="AI19" s="451">
        <f>IFERROR(IF($AH$5="","",IF(F19&lt;&gt;"",(Input!Y20/Input!$Y$6)*100,"")),"NA")</f>
        <v>10</v>
      </c>
      <c r="AJ19" s="176">
        <f>IF(F19&lt;&gt;"",IF(Input!Z20&lt;&gt;"",Input!Z20,""),"")</f>
        <v>0</v>
      </c>
      <c r="AK19" s="451">
        <f>IFERROR(IF($AJ$5="","",IF(F19&lt;&gt;"",(Input!Z20/Input!$Z$6)*100,"")),"NA")</f>
        <v>0</v>
      </c>
      <c r="AL19" s="176" t="str">
        <f>IF(F19&lt;&gt;"",IF(Input!AA20&lt;&gt;"",Input!AA20,""),"")</f>
        <v/>
      </c>
      <c r="AM19" s="451">
        <f>IFERROR(IF($AL$5="","",IF(F19&lt;&gt;"",(Input!AA20/Input!$AA$6)*100,"")),"NA")</f>
        <v>0</v>
      </c>
      <c r="AN19" s="177" t="str">
        <f>IF(F19&lt;&gt;"",IF(Input!AB20&lt;&gt;"",Input!AB20,""),"")</f>
        <v/>
      </c>
      <c r="AO19" s="451" t="str">
        <f>IFERROR(IF($AN$5="","",IF(F19&lt;&gt;"",(Input!AB20/Input!$AB$6)*100,"")),"NA")</f>
        <v/>
      </c>
      <c r="AP19" s="303">
        <f>IF(Input!AC20="Error","Error",IF(F19="","",IF($AH$5="",0,IF(F19&lt;&gt;"",IFERROR(AVERAGE(AI19,AK19,AM19,AO19)*$AP$4,0),""))))</f>
        <v>0.66666666666666674</v>
      </c>
      <c r="AQ19" s="174"/>
      <c r="AR19" s="231" t="str">
        <f>IF(Input!AD20="","",IF(F19&lt;&gt;"",Input!AD20,""))</f>
        <v/>
      </c>
      <c r="AS19" s="179" t="str">
        <f>IF(F19="","",IF(Input!AE20="Error","Error",IF(ISNUMBER(Input!AE20),(Input!AE20*$AS$4),"")))</f>
        <v/>
      </c>
      <c r="AT19" s="331" t="str">
        <f>IF(V19="D","DRP",
IF(F19&lt;&gt;"",
IF(OR(AF19="Error",AP19="Error",AS19="Error"),"Error",
IF(Input!AD20="","-",ROUND(AF19+AP19+AS19,2))),""))</f>
        <v>-</v>
      </c>
      <c r="AU19" s="180" t="str">
        <f>IF(F19&lt;&gt;"",VLOOKUP(AT19,TRANSMUTATION!$A$2:$B$14,2),"")</f>
        <v>INC</v>
      </c>
      <c r="AV19" s="232" t="str">
        <f t="shared" si="1"/>
        <v/>
      </c>
      <c r="AW19" s="182"/>
      <c r="AX19" s="98"/>
      <c r="AY19" s="98"/>
      <c r="AZ19" s="98"/>
      <c r="BA19" s="97"/>
    </row>
    <row r="20" spans="1:53" ht="15" x14ac:dyDescent="0.2">
      <c r="A20" s="97"/>
      <c r="C20" s="194">
        <v>14</v>
      </c>
      <c r="D20" s="203" t="str">
        <f>IF(Input!D21&lt;&gt;"",IF(F20&lt;&gt;"",Input!D21,""),"")</f>
        <v>02000511216</v>
      </c>
      <c r="E20" s="297"/>
      <c r="F20" s="298" t="str">
        <f>(IF(Input!F21&lt;&gt;"",Input!F21,""))</f>
        <v>TENORIO, JENINA ROSE TIBATIB</v>
      </c>
      <c r="G20" s="333"/>
      <c r="H20" s="333"/>
      <c r="I20" s="333" t="s">
        <v>16</v>
      </c>
      <c r="J20" s="333"/>
      <c r="K20" s="333"/>
      <c r="L20" s="333" t="s">
        <v>16</v>
      </c>
      <c r="M20" s="333"/>
      <c r="N20" s="333"/>
      <c r="O20" s="333"/>
      <c r="P20" s="333"/>
      <c r="Q20" s="333"/>
      <c r="R20" s="333"/>
      <c r="S20" s="333"/>
      <c r="T20" s="333"/>
      <c r="U20" s="333"/>
      <c r="V20" s="336"/>
      <c r="W20" s="173"/>
      <c r="X20" s="309">
        <f>IF(F20&lt;&gt;"",IF(Input!T21&lt;&gt;"",Input!T21,""),"")</f>
        <v>0</v>
      </c>
      <c r="Y20" s="449">
        <f>IFERROR(IF($X$5="","",IF(F20&lt;&gt;"",(Input!T21/Input!$T$6)*100,"")),"NA")</f>
        <v>0</v>
      </c>
      <c r="Z20" s="310" t="str">
        <f>IF(F20&lt;&gt;"",IF(Input!U21&lt;&gt;"",Input!U21,""),"")</f>
        <v/>
      </c>
      <c r="AA20" s="449">
        <f>IFERROR(IF($Z$5="","",IF(F20&lt;&gt;"",(Input!U21/Input!$U$6)*100,"")),"NA")</f>
        <v>0</v>
      </c>
      <c r="AB20" s="310" t="str">
        <f>IF(F20&lt;&gt;"",IF(Input!V21&lt;&gt;"",Input!V21,""),"")</f>
        <v/>
      </c>
      <c r="AC20" s="449" t="str">
        <f>IFERROR(IF($AB$5="","",IF(F20&lt;&gt;"",(Input!V21/Input!$V$6)*100,"")),"NA")</f>
        <v/>
      </c>
      <c r="AD20" s="310" t="str">
        <f>IF(F20&lt;&gt;"",IF(Input!W21&lt;&gt;"",Input!W21,""),"")</f>
        <v/>
      </c>
      <c r="AE20" s="449" t="str">
        <f>IFERROR(IF($AD$5="","",IF(F20&lt;&gt;"",(Input!W21/Input!$W$6)*100,"")),"NA")</f>
        <v/>
      </c>
      <c r="AF20" s="108">
        <f>IF(Input!X21="Error","Error",IF(F20="","",IF($X$5="",0,IF(F20&lt;&gt;"",IFERROR(AVERAGE(Y20,AA20,AC20,AE20)*$AF$4,0),""))))</f>
        <v>0</v>
      </c>
      <c r="AG20" s="174"/>
      <c r="AH20" s="175">
        <f>IF(F20&lt;&gt;"",IF(Input!Y21&lt;&gt;"",Input!Y21,""),"")</f>
        <v>0</v>
      </c>
      <c r="AI20" s="451">
        <f>IFERROR(IF($AH$5="","",IF(F20&lt;&gt;"",(Input!Y21/Input!$Y$6)*100,"")),"NA")</f>
        <v>0</v>
      </c>
      <c r="AJ20" s="176">
        <f>IF(F20&lt;&gt;"",IF(Input!Z21&lt;&gt;"",Input!Z21,""),"")</f>
        <v>0</v>
      </c>
      <c r="AK20" s="451">
        <f>IFERROR(IF($AJ$5="","",IF(F20&lt;&gt;"",(Input!Z21/Input!$Z$6)*100,"")),"NA")</f>
        <v>0</v>
      </c>
      <c r="AL20" s="176" t="str">
        <f>IF(F20&lt;&gt;"",IF(Input!AA21&lt;&gt;"",Input!AA21,""),"")</f>
        <v/>
      </c>
      <c r="AM20" s="451">
        <f>IFERROR(IF($AL$5="","",IF(F20&lt;&gt;"",(Input!AA21/Input!$AA$6)*100,"")),"NA")</f>
        <v>0</v>
      </c>
      <c r="AN20" s="177" t="str">
        <f>IF(F20&lt;&gt;"",IF(Input!AB21&lt;&gt;"",Input!AB21,""),"")</f>
        <v/>
      </c>
      <c r="AO20" s="451" t="str">
        <f>IFERROR(IF($AN$5="","",IF(F20&lt;&gt;"",(Input!AB21/Input!$AB$6)*100,"")),"NA")</f>
        <v/>
      </c>
      <c r="AP20" s="303">
        <f>IF(Input!AC21="Error","Error",IF(F20="","",IF($AH$5="",0,IF(F20&lt;&gt;"",IFERROR(AVERAGE(AI20,AK20,AM20,AO20)*$AP$4,0),""))))</f>
        <v>0</v>
      </c>
      <c r="AQ20" s="174"/>
      <c r="AR20" s="231">
        <f>IF(Input!AD21="","",IF(F20&lt;&gt;"",Input!AD21,""))</f>
        <v>22</v>
      </c>
      <c r="AS20" s="179">
        <f>IF(F20="","",IF(Input!AE21="Error","Error",IF(ISNUMBER(Input!AE21),(Input!AE21*$AS$4),"")))</f>
        <v>15.714285714285714</v>
      </c>
      <c r="AT20" s="331">
        <f>IF(V20="D","DRP",
IF(F20&lt;&gt;"",
IF(OR(AF20="Error",AP20="Error",AS20="Error"),"Error",
IF(Input!AD21="","-",ROUND(AF20+AP20+AS20,2))),""))</f>
        <v>15.71</v>
      </c>
      <c r="AU20" s="180">
        <f>IF(F20&lt;&gt;"",VLOOKUP(AT20,TRANSMUTATION!$A$2:$B$14,2),"")</f>
        <v>5</v>
      </c>
      <c r="AV20" s="232">
        <f t="shared" si="1"/>
        <v>12</v>
      </c>
      <c r="AW20" s="182"/>
      <c r="AX20" s="98"/>
      <c r="AY20" s="98"/>
      <c r="AZ20" s="98"/>
      <c r="BA20" s="97"/>
    </row>
    <row r="21" spans="1:53" ht="15" x14ac:dyDescent="0.2">
      <c r="A21" s="97"/>
      <c r="C21" s="194">
        <v>15</v>
      </c>
      <c r="D21" s="203" t="str">
        <f>IF(Input!D22&lt;&gt;"",IF(F21&lt;&gt;"",Input!D22,""),"")</f>
        <v>02000402782</v>
      </c>
      <c r="E21" s="297"/>
      <c r="F21" s="298" t="str">
        <f>(IF(Input!F22&lt;&gt;"",Input!F22,""))</f>
        <v>TUAZON, PHOEBE RONTAS</v>
      </c>
      <c r="G21" s="333"/>
      <c r="H21" s="333"/>
      <c r="I21" s="333" t="s">
        <v>16</v>
      </c>
      <c r="J21" s="333"/>
      <c r="K21" s="333"/>
      <c r="L21" s="333" t="s">
        <v>16</v>
      </c>
      <c r="M21" s="333"/>
      <c r="N21" s="333"/>
      <c r="O21" s="333"/>
      <c r="P21" s="333"/>
      <c r="Q21" s="333"/>
      <c r="R21" s="333"/>
      <c r="S21" s="333"/>
      <c r="T21" s="333"/>
      <c r="U21" s="333"/>
      <c r="V21" s="336"/>
      <c r="W21" s="173"/>
      <c r="X21" s="309">
        <f>IF(F21&lt;&gt;"",IF(Input!T22&lt;&gt;"",Input!T22,""),"")</f>
        <v>47</v>
      </c>
      <c r="Y21" s="449">
        <f>IFERROR(IF($X$5="","",IF(F21&lt;&gt;"",(Input!T22/Input!$T$6)*100,"")),"NA")</f>
        <v>94</v>
      </c>
      <c r="Z21" s="310" t="str">
        <f>IF(F21&lt;&gt;"",IF(Input!U22&lt;&gt;"",Input!U22,""),"")</f>
        <v/>
      </c>
      <c r="AA21" s="449">
        <f>IFERROR(IF($Z$5="","",IF(F21&lt;&gt;"",(Input!U22/Input!$U$6)*100,"")),"NA")</f>
        <v>0</v>
      </c>
      <c r="AB21" s="310" t="str">
        <f>IF(F21&lt;&gt;"",IF(Input!V22&lt;&gt;"",Input!V22,""),"")</f>
        <v/>
      </c>
      <c r="AC21" s="449" t="str">
        <f>IFERROR(IF($AB$5="","",IF(F21&lt;&gt;"",(Input!V22/Input!$V$6)*100,"")),"NA")</f>
        <v/>
      </c>
      <c r="AD21" s="310" t="str">
        <f>IF(F21&lt;&gt;"",IF(Input!W22&lt;&gt;"",Input!W22,""),"")</f>
        <v/>
      </c>
      <c r="AE21" s="449" t="str">
        <f>IFERROR(IF($AD$5="","",IF(F21&lt;&gt;"",(Input!W22/Input!$W$6)*100,"")),"NA")</f>
        <v/>
      </c>
      <c r="AF21" s="108">
        <f>IF(Input!X22="Error","Error",IF(F21="","",IF($X$5="",0,IF(F21&lt;&gt;"",IFERROR(AVERAGE(Y21,AA21,AC21,AE21)*$AF$4,0),""))))</f>
        <v>14.1</v>
      </c>
      <c r="AG21" s="174"/>
      <c r="AH21" s="175">
        <f>IF(F21&lt;&gt;"",IF(Input!Y22&lt;&gt;"",Input!Y22,""),"")</f>
        <v>7</v>
      </c>
      <c r="AI21" s="451">
        <f>IFERROR(IF($AH$5="","",IF(F21&lt;&gt;"",(Input!Y22/Input!$Y$6)*100,"")),"NA")</f>
        <v>70</v>
      </c>
      <c r="AJ21" s="176">
        <f>IF(F21&lt;&gt;"",IF(Input!Z22&lt;&gt;"",Input!Z22,""),"")</f>
        <v>18</v>
      </c>
      <c r="AK21" s="451">
        <f>IFERROR(IF($AJ$5="","",IF(F21&lt;&gt;"",(Input!Z22/Input!$Z$6)*100,"")),"NA")</f>
        <v>90</v>
      </c>
      <c r="AL21" s="176" t="str">
        <f>IF(F21&lt;&gt;"",IF(Input!AA22&lt;&gt;"",Input!AA22,""),"")</f>
        <v/>
      </c>
      <c r="AM21" s="451">
        <f>IFERROR(IF($AL$5="","",IF(F21&lt;&gt;"",(Input!AA22/Input!$AA$6)*100,"")),"NA")</f>
        <v>0</v>
      </c>
      <c r="AN21" s="177" t="str">
        <f>IF(F21&lt;&gt;"",IF(Input!AB22&lt;&gt;"",Input!AB22,""),"")</f>
        <v/>
      </c>
      <c r="AO21" s="451" t="str">
        <f>IFERROR(IF($AN$5="","",IF(F21&lt;&gt;"",(Input!AB22/Input!$AB$6)*100,"")),"NA")</f>
        <v/>
      </c>
      <c r="AP21" s="303">
        <f>IF(Input!AC22="Error","Error",IF(F21="","",IF($AH$5="",0,IF(F21&lt;&gt;"",IFERROR(AVERAGE(AI21,AK21,AM21,AO21)*$AP$4,0),""))))</f>
        <v>10.666666666666668</v>
      </c>
      <c r="AQ21" s="174"/>
      <c r="AR21" s="231">
        <f>IF(Input!AD22="","",IF(F21&lt;&gt;"",Input!AD22,""))</f>
        <v>42</v>
      </c>
      <c r="AS21" s="179">
        <f>IF(F21="","",IF(Input!AE22="Error","Error",IF(ISNUMBER(Input!AE22),(Input!AE22*$AS$4),"")))</f>
        <v>30</v>
      </c>
      <c r="AT21" s="331">
        <f>IF(V21="D","DRP",
IF(F21&lt;&gt;"",
IF(OR(AF21="Error",AP21="Error",AS21="Error"),"Error",
IF(Input!AD22="","-",ROUND(AF21+AP21+AS21,2))),""))</f>
        <v>54.77</v>
      </c>
      <c r="AU21" s="180">
        <f>IF(F21&lt;&gt;"",VLOOKUP(AT21,TRANSMUTATION!$A$2:$B$14,2),"")</f>
        <v>5</v>
      </c>
      <c r="AV21" s="232">
        <f t="shared" si="1"/>
        <v>2</v>
      </c>
      <c r="AW21" s="182"/>
      <c r="AX21" s="98"/>
      <c r="AY21" s="98"/>
      <c r="AZ21" s="98"/>
      <c r="BA21" s="97"/>
    </row>
    <row r="22" spans="1:53" ht="15" x14ac:dyDescent="0.2">
      <c r="A22" s="97"/>
      <c r="C22" s="194">
        <v>16</v>
      </c>
      <c r="D22" s="203" t="str">
        <f>IF(Input!D23&lt;&gt;"",IF(F22&lt;&gt;"",Input!D23,""),"")</f>
        <v>02000511382</v>
      </c>
      <c r="E22" s="297"/>
      <c r="F22" s="298" t="str">
        <f>(IF(Input!F23&lt;&gt;"",Input!F23,""))</f>
        <v>TUMACAG, JOHN RAVE VALERA</v>
      </c>
      <c r="G22" s="333"/>
      <c r="H22" s="333"/>
      <c r="I22" s="333" t="s">
        <v>16</v>
      </c>
      <c r="J22" s="333"/>
      <c r="K22" s="333"/>
      <c r="L22" s="333" t="s">
        <v>16</v>
      </c>
      <c r="M22" s="333"/>
      <c r="N22" s="333"/>
      <c r="O22" s="333"/>
      <c r="P22" s="333"/>
      <c r="Q22" s="333"/>
      <c r="R22" s="333"/>
      <c r="S22" s="333"/>
      <c r="T22" s="333"/>
      <c r="U22" s="333"/>
      <c r="V22" s="336"/>
      <c r="W22" s="173"/>
      <c r="X22" s="309">
        <f>IF(F22&lt;&gt;"",IF(Input!T23&lt;&gt;"",Input!T23,""),"")</f>
        <v>48</v>
      </c>
      <c r="Y22" s="449">
        <f>IFERROR(IF($X$5="","",IF(F22&lt;&gt;"",(Input!T23/Input!$T$6)*100,"")),"NA")</f>
        <v>96</v>
      </c>
      <c r="Z22" s="310" t="str">
        <f>IF(F22&lt;&gt;"",IF(Input!U23&lt;&gt;"",Input!U23,""),"")</f>
        <v/>
      </c>
      <c r="AA22" s="449">
        <f>IFERROR(IF($Z$5="","",IF(F22&lt;&gt;"",(Input!U23/Input!$U$6)*100,"")),"NA")</f>
        <v>0</v>
      </c>
      <c r="AB22" s="310" t="str">
        <f>IF(F22&lt;&gt;"",IF(Input!V23&lt;&gt;"",Input!V23,""),"")</f>
        <v/>
      </c>
      <c r="AC22" s="449" t="str">
        <f>IFERROR(IF($AB$5="","",IF(F22&lt;&gt;"",(Input!V23/Input!$V$6)*100,"")),"NA")</f>
        <v/>
      </c>
      <c r="AD22" s="310" t="str">
        <f>IF(F22&lt;&gt;"",IF(Input!W23&lt;&gt;"",Input!W23,""),"")</f>
        <v/>
      </c>
      <c r="AE22" s="449" t="str">
        <f>IFERROR(IF($AD$5="","",IF(F22&lt;&gt;"",(Input!W23/Input!$W$6)*100,"")),"NA")</f>
        <v/>
      </c>
      <c r="AF22" s="108">
        <f>IF(Input!X23="Error","Error",IF(F22="","",IF($X$5="",0,IF(F22&lt;&gt;"",IFERROR(AVERAGE(Y22,AA22,AC22,AE22)*$AF$4,0),""))))</f>
        <v>14.399999999999999</v>
      </c>
      <c r="AG22" s="174"/>
      <c r="AH22" s="175">
        <f>IF(F22&lt;&gt;"",IF(Input!Y23&lt;&gt;"",Input!Y23,""),"")</f>
        <v>5</v>
      </c>
      <c r="AI22" s="451">
        <f>IFERROR(IF($AH$5="","",IF(F22&lt;&gt;"",(Input!Y23/Input!$Y$6)*100,"")),"NA")</f>
        <v>50</v>
      </c>
      <c r="AJ22" s="176">
        <f>IF(F22&lt;&gt;"",IF(Input!Z23&lt;&gt;"",Input!Z23,""),"")</f>
        <v>18</v>
      </c>
      <c r="AK22" s="451">
        <f>IFERROR(IF($AJ$5="","",IF(F22&lt;&gt;"",(Input!Z23/Input!$Z$6)*100,"")),"NA")</f>
        <v>90</v>
      </c>
      <c r="AL22" s="176" t="str">
        <f>IF(F22&lt;&gt;"",IF(Input!AA23&lt;&gt;"",Input!AA23,""),"")</f>
        <v/>
      </c>
      <c r="AM22" s="451">
        <f>IFERROR(IF($AL$5="","",IF(F22&lt;&gt;"",(Input!AA23/Input!$AA$6)*100,"")),"NA")</f>
        <v>0</v>
      </c>
      <c r="AN22" s="177" t="str">
        <f>IF(F22&lt;&gt;"",IF(Input!AB23&lt;&gt;"",Input!AB23,""),"")</f>
        <v/>
      </c>
      <c r="AO22" s="451" t="str">
        <f>IFERROR(IF($AN$5="","",IF(F22&lt;&gt;"",(Input!AB23/Input!$AB$6)*100,"")),"NA")</f>
        <v/>
      </c>
      <c r="AP22" s="303">
        <f>IF(Input!AC23="Error","Error",IF(F22="","",IF($AH$5="",0,IF(F22&lt;&gt;"",IFERROR(AVERAGE(AI22,AK22,AM22,AO22)*$AP$4,0),""))))</f>
        <v>9.3333333333333339</v>
      </c>
      <c r="AQ22" s="174"/>
      <c r="AR22" s="231">
        <f>IF(Input!AD23="","",IF(F22&lt;&gt;"",Input!AD23,""))</f>
        <v>40</v>
      </c>
      <c r="AS22" s="179">
        <f>IF(F22="","",IF(Input!AE23="Error","Error",IF(ISNUMBER(Input!AE23),(Input!AE23*$AS$4),"")))</f>
        <v>28.571428571428569</v>
      </c>
      <c r="AT22" s="331">
        <f>IF(V22="D","DRP",
IF(F22&lt;&gt;"",
IF(OR(AF22="Error",AP22="Error",AS22="Error"),"Error",
IF(Input!AD23="","-",ROUND(AF22+AP22+AS22,2))),""))</f>
        <v>52.3</v>
      </c>
      <c r="AU22" s="180">
        <f>IF(F22&lt;&gt;"",VLOOKUP(AT22,TRANSMUTATION!$A$2:$B$14,2),"")</f>
        <v>5</v>
      </c>
      <c r="AV22" s="232">
        <f t="shared" si="1"/>
        <v>4</v>
      </c>
      <c r="AW22" s="182"/>
      <c r="AX22" s="98"/>
      <c r="AY22" s="98"/>
      <c r="AZ22" s="98"/>
      <c r="BA22" s="97"/>
    </row>
    <row r="23" spans="1:53" ht="15" x14ac:dyDescent="0.2">
      <c r="A23" s="97"/>
      <c r="C23" s="194">
        <v>17</v>
      </c>
      <c r="D23" s="203" t="str">
        <f>IF(Input!D24&lt;&gt;"",IF(F23&lt;&gt;"",Input!D24,""),"")</f>
        <v>02000301305</v>
      </c>
      <c r="E23" s="297"/>
      <c r="F23" s="298" t="str">
        <f>(IF(Input!F24&lt;&gt;"",Input!F24,""))</f>
        <v>UMALI, RINZO CAMU</v>
      </c>
      <c r="G23" s="333"/>
      <c r="H23" s="333"/>
      <c r="I23" s="333" t="s">
        <v>18</v>
      </c>
      <c r="J23" s="333"/>
      <c r="K23" s="333"/>
      <c r="L23" s="333" t="s">
        <v>18</v>
      </c>
      <c r="M23" s="333"/>
      <c r="N23" s="333"/>
      <c r="O23" s="333"/>
      <c r="P23" s="333"/>
      <c r="Q23" s="333"/>
      <c r="R23" s="333"/>
      <c r="S23" s="333"/>
      <c r="T23" s="333"/>
      <c r="U23" s="333"/>
      <c r="V23" s="336"/>
      <c r="W23" s="173"/>
      <c r="X23" s="309">
        <f>IF(F23&lt;&gt;"",IF(Input!T24&lt;&gt;"",Input!T24,""),"")</f>
        <v>14</v>
      </c>
      <c r="Y23" s="449">
        <f>IFERROR(IF($X$5="","",IF(F23&lt;&gt;"",(Input!T24/Input!$T$6)*100,"")),"NA")</f>
        <v>28.000000000000004</v>
      </c>
      <c r="Z23" s="310" t="str">
        <f>IF(F23&lt;&gt;"",IF(Input!U24&lt;&gt;"",Input!U24,""),"")</f>
        <v/>
      </c>
      <c r="AA23" s="449">
        <f>IFERROR(IF($Z$5="","",IF(F23&lt;&gt;"",(Input!U24/Input!$U$6)*100,"")),"NA")</f>
        <v>0</v>
      </c>
      <c r="AB23" s="310" t="str">
        <f>IF(F23&lt;&gt;"",IF(Input!V24&lt;&gt;"",Input!V24,""),"")</f>
        <v/>
      </c>
      <c r="AC23" s="449" t="str">
        <f>IFERROR(IF($AB$5="","",IF(F23&lt;&gt;"",(Input!V24/Input!$V$6)*100,"")),"NA")</f>
        <v/>
      </c>
      <c r="AD23" s="310" t="str">
        <f>IF(F23&lt;&gt;"",IF(Input!W24&lt;&gt;"",Input!W24,""),"")</f>
        <v/>
      </c>
      <c r="AE23" s="449" t="str">
        <f>IFERROR(IF($AD$5="","",IF(F23&lt;&gt;"",(Input!W24/Input!$W$6)*100,"")),"NA")</f>
        <v/>
      </c>
      <c r="AF23" s="108">
        <f>IF(Input!X24="Error","Error",IF(F23="","",IF($X$5="",0,IF(F23&lt;&gt;"",IFERROR(AVERAGE(Y23,AA23,AC23,AE23)*$AF$4,0),""))))</f>
        <v>4.2</v>
      </c>
      <c r="AG23" s="174"/>
      <c r="AH23" s="175">
        <f>IF(F23&lt;&gt;"",IF(Input!Y24&lt;&gt;"",Input!Y24,""),"")</f>
        <v>3</v>
      </c>
      <c r="AI23" s="451">
        <f>IFERROR(IF($AH$5="","",IF(F23&lt;&gt;"",(Input!Y24/Input!$Y$6)*100,"")),"NA")</f>
        <v>30</v>
      </c>
      <c r="AJ23" s="176">
        <f>IF(F23&lt;&gt;"",IF(Input!Z24&lt;&gt;"",Input!Z24,""),"")</f>
        <v>10</v>
      </c>
      <c r="AK23" s="451">
        <f>IFERROR(IF($AJ$5="","",IF(F23&lt;&gt;"",(Input!Z24/Input!$Z$6)*100,"")),"NA")</f>
        <v>50</v>
      </c>
      <c r="AL23" s="176" t="str">
        <f>IF(F23&lt;&gt;"",IF(Input!AA24&lt;&gt;"",Input!AA24,""),"")</f>
        <v/>
      </c>
      <c r="AM23" s="451">
        <f>IFERROR(IF($AL$5="","",IF(F23&lt;&gt;"",(Input!AA24/Input!$AA$6)*100,"")),"NA")</f>
        <v>0</v>
      </c>
      <c r="AN23" s="177" t="str">
        <f>IF(F23&lt;&gt;"",IF(Input!AB24&lt;&gt;"",Input!AB24,""),"")</f>
        <v/>
      </c>
      <c r="AO23" s="451" t="str">
        <f>IFERROR(IF($AN$5="","",IF(F23&lt;&gt;"",(Input!AB24/Input!$AB$6)*100,"")),"NA")</f>
        <v/>
      </c>
      <c r="AP23" s="303">
        <f>IF(Input!AC24="Error","Error",IF(F23="","",IF($AH$5="",0,IF(F23&lt;&gt;"",IFERROR(AVERAGE(AI23,AK23,AM23,AO23)*$AP$4,0),""))))</f>
        <v>5.3333333333333339</v>
      </c>
      <c r="AQ23" s="174"/>
      <c r="AR23" s="231" t="str">
        <f>IF(Input!AD24="","",IF(F23&lt;&gt;"",Input!AD24,""))</f>
        <v/>
      </c>
      <c r="AS23" s="179" t="str">
        <f>IF(F23="","",IF(Input!AE24="Error","Error",IF(ISNUMBER(Input!AE24),(Input!AE24*$AS$4),"")))</f>
        <v/>
      </c>
      <c r="AT23" s="331" t="str">
        <f>IF(V23="D","DRP",
IF(F23&lt;&gt;"",
IF(OR(AF23="Error",AP23="Error",AS23="Error"),"Error",
IF(Input!AD24="","-",ROUND(AF23+AP23+AS23,2))),""))</f>
        <v>-</v>
      </c>
      <c r="AU23" s="180" t="str">
        <f>IF(F23&lt;&gt;"",VLOOKUP(AT23,TRANSMUTATION!$A$2:$B$14,2),"")</f>
        <v>INC</v>
      </c>
      <c r="AV23" s="232" t="str">
        <f t="shared" si="1"/>
        <v/>
      </c>
      <c r="AW23" s="182"/>
      <c r="AX23" s="98"/>
      <c r="AY23" s="98"/>
      <c r="AZ23" s="98"/>
      <c r="BA23" s="97"/>
    </row>
    <row r="24" spans="1:53" ht="15" x14ac:dyDescent="0.2">
      <c r="A24" s="97"/>
      <c r="C24" s="194">
        <v>18</v>
      </c>
      <c r="D24" s="203" t="str">
        <f>IF(Input!D25&lt;&gt;"",IF(F24&lt;&gt;"",Input!D25,""),"")</f>
        <v/>
      </c>
      <c r="E24" s="297"/>
      <c r="F24" s="298" t="str">
        <f>(IF(Input!F25&lt;&gt;"",Input!F25,""))</f>
        <v/>
      </c>
      <c r="G24" s="333"/>
      <c r="H24" s="333"/>
      <c r="I24" s="333"/>
      <c r="J24" s="333"/>
      <c r="K24" s="333"/>
      <c r="L24" s="333"/>
      <c r="M24" s="333"/>
      <c r="N24" s="333"/>
      <c r="O24" s="333"/>
      <c r="P24" s="333"/>
      <c r="Q24" s="333"/>
      <c r="R24" s="333"/>
      <c r="S24" s="333"/>
      <c r="T24" s="333"/>
      <c r="U24" s="333"/>
      <c r="V24" s="336"/>
      <c r="W24" s="173"/>
      <c r="X24" s="309" t="str">
        <f>IF(F24&lt;&gt;"",IF(Input!T25&lt;&gt;"",Input!T25,""),"")</f>
        <v/>
      </c>
      <c r="Y24" s="449" t="str">
        <f>IFERROR(IF($X$5="","",IF(F24&lt;&gt;"",(Input!T25/Input!$T$6)*100,"")),"NA")</f>
        <v/>
      </c>
      <c r="Z24" s="310" t="str">
        <f>IF(F24&lt;&gt;"",IF(Input!U25&lt;&gt;"",Input!U25,""),"")</f>
        <v/>
      </c>
      <c r="AA24" s="449" t="str">
        <f>IFERROR(IF($Z$5="","",IF(F24&lt;&gt;"",(Input!U25/Input!$U$6)*100,"")),"NA")</f>
        <v/>
      </c>
      <c r="AB24" s="310" t="str">
        <f>IF(F24&lt;&gt;"",IF(Input!V25&lt;&gt;"",Input!V25,""),"")</f>
        <v/>
      </c>
      <c r="AC24" s="449" t="str">
        <f>IFERROR(IF($AB$5="","",IF(F24&lt;&gt;"",(Input!V25/Input!$V$6)*100,"")),"NA")</f>
        <v/>
      </c>
      <c r="AD24" s="310" t="str">
        <f>IF(F24&lt;&gt;"",IF(Input!W25&lt;&gt;"",Input!W25,""),"")</f>
        <v/>
      </c>
      <c r="AE24" s="449" t="str">
        <f>IFERROR(IF($AD$5="","",IF(F24&lt;&gt;"",(Input!W25/Input!$W$6)*100,"")),"NA")</f>
        <v/>
      </c>
      <c r="AF24" s="108" t="str">
        <f>IF(Input!X25="Error","Error",IF(F24="","",IF($X$5="",0,IF(F24&lt;&gt;"",IFERROR(AVERAGE(Y24,AA24,AC24,AE24)*$AF$4,0),""))))</f>
        <v/>
      </c>
      <c r="AG24" s="174"/>
      <c r="AH24" s="175" t="str">
        <f>IF(F24&lt;&gt;"",IF(Input!Y25&lt;&gt;"",Input!Y25,""),"")</f>
        <v/>
      </c>
      <c r="AI24" s="451" t="str">
        <f>IFERROR(IF($AH$5="","",IF(F24&lt;&gt;"",(Input!Y25/Input!$Y$6)*100,"")),"NA")</f>
        <v/>
      </c>
      <c r="AJ24" s="176" t="str">
        <f>IF(F24&lt;&gt;"",IF(Input!Z25&lt;&gt;"",Input!Z25,""),"")</f>
        <v/>
      </c>
      <c r="AK24" s="451" t="str">
        <f>IFERROR(IF($AJ$5="","",IF(F24&lt;&gt;"",(Input!Z25/Input!$Z$6)*100,"")),"NA")</f>
        <v/>
      </c>
      <c r="AL24" s="176" t="str">
        <f>IF(F24&lt;&gt;"",IF(Input!AA25&lt;&gt;"",Input!AA25,""),"")</f>
        <v/>
      </c>
      <c r="AM24" s="451" t="str">
        <f>IFERROR(IF($AL$5="","",IF(F24&lt;&gt;"",(Input!AA25/Input!$AA$6)*100,"")),"NA")</f>
        <v/>
      </c>
      <c r="AN24" s="177" t="str">
        <f>IF(F24&lt;&gt;"",IF(Input!AB25&lt;&gt;"",Input!AB25,""),"")</f>
        <v/>
      </c>
      <c r="AO24" s="451" t="str">
        <f>IFERROR(IF($AN$5="","",IF(F24&lt;&gt;"",(Input!AB25/Input!$AB$6)*100,"")),"NA")</f>
        <v/>
      </c>
      <c r="AP24" s="303" t="str">
        <f>IF(Input!AC25="Error","Error",IF(F24="","",IF($AH$5="",0,IF(F24&lt;&gt;"",IFERROR(AVERAGE(AI24,AK24,AM24,AO24)*$AP$4,0),""))))</f>
        <v/>
      </c>
      <c r="AQ24" s="174"/>
      <c r="AR24" s="231" t="str">
        <f>IF(Input!AD25="","",IF(F24&lt;&gt;"",Input!AD25,""))</f>
        <v/>
      </c>
      <c r="AS24" s="179" t="str">
        <f>IF(F24="","",IF(Input!AE25="Error","Error",IF(ISNUMBER(Input!AE25),(Input!AE25*$AS$4),"")))</f>
        <v/>
      </c>
      <c r="AT24" s="331" t="str">
        <f>IF(V24="D","DRP",
IF(F24&lt;&gt;"",
IF(OR(AF24="Error",AP24="Error",AS24="Error"),"Error",
IF(Input!AD25="","-",ROUND(AF24+AP24+AS24,2))),""))</f>
        <v/>
      </c>
      <c r="AU24" s="180" t="str">
        <f>IF(F24&lt;&gt;"",VLOOKUP(AT24,TRANSMUTATION!$A$2:$B$14,2),"")</f>
        <v/>
      </c>
      <c r="AV24" s="232" t="str">
        <f t="shared" si="1"/>
        <v/>
      </c>
      <c r="AW24" s="182"/>
      <c r="AX24" s="98"/>
      <c r="AY24" s="98"/>
      <c r="AZ24" s="98"/>
      <c r="BA24" s="97"/>
    </row>
    <row r="25" spans="1:53" ht="15" x14ac:dyDescent="0.2">
      <c r="A25" s="97"/>
      <c r="C25" s="194">
        <v>19</v>
      </c>
      <c r="D25" s="203" t="str">
        <f>IF(Input!D26&lt;&gt;"",IF(F25&lt;&gt;"",Input!D26,""),"")</f>
        <v/>
      </c>
      <c r="E25" s="297"/>
      <c r="F25" s="298" t="str">
        <f>(IF(Input!F26&lt;&gt;"",Input!F26,""))</f>
        <v/>
      </c>
      <c r="G25" s="333"/>
      <c r="H25" s="333"/>
      <c r="I25" s="333"/>
      <c r="J25" s="333"/>
      <c r="K25" s="333"/>
      <c r="L25" s="333"/>
      <c r="M25" s="333"/>
      <c r="N25" s="333"/>
      <c r="O25" s="333"/>
      <c r="P25" s="333"/>
      <c r="Q25" s="333"/>
      <c r="R25" s="333"/>
      <c r="S25" s="333"/>
      <c r="T25" s="333"/>
      <c r="U25" s="333"/>
      <c r="V25" s="336"/>
      <c r="W25" s="173"/>
      <c r="X25" s="309" t="str">
        <f>IF(F25&lt;&gt;"",IF(Input!T26&lt;&gt;"",Input!T26,""),"")</f>
        <v/>
      </c>
      <c r="Y25" s="449" t="str">
        <f>IFERROR(IF($X$5="","",IF(F25&lt;&gt;"",(Input!T26/Input!$T$6)*100,"")),"NA")</f>
        <v/>
      </c>
      <c r="Z25" s="310" t="str">
        <f>IF(F25&lt;&gt;"",IF(Input!U26&lt;&gt;"",Input!U26,""),"")</f>
        <v/>
      </c>
      <c r="AA25" s="449" t="str">
        <f>IFERROR(IF($Z$5="","",IF(F25&lt;&gt;"",(Input!U26/Input!$U$6)*100,"")),"NA")</f>
        <v/>
      </c>
      <c r="AB25" s="310" t="str">
        <f>IF(F25&lt;&gt;"",IF(Input!V26&lt;&gt;"",Input!V26,""),"")</f>
        <v/>
      </c>
      <c r="AC25" s="449" t="str">
        <f>IFERROR(IF($AB$5="","",IF(F25&lt;&gt;"",(Input!V26/Input!$V$6)*100,"")),"NA")</f>
        <v/>
      </c>
      <c r="AD25" s="310" t="str">
        <f>IF(F25&lt;&gt;"",IF(Input!W26&lt;&gt;"",Input!W26,""),"")</f>
        <v/>
      </c>
      <c r="AE25" s="449" t="str">
        <f>IFERROR(IF($AD$5="","",IF(F25&lt;&gt;"",(Input!W26/Input!$W$6)*100,"")),"NA")</f>
        <v/>
      </c>
      <c r="AF25" s="108" t="str">
        <f>IF(Input!X26="Error","Error",IF(F25="","",IF($X$5="",0,IF(F25&lt;&gt;"",IFERROR(AVERAGE(Y25,AA25,AC25,AE25)*$AF$4,0),""))))</f>
        <v/>
      </c>
      <c r="AG25" s="174"/>
      <c r="AH25" s="175" t="str">
        <f>IF(F25&lt;&gt;"",IF(Input!Y26&lt;&gt;"",Input!Y26,""),"")</f>
        <v/>
      </c>
      <c r="AI25" s="451" t="str">
        <f>IFERROR(IF($AH$5="","",IF(F25&lt;&gt;"",(Input!Y26/Input!$Y$6)*100,"")),"NA")</f>
        <v/>
      </c>
      <c r="AJ25" s="176" t="str">
        <f>IF(F25&lt;&gt;"",IF(Input!Z26&lt;&gt;"",Input!Z26,""),"")</f>
        <v/>
      </c>
      <c r="AK25" s="451" t="str">
        <f>IFERROR(IF($AJ$5="","",IF(F25&lt;&gt;"",(Input!Z26/Input!$Z$6)*100,"")),"NA")</f>
        <v/>
      </c>
      <c r="AL25" s="176" t="str">
        <f>IF(F25&lt;&gt;"",IF(Input!AA26&lt;&gt;"",Input!AA26,""),"")</f>
        <v/>
      </c>
      <c r="AM25" s="451" t="str">
        <f>IFERROR(IF($AL$5="","",IF(F25&lt;&gt;"",(Input!AA26/Input!$AA$6)*100,"")),"NA")</f>
        <v/>
      </c>
      <c r="AN25" s="177" t="str">
        <f>IF(F25&lt;&gt;"",IF(Input!AB26&lt;&gt;"",Input!AB26,""),"")</f>
        <v/>
      </c>
      <c r="AO25" s="451" t="str">
        <f>IFERROR(IF($AN$5="","",IF(F25&lt;&gt;"",(Input!AB26/Input!$AB$6)*100,"")),"NA")</f>
        <v/>
      </c>
      <c r="AP25" s="303" t="str">
        <f>IF(Input!AC26="Error","Error",IF(F25="","",IF($AH$5="",0,IF(F25&lt;&gt;"",IFERROR(AVERAGE(AI25,AK25,AM25,AO25)*$AP$4,0),""))))</f>
        <v/>
      </c>
      <c r="AQ25" s="174"/>
      <c r="AR25" s="231" t="str">
        <f>IF(Input!AD26="","",IF(F25&lt;&gt;"",Input!AD26,""))</f>
        <v/>
      </c>
      <c r="AS25" s="179" t="str">
        <f>IF(F25="","",IF(Input!AE26="Error","Error",IF(ISNUMBER(Input!AE26),(Input!AE26*$AS$4),"")))</f>
        <v/>
      </c>
      <c r="AT25" s="331" t="str">
        <f>IF(V25="D","DRP",
IF(F25&lt;&gt;"",
IF(OR(AF25="Error",AP25="Error",AS25="Error"),"Error",
IF(Input!AD26="","-",ROUND(AF25+AP25+AS25,2))),""))</f>
        <v/>
      </c>
      <c r="AU25" s="180" t="str">
        <f>IF(F25&lt;&gt;"",VLOOKUP(AT25,TRANSMUTATION!$A$2:$B$14,2),"")</f>
        <v/>
      </c>
      <c r="AV25" s="232" t="str">
        <f t="shared" si="1"/>
        <v/>
      </c>
      <c r="AW25" s="182"/>
      <c r="AX25" s="98"/>
      <c r="AY25" s="98"/>
      <c r="AZ25" s="98"/>
      <c r="BA25" s="97"/>
    </row>
    <row r="26" spans="1:53" ht="15" x14ac:dyDescent="0.2">
      <c r="A26" s="97"/>
      <c r="C26" s="194">
        <v>20</v>
      </c>
      <c r="D26" s="203" t="str">
        <f>IF(Input!D27&lt;&gt;"",IF(F26&lt;&gt;"",Input!D27,""),"")</f>
        <v/>
      </c>
      <c r="E26" s="297"/>
      <c r="F26" s="298" t="str">
        <f>(IF(Input!F27&lt;&gt;"",Input!F27,""))</f>
        <v/>
      </c>
      <c r="G26" s="333"/>
      <c r="H26" s="333"/>
      <c r="I26" s="333"/>
      <c r="J26" s="333"/>
      <c r="K26" s="333"/>
      <c r="L26" s="333"/>
      <c r="M26" s="333"/>
      <c r="N26" s="333"/>
      <c r="O26" s="333"/>
      <c r="P26" s="333"/>
      <c r="Q26" s="333"/>
      <c r="R26" s="333"/>
      <c r="S26" s="333"/>
      <c r="T26" s="333"/>
      <c r="U26" s="333"/>
      <c r="V26" s="336"/>
      <c r="W26" s="173"/>
      <c r="X26" s="309" t="str">
        <f>IF(F26&lt;&gt;"",IF(Input!T27&lt;&gt;"",Input!T27,""),"")</f>
        <v/>
      </c>
      <c r="Y26" s="449" t="str">
        <f>IFERROR(IF($X$5="","",IF(F26&lt;&gt;"",(Input!T27/Input!$T$6)*100,"")),"NA")</f>
        <v/>
      </c>
      <c r="Z26" s="310" t="str">
        <f>IF(F26&lt;&gt;"",IF(Input!U27&lt;&gt;"",Input!U27,""),"")</f>
        <v/>
      </c>
      <c r="AA26" s="449" t="str">
        <f>IFERROR(IF($Z$5="","",IF(F26&lt;&gt;"",(Input!U27/Input!$U$6)*100,"")),"NA")</f>
        <v/>
      </c>
      <c r="AB26" s="310" t="str">
        <f>IF(F26&lt;&gt;"",IF(Input!V27&lt;&gt;"",Input!V27,""),"")</f>
        <v/>
      </c>
      <c r="AC26" s="449" t="str">
        <f>IFERROR(IF($AB$5="","",IF(F26&lt;&gt;"",(Input!V27/Input!$V$6)*100,"")),"NA")</f>
        <v/>
      </c>
      <c r="AD26" s="310" t="str">
        <f>IF(F26&lt;&gt;"",IF(Input!W27&lt;&gt;"",Input!W27,""),"")</f>
        <v/>
      </c>
      <c r="AE26" s="449" t="str">
        <f>IFERROR(IF($AD$5="","",IF(F26&lt;&gt;"",(Input!W27/Input!$W$6)*100,"")),"NA")</f>
        <v/>
      </c>
      <c r="AF26" s="108" t="str">
        <f>IF(Input!X27="Error","Error",IF(F26="","",IF($X$5="",0,IF(F26&lt;&gt;"",IFERROR(AVERAGE(Y26,AA26,AC26,AE26)*$AF$4,0),""))))</f>
        <v/>
      </c>
      <c r="AG26" s="174"/>
      <c r="AH26" s="175" t="str">
        <f>IF(F26&lt;&gt;"",IF(Input!Y27&lt;&gt;"",Input!Y27,""),"")</f>
        <v/>
      </c>
      <c r="AI26" s="451" t="str">
        <f>IFERROR(IF($AH$5="","",IF(F26&lt;&gt;"",(Input!Y27/Input!$Y$6)*100,"")),"NA")</f>
        <v/>
      </c>
      <c r="AJ26" s="176" t="str">
        <f>IF(F26&lt;&gt;"",IF(Input!Z27&lt;&gt;"",Input!Z27,""),"")</f>
        <v/>
      </c>
      <c r="AK26" s="451" t="str">
        <f>IFERROR(IF($AJ$5="","",IF(F26&lt;&gt;"",(Input!Z27/Input!$Z$6)*100,"")),"NA")</f>
        <v/>
      </c>
      <c r="AL26" s="176" t="str">
        <f>IF(F26&lt;&gt;"",IF(Input!AA27&lt;&gt;"",Input!AA27,""),"")</f>
        <v/>
      </c>
      <c r="AM26" s="451" t="str">
        <f>IFERROR(IF($AL$5="","",IF(F26&lt;&gt;"",(Input!AA27/Input!$AA$6)*100,"")),"NA")</f>
        <v/>
      </c>
      <c r="AN26" s="177" t="str">
        <f>IF(F26&lt;&gt;"",IF(Input!AB27&lt;&gt;"",Input!AB27,""),"")</f>
        <v/>
      </c>
      <c r="AO26" s="451" t="str">
        <f>IFERROR(IF($AN$5="","",IF(F26&lt;&gt;"",(Input!AB27/Input!$AB$6)*100,"")),"NA")</f>
        <v/>
      </c>
      <c r="AP26" s="303" t="str">
        <f>IF(Input!AC27="Error","Error",IF(F26="","",IF($AH$5="",0,IF(F26&lt;&gt;"",IFERROR(AVERAGE(AI26,AK26,AM26,AO26)*$AP$4,0),""))))</f>
        <v/>
      </c>
      <c r="AQ26" s="174"/>
      <c r="AR26" s="231" t="str">
        <f>IF(Input!AD27="","",IF(F26&lt;&gt;"",Input!AD27,""))</f>
        <v/>
      </c>
      <c r="AS26" s="179" t="str">
        <f>IF(F26="","",IF(Input!AE27="Error","Error",IF(ISNUMBER(Input!AE27),(Input!AE27*$AS$4),"")))</f>
        <v/>
      </c>
      <c r="AT26" s="331" t="str">
        <f>IF(V26="D","DRP",
IF(F26&lt;&gt;"",
IF(OR(AF26="Error",AP26="Error",AS26="Error"),"Error",
IF(Input!AD27="","-",ROUND(AF26+AP26+AS26,2))),""))</f>
        <v/>
      </c>
      <c r="AU26" s="180" t="str">
        <f>IF(F26&lt;&gt;"",VLOOKUP(AT26,TRANSMUTATION!$A$2:$B$14,2),"")</f>
        <v/>
      </c>
      <c r="AV26" s="232" t="str">
        <f t="shared" si="1"/>
        <v/>
      </c>
      <c r="AW26" s="182"/>
      <c r="AX26" s="98"/>
      <c r="AY26" s="98"/>
      <c r="AZ26" s="98"/>
      <c r="BA26" s="97"/>
    </row>
    <row r="27" spans="1:53" ht="15" x14ac:dyDescent="0.2">
      <c r="A27" s="97"/>
      <c r="C27" s="194">
        <v>21</v>
      </c>
      <c r="D27" s="203" t="str">
        <f>IF(Input!D28&lt;&gt;"",IF(F27&lt;&gt;"",Input!D28,""),"")</f>
        <v/>
      </c>
      <c r="E27" s="297"/>
      <c r="F27" s="298" t="str">
        <f>(IF(Input!F28&lt;&gt;"",Input!F28,""))</f>
        <v/>
      </c>
      <c r="G27" s="333"/>
      <c r="H27" s="333"/>
      <c r="I27" s="333"/>
      <c r="J27" s="333"/>
      <c r="K27" s="333"/>
      <c r="L27" s="333"/>
      <c r="M27" s="333"/>
      <c r="N27" s="333"/>
      <c r="O27" s="333"/>
      <c r="P27" s="333"/>
      <c r="Q27" s="333"/>
      <c r="R27" s="333"/>
      <c r="S27" s="333"/>
      <c r="T27" s="333"/>
      <c r="U27" s="333"/>
      <c r="V27" s="336"/>
      <c r="W27" s="173"/>
      <c r="X27" s="309" t="str">
        <f>IF(F27&lt;&gt;"",IF(Input!T28&lt;&gt;"",Input!T28,""),"")</f>
        <v/>
      </c>
      <c r="Y27" s="449" t="str">
        <f>IFERROR(IF($X$5="","",IF(F27&lt;&gt;"",(Input!T28/Input!$T$6)*100,"")),"NA")</f>
        <v/>
      </c>
      <c r="Z27" s="310" t="str">
        <f>IF(F27&lt;&gt;"",IF(Input!U28&lt;&gt;"",Input!U28,""),"")</f>
        <v/>
      </c>
      <c r="AA27" s="449" t="str">
        <f>IFERROR(IF($Z$5="","",IF(F27&lt;&gt;"",(Input!U28/Input!$U$6)*100,"")),"NA")</f>
        <v/>
      </c>
      <c r="AB27" s="310" t="str">
        <f>IF(F27&lt;&gt;"",IF(Input!V28&lt;&gt;"",Input!V28,""),"")</f>
        <v/>
      </c>
      <c r="AC27" s="449" t="str">
        <f>IFERROR(IF($AB$5="","",IF(F27&lt;&gt;"",(Input!V28/Input!$V$6)*100,"")),"NA")</f>
        <v/>
      </c>
      <c r="AD27" s="310" t="str">
        <f>IF(F27&lt;&gt;"",IF(Input!W28&lt;&gt;"",Input!W28,""),"")</f>
        <v/>
      </c>
      <c r="AE27" s="449" t="str">
        <f>IFERROR(IF($AD$5="","",IF(F27&lt;&gt;"",(Input!W28/Input!$W$6)*100,"")),"NA")</f>
        <v/>
      </c>
      <c r="AF27" s="108" t="str">
        <f>IF(Input!X28="Error","Error",IF(F27="","",IF($X$5="",0,IF(F27&lt;&gt;"",IFERROR(AVERAGE(Y27,AA27,AC27,AE27)*$AF$4,0),""))))</f>
        <v/>
      </c>
      <c r="AG27" s="174"/>
      <c r="AH27" s="175" t="str">
        <f>IF(F27&lt;&gt;"",IF(Input!Y28&lt;&gt;"",Input!Y28,""),"")</f>
        <v/>
      </c>
      <c r="AI27" s="451" t="str">
        <f>IFERROR(IF($AH$5="","",IF(F27&lt;&gt;"",(Input!Y28/Input!$Y$6)*100,"")),"NA")</f>
        <v/>
      </c>
      <c r="AJ27" s="176" t="str">
        <f>IF(F27&lt;&gt;"",IF(Input!Z28&lt;&gt;"",Input!Z28,""),"")</f>
        <v/>
      </c>
      <c r="AK27" s="451" t="str">
        <f>IFERROR(IF($AJ$5="","",IF(F27&lt;&gt;"",(Input!Z28/Input!$Z$6)*100,"")),"NA")</f>
        <v/>
      </c>
      <c r="AL27" s="176" t="str">
        <f>IF(F27&lt;&gt;"",IF(Input!AA28&lt;&gt;"",Input!AA28,""),"")</f>
        <v/>
      </c>
      <c r="AM27" s="451" t="str">
        <f>IFERROR(IF($AL$5="","",IF(F27&lt;&gt;"",(Input!AA28/Input!$AA$6)*100,"")),"NA")</f>
        <v/>
      </c>
      <c r="AN27" s="177" t="str">
        <f>IF(F27&lt;&gt;"",IF(Input!AB28&lt;&gt;"",Input!AB28,""),"")</f>
        <v/>
      </c>
      <c r="AO27" s="451" t="str">
        <f>IFERROR(IF($AN$5="","",IF(F27&lt;&gt;"",(Input!AB28/Input!$AB$6)*100,"")),"NA")</f>
        <v/>
      </c>
      <c r="AP27" s="303" t="str">
        <f>IF(Input!AC28="Error","Error",IF(F27="","",IF($AH$5="",0,IF(F27&lt;&gt;"",IFERROR(AVERAGE(AI27,AK27,AM27,AO27)*$AP$4,0),""))))</f>
        <v/>
      </c>
      <c r="AQ27" s="174"/>
      <c r="AR27" s="231" t="str">
        <f>IF(Input!AD28="","",IF(F27&lt;&gt;"",Input!AD28,""))</f>
        <v/>
      </c>
      <c r="AS27" s="179" t="str">
        <f>IF(F27="","",IF(Input!AE28="Error","Error",IF(ISNUMBER(Input!AE28),(Input!AE28*$AS$4),"")))</f>
        <v/>
      </c>
      <c r="AT27" s="331" t="str">
        <f>IF(V27="D","DRP",
IF(F27&lt;&gt;"",
IF(OR(AF27="Error",AP27="Error",AS27="Error"),"Error",
IF(Input!AD28="","-",ROUND(AF27+AP27+AS27,2))),""))</f>
        <v/>
      </c>
      <c r="AU27" s="180" t="str">
        <f>IF(F27&lt;&gt;"",VLOOKUP(AT27,TRANSMUTATION!$A$2:$B$14,2),"")</f>
        <v/>
      </c>
      <c r="AV27" s="232" t="str">
        <f t="shared" si="1"/>
        <v/>
      </c>
      <c r="AW27" s="182"/>
      <c r="AX27" s="98"/>
      <c r="AY27" s="98"/>
      <c r="AZ27" s="98"/>
      <c r="BA27" s="97"/>
    </row>
    <row r="28" spans="1:53" ht="15" x14ac:dyDescent="0.2">
      <c r="A28" s="97"/>
      <c r="C28" s="194">
        <v>22</v>
      </c>
      <c r="D28" s="203" t="str">
        <f>IF(Input!D29&lt;&gt;"",IF(F28&lt;&gt;"",Input!D29,""),"")</f>
        <v/>
      </c>
      <c r="E28" s="297"/>
      <c r="F28" s="298" t="str">
        <f>(IF(Input!F29&lt;&gt;"",Input!F29,""))</f>
        <v/>
      </c>
      <c r="G28" s="333"/>
      <c r="H28" s="333"/>
      <c r="I28" s="333"/>
      <c r="J28" s="333"/>
      <c r="K28" s="333"/>
      <c r="L28" s="333"/>
      <c r="M28" s="333"/>
      <c r="N28" s="333"/>
      <c r="O28" s="333"/>
      <c r="P28" s="333"/>
      <c r="Q28" s="333"/>
      <c r="R28" s="333"/>
      <c r="S28" s="333"/>
      <c r="T28" s="333"/>
      <c r="U28" s="333"/>
      <c r="V28" s="336"/>
      <c r="W28" s="173"/>
      <c r="X28" s="309" t="str">
        <f>IF(F28&lt;&gt;"",IF(Input!T29&lt;&gt;"",Input!T29,""),"")</f>
        <v/>
      </c>
      <c r="Y28" s="449" t="str">
        <f>IFERROR(IF($X$5="","",IF(F28&lt;&gt;"",(Input!T29/Input!$T$6)*100,"")),"NA")</f>
        <v/>
      </c>
      <c r="Z28" s="310" t="str">
        <f>IF(F28&lt;&gt;"",IF(Input!U29&lt;&gt;"",Input!U29,""),"")</f>
        <v/>
      </c>
      <c r="AA28" s="449" t="str">
        <f>IFERROR(IF($Z$5="","",IF(F28&lt;&gt;"",(Input!U29/Input!$U$6)*100,"")),"NA")</f>
        <v/>
      </c>
      <c r="AB28" s="310" t="str">
        <f>IF(F28&lt;&gt;"",IF(Input!V29&lt;&gt;"",Input!V29,""),"")</f>
        <v/>
      </c>
      <c r="AC28" s="449" t="str">
        <f>IFERROR(IF($AB$5="","",IF(F28&lt;&gt;"",(Input!V29/Input!$V$6)*100,"")),"NA")</f>
        <v/>
      </c>
      <c r="AD28" s="310" t="str">
        <f>IF(F28&lt;&gt;"",IF(Input!W29&lt;&gt;"",Input!W29,""),"")</f>
        <v/>
      </c>
      <c r="AE28" s="449" t="str">
        <f>IFERROR(IF($AD$5="","",IF(F28&lt;&gt;"",(Input!W29/Input!$W$6)*100,"")),"NA")</f>
        <v/>
      </c>
      <c r="AF28" s="108" t="str">
        <f>IF(Input!X29="Error","Error",IF(F28="","",IF($X$5="",0,IF(F28&lt;&gt;"",IFERROR(AVERAGE(Y28,AA28,AC28,AE28)*$AF$4,0),""))))</f>
        <v/>
      </c>
      <c r="AG28" s="174"/>
      <c r="AH28" s="175" t="str">
        <f>IF(F28&lt;&gt;"",IF(Input!Y29&lt;&gt;"",Input!Y29,""),"")</f>
        <v/>
      </c>
      <c r="AI28" s="451" t="str">
        <f>IFERROR(IF($AH$5="","",IF(F28&lt;&gt;"",(Input!Y29/Input!$Y$6)*100,"")),"NA")</f>
        <v/>
      </c>
      <c r="AJ28" s="176" t="str">
        <f>IF(F28&lt;&gt;"",IF(Input!Z29&lt;&gt;"",Input!Z29,""),"")</f>
        <v/>
      </c>
      <c r="AK28" s="451" t="str">
        <f>IFERROR(IF($AJ$5="","",IF(F28&lt;&gt;"",(Input!Z29/Input!$Z$6)*100,"")),"NA")</f>
        <v/>
      </c>
      <c r="AL28" s="176" t="str">
        <f>IF(F28&lt;&gt;"",IF(Input!AA29&lt;&gt;"",Input!AA29,""),"")</f>
        <v/>
      </c>
      <c r="AM28" s="451" t="str">
        <f>IFERROR(IF($AL$5="","",IF(F28&lt;&gt;"",(Input!AA29/Input!$AA$6)*100,"")),"NA")</f>
        <v/>
      </c>
      <c r="AN28" s="177" t="str">
        <f>IF(F28&lt;&gt;"",IF(Input!AB29&lt;&gt;"",Input!AB29,""),"")</f>
        <v/>
      </c>
      <c r="AO28" s="451" t="str">
        <f>IFERROR(IF($AN$5="","",IF(F28&lt;&gt;"",(Input!AB29/Input!$AB$6)*100,"")),"NA")</f>
        <v/>
      </c>
      <c r="AP28" s="303" t="str">
        <f>IF(Input!AC29="Error","Error",IF(F28="","",IF($AH$5="",0,IF(F28&lt;&gt;"",IFERROR(AVERAGE(AI28,AK28,AM28,AO28)*$AP$4,0),""))))</f>
        <v/>
      </c>
      <c r="AQ28" s="174"/>
      <c r="AR28" s="231" t="str">
        <f>IF(Input!AD29="","",IF(F28&lt;&gt;"",Input!AD29,""))</f>
        <v/>
      </c>
      <c r="AS28" s="179" t="str">
        <f>IF(F28="","",IF(Input!AE29="Error","Error",IF(ISNUMBER(Input!AE29),(Input!AE29*$AS$4),"")))</f>
        <v/>
      </c>
      <c r="AT28" s="331" t="str">
        <f>IF(V28="D","DRP",
IF(F28&lt;&gt;"",
IF(OR(AF28="Error",AP28="Error",AS28="Error"),"Error",
IF(Input!AD29="","-",ROUND(AF28+AP28+AS28,2))),""))</f>
        <v/>
      </c>
      <c r="AU28" s="180" t="str">
        <f>IF(F28&lt;&gt;"",VLOOKUP(AT28,TRANSMUTATION!$A$2:$B$14,2),"")</f>
        <v/>
      </c>
      <c r="AV28" s="232" t="str">
        <f t="shared" si="1"/>
        <v/>
      </c>
      <c r="AW28" s="182"/>
      <c r="AX28" s="98"/>
      <c r="AY28" s="98"/>
      <c r="AZ28" s="98"/>
      <c r="BA28" s="97"/>
    </row>
    <row r="29" spans="1:53" ht="15" x14ac:dyDescent="0.2">
      <c r="A29" s="97"/>
      <c r="C29" s="194">
        <v>23</v>
      </c>
      <c r="D29" s="203" t="str">
        <f>IF(Input!D30&lt;&gt;"",IF(F29&lt;&gt;"",Input!D30,""),"")</f>
        <v/>
      </c>
      <c r="E29" s="297"/>
      <c r="F29" s="298" t="str">
        <f>(IF(Input!F30&lt;&gt;"",Input!F30,""))</f>
        <v/>
      </c>
      <c r="G29" s="333"/>
      <c r="H29" s="333"/>
      <c r="I29" s="333"/>
      <c r="J29" s="333"/>
      <c r="K29" s="333"/>
      <c r="L29" s="333"/>
      <c r="M29" s="333"/>
      <c r="N29" s="333"/>
      <c r="O29" s="333"/>
      <c r="P29" s="333"/>
      <c r="Q29" s="333"/>
      <c r="R29" s="333"/>
      <c r="S29" s="333"/>
      <c r="T29" s="333"/>
      <c r="U29" s="333"/>
      <c r="V29" s="336"/>
      <c r="W29" s="173"/>
      <c r="X29" s="309" t="str">
        <f>IF(F29&lt;&gt;"",IF(Input!T30&lt;&gt;"",Input!T30,""),"")</f>
        <v/>
      </c>
      <c r="Y29" s="449" t="str">
        <f>IFERROR(IF($X$5="","",IF(F29&lt;&gt;"",(Input!T30/Input!$T$6)*100,"")),"NA")</f>
        <v/>
      </c>
      <c r="Z29" s="310" t="str">
        <f>IF(F29&lt;&gt;"",IF(Input!U30&lt;&gt;"",Input!U30,""),"")</f>
        <v/>
      </c>
      <c r="AA29" s="449" t="str">
        <f>IFERROR(IF($Z$5="","",IF(F29&lt;&gt;"",(Input!U30/Input!$U$6)*100,"")),"NA")</f>
        <v/>
      </c>
      <c r="AB29" s="310" t="str">
        <f>IF(F29&lt;&gt;"",IF(Input!V30&lt;&gt;"",Input!V30,""),"")</f>
        <v/>
      </c>
      <c r="AC29" s="449" t="str">
        <f>IFERROR(IF($AB$5="","",IF(F29&lt;&gt;"",(Input!V30/Input!$V$6)*100,"")),"NA")</f>
        <v/>
      </c>
      <c r="AD29" s="310" t="str">
        <f>IF(F29&lt;&gt;"",IF(Input!W30&lt;&gt;"",Input!W30,""),"")</f>
        <v/>
      </c>
      <c r="AE29" s="449" t="str">
        <f>IFERROR(IF($AD$5="","",IF(F29&lt;&gt;"",(Input!W30/Input!$W$6)*100,"")),"NA")</f>
        <v/>
      </c>
      <c r="AF29" s="108" t="str">
        <f>IF(Input!X30="Error","Error",IF(F29="","",IF($X$5="",0,IF(F29&lt;&gt;"",IFERROR(AVERAGE(Y29,AA29,AC29,AE29)*$AF$4,0),""))))</f>
        <v/>
      </c>
      <c r="AG29" s="174"/>
      <c r="AH29" s="175" t="str">
        <f>IF(F29&lt;&gt;"",IF(Input!Y30&lt;&gt;"",Input!Y30,""),"")</f>
        <v/>
      </c>
      <c r="AI29" s="451" t="str">
        <f>IFERROR(IF($AH$5="","",IF(F29&lt;&gt;"",(Input!Y30/Input!$Y$6)*100,"")),"NA")</f>
        <v/>
      </c>
      <c r="AJ29" s="176" t="str">
        <f>IF(F29&lt;&gt;"",IF(Input!Z30&lt;&gt;"",Input!Z30,""),"")</f>
        <v/>
      </c>
      <c r="AK29" s="451" t="str">
        <f>IFERROR(IF($AJ$5="","",IF(F29&lt;&gt;"",(Input!Z30/Input!$Z$6)*100,"")),"NA")</f>
        <v/>
      </c>
      <c r="AL29" s="176" t="str">
        <f>IF(F29&lt;&gt;"",IF(Input!AA30&lt;&gt;"",Input!AA30,""),"")</f>
        <v/>
      </c>
      <c r="AM29" s="451" t="str">
        <f>IFERROR(IF($AL$5="","",IF(F29&lt;&gt;"",(Input!AA30/Input!$AA$6)*100,"")),"NA")</f>
        <v/>
      </c>
      <c r="AN29" s="177" t="str">
        <f>IF(F29&lt;&gt;"",IF(Input!AB30&lt;&gt;"",Input!AB30,""),"")</f>
        <v/>
      </c>
      <c r="AO29" s="451" t="str">
        <f>IFERROR(IF($AN$5="","",IF(F29&lt;&gt;"",(Input!AB30/Input!$AB$6)*100,"")),"NA")</f>
        <v/>
      </c>
      <c r="AP29" s="303" t="str">
        <f>IF(Input!AC30="Error","Error",IF(F29="","",IF($AH$5="",0,IF(F29&lt;&gt;"",IFERROR(AVERAGE(AI29,AK29,AM29,AO29)*$AP$4,0),""))))</f>
        <v/>
      </c>
      <c r="AQ29" s="174"/>
      <c r="AR29" s="231" t="str">
        <f>IF(Input!AD30="","",IF(F29&lt;&gt;"",Input!AD30,""))</f>
        <v/>
      </c>
      <c r="AS29" s="179" t="str">
        <f>IF(F29="","",IF(Input!AE30="Error","Error",IF(ISNUMBER(Input!AE30),(Input!AE30*$AS$4),"")))</f>
        <v/>
      </c>
      <c r="AT29" s="331" t="str">
        <f>IF(V29="D","DRP",
IF(F29&lt;&gt;"",
IF(OR(AF29="Error",AP29="Error",AS29="Error"),"Error",
IF(Input!AD30="","-",ROUND(AF29+AP29+AS29,2))),""))</f>
        <v/>
      </c>
      <c r="AU29" s="180" t="str">
        <f>IF(F29&lt;&gt;"",VLOOKUP(AT29,TRANSMUTATION!$A$2:$B$14,2),"")</f>
        <v/>
      </c>
      <c r="AV29" s="232" t="str">
        <f t="shared" si="1"/>
        <v/>
      </c>
      <c r="AW29" s="182"/>
      <c r="AX29" s="98"/>
      <c r="AY29" s="98"/>
      <c r="AZ29" s="98"/>
      <c r="BA29" s="97"/>
    </row>
    <row r="30" spans="1:53" ht="15" x14ac:dyDescent="0.2">
      <c r="A30" s="97"/>
      <c r="C30" s="194">
        <v>24</v>
      </c>
      <c r="D30" s="203" t="str">
        <f>IF(Input!D31&lt;&gt;"",IF(F30&lt;&gt;"",Input!D31,""),"")</f>
        <v/>
      </c>
      <c r="E30" s="297"/>
      <c r="F30" s="298" t="str">
        <f>(IF(Input!F31&lt;&gt;"",Input!F31,""))</f>
        <v/>
      </c>
      <c r="G30" s="333"/>
      <c r="H30" s="333"/>
      <c r="I30" s="333"/>
      <c r="J30" s="333"/>
      <c r="K30" s="333"/>
      <c r="L30" s="333"/>
      <c r="M30" s="333"/>
      <c r="N30" s="333"/>
      <c r="O30" s="333"/>
      <c r="P30" s="333"/>
      <c r="Q30" s="333"/>
      <c r="R30" s="333"/>
      <c r="S30" s="333"/>
      <c r="T30" s="333"/>
      <c r="U30" s="333"/>
      <c r="V30" s="336"/>
      <c r="W30" s="173"/>
      <c r="X30" s="309" t="str">
        <f>IF(F30&lt;&gt;"",IF(Input!T31&lt;&gt;"",Input!T31,""),"")</f>
        <v/>
      </c>
      <c r="Y30" s="449" t="str">
        <f>IFERROR(IF($X$5="","",IF(F30&lt;&gt;"",(Input!T31/Input!$T$6)*100,"")),"NA")</f>
        <v/>
      </c>
      <c r="Z30" s="310" t="str">
        <f>IF(F30&lt;&gt;"",IF(Input!U31&lt;&gt;"",Input!U31,""),"")</f>
        <v/>
      </c>
      <c r="AA30" s="449" t="str">
        <f>IFERROR(IF($Z$5="","",IF(F30&lt;&gt;"",(Input!U31/Input!$U$6)*100,"")),"NA")</f>
        <v/>
      </c>
      <c r="AB30" s="310" t="str">
        <f>IF(F30&lt;&gt;"",IF(Input!V31&lt;&gt;"",Input!V31,""),"")</f>
        <v/>
      </c>
      <c r="AC30" s="449" t="str">
        <f>IFERROR(IF($AB$5="","",IF(F30&lt;&gt;"",(Input!V31/Input!$V$6)*100,"")),"NA")</f>
        <v/>
      </c>
      <c r="AD30" s="310" t="str">
        <f>IF(F30&lt;&gt;"",IF(Input!W31&lt;&gt;"",Input!W31,""),"")</f>
        <v/>
      </c>
      <c r="AE30" s="449" t="str">
        <f>IFERROR(IF($AD$5="","",IF(F30&lt;&gt;"",(Input!W31/Input!$W$6)*100,"")),"NA")</f>
        <v/>
      </c>
      <c r="AF30" s="108" t="str">
        <f>IF(Input!X31="Error","Error",IF(F30="","",IF($X$5="",0,IF(F30&lt;&gt;"",IFERROR(AVERAGE(Y30,AA30,AC30,AE30)*$AF$4,0),""))))</f>
        <v/>
      </c>
      <c r="AG30" s="174"/>
      <c r="AH30" s="175" t="str">
        <f>IF(F30&lt;&gt;"",IF(Input!Y31&lt;&gt;"",Input!Y31,""),"")</f>
        <v/>
      </c>
      <c r="AI30" s="451" t="str">
        <f>IFERROR(IF($AH$5="","",IF(F30&lt;&gt;"",(Input!Y31/Input!$Y$6)*100,"")),"NA")</f>
        <v/>
      </c>
      <c r="AJ30" s="176" t="str">
        <f>IF(F30&lt;&gt;"",IF(Input!Z31&lt;&gt;"",Input!Z31,""),"")</f>
        <v/>
      </c>
      <c r="AK30" s="451" t="str">
        <f>IFERROR(IF($AJ$5="","",IF(F30&lt;&gt;"",(Input!Z31/Input!$Z$6)*100,"")),"NA")</f>
        <v/>
      </c>
      <c r="AL30" s="176" t="str">
        <f>IF(F30&lt;&gt;"",IF(Input!AA31&lt;&gt;"",Input!AA31,""),"")</f>
        <v/>
      </c>
      <c r="AM30" s="451" t="str">
        <f>IFERROR(IF($AL$5="","",IF(F30&lt;&gt;"",(Input!AA31/Input!$AA$6)*100,"")),"NA")</f>
        <v/>
      </c>
      <c r="AN30" s="177" t="str">
        <f>IF(F30&lt;&gt;"",IF(Input!AB31&lt;&gt;"",Input!AB31,""),"")</f>
        <v/>
      </c>
      <c r="AO30" s="451" t="str">
        <f>IFERROR(IF($AN$5="","",IF(F30&lt;&gt;"",(Input!AB31/Input!$AB$6)*100,"")),"NA")</f>
        <v/>
      </c>
      <c r="AP30" s="303" t="str">
        <f>IF(Input!AC31="Error","Error",IF(F30="","",IF($AH$5="",0,IF(F30&lt;&gt;"",IFERROR(AVERAGE(AI30,AK30,AM30,AO30)*$AP$4,0),""))))</f>
        <v/>
      </c>
      <c r="AQ30" s="174"/>
      <c r="AR30" s="231" t="str">
        <f>IF(Input!AD31="","",IF(F30&lt;&gt;"",Input!AD31,""))</f>
        <v/>
      </c>
      <c r="AS30" s="179" t="str">
        <f>IF(F30="","",IF(Input!AE31="Error","Error",IF(ISNUMBER(Input!AE31),(Input!AE31*$AS$4),"")))</f>
        <v/>
      </c>
      <c r="AT30" s="331" t="str">
        <f>IF(V30="D","DRP",
IF(F30&lt;&gt;"",
IF(OR(AF30="Error",AP30="Error",AS30="Error"),"Error",
IF(Input!AD31="","-",ROUND(AF30+AP30+AS30,2))),""))</f>
        <v/>
      </c>
      <c r="AU30" s="180" t="str">
        <f>IF(F30&lt;&gt;"",VLOOKUP(AT30,TRANSMUTATION!$A$2:$B$14,2),"")</f>
        <v/>
      </c>
      <c r="AV30" s="232" t="str">
        <f t="shared" si="1"/>
        <v/>
      </c>
      <c r="AW30" s="182"/>
      <c r="AX30" s="98"/>
      <c r="AY30" s="98"/>
      <c r="AZ30" s="98"/>
      <c r="BA30" s="97"/>
    </row>
    <row r="31" spans="1:53" ht="15" x14ac:dyDescent="0.2">
      <c r="A31" s="97"/>
      <c r="C31" s="194">
        <v>25</v>
      </c>
      <c r="D31" s="203" t="str">
        <f>IF(Input!D32&lt;&gt;"",IF(F31&lt;&gt;"",Input!D32,""),"")</f>
        <v/>
      </c>
      <c r="E31" s="297"/>
      <c r="F31" s="298" t="str">
        <f>(IF(Input!F32&lt;&gt;"",Input!F32,""))</f>
        <v/>
      </c>
      <c r="G31" s="333"/>
      <c r="H31" s="333"/>
      <c r="I31" s="333"/>
      <c r="J31" s="333"/>
      <c r="K31" s="333"/>
      <c r="L31" s="333"/>
      <c r="M31" s="333"/>
      <c r="N31" s="333"/>
      <c r="O31" s="333"/>
      <c r="P31" s="333"/>
      <c r="Q31" s="333"/>
      <c r="R31" s="333"/>
      <c r="S31" s="333"/>
      <c r="T31" s="333"/>
      <c r="U31" s="333"/>
      <c r="V31" s="336"/>
      <c r="W31" s="173"/>
      <c r="X31" s="309" t="str">
        <f>IF(F31&lt;&gt;"",IF(Input!T32&lt;&gt;"",Input!T32,""),"")</f>
        <v/>
      </c>
      <c r="Y31" s="449" t="str">
        <f>IFERROR(IF($X$5="","",IF(F31&lt;&gt;"",(Input!T32/Input!$T$6)*100,"")),"NA")</f>
        <v/>
      </c>
      <c r="Z31" s="310" t="str">
        <f>IF(F31&lt;&gt;"",IF(Input!U32&lt;&gt;"",Input!U32,""),"")</f>
        <v/>
      </c>
      <c r="AA31" s="449" t="str">
        <f>IFERROR(IF($Z$5="","",IF(F31&lt;&gt;"",(Input!U32/Input!$U$6)*100,"")),"NA")</f>
        <v/>
      </c>
      <c r="AB31" s="310" t="str">
        <f>IF(F31&lt;&gt;"",IF(Input!V32&lt;&gt;"",Input!V32,""),"")</f>
        <v/>
      </c>
      <c r="AC31" s="449" t="str">
        <f>IFERROR(IF($AB$5="","",IF(F31&lt;&gt;"",(Input!V32/Input!$V$6)*100,"")),"NA")</f>
        <v/>
      </c>
      <c r="AD31" s="310" t="str">
        <f>IF(F31&lt;&gt;"",IF(Input!W32&lt;&gt;"",Input!W32,""),"")</f>
        <v/>
      </c>
      <c r="AE31" s="449" t="str">
        <f>IFERROR(IF($AD$5="","",IF(F31&lt;&gt;"",(Input!W32/Input!$W$6)*100,"")),"NA")</f>
        <v/>
      </c>
      <c r="AF31" s="108" t="str">
        <f>IF(Input!X32="Error","Error",IF(F31="","",IF($X$5="",0,IF(F31&lt;&gt;"",IFERROR(AVERAGE(Y31,AA31,AC31,AE31)*$AF$4,0),""))))</f>
        <v/>
      </c>
      <c r="AG31" s="174"/>
      <c r="AH31" s="175" t="str">
        <f>IF(F31&lt;&gt;"",IF(Input!Y32&lt;&gt;"",Input!Y32,""),"")</f>
        <v/>
      </c>
      <c r="AI31" s="451" t="str">
        <f>IFERROR(IF($AH$5="","",IF(F31&lt;&gt;"",(Input!Y32/Input!$Y$6)*100,"")),"NA")</f>
        <v/>
      </c>
      <c r="AJ31" s="176" t="str">
        <f>IF(F31&lt;&gt;"",IF(Input!Z32&lt;&gt;"",Input!Z32,""),"")</f>
        <v/>
      </c>
      <c r="AK31" s="451" t="str">
        <f>IFERROR(IF($AJ$5="","",IF(F31&lt;&gt;"",(Input!Z32/Input!$Z$6)*100,"")),"NA")</f>
        <v/>
      </c>
      <c r="AL31" s="176" t="str">
        <f>IF(F31&lt;&gt;"",IF(Input!AA32&lt;&gt;"",Input!AA32,""),"")</f>
        <v/>
      </c>
      <c r="AM31" s="451" t="str">
        <f>IFERROR(IF($AL$5="","",IF(F31&lt;&gt;"",(Input!AA32/Input!$AA$6)*100,"")),"NA")</f>
        <v/>
      </c>
      <c r="AN31" s="177" t="str">
        <f>IF(F31&lt;&gt;"",IF(Input!AB32&lt;&gt;"",Input!AB32,""),"")</f>
        <v/>
      </c>
      <c r="AO31" s="451" t="str">
        <f>IFERROR(IF($AN$5="","",IF(F31&lt;&gt;"",(Input!AB32/Input!$AB$6)*100,"")),"NA")</f>
        <v/>
      </c>
      <c r="AP31" s="303" t="str">
        <f>IF(Input!AC32="Error","Error",IF(F31="","",IF($AH$5="",0,IF(F31&lt;&gt;"",IFERROR(AVERAGE(AI31,AK31,AM31,AO31)*$AP$4,0),""))))</f>
        <v/>
      </c>
      <c r="AQ31" s="174"/>
      <c r="AR31" s="231" t="str">
        <f>IF(Input!AD32="","",IF(F31&lt;&gt;"",Input!AD32,""))</f>
        <v/>
      </c>
      <c r="AS31" s="179" t="str">
        <f>IF(F31="","",IF(Input!AE32="Error","Error",IF(ISNUMBER(Input!AE32),(Input!AE32*$AS$4),"")))</f>
        <v/>
      </c>
      <c r="AT31" s="331" t="str">
        <f>IF(V31="D","DRP",
IF(F31&lt;&gt;"",
IF(OR(AF31="Error",AP31="Error",AS31="Error"),"Error",
IF(Input!AD32="","-",ROUND(AF31+AP31+AS31,2))),""))</f>
        <v/>
      </c>
      <c r="AU31" s="180" t="str">
        <f>IF(F31&lt;&gt;"",VLOOKUP(AT31,TRANSMUTATION!$A$2:$B$14,2),"")</f>
        <v/>
      </c>
      <c r="AV31" s="232" t="str">
        <f t="shared" si="1"/>
        <v/>
      </c>
      <c r="AW31" s="182"/>
      <c r="AX31" s="98"/>
      <c r="AY31" s="98"/>
      <c r="AZ31" s="98"/>
      <c r="BA31" s="97"/>
    </row>
    <row r="32" spans="1:53" ht="15" x14ac:dyDescent="0.2">
      <c r="A32" s="97"/>
      <c r="C32" s="194">
        <v>26</v>
      </c>
      <c r="D32" s="203" t="str">
        <f>IF(Input!D33&lt;&gt;"",IF(F32&lt;&gt;"",Input!D33,""),"")</f>
        <v/>
      </c>
      <c r="E32" s="297"/>
      <c r="F32" s="298" t="str">
        <f>(IF(Input!F33&lt;&gt;"",Input!F33,""))</f>
        <v/>
      </c>
      <c r="G32" s="333"/>
      <c r="H32" s="333"/>
      <c r="I32" s="333"/>
      <c r="J32" s="333"/>
      <c r="K32" s="333"/>
      <c r="L32" s="333"/>
      <c r="M32" s="333"/>
      <c r="N32" s="333"/>
      <c r="O32" s="333"/>
      <c r="P32" s="333"/>
      <c r="Q32" s="333"/>
      <c r="R32" s="333"/>
      <c r="S32" s="333"/>
      <c r="T32" s="333"/>
      <c r="U32" s="333"/>
      <c r="V32" s="336"/>
      <c r="W32" s="173"/>
      <c r="X32" s="309" t="str">
        <f>IF(F32&lt;&gt;"",IF(Input!T33&lt;&gt;"",Input!T33,""),"")</f>
        <v/>
      </c>
      <c r="Y32" s="449" t="str">
        <f>IFERROR(IF($X$5="","",IF(F32&lt;&gt;"",(Input!T33/Input!$T$6)*100,"")),"NA")</f>
        <v/>
      </c>
      <c r="Z32" s="310" t="str">
        <f>IF(F32&lt;&gt;"",IF(Input!U33&lt;&gt;"",Input!U33,""),"")</f>
        <v/>
      </c>
      <c r="AA32" s="449" t="str">
        <f>IFERROR(IF($Z$5="","",IF(F32&lt;&gt;"",(Input!U33/Input!$U$6)*100,"")),"NA")</f>
        <v/>
      </c>
      <c r="AB32" s="310" t="str">
        <f>IF(F32&lt;&gt;"",IF(Input!V33&lt;&gt;"",Input!V33,""),"")</f>
        <v/>
      </c>
      <c r="AC32" s="449" t="str">
        <f>IFERROR(IF($AB$5="","",IF(F32&lt;&gt;"",(Input!V33/Input!$V$6)*100,"")),"NA")</f>
        <v/>
      </c>
      <c r="AD32" s="310" t="str">
        <f>IF(F32&lt;&gt;"",IF(Input!W33&lt;&gt;"",Input!W33,""),"")</f>
        <v/>
      </c>
      <c r="AE32" s="449" t="str">
        <f>IFERROR(IF($AD$5="","",IF(F32&lt;&gt;"",(Input!W33/Input!$W$6)*100,"")),"NA")</f>
        <v/>
      </c>
      <c r="AF32" s="108" t="str">
        <f>IF(Input!X33="Error","Error",IF(F32="","",IF($X$5="",0,IF(F32&lt;&gt;"",IFERROR(AVERAGE(Y32,AA32,AC32,AE32)*$AF$4,0),""))))</f>
        <v/>
      </c>
      <c r="AG32" s="174"/>
      <c r="AH32" s="175" t="str">
        <f>IF(F32&lt;&gt;"",IF(Input!Y33&lt;&gt;"",Input!Y33,""),"")</f>
        <v/>
      </c>
      <c r="AI32" s="451" t="str">
        <f>IFERROR(IF($AH$5="","",IF(F32&lt;&gt;"",(Input!Y33/Input!$Y$6)*100,"")),"NA")</f>
        <v/>
      </c>
      <c r="AJ32" s="176" t="str">
        <f>IF(F32&lt;&gt;"",IF(Input!Z33&lt;&gt;"",Input!Z33,""),"")</f>
        <v/>
      </c>
      <c r="AK32" s="451" t="str">
        <f>IFERROR(IF($AJ$5="","",IF(F32&lt;&gt;"",(Input!Z33/Input!$Z$6)*100,"")),"NA")</f>
        <v/>
      </c>
      <c r="AL32" s="176" t="str">
        <f>IF(F32&lt;&gt;"",IF(Input!AA33&lt;&gt;"",Input!AA33,""),"")</f>
        <v/>
      </c>
      <c r="AM32" s="451" t="str">
        <f>IFERROR(IF($AL$5="","",IF(F32&lt;&gt;"",(Input!AA33/Input!$AA$6)*100,"")),"NA")</f>
        <v/>
      </c>
      <c r="AN32" s="177" t="str">
        <f>IF(F32&lt;&gt;"",IF(Input!AB33&lt;&gt;"",Input!AB33,""),"")</f>
        <v/>
      </c>
      <c r="AO32" s="451" t="str">
        <f>IFERROR(IF($AN$5="","",IF(F32&lt;&gt;"",(Input!AB33/Input!$AB$6)*100,"")),"NA")</f>
        <v/>
      </c>
      <c r="AP32" s="303" t="str">
        <f>IF(Input!AC33="Error","Error",IF(F32="","",IF($AH$5="",0,IF(F32&lt;&gt;"",IFERROR(AVERAGE(AI32,AK32,AM32,AO32)*$AP$4,0),""))))</f>
        <v/>
      </c>
      <c r="AQ32" s="174"/>
      <c r="AR32" s="231" t="str">
        <f>IF(Input!AD33="","",IF(F32&lt;&gt;"",Input!AD33,""))</f>
        <v/>
      </c>
      <c r="AS32" s="179" t="str">
        <f>IF(F32="","",IF(Input!AE33="Error","Error",IF(ISNUMBER(Input!AE33),(Input!AE33*$AS$4),"")))</f>
        <v/>
      </c>
      <c r="AT32" s="331" t="str">
        <f>IF(V32="D","DRP",
IF(F32&lt;&gt;"",
IF(OR(AF32="Error",AP32="Error",AS32="Error"),"Error",
IF(Input!AD33="","-",ROUND(AF32+AP32+AS32,2))),""))</f>
        <v/>
      </c>
      <c r="AU32" s="180" t="str">
        <f>IF(F32&lt;&gt;"",VLOOKUP(AT32,TRANSMUTATION!$A$2:$B$14,2),"")</f>
        <v/>
      </c>
      <c r="AV32" s="232" t="str">
        <f t="shared" si="1"/>
        <v/>
      </c>
      <c r="AW32" s="182"/>
      <c r="AX32" s="98"/>
      <c r="AY32" s="98"/>
      <c r="AZ32" s="98"/>
      <c r="BA32" s="97"/>
    </row>
    <row r="33" spans="1:53" ht="15" x14ac:dyDescent="0.2">
      <c r="A33" s="97"/>
      <c r="C33" s="194">
        <v>27</v>
      </c>
      <c r="D33" s="203" t="str">
        <f>IF(Input!D34&lt;&gt;"",IF(F33&lt;&gt;"",Input!D34,""),"")</f>
        <v/>
      </c>
      <c r="E33" s="297"/>
      <c r="F33" s="298" t="str">
        <f>(IF(Input!F34&lt;&gt;"",Input!F34,""))</f>
        <v/>
      </c>
      <c r="G33" s="333"/>
      <c r="H33" s="333"/>
      <c r="I33" s="333"/>
      <c r="J33" s="333"/>
      <c r="K33" s="333"/>
      <c r="L33" s="333"/>
      <c r="M33" s="333"/>
      <c r="N33" s="333"/>
      <c r="O33" s="333"/>
      <c r="P33" s="333"/>
      <c r="Q33" s="333"/>
      <c r="R33" s="333"/>
      <c r="S33" s="333"/>
      <c r="T33" s="333"/>
      <c r="U33" s="333"/>
      <c r="V33" s="336"/>
      <c r="W33" s="173"/>
      <c r="X33" s="309" t="str">
        <f>IF(F33&lt;&gt;"",IF(Input!T34&lt;&gt;"",Input!T34,""),"")</f>
        <v/>
      </c>
      <c r="Y33" s="449" t="str">
        <f>IFERROR(IF($X$5="","",IF(F33&lt;&gt;"",(Input!T34/Input!$T$6)*100,"")),"NA")</f>
        <v/>
      </c>
      <c r="Z33" s="310" t="str">
        <f>IF(F33&lt;&gt;"",IF(Input!U34&lt;&gt;"",Input!U34,""),"")</f>
        <v/>
      </c>
      <c r="AA33" s="449" t="str">
        <f>IFERROR(IF($Z$5="","",IF(F33&lt;&gt;"",(Input!U34/Input!$U$6)*100,"")),"NA")</f>
        <v/>
      </c>
      <c r="AB33" s="310" t="str">
        <f>IF(F33&lt;&gt;"",IF(Input!V34&lt;&gt;"",Input!V34,""),"")</f>
        <v/>
      </c>
      <c r="AC33" s="449" t="str">
        <f>IFERROR(IF($AB$5="","",IF(F33&lt;&gt;"",(Input!V34/Input!$V$6)*100,"")),"NA")</f>
        <v/>
      </c>
      <c r="AD33" s="310" t="str">
        <f>IF(F33&lt;&gt;"",IF(Input!W34&lt;&gt;"",Input!W34,""),"")</f>
        <v/>
      </c>
      <c r="AE33" s="449" t="str">
        <f>IFERROR(IF($AD$5="","",IF(F33&lt;&gt;"",(Input!W34/Input!$W$6)*100,"")),"NA")</f>
        <v/>
      </c>
      <c r="AF33" s="108" t="str">
        <f>IF(Input!X34="Error","Error",IF(F33="","",IF($X$5="",0,IF(F33&lt;&gt;"",IFERROR(AVERAGE(Y33,AA33,AC33,AE33)*$AF$4,0),""))))</f>
        <v/>
      </c>
      <c r="AG33" s="174"/>
      <c r="AH33" s="175" t="str">
        <f>IF(F33&lt;&gt;"",IF(Input!Y34&lt;&gt;"",Input!Y34,""),"")</f>
        <v/>
      </c>
      <c r="AI33" s="451" t="str">
        <f>IFERROR(IF($AH$5="","",IF(F33&lt;&gt;"",(Input!Y34/Input!$Y$6)*100,"")),"NA")</f>
        <v/>
      </c>
      <c r="AJ33" s="176" t="str">
        <f>IF(F33&lt;&gt;"",IF(Input!Z34&lt;&gt;"",Input!Z34,""),"")</f>
        <v/>
      </c>
      <c r="AK33" s="451" t="str">
        <f>IFERROR(IF($AJ$5="","",IF(F33&lt;&gt;"",(Input!Z34/Input!$Z$6)*100,"")),"NA")</f>
        <v/>
      </c>
      <c r="AL33" s="176" t="str">
        <f>IF(F33&lt;&gt;"",IF(Input!AA34&lt;&gt;"",Input!AA34,""),"")</f>
        <v/>
      </c>
      <c r="AM33" s="451" t="str">
        <f>IFERROR(IF($AL$5="","",IF(F33&lt;&gt;"",(Input!AA34/Input!$AA$6)*100,"")),"NA")</f>
        <v/>
      </c>
      <c r="AN33" s="177" t="str">
        <f>IF(F33&lt;&gt;"",IF(Input!AB34&lt;&gt;"",Input!AB34,""),"")</f>
        <v/>
      </c>
      <c r="AO33" s="451" t="str">
        <f>IFERROR(IF($AN$5="","",IF(F33&lt;&gt;"",(Input!AB34/Input!$AB$6)*100,"")),"NA")</f>
        <v/>
      </c>
      <c r="AP33" s="303" t="str">
        <f>IF(Input!AC34="Error","Error",IF(F33="","",IF($AH$5="",0,IF(F33&lt;&gt;"",IFERROR(AVERAGE(AI33,AK33,AM33,AO33)*$AP$4,0),""))))</f>
        <v/>
      </c>
      <c r="AQ33" s="174"/>
      <c r="AR33" s="231" t="str">
        <f>IF(Input!AD34="","",IF(F33&lt;&gt;"",Input!AD34,""))</f>
        <v/>
      </c>
      <c r="AS33" s="179" t="str">
        <f>IF(F33="","",IF(Input!AE34="Error","Error",IF(ISNUMBER(Input!AE34),(Input!AE34*$AS$4),"")))</f>
        <v/>
      </c>
      <c r="AT33" s="331" t="str">
        <f>IF(V33="D","DRP",
IF(F33&lt;&gt;"",
IF(OR(AF33="Error",AP33="Error",AS33="Error"),"Error",
IF(Input!AD34="","-",ROUND(AF33+AP33+AS33,2))),""))</f>
        <v/>
      </c>
      <c r="AU33" s="180" t="str">
        <f>IF(F33&lt;&gt;"",VLOOKUP(AT33,TRANSMUTATION!$A$2:$B$14,2),"")</f>
        <v/>
      </c>
      <c r="AV33" s="232" t="str">
        <f t="shared" si="1"/>
        <v/>
      </c>
      <c r="AW33" s="182"/>
      <c r="AX33" s="98"/>
      <c r="AY33" s="98"/>
      <c r="AZ33" s="98"/>
      <c r="BA33" s="97"/>
    </row>
    <row r="34" spans="1:53" ht="15" x14ac:dyDescent="0.2">
      <c r="A34" s="97"/>
      <c r="C34" s="194">
        <v>28</v>
      </c>
      <c r="D34" s="203" t="str">
        <f>IF(Input!D35&lt;&gt;"",IF(F34&lt;&gt;"",Input!D35,""),"")</f>
        <v/>
      </c>
      <c r="E34" s="297"/>
      <c r="F34" s="298" t="str">
        <f>(IF(Input!F35&lt;&gt;"",Input!F35,""))</f>
        <v/>
      </c>
      <c r="G34" s="333"/>
      <c r="H34" s="333"/>
      <c r="I34" s="333"/>
      <c r="J34" s="333"/>
      <c r="K34" s="333"/>
      <c r="L34" s="333"/>
      <c r="M34" s="333"/>
      <c r="N34" s="333"/>
      <c r="O34" s="333"/>
      <c r="P34" s="333"/>
      <c r="Q34" s="333"/>
      <c r="R34" s="333"/>
      <c r="S34" s="333"/>
      <c r="T34" s="333"/>
      <c r="U34" s="333"/>
      <c r="V34" s="336"/>
      <c r="W34" s="173"/>
      <c r="X34" s="309" t="str">
        <f>IF(F34&lt;&gt;"",IF(Input!T35&lt;&gt;"",Input!T35,""),"")</f>
        <v/>
      </c>
      <c r="Y34" s="449" t="str">
        <f>IFERROR(IF($X$5="","",IF(F34&lt;&gt;"",(Input!T35/Input!$T$6)*100,"")),"NA")</f>
        <v/>
      </c>
      <c r="Z34" s="310" t="str">
        <f>IF(F34&lt;&gt;"",IF(Input!U35&lt;&gt;"",Input!U35,""),"")</f>
        <v/>
      </c>
      <c r="AA34" s="449" t="str">
        <f>IFERROR(IF($Z$5="","",IF(F34&lt;&gt;"",(Input!U35/Input!$U$6)*100,"")),"NA")</f>
        <v/>
      </c>
      <c r="AB34" s="310" t="str">
        <f>IF(F34&lt;&gt;"",IF(Input!V35&lt;&gt;"",Input!V35,""),"")</f>
        <v/>
      </c>
      <c r="AC34" s="449" t="str">
        <f>IFERROR(IF($AB$5="","",IF(F34&lt;&gt;"",(Input!V35/Input!$V$6)*100,"")),"NA")</f>
        <v/>
      </c>
      <c r="AD34" s="310" t="str">
        <f>IF(F34&lt;&gt;"",IF(Input!W35&lt;&gt;"",Input!W35,""),"")</f>
        <v/>
      </c>
      <c r="AE34" s="449" t="str">
        <f>IFERROR(IF($AD$5="","",IF(F34&lt;&gt;"",(Input!W35/Input!$W$6)*100,"")),"NA")</f>
        <v/>
      </c>
      <c r="AF34" s="108" t="str">
        <f>IF(Input!X35="Error","Error",IF(F34="","",IF($X$5="",0,IF(F34&lt;&gt;"",IFERROR(AVERAGE(Y34,AA34,AC34,AE34)*$AF$4,0),""))))</f>
        <v/>
      </c>
      <c r="AG34" s="174"/>
      <c r="AH34" s="175" t="str">
        <f>IF(F34&lt;&gt;"",IF(Input!Y35&lt;&gt;"",Input!Y35,""),"")</f>
        <v/>
      </c>
      <c r="AI34" s="451" t="str">
        <f>IFERROR(IF($AH$5="","",IF(F34&lt;&gt;"",(Input!Y35/Input!$Y$6)*100,"")),"NA")</f>
        <v/>
      </c>
      <c r="AJ34" s="176" t="str">
        <f>IF(F34&lt;&gt;"",IF(Input!Z35&lt;&gt;"",Input!Z35,""),"")</f>
        <v/>
      </c>
      <c r="AK34" s="451" t="str">
        <f>IFERROR(IF($AJ$5="","",IF(F34&lt;&gt;"",(Input!Z35/Input!$Z$6)*100,"")),"NA")</f>
        <v/>
      </c>
      <c r="AL34" s="176" t="str">
        <f>IF(F34&lt;&gt;"",IF(Input!AA35&lt;&gt;"",Input!AA35,""),"")</f>
        <v/>
      </c>
      <c r="AM34" s="451" t="str">
        <f>IFERROR(IF($AL$5="","",IF(F34&lt;&gt;"",(Input!AA35/Input!$AA$6)*100,"")),"NA")</f>
        <v/>
      </c>
      <c r="AN34" s="177" t="str">
        <f>IF(F34&lt;&gt;"",IF(Input!AB35&lt;&gt;"",Input!AB35,""),"")</f>
        <v/>
      </c>
      <c r="AO34" s="451" t="str">
        <f>IFERROR(IF($AN$5="","",IF(F34&lt;&gt;"",(Input!AB35/Input!$AB$6)*100,"")),"NA")</f>
        <v/>
      </c>
      <c r="AP34" s="303" t="str">
        <f>IF(Input!AC35="Error","Error",IF(F34="","",IF($AH$5="",0,IF(F34&lt;&gt;"",IFERROR(AVERAGE(AI34,AK34,AM34,AO34)*$AP$4,0),""))))</f>
        <v/>
      </c>
      <c r="AQ34" s="174"/>
      <c r="AR34" s="231" t="str">
        <f>IF(Input!AD35="","",IF(F34&lt;&gt;"",Input!AD35,""))</f>
        <v/>
      </c>
      <c r="AS34" s="179" t="str">
        <f>IF(F34="","",IF(Input!AE35="Error","Error",IF(ISNUMBER(Input!AE35),(Input!AE35*$AS$4),"")))</f>
        <v/>
      </c>
      <c r="AT34" s="331" t="str">
        <f>IF(V34="D","DRP",
IF(F34&lt;&gt;"",
IF(OR(AF34="Error",AP34="Error",AS34="Error"),"Error",
IF(Input!AD35="","-",ROUND(AF34+AP34+AS34,2))),""))</f>
        <v/>
      </c>
      <c r="AU34" s="180" t="str">
        <f>IF(F34&lt;&gt;"",VLOOKUP(AT34,TRANSMUTATION!$A$2:$B$14,2),"")</f>
        <v/>
      </c>
      <c r="AV34" s="232" t="str">
        <f t="shared" si="1"/>
        <v/>
      </c>
      <c r="AW34" s="182"/>
      <c r="AX34" s="98"/>
      <c r="AY34" s="98"/>
      <c r="AZ34" s="98"/>
      <c r="BA34" s="97"/>
    </row>
    <row r="35" spans="1:53" ht="15" x14ac:dyDescent="0.2">
      <c r="A35" s="97"/>
      <c r="C35" s="194">
        <v>29</v>
      </c>
      <c r="D35" s="203" t="str">
        <f>IF(Input!D36&lt;&gt;"",IF(F35&lt;&gt;"",Input!D36,""),"")</f>
        <v/>
      </c>
      <c r="E35" s="297"/>
      <c r="F35" s="298" t="str">
        <f>(IF(Input!F36&lt;&gt;"",Input!F36,""))</f>
        <v/>
      </c>
      <c r="G35" s="333"/>
      <c r="H35" s="333"/>
      <c r="I35" s="333"/>
      <c r="J35" s="333"/>
      <c r="K35" s="333"/>
      <c r="L35" s="333"/>
      <c r="M35" s="333"/>
      <c r="N35" s="333"/>
      <c r="O35" s="333"/>
      <c r="P35" s="333"/>
      <c r="Q35" s="333"/>
      <c r="R35" s="333"/>
      <c r="S35" s="333"/>
      <c r="T35" s="333"/>
      <c r="U35" s="333"/>
      <c r="V35" s="336"/>
      <c r="W35" s="173"/>
      <c r="X35" s="309" t="str">
        <f>IF(F35&lt;&gt;"",IF(Input!T36&lt;&gt;"",Input!T36,""),"")</f>
        <v/>
      </c>
      <c r="Y35" s="449" t="str">
        <f>IFERROR(IF($X$5="","",IF(F35&lt;&gt;"",(Input!T36/Input!$T$6)*100,"")),"NA")</f>
        <v/>
      </c>
      <c r="Z35" s="310" t="str">
        <f>IF(F35&lt;&gt;"",IF(Input!U36&lt;&gt;"",Input!U36,""),"")</f>
        <v/>
      </c>
      <c r="AA35" s="449" t="str">
        <f>IFERROR(IF($Z$5="","",IF(F35&lt;&gt;"",(Input!U36/Input!$U$6)*100,"")),"NA")</f>
        <v/>
      </c>
      <c r="AB35" s="310" t="str">
        <f>IF(F35&lt;&gt;"",IF(Input!V36&lt;&gt;"",Input!V36,""),"")</f>
        <v/>
      </c>
      <c r="AC35" s="449" t="str">
        <f>IFERROR(IF($AB$5="","",IF(F35&lt;&gt;"",(Input!V36/Input!$V$6)*100,"")),"NA")</f>
        <v/>
      </c>
      <c r="AD35" s="310" t="str">
        <f>IF(F35&lt;&gt;"",IF(Input!W36&lt;&gt;"",Input!W36,""),"")</f>
        <v/>
      </c>
      <c r="AE35" s="449" t="str">
        <f>IFERROR(IF($AD$5="","",IF(F35&lt;&gt;"",(Input!W36/Input!$W$6)*100,"")),"NA")</f>
        <v/>
      </c>
      <c r="AF35" s="108" t="str">
        <f>IF(Input!X36="Error","Error",IF(F35="","",IF($X$5="",0,IF(F35&lt;&gt;"",IFERROR(AVERAGE(Y35,AA35,AC35,AE35)*$AF$4,0),""))))</f>
        <v/>
      </c>
      <c r="AG35" s="174"/>
      <c r="AH35" s="175" t="str">
        <f>IF(F35&lt;&gt;"",IF(Input!Y36&lt;&gt;"",Input!Y36,""),"")</f>
        <v/>
      </c>
      <c r="AI35" s="451" t="str">
        <f>IFERROR(IF($AH$5="","",IF(F35&lt;&gt;"",(Input!Y36/Input!$Y$6)*100,"")),"NA")</f>
        <v/>
      </c>
      <c r="AJ35" s="176" t="str">
        <f>IF(F35&lt;&gt;"",IF(Input!Z36&lt;&gt;"",Input!Z36,""),"")</f>
        <v/>
      </c>
      <c r="AK35" s="451" t="str">
        <f>IFERROR(IF($AJ$5="","",IF(F35&lt;&gt;"",(Input!Z36/Input!$Z$6)*100,"")),"NA")</f>
        <v/>
      </c>
      <c r="AL35" s="176" t="str">
        <f>IF(F35&lt;&gt;"",IF(Input!AA36&lt;&gt;"",Input!AA36,""),"")</f>
        <v/>
      </c>
      <c r="AM35" s="451" t="str">
        <f>IFERROR(IF($AL$5="","",IF(F35&lt;&gt;"",(Input!AA36/Input!$AA$6)*100,"")),"NA")</f>
        <v/>
      </c>
      <c r="AN35" s="177" t="str">
        <f>IF(F35&lt;&gt;"",IF(Input!AB36&lt;&gt;"",Input!AB36,""),"")</f>
        <v/>
      </c>
      <c r="AO35" s="451" t="str">
        <f>IFERROR(IF($AN$5="","",IF(F35&lt;&gt;"",(Input!AB36/Input!$AB$6)*100,"")),"NA")</f>
        <v/>
      </c>
      <c r="AP35" s="303" t="str">
        <f>IF(Input!AC36="Error","Error",IF(F35="","",IF($AH$5="",0,IF(F35&lt;&gt;"",IFERROR(AVERAGE(AI35,AK35,AM35,AO35)*$AP$4,0),""))))</f>
        <v/>
      </c>
      <c r="AQ35" s="174"/>
      <c r="AR35" s="231" t="str">
        <f>IF(Input!AD36="","",IF(F35&lt;&gt;"",Input!AD36,""))</f>
        <v/>
      </c>
      <c r="AS35" s="179" t="str">
        <f>IF(F35="","",IF(Input!AE36="Error","Error",IF(ISNUMBER(Input!AE36),(Input!AE36*$AS$4),"")))</f>
        <v/>
      </c>
      <c r="AT35" s="331" t="str">
        <f>IF(V35="D","DRP",
IF(F35&lt;&gt;"",
IF(OR(AF35="Error",AP35="Error",AS35="Error"),"Error",
IF(Input!AD36="","-",ROUND(AF35+AP35+AS35,2))),""))</f>
        <v/>
      </c>
      <c r="AU35" s="180" t="str">
        <f>IF(F35&lt;&gt;"",VLOOKUP(AT35,TRANSMUTATION!$A$2:$B$14,2),"")</f>
        <v/>
      </c>
      <c r="AV35" s="232" t="str">
        <f t="shared" si="1"/>
        <v/>
      </c>
      <c r="AW35" s="182"/>
      <c r="AX35" s="98"/>
      <c r="AY35" s="98"/>
      <c r="AZ35" s="98"/>
      <c r="BA35" s="97"/>
    </row>
    <row r="36" spans="1:53" ht="15" x14ac:dyDescent="0.2">
      <c r="A36" s="97"/>
      <c r="C36" s="194">
        <v>30</v>
      </c>
      <c r="D36" s="203" t="str">
        <f>IF(Input!D37&lt;&gt;"",IF(F36&lt;&gt;"",Input!D37,""),"")</f>
        <v/>
      </c>
      <c r="E36" s="297"/>
      <c r="F36" s="298" t="str">
        <f>(IF(Input!F37&lt;&gt;"",Input!F37,""))</f>
        <v/>
      </c>
      <c r="G36" s="333"/>
      <c r="H36" s="333"/>
      <c r="I36" s="333"/>
      <c r="J36" s="333"/>
      <c r="K36" s="333"/>
      <c r="L36" s="333"/>
      <c r="M36" s="333"/>
      <c r="N36" s="333"/>
      <c r="O36" s="333"/>
      <c r="P36" s="333"/>
      <c r="Q36" s="333"/>
      <c r="R36" s="333"/>
      <c r="S36" s="333"/>
      <c r="T36" s="333"/>
      <c r="U36" s="333"/>
      <c r="V36" s="336"/>
      <c r="W36" s="173"/>
      <c r="X36" s="309" t="str">
        <f>IF(F36&lt;&gt;"",IF(Input!T37&lt;&gt;"",Input!T37,""),"")</f>
        <v/>
      </c>
      <c r="Y36" s="449" t="str">
        <f>IFERROR(IF($X$5="","",IF(F36&lt;&gt;"",(Input!T37/Input!$T$6)*100,"")),"NA")</f>
        <v/>
      </c>
      <c r="Z36" s="310" t="str">
        <f>IF(F36&lt;&gt;"",IF(Input!U37&lt;&gt;"",Input!U37,""),"")</f>
        <v/>
      </c>
      <c r="AA36" s="449" t="str">
        <f>IFERROR(IF($Z$5="","",IF(F36&lt;&gt;"",(Input!U37/Input!$U$6)*100,"")),"NA")</f>
        <v/>
      </c>
      <c r="AB36" s="310" t="str">
        <f>IF(F36&lt;&gt;"",IF(Input!V37&lt;&gt;"",Input!V37,""),"")</f>
        <v/>
      </c>
      <c r="AC36" s="449" t="str">
        <f>IFERROR(IF($AB$5="","",IF(F36&lt;&gt;"",(Input!V37/Input!$V$6)*100,"")),"NA")</f>
        <v/>
      </c>
      <c r="AD36" s="310" t="str">
        <f>IF(F36&lt;&gt;"",IF(Input!W37&lt;&gt;"",Input!W37,""),"")</f>
        <v/>
      </c>
      <c r="AE36" s="449" t="str">
        <f>IFERROR(IF($AD$5="","",IF(F36&lt;&gt;"",(Input!W37/Input!$W$6)*100,"")),"NA")</f>
        <v/>
      </c>
      <c r="AF36" s="108" t="str">
        <f>IF(Input!X37="Error","Error",IF(F36="","",IF($X$5="",0,IF(F36&lt;&gt;"",IFERROR(AVERAGE(Y36,AA36,AC36,AE36)*$AF$4,0),""))))</f>
        <v/>
      </c>
      <c r="AG36" s="174"/>
      <c r="AH36" s="175" t="str">
        <f>IF(F36&lt;&gt;"",IF(Input!Y37&lt;&gt;"",Input!Y37,""),"")</f>
        <v/>
      </c>
      <c r="AI36" s="451" t="str">
        <f>IFERROR(IF($AH$5="","",IF(F36&lt;&gt;"",(Input!Y37/Input!$Y$6)*100,"")),"NA")</f>
        <v/>
      </c>
      <c r="AJ36" s="176" t="str">
        <f>IF(F36&lt;&gt;"",IF(Input!Z37&lt;&gt;"",Input!Z37,""),"")</f>
        <v/>
      </c>
      <c r="AK36" s="451" t="str">
        <f>IFERROR(IF($AJ$5="","",IF(F36&lt;&gt;"",(Input!Z37/Input!$Z$6)*100,"")),"NA")</f>
        <v/>
      </c>
      <c r="AL36" s="176" t="str">
        <f>IF(F36&lt;&gt;"",IF(Input!AA37&lt;&gt;"",Input!AA37,""),"")</f>
        <v/>
      </c>
      <c r="AM36" s="451" t="str">
        <f>IFERROR(IF($AL$5="","",IF(F36&lt;&gt;"",(Input!AA37/Input!$AA$6)*100,"")),"NA")</f>
        <v/>
      </c>
      <c r="AN36" s="177" t="str">
        <f>IF(F36&lt;&gt;"",IF(Input!AB37&lt;&gt;"",Input!AB37,""),"")</f>
        <v/>
      </c>
      <c r="AO36" s="451" t="str">
        <f>IFERROR(IF($AN$5="","",IF(F36&lt;&gt;"",(Input!AB37/Input!$AB$6)*100,"")),"NA")</f>
        <v/>
      </c>
      <c r="AP36" s="303" t="str">
        <f>IF(Input!AC37="Error","Error",IF(F36="","",IF($AH$5="",0,IF(F36&lt;&gt;"",IFERROR(AVERAGE(AI36,AK36,AM36,AO36)*$AP$4,0),""))))</f>
        <v/>
      </c>
      <c r="AQ36" s="174"/>
      <c r="AR36" s="231" t="str">
        <f>IF(Input!AD37="","",IF(F36&lt;&gt;"",Input!AD37,""))</f>
        <v/>
      </c>
      <c r="AS36" s="179" t="str">
        <f>IF(F36="","",IF(Input!AE37="Error","Error",IF(ISNUMBER(Input!AE37),(Input!AE37*$AS$4),"")))</f>
        <v/>
      </c>
      <c r="AT36" s="331" t="str">
        <f>IF(V36="D","DRP",
IF(F36&lt;&gt;"",
IF(OR(AF36="Error",AP36="Error",AS36="Error"),"Error",
IF(Input!AD37="","-",ROUND(AF36+AP36+AS36,2))),""))</f>
        <v/>
      </c>
      <c r="AU36" s="180" t="str">
        <f>IF(F36&lt;&gt;"",VLOOKUP(AT36,TRANSMUTATION!$A$2:$B$14,2),"")</f>
        <v/>
      </c>
      <c r="AV36" s="232" t="str">
        <f t="shared" si="1"/>
        <v/>
      </c>
      <c r="AW36" s="182"/>
      <c r="AX36" s="98"/>
      <c r="AY36" s="98"/>
      <c r="AZ36" s="98"/>
      <c r="BA36" s="97"/>
    </row>
    <row r="37" spans="1:53" ht="15" x14ac:dyDescent="0.2">
      <c r="A37" s="97"/>
      <c r="C37" s="194">
        <v>31</v>
      </c>
      <c r="D37" s="203" t="str">
        <f>IF(Input!D38&lt;&gt;"",IF(F37&lt;&gt;"",Input!D38,""),"")</f>
        <v/>
      </c>
      <c r="E37" s="297"/>
      <c r="F37" s="298" t="str">
        <f>(IF(Input!F38&lt;&gt;"",Input!F38,""))</f>
        <v/>
      </c>
      <c r="G37" s="333"/>
      <c r="H37" s="333"/>
      <c r="I37" s="333"/>
      <c r="J37" s="333"/>
      <c r="K37" s="333"/>
      <c r="L37" s="333"/>
      <c r="M37" s="333"/>
      <c r="N37" s="333"/>
      <c r="O37" s="333"/>
      <c r="P37" s="333"/>
      <c r="Q37" s="333"/>
      <c r="R37" s="333"/>
      <c r="S37" s="333"/>
      <c r="T37" s="333"/>
      <c r="U37" s="333"/>
      <c r="V37" s="336"/>
      <c r="W37" s="173"/>
      <c r="X37" s="309" t="str">
        <f>IF(F37&lt;&gt;"",IF(Input!T38&lt;&gt;"",Input!T38,""),"")</f>
        <v/>
      </c>
      <c r="Y37" s="449" t="str">
        <f>IFERROR(IF($X$5="","",IF(F37&lt;&gt;"",(Input!T38/Input!$T$6)*100,"")),"NA")</f>
        <v/>
      </c>
      <c r="Z37" s="310" t="str">
        <f>IF(F37&lt;&gt;"",IF(Input!U38&lt;&gt;"",Input!U38,""),"")</f>
        <v/>
      </c>
      <c r="AA37" s="449" t="str">
        <f>IFERROR(IF($Z$5="","",IF(F37&lt;&gt;"",(Input!U38/Input!$U$6)*100,"")),"NA")</f>
        <v/>
      </c>
      <c r="AB37" s="310" t="str">
        <f>IF(F37&lt;&gt;"",IF(Input!V38&lt;&gt;"",Input!V38,""),"")</f>
        <v/>
      </c>
      <c r="AC37" s="449" t="str">
        <f>IFERROR(IF($AB$5="","",IF(F37&lt;&gt;"",(Input!V38/Input!$V$6)*100,"")),"NA")</f>
        <v/>
      </c>
      <c r="AD37" s="310" t="str">
        <f>IF(F37&lt;&gt;"",IF(Input!W38&lt;&gt;"",Input!W38,""),"")</f>
        <v/>
      </c>
      <c r="AE37" s="449" t="str">
        <f>IFERROR(IF($AD$5="","",IF(F37&lt;&gt;"",(Input!W38/Input!$W$6)*100,"")),"NA")</f>
        <v/>
      </c>
      <c r="AF37" s="108" t="str">
        <f>IF(Input!X38="Error","Error",IF(F37="","",IF($X$5="",0,IF(F37&lt;&gt;"",IFERROR(AVERAGE(Y37,AA37,AC37,AE37)*$AF$4,0),""))))</f>
        <v/>
      </c>
      <c r="AG37" s="174"/>
      <c r="AH37" s="175" t="str">
        <f>IF(F37&lt;&gt;"",IF(Input!Y38&lt;&gt;"",Input!Y38,""),"")</f>
        <v/>
      </c>
      <c r="AI37" s="451" t="str">
        <f>IFERROR(IF($AH$5="","",IF(F37&lt;&gt;"",(Input!Y38/Input!$Y$6)*100,"")),"NA")</f>
        <v/>
      </c>
      <c r="AJ37" s="176" t="str">
        <f>IF(F37&lt;&gt;"",IF(Input!Z38&lt;&gt;"",Input!Z38,""),"")</f>
        <v/>
      </c>
      <c r="AK37" s="451" t="str">
        <f>IFERROR(IF($AJ$5="","",IF(F37&lt;&gt;"",(Input!Z38/Input!$Z$6)*100,"")),"NA")</f>
        <v/>
      </c>
      <c r="AL37" s="176" t="str">
        <f>IF(F37&lt;&gt;"",IF(Input!AA38&lt;&gt;"",Input!AA38,""),"")</f>
        <v/>
      </c>
      <c r="AM37" s="451" t="str">
        <f>IFERROR(IF($AL$5="","",IF(F37&lt;&gt;"",(Input!AA38/Input!$AA$6)*100,"")),"NA")</f>
        <v/>
      </c>
      <c r="AN37" s="177" t="str">
        <f>IF(F37&lt;&gt;"",IF(Input!AB38&lt;&gt;"",Input!AB38,""),"")</f>
        <v/>
      </c>
      <c r="AO37" s="451" t="str">
        <f>IFERROR(IF($AN$5="","",IF(F37&lt;&gt;"",(Input!AB38/Input!$AB$6)*100,"")),"NA")</f>
        <v/>
      </c>
      <c r="AP37" s="303" t="str">
        <f>IF(Input!AC38="Error","Error",IF(F37="","",IF($AH$5="",0,IF(F37&lt;&gt;"",IFERROR(AVERAGE(AI37,AK37,AM37,AO37)*$AP$4,0),""))))</f>
        <v/>
      </c>
      <c r="AQ37" s="174"/>
      <c r="AR37" s="231" t="str">
        <f>IF(Input!AD38="","",IF(F37&lt;&gt;"",Input!AD38,""))</f>
        <v/>
      </c>
      <c r="AS37" s="179" t="str">
        <f>IF(F37="","",IF(Input!AE38="Error","Error",IF(ISNUMBER(Input!AE38),(Input!AE38*$AS$4),"")))</f>
        <v/>
      </c>
      <c r="AT37" s="331" t="str">
        <f>IF(V37="D","DRP",
IF(F37&lt;&gt;"",
IF(OR(AF37="Error",AP37="Error",AS37="Error"),"Error",
IF(Input!AD38="","-",ROUND(AF37+AP37+AS37,2))),""))</f>
        <v/>
      </c>
      <c r="AU37" s="180" t="str">
        <f>IF(F37&lt;&gt;"",VLOOKUP(AT37,TRANSMUTATION!$A$2:$B$14,2),"")</f>
        <v/>
      </c>
      <c r="AV37" s="232" t="str">
        <f t="shared" si="1"/>
        <v/>
      </c>
      <c r="AW37" s="182"/>
      <c r="AX37" s="98"/>
      <c r="AY37" s="98"/>
      <c r="AZ37" s="98"/>
      <c r="BA37" s="97"/>
    </row>
    <row r="38" spans="1:53" ht="15" x14ac:dyDescent="0.2">
      <c r="A38" s="97"/>
      <c r="C38" s="194">
        <v>32</v>
      </c>
      <c r="D38" s="203" t="str">
        <f>IF(Input!D39&lt;&gt;"",IF(F38&lt;&gt;"",Input!D39,""),"")</f>
        <v/>
      </c>
      <c r="E38" s="297"/>
      <c r="F38" s="298" t="str">
        <f>(IF(Input!F39&lt;&gt;"",Input!F39,""))</f>
        <v/>
      </c>
      <c r="G38" s="333"/>
      <c r="H38" s="333"/>
      <c r="I38" s="333"/>
      <c r="J38" s="333"/>
      <c r="K38" s="333"/>
      <c r="L38" s="333"/>
      <c r="M38" s="333"/>
      <c r="N38" s="333"/>
      <c r="O38" s="333"/>
      <c r="P38" s="333"/>
      <c r="Q38" s="333"/>
      <c r="R38" s="333"/>
      <c r="S38" s="333"/>
      <c r="T38" s="333"/>
      <c r="U38" s="333"/>
      <c r="V38" s="336"/>
      <c r="W38" s="173"/>
      <c r="X38" s="309" t="str">
        <f>IF(F38&lt;&gt;"",IF(Input!T39&lt;&gt;"",Input!T39,""),"")</f>
        <v/>
      </c>
      <c r="Y38" s="449" t="str">
        <f>IFERROR(IF($X$5="","",IF(F38&lt;&gt;"",(Input!T39/Input!$T$6)*100,"")),"NA")</f>
        <v/>
      </c>
      <c r="Z38" s="310" t="str">
        <f>IF(F38&lt;&gt;"",IF(Input!U39&lt;&gt;"",Input!U39,""),"")</f>
        <v/>
      </c>
      <c r="AA38" s="449" t="str">
        <f>IFERROR(IF($Z$5="","",IF(F38&lt;&gt;"",(Input!U39/Input!$U$6)*100,"")),"NA")</f>
        <v/>
      </c>
      <c r="AB38" s="310" t="str">
        <f>IF(F38&lt;&gt;"",IF(Input!V39&lt;&gt;"",Input!V39,""),"")</f>
        <v/>
      </c>
      <c r="AC38" s="449" t="str">
        <f>IFERROR(IF($AB$5="","",IF(F38&lt;&gt;"",(Input!V39/Input!$V$6)*100,"")),"NA")</f>
        <v/>
      </c>
      <c r="AD38" s="310" t="str">
        <f>IF(F38&lt;&gt;"",IF(Input!W39&lt;&gt;"",Input!W39,""),"")</f>
        <v/>
      </c>
      <c r="AE38" s="449" t="str">
        <f>IFERROR(IF($AD$5="","",IF(F38&lt;&gt;"",(Input!W39/Input!$W$6)*100,"")),"NA")</f>
        <v/>
      </c>
      <c r="AF38" s="108" t="str">
        <f>IF(Input!X39="Error","Error",IF(F38="","",IF($X$5="",0,IF(F38&lt;&gt;"",IFERROR(AVERAGE(Y38,AA38,AC38,AE38)*$AF$4,0),""))))</f>
        <v/>
      </c>
      <c r="AG38" s="174"/>
      <c r="AH38" s="175" t="str">
        <f>IF(F38&lt;&gt;"",IF(Input!Y39&lt;&gt;"",Input!Y39,""),"")</f>
        <v/>
      </c>
      <c r="AI38" s="451" t="str">
        <f>IFERROR(IF($AH$5="","",IF(F38&lt;&gt;"",(Input!Y39/Input!$Y$6)*100,"")),"NA")</f>
        <v/>
      </c>
      <c r="AJ38" s="176" t="str">
        <f>IF(F38&lt;&gt;"",IF(Input!Z39&lt;&gt;"",Input!Z39,""),"")</f>
        <v/>
      </c>
      <c r="AK38" s="451" t="str">
        <f>IFERROR(IF($AJ$5="","",IF(F38&lt;&gt;"",(Input!Z39/Input!$Z$6)*100,"")),"NA")</f>
        <v/>
      </c>
      <c r="AL38" s="176" t="str">
        <f>IF(F38&lt;&gt;"",IF(Input!AA39&lt;&gt;"",Input!AA39,""),"")</f>
        <v/>
      </c>
      <c r="AM38" s="451" t="str">
        <f>IFERROR(IF($AL$5="","",IF(F38&lt;&gt;"",(Input!AA39/Input!$AA$6)*100,"")),"NA")</f>
        <v/>
      </c>
      <c r="AN38" s="177" t="str">
        <f>IF(F38&lt;&gt;"",IF(Input!AB39&lt;&gt;"",Input!AB39,""),"")</f>
        <v/>
      </c>
      <c r="AO38" s="451" t="str">
        <f>IFERROR(IF($AN$5="","",IF(F38&lt;&gt;"",(Input!AB39/Input!$AB$6)*100,"")),"NA")</f>
        <v/>
      </c>
      <c r="AP38" s="303" t="str">
        <f>IF(Input!AC39="Error","Error",IF(F38="","",IF($AH$5="",0,IF(F38&lt;&gt;"",IFERROR(AVERAGE(AI38,AK38,AM38,AO38)*$AP$4,0),""))))</f>
        <v/>
      </c>
      <c r="AQ38" s="174"/>
      <c r="AR38" s="231" t="str">
        <f>IF(Input!AD39="","",IF(F38&lt;&gt;"",Input!AD39,""))</f>
        <v/>
      </c>
      <c r="AS38" s="179" t="str">
        <f>IF(F38="","",IF(Input!AE39="Error","Error",IF(ISNUMBER(Input!AE39),(Input!AE39*$AS$4),"")))</f>
        <v/>
      </c>
      <c r="AT38" s="331" t="str">
        <f>IF(V38="D","DRP",
IF(F38&lt;&gt;"",
IF(OR(AF38="Error",AP38="Error",AS38="Error"),"Error",
IF(Input!AD39="","-",ROUND(AF38+AP38+AS38,2))),""))</f>
        <v/>
      </c>
      <c r="AU38" s="180" t="str">
        <f>IF(F38&lt;&gt;"",VLOOKUP(AT38,TRANSMUTATION!$A$2:$B$14,2),"")</f>
        <v/>
      </c>
      <c r="AV38" s="232" t="str">
        <f t="shared" si="1"/>
        <v/>
      </c>
      <c r="AW38" s="182"/>
      <c r="AX38" s="98"/>
      <c r="AY38" s="98"/>
      <c r="AZ38" s="98"/>
      <c r="BA38" s="97"/>
    </row>
    <row r="39" spans="1:53" ht="15" x14ac:dyDescent="0.2">
      <c r="A39" s="97"/>
      <c r="C39" s="194">
        <v>33</v>
      </c>
      <c r="D39" s="203" t="str">
        <f>IF(Input!D40&lt;&gt;"",IF(F39&lt;&gt;"",Input!D40,""),"")</f>
        <v/>
      </c>
      <c r="E39" s="297"/>
      <c r="F39" s="298" t="str">
        <f>(IF(Input!F40&lt;&gt;"",Input!F40,""))</f>
        <v/>
      </c>
      <c r="G39" s="333"/>
      <c r="H39" s="333"/>
      <c r="I39" s="333"/>
      <c r="J39" s="333"/>
      <c r="K39" s="333"/>
      <c r="L39" s="333"/>
      <c r="M39" s="333"/>
      <c r="N39" s="333"/>
      <c r="O39" s="333"/>
      <c r="P39" s="333"/>
      <c r="Q39" s="333"/>
      <c r="R39" s="333"/>
      <c r="S39" s="333"/>
      <c r="T39" s="333"/>
      <c r="U39" s="333"/>
      <c r="V39" s="336"/>
      <c r="W39" s="173"/>
      <c r="X39" s="309" t="str">
        <f>IF(F39&lt;&gt;"",IF(Input!T40&lt;&gt;"",Input!T40,""),"")</f>
        <v/>
      </c>
      <c r="Y39" s="449" t="str">
        <f>IFERROR(IF($X$5="","",IF(F39&lt;&gt;"",(Input!T40/Input!$T$6)*100,"")),"NA")</f>
        <v/>
      </c>
      <c r="Z39" s="310" t="str">
        <f>IF(F39&lt;&gt;"",IF(Input!U40&lt;&gt;"",Input!U40,""),"")</f>
        <v/>
      </c>
      <c r="AA39" s="449" t="str">
        <f>IFERROR(IF($Z$5="","",IF(F39&lt;&gt;"",(Input!U40/Input!$U$6)*100,"")),"NA")</f>
        <v/>
      </c>
      <c r="AB39" s="310" t="str">
        <f>IF(F39&lt;&gt;"",IF(Input!V40&lt;&gt;"",Input!V40,""),"")</f>
        <v/>
      </c>
      <c r="AC39" s="449" t="str">
        <f>IFERROR(IF($AB$5="","",IF(F39&lt;&gt;"",(Input!V40/Input!$V$6)*100,"")),"NA")</f>
        <v/>
      </c>
      <c r="AD39" s="310" t="str">
        <f>IF(F39&lt;&gt;"",IF(Input!W40&lt;&gt;"",Input!W40,""),"")</f>
        <v/>
      </c>
      <c r="AE39" s="449" t="str">
        <f>IFERROR(IF($AD$5="","",IF(F39&lt;&gt;"",(Input!W40/Input!$W$6)*100,"")),"NA")</f>
        <v/>
      </c>
      <c r="AF39" s="108" t="str">
        <f>IF(Input!X40="Error","Error",IF(F39="","",IF($X$5="",0,IF(F39&lt;&gt;"",IFERROR(AVERAGE(Y39,AA39,AC39,AE39)*$AF$4,0),""))))</f>
        <v/>
      </c>
      <c r="AG39" s="174"/>
      <c r="AH39" s="175" t="str">
        <f>IF(F39&lt;&gt;"",IF(Input!Y40&lt;&gt;"",Input!Y40,""),"")</f>
        <v/>
      </c>
      <c r="AI39" s="451" t="str">
        <f>IFERROR(IF($AH$5="","",IF(F39&lt;&gt;"",(Input!Y40/Input!$Y$6)*100,"")),"NA")</f>
        <v/>
      </c>
      <c r="AJ39" s="176" t="str">
        <f>IF(F39&lt;&gt;"",IF(Input!Z40&lt;&gt;"",Input!Z40,""),"")</f>
        <v/>
      </c>
      <c r="AK39" s="451" t="str">
        <f>IFERROR(IF($AJ$5="","",IF(F39&lt;&gt;"",(Input!Z40/Input!$Z$6)*100,"")),"NA")</f>
        <v/>
      </c>
      <c r="AL39" s="176" t="str">
        <f>IF(F39&lt;&gt;"",IF(Input!AA40&lt;&gt;"",Input!AA40,""),"")</f>
        <v/>
      </c>
      <c r="AM39" s="451" t="str">
        <f>IFERROR(IF($AL$5="","",IF(F39&lt;&gt;"",(Input!AA40/Input!$AA$6)*100,"")),"NA")</f>
        <v/>
      </c>
      <c r="AN39" s="177" t="str">
        <f>IF(F39&lt;&gt;"",IF(Input!AB40&lt;&gt;"",Input!AB40,""),"")</f>
        <v/>
      </c>
      <c r="AO39" s="451" t="str">
        <f>IFERROR(IF($AN$5="","",IF(F39&lt;&gt;"",(Input!AB40/Input!$AB$6)*100,"")),"NA")</f>
        <v/>
      </c>
      <c r="AP39" s="303" t="str">
        <f>IF(Input!AC40="Error","Error",IF(F39="","",IF($AH$5="",0,IF(F39&lt;&gt;"",IFERROR(AVERAGE(AI39,AK39,AM39,AO39)*$AP$4,0),""))))</f>
        <v/>
      </c>
      <c r="AQ39" s="174"/>
      <c r="AR39" s="231" t="str">
        <f>IF(Input!AD40="","",IF(F39&lt;&gt;"",Input!AD40,""))</f>
        <v/>
      </c>
      <c r="AS39" s="179" t="str">
        <f>IF(F39="","",IF(Input!AE40="Error","Error",IF(ISNUMBER(Input!AE40),(Input!AE40*$AS$4),"")))</f>
        <v/>
      </c>
      <c r="AT39" s="331" t="str">
        <f>IF(V39="D","DRP",
IF(F39&lt;&gt;"",
IF(OR(AF39="Error",AP39="Error",AS39="Error"),"Error",
IF(Input!AD40="","-",ROUND(AF39+AP39+AS39,2))),""))</f>
        <v/>
      </c>
      <c r="AU39" s="180" t="str">
        <f>IF(F39&lt;&gt;"",VLOOKUP(AT39,TRANSMUTATION!$A$2:$B$14,2),"")</f>
        <v/>
      </c>
      <c r="AV39" s="232" t="str">
        <f t="shared" si="1"/>
        <v/>
      </c>
      <c r="AW39" s="182"/>
      <c r="AX39" s="98"/>
      <c r="AY39" s="98"/>
      <c r="AZ39" s="98"/>
      <c r="BA39" s="97"/>
    </row>
    <row r="40" spans="1:53" ht="15" x14ac:dyDescent="0.2">
      <c r="A40" s="97"/>
      <c r="C40" s="194">
        <v>34</v>
      </c>
      <c r="D40" s="203" t="str">
        <f>IF(Input!D41&lt;&gt;"",IF(F40&lt;&gt;"",Input!D41,""),"")</f>
        <v/>
      </c>
      <c r="E40" s="297"/>
      <c r="F40" s="298" t="str">
        <f>(IF(Input!F41&lt;&gt;"",Input!F41,""))</f>
        <v/>
      </c>
      <c r="G40" s="333"/>
      <c r="H40" s="333"/>
      <c r="I40" s="333"/>
      <c r="J40" s="333"/>
      <c r="K40" s="333"/>
      <c r="L40" s="333"/>
      <c r="M40" s="333"/>
      <c r="N40" s="333"/>
      <c r="O40" s="333"/>
      <c r="P40" s="333"/>
      <c r="Q40" s="333"/>
      <c r="R40" s="333"/>
      <c r="S40" s="333"/>
      <c r="T40" s="333"/>
      <c r="U40" s="333"/>
      <c r="V40" s="336"/>
      <c r="W40" s="173"/>
      <c r="X40" s="309" t="str">
        <f>IF(F40&lt;&gt;"",IF(Input!T41&lt;&gt;"",Input!T41,""),"")</f>
        <v/>
      </c>
      <c r="Y40" s="449" t="str">
        <f>IFERROR(IF($X$5="","",IF(F40&lt;&gt;"",(Input!T41/Input!$T$6)*100,"")),"NA")</f>
        <v/>
      </c>
      <c r="Z40" s="310" t="str">
        <f>IF(F40&lt;&gt;"",IF(Input!U41&lt;&gt;"",Input!U41,""),"")</f>
        <v/>
      </c>
      <c r="AA40" s="449" t="str">
        <f>IFERROR(IF($Z$5="","",IF(F40&lt;&gt;"",(Input!U41/Input!$U$6)*100,"")),"NA")</f>
        <v/>
      </c>
      <c r="AB40" s="310" t="str">
        <f>IF(F40&lt;&gt;"",IF(Input!V41&lt;&gt;"",Input!V41,""),"")</f>
        <v/>
      </c>
      <c r="AC40" s="449" t="str">
        <f>IFERROR(IF($AB$5="","",IF(F40&lt;&gt;"",(Input!V41/Input!$V$6)*100,"")),"NA")</f>
        <v/>
      </c>
      <c r="AD40" s="310" t="str">
        <f>IF(F40&lt;&gt;"",IF(Input!W41&lt;&gt;"",Input!W41,""),"")</f>
        <v/>
      </c>
      <c r="AE40" s="449" t="str">
        <f>IFERROR(IF($AD$5="","",IF(F40&lt;&gt;"",(Input!W41/Input!$W$6)*100,"")),"NA")</f>
        <v/>
      </c>
      <c r="AF40" s="108" t="str">
        <f>IF(Input!X41="Error","Error",IF(F40="","",IF($X$5="",0,IF(F40&lt;&gt;"",IFERROR(AVERAGE(Y40,AA40,AC40,AE40)*$AF$4,0),""))))</f>
        <v/>
      </c>
      <c r="AG40" s="174"/>
      <c r="AH40" s="175" t="str">
        <f>IF(F40&lt;&gt;"",IF(Input!Y41&lt;&gt;"",Input!Y41,""),"")</f>
        <v/>
      </c>
      <c r="AI40" s="451" t="str">
        <f>IFERROR(IF($AH$5="","",IF(F40&lt;&gt;"",(Input!Y41/Input!$Y$6)*100,"")),"NA")</f>
        <v/>
      </c>
      <c r="AJ40" s="176" t="str">
        <f>IF(F40&lt;&gt;"",IF(Input!Z41&lt;&gt;"",Input!Z41,""),"")</f>
        <v/>
      </c>
      <c r="AK40" s="451" t="str">
        <f>IFERROR(IF($AJ$5="","",IF(F40&lt;&gt;"",(Input!Z41/Input!$Z$6)*100,"")),"NA")</f>
        <v/>
      </c>
      <c r="AL40" s="176" t="str">
        <f>IF(F40&lt;&gt;"",IF(Input!AA41&lt;&gt;"",Input!AA41,""),"")</f>
        <v/>
      </c>
      <c r="AM40" s="451" t="str">
        <f>IFERROR(IF($AL$5="","",IF(F40&lt;&gt;"",(Input!AA41/Input!$AA$6)*100,"")),"NA")</f>
        <v/>
      </c>
      <c r="AN40" s="177" t="str">
        <f>IF(F40&lt;&gt;"",IF(Input!AB41&lt;&gt;"",Input!AB41,""),"")</f>
        <v/>
      </c>
      <c r="AO40" s="451" t="str">
        <f>IFERROR(IF($AN$5="","",IF(F40&lt;&gt;"",(Input!AB41/Input!$AB$6)*100,"")),"NA")</f>
        <v/>
      </c>
      <c r="AP40" s="303" t="str">
        <f>IF(Input!AC41="Error","Error",IF(F40="","",IF($AH$5="",0,IF(F40&lt;&gt;"",IFERROR(AVERAGE(AI40,AK40,AM40,AO40)*$AP$4,0),""))))</f>
        <v/>
      </c>
      <c r="AQ40" s="174"/>
      <c r="AR40" s="231" t="str">
        <f>IF(Input!AD41="","",IF(F40&lt;&gt;"",Input!AD41,""))</f>
        <v/>
      </c>
      <c r="AS40" s="179" t="str">
        <f>IF(F40="","",IF(Input!AE41="Error","Error",IF(ISNUMBER(Input!AE41),(Input!AE41*$AS$4),"")))</f>
        <v/>
      </c>
      <c r="AT40" s="331" t="str">
        <f>IF(V40="D","DRP",
IF(F40&lt;&gt;"",
IF(OR(AF40="Error",AP40="Error",AS40="Error"),"Error",
IF(Input!AD41="","-",ROUND(AF40+AP40+AS40,2))),""))</f>
        <v/>
      </c>
      <c r="AU40" s="180" t="str">
        <f>IF(F40&lt;&gt;"",VLOOKUP(AT40,TRANSMUTATION!$A$2:$B$14,2),"")</f>
        <v/>
      </c>
      <c r="AV40" s="232" t="str">
        <f t="shared" si="1"/>
        <v/>
      </c>
      <c r="AW40" s="182"/>
      <c r="AX40" s="98"/>
      <c r="AY40" s="98"/>
      <c r="AZ40" s="98"/>
      <c r="BA40" s="97"/>
    </row>
    <row r="41" spans="1:53" ht="15" x14ac:dyDescent="0.2">
      <c r="A41" s="97"/>
      <c r="C41" s="194">
        <v>35</v>
      </c>
      <c r="D41" s="203" t="str">
        <f>IF(Input!D42&lt;&gt;"",IF(F41&lt;&gt;"",Input!D42,""),"")</f>
        <v/>
      </c>
      <c r="E41" s="297"/>
      <c r="F41" s="298" t="str">
        <f>(IF(Input!F42&lt;&gt;"",Input!F42,""))</f>
        <v/>
      </c>
      <c r="G41" s="333"/>
      <c r="H41" s="333"/>
      <c r="I41" s="333"/>
      <c r="J41" s="333"/>
      <c r="K41" s="333"/>
      <c r="L41" s="333"/>
      <c r="M41" s="333"/>
      <c r="N41" s="333"/>
      <c r="O41" s="333"/>
      <c r="P41" s="333"/>
      <c r="Q41" s="333"/>
      <c r="R41" s="333"/>
      <c r="S41" s="333"/>
      <c r="T41" s="333"/>
      <c r="U41" s="333"/>
      <c r="V41" s="336"/>
      <c r="W41" s="173"/>
      <c r="X41" s="309" t="str">
        <f>IF(F41&lt;&gt;"",IF(Input!T42&lt;&gt;"",Input!T42,""),"")</f>
        <v/>
      </c>
      <c r="Y41" s="449" t="str">
        <f>IFERROR(IF($X$5="","",IF(F41&lt;&gt;"",(Input!T42/Input!$T$6)*100,"")),"NA")</f>
        <v/>
      </c>
      <c r="Z41" s="310" t="str">
        <f>IF(F41&lt;&gt;"",IF(Input!U42&lt;&gt;"",Input!U42,""),"")</f>
        <v/>
      </c>
      <c r="AA41" s="449" t="str">
        <f>IFERROR(IF($Z$5="","",IF(F41&lt;&gt;"",(Input!U42/Input!$U$6)*100,"")),"NA")</f>
        <v/>
      </c>
      <c r="AB41" s="310" t="str">
        <f>IF(F41&lt;&gt;"",IF(Input!V42&lt;&gt;"",Input!V42,""),"")</f>
        <v/>
      </c>
      <c r="AC41" s="449" t="str">
        <f>IFERROR(IF($AB$5="","",IF(F41&lt;&gt;"",(Input!V42/Input!$V$6)*100,"")),"NA")</f>
        <v/>
      </c>
      <c r="AD41" s="310" t="str">
        <f>IF(F41&lt;&gt;"",IF(Input!W42&lt;&gt;"",Input!W42,""),"")</f>
        <v/>
      </c>
      <c r="AE41" s="449" t="str">
        <f>IFERROR(IF($AD$5="","",IF(F41&lt;&gt;"",(Input!W42/Input!$W$6)*100,"")),"NA")</f>
        <v/>
      </c>
      <c r="AF41" s="108" t="str">
        <f>IF(Input!X42="Error","Error",IF(F41="","",IF($X$5="",0,IF(F41&lt;&gt;"",IFERROR(AVERAGE(Y41,AA41,AC41,AE41)*$AF$4,0),""))))</f>
        <v/>
      </c>
      <c r="AG41" s="174"/>
      <c r="AH41" s="175" t="str">
        <f>IF(F41&lt;&gt;"",IF(Input!Y42&lt;&gt;"",Input!Y42,""),"")</f>
        <v/>
      </c>
      <c r="AI41" s="451" t="str">
        <f>IFERROR(IF($AH$5="","",IF(F41&lt;&gt;"",(Input!Y42/Input!$Y$6)*100,"")),"NA")</f>
        <v/>
      </c>
      <c r="AJ41" s="176" t="str">
        <f>IF(F41&lt;&gt;"",IF(Input!Z42&lt;&gt;"",Input!Z42,""),"")</f>
        <v/>
      </c>
      <c r="AK41" s="451" t="str">
        <f>IFERROR(IF($AJ$5="","",IF(F41&lt;&gt;"",(Input!Z42/Input!$Z$6)*100,"")),"NA")</f>
        <v/>
      </c>
      <c r="AL41" s="176" t="str">
        <f>IF(F41&lt;&gt;"",IF(Input!AA42&lt;&gt;"",Input!AA42,""),"")</f>
        <v/>
      </c>
      <c r="AM41" s="451" t="str">
        <f>IFERROR(IF($AL$5="","",IF(F41&lt;&gt;"",(Input!AA42/Input!$AA$6)*100,"")),"NA")</f>
        <v/>
      </c>
      <c r="AN41" s="177" t="str">
        <f>IF(F41&lt;&gt;"",IF(Input!AB42&lt;&gt;"",Input!AB42,""),"")</f>
        <v/>
      </c>
      <c r="AO41" s="451" t="str">
        <f>IFERROR(IF($AN$5="","",IF(F41&lt;&gt;"",(Input!AB42/Input!$AB$6)*100,"")),"NA")</f>
        <v/>
      </c>
      <c r="AP41" s="303" t="str">
        <f>IF(Input!AC42="Error","Error",IF(F41="","",IF($AH$5="",0,IF(F41&lt;&gt;"",IFERROR(AVERAGE(AI41,AK41,AM41,AO41)*$AP$4,0),""))))</f>
        <v/>
      </c>
      <c r="AQ41" s="174"/>
      <c r="AR41" s="231" t="str">
        <f>IF(Input!AD42="","",IF(F41&lt;&gt;"",Input!AD42,""))</f>
        <v/>
      </c>
      <c r="AS41" s="179" t="str">
        <f>IF(F41="","",IF(Input!AE42="Error","Error",IF(ISNUMBER(Input!AE42),(Input!AE42*$AS$4),"")))</f>
        <v/>
      </c>
      <c r="AT41" s="331" t="str">
        <f>IF(V41="D","DRP",
IF(F41&lt;&gt;"",
IF(OR(AF41="Error",AP41="Error",AS41="Error"),"Error",
IF(Input!AD42="","-",ROUND(AF41+AP41+AS41,2))),""))</f>
        <v/>
      </c>
      <c r="AU41" s="180" t="str">
        <f>IF(F41&lt;&gt;"",VLOOKUP(AT41,TRANSMUTATION!$A$2:$B$14,2),"")</f>
        <v/>
      </c>
      <c r="AV41" s="232" t="str">
        <f t="shared" si="1"/>
        <v/>
      </c>
      <c r="AW41" s="182"/>
      <c r="AX41" s="98"/>
      <c r="AY41" s="98"/>
      <c r="AZ41" s="98"/>
      <c r="BA41" s="97"/>
    </row>
    <row r="42" spans="1:53" ht="15" x14ac:dyDescent="0.2">
      <c r="A42" s="97"/>
      <c r="C42" s="194">
        <v>36</v>
      </c>
      <c r="D42" s="203" t="str">
        <f>IF(Input!D43&lt;&gt;"",IF(F42&lt;&gt;"",Input!D43,""),"")</f>
        <v/>
      </c>
      <c r="E42" s="297"/>
      <c r="F42" s="298" t="str">
        <f>(IF(Input!F43&lt;&gt;"",Input!F43,""))</f>
        <v/>
      </c>
      <c r="G42" s="333"/>
      <c r="H42" s="333"/>
      <c r="I42" s="333"/>
      <c r="J42" s="333"/>
      <c r="K42" s="333"/>
      <c r="L42" s="333"/>
      <c r="M42" s="333"/>
      <c r="N42" s="333"/>
      <c r="O42" s="333"/>
      <c r="P42" s="333"/>
      <c r="Q42" s="333"/>
      <c r="R42" s="333"/>
      <c r="S42" s="333"/>
      <c r="T42" s="333"/>
      <c r="U42" s="333"/>
      <c r="V42" s="336"/>
      <c r="W42" s="173"/>
      <c r="X42" s="309" t="str">
        <f>IF(F42&lt;&gt;"",IF(Input!T43&lt;&gt;"",Input!T43,""),"")</f>
        <v/>
      </c>
      <c r="Y42" s="449" t="str">
        <f>IFERROR(IF($X$5="","",IF(F42&lt;&gt;"",(Input!T43/Input!$T$6)*100,"")),"NA")</f>
        <v/>
      </c>
      <c r="Z42" s="310" t="str">
        <f>IF(F42&lt;&gt;"",IF(Input!U43&lt;&gt;"",Input!U43,""),"")</f>
        <v/>
      </c>
      <c r="AA42" s="449" t="str">
        <f>IFERROR(IF($Z$5="","",IF(F42&lt;&gt;"",(Input!U43/Input!$U$6)*100,"")),"NA")</f>
        <v/>
      </c>
      <c r="AB42" s="310" t="str">
        <f>IF(F42&lt;&gt;"",IF(Input!V43&lt;&gt;"",Input!V43,""),"")</f>
        <v/>
      </c>
      <c r="AC42" s="449" t="str">
        <f>IFERROR(IF($AB$5="","",IF(F42&lt;&gt;"",(Input!V43/Input!$V$6)*100,"")),"NA")</f>
        <v/>
      </c>
      <c r="AD42" s="310" t="str">
        <f>IF(F42&lt;&gt;"",IF(Input!W43&lt;&gt;"",Input!W43,""),"")</f>
        <v/>
      </c>
      <c r="AE42" s="449" t="str">
        <f>IFERROR(IF($AD$5="","",IF(F42&lt;&gt;"",(Input!W43/Input!$W$6)*100,"")),"NA")</f>
        <v/>
      </c>
      <c r="AF42" s="108" t="str">
        <f>IF(Input!X43="Error","Error",IF(F42="","",IF($X$5="",0,IF(F42&lt;&gt;"",IFERROR(AVERAGE(Y42,AA42,AC42,AE42)*$AF$4,0),""))))</f>
        <v/>
      </c>
      <c r="AG42" s="174"/>
      <c r="AH42" s="175" t="str">
        <f>IF(F42&lt;&gt;"",IF(Input!Y43&lt;&gt;"",Input!Y43,""),"")</f>
        <v/>
      </c>
      <c r="AI42" s="451" t="str">
        <f>IFERROR(IF($AH$5="","",IF(F42&lt;&gt;"",(Input!Y43/Input!$Y$6)*100,"")),"NA")</f>
        <v/>
      </c>
      <c r="AJ42" s="176" t="str">
        <f>IF(F42&lt;&gt;"",IF(Input!Z43&lt;&gt;"",Input!Z43,""),"")</f>
        <v/>
      </c>
      <c r="AK42" s="451" t="str">
        <f>IFERROR(IF($AJ$5="","",IF(F42&lt;&gt;"",(Input!Z43/Input!$Z$6)*100,"")),"NA")</f>
        <v/>
      </c>
      <c r="AL42" s="176" t="str">
        <f>IF(F42&lt;&gt;"",IF(Input!AA43&lt;&gt;"",Input!AA43,""),"")</f>
        <v/>
      </c>
      <c r="AM42" s="451" t="str">
        <f>IFERROR(IF($AL$5="","",IF(F42&lt;&gt;"",(Input!AA43/Input!$AA$6)*100,"")),"NA")</f>
        <v/>
      </c>
      <c r="AN42" s="177" t="str">
        <f>IF(F42&lt;&gt;"",IF(Input!AB43&lt;&gt;"",Input!AB43,""),"")</f>
        <v/>
      </c>
      <c r="AO42" s="451" t="str">
        <f>IFERROR(IF($AN$5="","",IF(F42&lt;&gt;"",(Input!AB43/Input!$AB$6)*100,"")),"NA")</f>
        <v/>
      </c>
      <c r="AP42" s="303" t="str">
        <f>IF(Input!AC43="Error","Error",IF(F42="","",IF($AH$5="",0,IF(F42&lt;&gt;"",IFERROR(AVERAGE(AI42,AK42,AM42,AO42)*$AP$4,0),""))))</f>
        <v/>
      </c>
      <c r="AQ42" s="174"/>
      <c r="AR42" s="231" t="str">
        <f>IF(Input!AD43="","",IF(F42&lt;&gt;"",Input!AD43,""))</f>
        <v/>
      </c>
      <c r="AS42" s="179" t="str">
        <f>IF(F42="","",IF(Input!AE43="Error","Error",IF(ISNUMBER(Input!AE43),(Input!AE43*$AS$4),"")))</f>
        <v/>
      </c>
      <c r="AT42" s="331" t="str">
        <f>IF(V42="D","DRP",
IF(F42&lt;&gt;"",
IF(OR(AF42="Error",AP42="Error",AS42="Error"),"Error",
IF(Input!AD43="","-",ROUND(AF42+AP42+AS42,2))),""))</f>
        <v/>
      </c>
      <c r="AU42" s="180" t="str">
        <f>IF(F42&lt;&gt;"",VLOOKUP(AT42,TRANSMUTATION!$A$2:$B$14,2),"")</f>
        <v/>
      </c>
      <c r="AV42" s="232" t="str">
        <f t="shared" si="1"/>
        <v/>
      </c>
      <c r="AW42" s="182"/>
      <c r="AX42" s="98"/>
      <c r="AY42" s="98"/>
      <c r="AZ42" s="98"/>
      <c r="BA42" s="97"/>
    </row>
    <row r="43" spans="1:53" ht="15" customHeight="1" x14ac:dyDescent="0.2">
      <c r="A43" s="97"/>
      <c r="C43" s="194">
        <v>37</v>
      </c>
      <c r="D43" s="203" t="str">
        <f>IF(Input!D44&lt;&gt;"",IF(F43&lt;&gt;"",Input!D44,""),"")</f>
        <v/>
      </c>
      <c r="E43" s="297"/>
      <c r="F43" s="298" t="str">
        <f>(IF(Input!F44&lt;&gt;"",Input!F44,""))</f>
        <v/>
      </c>
      <c r="G43" s="333"/>
      <c r="H43" s="333"/>
      <c r="I43" s="333"/>
      <c r="J43" s="333"/>
      <c r="K43" s="333"/>
      <c r="L43" s="333"/>
      <c r="M43" s="333"/>
      <c r="N43" s="333"/>
      <c r="O43" s="333"/>
      <c r="P43" s="333"/>
      <c r="Q43" s="333"/>
      <c r="R43" s="333"/>
      <c r="S43" s="333"/>
      <c r="T43" s="333"/>
      <c r="U43" s="333"/>
      <c r="V43" s="336"/>
      <c r="W43" s="173"/>
      <c r="X43" s="309" t="str">
        <f>IF(F43&lt;&gt;"",IF(Input!T44&lt;&gt;"",Input!T44,""),"")</f>
        <v/>
      </c>
      <c r="Y43" s="449" t="str">
        <f>IFERROR(IF($X$5="","",IF(F43&lt;&gt;"",(Input!T44/Input!$T$6)*100,"")),"NA")</f>
        <v/>
      </c>
      <c r="Z43" s="310" t="str">
        <f>IF(F43&lt;&gt;"",IF(Input!U44&lt;&gt;"",Input!U44,""),"")</f>
        <v/>
      </c>
      <c r="AA43" s="449" t="str">
        <f>IFERROR(IF($Z$5="","",IF(F43&lt;&gt;"",(Input!U44/Input!$U$6)*100,"")),"NA")</f>
        <v/>
      </c>
      <c r="AB43" s="310" t="str">
        <f>IF(F43&lt;&gt;"",IF(Input!V44&lt;&gt;"",Input!V44,""),"")</f>
        <v/>
      </c>
      <c r="AC43" s="449" t="str">
        <f>IFERROR(IF($AB$5="","",IF(F43&lt;&gt;"",(Input!V44/Input!$V$6)*100,"")),"NA")</f>
        <v/>
      </c>
      <c r="AD43" s="310" t="str">
        <f>IF(F43&lt;&gt;"",IF(Input!W44&lt;&gt;"",Input!W44,""),"")</f>
        <v/>
      </c>
      <c r="AE43" s="449" t="str">
        <f>IFERROR(IF($AD$5="","",IF(F43&lt;&gt;"",(Input!W44/Input!$W$6)*100,"")),"NA")</f>
        <v/>
      </c>
      <c r="AF43" s="108" t="str">
        <f>IF(Input!X44="Error","Error",IF(F43="","",IF($X$5="",0,IF(F43&lt;&gt;"",IFERROR(AVERAGE(Y43,AA43,AC43,AE43)*$AF$4,0),""))))</f>
        <v/>
      </c>
      <c r="AG43" s="174"/>
      <c r="AH43" s="175" t="str">
        <f>IF(F43&lt;&gt;"",IF(Input!Y44&lt;&gt;"",Input!Y44,""),"")</f>
        <v/>
      </c>
      <c r="AI43" s="451" t="str">
        <f>IFERROR(IF($AH$5="","",IF(F43&lt;&gt;"",(Input!Y44/Input!$Y$6)*100,"")),"NA")</f>
        <v/>
      </c>
      <c r="AJ43" s="176" t="str">
        <f>IF(F43&lt;&gt;"",IF(Input!Z44&lt;&gt;"",Input!Z44,""),"")</f>
        <v/>
      </c>
      <c r="AK43" s="451" t="str">
        <f>IFERROR(IF($AJ$5="","",IF(F43&lt;&gt;"",(Input!Z44/Input!$Z$6)*100,"")),"NA")</f>
        <v/>
      </c>
      <c r="AL43" s="176" t="str">
        <f>IF(F43&lt;&gt;"",IF(Input!AA44&lt;&gt;"",Input!AA44,""),"")</f>
        <v/>
      </c>
      <c r="AM43" s="451" t="str">
        <f>IFERROR(IF($AL$5="","",IF(F43&lt;&gt;"",(Input!AA44/Input!$AA$6)*100,"")),"NA")</f>
        <v/>
      </c>
      <c r="AN43" s="177" t="str">
        <f>IF(F43&lt;&gt;"",IF(Input!AB44&lt;&gt;"",Input!AB44,""),"")</f>
        <v/>
      </c>
      <c r="AO43" s="451" t="str">
        <f>IFERROR(IF($AN$5="","",IF(F43&lt;&gt;"",(Input!AB44/Input!$AB$6)*100,"")),"NA")</f>
        <v/>
      </c>
      <c r="AP43" s="303" t="str">
        <f>IF(Input!AC44="Error","Error",IF(F43="","",IF($AH$5="",0,IF(F43&lt;&gt;"",IFERROR(AVERAGE(AI43,AK43,AM43,AO43)*$AP$4,0),""))))</f>
        <v/>
      </c>
      <c r="AQ43" s="174"/>
      <c r="AR43" s="231" t="str">
        <f>IF(Input!AD44="","",IF(F43&lt;&gt;"",Input!AD44,""))</f>
        <v/>
      </c>
      <c r="AS43" s="179" t="str">
        <f>IF(F43="","",IF(Input!AE44="Error","Error",IF(ISNUMBER(Input!AE44),(Input!AE44*$AS$4),"")))</f>
        <v/>
      </c>
      <c r="AT43" s="331" t="str">
        <f>IF(V43="D","DRP",
IF(F43&lt;&gt;"",
IF(OR(AF43="Error",AP43="Error",AS43="Error"),"Error",
IF(Input!AD44="","-",ROUND(AF43+AP43+AS43,2))),""))</f>
        <v/>
      </c>
      <c r="AU43" s="180" t="str">
        <f>IF(F43&lt;&gt;"",VLOOKUP(AT43,TRANSMUTATION!$A$2:$B$14,2),"")</f>
        <v/>
      </c>
      <c r="AV43" s="232" t="str">
        <f t="shared" si="1"/>
        <v/>
      </c>
      <c r="AW43" s="182"/>
      <c r="AX43" s="98"/>
      <c r="AY43" s="98"/>
      <c r="AZ43" s="98"/>
      <c r="BA43" s="97"/>
    </row>
    <row r="44" spans="1:53" ht="15" customHeight="1" x14ac:dyDescent="0.2">
      <c r="A44" s="97"/>
      <c r="C44" s="194">
        <v>38</v>
      </c>
      <c r="D44" s="203" t="str">
        <f>IF(Input!D45&lt;&gt;"",IF(F44&lt;&gt;"",Input!D45,""),"")</f>
        <v/>
      </c>
      <c r="E44" s="297"/>
      <c r="F44" s="298" t="str">
        <f>(IF(Input!F45&lt;&gt;"",Input!F45,""))</f>
        <v/>
      </c>
      <c r="G44" s="333"/>
      <c r="H44" s="333"/>
      <c r="I44" s="333"/>
      <c r="J44" s="333"/>
      <c r="K44" s="333"/>
      <c r="L44" s="333"/>
      <c r="M44" s="333"/>
      <c r="N44" s="333"/>
      <c r="O44" s="333"/>
      <c r="P44" s="333"/>
      <c r="Q44" s="333"/>
      <c r="R44" s="333"/>
      <c r="S44" s="333"/>
      <c r="T44" s="333"/>
      <c r="U44" s="333"/>
      <c r="V44" s="336"/>
      <c r="W44" s="173"/>
      <c r="X44" s="309" t="str">
        <f>IF(F44&lt;&gt;"",IF(Input!T45&lt;&gt;"",Input!T45,""),"")</f>
        <v/>
      </c>
      <c r="Y44" s="449" t="str">
        <f>IFERROR(IF($X$5="","",IF(F44&lt;&gt;"",(Input!T45/Input!$T$6)*100,"")),"NA")</f>
        <v/>
      </c>
      <c r="Z44" s="310" t="str">
        <f>IF(F44&lt;&gt;"",IF(Input!U45&lt;&gt;"",Input!U45,""),"")</f>
        <v/>
      </c>
      <c r="AA44" s="449" t="str">
        <f>IFERROR(IF($Z$5="","",IF(F44&lt;&gt;"",(Input!U45/Input!$U$6)*100,"")),"NA")</f>
        <v/>
      </c>
      <c r="AB44" s="310" t="str">
        <f>IF(F44&lt;&gt;"",IF(Input!V45&lt;&gt;"",Input!V45,""),"")</f>
        <v/>
      </c>
      <c r="AC44" s="449" t="str">
        <f>IFERROR(IF($AB$5="","",IF(F44&lt;&gt;"",(Input!V45/Input!$V$6)*100,"")),"NA")</f>
        <v/>
      </c>
      <c r="AD44" s="310" t="str">
        <f>IF(F44&lt;&gt;"",IF(Input!W45&lt;&gt;"",Input!W45,""),"")</f>
        <v/>
      </c>
      <c r="AE44" s="449" t="str">
        <f>IFERROR(IF($AD$5="","",IF(F44&lt;&gt;"",(Input!W45/Input!$W$6)*100,"")),"NA")</f>
        <v/>
      </c>
      <c r="AF44" s="108" t="str">
        <f>IF(Input!X45="Error","Error",IF(F44="","",IF($X$5="",0,IF(F44&lt;&gt;"",IFERROR(AVERAGE(Y44,AA44,AC44,AE44)*$AF$4,0),""))))</f>
        <v/>
      </c>
      <c r="AG44" s="174"/>
      <c r="AH44" s="175" t="str">
        <f>IF(F44&lt;&gt;"",IF(Input!Y45&lt;&gt;"",Input!Y45,""),"")</f>
        <v/>
      </c>
      <c r="AI44" s="451" t="str">
        <f>IFERROR(IF($AH$5="","",IF(F44&lt;&gt;"",(Input!Y45/Input!$Y$6)*100,"")),"NA")</f>
        <v/>
      </c>
      <c r="AJ44" s="176" t="str">
        <f>IF(F44&lt;&gt;"",IF(Input!Z45&lt;&gt;"",Input!Z45,""),"")</f>
        <v/>
      </c>
      <c r="AK44" s="451" t="str">
        <f>IFERROR(IF($AJ$5="","",IF(F44&lt;&gt;"",(Input!Z45/Input!$Z$6)*100,"")),"NA")</f>
        <v/>
      </c>
      <c r="AL44" s="176" t="str">
        <f>IF(F44&lt;&gt;"",IF(Input!AA45&lt;&gt;"",Input!AA45,""),"")</f>
        <v/>
      </c>
      <c r="AM44" s="451" t="str">
        <f>IFERROR(IF($AL$5="","",IF(F44&lt;&gt;"",(Input!AA45/Input!$AA$6)*100,"")),"NA")</f>
        <v/>
      </c>
      <c r="AN44" s="177" t="str">
        <f>IF(F44&lt;&gt;"",IF(Input!AB45&lt;&gt;"",Input!AB45,""),"")</f>
        <v/>
      </c>
      <c r="AO44" s="451" t="str">
        <f>IFERROR(IF($AN$5="","",IF(F44&lt;&gt;"",(Input!AB45/Input!$AB$6)*100,"")),"NA")</f>
        <v/>
      </c>
      <c r="AP44" s="303" t="str">
        <f>IF(Input!AC45="Error","Error",IF(F44="","",IF($AH$5="",0,IF(F44&lt;&gt;"",IFERROR(AVERAGE(AI44,AK44,AM44,AO44)*$AP$4,0),""))))</f>
        <v/>
      </c>
      <c r="AQ44" s="174"/>
      <c r="AR44" s="231" t="str">
        <f>IF(Input!AD45="","",IF(F44&lt;&gt;"",Input!AD45,""))</f>
        <v/>
      </c>
      <c r="AS44" s="179" t="str">
        <f>IF(F44="","",IF(Input!AE45="Error","Error",IF(ISNUMBER(Input!AE45),(Input!AE45*$AS$4),"")))</f>
        <v/>
      </c>
      <c r="AT44" s="331" t="str">
        <f>IF(V44="D","DRP",
IF(F44&lt;&gt;"",
IF(OR(AF44="Error",AP44="Error",AS44="Error"),"Error",
IF(Input!AD45="","-",ROUND(AF44+AP44+AS44,2))),""))</f>
        <v/>
      </c>
      <c r="AU44" s="180" t="str">
        <f>IF(F44&lt;&gt;"",VLOOKUP(AT44,TRANSMUTATION!$A$2:$B$14,2),"")</f>
        <v/>
      </c>
      <c r="AV44" s="232" t="str">
        <f t="shared" si="1"/>
        <v/>
      </c>
      <c r="AW44" s="182"/>
      <c r="AX44" s="98"/>
      <c r="AY44" s="98"/>
      <c r="AZ44" s="98"/>
      <c r="BA44" s="97"/>
    </row>
    <row r="45" spans="1:53" ht="15" customHeight="1" x14ac:dyDescent="0.2">
      <c r="A45" s="97"/>
      <c r="C45" s="194">
        <v>39</v>
      </c>
      <c r="D45" s="203" t="str">
        <f>IF(Input!D46&lt;&gt;"",IF(F45&lt;&gt;"",Input!D46,""),"")</f>
        <v/>
      </c>
      <c r="E45" s="297"/>
      <c r="F45" s="298" t="str">
        <f>(IF(Input!F46&lt;&gt;"",Input!F46,""))</f>
        <v/>
      </c>
      <c r="G45" s="333"/>
      <c r="H45" s="333"/>
      <c r="I45" s="333"/>
      <c r="J45" s="333"/>
      <c r="K45" s="333"/>
      <c r="L45" s="333"/>
      <c r="M45" s="333"/>
      <c r="N45" s="333"/>
      <c r="O45" s="333"/>
      <c r="P45" s="333"/>
      <c r="Q45" s="333"/>
      <c r="R45" s="333"/>
      <c r="S45" s="333"/>
      <c r="T45" s="333"/>
      <c r="U45" s="333"/>
      <c r="V45" s="336"/>
      <c r="W45" s="173"/>
      <c r="X45" s="309" t="str">
        <f>IF(F45&lt;&gt;"",IF(Input!T46&lt;&gt;"",Input!T46,""),"")</f>
        <v/>
      </c>
      <c r="Y45" s="449" t="str">
        <f>IFERROR(IF($X$5="","",IF(F45&lt;&gt;"",(Input!T46/Input!$T$6)*100,"")),"NA")</f>
        <v/>
      </c>
      <c r="Z45" s="310" t="str">
        <f>IF(F45&lt;&gt;"",IF(Input!U46&lt;&gt;"",Input!U46,""),"")</f>
        <v/>
      </c>
      <c r="AA45" s="449" t="str">
        <f>IFERROR(IF($Z$5="","",IF(F45&lt;&gt;"",(Input!U46/Input!$U$6)*100,"")),"NA")</f>
        <v/>
      </c>
      <c r="AB45" s="310" t="str">
        <f>IF(F45&lt;&gt;"",IF(Input!V46&lt;&gt;"",Input!V46,""),"")</f>
        <v/>
      </c>
      <c r="AC45" s="449" t="str">
        <f>IFERROR(IF($AB$5="","",IF(F45&lt;&gt;"",(Input!V46/Input!$V$6)*100,"")),"NA")</f>
        <v/>
      </c>
      <c r="AD45" s="310" t="str">
        <f>IF(F45&lt;&gt;"",IF(Input!W46&lt;&gt;"",Input!W46,""),"")</f>
        <v/>
      </c>
      <c r="AE45" s="449" t="str">
        <f>IFERROR(IF($AD$5="","",IF(F45&lt;&gt;"",(Input!W46/Input!$W$6)*100,"")),"NA")</f>
        <v/>
      </c>
      <c r="AF45" s="108" t="str">
        <f>IF(Input!X46="Error","Error",IF(F45="","",IF($X$5="",0,IF(F45&lt;&gt;"",IFERROR(AVERAGE(Y45,AA45,AC45,AE45)*$AF$4,0),""))))</f>
        <v/>
      </c>
      <c r="AG45" s="174"/>
      <c r="AH45" s="175" t="str">
        <f>IF(F45&lt;&gt;"",IF(Input!Y46&lt;&gt;"",Input!Y46,""),"")</f>
        <v/>
      </c>
      <c r="AI45" s="451" t="str">
        <f>IFERROR(IF($AH$5="","",IF(F45&lt;&gt;"",(Input!Y46/Input!$Y$6)*100,"")),"NA")</f>
        <v/>
      </c>
      <c r="AJ45" s="176" t="str">
        <f>IF(F45&lt;&gt;"",IF(Input!Z46&lt;&gt;"",Input!Z46,""),"")</f>
        <v/>
      </c>
      <c r="AK45" s="451" t="str">
        <f>IFERROR(IF($AJ$5="","",IF(F45&lt;&gt;"",(Input!Z46/Input!$Z$6)*100,"")),"NA")</f>
        <v/>
      </c>
      <c r="AL45" s="176" t="str">
        <f>IF(F45&lt;&gt;"",IF(Input!AA46&lt;&gt;"",Input!AA46,""),"")</f>
        <v/>
      </c>
      <c r="AM45" s="451" t="str">
        <f>IFERROR(IF($AL$5="","",IF(F45&lt;&gt;"",(Input!AA46/Input!$AA$6)*100,"")),"NA")</f>
        <v/>
      </c>
      <c r="AN45" s="177" t="str">
        <f>IF(F45&lt;&gt;"",IF(Input!AB46&lt;&gt;"",Input!AB46,""),"")</f>
        <v/>
      </c>
      <c r="AO45" s="451" t="str">
        <f>IFERROR(IF($AN$5="","",IF(F45&lt;&gt;"",(Input!AB46/Input!$AB$6)*100,"")),"NA")</f>
        <v/>
      </c>
      <c r="AP45" s="303" t="str">
        <f>IF(Input!AC46="Error","Error",IF(F45="","",IF($AH$5="",0,IF(F45&lt;&gt;"",IFERROR(AVERAGE(AI45,AK45,AM45,AO45)*$AP$4,0),""))))</f>
        <v/>
      </c>
      <c r="AQ45" s="174"/>
      <c r="AR45" s="231" t="str">
        <f>IF(Input!AD46="","",IF(F45&lt;&gt;"",Input!AD46,""))</f>
        <v/>
      </c>
      <c r="AS45" s="179" t="str">
        <f>IF(F45="","",IF(Input!AE46="Error","Error",IF(ISNUMBER(Input!AE46),(Input!AE46*$AS$4),"")))</f>
        <v/>
      </c>
      <c r="AT45" s="331" t="str">
        <f>IF(V45="D","DRP",
IF(F45&lt;&gt;"",
IF(OR(AF45="Error",AP45="Error",AS45="Error"),"Error",
IF(Input!AD46="","-",ROUND(AF45+AP45+AS45,2))),""))</f>
        <v/>
      </c>
      <c r="AU45" s="180" t="str">
        <f>IF(F45&lt;&gt;"",VLOOKUP(AT45,TRANSMUTATION!$A$2:$B$14,2),"")</f>
        <v/>
      </c>
      <c r="AV45" s="232" t="str">
        <f t="shared" si="1"/>
        <v/>
      </c>
      <c r="AW45" s="182"/>
      <c r="AX45" s="98"/>
      <c r="AY45" s="98"/>
      <c r="AZ45" s="98"/>
      <c r="BA45" s="97"/>
    </row>
    <row r="46" spans="1:53" ht="15" customHeight="1" x14ac:dyDescent="0.2">
      <c r="A46" s="97"/>
      <c r="C46" s="194">
        <v>40</v>
      </c>
      <c r="D46" s="203" t="str">
        <f>IF(Input!D47&lt;&gt;"",IF(F46&lt;&gt;"",Input!D47,""),"")</f>
        <v/>
      </c>
      <c r="E46" s="297"/>
      <c r="F46" s="298" t="str">
        <f>(IF(Input!F47&lt;&gt;"",Input!F47,""))</f>
        <v/>
      </c>
      <c r="G46" s="333"/>
      <c r="H46" s="333"/>
      <c r="I46" s="333"/>
      <c r="J46" s="333"/>
      <c r="K46" s="333"/>
      <c r="L46" s="333"/>
      <c r="M46" s="333"/>
      <c r="N46" s="333"/>
      <c r="O46" s="333"/>
      <c r="P46" s="333"/>
      <c r="Q46" s="333"/>
      <c r="R46" s="333"/>
      <c r="S46" s="333"/>
      <c r="T46" s="333"/>
      <c r="U46" s="333"/>
      <c r="V46" s="336"/>
      <c r="W46" s="173"/>
      <c r="X46" s="309" t="str">
        <f>IF(F46&lt;&gt;"",IF(Input!T47&lt;&gt;"",Input!T47,""),"")</f>
        <v/>
      </c>
      <c r="Y46" s="449" t="str">
        <f>IFERROR(IF($X$5="","",IF(F46&lt;&gt;"",(Input!T47/Input!$T$6)*100,"")),"NA")</f>
        <v/>
      </c>
      <c r="Z46" s="310" t="str">
        <f>IF(F46&lt;&gt;"",IF(Input!U47&lt;&gt;"",Input!U47,""),"")</f>
        <v/>
      </c>
      <c r="AA46" s="449" t="str">
        <f>IFERROR(IF($Z$5="","",IF(F46&lt;&gt;"",(Input!U47/Input!$U$6)*100,"")),"NA")</f>
        <v/>
      </c>
      <c r="AB46" s="310" t="str">
        <f>IF(F46&lt;&gt;"",IF(Input!V47&lt;&gt;"",Input!V47,""),"")</f>
        <v/>
      </c>
      <c r="AC46" s="449" t="str">
        <f>IFERROR(IF($AB$5="","",IF(F46&lt;&gt;"",(Input!V47/Input!$V$6)*100,"")),"NA")</f>
        <v/>
      </c>
      <c r="AD46" s="310" t="str">
        <f>IF(F46&lt;&gt;"",IF(Input!W47&lt;&gt;"",Input!W47,""),"")</f>
        <v/>
      </c>
      <c r="AE46" s="449" t="str">
        <f>IFERROR(IF($AD$5="","",IF(F46&lt;&gt;"",(Input!W47/Input!$W$6)*100,"")),"NA")</f>
        <v/>
      </c>
      <c r="AF46" s="108" t="str">
        <f>IF(Input!X47="Error","Error",IF(F46="","",IF($X$5="",0,IF(F46&lt;&gt;"",IFERROR(AVERAGE(Y46,AA46,AC46,AE46)*$AF$4,0),""))))</f>
        <v/>
      </c>
      <c r="AG46" s="174"/>
      <c r="AH46" s="175" t="str">
        <f>IF(F46&lt;&gt;"",IF(Input!Y47&lt;&gt;"",Input!Y47,""),"")</f>
        <v/>
      </c>
      <c r="AI46" s="451" t="str">
        <f>IFERROR(IF($AH$5="","",IF(F46&lt;&gt;"",(Input!Y47/Input!$Y$6)*100,"")),"NA")</f>
        <v/>
      </c>
      <c r="AJ46" s="176" t="str">
        <f>IF(F46&lt;&gt;"",IF(Input!Z47&lt;&gt;"",Input!Z47,""),"")</f>
        <v/>
      </c>
      <c r="AK46" s="451" t="str">
        <f>IFERROR(IF($AJ$5="","",IF(F46&lt;&gt;"",(Input!Z47/Input!$Z$6)*100,"")),"NA")</f>
        <v/>
      </c>
      <c r="AL46" s="176" t="str">
        <f>IF(F46&lt;&gt;"",IF(Input!AA47&lt;&gt;"",Input!AA47,""),"")</f>
        <v/>
      </c>
      <c r="AM46" s="451" t="str">
        <f>IFERROR(IF($AL$5="","",IF(F46&lt;&gt;"",(Input!AA47/Input!$AA$6)*100,"")),"NA")</f>
        <v/>
      </c>
      <c r="AN46" s="177" t="str">
        <f>IF(F46&lt;&gt;"",IF(Input!AB47&lt;&gt;"",Input!AB47,""),"")</f>
        <v/>
      </c>
      <c r="AO46" s="451" t="str">
        <f>IFERROR(IF($AN$5="","",IF(F46&lt;&gt;"",(Input!AB47/Input!$AB$6)*100,"")),"NA")</f>
        <v/>
      </c>
      <c r="AP46" s="303" t="str">
        <f>IF(Input!AC47="Error","Error",IF(F46="","",IF($AH$5="",0,IF(F46&lt;&gt;"",IFERROR(AVERAGE(AI46,AK46,AM46,AO46)*$AP$4,0),""))))</f>
        <v/>
      </c>
      <c r="AQ46" s="174"/>
      <c r="AR46" s="231" t="str">
        <f>IF(Input!AD47="","",IF(F46&lt;&gt;"",Input!AD47,""))</f>
        <v/>
      </c>
      <c r="AS46" s="179" t="str">
        <f>IF(F46="","",IF(Input!AE47="Error","Error",IF(ISNUMBER(Input!AE47),(Input!AE47*$AS$4),"")))</f>
        <v/>
      </c>
      <c r="AT46" s="331" t="str">
        <f>IF(V46="D","DRP",
IF(F46&lt;&gt;"",
IF(OR(AF46="Error",AP46="Error",AS46="Error"),"Error",
IF(Input!AD47="","-",ROUND(AF46+AP46+AS46,2))),""))</f>
        <v/>
      </c>
      <c r="AU46" s="180" t="str">
        <f>IF(F46&lt;&gt;"",VLOOKUP(AT46,TRANSMUTATION!$A$2:$B$14,2),"")</f>
        <v/>
      </c>
      <c r="AV46" s="232" t="str">
        <f t="shared" si="1"/>
        <v/>
      </c>
      <c r="AW46" s="182"/>
      <c r="AX46" s="98"/>
      <c r="AY46" s="98"/>
      <c r="AZ46" s="98"/>
      <c r="BA46" s="97"/>
    </row>
    <row r="47" spans="1:53" ht="15" customHeight="1" x14ac:dyDescent="0.2">
      <c r="A47" s="97"/>
      <c r="C47" s="194">
        <v>41</v>
      </c>
      <c r="D47" s="203" t="str">
        <f>IF(Input!D48&lt;&gt;"",IF(F47&lt;&gt;"",Input!D48,""),"")</f>
        <v/>
      </c>
      <c r="E47" s="297"/>
      <c r="F47" s="298" t="str">
        <f>(IF(Input!F48&lt;&gt;"",Input!F48,""))</f>
        <v/>
      </c>
      <c r="G47" s="333"/>
      <c r="H47" s="333"/>
      <c r="I47" s="333"/>
      <c r="J47" s="333"/>
      <c r="K47" s="333"/>
      <c r="L47" s="333"/>
      <c r="M47" s="333"/>
      <c r="N47" s="333"/>
      <c r="O47" s="333"/>
      <c r="P47" s="333"/>
      <c r="Q47" s="333"/>
      <c r="R47" s="333"/>
      <c r="S47" s="333"/>
      <c r="T47" s="333"/>
      <c r="U47" s="333"/>
      <c r="V47" s="336"/>
      <c r="W47" s="173"/>
      <c r="X47" s="309" t="str">
        <f>IF(F47&lt;&gt;"",IF(Input!T48&lt;&gt;"",Input!T48,""),"")</f>
        <v/>
      </c>
      <c r="Y47" s="449" t="str">
        <f>IFERROR(IF($X$5="","",IF(F47&lt;&gt;"",(Input!T48/Input!$T$6)*100,"")),"NA")</f>
        <v/>
      </c>
      <c r="Z47" s="310" t="str">
        <f>IF(F47&lt;&gt;"",IF(Input!U48&lt;&gt;"",Input!U48,""),"")</f>
        <v/>
      </c>
      <c r="AA47" s="449" t="str">
        <f>IFERROR(IF($Z$5="","",IF(F47&lt;&gt;"",(Input!U48/Input!$U$6)*100,"")),"NA")</f>
        <v/>
      </c>
      <c r="AB47" s="310" t="str">
        <f>IF(F47&lt;&gt;"",IF(Input!V48&lt;&gt;"",Input!V48,""),"")</f>
        <v/>
      </c>
      <c r="AC47" s="449" t="str">
        <f>IFERROR(IF($AB$5="","",IF(F47&lt;&gt;"",(Input!V48/Input!$V$6)*100,"")),"NA")</f>
        <v/>
      </c>
      <c r="AD47" s="310" t="str">
        <f>IF(F47&lt;&gt;"",IF(Input!W48&lt;&gt;"",Input!W48,""),"")</f>
        <v/>
      </c>
      <c r="AE47" s="449" t="str">
        <f>IFERROR(IF($AD$5="","",IF(F47&lt;&gt;"",(Input!W48/Input!$W$6)*100,"")),"NA")</f>
        <v/>
      </c>
      <c r="AF47" s="108" t="str">
        <f>IF(Input!X48="Error","Error",IF(F47="","",IF($X$5="",0,IF(F47&lt;&gt;"",IFERROR(AVERAGE(Y47,AA47,AC47,AE47)*$AF$4,0),""))))</f>
        <v/>
      </c>
      <c r="AG47" s="174"/>
      <c r="AH47" s="175" t="str">
        <f>IF(F47&lt;&gt;"",IF(Input!Y48&lt;&gt;"",Input!Y48,""),"")</f>
        <v/>
      </c>
      <c r="AI47" s="451" t="str">
        <f>IFERROR(IF($AH$5="","",IF(F47&lt;&gt;"",(Input!Y48/Input!$Y$6)*100,"")),"NA")</f>
        <v/>
      </c>
      <c r="AJ47" s="176" t="str">
        <f>IF(F47&lt;&gt;"",IF(Input!Z48&lt;&gt;"",Input!Z48,""),"")</f>
        <v/>
      </c>
      <c r="AK47" s="451" t="str">
        <f>IFERROR(IF($AJ$5="","",IF(F47&lt;&gt;"",(Input!Z48/Input!$Z$6)*100,"")),"NA")</f>
        <v/>
      </c>
      <c r="AL47" s="176" t="str">
        <f>IF(F47&lt;&gt;"",IF(Input!AA48&lt;&gt;"",Input!AA48,""),"")</f>
        <v/>
      </c>
      <c r="AM47" s="451" t="str">
        <f>IFERROR(IF($AL$5="","",IF(F47&lt;&gt;"",(Input!AA48/Input!$AA$6)*100,"")),"NA")</f>
        <v/>
      </c>
      <c r="AN47" s="177" t="str">
        <f>IF(F47&lt;&gt;"",IF(Input!AB48&lt;&gt;"",Input!AB48,""),"")</f>
        <v/>
      </c>
      <c r="AO47" s="451" t="str">
        <f>IFERROR(IF($AN$5="","",IF(F47&lt;&gt;"",(Input!AB48/Input!$AB$6)*100,"")),"NA")</f>
        <v/>
      </c>
      <c r="AP47" s="303" t="str">
        <f>IF(Input!AC48="Error","Error",IF(F47="","",IF($AH$5="",0,IF(F47&lt;&gt;"",IFERROR(AVERAGE(AI47,AK47,AM47,AO47)*$AP$4,0),""))))</f>
        <v/>
      </c>
      <c r="AQ47" s="174"/>
      <c r="AR47" s="231" t="str">
        <f>IF(Input!AD48="","",IF(F47&lt;&gt;"",Input!AD48,""))</f>
        <v/>
      </c>
      <c r="AS47" s="179" t="str">
        <f>IF(F47="","",IF(Input!AE48="Error","Error",IF(ISNUMBER(Input!AE48),(Input!AE48*$AS$4),"")))</f>
        <v/>
      </c>
      <c r="AT47" s="331" t="str">
        <f>IF(V47="D","DRP",
IF(F47&lt;&gt;"",
IF(OR(AF47="Error",AP47="Error",AS47="Error"),"Error",
IF(Input!AD48="","-",ROUND(AF47+AP47+AS47,2))),""))</f>
        <v/>
      </c>
      <c r="AU47" s="180" t="str">
        <f>IF(F47&lt;&gt;"",VLOOKUP(AT47,TRANSMUTATION!$A$2:$B$14,2),"")</f>
        <v/>
      </c>
      <c r="AV47" s="232" t="str">
        <f t="shared" si="1"/>
        <v/>
      </c>
      <c r="AW47" s="182"/>
      <c r="AX47" s="98"/>
      <c r="AY47" s="98"/>
      <c r="AZ47" s="98"/>
      <c r="BA47" s="97"/>
    </row>
    <row r="48" spans="1:53" ht="15" customHeight="1" x14ac:dyDescent="0.2">
      <c r="A48" s="97"/>
      <c r="C48" s="194">
        <v>42</v>
      </c>
      <c r="D48" s="203" t="str">
        <f>IF(Input!D49&lt;&gt;"",IF(F48&lt;&gt;"",Input!D49,""),"")</f>
        <v/>
      </c>
      <c r="E48" s="297"/>
      <c r="F48" s="298" t="str">
        <f>(IF(Input!F49&lt;&gt;"",Input!F49,""))</f>
        <v/>
      </c>
      <c r="G48" s="333"/>
      <c r="H48" s="333"/>
      <c r="I48" s="333"/>
      <c r="J48" s="333"/>
      <c r="K48" s="333"/>
      <c r="L48" s="333"/>
      <c r="M48" s="333"/>
      <c r="N48" s="333"/>
      <c r="O48" s="333"/>
      <c r="P48" s="333"/>
      <c r="Q48" s="333"/>
      <c r="R48" s="333"/>
      <c r="S48" s="333"/>
      <c r="T48" s="333"/>
      <c r="U48" s="333"/>
      <c r="V48" s="336"/>
      <c r="W48" s="173"/>
      <c r="X48" s="309" t="str">
        <f>IF(F48&lt;&gt;"",IF(Input!T49&lt;&gt;"",Input!T49,""),"")</f>
        <v/>
      </c>
      <c r="Y48" s="449" t="str">
        <f>IFERROR(IF($X$5="","",IF(F48&lt;&gt;"",(Input!T49/Input!$T$6)*100,"")),"NA")</f>
        <v/>
      </c>
      <c r="Z48" s="310" t="str">
        <f>IF(F48&lt;&gt;"",IF(Input!U49&lt;&gt;"",Input!U49,""),"")</f>
        <v/>
      </c>
      <c r="AA48" s="449" t="str">
        <f>IFERROR(IF($Z$5="","",IF(F48&lt;&gt;"",(Input!U49/Input!$U$6)*100,"")),"NA")</f>
        <v/>
      </c>
      <c r="AB48" s="310" t="str">
        <f>IF(F48&lt;&gt;"",IF(Input!V49&lt;&gt;"",Input!V49,""),"")</f>
        <v/>
      </c>
      <c r="AC48" s="449" t="str">
        <f>IFERROR(IF($AB$5="","",IF(F48&lt;&gt;"",(Input!V49/Input!$V$6)*100,"")),"NA")</f>
        <v/>
      </c>
      <c r="AD48" s="310" t="str">
        <f>IF(F48&lt;&gt;"",IF(Input!W49&lt;&gt;"",Input!W49,""),"")</f>
        <v/>
      </c>
      <c r="AE48" s="449" t="str">
        <f>IFERROR(IF($AD$5="","",IF(F48&lt;&gt;"",(Input!W49/Input!$W$6)*100,"")),"NA")</f>
        <v/>
      </c>
      <c r="AF48" s="108" t="str">
        <f>IF(Input!X49="Error","Error",IF(F48="","",IF($X$5="",0,IF(F48&lt;&gt;"",IFERROR(AVERAGE(Y48,AA48,AC48,AE48)*$AF$4,0),""))))</f>
        <v/>
      </c>
      <c r="AG48" s="174"/>
      <c r="AH48" s="175" t="str">
        <f>IF(F48&lt;&gt;"",IF(Input!Y49&lt;&gt;"",Input!Y49,""),"")</f>
        <v/>
      </c>
      <c r="AI48" s="451" t="str">
        <f>IFERROR(IF($AH$5="","",IF(F48&lt;&gt;"",(Input!Y49/Input!$Y$6)*100,"")),"NA")</f>
        <v/>
      </c>
      <c r="AJ48" s="176" t="str">
        <f>IF(F48&lt;&gt;"",IF(Input!Z49&lt;&gt;"",Input!Z49,""),"")</f>
        <v/>
      </c>
      <c r="AK48" s="451" t="str">
        <f>IFERROR(IF($AJ$5="","",IF(F48&lt;&gt;"",(Input!Z49/Input!$Z$6)*100,"")),"NA")</f>
        <v/>
      </c>
      <c r="AL48" s="176" t="str">
        <f>IF(F48&lt;&gt;"",IF(Input!AA49&lt;&gt;"",Input!AA49,""),"")</f>
        <v/>
      </c>
      <c r="AM48" s="451" t="str">
        <f>IFERROR(IF($AL$5="","",IF(F48&lt;&gt;"",(Input!AA49/Input!$AA$6)*100,"")),"NA")</f>
        <v/>
      </c>
      <c r="AN48" s="177" t="str">
        <f>IF(F48&lt;&gt;"",IF(Input!AB49&lt;&gt;"",Input!AB49,""),"")</f>
        <v/>
      </c>
      <c r="AO48" s="451" t="str">
        <f>IFERROR(IF($AN$5="","",IF(F48&lt;&gt;"",(Input!AB49/Input!$AB$6)*100,"")),"NA")</f>
        <v/>
      </c>
      <c r="AP48" s="303" t="str">
        <f>IF(Input!AC49="Error","Error",IF(F48="","",IF($AH$5="",0,IF(F48&lt;&gt;"",IFERROR(AVERAGE(AI48,AK48,AM48,AO48)*$AP$4,0),""))))</f>
        <v/>
      </c>
      <c r="AQ48" s="174"/>
      <c r="AR48" s="231" t="str">
        <f>IF(Input!AD49="","",IF(F48&lt;&gt;"",Input!AD49,""))</f>
        <v/>
      </c>
      <c r="AS48" s="179" t="str">
        <f>IF(F48="","",IF(Input!AE49="Error","Error",IF(ISNUMBER(Input!AE49),(Input!AE49*$AS$4),"")))</f>
        <v/>
      </c>
      <c r="AT48" s="331" t="str">
        <f>IF(V48="D","DRP",
IF(F48&lt;&gt;"",
IF(OR(AF48="Error",AP48="Error",AS48="Error"),"Error",
IF(Input!AD49="","-",ROUND(AF48+AP48+AS48,2))),""))</f>
        <v/>
      </c>
      <c r="AU48" s="180" t="str">
        <f>IF(F48&lt;&gt;"",VLOOKUP(AT48,TRANSMUTATION!$A$2:$B$14,2),"")</f>
        <v/>
      </c>
      <c r="AV48" s="232" t="str">
        <f t="shared" si="1"/>
        <v/>
      </c>
      <c r="AW48" s="182"/>
      <c r="AX48" s="98"/>
      <c r="AY48" s="98"/>
      <c r="AZ48" s="98"/>
      <c r="BA48" s="97"/>
    </row>
    <row r="49" spans="1:53" ht="15" customHeight="1" x14ac:dyDescent="0.2">
      <c r="A49" s="97"/>
      <c r="C49" s="194">
        <v>43</v>
      </c>
      <c r="D49" s="203" t="str">
        <f>IF(Input!D50&lt;&gt;"",IF(F49&lt;&gt;"",Input!D50,""),"")</f>
        <v/>
      </c>
      <c r="E49" s="297"/>
      <c r="F49" s="298" t="str">
        <f>(IF(Input!F50&lt;&gt;"",Input!F50,""))</f>
        <v/>
      </c>
      <c r="G49" s="333"/>
      <c r="H49" s="333"/>
      <c r="I49" s="333"/>
      <c r="J49" s="333"/>
      <c r="K49" s="333"/>
      <c r="L49" s="333"/>
      <c r="M49" s="333"/>
      <c r="N49" s="333"/>
      <c r="O49" s="333"/>
      <c r="P49" s="333"/>
      <c r="Q49" s="333"/>
      <c r="R49" s="333"/>
      <c r="S49" s="333"/>
      <c r="T49" s="333"/>
      <c r="U49" s="333"/>
      <c r="V49" s="336"/>
      <c r="W49" s="173"/>
      <c r="X49" s="309" t="str">
        <f>IF(F49&lt;&gt;"",IF(Input!T50&lt;&gt;"",Input!T50,""),"")</f>
        <v/>
      </c>
      <c r="Y49" s="449" t="str">
        <f>IFERROR(IF($X$5="","",IF(F49&lt;&gt;"",(Input!T50/Input!$T$6)*100,"")),"NA")</f>
        <v/>
      </c>
      <c r="Z49" s="310" t="str">
        <f>IF(F49&lt;&gt;"",IF(Input!U50&lt;&gt;"",Input!U50,""),"")</f>
        <v/>
      </c>
      <c r="AA49" s="449" t="str">
        <f>IFERROR(IF($Z$5="","",IF(F49&lt;&gt;"",(Input!U50/Input!$U$6)*100,"")),"NA")</f>
        <v/>
      </c>
      <c r="AB49" s="310" t="str">
        <f>IF(F49&lt;&gt;"",IF(Input!V50&lt;&gt;"",Input!V50,""),"")</f>
        <v/>
      </c>
      <c r="AC49" s="449" t="str">
        <f>IFERROR(IF($AB$5="","",IF(F49&lt;&gt;"",(Input!V50/Input!$V$6)*100,"")),"NA")</f>
        <v/>
      </c>
      <c r="AD49" s="310" t="str">
        <f>IF(F49&lt;&gt;"",IF(Input!W50&lt;&gt;"",Input!W50,""),"")</f>
        <v/>
      </c>
      <c r="AE49" s="449" t="str">
        <f>IFERROR(IF($AD$5="","",IF(F49&lt;&gt;"",(Input!W50/Input!$W$6)*100,"")),"NA")</f>
        <v/>
      </c>
      <c r="AF49" s="108" t="str">
        <f>IF(Input!X50="Error","Error",IF(F49="","",IF($X$5="",0,IF(F49&lt;&gt;"",IFERROR(AVERAGE(Y49,AA49,AC49,AE49)*$AF$4,0),""))))</f>
        <v/>
      </c>
      <c r="AG49" s="174"/>
      <c r="AH49" s="175" t="str">
        <f>IF(F49&lt;&gt;"",IF(Input!Y50&lt;&gt;"",Input!Y50,""),"")</f>
        <v/>
      </c>
      <c r="AI49" s="451" t="str">
        <f>IFERROR(IF($AH$5="","",IF(F49&lt;&gt;"",(Input!Y50/Input!$Y$6)*100,"")),"NA")</f>
        <v/>
      </c>
      <c r="AJ49" s="176" t="str">
        <f>IF(F49&lt;&gt;"",IF(Input!Z50&lt;&gt;"",Input!Z50,""),"")</f>
        <v/>
      </c>
      <c r="AK49" s="451" t="str">
        <f>IFERROR(IF($AJ$5="","",IF(F49&lt;&gt;"",(Input!Z50/Input!$Z$6)*100,"")),"NA")</f>
        <v/>
      </c>
      <c r="AL49" s="176" t="str">
        <f>IF(F49&lt;&gt;"",IF(Input!AA50&lt;&gt;"",Input!AA50,""),"")</f>
        <v/>
      </c>
      <c r="AM49" s="451" t="str">
        <f>IFERROR(IF($AL$5="","",IF(F49&lt;&gt;"",(Input!AA50/Input!$AA$6)*100,"")),"NA")</f>
        <v/>
      </c>
      <c r="AN49" s="177" t="str">
        <f>IF(F49&lt;&gt;"",IF(Input!AB50&lt;&gt;"",Input!AB50,""),"")</f>
        <v/>
      </c>
      <c r="AO49" s="451" t="str">
        <f>IFERROR(IF($AN$5="","",IF(F49&lt;&gt;"",(Input!AB50/Input!$AB$6)*100,"")),"NA")</f>
        <v/>
      </c>
      <c r="AP49" s="303" t="str">
        <f>IF(Input!AC50="Error","Error",IF(F49="","",IF($AH$5="",0,IF(F49&lt;&gt;"",IFERROR(AVERAGE(AI49,AK49,AM49,AO49)*$AP$4,0),""))))</f>
        <v/>
      </c>
      <c r="AQ49" s="174"/>
      <c r="AR49" s="231" t="str">
        <f>IF(Input!AD50="","",IF(F49&lt;&gt;"",Input!AD50,""))</f>
        <v/>
      </c>
      <c r="AS49" s="179" t="str">
        <f>IF(F49="","",IF(Input!AE50="Error","Error",IF(ISNUMBER(Input!AE50),(Input!AE50*$AS$4),"")))</f>
        <v/>
      </c>
      <c r="AT49" s="331" t="str">
        <f>IF(V49="D","DRP",
IF(F49&lt;&gt;"",
IF(OR(AF49="Error",AP49="Error",AS49="Error"),"Error",
IF(Input!AD50="","-",ROUND(AF49+AP49+AS49,2))),""))</f>
        <v/>
      </c>
      <c r="AU49" s="180" t="str">
        <f>IF(F49&lt;&gt;"",VLOOKUP(AT49,TRANSMUTATION!$A$2:$B$14,2),"")</f>
        <v/>
      </c>
      <c r="AV49" s="232" t="str">
        <f t="shared" si="1"/>
        <v/>
      </c>
      <c r="AW49" s="182"/>
      <c r="AX49" s="98"/>
      <c r="AY49" s="98"/>
      <c r="AZ49" s="98"/>
      <c r="BA49" s="97"/>
    </row>
    <row r="50" spans="1:53" ht="15" customHeight="1" x14ac:dyDescent="0.2">
      <c r="A50" s="97"/>
      <c r="C50" s="194">
        <v>44</v>
      </c>
      <c r="D50" s="203" t="str">
        <f>IF(Input!D51&lt;&gt;"",IF(F50&lt;&gt;"",Input!D51,""),"")</f>
        <v/>
      </c>
      <c r="E50" s="297"/>
      <c r="F50" s="298" t="str">
        <f>(IF(Input!F51&lt;&gt;"",Input!F51,""))</f>
        <v/>
      </c>
      <c r="G50" s="333"/>
      <c r="H50" s="333"/>
      <c r="I50" s="333"/>
      <c r="J50" s="333"/>
      <c r="K50" s="333"/>
      <c r="L50" s="333"/>
      <c r="M50" s="333"/>
      <c r="N50" s="333"/>
      <c r="O50" s="333"/>
      <c r="P50" s="333"/>
      <c r="Q50" s="333"/>
      <c r="R50" s="333"/>
      <c r="S50" s="333"/>
      <c r="T50" s="333"/>
      <c r="U50" s="333"/>
      <c r="V50" s="336"/>
      <c r="W50" s="173"/>
      <c r="X50" s="309" t="str">
        <f>IF(F50&lt;&gt;"",IF(Input!T51&lt;&gt;"",Input!T51,""),"")</f>
        <v/>
      </c>
      <c r="Y50" s="449" t="str">
        <f>IFERROR(IF($X$5="","",IF(F50&lt;&gt;"",(Input!T51/Input!$T$6)*100,"")),"NA")</f>
        <v/>
      </c>
      <c r="Z50" s="310" t="str">
        <f>IF(F50&lt;&gt;"",IF(Input!U51&lt;&gt;"",Input!U51,""),"")</f>
        <v/>
      </c>
      <c r="AA50" s="449" t="str">
        <f>IFERROR(IF($Z$5="","",IF(F50&lt;&gt;"",(Input!U51/Input!$U$6)*100,"")),"NA")</f>
        <v/>
      </c>
      <c r="AB50" s="310" t="str">
        <f>IF(F50&lt;&gt;"",IF(Input!V51&lt;&gt;"",Input!V51,""),"")</f>
        <v/>
      </c>
      <c r="AC50" s="449" t="str">
        <f>IFERROR(IF($AB$5="","",IF(F50&lt;&gt;"",(Input!V51/Input!$V$6)*100,"")),"NA")</f>
        <v/>
      </c>
      <c r="AD50" s="310" t="str">
        <f>IF(F50&lt;&gt;"",IF(Input!W51&lt;&gt;"",Input!W51,""),"")</f>
        <v/>
      </c>
      <c r="AE50" s="449" t="str">
        <f>IFERROR(IF($AD$5="","",IF(F50&lt;&gt;"",(Input!W51/Input!$W$6)*100,"")),"NA")</f>
        <v/>
      </c>
      <c r="AF50" s="108" t="str">
        <f>IF(Input!X51="Error","Error",IF(F50="","",IF($X$5="",0,IF(F50&lt;&gt;"",IFERROR(AVERAGE(Y50,AA50,AC50,AE50)*$AF$4,0),""))))</f>
        <v/>
      </c>
      <c r="AG50" s="174"/>
      <c r="AH50" s="175" t="str">
        <f>IF(F50&lt;&gt;"",IF(Input!Y51&lt;&gt;"",Input!Y51,""),"")</f>
        <v/>
      </c>
      <c r="AI50" s="451" t="str">
        <f>IFERROR(IF($AH$5="","",IF(F50&lt;&gt;"",(Input!Y51/Input!$Y$6)*100,"")),"NA")</f>
        <v/>
      </c>
      <c r="AJ50" s="176" t="str">
        <f>IF(F50&lt;&gt;"",IF(Input!Z51&lt;&gt;"",Input!Z51,""),"")</f>
        <v/>
      </c>
      <c r="AK50" s="451" t="str">
        <f>IFERROR(IF($AJ$5="","",IF(F50&lt;&gt;"",(Input!Z51/Input!$Z$6)*100,"")),"NA")</f>
        <v/>
      </c>
      <c r="AL50" s="176" t="str">
        <f>IF(F50&lt;&gt;"",IF(Input!AA51&lt;&gt;"",Input!AA51,""),"")</f>
        <v/>
      </c>
      <c r="AM50" s="451" t="str">
        <f>IFERROR(IF($AL$5="","",IF(F50&lt;&gt;"",(Input!AA51/Input!$AA$6)*100,"")),"NA")</f>
        <v/>
      </c>
      <c r="AN50" s="177" t="str">
        <f>IF(F50&lt;&gt;"",IF(Input!AB51&lt;&gt;"",Input!AB51,""),"")</f>
        <v/>
      </c>
      <c r="AO50" s="451" t="str">
        <f>IFERROR(IF($AN$5="","",IF(F50&lt;&gt;"",(Input!AB51/Input!$AB$6)*100,"")),"NA")</f>
        <v/>
      </c>
      <c r="AP50" s="303" t="str">
        <f>IF(Input!AC51="Error","Error",IF(F50="","",IF($AH$5="",0,IF(F50&lt;&gt;"",IFERROR(AVERAGE(AI50,AK50,AM50,AO50)*$AP$4,0),""))))</f>
        <v/>
      </c>
      <c r="AQ50" s="174"/>
      <c r="AR50" s="231" t="str">
        <f>IF(Input!AD51="","",IF(F50&lt;&gt;"",Input!AD51,""))</f>
        <v/>
      </c>
      <c r="AS50" s="179" t="str">
        <f>IF(F50="","",IF(Input!AE51="Error","Error",IF(ISNUMBER(Input!AE51),(Input!AE51*$AS$4),"")))</f>
        <v/>
      </c>
      <c r="AT50" s="331" t="str">
        <f>IF(V50="D","DRP",
IF(F50&lt;&gt;"",
IF(OR(AF50="Error",AP50="Error",AS50="Error"),"Error",
IF(Input!AD51="","-",ROUND(AF50+AP50+AS50,2))),""))</f>
        <v/>
      </c>
      <c r="AU50" s="180" t="str">
        <f>IF(F50&lt;&gt;"",VLOOKUP(AT50,TRANSMUTATION!$A$2:$B$14,2),"")</f>
        <v/>
      </c>
      <c r="AV50" s="232" t="str">
        <f t="shared" si="1"/>
        <v/>
      </c>
      <c r="AW50" s="182"/>
      <c r="AX50" s="98"/>
      <c r="AY50" s="98"/>
      <c r="AZ50" s="98"/>
      <c r="BA50" s="97"/>
    </row>
    <row r="51" spans="1:53" ht="15" customHeight="1" x14ac:dyDescent="0.2">
      <c r="A51" s="97"/>
      <c r="C51" s="194">
        <v>45</v>
      </c>
      <c r="D51" s="203" t="str">
        <f>IF(Input!D52&lt;&gt;"",IF(F51&lt;&gt;"",Input!D52,""),"")</f>
        <v/>
      </c>
      <c r="E51" s="297"/>
      <c r="F51" s="298" t="str">
        <f>(IF(Input!F52&lt;&gt;"",Input!F52,""))</f>
        <v/>
      </c>
      <c r="G51" s="333"/>
      <c r="H51" s="333"/>
      <c r="I51" s="333"/>
      <c r="J51" s="333"/>
      <c r="K51" s="333"/>
      <c r="L51" s="333"/>
      <c r="M51" s="333"/>
      <c r="N51" s="333"/>
      <c r="O51" s="333"/>
      <c r="P51" s="333"/>
      <c r="Q51" s="333"/>
      <c r="R51" s="333"/>
      <c r="S51" s="333"/>
      <c r="T51" s="333"/>
      <c r="U51" s="333"/>
      <c r="V51" s="336"/>
      <c r="W51" s="173"/>
      <c r="X51" s="309" t="str">
        <f>IF(F51&lt;&gt;"",IF(Input!T52&lt;&gt;"",Input!T52,""),"")</f>
        <v/>
      </c>
      <c r="Y51" s="449" t="str">
        <f>IFERROR(IF($X$5="","",IF(F51&lt;&gt;"",(Input!T52/Input!$T$6)*100,"")),"NA")</f>
        <v/>
      </c>
      <c r="Z51" s="310" t="str">
        <f>IF(F51&lt;&gt;"",IF(Input!U52&lt;&gt;"",Input!U52,""),"")</f>
        <v/>
      </c>
      <c r="AA51" s="449" t="str">
        <f>IFERROR(IF($Z$5="","",IF(F51&lt;&gt;"",(Input!U52/Input!$U$6)*100,"")),"NA")</f>
        <v/>
      </c>
      <c r="AB51" s="310" t="str">
        <f>IF(F51&lt;&gt;"",IF(Input!V52&lt;&gt;"",Input!V52,""),"")</f>
        <v/>
      </c>
      <c r="AC51" s="449" t="str">
        <f>IFERROR(IF($AB$5="","",IF(F51&lt;&gt;"",(Input!V52/Input!$V$6)*100,"")),"NA")</f>
        <v/>
      </c>
      <c r="AD51" s="310" t="str">
        <f>IF(F51&lt;&gt;"",IF(Input!W52&lt;&gt;"",Input!W52,""),"")</f>
        <v/>
      </c>
      <c r="AE51" s="449" t="str">
        <f>IFERROR(IF($AD$5="","",IF(F51&lt;&gt;"",(Input!W52/Input!$W$6)*100,"")),"NA")</f>
        <v/>
      </c>
      <c r="AF51" s="108" t="str">
        <f>IF(Input!X52="Error","Error",IF(F51="","",IF($X$5="",0,IF(F51&lt;&gt;"",IFERROR(AVERAGE(Y51,AA51,AC51,AE51)*$AF$4,0),""))))</f>
        <v/>
      </c>
      <c r="AG51" s="174"/>
      <c r="AH51" s="175" t="str">
        <f>IF(F51&lt;&gt;"",IF(Input!Y52&lt;&gt;"",Input!Y52,""),"")</f>
        <v/>
      </c>
      <c r="AI51" s="451" t="str">
        <f>IFERROR(IF($AH$5="","",IF(F51&lt;&gt;"",(Input!Y52/Input!$Y$6)*100,"")),"NA")</f>
        <v/>
      </c>
      <c r="AJ51" s="176" t="str">
        <f>IF(F51&lt;&gt;"",IF(Input!Z52&lt;&gt;"",Input!Z52,""),"")</f>
        <v/>
      </c>
      <c r="AK51" s="451" t="str">
        <f>IFERROR(IF($AJ$5="","",IF(F51&lt;&gt;"",(Input!Z52/Input!$Z$6)*100,"")),"NA")</f>
        <v/>
      </c>
      <c r="AL51" s="176" t="str">
        <f>IF(F51&lt;&gt;"",IF(Input!AA52&lt;&gt;"",Input!AA52,""),"")</f>
        <v/>
      </c>
      <c r="AM51" s="451" t="str">
        <f>IFERROR(IF($AL$5="","",IF(F51&lt;&gt;"",(Input!AA52/Input!$AA$6)*100,"")),"NA")</f>
        <v/>
      </c>
      <c r="AN51" s="177" t="str">
        <f>IF(F51&lt;&gt;"",IF(Input!AB52&lt;&gt;"",Input!AB52,""),"")</f>
        <v/>
      </c>
      <c r="AO51" s="451" t="str">
        <f>IFERROR(IF($AN$5="","",IF(F51&lt;&gt;"",(Input!AB52/Input!$AB$6)*100,"")),"NA")</f>
        <v/>
      </c>
      <c r="AP51" s="303" t="str">
        <f>IF(Input!AC52="Error","Error",IF(F51="","",IF($AH$5="",0,IF(F51&lt;&gt;"",IFERROR(AVERAGE(AI51,AK51,AM51,AO51)*$AP$4,0),""))))</f>
        <v/>
      </c>
      <c r="AQ51" s="174"/>
      <c r="AR51" s="231" t="str">
        <f>IF(Input!AD52="","",IF(F51&lt;&gt;"",Input!AD52,""))</f>
        <v/>
      </c>
      <c r="AS51" s="179" t="str">
        <f>IF(F51="","",IF(Input!AE52="Error","Error",IF(ISNUMBER(Input!AE52),(Input!AE52*$AS$4),"")))</f>
        <v/>
      </c>
      <c r="AT51" s="331" t="str">
        <f>IF(V51="D","DRP",
IF(F51&lt;&gt;"",
IF(OR(AF51="Error",AP51="Error",AS51="Error"),"Error",
IF(Input!AD52="","-",ROUND(AF51+AP51+AS51,2))),""))</f>
        <v/>
      </c>
      <c r="AU51" s="180" t="str">
        <f>IF(F51&lt;&gt;"",VLOOKUP(AT51,TRANSMUTATION!$A$2:$B$14,2),"")</f>
        <v/>
      </c>
      <c r="AV51" s="232" t="str">
        <f t="shared" si="1"/>
        <v/>
      </c>
      <c r="AW51" s="182"/>
      <c r="AX51" s="98"/>
      <c r="AY51" s="98"/>
      <c r="AZ51" s="98"/>
      <c r="BA51" s="97"/>
    </row>
    <row r="52" spans="1:53" ht="15" customHeight="1" x14ac:dyDescent="0.2">
      <c r="A52" s="97"/>
      <c r="C52" s="194">
        <v>46</v>
      </c>
      <c r="D52" s="203" t="str">
        <f>IF(Input!D53&lt;&gt;"",IF(F52&lt;&gt;"",Input!D53,""),"")</f>
        <v/>
      </c>
      <c r="E52" s="297"/>
      <c r="F52" s="298" t="str">
        <f>(IF(Input!F53&lt;&gt;"",Input!F53,""))</f>
        <v/>
      </c>
      <c r="G52" s="333"/>
      <c r="H52" s="333"/>
      <c r="I52" s="333"/>
      <c r="J52" s="333"/>
      <c r="K52" s="333"/>
      <c r="L52" s="333"/>
      <c r="M52" s="333"/>
      <c r="N52" s="333"/>
      <c r="O52" s="333"/>
      <c r="P52" s="333"/>
      <c r="Q52" s="333"/>
      <c r="R52" s="333"/>
      <c r="S52" s="333"/>
      <c r="T52" s="333"/>
      <c r="U52" s="333"/>
      <c r="V52" s="336"/>
      <c r="W52" s="173"/>
      <c r="X52" s="309" t="str">
        <f>IF(F52&lt;&gt;"",IF(Input!T53&lt;&gt;"",Input!T53,""),"")</f>
        <v/>
      </c>
      <c r="Y52" s="449" t="str">
        <f>IFERROR(IF($X$5="","",IF(F52&lt;&gt;"",(Input!T53/Input!$T$6)*100,"")),"NA")</f>
        <v/>
      </c>
      <c r="Z52" s="310" t="str">
        <f>IF(F52&lt;&gt;"",IF(Input!U53&lt;&gt;"",Input!U53,""),"")</f>
        <v/>
      </c>
      <c r="AA52" s="449" t="str">
        <f>IFERROR(IF($Z$5="","",IF(F52&lt;&gt;"",(Input!U53/Input!$U$6)*100,"")),"NA")</f>
        <v/>
      </c>
      <c r="AB52" s="310" t="str">
        <f>IF(F52&lt;&gt;"",IF(Input!V53&lt;&gt;"",Input!V53,""),"")</f>
        <v/>
      </c>
      <c r="AC52" s="449" t="str">
        <f>IFERROR(IF($AB$5="","",IF(F52&lt;&gt;"",(Input!V53/Input!$V$6)*100,"")),"NA")</f>
        <v/>
      </c>
      <c r="AD52" s="310" t="str">
        <f>IF(F52&lt;&gt;"",IF(Input!W53&lt;&gt;"",Input!W53,""),"")</f>
        <v/>
      </c>
      <c r="AE52" s="449" t="str">
        <f>IFERROR(IF($AD$5="","",IF(F52&lt;&gt;"",(Input!W53/Input!$W$6)*100,"")),"NA")</f>
        <v/>
      </c>
      <c r="AF52" s="108" t="str">
        <f>IF(Input!X53="Error","Error",IF(F52="","",IF($X$5="",0,IF(F52&lt;&gt;"",IFERROR(AVERAGE(Y52,AA52,AC52,AE52)*$AF$4,0),""))))</f>
        <v/>
      </c>
      <c r="AG52" s="174"/>
      <c r="AH52" s="175" t="str">
        <f>IF(F52&lt;&gt;"",IF(Input!Y53&lt;&gt;"",Input!Y53,""),"")</f>
        <v/>
      </c>
      <c r="AI52" s="451" t="str">
        <f>IFERROR(IF($AH$5="","",IF(F52&lt;&gt;"",(Input!Y53/Input!$Y$6)*100,"")),"NA")</f>
        <v/>
      </c>
      <c r="AJ52" s="176" t="str">
        <f>IF(F52&lt;&gt;"",IF(Input!Z53&lt;&gt;"",Input!Z53,""),"")</f>
        <v/>
      </c>
      <c r="AK52" s="451" t="str">
        <f>IFERROR(IF($AJ$5="","",IF(F52&lt;&gt;"",(Input!Z53/Input!$Z$6)*100,"")),"NA")</f>
        <v/>
      </c>
      <c r="AL52" s="176" t="str">
        <f>IF(F52&lt;&gt;"",IF(Input!AA53&lt;&gt;"",Input!AA53,""),"")</f>
        <v/>
      </c>
      <c r="AM52" s="451" t="str">
        <f>IFERROR(IF($AL$5="","",IF(F52&lt;&gt;"",(Input!AA53/Input!$AA$6)*100,"")),"NA")</f>
        <v/>
      </c>
      <c r="AN52" s="177" t="str">
        <f>IF(F52&lt;&gt;"",IF(Input!AB53&lt;&gt;"",Input!AB53,""),"")</f>
        <v/>
      </c>
      <c r="AO52" s="451" t="str">
        <f>IFERROR(IF($AN$5="","",IF(F52&lt;&gt;"",(Input!AB53/Input!$AB$6)*100,"")),"NA")</f>
        <v/>
      </c>
      <c r="AP52" s="303" t="str">
        <f>IF(Input!AC53="Error","Error",IF(F52="","",IF($AH$5="",0,IF(F52&lt;&gt;"",IFERROR(AVERAGE(AI52,AK52,AM52,AO52)*$AP$4,0),""))))</f>
        <v/>
      </c>
      <c r="AQ52" s="174"/>
      <c r="AR52" s="231" t="str">
        <f>IF(Input!AD53="","",IF(F52&lt;&gt;"",Input!AD53,""))</f>
        <v/>
      </c>
      <c r="AS52" s="179" t="str">
        <f>IF(F52="","",IF(Input!AE53="Error","Error",IF(ISNUMBER(Input!AE53),(Input!AE53*$AS$4),"")))</f>
        <v/>
      </c>
      <c r="AT52" s="331" t="str">
        <f>IF(V52="D","DRP",
IF(F52&lt;&gt;"",
IF(OR(AF52="Error",AP52="Error",AS52="Error"),"Error",
IF(Input!AD53="","-",ROUND(AF52+AP52+AS52,2))),""))</f>
        <v/>
      </c>
      <c r="AU52" s="180" t="str">
        <f>IF(F52&lt;&gt;"",VLOOKUP(AT52,TRANSMUTATION!$A$2:$B$14,2),"")</f>
        <v/>
      </c>
      <c r="AV52" s="232" t="str">
        <f t="shared" si="1"/>
        <v/>
      </c>
      <c r="AW52" s="182"/>
      <c r="AX52" s="98"/>
      <c r="AY52" s="98"/>
      <c r="AZ52" s="98"/>
      <c r="BA52" s="97"/>
    </row>
    <row r="53" spans="1:53" ht="15" customHeight="1" x14ac:dyDescent="0.2">
      <c r="A53" s="97"/>
      <c r="C53" s="194">
        <v>47</v>
      </c>
      <c r="D53" s="203" t="str">
        <f>IF(Input!D54&lt;&gt;"",IF(F53&lt;&gt;"",Input!D54,""),"")</f>
        <v/>
      </c>
      <c r="E53" s="297"/>
      <c r="F53" s="298" t="str">
        <f>(IF(Input!F54&lt;&gt;"",Input!F54,""))</f>
        <v/>
      </c>
      <c r="G53" s="333"/>
      <c r="H53" s="333"/>
      <c r="I53" s="333"/>
      <c r="J53" s="333"/>
      <c r="K53" s="333"/>
      <c r="L53" s="333"/>
      <c r="M53" s="333"/>
      <c r="N53" s="333"/>
      <c r="O53" s="333"/>
      <c r="P53" s="333"/>
      <c r="Q53" s="333"/>
      <c r="R53" s="333"/>
      <c r="S53" s="333"/>
      <c r="T53" s="333"/>
      <c r="U53" s="333"/>
      <c r="V53" s="336"/>
      <c r="W53" s="173"/>
      <c r="X53" s="309" t="str">
        <f>IF(F53&lt;&gt;"",IF(Input!T54&lt;&gt;"",Input!T54,""),"")</f>
        <v/>
      </c>
      <c r="Y53" s="449" t="str">
        <f>IFERROR(IF($X$5="","",IF(F53&lt;&gt;"",(Input!T54/Input!$T$6)*100,"")),"NA")</f>
        <v/>
      </c>
      <c r="Z53" s="310" t="str">
        <f>IF(F53&lt;&gt;"",IF(Input!U54&lt;&gt;"",Input!U54,""),"")</f>
        <v/>
      </c>
      <c r="AA53" s="449" t="str">
        <f>IFERROR(IF($Z$5="","",IF(F53&lt;&gt;"",(Input!U54/Input!$U$6)*100,"")),"NA")</f>
        <v/>
      </c>
      <c r="AB53" s="310" t="str">
        <f>IF(F53&lt;&gt;"",IF(Input!V54&lt;&gt;"",Input!V54,""),"")</f>
        <v/>
      </c>
      <c r="AC53" s="449" t="str">
        <f>IFERROR(IF($AB$5="","",IF(F53&lt;&gt;"",(Input!V54/Input!$V$6)*100,"")),"NA")</f>
        <v/>
      </c>
      <c r="AD53" s="310" t="str">
        <f>IF(F53&lt;&gt;"",IF(Input!W54&lt;&gt;"",Input!W54,""),"")</f>
        <v/>
      </c>
      <c r="AE53" s="449" t="str">
        <f>IFERROR(IF($AD$5="","",IF(F53&lt;&gt;"",(Input!W54/Input!$W$6)*100,"")),"NA")</f>
        <v/>
      </c>
      <c r="AF53" s="108" t="str">
        <f>IF(Input!X54="Error","Error",IF(F53="","",IF($X$5="",0,IF(F53&lt;&gt;"",IFERROR(AVERAGE(Y53,AA53,AC53,AE53)*$AF$4,0),""))))</f>
        <v/>
      </c>
      <c r="AG53" s="174"/>
      <c r="AH53" s="175" t="str">
        <f>IF(F53&lt;&gt;"",IF(Input!Y54&lt;&gt;"",Input!Y54,""),"")</f>
        <v/>
      </c>
      <c r="AI53" s="451" t="str">
        <f>IFERROR(IF($AH$5="","",IF(F53&lt;&gt;"",(Input!Y54/Input!$Y$6)*100,"")),"NA")</f>
        <v/>
      </c>
      <c r="AJ53" s="176" t="str">
        <f>IF(F53&lt;&gt;"",IF(Input!Z54&lt;&gt;"",Input!Z54,""),"")</f>
        <v/>
      </c>
      <c r="AK53" s="451" t="str">
        <f>IFERROR(IF($AJ$5="","",IF(F53&lt;&gt;"",(Input!Z54/Input!$Z$6)*100,"")),"NA")</f>
        <v/>
      </c>
      <c r="AL53" s="176" t="str">
        <f>IF(F53&lt;&gt;"",IF(Input!AA54&lt;&gt;"",Input!AA54,""),"")</f>
        <v/>
      </c>
      <c r="AM53" s="451" t="str">
        <f>IFERROR(IF($AL$5="","",IF(F53&lt;&gt;"",(Input!AA54/Input!$AA$6)*100,"")),"NA")</f>
        <v/>
      </c>
      <c r="AN53" s="177" t="str">
        <f>IF(F53&lt;&gt;"",IF(Input!AB54&lt;&gt;"",Input!AB54,""),"")</f>
        <v/>
      </c>
      <c r="AO53" s="451" t="str">
        <f>IFERROR(IF($AN$5="","",IF(F53&lt;&gt;"",(Input!AB54/Input!$AB$6)*100,"")),"NA")</f>
        <v/>
      </c>
      <c r="AP53" s="303" t="str">
        <f>IF(Input!AC54="Error","Error",IF(F53="","",IF($AH$5="",0,IF(F53&lt;&gt;"",IFERROR(AVERAGE(AI53,AK53,AM53,AO53)*$AP$4,0),""))))</f>
        <v/>
      </c>
      <c r="AQ53" s="174"/>
      <c r="AR53" s="231" t="str">
        <f>IF(Input!AD54="","",IF(F53&lt;&gt;"",Input!AD54,""))</f>
        <v/>
      </c>
      <c r="AS53" s="179" t="str">
        <f>IF(F53="","",IF(Input!AE54="Error","Error",IF(ISNUMBER(Input!AE54),(Input!AE54*$AS$4),"")))</f>
        <v/>
      </c>
      <c r="AT53" s="331" t="str">
        <f>IF(V53="D","DRP",
IF(F53&lt;&gt;"",
IF(OR(AF53="Error",AP53="Error",AS53="Error"),"Error",
IF(Input!AD54="","-",ROUND(AF53+AP53+AS53,2))),""))</f>
        <v/>
      </c>
      <c r="AU53" s="180" t="str">
        <f>IF(F53&lt;&gt;"",VLOOKUP(AT53,TRANSMUTATION!$A$2:$B$14,2),"")</f>
        <v/>
      </c>
      <c r="AV53" s="232" t="str">
        <f t="shared" si="1"/>
        <v/>
      </c>
      <c r="AW53" s="182"/>
      <c r="AX53" s="98"/>
      <c r="AY53" s="98"/>
      <c r="AZ53" s="98"/>
      <c r="BA53" s="97"/>
    </row>
    <row r="54" spans="1:53" ht="15" customHeight="1" x14ac:dyDescent="0.2">
      <c r="A54" s="97"/>
      <c r="C54" s="194">
        <v>48</v>
      </c>
      <c r="D54" s="203" t="str">
        <f>IF(Input!D55&lt;&gt;"",IF(F54&lt;&gt;"",Input!D55,""),"")</f>
        <v/>
      </c>
      <c r="E54" s="297"/>
      <c r="F54" s="298" t="str">
        <f>(IF(Input!F55&lt;&gt;"",Input!F55,""))</f>
        <v/>
      </c>
      <c r="G54" s="333"/>
      <c r="H54" s="333"/>
      <c r="I54" s="333"/>
      <c r="J54" s="333"/>
      <c r="K54" s="333"/>
      <c r="L54" s="333"/>
      <c r="M54" s="333"/>
      <c r="N54" s="333"/>
      <c r="O54" s="333"/>
      <c r="P54" s="333"/>
      <c r="Q54" s="333"/>
      <c r="R54" s="333"/>
      <c r="S54" s="333"/>
      <c r="T54" s="333"/>
      <c r="U54" s="333"/>
      <c r="V54" s="336"/>
      <c r="W54" s="173"/>
      <c r="X54" s="309" t="str">
        <f>IF(F54&lt;&gt;"",IF(Input!T55&lt;&gt;"",Input!T55,""),"")</f>
        <v/>
      </c>
      <c r="Y54" s="449" t="str">
        <f>IFERROR(IF($X$5="","",IF(F54&lt;&gt;"",(Input!T55/Input!$T$6)*100,"")),"NA")</f>
        <v/>
      </c>
      <c r="Z54" s="310" t="str">
        <f>IF(F54&lt;&gt;"",IF(Input!U55&lt;&gt;"",Input!U55,""),"")</f>
        <v/>
      </c>
      <c r="AA54" s="449" t="str">
        <f>IFERROR(IF($Z$5="","",IF(F54&lt;&gt;"",(Input!U55/Input!$U$6)*100,"")),"NA")</f>
        <v/>
      </c>
      <c r="AB54" s="310" t="str">
        <f>IF(F54&lt;&gt;"",IF(Input!V55&lt;&gt;"",Input!V55,""),"")</f>
        <v/>
      </c>
      <c r="AC54" s="449" t="str">
        <f>IFERROR(IF($AB$5="","",IF(F54&lt;&gt;"",(Input!V55/Input!$V$6)*100,"")),"NA")</f>
        <v/>
      </c>
      <c r="AD54" s="310" t="str">
        <f>IF(F54&lt;&gt;"",IF(Input!W55&lt;&gt;"",Input!W55,""),"")</f>
        <v/>
      </c>
      <c r="AE54" s="449" t="str">
        <f>IFERROR(IF($AD$5="","",IF(F54&lt;&gt;"",(Input!W55/Input!$W$6)*100,"")),"NA")</f>
        <v/>
      </c>
      <c r="AF54" s="108" t="str">
        <f>IF(Input!X55="Error","Error",IF(F54="","",IF($X$5="",0,IF(F54&lt;&gt;"",IFERROR(AVERAGE(Y54,AA54,AC54,AE54)*$AF$4,0),""))))</f>
        <v/>
      </c>
      <c r="AG54" s="174"/>
      <c r="AH54" s="175" t="str">
        <f>IF(F54&lt;&gt;"",IF(Input!Y55&lt;&gt;"",Input!Y55,""),"")</f>
        <v/>
      </c>
      <c r="AI54" s="451" t="str">
        <f>IFERROR(IF($AH$5="","",IF(F54&lt;&gt;"",(Input!Y55/Input!$Y$6)*100,"")),"NA")</f>
        <v/>
      </c>
      <c r="AJ54" s="176" t="str">
        <f>IF(F54&lt;&gt;"",IF(Input!Z55&lt;&gt;"",Input!Z55,""),"")</f>
        <v/>
      </c>
      <c r="AK54" s="451" t="str">
        <f>IFERROR(IF($AJ$5="","",IF(F54&lt;&gt;"",(Input!Z55/Input!$Z$6)*100,"")),"NA")</f>
        <v/>
      </c>
      <c r="AL54" s="176" t="str">
        <f>IF(F54&lt;&gt;"",IF(Input!AA55&lt;&gt;"",Input!AA55,""),"")</f>
        <v/>
      </c>
      <c r="AM54" s="451" t="str">
        <f>IFERROR(IF($AL$5="","",IF(F54&lt;&gt;"",(Input!AA55/Input!$AA$6)*100,"")),"NA")</f>
        <v/>
      </c>
      <c r="AN54" s="177" t="str">
        <f>IF(F54&lt;&gt;"",IF(Input!AB55&lt;&gt;"",Input!AB55,""),"")</f>
        <v/>
      </c>
      <c r="AO54" s="451" t="str">
        <f>IFERROR(IF($AN$5="","",IF(F54&lt;&gt;"",(Input!AB55/Input!$AB$6)*100,"")),"NA")</f>
        <v/>
      </c>
      <c r="AP54" s="303" t="str">
        <f>IF(Input!AC55="Error","Error",IF(F54="","",IF($AH$5="",0,IF(F54&lt;&gt;"",IFERROR(AVERAGE(AI54,AK54,AM54,AO54)*$AP$4,0),""))))</f>
        <v/>
      </c>
      <c r="AQ54" s="174"/>
      <c r="AR54" s="231" t="str">
        <f>IF(Input!AD55="","",IF(F54&lt;&gt;"",Input!AD55,""))</f>
        <v/>
      </c>
      <c r="AS54" s="179" t="str">
        <f>IF(F54="","",IF(Input!AE55="Error","Error",IF(ISNUMBER(Input!AE55),(Input!AE55*$AS$4),"")))</f>
        <v/>
      </c>
      <c r="AT54" s="331" t="str">
        <f>IF(V54="D","DRP",
IF(F54&lt;&gt;"",
IF(OR(AF54="Error",AP54="Error",AS54="Error"),"Error",
IF(Input!AD55="","-",ROUND(AF54+AP54+AS54,2))),""))</f>
        <v/>
      </c>
      <c r="AU54" s="180" t="str">
        <f>IF(F54&lt;&gt;"",VLOOKUP(AT54,TRANSMUTATION!$A$2:$B$14,2),"")</f>
        <v/>
      </c>
      <c r="AV54" s="232" t="str">
        <f t="shared" si="1"/>
        <v/>
      </c>
      <c r="AW54" s="182"/>
      <c r="AX54" s="98"/>
      <c r="AY54" s="98"/>
      <c r="AZ54" s="98"/>
      <c r="BA54" s="97"/>
    </row>
    <row r="55" spans="1:53" ht="15" customHeight="1" x14ac:dyDescent="0.2">
      <c r="A55" s="97"/>
      <c r="C55" s="194">
        <v>49</v>
      </c>
      <c r="D55" s="203" t="str">
        <f>IF(Input!D56&lt;&gt;"",IF(F55&lt;&gt;"",Input!D56,""),"")</f>
        <v/>
      </c>
      <c r="E55" s="297"/>
      <c r="F55" s="298" t="str">
        <f>(IF(Input!F56&lt;&gt;"",Input!F56,""))</f>
        <v/>
      </c>
      <c r="G55" s="333"/>
      <c r="H55" s="333"/>
      <c r="I55" s="333"/>
      <c r="J55" s="333"/>
      <c r="K55" s="333"/>
      <c r="L55" s="333"/>
      <c r="M55" s="333"/>
      <c r="N55" s="333"/>
      <c r="O55" s="333"/>
      <c r="P55" s="333"/>
      <c r="Q55" s="333"/>
      <c r="R55" s="333"/>
      <c r="S55" s="333"/>
      <c r="T55" s="333"/>
      <c r="U55" s="333"/>
      <c r="V55" s="336"/>
      <c r="W55" s="173"/>
      <c r="X55" s="309" t="str">
        <f>IF(F55&lt;&gt;"",IF(Input!T56&lt;&gt;"",Input!T56,""),"")</f>
        <v/>
      </c>
      <c r="Y55" s="449" t="str">
        <f>IFERROR(IF($X$5="","",IF(F55&lt;&gt;"",(Input!T56/Input!$T$6)*100,"")),"NA")</f>
        <v/>
      </c>
      <c r="Z55" s="310" t="str">
        <f>IF(F55&lt;&gt;"",IF(Input!U56&lt;&gt;"",Input!U56,""),"")</f>
        <v/>
      </c>
      <c r="AA55" s="449" t="str">
        <f>IFERROR(IF($Z$5="","",IF(F55&lt;&gt;"",(Input!U56/Input!$U$6)*100,"")),"NA")</f>
        <v/>
      </c>
      <c r="AB55" s="310" t="str">
        <f>IF(F55&lt;&gt;"",IF(Input!V56&lt;&gt;"",Input!V56,""),"")</f>
        <v/>
      </c>
      <c r="AC55" s="449" t="str">
        <f>IFERROR(IF($AB$5="","",IF(F55&lt;&gt;"",(Input!V56/Input!$V$6)*100,"")),"NA")</f>
        <v/>
      </c>
      <c r="AD55" s="310" t="str">
        <f>IF(F55&lt;&gt;"",IF(Input!W56&lt;&gt;"",Input!W56,""),"")</f>
        <v/>
      </c>
      <c r="AE55" s="449" t="str">
        <f>IFERROR(IF($AD$5="","",IF(F55&lt;&gt;"",(Input!W56/Input!$W$6)*100,"")),"NA")</f>
        <v/>
      </c>
      <c r="AF55" s="108" t="str">
        <f>IF(Input!X56="Error","Error",IF(F55="","",IF($X$5="",0,IF(F55&lt;&gt;"",IFERROR(AVERAGE(Y55,AA55,AC55,AE55)*$AF$4,0),""))))</f>
        <v/>
      </c>
      <c r="AG55" s="174"/>
      <c r="AH55" s="175" t="str">
        <f>IF(F55&lt;&gt;"",IF(Input!Y56&lt;&gt;"",Input!Y56,""),"")</f>
        <v/>
      </c>
      <c r="AI55" s="451" t="str">
        <f>IFERROR(IF($AH$5="","",IF(F55&lt;&gt;"",(Input!Y56/Input!$Y$6)*100,"")),"NA")</f>
        <v/>
      </c>
      <c r="AJ55" s="176" t="str">
        <f>IF(F55&lt;&gt;"",IF(Input!Z56&lt;&gt;"",Input!Z56,""),"")</f>
        <v/>
      </c>
      <c r="AK55" s="451" t="str">
        <f>IFERROR(IF($AJ$5="","",IF(F55&lt;&gt;"",(Input!Z56/Input!$Z$6)*100,"")),"NA")</f>
        <v/>
      </c>
      <c r="AL55" s="176" t="str">
        <f>IF(F55&lt;&gt;"",IF(Input!AA56&lt;&gt;"",Input!AA56,""),"")</f>
        <v/>
      </c>
      <c r="AM55" s="451" t="str">
        <f>IFERROR(IF($AL$5="","",IF(F55&lt;&gt;"",(Input!AA56/Input!$AA$6)*100,"")),"NA")</f>
        <v/>
      </c>
      <c r="AN55" s="177" t="str">
        <f>IF(F55&lt;&gt;"",IF(Input!AB56&lt;&gt;"",Input!AB56,""),"")</f>
        <v/>
      </c>
      <c r="AO55" s="451" t="str">
        <f>IFERROR(IF($AN$5="","",IF(F55&lt;&gt;"",(Input!AB56/Input!$AB$6)*100,"")),"NA")</f>
        <v/>
      </c>
      <c r="AP55" s="303" t="str">
        <f>IF(Input!AC56="Error","Error",IF(F55="","",IF($AH$5="",0,IF(F55&lt;&gt;"",IFERROR(AVERAGE(AI55,AK55,AM55,AO55)*$AP$4,0),""))))</f>
        <v/>
      </c>
      <c r="AQ55" s="174"/>
      <c r="AR55" s="231" t="str">
        <f>IF(Input!AD56="","",IF(F55&lt;&gt;"",Input!AD56,""))</f>
        <v/>
      </c>
      <c r="AS55" s="179" t="str">
        <f>IF(F55="","",IF(Input!AE56="Error","Error",IF(ISNUMBER(Input!AE56),(Input!AE56*$AS$4),"")))</f>
        <v/>
      </c>
      <c r="AT55" s="331" t="str">
        <f>IF(V55="D","DRP",
IF(F55&lt;&gt;"",
IF(OR(AF55="Error",AP55="Error",AS55="Error"),"Error",
IF(Input!AD56="","-",ROUND(AF55+AP55+AS55,2))),""))</f>
        <v/>
      </c>
      <c r="AU55" s="180" t="str">
        <f>IF(F55&lt;&gt;"",VLOOKUP(AT55,TRANSMUTATION!$A$2:$B$14,2),"")</f>
        <v/>
      </c>
      <c r="AV55" s="232" t="str">
        <f t="shared" si="1"/>
        <v/>
      </c>
      <c r="AW55" s="182"/>
      <c r="AX55" s="98"/>
      <c r="AY55" s="98"/>
      <c r="AZ55" s="98"/>
      <c r="BA55" s="97"/>
    </row>
    <row r="56" spans="1:53" ht="15" customHeight="1" x14ac:dyDescent="0.2">
      <c r="A56" s="97"/>
      <c r="C56" s="194">
        <v>50</v>
      </c>
      <c r="D56" s="203" t="str">
        <f>IF(Input!D57&lt;&gt;"",IF(F56&lt;&gt;"",Input!D57,""),"")</f>
        <v/>
      </c>
      <c r="E56" s="297"/>
      <c r="F56" s="298" t="str">
        <f>(IF(Input!F57&lt;&gt;"",Input!F57,""))</f>
        <v/>
      </c>
      <c r="G56" s="333"/>
      <c r="H56" s="333"/>
      <c r="I56" s="333"/>
      <c r="J56" s="333"/>
      <c r="K56" s="333"/>
      <c r="L56" s="333"/>
      <c r="M56" s="333"/>
      <c r="N56" s="333"/>
      <c r="O56" s="333"/>
      <c r="P56" s="333"/>
      <c r="Q56" s="333"/>
      <c r="R56" s="333"/>
      <c r="S56" s="333"/>
      <c r="T56" s="333"/>
      <c r="U56" s="333"/>
      <c r="V56" s="337"/>
      <c r="W56" s="173"/>
      <c r="X56" s="309" t="str">
        <f>IF(F56&lt;&gt;"",IF(Input!T57&lt;&gt;"",Input!T57,""),"")</f>
        <v/>
      </c>
      <c r="Y56" s="449" t="str">
        <f>IFERROR(IF($X$5="","",IF(F56&lt;&gt;"",(Input!T57/Input!$T$6)*100,"")),"NA")</f>
        <v/>
      </c>
      <c r="Z56" s="310" t="str">
        <f>IF(F56&lt;&gt;"",IF(Input!U57&lt;&gt;"",Input!U57,""),"")</f>
        <v/>
      </c>
      <c r="AA56" s="449" t="str">
        <f>IFERROR(IF($Z$5="","",IF(F56&lt;&gt;"",(Input!U57/Input!$U$6)*100,"")),"NA")</f>
        <v/>
      </c>
      <c r="AB56" s="310" t="str">
        <f>IF(F56&lt;&gt;"",IF(Input!V57&lt;&gt;"",Input!V57,""),"")</f>
        <v/>
      </c>
      <c r="AC56" s="449" t="str">
        <f>IFERROR(IF($AB$5="","",IF(F56&lt;&gt;"",(Input!V57/Input!$V$6)*100,"")),"NA")</f>
        <v/>
      </c>
      <c r="AD56" s="310" t="str">
        <f>IF(F56&lt;&gt;"",IF(Input!W57&lt;&gt;"",Input!W57,""),"")</f>
        <v/>
      </c>
      <c r="AE56" s="449" t="str">
        <f>IFERROR(IF($AD$5="","",IF(F56&lt;&gt;"",(Input!W57/Input!$W$6)*100,"")),"NA")</f>
        <v/>
      </c>
      <c r="AF56" s="108" t="str">
        <f>IF(Input!X57="Error","Error",IF(F56="","",IF($X$5="",0,IF(F56&lt;&gt;"",IFERROR(AVERAGE(Y56,AA56,AC56,AE56)*$AF$4,0),""))))</f>
        <v/>
      </c>
      <c r="AG56" s="174"/>
      <c r="AH56" s="175" t="str">
        <f>IF(F56&lt;&gt;"",IF(Input!Y57&lt;&gt;"",Input!Y57,""),"")</f>
        <v/>
      </c>
      <c r="AI56" s="451" t="str">
        <f>IFERROR(IF($AH$5="","",IF(F56&lt;&gt;"",(Input!Y57/Input!$Y$6)*100,"")),"NA")</f>
        <v/>
      </c>
      <c r="AJ56" s="176" t="str">
        <f>IF(F56&lt;&gt;"",IF(Input!Z57&lt;&gt;"",Input!Z57,""),"")</f>
        <v/>
      </c>
      <c r="AK56" s="451" t="str">
        <f>IFERROR(IF($AJ$5="","",IF(F56&lt;&gt;"",(Input!Z57/Input!$Z$6)*100,"")),"NA")</f>
        <v/>
      </c>
      <c r="AL56" s="176" t="str">
        <f>IF(F56&lt;&gt;"",IF(Input!AA57&lt;&gt;"",Input!AA57,""),"")</f>
        <v/>
      </c>
      <c r="AM56" s="451" t="str">
        <f>IFERROR(IF($AL$5="","",IF(F56&lt;&gt;"",(Input!AA57/Input!$AA$6)*100,"")),"NA")</f>
        <v/>
      </c>
      <c r="AN56" s="177" t="str">
        <f>IF(F56&lt;&gt;"",IF(Input!AB57&lt;&gt;"",Input!AB57,""),"")</f>
        <v/>
      </c>
      <c r="AO56" s="451" t="str">
        <f>IFERROR(IF($AN$5="","",IF(F56&lt;&gt;"",(Input!AB57/Input!$AB$6)*100,"")),"NA")</f>
        <v/>
      </c>
      <c r="AP56" s="303" t="str">
        <f>IF(Input!AC57="Error","Error",IF(F56="","",IF($AH$5="",0,IF(F56&lt;&gt;"",IFERROR(AVERAGE(AI56,AK56,AM56,AO56)*$AP$4,0),""))))</f>
        <v/>
      </c>
      <c r="AQ56" s="174"/>
      <c r="AR56" s="231" t="str">
        <f>IF(Input!AD57="","",IF(F56&lt;&gt;"",Input!AD57,""))</f>
        <v/>
      </c>
      <c r="AS56" s="179" t="str">
        <f>IF(F56="","",IF(Input!AE57="Error","Error",IF(ISNUMBER(Input!AE57),(Input!AE57*$AS$4),"")))</f>
        <v/>
      </c>
      <c r="AT56" s="331" t="str">
        <f>IF(V56="D","DRP",
IF(F56&lt;&gt;"",
IF(OR(AF56="Error",AP56="Error",AS56="Error"),"Error",
IF(Input!AD57="","-",ROUND(AF56+AP56+AS56,2))),""))</f>
        <v/>
      </c>
      <c r="AU56" s="180" t="str">
        <f>IF(F56&lt;&gt;"",VLOOKUP(AT56,TRANSMUTATION!$A$2:$B$14,2),"")</f>
        <v/>
      </c>
      <c r="AV56" s="232" t="str">
        <f t="shared" si="1"/>
        <v/>
      </c>
      <c r="AW56" s="182"/>
      <c r="AX56" s="98"/>
      <c r="AY56" s="98"/>
      <c r="AZ56" s="98"/>
      <c r="BA56" s="97"/>
    </row>
    <row r="57" spans="1:53" ht="15" customHeight="1" x14ac:dyDescent="0.2">
      <c r="A57" s="97"/>
      <c r="C57" s="194">
        <v>51</v>
      </c>
      <c r="D57" s="203" t="str">
        <f>IF(Input!D58&lt;&gt;"",IF(F57&lt;&gt;"",Input!D58,""),"")</f>
        <v/>
      </c>
      <c r="E57" s="297"/>
      <c r="F57" s="298" t="str">
        <f>(IF(Input!F58&lt;&gt;"",Input!F58,""))</f>
        <v/>
      </c>
      <c r="G57" s="333"/>
      <c r="H57" s="333"/>
      <c r="I57" s="333"/>
      <c r="J57" s="333"/>
      <c r="K57" s="333"/>
      <c r="L57" s="333"/>
      <c r="M57" s="333"/>
      <c r="N57" s="333"/>
      <c r="O57" s="333"/>
      <c r="P57" s="333"/>
      <c r="Q57" s="333"/>
      <c r="R57" s="333"/>
      <c r="S57" s="333"/>
      <c r="T57" s="333"/>
      <c r="U57" s="333"/>
      <c r="V57" s="338"/>
      <c r="W57" s="173"/>
      <c r="X57" s="309" t="str">
        <f>IF(F57&lt;&gt;"",IF(Input!T58&lt;&gt;"",Input!T58,""),"")</f>
        <v/>
      </c>
      <c r="Y57" s="449" t="str">
        <f>IFERROR(IF($X$5="","",IF(F57&lt;&gt;"",(Input!T58/Input!$T$6)*100,"")),"NA")</f>
        <v/>
      </c>
      <c r="Z57" s="310" t="str">
        <f>IF(F57&lt;&gt;"",IF(Input!U58&lt;&gt;"",Input!U58,""),"")</f>
        <v/>
      </c>
      <c r="AA57" s="449" t="str">
        <f>IFERROR(IF($Z$5="","",IF(F57&lt;&gt;"",(Input!U58/Input!$U$6)*100,"")),"NA")</f>
        <v/>
      </c>
      <c r="AB57" s="310" t="str">
        <f>IF(F57&lt;&gt;"",IF(Input!V58&lt;&gt;"",Input!V58,""),"")</f>
        <v/>
      </c>
      <c r="AC57" s="449" t="str">
        <f>IFERROR(IF($AB$5="","",IF(F57&lt;&gt;"",(Input!V58/Input!$V$6)*100,"")),"NA")</f>
        <v/>
      </c>
      <c r="AD57" s="310" t="str">
        <f>IF(F57&lt;&gt;"",IF(Input!W58&lt;&gt;"",Input!W58,""),"")</f>
        <v/>
      </c>
      <c r="AE57" s="449" t="str">
        <f>IFERROR(IF($AD$5="","",IF(F57&lt;&gt;"",(Input!W58/Input!$W$6)*100,"")),"NA")</f>
        <v/>
      </c>
      <c r="AF57" s="108" t="str">
        <f>IF(Input!X58="Error","Error",IF(F57="","",IF($X$5="",0,IF(F57&lt;&gt;"",IFERROR(AVERAGE(Y57,AA57,AC57,AE57)*$AF$4,0),""))))</f>
        <v/>
      </c>
      <c r="AG57" s="174"/>
      <c r="AH57" s="175" t="str">
        <f>IF(F57&lt;&gt;"",IF(Input!Y58&lt;&gt;"",Input!Y58,""),"")</f>
        <v/>
      </c>
      <c r="AI57" s="451" t="str">
        <f>IFERROR(IF($AH$5="","",IF(F57&lt;&gt;"",(Input!Y58/Input!$Y$6)*100,"")),"NA")</f>
        <v/>
      </c>
      <c r="AJ57" s="176" t="str">
        <f>IF(F57&lt;&gt;"",IF(Input!Z58&lt;&gt;"",Input!Z58,""),"")</f>
        <v/>
      </c>
      <c r="AK57" s="451" t="str">
        <f>IFERROR(IF($AJ$5="","",IF(F57&lt;&gt;"",(Input!Z58/Input!$Z$6)*100,"")),"NA")</f>
        <v/>
      </c>
      <c r="AL57" s="176" t="str">
        <f>IF(F57&lt;&gt;"",IF(Input!AA58&lt;&gt;"",Input!AA58,""),"")</f>
        <v/>
      </c>
      <c r="AM57" s="451" t="str">
        <f>IFERROR(IF($AL$5="","",IF(F57&lt;&gt;"",(Input!AA58/Input!$AA$6)*100,"")),"NA")</f>
        <v/>
      </c>
      <c r="AN57" s="177" t="str">
        <f>IF(F57&lt;&gt;"",IF(Input!AB58&lt;&gt;"",Input!AB58,""),"")</f>
        <v/>
      </c>
      <c r="AO57" s="451" t="str">
        <f>IFERROR(IF($AN$5="","",IF(F57&lt;&gt;"",(Input!AB58/Input!$AB$6)*100,"")),"NA")</f>
        <v/>
      </c>
      <c r="AP57" s="303" t="str">
        <f>IF(Input!AC58="Error","Error",IF(F57="","",IF($AH$5="",0,IF(F57&lt;&gt;"",IFERROR(AVERAGE(AI57,AK57,AM57,AO57)*$AP$4,0),""))))</f>
        <v/>
      </c>
      <c r="AQ57" s="174"/>
      <c r="AR57" s="231" t="str">
        <f>IF(Input!AD58="","",IF(F57&lt;&gt;"",Input!AD58,""))</f>
        <v/>
      </c>
      <c r="AS57" s="179" t="str">
        <f>IF(F57="","",IF(Input!AE58="Error","Error",IF(ISNUMBER(Input!AE58),(Input!AE58*$AS$4),"")))</f>
        <v/>
      </c>
      <c r="AT57" s="331" t="str">
        <f>IF(V57="D","DRP",
IF(F57&lt;&gt;"",
IF(OR(AF57="Error",AP57="Error",AS57="Error"),"Error",
IF(Input!AD58="","-",ROUND(AF57+AP57+AS57,2))),""))</f>
        <v/>
      </c>
      <c r="AU57" s="180" t="str">
        <f>IF(F57&lt;&gt;"",VLOOKUP(AT57,TRANSMUTATION!$A$2:$B$14,2),"")</f>
        <v/>
      </c>
      <c r="AV57" s="232" t="str">
        <f t="shared" si="1"/>
        <v/>
      </c>
      <c r="AW57" s="182"/>
      <c r="AX57" s="98"/>
      <c r="AY57" s="98"/>
      <c r="AZ57" s="98"/>
      <c r="BA57" s="97"/>
    </row>
    <row r="58" spans="1:53" ht="15" customHeight="1" x14ac:dyDescent="0.2">
      <c r="A58" s="97"/>
      <c r="C58" s="194">
        <v>52</v>
      </c>
      <c r="D58" s="203" t="str">
        <f>IF(Input!D59&lt;&gt;"",IF(F58&lt;&gt;"",Input!D59,""),"")</f>
        <v/>
      </c>
      <c r="E58" s="297"/>
      <c r="F58" s="298" t="str">
        <f>(IF(Input!F59&lt;&gt;"",Input!F59,""))</f>
        <v/>
      </c>
      <c r="G58" s="333"/>
      <c r="H58" s="333"/>
      <c r="I58" s="333"/>
      <c r="J58" s="333"/>
      <c r="K58" s="333"/>
      <c r="L58" s="333"/>
      <c r="M58" s="333"/>
      <c r="N58" s="333"/>
      <c r="O58" s="333"/>
      <c r="P58" s="333"/>
      <c r="Q58" s="333"/>
      <c r="R58" s="333"/>
      <c r="S58" s="333"/>
      <c r="T58" s="333"/>
      <c r="U58" s="333"/>
      <c r="V58" s="336"/>
      <c r="W58" s="173"/>
      <c r="X58" s="309" t="str">
        <f>IF(F58&lt;&gt;"",IF(Input!T59&lt;&gt;"",Input!T59,""),"")</f>
        <v/>
      </c>
      <c r="Y58" s="449" t="str">
        <f>IFERROR(IF($X$5="","",IF(F58&lt;&gt;"",(Input!T59/Input!$T$6)*100,"")),"NA")</f>
        <v/>
      </c>
      <c r="Z58" s="310" t="str">
        <f>IF(F58&lt;&gt;"",IF(Input!U59&lt;&gt;"",Input!U59,""),"")</f>
        <v/>
      </c>
      <c r="AA58" s="449" t="str">
        <f>IFERROR(IF($Z$5="","",IF(F58&lt;&gt;"",(Input!U59/Input!$U$6)*100,"")),"NA")</f>
        <v/>
      </c>
      <c r="AB58" s="310" t="str">
        <f>IF(F58&lt;&gt;"",IF(Input!V59&lt;&gt;"",Input!V59,""),"")</f>
        <v/>
      </c>
      <c r="AC58" s="449" t="str">
        <f>IFERROR(IF($AB$5="","",IF(F58&lt;&gt;"",(Input!V59/Input!$V$6)*100,"")),"NA")</f>
        <v/>
      </c>
      <c r="AD58" s="310" t="str">
        <f>IF(F58&lt;&gt;"",IF(Input!W59&lt;&gt;"",Input!W59,""),"")</f>
        <v/>
      </c>
      <c r="AE58" s="449" t="str">
        <f>IFERROR(IF($AD$5="","",IF(F58&lt;&gt;"",(Input!W59/Input!$W$6)*100,"")),"NA")</f>
        <v/>
      </c>
      <c r="AF58" s="108" t="str">
        <f>IF(Input!X59="Error","Error",IF(F58="","",IF($X$5="",0,IF(F58&lt;&gt;"",IFERROR(AVERAGE(Y58,AA58,AC58,AE58)*$AF$4,0),""))))</f>
        <v/>
      </c>
      <c r="AG58" s="174"/>
      <c r="AH58" s="175" t="str">
        <f>IF(F58&lt;&gt;"",IF(Input!Y59&lt;&gt;"",Input!Y59,""),"")</f>
        <v/>
      </c>
      <c r="AI58" s="451" t="str">
        <f>IFERROR(IF($AH$5="","",IF(F58&lt;&gt;"",(Input!Y59/Input!$Y$6)*100,"")),"NA")</f>
        <v/>
      </c>
      <c r="AJ58" s="176" t="str">
        <f>IF(F58&lt;&gt;"",IF(Input!Z59&lt;&gt;"",Input!Z59,""),"")</f>
        <v/>
      </c>
      <c r="AK58" s="451" t="str">
        <f>IFERROR(IF($AJ$5="","",IF(F58&lt;&gt;"",(Input!Z59/Input!$Z$6)*100,"")),"NA")</f>
        <v/>
      </c>
      <c r="AL58" s="176" t="str">
        <f>IF(F58&lt;&gt;"",IF(Input!AA59&lt;&gt;"",Input!AA59,""),"")</f>
        <v/>
      </c>
      <c r="AM58" s="451" t="str">
        <f>IFERROR(IF($AL$5="","",IF(F58&lt;&gt;"",(Input!AA59/Input!$AA$6)*100,"")),"NA")</f>
        <v/>
      </c>
      <c r="AN58" s="177" t="str">
        <f>IF(F58&lt;&gt;"",IF(Input!AB59&lt;&gt;"",Input!AB59,""),"")</f>
        <v/>
      </c>
      <c r="AO58" s="451" t="str">
        <f>IFERROR(IF($AN$5="","",IF(F58&lt;&gt;"",(Input!AB59/Input!$AB$6)*100,"")),"NA")</f>
        <v/>
      </c>
      <c r="AP58" s="303" t="str">
        <f>IF(Input!AC59="Error","Error",IF(F58="","",IF($AH$5="",0,IF(F58&lt;&gt;"",IFERROR(AVERAGE(AI58,AK58,AM58,AO58)*$AP$4,0),""))))</f>
        <v/>
      </c>
      <c r="AQ58" s="174"/>
      <c r="AR58" s="231" t="str">
        <f>IF(Input!AD59="","",IF(F58&lt;&gt;"",Input!AD59,""))</f>
        <v/>
      </c>
      <c r="AS58" s="179" t="str">
        <f>IF(F58="","",IF(Input!AE59="Error","Error",IF(ISNUMBER(Input!AE59),(Input!AE59*$AS$4),"")))</f>
        <v/>
      </c>
      <c r="AT58" s="331" t="str">
        <f>IF(V58="D","DRP",
IF(F58&lt;&gt;"",
IF(OR(AF58="Error",AP58="Error",AS58="Error"),"Error",
IF(Input!AD59="","-",ROUND(AF58+AP58+AS58,2))),""))</f>
        <v/>
      </c>
      <c r="AU58" s="180" t="str">
        <f>IF(F58&lt;&gt;"",VLOOKUP(AT58,TRANSMUTATION!$A$2:$B$14,2),"")</f>
        <v/>
      </c>
      <c r="AV58" s="232" t="str">
        <f t="shared" si="1"/>
        <v/>
      </c>
      <c r="AW58" s="182"/>
      <c r="AX58" s="98"/>
      <c r="AY58" s="98"/>
      <c r="AZ58" s="98"/>
      <c r="BA58" s="97"/>
    </row>
    <row r="59" spans="1:53" ht="15" customHeight="1" x14ac:dyDescent="0.2">
      <c r="A59" s="97"/>
      <c r="C59" s="194">
        <v>53</v>
      </c>
      <c r="D59" s="203" t="str">
        <f>IF(Input!D60&lt;&gt;"",IF(F59&lt;&gt;"",Input!D60,""),"")</f>
        <v/>
      </c>
      <c r="E59" s="297"/>
      <c r="F59" s="298" t="str">
        <f>(IF(Input!F60&lt;&gt;"",Input!F60,""))</f>
        <v/>
      </c>
      <c r="G59" s="333"/>
      <c r="H59" s="333"/>
      <c r="I59" s="333"/>
      <c r="J59" s="333"/>
      <c r="K59" s="333"/>
      <c r="L59" s="333"/>
      <c r="M59" s="333"/>
      <c r="N59" s="333"/>
      <c r="O59" s="333"/>
      <c r="P59" s="333"/>
      <c r="Q59" s="333"/>
      <c r="R59" s="333"/>
      <c r="S59" s="333"/>
      <c r="T59" s="333"/>
      <c r="U59" s="333"/>
      <c r="V59" s="336"/>
      <c r="W59" s="173"/>
      <c r="X59" s="309" t="str">
        <f>IF(F59&lt;&gt;"",IF(Input!T60&lt;&gt;"",Input!T60,""),"")</f>
        <v/>
      </c>
      <c r="Y59" s="449" t="str">
        <f>IFERROR(IF($X$5="","",IF(F59&lt;&gt;"",(Input!T60/Input!$T$6)*100,"")),"NA")</f>
        <v/>
      </c>
      <c r="Z59" s="310" t="str">
        <f>IF(F59&lt;&gt;"",IF(Input!U60&lt;&gt;"",Input!U60,""),"")</f>
        <v/>
      </c>
      <c r="AA59" s="449" t="str">
        <f>IFERROR(IF($Z$5="","",IF(F59&lt;&gt;"",(Input!U60/Input!$U$6)*100,"")),"NA")</f>
        <v/>
      </c>
      <c r="AB59" s="310" t="str">
        <f>IF(F59&lt;&gt;"",IF(Input!V60&lt;&gt;"",Input!V60,""),"")</f>
        <v/>
      </c>
      <c r="AC59" s="449" t="str">
        <f>IFERROR(IF($AB$5="","",IF(F59&lt;&gt;"",(Input!V60/Input!$V$6)*100,"")),"NA")</f>
        <v/>
      </c>
      <c r="AD59" s="310" t="str">
        <f>IF(F59&lt;&gt;"",IF(Input!W60&lt;&gt;"",Input!W60,""),"")</f>
        <v/>
      </c>
      <c r="AE59" s="449" t="str">
        <f>IFERROR(IF($AD$5="","",IF(F59&lt;&gt;"",(Input!W60/Input!$W$6)*100,"")),"NA")</f>
        <v/>
      </c>
      <c r="AF59" s="108" t="str">
        <f>IF(Input!X60="Error","Error",IF(F59="","",IF($X$5="",0,IF(F59&lt;&gt;"",IFERROR(AVERAGE(Y59,AA59,AC59,AE59)*$AF$4,0),""))))</f>
        <v/>
      </c>
      <c r="AG59" s="174"/>
      <c r="AH59" s="175" t="str">
        <f>IF(F59&lt;&gt;"",IF(Input!Y60&lt;&gt;"",Input!Y60,""),"")</f>
        <v/>
      </c>
      <c r="AI59" s="451" t="str">
        <f>IFERROR(IF($AH$5="","",IF(F59&lt;&gt;"",(Input!Y60/Input!$Y$6)*100,"")),"NA")</f>
        <v/>
      </c>
      <c r="AJ59" s="176" t="str">
        <f>IF(F59&lt;&gt;"",IF(Input!Z60&lt;&gt;"",Input!Z60,""),"")</f>
        <v/>
      </c>
      <c r="AK59" s="451" t="str">
        <f>IFERROR(IF($AJ$5="","",IF(F59&lt;&gt;"",(Input!Z60/Input!$Z$6)*100,"")),"NA")</f>
        <v/>
      </c>
      <c r="AL59" s="176" t="str">
        <f>IF(F59&lt;&gt;"",IF(Input!AA60&lt;&gt;"",Input!AA60,""),"")</f>
        <v/>
      </c>
      <c r="AM59" s="451" t="str">
        <f>IFERROR(IF($AL$5="","",IF(F59&lt;&gt;"",(Input!AA60/Input!$AA$6)*100,"")),"NA")</f>
        <v/>
      </c>
      <c r="AN59" s="177" t="str">
        <f>IF(F59&lt;&gt;"",IF(Input!AB60&lt;&gt;"",Input!AB60,""),"")</f>
        <v/>
      </c>
      <c r="AO59" s="451" t="str">
        <f>IFERROR(IF($AN$5="","",IF(F59&lt;&gt;"",(Input!AB60/Input!$AB$6)*100,"")),"NA")</f>
        <v/>
      </c>
      <c r="AP59" s="303" t="str">
        <f>IF(Input!AC60="Error","Error",IF(F59="","",IF($AH$5="",0,IF(F59&lt;&gt;"",IFERROR(AVERAGE(AI59,AK59,AM59,AO59)*$AP$4,0),""))))</f>
        <v/>
      </c>
      <c r="AQ59" s="174"/>
      <c r="AR59" s="231" t="str">
        <f>IF(Input!AD60="","",IF(F59&lt;&gt;"",Input!AD60,""))</f>
        <v/>
      </c>
      <c r="AS59" s="179" t="str">
        <f>IF(F59="","",IF(Input!AE60="Error","Error",IF(ISNUMBER(Input!AE60),(Input!AE60*$AS$4),"")))</f>
        <v/>
      </c>
      <c r="AT59" s="331" t="str">
        <f>IF(V59="D","DRP",
IF(F59&lt;&gt;"",
IF(OR(AF59="Error",AP59="Error",AS59="Error"),"Error",
IF(Input!AD60="","-",ROUND(AF59+AP59+AS59,2))),""))</f>
        <v/>
      </c>
      <c r="AU59" s="180" t="str">
        <f>IF(F59&lt;&gt;"",VLOOKUP(AT59,TRANSMUTATION!$A$2:$B$14,2),"")</f>
        <v/>
      </c>
      <c r="AV59" s="232" t="str">
        <f t="shared" si="1"/>
        <v/>
      </c>
      <c r="AW59" s="182"/>
      <c r="AX59" s="98"/>
      <c r="AY59" s="98"/>
      <c r="AZ59" s="98"/>
      <c r="BA59" s="97"/>
    </row>
    <row r="60" spans="1:53" ht="15" customHeight="1" x14ac:dyDescent="0.2">
      <c r="A60" s="97"/>
      <c r="C60" s="194">
        <v>54</v>
      </c>
      <c r="D60" s="203" t="str">
        <f>IF(Input!D61&lt;&gt;"",IF(F60&lt;&gt;"",Input!D61,""),"")</f>
        <v/>
      </c>
      <c r="E60" s="297"/>
      <c r="F60" s="298" t="str">
        <f>(IF(Input!F61&lt;&gt;"",Input!F61,""))</f>
        <v/>
      </c>
      <c r="G60" s="333"/>
      <c r="H60" s="333"/>
      <c r="I60" s="333"/>
      <c r="J60" s="333"/>
      <c r="K60" s="333"/>
      <c r="L60" s="333"/>
      <c r="M60" s="333"/>
      <c r="N60" s="333"/>
      <c r="O60" s="333"/>
      <c r="P60" s="333"/>
      <c r="Q60" s="333"/>
      <c r="R60" s="333"/>
      <c r="S60" s="333"/>
      <c r="T60" s="333"/>
      <c r="U60" s="333"/>
      <c r="V60" s="336"/>
      <c r="W60" s="173"/>
      <c r="X60" s="309" t="str">
        <f>IF(F60&lt;&gt;"",IF(Input!T61&lt;&gt;"",Input!T61,""),"")</f>
        <v/>
      </c>
      <c r="Y60" s="449" t="str">
        <f>IFERROR(IF($X$5="","",IF(F60&lt;&gt;"",(Input!T61/Input!$T$6)*100,"")),"NA")</f>
        <v/>
      </c>
      <c r="Z60" s="310" t="str">
        <f>IF(F60&lt;&gt;"",IF(Input!U61&lt;&gt;"",Input!U61,""),"")</f>
        <v/>
      </c>
      <c r="AA60" s="449" t="str">
        <f>IFERROR(IF($Z$5="","",IF(F60&lt;&gt;"",(Input!U61/Input!$U$6)*100,"")),"NA")</f>
        <v/>
      </c>
      <c r="AB60" s="310" t="str">
        <f>IF(F60&lt;&gt;"",IF(Input!V61&lt;&gt;"",Input!V61,""),"")</f>
        <v/>
      </c>
      <c r="AC60" s="449" t="str">
        <f>IFERROR(IF($AB$5="","",IF(F60&lt;&gt;"",(Input!V61/Input!$V$6)*100,"")),"NA")</f>
        <v/>
      </c>
      <c r="AD60" s="310" t="str">
        <f>IF(F60&lt;&gt;"",IF(Input!W61&lt;&gt;"",Input!W61,""),"")</f>
        <v/>
      </c>
      <c r="AE60" s="449" t="str">
        <f>IFERROR(IF($AD$5="","",IF(F60&lt;&gt;"",(Input!W61/Input!$W$6)*100,"")),"NA")</f>
        <v/>
      </c>
      <c r="AF60" s="108" t="str">
        <f>IF(Input!X61="Error","Error",IF(F60="","",IF($X$5="",0,IF(F60&lt;&gt;"",IFERROR(AVERAGE(Y60,AA60,AC60,AE60)*$AF$4,0),""))))</f>
        <v/>
      </c>
      <c r="AG60" s="174"/>
      <c r="AH60" s="175" t="str">
        <f>IF(F60&lt;&gt;"",IF(Input!Y61&lt;&gt;"",Input!Y61,""),"")</f>
        <v/>
      </c>
      <c r="AI60" s="451" t="str">
        <f>IFERROR(IF($AH$5="","",IF(F60&lt;&gt;"",(Input!Y61/Input!$Y$6)*100,"")),"NA")</f>
        <v/>
      </c>
      <c r="AJ60" s="176" t="str">
        <f>IF(F60&lt;&gt;"",IF(Input!Z61&lt;&gt;"",Input!Z61,""),"")</f>
        <v/>
      </c>
      <c r="AK60" s="451" t="str">
        <f>IFERROR(IF($AJ$5="","",IF(F60&lt;&gt;"",(Input!Z61/Input!$Z$6)*100,"")),"NA")</f>
        <v/>
      </c>
      <c r="AL60" s="176" t="str">
        <f>IF(F60&lt;&gt;"",IF(Input!AA61&lt;&gt;"",Input!AA61,""),"")</f>
        <v/>
      </c>
      <c r="AM60" s="451" t="str">
        <f>IFERROR(IF($AL$5="","",IF(F60&lt;&gt;"",(Input!AA61/Input!$AA$6)*100,"")),"NA")</f>
        <v/>
      </c>
      <c r="AN60" s="177" t="str">
        <f>IF(F60&lt;&gt;"",IF(Input!AB61&lt;&gt;"",Input!AB61,""),"")</f>
        <v/>
      </c>
      <c r="AO60" s="451" t="str">
        <f>IFERROR(IF($AN$5="","",IF(F60&lt;&gt;"",(Input!AB61/Input!$AB$6)*100,"")),"NA")</f>
        <v/>
      </c>
      <c r="AP60" s="303" t="str">
        <f>IF(Input!AC61="Error","Error",IF(F60="","",IF($AH$5="",0,IF(F60&lt;&gt;"",IFERROR(AVERAGE(AI60,AK60,AM60,AO60)*$AP$4,0),""))))</f>
        <v/>
      </c>
      <c r="AQ60" s="174"/>
      <c r="AR60" s="231" t="str">
        <f>IF(Input!AD61="","",IF(F60&lt;&gt;"",Input!AD61,""))</f>
        <v/>
      </c>
      <c r="AS60" s="179" t="str">
        <f>IF(F60="","",IF(Input!AE61="Error","Error",IF(ISNUMBER(Input!AE61),(Input!AE61*$AS$4),"")))</f>
        <v/>
      </c>
      <c r="AT60" s="331" t="str">
        <f>IF(V60="D","DRP",
IF(F60&lt;&gt;"",
IF(OR(AF60="Error",AP60="Error",AS60="Error"),"Error",
IF(Input!AD61="","-",ROUND(AF60+AP60+AS60,2))),""))</f>
        <v/>
      </c>
      <c r="AU60" s="180" t="str">
        <f>IF(F60&lt;&gt;"",VLOOKUP(AT60,TRANSMUTATION!$A$2:$B$14,2),"")</f>
        <v/>
      </c>
      <c r="AV60" s="232" t="str">
        <f t="shared" si="1"/>
        <v/>
      </c>
      <c r="AW60" s="182"/>
      <c r="AX60" s="98"/>
      <c r="AY60" s="98"/>
      <c r="AZ60" s="98"/>
      <c r="BA60" s="97"/>
    </row>
    <row r="61" spans="1:53" ht="15" customHeight="1" x14ac:dyDescent="0.2">
      <c r="A61" s="97"/>
      <c r="C61" s="194">
        <v>55</v>
      </c>
      <c r="D61" s="203" t="str">
        <f>IF(Input!D62&lt;&gt;"",IF(F61&lt;&gt;"",Input!D62,""),"")</f>
        <v/>
      </c>
      <c r="E61" s="297"/>
      <c r="F61" s="298" t="str">
        <f>(IF(Input!F62&lt;&gt;"",Input!F62,""))</f>
        <v/>
      </c>
      <c r="G61" s="333"/>
      <c r="H61" s="333"/>
      <c r="I61" s="333"/>
      <c r="J61" s="333"/>
      <c r="K61" s="333"/>
      <c r="L61" s="333"/>
      <c r="M61" s="333"/>
      <c r="N61" s="333"/>
      <c r="O61" s="333"/>
      <c r="P61" s="333"/>
      <c r="Q61" s="333"/>
      <c r="R61" s="333"/>
      <c r="S61" s="333"/>
      <c r="T61" s="333"/>
      <c r="U61" s="333"/>
      <c r="V61" s="336"/>
      <c r="W61" s="173"/>
      <c r="X61" s="309" t="str">
        <f>IF(F61&lt;&gt;"",IF(Input!T62&lt;&gt;"",Input!T62,""),"")</f>
        <v/>
      </c>
      <c r="Y61" s="449" t="str">
        <f>IFERROR(IF($X$5="","",IF(F61&lt;&gt;"",(Input!T62/Input!$T$6)*100,"")),"NA")</f>
        <v/>
      </c>
      <c r="Z61" s="310" t="str">
        <f>IF(F61&lt;&gt;"",IF(Input!U62&lt;&gt;"",Input!U62,""),"")</f>
        <v/>
      </c>
      <c r="AA61" s="449" t="str">
        <f>IFERROR(IF($Z$5="","",IF(F61&lt;&gt;"",(Input!U62/Input!$U$6)*100,"")),"NA")</f>
        <v/>
      </c>
      <c r="AB61" s="310" t="str">
        <f>IF(F61&lt;&gt;"",IF(Input!V62&lt;&gt;"",Input!V62,""),"")</f>
        <v/>
      </c>
      <c r="AC61" s="449" t="str">
        <f>IFERROR(IF($AB$5="","",IF(F61&lt;&gt;"",(Input!V62/Input!$V$6)*100,"")),"NA")</f>
        <v/>
      </c>
      <c r="AD61" s="310" t="str">
        <f>IF(F61&lt;&gt;"",IF(Input!W62&lt;&gt;"",Input!W62,""),"")</f>
        <v/>
      </c>
      <c r="AE61" s="449" t="str">
        <f>IFERROR(IF($AD$5="","",IF(F61&lt;&gt;"",(Input!W62/Input!$W$6)*100,"")),"NA")</f>
        <v/>
      </c>
      <c r="AF61" s="108" t="str">
        <f>IF(Input!X62="Error","Error",IF(F61="","",IF($X$5="",0,IF(F61&lt;&gt;"",IFERROR(AVERAGE(Y61,AA61,AC61,AE61)*$AF$4,0),""))))</f>
        <v/>
      </c>
      <c r="AG61" s="174"/>
      <c r="AH61" s="175" t="str">
        <f>IF(F61&lt;&gt;"",IF(Input!Y62&lt;&gt;"",Input!Y62,""),"")</f>
        <v/>
      </c>
      <c r="AI61" s="451" t="str">
        <f>IFERROR(IF($AH$5="","",IF(F61&lt;&gt;"",(Input!Y62/Input!$Y$6)*100,"")),"NA")</f>
        <v/>
      </c>
      <c r="AJ61" s="176" t="str">
        <f>IF(F61&lt;&gt;"",IF(Input!Z62&lt;&gt;"",Input!Z62,""),"")</f>
        <v/>
      </c>
      <c r="AK61" s="451" t="str">
        <f>IFERROR(IF($AJ$5="","",IF(F61&lt;&gt;"",(Input!Z62/Input!$Z$6)*100,"")),"NA")</f>
        <v/>
      </c>
      <c r="AL61" s="176" t="str">
        <f>IF(F61&lt;&gt;"",IF(Input!AA62&lt;&gt;"",Input!AA62,""),"")</f>
        <v/>
      </c>
      <c r="AM61" s="451" t="str">
        <f>IFERROR(IF($AL$5="","",IF(F61&lt;&gt;"",(Input!AA62/Input!$AA$6)*100,"")),"NA")</f>
        <v/>
      </c>
      <c r="AN61" s="177" t="str">
        <f>IF(F61&lt;&gt;"",IF(Input!AB62&lt;&gt;"",Input!AB62,""),"")</f>
        <v/>
      </c>
      <c r="AO61" s="451" t="str">
        <f>IFERROR(IF($AN$5="","",IF(F61&lt;&gt;"",(Input!AB62/Input!$AB$6)*100,"")),"NA")</f>
        <v/>
      </c>
      <c r="AP61" s="303" t="str">
        <f>IF(Input!AC62="Error","Error",IF(F61="","",IF($AH$5="",0,IF(F61&lt;&gt;"",IFERROR(AVERAGE(AI61,AK61,AM61,AO61)*$AP$4,0),""))))</f>
        <v/>
      </c>
      <c r="AQ61" s="174"/>
      <c r="AR61" s="231" t="str">
        <f>IF(Input!AD62="","",IF(F61&lt;&gt;"",Input!AD62,""))</f>
        <v/>
      </c>
      <c r="AS61" s="179" t="str">
        <f>IF(F61="","",IF(Input!AE62="Error","Error",IF(ISNUMBER(Input!AE62),(Input!AE62*$AS$4),"")))</f>
        <v/>
      </c>
      <c r="AT61" s="331" t="str">
        <f>IF(V61="D","DRP",
IF(F61&lt;&gt;"",
IF(OR(AF61="Error",AP61="Error",AS61="Error"),"Error",
IF(Input!AD62="","-",ROUND(AF61+AP61+AS61,2))),""))</f>
        <v/>
      </c>
      <c r="AU61" s="180" t="str">
        <f>IF(F61&lt;&gt;"",VLOOKUP(AT61,TRANSMUTATION!$A$2:$B$14,2),"")</f>
        <v/>
      </c>
      <c r="AV61" s="232" t="str">
        <f t="shared" si="1"/>
        <v/>
      </c>
      <c r="AW61" s="182"/>
      <c r="AX61" s="98"/>
      <c r="AY61" s="98"/>
      <c r="AZ61" s="98"/>
      <c r="BA61" s="97"/>
    </row>
    <row r="62" spans="1:53" ht="15" customHeight="1" x14ac:dyDescent="0.2">
      <c r="A62" s="97"/>
      <c r="C62" s="194">
        <v>56</v>
      </c>
      <c r="D62" s="203" t="str">
        <f>IF(Input!D63&lt;&gt;"",IF(F62&lt;&gt;"",Input!D63,""),"")</f>
        <v/>
      </c>
      <c r="E62" s="297"/>
      <c r="F62" s="298" t="str">
        <f>(IF(Input!F63&lt;&gt;"",Input!F63,""))</f>
        <v/>
      </c>
      <c r="G62" s="333"/>
      <c r="H62" s="333"/>
      <c r="I62" s="333"/>
      <c r="J62" s="333"/>
      <c r="K62" s="333"/>
      <c r="L62" s="333"/>
      <c r="M62" s="333"/>
      <c r="N62" s="333"/>
      <c r="O62" s="333"/>
      <c r="P62" s="333"/>
      <c r="Q62" s="333"/>
      <c r="R62" s="333"/>
      <c r="S62" s="333"/>
      <c r="T62" s="333"/>
      <c r="U62" s="333"/>
      <c r="V62" s="336"/>
      <c r="W62" s="173"/>
      <c r="X62" s="309" t="str">
        <f>IF(F62&lt;&gt;"",IF(Input!T63&lt;&gt;"",Input!T63,""),"")</f>
        <v/>
      </c>
      <c r="Y62" s="449" t="str">
        <f>IFERROR(IF($X$5="","",IF(F62&lt;&gt;"",(Input!T63/Input!$T$6)*100,"")),"NA")</f>
        <v/>
      </c>
      <c r="Z62" s="310" t="str">
        <f>IF(F62&lt;&gt;"",IF(Input!U63&lt;&gt;"",Input!U63,""),"")</f>
        <v/>
      </c>
      <c r="AA62" s="449" t="str">
        <f>IFERROR(IF($Z$5="","",IF(F62&lt;&gt;"",(Input!U63/Input!$U$6)*100,"")),"NA")</f>
        <v/>
      </c>
      <c r="AB62" s="310" t="str">
        <f>IF(F62&lt;&gt;"",IF(Input!V63&lt;&gt;"",Input!V63,""),"")</f>
        <v/>
      </c>
      <c r="AC62" s="449" t="str">
        <f>IFERROR(IF($AB$5="","",IF(F62&lt;&gt;"",(Input!V63/Input!$V$6)*100,"")),"NA")</f>
        <v/>
      </c>
      <c r="AD62" s="310" t="str">
        <f>IF(F62&lt;&gt;"",IF(Input!W63&lt;&gt;"",Input!W63,""),"")</f>
        <v/>
      </c>
      <c r="AE62" s="449" t="str">
        <f>IFERROR(IF($AD$5="","",IF(F62&lt;&gt;"",(Input!W63/Input!$W$6)*100,"")),"NA")</f>
        <v/>
      </c>
      <c r="AF62" s="108" t="str">
        <f>IF(Input!X63="Error","Error",IF(F62="","",IF($X$5="",0,IF(F62&lt;&gt;"",IFERROR(AVERAGE(Y62,AA62,AC62,AE62)*$AF$4,0),""))))</f>
        <v/>
      </c>
      <c r="AG62" s="174"/>
      <c r="AH62" s="175" t="str">
        <f>IF(F62&lt;&gt;"",IF(Input!Y63&lt;&gt;"",Input!Y63,""),"")</f>
        <v/>
      </c>
      <c r="AI62" s="451" t="str">
        <f>IFERROR(IF($AH$5="","",IF(F62&lt;&gt;"",(Input!Y63/Input!$Y$6)*100,"")),"NA")</f>
        <v/>
      </c>
      <c r="AJ62" s="176" t="str">
        <f>IF(F62&lt;&gt;"",IF(Input!Z63&lt;&gt;"",Input!Z63,""),"")</f>
        <v/>
      </c>
      <c r="AK62" s="451" t="str">
        <f>IFERROR(IF($AJ$5="","",IF(F62&lt;&gt;"",(Input!Z63/Input!$Z$6)*100,"")),"NA")</f>
        <v/>
      </c>
      <c r="AL62" s="176" t="str">
        <f>IF(F62&lt;&gt;"",IF(Input!AA63&lt;&gt;"",Input!AA63,""),"")</f>
        <v/>
      </c>
      <c r="AM62" s="451" t="str">
        <f>IFERROR(IF($AL$5="","",IF(F62&lt;&gt;"",(Input!AA63/Input!$AA$6)*100,"")),"NA")</f>
        <v/>
      </c>
      <c r="AN62" s="177" t="str">
        <f>IF(F62&lt;&gt;"",IF(Input!AB63&lt;&gt;"",Input!AB63,""),"")</f>
        <v/>
      </c>
      <c r="AO62" s="451" t="str">
        <f>IFERROR(IF($AN$5="","",IF(F62&lt;&gt;"",(Input!AB63/Input!$AB$6)*100,"")),"NA")</f>
        <v/>
      </c>
      <c r="AP62" s="303" t="str">
        <f>IF(Input!AC63="Error","Error",IF(F62="","",IF($AH$5="",0,IF(F62&lt;&gt;"",IFERROR(AVERAGE(AI62,AK62,AM62,AO62)*$AP$4,0),""))))</f>
        <v/>
      </c>
      <c r="AQ62" s="174"/>
      <c r="AR62" s="231" t="str">
        <f>IF(Input!AD63="","",IF(F62&lt;&gt;"",Input!AD63,""))</f>
        <v/>
      </c>
      <c r="AS62" s="179" t="str">
        <f>IF(F62="","",IF(Input!AE63="Error","Error",IF(ISNUMBER(Input!AE63),(Input!AE63*$AS$4),"")))</f>
        <v/>
      </c>
      <c r="AT62" s="331" t="str">
        <f>IF(V62="D","DRP",
IF(F62&lt;&gt;"",
IF(OR(AF62="Error",AP62="Error",AS62="Error"),"Error",
IF(Input!AD63="","-",ROUND(AF62+AP62+AS62,2))),""))</f>
        <v/>
      </c>
      <c r="AU62" s="180" t="str">
        <f>IF(F62&lt;&gt;"",VLOOKUP(AT62,TRANSMUTATION!$A$2:$B$14,2),"")</f>
        <v/>
      </c>
      <c r="AV62" s="232" t="str">
        <f t="shared" si="1"/>
        <v/>
      </c>
      <c r="AW62" s="182"/>
      <c r="AX62" s="98"/>
      <c r="AY62" s="98"/>
      <c r="AZ62" s="98"/>
      <c r="BA62" s="97"/>
    </row>
    <row r="63" spans="1:53" ht="15" customHeight="1" x14ac:dyDescent="0.2">
      <c r="A63" s="97"/>
      <c r="C63" s="194">
        <v>57</v>
      </c>
      <c r="D63" s="203" t="str">
        <f>IF(Input!D64&lt;&gt;"",IF(F63&lt;&gt;"",Input!D64,""),"")</f>
        <v/>
      </c>
      <c r="E63" s="297"/>
      <c r="F63" s="298" t="str">
        <f>(IF(Input!F64&lt;&gt;"",Input!F64,""))</f>
        <v/>
      </c>
      <c r="G63" s="333"/>
      <c r="H63" s="333"/>
      <c r="I63" s="333"/>
      <c r="J63" s="333"/>
      <c r="K63" s="333"/>
      <c r="L63" s="333"/>
      <c r="M63" s="333"/>
      <c r="N63" s="333"/>
      <c r="O63" s="333"/>
      <c r="P63" s="333"/>
      <c r="Q63" s="333"/>
      <c r="R63" s="333"/>
      <c r="S63" s="333"/>
      <c r="T63" s="333"/>
      <c r="U63" s="333"/>
      <c r="V63" s="336"/>
      <c r="W63" s="173"/>
      <c r="X63" s="309" t="str">
        <f>IF(F63&lt;&gt;"",IF(Input!T64&lt;&gt;"",Input!T64,""),"")</f>
        <v/>
      </c>
      <c r="Y63" s="449" t="str">
        <f>IFERROR(IF($X$5="","",IF(F63&lt;&gt;"",(Input!T64/Input!$T$6)*100,"")),"NA")</f>
        <v/>
      </c>
      <c r="Z63" s="310" t="str">
        <f>IF(F63&lt;&gt;"",IF(Input!U64&lt;&gt;"",Input!U64,""),"")</f>
        <v/>
      </c>
      <c r="AA63" s="449" t="str">
        <f>IFERROR(IF($Z$5="","",IF(F63&lt;&gt;"",(Input!U64/Input!$U$6)*100,"")),"NA")</f>
        <v/>
      </c>
      <c r="AB63" s="310" t="str">
        <f>IF(F63&lt;&gt;"",IF(Input!V64&lt;&gt;"",Input!V64,""),"")</f>
        <v/>
      </c>
      <c r="AC63" s="449" t="str">
        <f>IFERROR(IF($AB$5="","",IF(F63&lt;&gt;"",(Input!V64/Input!$V$6)*100,"")),"NA")</f>
        <v/>
      </c>
      <c r="AD63" s="310" t="str">
        <f>IF(F63&lt;&gt;"",IF(Input!W64&lt;&gt;"",Input!W64,""),"")</f>
        <v/>
      </c>
      <c r="AE63" s="449" t="str">
        <f>IFERROR(IF($AD$5="","",IF(F63&lt;&gt;"",(Input!W64/Input!$W$6)*100,"")),"NA")</f>
        <v/>
      </c>
      <c r="AF63" s="108" t="str">
        <f>IF(Input!X64="Error","Error",IF(F63="","",IF($X$5="",0,IF(F63&lt;&gt;"",IFERROR(AVERAGE(Y63,AA63,AC63,AE63)*$AF$4,0),""))))</f>
        <v/>
      </c>
      <c r="AG63" s="174"/>
      <c r="AH63" s="175" t="str">
        <f>IF(F63&lt;&gt;"",IF(Input!Y64&lt;&gt;"",Input!Y64,""),"")</f>
        <v/>
      </c>
      <c r="AI63" s="451" t="str">
        <f>IFERROR(IF($AH$5="","",IF(F63&lt;&gt;"",(Input!Y64/Input!$Y$6)*100,"")),"NA")</f>
        <v/>
      </c>
      <c r="AJ63" s="176" t="str">
        <f>IF(F63&lt;&gt;"",IF(Input!Z64&lt;&gt;"",Input!Z64,""),"")</f>
        <v/>
      </c>
      <c r="AK63" s="451" t="str">
        <f>IFERROR(IF($AJ$5="","",IF(F63&lt;&gt;"",(Input!Z64/Input!$Z$6)*100,"")),"NA")</f>
        <v/>
      </c>
      <c r="AL63" s="176" t="str">
        <f>IF(F63&lt;&gt;"",IF(Input!AA64&lt;&gt;"",Input!AA64,""),"")</f>
        <v/>
      </c>
      <c r="AM63" s="451" t="str">
        <f>IFERROR(IF($AL$5="","",IF(F63&lt;&gt;"",(Input!AA64/Input!$AA$6)*100,"")),"NA")</f>
        <v/>
      </c>
      <c r="AN63" s="177" t="str">
        <f>IF(F63&lt;&gt;"",IF(Input!AB64&lt;&gt;"",Input!AB64,""),"")</f>
        <v/>
      </c>
      <c r="AO63" s="451" t="str">
        <f>IFERROR(IF($AN$5="","",IF(F63&lt;&gt;"",(Input!AB64/Input!$AB$6)*100,"")),"NA")</f>
        <v/>
      </c>
      <c r="AP63" s="303" t="str">
        <f>IF(Input!AC64="Error","Error",IF(F63="","",IF($AH$5="",0,IF(F63&lt;&gt;"",IFERROR(AVERAGE(AI63,AK63,AM63,AO63)*$AP$4,0),""))))</f>
        <v/>
      </c>
      <c r="AQ63" s="174"/>
      <c r="AR63" s="231" t="str">
        <f>IF(Input!AD64="","",IF(F63&lt;&gt;"",Input!AD64,""))</f>
        <v/>
      </c>
      <c r="AS63" s="179" t="str">
        <f>IF(F63="","",IF(Input!AE64="Error","Error",IF(ISNUMBER(Input!AE64),(Input!AE64*$AS$4),"")))</f>
        <v/>
      </c>
      <c r="AT63" s="331" t="str">
        <f>IF(V63="D","DRP",
IF(F63&lt;&gt;"",
IF(OR(AF63="Error",AP63="Error",AS63="Error"),"Error",
IF(Input!AD64="","-",ROUND(AF63+AP63+AS63,2))),""))</f>
        <v/>
      </c>
      <c r="AU63" s="180" t="str">
        <f>IF(F63&lt;&gt;"",VLOOKUP(AT63,TRANSMUTATION!$A$2:$B$14,2),"")</f>
        <v/>
      </c>
      <c r="AV63" s="232" t="str">
        <f t="shared" si="1"/>
        <v/>
      </c>
      <c r="AW63" s="182"/>
      <c r="AX63" s="98"/>
      <c r="AY63" s="98"/>
      <c r="AZ63" s="98"/>
      <c r="BA63" s="97"/>
    </row>
    <row r="64" spans="1:53" ht="15" customHeight="1" x14ac:dyDescent="0.2">
      <c r="A64" s="97"/>
      <c r="C64" s="194">
        <v>58</v>
      </c>
      <c r="D64" s="203" t="str">
        <f>IF(Input!D65&lt;&gt;"",IF(F64&lt;&gt;"",Input!D65,""),"")</f>
        <v/>
      </c>
      <c r="E64" s="297"/>
      <c r="F64" s="298" t="str">
        <f>(IF(Input!F65&lt;&gt;"",Input!F65,""))</f>
        <v/>
      </c>
      <c r="G64" s="333"/>
      <c r="H64" s="333"/>
      <c r="I64" s="333"/>
      <c r="J64" s="333"/>
      <c r="K64" s="333"/>
      <c r="L64" s="333"/>
      <c r="M64" s="333"/>
      <c r="N64" s="333"/>
      <c r="O64" s="333"/>
      <c r="P64" s="333"/>
      <c r="Q64" s="333"/>
      <c r="R64" s="333"/>
      <c r="S64" s="333"/>
      <c r="T64" s="333"/>
      <c r="U64" s="333"/>
      <c r="V64" s="336"/>
      <c r="W64" s="173"/>
      <c r="X64" s="309" t="str">
        <f>IF(F64&lt;&gt;"",IF(Input!T65&lt;&gt;"",Input!T65,""),"")</f>
        <v/>
      </c>
      <c r="Y64" s="449" t="str">
        <f>IFERROR(IF($X$5="","",IF(F64&lt;&gt;"",(Input!T65/Input!$T$6)*100,"")),"NA")</f>
        <v/>
      </c>
      <c r="Z64" s="310" t="str">
        <f>IF(F64&lt;&gt;"",IF(Input!U65&lt;&gt;"",Input!U65,""),"")</f>
        <v/>
      </c>
      <c r="AA64" s="449" t="str">
        <f>IFERROR(IF($Z$5="","",IF(F64&lt;&gt;"",(Input!U65/Input!$U$6)*100,"")),"NA")</f>
        <v/>
      </c>
      <c r="AB64" s="310" t="str">
        <f>IF(F64&lt;&gt;"",IF(Input!V65&lt;&gt;"",Input!V65,""),"")</f>
        <v/>
      </c>
      <c r="AC64" s="449" t="str">
        <f>IFERROR(IF($AB$5="","",IF(F64&lt;&gt;"",(Input!V65/Input!$V$6)*100,"")),"NA")</f>
        <v/>
      </c>
      <c r="AD64" s="310" t="str">
        <f>IF(F64&lt;&gt;"",IF(Input!W65&lt;&gt;"",Input!W65,""),"")</f>
        <v/>
      </c>
      <c r="AE64" s="449" t="str">
        <f>IFERROR(IF($AD$5="","",IF(F64&lt;&gt;"",(Input!W65/Input!$W$6)*100,"")),"NA")</f>
        <v/>
      </c>
      <c r="AF64" s="108" t="str">
        <f>IF(Input!X65="Error","Error",IF(F64="","",IF($X$5="",0,IF(F64&lt;&gt;"",IFERROR(AVERAGE(Y64,AA64,AC64,AE64)*$AF$4,0),""))))</f>
        <v/>
      </c>
      <c r="AG64" s="174"/>
      <c r="AH64" s="175" t="str">
        <f>IF(F64&lt;&gt;"",IF(Input!Y65&lt;&gt;"",Input!Y65,""),"")</f>
        <v/>
      </c>
      <c r="AI64" s="451" t="str">
        <f>IFERROR(IF($AH$5="","",IF(F64&lt;&gt;"",(Input!Y65/Input!$Y$6)*100,"")),"NA")</f>
        <v/>
      </c>
      <c r="AJ64" s="176" t="str">
        <f>IF(F64&lt;&gt;"",IF(Input!Z65&lt;&gt;"",Input!Z65,""),"")</f>
        <v/>
      </c>
      <c r="AK64" s="451" t="str">
        <f>IFERROR(IF($AJ$5="","",IF(F64&lt;&gt;"",(Input!Z65/Input!$Z$6)*100,"")),"NA")</f>
        <v/>
      </c>
      <c r="AL64" s="176" t="str">
        <f>IF(F64&lt;&gt;"",IF(Input!AA65&lt;&gt;"",Input!AA65,""),"")</f>
        <v/>
      </c>
      <c r="AM64" s="451" t="str">
        <f>IFERROR(IF($AL$5="","",IF(F64&lt;&gt;"",(Input!AA65/Input!$AA$6)*100,"")),"NA")</f>
        <v/>
      </c>
      <c r="AN64" s="177" t="str">
        <f>IF(F64&lt;&gt;"",IF(Input!AB65&lt;&gt;"",Input!AB65,""),"")</f>
        <v/>
      </c>
      <c r="AO64" s="451" t="str">
        <f>IFERROR(IF($AN$5="","",IF(F64&lt;&gt;"",(Input!AB65/Input!$AB$6)*100,"")),"NA")</f>
        <v/>
      </c>
      <c r="AP64" s="303" t="str">
        <f>IF(Input!AC65="Error","Error",IF(F64="","",IF($AH$5="",0,IF(F64&lt;&gt;"",IFERROR(AVERAGE(AI64,AK64,AM64,AO64)*$AP$4,0),""))))</f>
        <v/>
      </c>
      <c r="AQ64" s="174"/>
      <c r="AR64" s="231" t="str">
        <f>IF(Input!AD65="","",IF(F64&lt;&gt;"",Input!AD65,""))</f>
        <v/>
      </c>
      <c r="AS64" s="179" t="str">
        <f>IF(F64="","",IF(Input!AE65="Error","Error",IF(ISNUMBER(Input!AE65),(Input!AE65*$AS$4),"")))</f>
        <v/>
      </c>
      <c r="AT64" s="331" t="str">
        <f>IF(V64="D","DRP",
IF(F64&lt;&gt;"",
IF(OR(AF64="Error",AP64="Error",AS64="Error"),"Error",
IF(Input!AD65="","-",ROUND(AF64+AP64+AS64,2))),""))</f>
        <v/>
      </c>
      <c r="AU64" s="180" t="str">
        <f>IF(F64&lt;&gt;"",VLOOKUP(AT64,TRANSMUTATION!$A$2:$B$14,2),"")</f>
        <v/>
      </c>
      <c r="AV64" s="232" t="str">
        <f t="shared" si="1"/>
        <v/>
      </c>
      <c r="AW64" s="182"/>
      <c r="AX64" s="98"/>
      <c r="AY64" s="98"/>
      <c r="AZ64" s="98"/>
      <c r="BA64" s="97"/>
    </row>
    <row r="65" spans="1:53" ht="15" customHeight="1" x14ac:dyDescent="0.2">
      <c r="A65" s="97"/>
      <c r="C65" s="194">
        <v>59</v>
      </c>
      <c r="D65" s="203" t="str">
        <f>IF(Input!D66&lt;&gt;"",IF(F65&lt;&gt;"",Input!D66,""),"")</f>
        <v/>
      </c>
      <c r="E65" s="297"/>
      <c r="F65" s="298" t="str">
        <f>(IF(Input!F66&lt;&gt;"",Input!F66,""))</f>
        <v/>
      </c>
      <c r="G65" s="333"/>
      <c r="H65" s="333"/>
      <c r="I65" s="333"/>
      <c r="J65" s="333"/>
      <c r="K65" s="333"/>
      <c r="L65" s="333"/>
      <c r="M65" s="333"/>
      <c r="N65" s="333"/>
      <c r="O65" s="333"/>
      <c r="P65" s="333"/>
      <c r="Q65" s="333"/>
      <c r="R65" s="333"/>
      <c r="S65" s="333"/>
      <c r="T65" s="333"/>
      <c r="U65" s="333"/>
      <c r="V65" s="336"/>
      <c r="W65" s="173"/>
      <c r="X65" s="309" t="str">
        <f>IF(F65&lt;&gt;"",IF(Input!T66&lt;&gt;"",Input!T66,""),"")</f>
        <v/>
      </c>
      <c r="Y65" s="449" t="str">
        <f>IFERROR(IF($X$5="","",IF(F65&lt;&gt;"",(Input!T66/Input!$T$6)*100,"")),"NA")</f>
        <v/>
      </c>
      <c r="Z65" s="310" t="str">
        <f>IF(F65&lt;&gt;"",IF(Input!U66&lt;&gt;"",Input!U66,""),"")</f>
        <v/>
      </c>
      <c r="AA65" s="449" t="str">
        <f>IFERROR(IF($Z$5="","",IF(F65&lt;&gt;"",(Input!U66/Input!$U$6)*100,"")),"NA")</f>
        <v/>
      </c>
      <c r="AB65" s="310" t="str">
        <f>IF(F65&lt;&gt;"",IF(Input!V66&lt;&gt;"",Input!V66,""),"")</f>
        <v/>
      </c>
      <c r="AC65" s="449" t="str">
        <f>IFERROR(IF($AB$5="","",IF(F65&lt;&gt;"",(Input!V66/Input!$V$6)*100,"")),"NA")</f>
        <v/>
      </c>
      <c r="AD65" s="310" t="str">
        <f>IF(F65&lt;&gt;"",IF(Input!W66&lt;&gt;"",Input!W66,""),"")</f>
        <v/>
      </c>
      <c r="AE65" s="449" t="str">
        <f>IFERROR(IF($AD$5="","",IF(F65&lt;&gt;"",(Input!W66/Input!$W$6)*100,"")),"NA")</f>
        <v/>
      </c>
      <c r="AF65" s="108" t="str">
        <f>IF(Input!X66="Error","Error",IF(F65="","",IF($X$5="",0,IF(F65&lt;&gt;"",IFERROR(AVERAGE(Y65,AA65,AC65,AE65)*$AF$4,0),""))))</f>
        <v/>
      </c>
      <c r="AG65" s="174"/>
      <c r="AH65" s="175" t="str">
        <f>IF(F65&lt;&gt;"",IF(Input!Y66&lt;&gt;"",Input!Y66,""),"")</f>
        <v/>
      </c>
      <c r="AI65" s="451" t="str">
        <f>IFERROR(IF($AH$5="","",IF(F65&lt;&gt;"",(Input!Y66/Input!$Y$6)*100,"")),"NA")</f>
        <v/>
      </c>
      <c r="AJ65" s="176" t="str">
        <f>IF(F65&lt;&gt;"",IF(Input!Z66&lt;&gt;"",Input!Z66,""),"")</f>
        <v/>
      </c>
      <c r="AK65" s="451" t="str">
        <f>IFERROR(IF($AJ$5="","",IF(F65&lt;&gt;"",(Input!Z66/Input!$Z$6)*100,"")),"NA")</f>
        <v/>
      </c>
      <c r="AL65" s="176" t="str">
        <f>IF(F65&lt;&gt;"",IF(Input!AA66&lt;&gt;"",Input!AA66,""),"")</f>
        <v/>
      </c>
      <c r="AM65" s="451" t="str">
        <f>IFERROR(IF($AL$5="","",IF(F65&lt;&gt;"",(Input!AA66/Input!$AA$6)*100,"")),"NA")</f>
        <v/>
      </c>
      <c r="AN65" s="177" t="str">
        <f>IF(F65&lt;&gt;"",IF(Input!AB66&lt;&gt;"",Input!AB66,""),"")</f>
        <v/>
      </c>
      <c r="AO65" s="451" t="str">
        <f>IFERROR(IF($AN$5="","",IF(F65&lt;&gt;"",(Input!AB66/Input!$AB$6)*100,"")),"NA")</f>
        <v/>
      </c>
      <c r="AP65" s="303" t="str">
        <f>IF(Input!AC66="Error","Error",IF(F65="","",IF($AH$5="",0,IF(F65&lt;&gt;"",IFERROR(AVERAGE(AI65,AK65,AM65,AO65)*$AP$4,0),""))))</f>
        <v/>
      </c>
      <c r="AQ65" s="174"/>
      <c r="AR65" s="231" t="str">
        <f>IF(Input!AD66="","",IF(F65&lt;&gt;"",Input!AD66,""))</f>
        <v/>
      </c>
      <c r="AS65" s="179" t="str">
        <f>IF(F65="","",IF(Input!AE66="Error","Error",IF(ISNUMBER(Input!AE66),(Input!AE66*$AS$4),"")))</f>
        <v/>
      </c>
      <c r="AT65" s="331" t="str">
        <f>IF(V65="D","DRP",
IF(F65&lt;&gt;"",
IF(OR(AF65="Error",AP65="Error",AS65="Error"),"Error",
IF(Input!AD66="","-",ROUND(AF65+AP65+AS65,2))),""))</f>
        <v/>
      </c>
      <c r="AU65" s="180" t="str">
        <f>IF(F65&lt;&gt;"",VLOOKUP(AT65,TRANSMUTATION!$A$2:$B$14,2),"")</f>
        <v/>
      </c>
      <c r="AV65" s="232" t="str">
        <f t="shared" si="1"/>
        <v/>
      </c>
      <c r="AW65" s="182"/>
      <c r="AX65" s="98"/>
      <c r="AY65" s="98"/>
      <c r="AZ65" s="98"/>
      <c r="BA65" s="97"/>
    </row>
    <row r="66" spans="1:53" ht="15" customHeight="1" thickBot="1" x14ac:dyDescent="0.25">
      <c r="A66" s="97"/>
      <c r="C66" s="195">
        <v>60</v>
      </c>
      <c r="D66" s="299" t="str">
        <f>IF(Input!D67&lt;&gt;"",IF(F66&lt;&gt;"",Input!D67,""),"")</f>
        <v/>
      </c>
      <c r="E66" s="300"/>
      <c r="F66" s="301" t="str">
        <f>(IF(Input!F67&lt;&gt;"",Input!F67,""))</f>
        <v/>
      </c>
      <c r="G66" s="335"/>
      <c r="H66" s="335"/>
      <c r="I66" s="335"/>
      <c r="J66" s="335"/>
      <c r="K66" s="335"/>
      <c r="L66" s="335"/>
      <c r="M66" s="335"/>
      <c r="N66" s="335"/>
      <c r="O66" s="335"/>
      <c r="P66" s="335"/>
      <c r="Q66" s="335"/>
      <c r="R66" s="335"/>
      <c r="S66" s="335"/>
      <c r="T66" s="335"/>
      <c r="U66" s="335"/>
      <c r="V66" s="339"/>
      <c r="W66" s="173"/>
      <c r="X66" s="311" t="str">
        <f>IF(F66&lt;&gt;"",IF(Input!T67&lt;&gt;"",Input!T67,""),"")</f>
        <v/>
      </c>
      <c r="Y66" s="450" t="str">
        <f>IFERROR(IF($X$5="","",IF(F66&lt;&gt;"",(Input!T67/Input!$T$6)*100,"")),"NA")</f>
        <v/>
      </c>
      <c r="Z66" s="312" t="str">
        <f>IF(F66&lt;&gt;"",IF(Input!U67&lt;&gt;"",Input!U67,""),"")</f>
        <v/>
      </c>
      <c r="AA66" s="450" t="str">
        <f>IFERROR(IF($Z$5="","",IF(F66&lt;&gt;"",(Input!U67/Input!$U$6)*100,"")),"NA")</f>
        <v/>
      </c>
      <c r="AB66" s="312" t="str">
        <f>IF(F66&lt;&gt;"",IF(Input!V67&lt;&gt;"",Input!V67,""),"")</f>
        <v/>
      </c>
      <c r="AC66" s="450" t="str">
        <f>IFERROR(IF($AB$5="","",IF(F66&lt;&gt;"",(Input!V67/Input!$V$6)*100,"")),"NA")</f>
        <v/>
      </c>
      <c r="AD66" s="312" t="str">
        <f>IF(F66&lt;&gt;"",IF(Input!W67&lt;&gt;"",Input!W67,""),"")</f>
        <v/>
      </c>
      <c r="AE66" s="450" t="str">
        <f>IFERROR(IF($AD$5="","",IF(F66&lt;&gt;"",(Input!W67/Input!$W$6)*100,"")),"NA")</f>
        <v/>
      </c>
      <c r="AF66" s="308" t="str">
        <f>IF(Input!X67="Error","Error",IF(F66="","",IF($X$5="",0,IF(F66&lt;&gt;"",IFERROR(AVERAGE(Y66,AA66,AC66,AE66)*$AF$4,0),""))))</f>
        <v/>
      </c>
      <c r="AG66" s="174"/>
      <c r="AH66" s="302" t="str">
        <f>IF(F66&lt;&gt;"",IF(Input!Y67&lt;&gt;"",Input!Y67,""),"")</f>
        <v/>
      </c>
      <c r="AI66" s="452" t="str">
        <f>IFERROR(IF($AH$5="","",IF(F66&lt;&gt;"",(Input!Y67/Input!$Y$6)*100,"")),"NA")</f>
        <v/>
      </c>
      <c r="AJ66" s="190" t="str">
        <f>IF(F66&lt;&gt;"",IF(Input!Z67&lt;&gt;"",Input!Z67,""),"")</f>
        <v/>
      </c>
      <c r="AK66" s="452" t="str">
        <f>IFERROR(IF($AJ$5="","",IF(F66&lt;&gt;"",(Input!Z67/Input!$Z$6)*100,"")),"NA")</f>
        <v/>
      </c>
      <c r="AL66" s="190" t="str">
        <f>IF(F66&lt;&gt;"",IF(Input!AA67&lt;&gt;"",Input!AA67,""),"")</f>
        <v/>
      </c>
      <c r="AM66" s="452" t="str">
        <f>IFERROR(IF($AL$5="","",IF(F66&lt;&gt;"",(Input!AA67/Input!$AA$6)*100,"")),"NA")</f>
        <v/>
      </c>
      <c r="AN66" s="191" t="str">
        <f>IF(F66&lt;&gt;"",IF(Input!AB67&lt;&gt;"",Input!AB67,""),"")</f>
        <v/>
      </c>
      <c r="AO66" s="452" t="str">
        <f>IFERROR(IF($AN$5="","",IF(F66&lt;&gt;"",(Input!AB67/Input!$AB$6)*100,"")),"NA")</f>
        <v/>
      </c>
      <c r="AP66" s="444" t="str">
        <f>IF(Input!AC67="Error","Error",IF(F66="","",IF($AH$5="",0,IF(F66&lt;&gt;"",IFERROR(AVERAGE(AI66,AK66,AM66,AO66)*$AP$4,0),""))))</f>
        <v/>
      </c>
      <c r="AQ66" s="174"/>
      <c r="AR66" s="233" t="str">
        <f>IF(Input!AD67="","",IF(F66&lt;&gt;"",Input!AD67,""))</f>
        <v/>
      </c>
      <c r="AS66" s="445" t="str">
        <f>IF(F66="","",IF(Input!AE67="Error","Error",IF(ISNUMBER(Input!AE67),(Input!AE67*$AS$4),"")))</f>
        <v/>
      </c>
      <c r="AT66" s="332" t="str">
        <f>IF(V66="D","DRP",
IF(F66&lt;&gt;"",
IF(OR(AF66="Error",AP66="Error",AS66="Error"),"Error",
IF(Input!AD67="","-",ROUND(AF66+AP66+AS66,2))),""))</f>
        <v/>
      </c>
      <c r="AU66" s="192" t="str">
        <f>IF(F66&lt;&gt;"",VLOOKUP(AT66,TRANSMUTATION!$A$2:$B$14,2),"")</f>
        <v/>
      </c>
      <c r="AV66" s="234" t="str">
        <f>IF(AU66="Inc","",IF(F66&lt;&gt;"",IF(OR(AU66="Drp",AU66="-"),"",RANK(AT66,$AT$7:$AT$66)),""))</f>
        <v/>
      </c>
      <c r="AW66" s="182"/>
      <c r="AX66" s="98"/>
      <c r="AY66" s="98"/>
      <c r="AZ66" s="98"/>
      <c r="BA66" s="97"/>
    </row>
    <row r="67" spans="1:53" s="99" customFormat="1" ht="21" hidden="1" customHeight="1" x14ac:dyDescent="0.2">
      <c r="A67" s="102"/>
      <c r="C67" s="208"/>
      <c r="D67" s="209"/>
      <c r="E67" s="209"/>
      <c r="F67" s="148"/>
      <c r="G67" s="210">
        <f t="shared" ref="G67:U67" si="2">COUNT(G7:G56)</f>
        <v>0</v>
      </c>
      <c r="H67" s="210">
        <f t="shared" si="2"/>
        <v>0</v>
      </c>
      <c r="I67" s="210">
        <f t="shared" si="2"/>
        <v>0</v>
      </c>
      <c r="J67" s="210">
        <f t="shared" si="2"/>
        <v>0</v>
      </c>
      <c r="K67" s="210">
        <f t="shared" si="2"/>
        <v>0</v>
      </c>
      <c r="L67" s="210">
        <f t="shared" si="2"/>
        <v>0</v>
      </c>
      <c r="M67" s="210">
        <f t="shared" si="2"/>
        <v>0</v>
      </c>
      <c r="N67" s="210">
        <f t="shared" si="2"/>
        <v>0</v>
      </c>
      <c r="O67" s="210">
        <f t="shared" si="2"/>
        <v>0</v>
      </c>
      <c r="P67" s="210">
        <f t="shared" si="2"/>
        <v>0</v>
      </c>
      <c r="Q67" s="210">
        <f t="shared" si="2"/>
        <v>0</v>
      </c>
      <c r="R67" s="210">
        <f t="shared" si="2"/>
        <v>0</v>
      </c>
      <c r="S67" s="210">
        <f t="shared" si="2"/>
        <v>0</v>
      </c>
      <c r="T67" s="210">
        <f t="shared" si="2"/>
        <v>0</v>
      </c>
      <c r="U67" s="210">
        <f t="shared" si="2"/>
        <v>0</v>
      </c>
      <c r="V67" s="211"/>
      <c r="W67" s="212"/>
      <c r="X67" s="208"/>
      <c r="AF67" s="213" t="str">
        <f>IF(F67="", "", IF(X67="Error", "Error", IF($X$5=0, 0, (X67/$X$5*100)*$AF$4)))</f>
        <v/>
      </c>
      <c r="AH67" s="598">
        <f>AVERAGE(AI7:AI56)</f>
        <v>42.352941176470587</v>
      </c>
      <c r="AI67" s="597"/>
      <c r="AJ67" s="596"/>
      <c r="AK67" s="597"/>
      <c r="AL67" s="214" t="str">
        <f>IF(F67&lt;&gt;"",IF(Input!AA68&lt;&gt;"",Input!AA68,""),"")</f>
        <v/>
      </c>
      <c r="AM67" s="141" t="str">
        <f>IF($AL$5="","",IF(F67&lt;&gt;"",(Input!AA68/Input!$AA$6)*100,""))</f>
        <v/>
      </c>
      <c r="AN67" s="596"/>
      <c r="AO67" s="597"/>
      <c r="AP67" s="215" t="str">
        <f>IF($AH$5="", "", IF(Input!AC68="Error", "Error", IF(F67&lt;&gt;"", AVERAGE(AI67,AK67,AM67,AO67)*$AP$4, "")))</f>
        <v/>
      </c>
      <c r="AQ67" s="131"/>
      <c r="AR67" s="216"/>
      <c r="AS67" s="217"/>
      <c r="AT67" s="218"/>
      <c r="AU67" s="219"/>
      <c r="AV67" s="219"/>
      <c r="AW67" s="148"/>
      <c r="AX67" s="148"/>
      <c r="AY67" s="148"/>
      <c r="AZ67" s="149"/>
      <c r="BA67" s="102"/>
    </row>
    <row r="68" spans="1:53" ht="15" customHeight="1" x14ac:dyDescent="0.2">
      <c r="A68" s="97"/>
      <c r="C68" s="99"/>
      <c r="D68" s="100"/>
      <c r="E68" s="100"/>
      <c r="F68" s="98"/>
      <c r="G68" s="168"/>
      <c r="H68" s="168"/>
      <c r="I68" s="168"/>
      <c r="J68" s="155"/>
      <c r="K68" s="155"/>
      <c r="L68" s="155"/>
      <c r="M68" s="155"/>
      <c r="N68" s="155"/>
      <c r="O68" s="155"/>
      <c r="P68" s="155"/>
      <c r="Q68" s="155"/>
      <c r="R68" s="155"/>
      <c r="S68" s="155"/>
      <c r="T68" s="155"/>
      <c r="U68" s="155"/>
      <c r="V68" s="155"/>
      <c r="W68" s="155"/>
      <c r="X68" s="99"/>
      <c r="Y68" s="99"/>
      <c r="Z68" s="99"/>
      <c r="AA68" s="99"/>
      <c r="AB68" s="99"/>
      <c r="AC68" s="99"/>
      <c r="AD68" s="99"/>
      <c r="AE68" s="99"/>
      <c r="AF68" s="99"/>
      <c r="AG68" s="99"/>
      <c r="AH68" s="99"/>
      <c r="AI68" s="99"/>
      <c r="AJ68" s="99"/>
      <c r="AK68" s="99"/>
      <c r="AL68" s="99"/>
      <c r="AM68" s="99"/>
      <c r="AN68" s="99"/>
      <c r="AO68" s="99"/>
      <c r="AP68" s="169"/>
      <c r="AQ68" s="99"/>
      <c r="AR68" s="170"/>
      <c r="AS68" s="171"/>
      <c r="AT68" s="172"/>
      <c r="AW68" s="98"/>
      <c r="AX68" s="98"/>
      <c r="AY68" s="98"/>
      <c r="AZ68" s="98"/>
      <c r="BA68" s="97"/>
    </row>
    <row r="69" spans="1:53" ht="9.9499999999999993" customHeight="1" x14ac:dyDescent="0.2">
      <c r="A69" s="97"/>
      <c r="B69" s="97"/>
      <c r="C69" s="102"/>
      <c r="D69" s="103"/>
      <c r="E69" s="103"/>
      <c r="F69" s="97"/>
      <c r="G69" s="161"/>
      <c r="H69" s="161"/>
      <c r="I69" s="161"/>
      <c r="J69" s="162"/>
      <c r="K69" s="162"/>
      <c r="L69" s="162"/>
      <c r="M69" s="162"/>
      <c r="N69" s="162"/>
      <c r="O69" s="162"/>
      <c r="P69" s="162"/>
      <c r="Q69" s="162"/>
      <c r="R69" s="162"/>
      <c r="S69" s="162"/>
      <c r="T69" s="162"/>
      <c r="U69" s="162"/>
      <c r="V69" s="162"/>
      <c r="W69" s="162"/>
      <c r="X69" s="102"/>
      <c r="Y69" s="102"/>
      <c r="Z69" s="102"/>
      <c r="AA69" s="102"/>
      <c r="AB69" s="102"/>
      <c r="AC69" s="102"/>
      <c r="AD69" s="102"/>
      <c r="AE69" s="102"/>
      <c r="AF69" s="102"/>
      <c r="AG69" s="102"/>
      <c r="AH69" s="102"/>
      <c r="AI69" s="102"/>
      <c r="AJ69" s="102"/>
      <c r="AK69" s="102"/>
      <c r="AL69" s="102"/>
      <c r="AM69" s="102"/>
      <c r="AN69" s="102"/>
      <c r="AO69" s="102"/>
      <c r="AP69" s="163"/>
      <c r="AQ69" s="102"/>
      <c r="AR69" s="164"/>
      <c r="AS69" s="165"/>
      <c r="AT69" s="166"/>
      <c r="AU69" s="167"/>
      <c r="AV69" s="221"/>
      <c r="AW69" s="97"/>
      <c r="AX69" s="97"/>
      <c r="AY69" s="97"/>
      <c r="AZ69" s="97"/>
      <c r="BA69" s="97"/>
    </row>
    <row r="70" spans="1:53" x14ac:dyDescent="0.2">
      <c r="C70" s="99"/>
      <c r="D70" s="100"/>
      <c r="E70" s="100"/>
      <c r="F70" s="98"/>
      <c r="G70" s="168"/>
      <c r="H70" s="168"/>
      <c r="I70" s="168"/>
      <c r="J70" s="155"/>
      <c r="K70" s="155"/>
      <c r="L70" s="155"/>
      <c r="M70" s="155"/>
      <c r="N70" s="155"/>
      <c r="O70" s="155"/>
      <c r="P70" s="155"/>
      <c r="Q70" s="155"/>
      <c r="R70" s="155"/>
      <c r="S70" s="155"/>
      <c r="T70" s="155"/>
      <c r="U70" s="155"/>
      <c r="V70" s="155"/>
      <c r="W70" s="155"/>
      <c r="X70" s="99"/>
      <c r="Y70" s="99"/>
      <c r="Z70" s="99"/>
      <c r="AA70" s="99"/>
      <c r="AB70" s="99"/>
      <c r="AC70" s="99"/>
      <c r="AD70" s="99"/>
      <c r="AE70" s="99"/>
      <c r="AF70" s="99"/>
      <c r="AG70" s="99"/>
      <c r="AH70" s="99"/>
      <c r="AI70" s="99"/>
      <c r="AJ70" s="99"/>
      <c r="AK70" s="99"/>
      <c r="AL70" s="99"/>
      <c r="AM70" s="99"/>
      <c r="AN70" s="99"/>
      <c r="AO70" s="99"/>
      <c r="AP70" s="169"/>
      <c r="AQ70" s="99"/>
      <c r="AR70" s="170"/>
      <c r="AS70" s="171"/>
      <c r="AT70" s="172"/>
      <c r="AW70" s="98"/>
      <c r="AX70" s="98"/>
      <c r="AY70" s="98"/>
      <c r="AZ70" s="98"/>
    </row>
    <row r="71" spans="1:53" x14ac:dyDescent="0.2">
      <c r="C71" s="99"/>
      <c r="D71" s="100"/>
      <c r="E71" s="100"/>
      <c r="F71" s="98"/>
      <c r="G71" s="168"/>
      <c r="H71" s="168"/>
      <c r="I71" s="168"/>
      <c r="J71" s="155"/>
      <c r="K71" s="155"/>
      <c r="L71" s="155"/>
      <c r="M71" s="155"/>
      <c r="N71" s="155"/>
      <c r="O71" s="155"/>
      <c r="P71" s="155"/>
      <c r="Q71" s="155"/>
      <c r="R71" s="155"/>
      <c r="S71" s="155"/>
      <c r="T71" s="155"/>
      <c r="U71" s="155"/>
      <c r="V71" s="155"/>
      <c r="W71" s="155"/>
      <c r="X71" s="99"/>
      <c r="Y71" s="99"/>
      <c r="Z71" s="99"/>
      <c r="AA71" s="99"/>
      <c r="AB71" s="99"/>
      <c r="AC71" s="99"/>
      <c r="AD71" s="99"/>
      <c r="AE71" s="99"/>
      <c r="AF71" s="99"/>
      <c r="AG71" s="99"/>
      <c r="AH71" s="99"/>
      <c r="AI71" s="99"/>
      <c r="AJ71" s="99"/>
      <c r="AK71" s="99"/>
      <c r="AL71" s="99"/>
      <c r="AM71" s="99"/>
      <c r="AN71" s="99"/>
      <c r="AO71" s="99"/>
      <c r="AP71" s="169"/>
      <c r="AQ71" s="99"/>
      <c r="AR71" s="170"/>
      <c r="AS71" s="171"/>
      <c r="AT71" s="172"/>
      <c r="AW71" s="98"/>
      <c r="AX71" s="98"/>
      <c r="AY71" s="98"/>
      <c r="AZ71" s="98"/>
    </row>
    <row r="72" spans="1:53" x14ac:dyDescent="0.2">
      <c r="C72" s="99"/>
      <c r="D72" s="100"/>
      <c r="E72" s="100"/>
      <c r="F72" s="98"/>
      <c r="G72" s="168"/>
      <c r="H72" s="168"/>
      <c r="I72" s="168"/>
      <c r="J72" s="155"/>
      <c r="K72" s="155"/>
      <c r="L72" s="155"/>
      <c r="M72" s="155"/>
      <c r="N72" s="155"/>
      <c r="O72" s="155"/>
      <c r="P72" s="155"/>
      <c r="Q72" s="155"/>
      <c r="R72" s="155"/>
      <c r="S72" s="155"/>
      <c r="T72" s="155"/>
      <c r="U72" s="155"/>
      <c r="V72" s="155"/>
      <c r="W72" s="155"/>
      <c r="X72" s="99"/>
      <c r="Y72" s="99"/>
      <c r="Z72" s="99"/>
      <c r="AA72" s="99"/>
      <c r="AB72" s="99"/>
      <c r="AC72" s="99"/>
      <c r="AD72" s="99"/>
      <c r="AE72" s="99"/>
      <c r="AF72" s="99"/>
      <c r="AG72" s="99"/>
      <c r="AH72" s="99"/>
      <c r="AI72" s="99"/>
      <c r="AJ72" s="99"/>
      <c r="AK72" s="99"/>
      <c r="AL72" s="99"/>
      <c r="AM72" s="99"/>
      <c r="AN72" s="99"/>
      <c r="AO72" s="99"/>
      <c r="AP72" s="169"/>
      <c r="AQ72" s="99"/>
      <c r="AR72" s="170"/>
      <c r="AS72" s="171"/>
      <c r="AT72" s="172"/>
      <c r="AW72" s="98"/>
      <c r="AX72" s="98"/>
      <c r="AY72" s="98"/>
      <c r="AZ72" s="98"/>
    </row>
    <row r="73" spans="1:53" x14ac:dyDescent="0.2">
      <c r="C73" s="99"/>
      <c r="D73" s="100"/>
      <c r="E73" s="100"/>
      <c r="F73" s="98"/>
      <c r="G73" s="168"/>
      <c r="H73" s="168"/>
      <c r="I73" s="168"/>
      <c r="J73" s="155"/>
      <c r="K73" s="155"/>
      <c r="L73" s="155"/>
      <c r="M73" s="155"/>
      <c r="N73" s="155"/>
      <c r="O73" s="155"/>
      <c r="P73" s="155"/>
      <c r="Q73" s="155"/>
      <c r="R73" s="155"/>
      <c r="S73" s="155"/>
      <c r="T73" s="155"/>
      <c r="U73" s="155"/>
      <c r="V73" s="155"/>
      <c r="W73" s="155"/>
      <c r="X73" s="99"/>
      <c r="Y73" s="99"/>
      <c r="Z73" s="99"/>
      <c r="AA73" s="99"/>
      <c r="AB73" s="99"/>
      <c r="AC73" s="99"/>
      <c r="AD73" s="99"/>
      <c r="AE73" s="99"/>
      <c r="AF73" s="99"/>
      <c r="AG73" s="99"/>
      <c r="AH73" s="99"/>
      <c r="AI73" s="99"/>
      <c r="AJ73" s="99"/>
      <c r="AK73" s="99"/>
      <c r="AL73" s="99"/>
      <c r="AM73" s="99"/>
      <c r="AN73" s="99"/>
      <c r="AO73" s="99"/>
      <c r="AP73" s="169"/>
      <c r="AQ73" s="99"/>
      <c r="AR73" s="170"/>
      <c r="AS73" s="171"/>
      <c r="AT73" s="172"/>
      <c r="AW73" s="98"/>
      <c r="AX73" s="98"/>
      <c r="AY73" s="98"/>
      <c r="AZ73" s="98"/>
    </row>
    <row r="74" spans="1:53" x14ac:dyDescent="0.2">
      <c r="C74" s="99"/>
      <c r="D74" s="100"/>
      <c r="E74" s="100"/>
      <c r="F74" s="98"/>
      <c r="G74" s="168"/>
      <c r="H74" s="168"/>
      <c r="I74" s="168"/>
      <c r="J74" s="155"/>
      <c r="K74" s="155"/>
      <c r="L74" s="155"/>
      <c r="M74" s="155"/>
      <c r="N74" s="155"/>
      <c r="O74" s="155"/>
      <c r="P74" s="155"/>
      <c r="Q74" s="155"/>
      <c r="R74" s="155"/>
      <c r="S74" s="155"/>
      <c r="T74" s="155"/>
      <c r="U74" s="155"/>
      <c r="V74" s="155"/>
      <c r="W74" s="155"/>
      <c r="X74" s="99"/>
      <c r="Y74" s="99"/>
      <c r="Z74" s="99"/>
      <c r="AA74" s="99"/>
      <c r="AB74" s="99"/>
      <c r="AC74" s="99"/>
      <c r="AD74" s="99"/>
      <c r="AE74" s="99"/>
      <c r="AF74" s="99"/>
      <c r="AG74" s="99"/>
      <c r="AH74" s="99"/>
      <c r="AI74" s="99"/>
      <c r="AJ74" s="99"/>
      <c r="AK74" s="99"/>
      <c r="AL74" s="99"/>
      <c r="AM74" s="99"/>
      <c r="AN74" s="99"/>
      <c r="AO74" s="99"/>
      <c r="AP74" s="169"/>
      <c r="AQ74" s="99"/>
      <c r="AR74" s="170"/>
      <c r="AS74" s="171"/>
      <c r="AT74" s="172"/>
      <c r="AW74" s="98"/>
      <c r="AX74" s="98"/>
      <c r="AY74" s="98"/>
      <c r="AZ74" s="98"/>
    </row>
    <row r="75" spans="1:53" x14ac:dyDescent="0.2">
      <c r="C75" s="99"/>
      <c r="D75" s="100"/>
      <c r="E75" s="100"/>
      <c r="F75" s="98"/>
      <c r="G75" s="168"/>
      <c r="H75" s="168"/>
      <c r="I75" s="168"/>
      <c r="J75" s="155"/>
      <c r="K75" s="155"/>
      <c r="L75" s="155"/>
      <c r="M75" s="155"/>
      <c r="N75" s="155"/>
      <c r="O75" s="155"/>
      <c r="P75" s="155"/>
      <c r="Q75" s="155"/>
      <c r="R75" s="155"/>
      <c r="S75" s="155"/>
      <c r="T75" s="155"/>
      <c r="U75" s="155"/>
      <c r="V75" s="155"/>
      <c r="W75" s="155"/>
      <c r="X75" s="99"/>
      <c r="Y75" s="99"/>
      <c r="Z75" s="99"/>
      <c r="AA75" s="99"/>
      <c r="AB75" s="99"/>
      <c r="AC75" s="99"/>
      <c r="AD75" s="99"/>
      <c r="AE75" s="99"/>
      <c r="AF75" s="99"/>
      <c r="AG75" s="99"/>
      <c r="AH75" s="99"/>
      <c r="AI75" s="99"/>
      <c r="AJ75" s="99"/>
      <c r="AK75" s="99"/>
      <c r="AL75" s="99"/>
      <c r="AM75" s="99"/>
      <c r="AN75" s="99"/>
      <c r="AO75" s="99"/>
      <c r="AP75" s="169"/>
      <c r="AQ75" s="99"/>
      <c r="AR75" s="170"/>
      <c r="AS75" s="171"/>
      <c r="AT75" s="172"/>
      <c r="AW75" s="98"/>
      <c r="AX75" s="98"/>
      <c r="AY75" s="98"/>
      <c r="AZ75" s="98"/>
    </row>
    <row r="76" spans="1:53" x14ac:dyDescent="0.2">
      <c r="C76" s="99"/>
      <c r="D76" s="100"/>
      <c r="E76" s="100"/>
      <c r="F76" s="98"/>
      <c r="G76" s="168"/>
      <c r="H76" s="168"/>
      <c r="I76" s="168"/>
      <c r="J76" s="155"/>
      <c r="K76" s="155"/>
      <c r="L76" s="155"/>
      <c r="M76" s="155"/>
      <c r="N76" s="155"/>
      <c r="O76" s="155"/>
      <c r="P76" s="155"/>
      <c r="Q76" s="155"/>
      <c r="R76" s="155"/>
      <c r="S76" s="155"/>
      <c r="T76" s="155"/>
      <c r="U76" s="155"/>
      <c r="V76" s="155"/>
      <c r="W76" s="155"/>
      <c r="X76" s="99"/>
      <c r="Y76" s="99"/>
      <c r="Z76" s="99"/>
      <c r="AA76" s="99"/>
      <c r="AB76" s="99"/>
      <c r="AC76" s="99"/>
      <c r="AD76" s="99"/>
      <c r="AE76" s="99"/>
      <c r="AF76" s="99"/>
      <c r="AG76" s="99"/>
      <c r="AH76" s="99"/>
      <c r="AI76" s="99"/>
      <c r="AJ76" s="99"/>
      <c r="AK76" s="99"/>
      <c r="AL76" s="99"/>
      <c r="AM76" s="99"/>
      <c r="AN76" s="99"/>
      <c r="AO76" s="99"/>
      <c r="AP76" s="169"/>
      <c r="AQ76" s="99"/>
      <c r="AR76" s="170"/>
      <c r="AS76" s="171"/>
      <c r="AT76" s="172"/>
      <c r="AW76" s="98"/>
      <c r="AX76" s="98"/>
      <c r="AY76" s="98"/>
      <c r="AZ76" s="98"/>
    </row>
    <row r="77" spans="1:53" x14ac:dyDescent="0.2">
      <c r="C77" s="99"/>
      <c r="D77" s="100"/>
      <c r="E77" s="100"/>
      <c r="F77" s="98"/>
      <c r="G77" s="168"/>
      <c r="H77" s="168"/>
      <c r="I77" s="168"/>
      <c r="J77" s="155"/>
      <c r="K77" s="155"/>
      <c r="L77" s="155"/>
      <c r="M77" s="155"/>
      <c r="N77" s="155"/>
      <c r="O77" s="155"/>
      <c r="P77" s="155"/>
      <c r="Q77" s="155"/>
      <c r="R77" s="155"/>
      <c r="S77" s="155"/>
      <c r="T77" s="155"/>
      <c r="U77" s="155"/>
      <c r="V77" s="155"/>
      <c r="W77" s="155"/>
      <c r="X77" s="99"/>
      <c r="Y77" s="99"/>
      <c r="Z77" s="99"/>
      <c r="AA77" s="99"/>
      <c r="AB77" s="99"/>
      <c r="AC77" s="99"/>
      <c r="AD77" s="99"/>
      <c r="AE77" s="99"/>
      <c r="AF77" s="99"/>
      <c r="AG77" s="99"/>
      <c r="AH77" s="99"/>
      <c r="AI77" s="99"/>
      <c r="AJ77" s="99"/>
      <c r="AK77" s="99"/>
      <c r="AL77" s="99"/>
      <c r="AM77" s="99"/>
      <c r="AN77" s="99"/>
      <c r="AO77" s="99"/>
      <c r="AP77" s="169"/>
      <c r="AQ77" s="99"/>
      <c r="AR77" s="170"/>
      <c r="AS77" s="171"/>
      <c r="AT77" s="172"/>
      <c r="AW77" s="98"/>
      <c r="AX77" s="98"/>
      <c r="AY77" s="98"/>
      <c r="AZ77" s="98"/>
    </row>
    <row r="78" spans="1:53" x14ac:dyDescent="0.2">
      <c r="C78" s="99"/>
      <c r="D78" s="100"/>
      <c r="E78" s="100"/>
      <c r="F78" s="98"/>
      <c r="G78" s="168"/>
      <c r="H78" s="168"/>
      <c r="I78" s="168"/>
      <c r="J78" s="155"/>
      <c r="K78" s="155"/>
      <c r="L78" s="155"/>
      <c r="M78" s="155"/>
      <c r="N78" s="155"/>
      <c r="O78" s="155"/>
      <c r="P78" s="155"/>
      <c r="Q78" s="155"/>
      <c r="R78" s="155"/>
      <c r="S78" s="155"/>
      <c r="T78" s="155"/>
      <c r="U78" s="155"/>
      <c r="V78" s="155"/>
      <c r="W78" s="155"/>
      <c r="X78" s="99"/>
      <c r="Y78" s="99"/>
      <c r="Z78" s="99"/>
      <c r="AA78" s="99"/>
      <c r="AB78" s="99"/>
      <c r="AC78" s="99"/>
      <c r="AD78" s="99"/>
      <c r="AE78" s="99"/>
      <c r="AF78" s="99"/>
      <c r="AG78" s="99"/>
      <c r="AH78" s="99"/>
      <c r="AI78" s="99"/>
      <c r="AJ78" s="99"/>
      <c r="AK78" s="99"/>
      <c r="AL78" s="99"/>
      <c r="AM78" s="99"/>
      <c r="AN78" s="99"/>
      <c r="AO78" s="99"/>
      <c r="AP78" s="169"/>
      <c r="AQ78" s="99"/>
      <c r="AR78" s="170"/>
      <c r="AS78" s="171"/>
      <c r="AT78" s="172"/>
      <c r="AW78" s="98"/>
      <c r="AX78" s="98"/>
      <c r="AY78" s="98"/>
      <c r="AZ78" s="98"/>
    </row>
    <row r="79" spans="1:53" x14ac:dyDescent="0.2">
      <c r="C79" s="99"/>
      <c r="D79" s="100"/>
      <c r="E79" s="100"/>
      <c r="F79" s="98"/>
      <c r="G79" s="168"/>
      <c r="H79" s="168"/>
      <c r="I79" s="168"/>
      <c r="J79" s="155"/>
      <c r="K79" s="155"/>
      <c r="L79" s="155"/>
      <c r="M79" s="155"/>
      <c r="N79" s="155"/>
      <c r="O79" s="155"/>
      <c r="P79" s="155"/>
      <c r="Q79" s="155"/>
      <c r="R79" s="155"/>
      <c r="S79" s="155"/>
      <c r="T79" s="155"/>
      <c r="U79" s="155"/>
      <c r="V79" s="155"/>
      <c r="W79" s="155"/>
      <c r="X79" s="99"/>
      <c r="Y79" s="99"/>
      <c r="Z79" s="99"/>
      <c r="AA79" s="99"/>
      <c r="AB79" s="99"/>
      <c r="AC79" s="99"/>
      <c r="AD79" s="99"/>
      <c r="AE79" s="99"/>
      <c r="AF79" s="99"/>
      <c r="AG79" s="99"/>
      <c r="AH79" s="99"/>
      <c r="AI79" s="99"/>
      <c r="AJ79" s="99"/>
      <c r="AK79" s="99"/>
      <c r="AL79" s="99"/>
      <c r="AM79" s="99"/>
      <c r="AN79" s="99"/>
      <c r="AO79" s="99"/>
      <c r="AP79" s="169"/>
      <c r="AQ79" s="99"/>
      <c r="AR79" s="170"/>
      <c r="AS79" s="171"/>
      <c r="AT79" s="172"/>
      <c r="AW79" s="98"/>
      <c r="AX79" s="98"/>
      <c r="AY79" s="98"/>
      <c r="AZ79" s="98"/>
    </row>
    <row r="80" spans="1:53" x14ac:dyDescent="0.2">
      <c r="C80" s="99"/>
      <c r="D80" s="100"/>
      <c r="E80" s="100"/>
      <c r="F80" s="98"/>
      <c r="G80" s="168"/>
      <c r="H80" s="168"/>
      <c r="I80" s="168"/>
      <c r="J80" s="155"/>
      <c r="K80" s="155"/>
      <c r="L80" s="155"/>
      <c r="M80" s="155"/>
      <c r="N80" s="155"/>
      <c r="O80" s="155"/>
      <c r="P80" s="155"/>
      <c r="Q80" s="155"/>
      <c r="R80" s="155"/>
      <c r="S80" s="155"/>
      <c r="T80" s="155"/>
      <c r="U80" s="155"/>
      <c r="V80" s="155"/>
      <c r="W80" s="155"/>
      <c r="X80" s="99"/>
      <c r="Y80" s="99"/>
      <c r="Z80" s="99"/>
      <c r="AA80" s="99"/>
      <c r="AB80" s="99"/>
      <c r="AC80" s="99"/>
      <c r="AD80" s="99"/>
      <c r="AE80" s="99"/>
      <c r="AF80" s="99"/>
      <c r="AG80" s="99"/>
      <c r="AH80" s="99"/>
      <c r="AI80" s="99"/>
      <c r="AJ80" s="99"/>
      <c r="AK80" s="99"/>
      <c r="AL80" s="99"/>
      <c r="AM80" s="99"/>
      <c r="AN80" s="99"/>
      <c r="AO80" s="99"/>
      <c r="AP80" s="169"/>
      <c r="AQ80" s="99"/>
      <c r="AR80" s="170"/>
      <c r="AS80" s="171"/>
      <c r="AT80" s="172"/>
      <c r="AW80" s="98"/>
      <c r="AX80" s="98"/>
      <c r="AY80" s="98"/>
      <c r="AZ80" s="98"/>
    </row>
    <row r="81" spans="3:52" x14ac:dyDescent="0.2">
      <c r="C81" s="99"/>
      <c r="D81" s="100"/>
      <c r="E81" s="100"/>
      <c r="F81" s="98"/>
      <c r="G81" s="168"/>
      <c r="H81" s="168"/>
      <c r="I81" s="168"/>
      <c r="J81" s="155"/>
      <c r="K81" s="155"/>
      <c r="L81" s="155"/>
      <c r="M81" s="155"/>
      <c r="N81" s="155"/>
      <c r="O81" s="155"/>
      <c r="P81" s="155"/>
      <c r="Q81" s="155"/>
      <c r="R81" s="155"/>
      <c r="S81" s="155"/>
      <c r="T81" s="155"/>
      <c r="U81" s="155"/>
      <c r="V81" s="155"/>
      <c r="W81" s="155"/>
      <c r="X81" s="99"/>
      <c r="Y81" s="99"/>
      <c r="Z81" s="99"/>
      <c r="AA81" s="99"/>
      <c r="AB81" s="99"/>
      <c r="AC81" s="99"/>
      <c r="AD81" s="99"/>
      <c r="AE81" s="99"/>
      <c r="AF81" s="99"/>
      <c r="AG81" s="99"/>
      <c r="AH81" s="99"/>
      <c r="AI81" s="99"/>
      <c r="AJ81" s="99"/>
      <c r="AK81" s="99"/>
      <c r="AL81" s="99"/>
      <c r="AM81" s="99"/>
      <c r="AN81" s="99"/>
      <c r="AO81" s="99"/>
      <c r="AP81" s="169"/>
      <c r="AQ81" s="99"/>
      <c r="AR81" s="170"/>
      <c r="AS81" s="171"/>
      <c r="AT81" s="172"/>
      <c r="AW81" s="98"/>
      <c r="AX81" s="98"/>
      <c r="AY81" s="98"/>
      <c r="AZ81" s="98"/>
    </row>
    <row r="82" spans="3:52" x14ac:dyDescent="0.2">
      <c r="C82" s="99"/>
      <c r="D82" s="100"/>
      <c r="E82" s="100"/>
      <c r="F82" s="98"/>
      <c r="G82" s="168"/>
      <c r="H82" s="168"/>
      <c r="I82" s="168"/>
      <c r="J82" s="155"/>
      <c r="K82" s="155"/>
      <c r="L82" s="155"/>
      <c r="M82" s="155"/>
      <c r="N82" s="155"/>
      <c r="O82" s="155"/>
      <c r="P82" s="155"/>
      <c r="Q82" s="155"/>
      <c r="R82" s="155"/>
      <c r="S82" s="155"/>
      <c r="T82" s="155"/>
      <c r="U82" s="155"/>
      <c r="V82" s="155"/>
      <c r="W82" s="155"/>
      <c r="X82" s="99"/>
      <c r="Y82" s="99"/>
      <c r="Z82" s="99"/>
      <c r="AA82" s="99"/>
      <c r="AB82" s="99"/>
      <c r="AC82" s="99"/>
      <c r="AD82" s="99"/>
      <c r="AE82" s="99"/>
      <c r="AF82" s="99"/>
      <c r="AG82" s="99"/>
      <c r="AH82" s="99"/>
      <c r="AI82" s="99"/>
      <c r="AJ82" s="99"/>
      <c r="AK82" s="99"/>
      <c r="AL82" s="99"/>
      <c r="AM82" s="99"/>
      <c r="AN82" s="99"/>
      <c r="AO82" s="99"/>
      <c r="AP82" s="169"/>
      <c r="AQ82" s="99"/>
      <c r="AR82" s="170"/>
      <c r="AS82" s="171"/>
      <c r="AT82" s="172"/>
      <c r="AW82" s="98"/>
      <c r="AX82" s="98"/>
      <c r="AY82" s="98"/>
      <c r="AZ82" s="98"/>
    </row>
    <row r="83" spans="3:52" x14ac:dyDescent="0.2">
      <c r="C83" s="99"/>
      <c r="D83" s="100"/>
      <c r="E83" s="100"/>
      <c r="F83" s="98"/>
      <c r="G83" s="168"/>
      <c r="H83" s="168"/>
      <c r="I83" s="168"/>
      <c r="J83" s="155"/>
      <c r="K83" s="155"/>
      <c r="L83" s="155"/>
      <c r="M83" s="155"/>
      <c r="N83" s="155"/>
      <c r="O83" s="155"/>
      <c r="P83" s="155"/>
      <c r="Q83" s="155"/>
      <c r="R83" s="155"/>
      <c r="S83" s="155"/>
      <c r="T83" s="155"/>
      <c r="U83" s="155"/>
      <c r="V83" s="155"/>
      <c r="W83" s="155"/>
      <c r="X83" s="99"/>
      <c r="Y83" s="99"/>
      <c r="Z83" s="99"/>
      <c r="AA83" s="99"/>
      <c r="AB83" s="99"/>
      <c r="AC83" s="99"/>
      <c r="AD83" s="99"/>
      <c r="AE83" s="99"/>
      <c r="AF83" s="99"/>
      <c r="AG83" s="99"/>
      <c r="AH83" s="99"/>
      <c r="AI83" s="99"/>
      <c r="AJ83" s="99"/>
      <c r="AK83" s="99"/>
      <c r="AL83" s="99"/>
      <c r="AM83" s="99"/>
      <c r="AN83" s="99"/>
      <c r="AO83" s="99"/>
      <c r="AP83" s="169"/>
      <c r="AQ83" s="99"/>
      <c r="AR83" s="170"/>
      <c r="AS83" s="171"/>
      <c r="AT83" s="172"/>
      <c r="AW83" s="98"/>
      <c r="AX83" s="98"/>
      <c r="AY83" s="98"/>
      <c r="AZ83" s="98"/>
    </row>
    <row r="84" spans="3:52" x14ac:dyDescent="0.2">
      <c r="C84" s="99"/>
      <c r="D84" s="100"/>
      <c r="E84" s="100"/>
      <c r="F84" s="98"/>
      <c r="G84" s="168"/>
      <c r="H84" s="168"/>
      <c r="I84" s="168"/>
      <c r="J84" s="155"/>
      <c r="K84" s="155"/>
      <c r="L84" s="155"/>
      <c r="M84" s="155"/>
      <c r="N84" s="155"/>
      <c r="O84" s="155"/>
      <c r="P84" s="155"/>
      <c r="Q84" s="155"/>
      <c r="R84" s="155"/>
      <c r="S84" s="155"/>
      <c r="T84" s="155"/>
      <c r="U84" s="155"/>
      <c r="V84" s="155"/>
      <c r="W84" s="155"/>
      <c r="X84" s="99"/>
      <c r="Y84" s="99"/>
      <c r="Z84" s="99"/>
      <c r="AA84" s="99"/>
      <c r="AB84" s="99"/>
      <c r="AC84" s="99"/>
      <c r="AD84" s="99"/>
      <c r="AE84" s="99"/>
      <c r="AF84" s="99"/>
      <c r="AG84" s="99"/>
      <c r="AH84" s="99"/>
      <c r="AI84" s="99"/>
      <c r="AJ84" s="99"/>
      <c r="AK84" s="99"/>
      <c r="AL84" s="99"/>
      <c r="AM84" s="99"/>
      <c r="AN84" s="99"/>
      <c r="AO84" s="99"/>
      <c r="AP84" s="169"/>
      <c r="AQ84" s="99"/>
      <c r="AR84" s="170"/>
      <c r="AS84" s="171"/>
      <c r="AT84" s="172"/>
      <c r="AW84" s="98"/>
      <c r="AX84" s="98"/>
      <c r="AY84" s="98"/>
      <c r="AZ84" s="98"/>
    </row>
    <row r="85" spans="3:52" x14ac:dyDescent="0.2">
      <c r="C85" s="99"/>
      <c r="D85" s="100"/>
      <c r="E85" s="100"/>
      <c r="F85" s="98"/>
      <c r="G85" s="168"/>
      <c r="H85" s="168"/>
      <c r="I85" s="168"/>
      <c r="J85" s="155"/>
      <c r="K85" s="155"/>
      <c r="L85" s="155"/>
      <c r="M85" s="155"/>
      <c r="N85" s="155"/>
      <c r="O85" s="155"/>
      <c r="P85" s="155"/>
      <c r="Q85" s="155"/>
      <c r="R85" s="155"/>
      <c r="S85" s="155"/>
      <c r="T85" s="155"/>
      <c r="U85" s="155"/>
      <c r="V85" s="155"/>
      <c r="W85" s="155"/>
      <c r="X85" s="99"/>
      <c r="Y85" s="99"/>
      <c r="Z85" s="99"/>
      <c r="AA85" s="99"/>
      <c r="AB85" s="99"/>
      <c r="AC85" s="99"/>
      <c r="AD85" s="99"/>
      <c r="AE85" s="99"/>
      <c r="AF85" s="99"/>
      <c r="AG85" s="99"/>
      <c r="AH85" s="99"/>
      <c r="AI85" s="99"/>
      <c r="AJ85" s="99"/>
      <c r="AK85" s="99"/>
      <c r="AL85" s="99"/>
      <c r="AM85" s="99"/>
      <c r="AN85" s="99"/>
      <c r="AO85" s="99"/>
      <c r="AP85" s="169"/>
      <c r="AQ85" s="99"/>
      <c r="AR85" s="170"/>
      <c r="AS85" s="171"/>
      <c r="AT85" s="172"/>
      <c r="AW85" s="98"/>
      <c r="AX85" s="98"/>
      <c r="AY85" s="98"/>
      <c r="AZ85" s="98"/>
    </row>
    <row r="86" spans="3:52" x14ac:dyDescent="0.2">
      <c r="C86" s="99"/>
      <c r="D86" s="100"/>
      <c r="E86" s="100"/>
      <c r="F86" s="98"/>
      <c r="G86" s="168"/>
      <c r="H86" s="168"/>
      <c r="I86" s="168"/>
      <c r="J86" s="155"/>
      <c r="K86" s="155"/>
      <c r="L86" s="155"/>
      <c r="M86" s="155"/>
      <c r="N86" s="155"/>
      <c r="O86" s="155"/>
      <c r="P86" s="155"/>
      <c r="Q86" s="155"/>
      <c r="R86" s="155"/>
      <c r="S86" s="155"/>
      <c r="T86" s="155"/>
      <c r="U86" s="155"/>
      <c r="V86" s="155"/>
      <c r="W86" s="155"/>
      <c r="X86" s="99"/>
      <c r="Y86" s="99"/>
      <c r="Z86" s="99"/>
      <c r="AA86" s="99"/>
      <c r="AB86" s="99"/>
      <c r="AC86" s="99"/>
      <c r="AD86" s="99"/>
      <c r="AE86" s="99"/>
      <c r="AF86" s="99"/>
      <c r="AG86" s="99"/>
      <c r="AH86" s="99"/>
      <c r="AI86" s="99"/>
      <c r="AJ86" s="99"/>
      <c r="AK86" s="99"/>
      <c r="AL86" s="99"/>
      <c r="AM86" s="99"/>
      <c r="AN86" s="99"/>
      <c r="AO86" s="99"/>
      <c r="AP86" s="169"/>
      <c r="AQ86" s="99"/>
      <c r="AR86" s="170"/>
      <c r="AS86" s="171"/>
      <c r="AT86" s="172"/>
      <c r="AW86" s="98"/>
      <c r="AX86" s="98"/>
      <c r="AY86" s="98"/>
      <c r="AZ86" s="98"/>
    </row>
    <row r="87" spans="3:52" x14ac:dyDescent="0.2">
      <c r="C87" s="99"/>
      <c r="D87" s="100"/>
      <c r="E87" s="100"/>
      <c r="F87" s="98"/>
      <c r="G87" s="168"/>
      <c r="H87" s="168"/>
      <c r="I87" s="168"/>
      <c r="J87" s="155"/>
      <c r="K87" s="155"/>
      <c r="L87" s="155"/>
      <c r="M87" s="155"/>
      <c r="N87" s="155"/>
      <c r="O87" s="155"/>
      <c r="P87" s="155"/>
      <c r="Q87" s="155"/>
      <c r="R87" s="155"/>
      <c r="S87" s="155"/>
      <c r="T87" s="155"/>
      <c r="U87" s="155"/>
      <c r="V87" s="155"/>
      <c r="W87" s="155"/>
      <c r="X87" s="99"/>
      <c r="Y87" s="99"/>
      <c r="Z87" s="99"/>
      <c r="AA87" s="99"/>
      <c r="AB87" s="99"/>
      <c r="AC87" s="99"/>
      <c r="AD87" s="99"/>
      <c r="AE87" s="99"/>
      <c r="AF87" s="99"/>
      <c r="AG87" s="99"/>
      <c r="AH87" s="99"/>
      <c r="AI87" s="99"/>
      <c r="AJ87" s="99"/>
      <c r="AK87" s="99"/>
      <c r="AL87" s="99"/>
      <c r="AM87" s="99"/>
      <c r="AN87" s="99"/>
      <c r="AO87" s="99"/>
      <c r="AP87" s="169"/>
      <c r="AQ87" s="99"/>
      <c r="AR87" s="170"/>
      <c r="AS87" s="171"/>
      <c r="AT87" s="172"/>
      <c r="AW87" s="98"/>
      <c r="AX87" s="98"/>
      <c r="AY87" s="98"/>
      <c r="AZ87" s="98"/>
    </row>
    <row r="88" spans="3:52" x14ac:dyDescent="0.2">
      <c r="C88" s="99"/>
      <c r="D88" s="100"/>
      <c r="E88" s="100"/>
      <c r="F88" s="98"/>
      <c r="G88" s="168"/>
      <c r="H88" s="168"/>
      <c r="I88" s="168"/>
      <c r="J88" s="155"/>
      <c r="K88" s="155"/>
      <c r="L88" s="155"/>
      <c r="M88" s="155"/>
      <c r="N88" s="155"/>
      <c r="O88" s="155"/>
      <c r="P88" s="155"/>
      <c r="Q88" s="155"/>
      <c r="R88" s="155"/>
      <c r="S88" s="155"/>
      <c r="T88" s="155"/>
      <c r="U88" s="155"/>
      <c r="V88" s="155"/>
      <c r="W88" s="155"/>
      <c r="X88" s="99"/>
      <c r="Y88" s="99"/>
      <c r="Z88" s="99"/>
      <c r="AA88" s="99"/>
      <c r="AB88" s="99"/>
      <c r="AC88" s="99"/>
      <c r="AD88" s="99"/>
      <c r="AE88" s="99"/>
      <c r="AF88" s="99"/>
      <c r="AG88" s="99"/>
      <c r="AH88" s="99"/>
      <c r="AI88" s="99"/>
      <c r="AJ88" s="99"/>
      <c r="AK88" s="99"/>
      <c r="AL88" s="99"/>
      <c r="AM88" s="99"/>
      <c r="AN88" s="99"/>
      <c r="AO88" s="99"/>
      <c r="AP88" s="169"/>
      <c r="AQ88" s="99"/>
      <c r="AR88" s="170"/>
      <c r="AS88" s="171"/>
      <c r="AT88" s="172"/>
      <c r="AW88" s="98"/>
      <c r="AX88" s="98"/>
      <c r="AY88" s="98"/>
      <c r="AZ88" s="98"/>
    </row>
    <row r="89" spans="3:52" x14ac:dyDescent="0.2">
      <c r="C89" s="99"/>
      <c r="D89" s="100"/>
      <c r="E89" s="100"/>
      <c r="F89" s="98"/>
      <c r="G89" s="168"/>
      <c r="H89" s="168"/>
      <c r="I89" s="168"/>
      <c r="J89" s="155"/>
      <c r="K89" s="155"/>
      <c r="L89" s="155"/>
      <c r="M89" s="155"/>
      <c r="N89" s="155"/>
      <c r="O89" s="155"/>
      <c r="P89" s="155"/>
      <c r="Q89" s="155"/>
      <c r="R89" s="155"/>
      <c r="S89" s="155"/>
      <c r="T89" s="155"/>
      <c r="U89" s="155"/>
      <c r="V89" s="155"/>
      <c r="W89" s="155"/>
      <c r="X89" s="99"/>
      <c r="Y89" s="99"/>
      <c r="Z89" s="99"/>
      <c r="AA89" s="99"/>
      <c r="AB89" s="99"/>
      <c r="AC89" s="99"/>
      <c r="AD89" s="99"/>
      <c r="AE89" s="99"/>
      <c r="AF89" s="99"/>
      <c r="AG89" s="99"/>
      <c r="AH89" s="99"/>
      <c r="AI89" s="99"/>
      <c r="AJ89" s="99"/>
      <c r="AK89" s="99"/>
      <c r="AL89" s="99"/>
      <c r="AM89" s="99"/>
      <c r="AN89" s="99"/>
      <c r="AO89" s="99"/>
      <c r="AP89" s="169"/>
      <c r="AQ89" s="99"/>
      <c r="AR89" s="170"/>
      <c r="AS89" s="171"/>
      <c r="AT89" s="172"/>
      <c r="AW89" s="98"/>
      <c r="AX89" s="98"/>
      <c r="AY89" s="98"/>
      <c r="AZ89" s="98"/>
    </row>
    <row r="90" spans="3:52" x14ac:dyDescent="0.2">
      <c r="C90" s="99"/>
      <c r="D90" s="100"/>
      <c r="E90" s="100"/>
      <c r="F90" s="98"/>
      <c r="G90" s="168"/>
      <c r="H90" s="168"/>
      <c r="I90" s="168"/>
      <c r="J90" s="155"/>
      <c r="K90" s="155"/>
      <c r="L90" s="155"/>
      <c r="M90" s="155"/>
      <c r="N90" s="155"/>
      <c r="O90" s="155"/>
      <c r="P90" s="155"/>
      <c r="Q90" s="155"/>
      <c r="R90" s="155"/>
      <c r="S90" s="155"/>
      <c r="T90" s="155"/>
      <c r="U90" s="155"/>
      <c r="V90" s="155"/>
      <c r="W90" s="155"/>
      <c r="X90" s="99"/>
      <c r="Y90" s="99"/>
      <c r="Z90" s="99"/>
      <c r="AA90" s="99"/>
      <c r="AB90" s="99"/>
      <c r="AC90" s="99"/>
      <c r="AD90" s="99"/>
      <c r="AE90" s="99"/>
      <c r="AF90" s="99"/>
      <c r="AG90" s="99"/>
      <c r="AH90" s="99"/>
      <c r="AI90" s="99"/>
      <c r="AJ90" s="99"/>
      <c r="AK90" s="99"/>
      <c r="AL90" s="99"/>
      <c r="AM90" s="99"/>
      <c r="AN90" s="99"/>
      <c r="AO90" s="99"/>
      <c r="AP90" s="169"/>
      <c r="AQ90" s="99"/>
      <c r="AR90" s="170"/>
      <c r="AS90" s="171"/>
      <c r="AT90" s="172"/>
      <c r="AW90" s="98"/>
      <c r="AX90" s="98"/>
      <c r="AY90" s="98"/>
      <c r="AZ90" s="98"/>
    </row>
    <row r="91" spans="3:52" x14ac:dyDescent="0.2">
      <c r="C91" s="99"/>
      <c r="D91" s="100"/>
      <c r="E91" s="100"/>
      <c r="F91" s="98"/>
      <c r="G91" s="168"/>
      <c r="H91" s="168"/>
      <c r="I91" s="168"/>
      <c r="J91" s="155"/>
      <c r="K91" s="155"/>
      <c r="L91" s="155"/>
      <c r="M91" s="155"/>
      <c r="N91" s="155"/>
      <c r="O91" s="155"/>
      <c r="P91" s="155"/>
      <c r="Q91" s="155"/>
      <c r="R91" s="155"/>
      <c r="S91" s="155"/>
      <c r="T91" s="155"/>
      <c r="U91" s="155"/>
      <c r="V91" s="155"/>
      <c r="W91" s="155"/>
      <c r="X91" s="99"/>
      <c r="Y91" s="99"/>
      <c r="Z91" s="99"/>
      <c r="AA91" s="99"/>
      <c r="AB91" s="99"/>
      <c r="AC91" s="99"/>
      <c r="AD91" s="99"/>
      <c r="AE91" s="99"/>
      <c r="AF91" s="99"/>
      <c r="AG91" s="99"/>
      <c r="AH91" s="99"/>
      <c r="AI91" s="99"/>
      <c r="AJ91" s="99"/>
      <c r="AK91" s="99"/>
      <c r="AL91" s="99"/>
      <c r="AM91" s="99"/>
      <c r="AN91" s="99"/>
      <c r="AO91" s="99"/>
      <c r="AP91" s="169"/>
      <c r="AQ91" s="99"/>
      <c r="AR91" s="170"/>
      <c r="AS91" s="171"/>
      <c r="AT91" s="172"/>
      <c r="AW91" s="98"/>
      <c r="AX91" s="98"/>
      <c r="AY91" s="98"/>
      <c r="AZ91" s="98"/>
    </row>
    <row r="92" spans="3:52" x14ac:dyDescent="0.2">
      <c r="C92" s="99"/>
      <c r="D92" s="100"/>
      <c r="E92" s="100"/>
      <c r="F92" s="98"/>
      <c r="G92" s="168"/>
      <c r="H92" s="168"/>
      <c r="I92" s="168"/>
      <c r="J92" s="155"/>
      <c r="K92" s="155"/>
      <c r="L92" s="155"/>
      <c r="M92" s="155"/>
      <c r="N92" s="155"/>
      <c r="O92" s="155"/>
      <c r="P92" s="155"/>
      <c r="Q92" s="155"/>
      <c r="R92" s="155"/>
      <c r="S92" s="155"/>
      <c r="T92" s="155"/>
      <c r="U92" s="155"/>
      <c r="V92" s="155"/>
      <c r="W92" s="155"/>
      <c r="X92" s="99"/>
      <c r="Y92" s="99"/>
      <c r="Z92" s="99"/>
      <c r="AA92" s="99"/>
      <c r="AB92" s="99"/>
      <c r="AC92" s="99"/>
      <c r="AD92" s="99"/>
      <c r="AE92" s="99"/>
      <c r="AF92" s="99"/>
      <c r="AG92" s="99"/>
      <c r="AH92" s="99"/>
      <c r="AI92" s="99"/>
      <c r="AJ92" s="99"/>
      <c r="AK92" s="99"/>
      <c r="AL92" s="99"/>
      <c r="AM92" s="99"/>
      <c r="AN92" s="99"/>
      <c r="AO92" s="99"/>
      <c r="AP92" s="169"/>
      <c r="AQ92" s="99"/>
      <c r="AR92" s="170"/>
      <c r="AS92" s="171"/>
      <c r="AT92" s="172"/>
      <c r="AW92" s="98"/>
      <c r="AX92" s="98"/>
      <c r="AY92" s="98"/>
      <c r="AZ92" s="98"/>
    </row>
    <row r="93" spans="3:52" x14ac:dyDescent="0.2">
      <c r="C93" s="99"/>
      <c r="D93" s="100"/>
      <c r="E93" s="100"/>
      <c r="F93" s="98"/>
      <c r="G93" s="168"/>
      <c r="H93" s="168"/>
      <c r="I93" s="168"/>
      <c r="J93" s="155"/>
      <c r="K93" s="155"/>
      <c r="L93" s="155"/>
      <c r="M93" s="155"/>
      <c r="N93" s="155"/>
      <c r="O93" s="155"/>
      <c r="P93" s="155"/>
      <c r="Q93" s="155"/>
      <c r="R93" s="155"/>
      <c r="S93" s="155"/>
      <c r="T93" s="155"/>
      <c r="U93" s="155"/>
      <c r="V93" s="155"/>
      <c r="W93" s="155"/>
      <c r="X93" s="99"/>
      <c r="Y93" s="99"/>
      <c r="Z93" s="99"/>
      <c r="AA93" s="99"/>
      <c r="AB93" s="99"/>
      <c r="AC93" s="99"/>
      <c r="AD93" s="99"/>
      <c r="AE93" s="99"/>
      <c r="AF93" s="99"/>
      <c r="AG93" s="99"/>
      <c r="AH93" s="99"/>
      <c r="AI93" s="99"/>
      <c r="AJ93" s="99"/>
      <c r="AK93" s="99"/>
      <c r="AL93" s="99"/>
      <c r="AM93" s="99"/>
      <c r="AN93" s="99"/>
      <c r="AO93" s="99"/>
      <c r="AP93" s="169"/>
      <c r="AQ93" s="99"/>
      <c r="AR93" s="170"/>
      <c r="AS93" s="171"/>
      <c r="AT93" s="172"/>
      <c r="AW93" s="98"/>
      <c r="AX93" s="98"/>
      <c r="AY93" s="98"/>
      <c r="AZ93" s="98"/>
    </row>
    <row r="94" spans="3:52" x14ac:dyDescent="0.2">
      <c r="C94" s="99"/>
      <c r="D94" s="100"/>
      <c r="E94" s="100"/>
      <c r="F94" s="98"/>
      <c r="G94" s="168"/>
      <c r="H94" s="168"/>
      <c r="I94" s="168"/>
      <c r="J94" s="155"/>
      <c r="K94" s="155"/>
      <c r="L94" s="155"/>
      <c r="M94" s="155"/>
      <c r="N94" s="155"/>
      <c r="O94" s="155"/>
      <c r="P94" s="155"/>
      <c r="Q94" s="155"/>
      <c r="R94" s="155"/>
      <c r="S94" s="155"/>
      <c r="T94" s="155"/>
      <c r="U94" s="155"/>
      <c r="V94" s="155"/>
      <c r="W94" s="155"/>
      <c r="X94" s="99"/>
      <c r="Y94" s="99"/>
      <c r="Z94" s="99"/>
      <c r="AA94" s="99"/>
      <c r="AB94" s="99"/>
      <c r="AC94" s="99"/>
      <c r="AD94" s="99"/>
      <c r="AE94" s="99"/>
      <c r="AF94" s="99"/>
      <c r="AG94" s="99"/>
      <c r="AH94" s="99"/>
      <c r="AI94" s="99"/>
      <c r="AJ94" s="99"/>
      <c r="AK94" s="99"/>
      <c r="AL94" s="99"/>
      <c r="AM94" s="99"/>
      <c r="AN94" s="99"/>
      <c r="AO94" s="99"/>
      <c r="AP94" s="169"/>
      <c r="AQ94" s="99"/>
      <c r="AR94" s="170"/>
      <c r="AS94" s="171"/>
      <c r="AT94" s="172"/>
      <c r="AW94" s="98"/>
      <c r="AX94" s="98"/>
      <c r="AY94" s="98"/>
      <c r="AZ94" s="98"/>
    </row>
    <row r="95" spans="3:52" x14ac:dyDescent="0.2">
      <c r="C95" s="99"/>
      <c r="D95" s="100"/>
      <c r="E95" s="100"/>
      <c r="F95" s="98"/>
      <c r="G95" s="168"/>
      <c r="H95" s="168"/>
      <c r="I95" s="168"/>
      <c r="J95" s="155"/>
      <c r="K95" s="155"/>
      <c r="L95" s="155"/>
      <c r="M95" s="155"/>
      <c r="N95" s="155"/>
      <c r="O95" s="155"/>
      <c r="P95" s="155"/>
      <c r="Q95" s="155"/>
      <c r="R95" s="155"/>
      <c r="S95" s="155"/>
      <c r="T95" s="155"/>
      <c r="U95" s="155"/>
      <c r="V95" s="155"/>
      <c r="W95" s="155"/>
      <c r="X95" s="99"/>
      <c r="Y95" s="99"/>
      <c r="Z95" s="99"/>
      <c r="AA95" s="99"/>
      <c r="AB95" s="99"/>
      <c r="AC95" s="99"/>
      <c r="AD95" s="99"/>
      <c r="AE95" s="99"/>
      <c r="AF95" s="99"/>
      <c r="AG95" s="99"/>
      <c r="AH95" s="99"/>
      <c r="AI95" s="99"/>
      <c r="AJ95" s="99"/>
      <c r="AK95" s="99"/>
      <c r="AL95" s="99"/>
      <c r="AM95" s="99"/>
      <c r="AN95" s="99"/>
      <c r="AO95" s="99"/>
      <c r="AP95" s="169"/>
      <c r="AQ95" s="99"/>
      <c r="AR95" s="170"/>
      <c r="AS95" s="171"/>
      <c r="AT95" s="172"/>
      <c r="AW95" s="98"/>
      <c r="AX95" s="98"/>
      <c r="AY95" s="98"/>
      <c r="AZ95" s="98"/>
    </row>
    <row r="96" spans="3:52" x14ac:dyDescent="0.2">
      <c r="C96" s="99"/>
      <c r="D96" s="100"/>
      <c r="E96" s="100"/>
      <c r="F96" s="98"/>
      <c r="G96" s="168"/>
      <c r="H96" s="168"/>
      <c r="I96" s="168"/>
      <c r="J96" s="155"/>
      <c r="K96" s="155"/>
      <c r="L96" s="155"/>
      <c r="M96" s="155"/>
      <c r="N96" s="155"/>
      <c r="O96" s="155"/>
      <c r="P96" s="155"/>
      <c r="Q96" s="155"/>
      <c r="R96" s="155"/>
      <c r="S96" s="155"/>
      <c r="T96" s="155"/>
      <c r="U96" s="155"/>
      <c r="V96" s="155"/>
      <c r="W96" s="155"/>
      <c r="X96" s="99"/>
      <c r="Y96" s="99"/>
      <c r="Z96" s="99"/>
      <c r="AA96" s="99"/>
      <c r="AB96" s="99"/>
      <c r="AC96" s="99"/>
      <c r="AD96" s="99"/>
      <c r="AE96" s="99"/>
      <c r="AF96" s="99"/>
      <c r="AG96" s="99"/>
      <c r="AH96" s="99"/>
      <c r="AI96" s="99"/>
      <c r="AJ96" s="99"/>
      <c r="AK96" s="99"/>
      <c r="AL96" s="99"/>
      <c r="AM96" s="99"/>
      <c r="AN96" s="99"/>
      <c r="AO96" s="99"/>
      <c r="AP96" s="169"/>
      <c r="AQ96" s="99"/>
      <c r="AR96" s="170"/>
      <c r="AS96" s="171"/>
      <c r="AT96" s="172"/>
      <c r="AW96" s="98"/>
      <c r="AX96" s="98"/>
      <c r="AY96" s="98"/>
      <c r="AZ96" s="98"/>
    </row>
    <row r="97" spans="3:52" x14ac:dyDescent="0.2">
      <c r="C97" s="99"/>
      <c r="D97" s="100"/>
      <c r="E97" s="100"/>
      <c r="F97" s="98"/>
      <c r="G97" s="168"/>
      <c r="H97" s="168"/>
      <c r="I97" s="168"/>
      <c r="J97" s="155"/>
      <c r="K97" s="155"/>
      <c r="L97" s="155"/>
      <c r="M97" s="155"/>
      <c r="N97" s="155"/>
      <c r="O97" s="155"/>
      <c r="P97" s="155"/>
      <c r="Q97" s="155"/>
      <c r="R97" s="155"/>
      <c r="S97" s="155"/>
      <c r="T97" s="155"/>
      <c r="U97" s="155"/>
      <c r="V97" s="155"/>
      <c r="W97" s="155"/>
      <c r="X97" s="99"/>
      <c r="Y97" s="99"/>
      <c r="Z97" s="99"/>
      <c r="AA97" s="99"/>
      <c r="AB97" s="99"/>
      <c r="AC97" s="99"/>
      <c r="AD97" s="99"/>
      <c r="AE97" s="99"/>
      <c r="AF97" s="99"/>
      <c r="AG97" s="99"/>
      <c r="AH97" s="99"/>
      <c r="AI97" s="99"/>
      <c r="AJ97" s="99"/>
      <c r="AK97" s="99"/>
      <c r="AL97" s="99"/>
      <c r="AM97" s="99"/>
      <c r="AN97" s="99"/>
      <c r="AO97" s="99"/>
      <c r="AP97" s="169"/>
      <c r="AQ97" s="99"/>
      <c r="AR97" s="170"/>
      <c r="AS97" s="171"/>
      <c r="AT97" s="172"/>
      <c r="AW97" s="98"/>
      <c r="AX97" s="98"/>
      <c r="AY97" s="98"/>
      <c r="AZ97" s="98"/>
    </row>
    <row r="98" spans="3:52" x14ac:dyDescent="0.2">
      <c r="C98" s="99"/>
      <c r="D98" s="100"/>
      <c r="E98" s="100"/>
      <c r="F98" s="98"/>
      <c r="G98" s="168"/>
      <c r="H98" s="168"/>
      <c r="I98" s="168"/>
      <c r="J98" s="155"/>
      <c r="K98" s="155"/>
      <c r="L98" s="155"/>
      <c r="M98" s="155"/>
      <c r="N98" s="155"/>
      <c r="O98" s="155"/>
      <c r="P98" s="155"/>
      <c r="Q98" s="155"/>
      <c r="R98" s="155"/>
      <c r="S98" s="155"/>
      <c r="T98" s="155"/>
      <c r="U98" s="155"/>
      <c r="V98" s="155"/>
      <c r="W98" s="155"/>
      <c r="X98" s="99"/>
      <c r="Y98" s="99"/>
      <c r="Z98" s="99"/>
      <c r="AA98" s="99"/>
      <c r="AB98" s="99"/>
      <c r="AC98" s="99"/>
      <c r="AD98" s="99"/>
      <c r="AE98" s="99"/>
      <c r="AF98" s="99"/>
      <c r="AG98" s="99"/>
      <c r="AH98" s="99"/>
      <c r="AI98" s="99"/>
      <c r="AJ98" s="99"/>
      <c r="AK98" s="99"/>
      <c r="AL98" s="99"/>
      <c r="AM98" s="99"/>
      <c r="AN98" s="99"/>
      <c r="AO98" s="99"/>
      <c r="AP98" s="169"/>
      <c r="AQ98" s="99"/>
      <c r="AR98" s="170"/>
      <c r="AS98" s="171"/>
      <c r="AT98" s="172"/>
      <c r="AW98" s="98"/>
      <c r="AX98" s="98"/>
      <c r="AY98" s="98"/>
      <c r="AZ98" s="98"/>
    </row>
    <row r="99" spans="3:52" x14ac:dyDescent="0.2">
      <c r="C99" s="99"/>
      <c r="D99" s="100"/>
      <c r="E99" s="100"/>
      <c r="F99" s="98"/>
      <c r="G99" s="168"/>
      <c r="H99" s="168"/>
      <c r="I99" s="168"/>
      <c r="J99" s="155"/>
      <c r="K99" s="155"/>
      <c r="L99" s="155"/>
      <c r="M99" s="155"/>
      <c r="N99" s="155"/>
      <c r="O99" s="155"/>
      <c r="P99" s="155"/>
      <c r="Q99" s="155"/>
      <c r="R99" s="155"/>
      <c r="S99" s="155"/>
      <c r="T99" s="155"/>
      <c r="U99" s="155"/>
      <c r="V99" s="155"/>
      <c r="W99" s="155"/>
      <c r="X99" s="99"/>
      <c r="Y99" s="99"/>
      <c r="Z99" s="99"/>
      <c r="AA99" s="99"/>
      <c r="AB99" s="99"/>
      <c r="AC99" s="99"/>
      <c r="AD99" s="99"/>
      <c r="AE99" s="99"/>
      <c r="AF99" s="99"/>
      <c r="AG99" s="99"/>
      <c r="AH99" s="99"/>
      <c r="AI99" s="99"/>
      <c r="AJ99" s="99"/>
      <c r="AK99" s="99"/>
      <c r="AL99" s="99"/>
      <c r="AM99" s="99"/>
      <c r="AN99" s="99"/>
      <c r="AO99" s="99"/>
      <c r="AP99" s="169"/>
      <c r="AQ99" s="99"/>
      <c r="AR99" s="170"/>
      <c r="AS99" s="171"/>
      <c r="AT99" s="172"/>
      <c r="AW99" s="98"/>
      <c r="AX99" s="98"/>
      <c r="AY99" s="98"/>
      <c r="AZ99" s="98"/>
    </row>
    <row r="100" spans="3:52" x14ac:dyDescent="0.2">
      <c r="C100" s="99"/>
      <c r="D100" s="100"/>
      <c r="E100" s="100"/>
      <c r="F100" s="98"/>
      <c r="G100" s="168"/>
      <c r="H100" s="168"/>
      <c r="I100" s="168"/>
      <c r="J100" s="155"/>
      <c r="K100" s="155"/>
      <c r="L100" s="155"/>
      <c r="M100" s="155"/>
      <c r="N100" s="155"/>
      <c r="O100" s="155"/>
      <c r="P100" s="155"/>
      <c r="Q100" s="155"/>
      <c r="R100" s="155"/>
      <c r="S100" s="155"/>
      <c r="T100" s="155"/>
      <c r="U100" s="155"/>
      <c r="V100" s="155"/>
      <c r="W100" s="155"/>
      <c r="X100" s="99"/>
      <c r="Y100" s="99"/>
      <c r="Z100" s="99"/>
      <c r="AA100" s="99"/>
      <c r="AB100" s="99"/>
      <c r="AC100" s="99"/>
      <c r="AD100" s="99"/>
      <c r="AE100" s="99"/>
      <c r="AF100" s="99"/>
      <c r="AG100" s="99"/>
      <c r="AH100" s="99"/>
      <c r="AI100" s="99"/>
      <c r="AJ100" s="99"/>
      <c r="AK100" s="99"/>
      <c r="AL100" s="99"/>
      <c r="AM100" s="99"/>
      <c r="AN100" s="99"/>
      <c r="AO100" s="99"/>
      <c r="AP100" s="169"/>
      <c r="AQ100" s="99"/>
      <c r="AR100" s="170"/>
      <c r="AS100" s="171"/>
      <c r="AT100" s="172"/>
      <c r="AW100" s="98"/>
      <c r="AX100" s="98"/>
      <c r="AY100" s="98"/>
      <c r="AZ100" s="98"/>
    </row>
    <row r="101" spans="3:52" x14ac:dyDescent="0.2">
      <c r="C101" s="99"/>
      <c r="D101" s="100"/>
      <c r="E101" s="100"/>
      <c r="F101" s="98"/>
      <c r="G101" s="168"/>
      <c r="H101" s="168"/>
      <c r="I101" s="168"/>
      <c r="J101" s="155"/>
      <c r="K101" s="155"/>
      <c r="L101" s="155"/>
      <c r="M101" s="155"/>
      <c r="N101" s="155"/>
      <c r="O101" s="155"/>
      <c r="P101" s="155"/>
      <c r="Q101" s="155"/>
      <c r="R101" s="155"/>
      <c r="S101" s="155"/>
      <c r="T101" s="155"/>
      <c r="U101" s="155"/>
      <c r="V101" s="155"/>
      <c r="W101" s="155"/>
      <c r="X101" s="99"/>
      <c r="Y101" s="99"/>
      <c r="Z101" s="99"/>
      <c r="AA101" s="99"/>
      <c r="AB101" s="99"/>
      <c r="AC101" s="99"/>
      <c r="AD101" s="99"/>
      <c r="AE101" s="99"/>
      <c r="AF101" s="99"/>
      <c r="AG101" s="99"/>
      <c r="AH101" s="99"/>
      <c r="AI101" s="99"/>
      <c r="AJ101" s="99"/>
      <c r="AK101" s="99"/>
      <c r="AL101" s="99"/>
      <c r="AM101" s="99"/>
      <c r="AN101" s="99"/>
      <c r="AO101" s="99"/>
      <c r="AP101" s="169"/>
      <c r="AQ101" s="99"/>
      <c r="AR101" s="170"/>
      <c r="AS101" s="171"/>
      <c r="AT101" s="172"/>
      <c r="AW101" s="98"/>
      <c r="AX101" s="98"/>
      <c r="AY101" s="98"/>
      <c r="AZ101" s="98"/>
    </row>
    <row r="102" spans="3:52" x14ac:dyDescent="0.2">
      <c r="C102" s="99"/>
      <c r="D102" s="100"/>
      <c r="E102" s="100"/>
      <c r="F102" s="98"/>
      <c r="G102" s="168"/>
      <c r="H102" s="168"/>
      <c r="I102" s="168"/>
      <c r="J102" s="155"/>
      <c r="K102" s="155"/>
      <c r="L102" s="155"/>
      <c r="M102" s="155"/>
      <c r="N102" s="155"/>
      <c r="O102" s="155"/>
      <c r="P102" s="155"/>
      <c r="Q102" s="155"/>
      <c r="R102" s="155"/>
      <c r="S102" s="155"/>
      <c r="T102" s="155"/>
      <c r="U102" s="155"/>
      <c r="V102" s="155"/>
      <c r="W102" s="155"/>
      <c r="X102" s="99"/>
      <c r="Y102" s="99"/>
      <c r="Z102" s="99"/>
      <c r="AA102" s="99"/>
      <c r="AB102" s="99"/>
      <c r="AC102" s="99"/>
      <c r="AD102" s="99"/>
      <c r="AE102" s="99"/>
      <c r="AF102" s="99"/>
      <c r="AG102" s="99"/>
      <c r="AH102" s="99"/>
      <c r="AI102" s="99"/>
      <c r="AJ102" s="99"/>
      <c r="AK102" s="99"/>
      <c r="AL102" s="99"/>
      <c r="AM102" s="99"/>
      <c r="AN102" s="99"/>
      <c r="AO102" s="99"/>
      <c r="AP102" s="169"/>
      <c r="AQ102" s="99"/>
      <c r="AR102" s="170"/>
      <c r="AS102" s="171"/>
      <c r="AT102" s="172"/>
      <c r="AW102" s="98"/>
      <c r="AX102" s="98"/>
      <c r="AY102" s="98"/>
      <c r="AZ102" s="98"/>
    </row>
    <row r="103" spans="3:52" x14ac:dyDescent="0.2">
      <c r="C103" s="99"/>
      <c r="D103" s="100"/>
      <c r="E103" s="100"/>
      <c r="F103" s="98"/>
      <c r="G103" s="168"/>
      <c r="H103" s="168"/>
      <c r="I103" s="168"/>
      <c r="J103" s="155"/>
      <c r="K103" s="155"/>
      <c r="L103" s="155"/>
      <c r="M103" s="155"/>
      <c r="N103" s="155"/>
      <c r="O103" s="155"/>
      <c r="P103" s="155"/>
      <c r="Q103" s="155"/>
      <c r="R103" s="155"/>
      <c r="S103" s="155"/>
      <c r="T103" s="155"/>
      <c r="U103" s="155"/>
      <c r="V103" s="155"/>
      <c r="W103" s="155"/>
      <c r="X103" s="99"/>
      <c r="Y103" s="99"/>
      <c r="Z103" s="99"/>
      <c r="AA103" s="99"/>
      <c r="AB103" s="99"/>
      <c r="AC103" s="99"/>
      <c r="AD103" s="99"/>
      <c r="AE103" s="99"/>
      <c r="AF103" s="99"/>
      <c r="AG103" s="99"/>
      <c r="AH103" s="99"/>
      <c r="AI103" s="99"/>
      <c r="AJ103" s="99"/>
      <c r="AK103" s="99"/>
      <c r="AL103" s="99"/>
      <c r="AM103" s="99"/>
      <c r="AN103" s="99"/>
      <c r="AO103" s="99"/>
      <c r="AP103" s="169"/>
      <c r="AQ103" s="99"/>
      <c r="AR103" s="170"/>
      <c r="AS103" s="171"/>
      <c r="AT103" s="172"/>
      <c r="AW103" s="98"/>
      <c r="AX103" s="98"/>
      <c r="AY103" s="98"/>
      <c r="AZ103" s="98"/>
    </row>
    <row r="104" spans="3:52" x14ac:dyDescent="0.2">
      <c r="C104" s="99"/>
      <c r="D104" s="100"/>
      <c r="E104" s="100"/>
      <c r="F104" s="98"/>
      <c r="G104" s="168"/>
      <c r="H104" s="168"/>
      <c r="I104" s="168"/>
      <c r="J104" s="155"/>
      <c r="K104" s="155"/>
      <c r="L104" s="155"/>
      <c r="M104" s="155"/>
      <c r="N104" s="155"/>
      <c r="O104" s="155"/>
      <c r="P104" s="155"/>
      <c r="Q104" s="155"/>
      <c r="R104" s="155"/>
      <c r="S104" s="155"/>
      <c r="T104" s="155"/>
      <c r="U104" s="155"/>
      <c r="V104" s="155"/>
      <c r="W104" s="155"/>
      <c r="X104" s="99"/>
      <c r="Y104" s="99"/>
      <c r="Z104" s="99"/>
      <c r="AA104" s="99"/>
      <c r="AB104" s="99"/>
      <c r="AC104" s="99"/>
      <c r="AD104" s="99"/>
      <c r="AE104" s="99"/>
      <c r="AF104" s="99"/>
      <c r="AG104" s="99"/>
      <c r="AH104" s="99"/>
      <c r="AI104" s="99"/>
      <c r="AJ104" s="99"/>
      <c r="AK104" s="99"/>
      <c r="AL104" s="99"/>
      <c r="AM104" s="99"/>
      <c r="AN104" s="99"/>
      <c r="AO104" s="99"/>
      <c r="AP104" s="169"/>
      <c r="AQ104" s="99"/>
      <c r="AR104" s="170"/>
      <c r="AS104" s="171"/>
      <c r="AT104" s="172"/>
      <c r="AW104" s="98"/>
      <c r="AX104" s="98"/>
      <c r="AY104" s="98"/>
      <c r="AZ104" s="98"/>
    </row>
    <row r="105" spans="3:52" x14ac:dyDescent="0.2">
      <c r="C105" s="99"/>
      <c r="D105" s="100"/>
      <c r="E105" s="100"/>
      <c r="F105" s="98"/>
      <c r="G105" s="168"/>
      <c r="H105" s="168"/>
      <c r="I105" s="168"/>
      <c r="J105" s="155"/>
      <c r="K105" s="155"/>
      <c r="L105" s="155"/>
      <c r="M105" s="155"/>
      <c r="N105" s="155"/>
      <c r="O105" s="155"/>
      <c r="P105" s="155"/>
      <c r="Q105" s="155"/>
      <c r="R105" s="155"/>
      <c r="S105" s="155"/>
      <c r="T105" s="155"/>
      <c r="U105" s="155"/>
      <c r="V105" s="155"/>
      <c r="W105" s="155"/>
      <c r="X105" s="99"/>
      <c r="Y105" s="99"/>
      <c r="Z105" s="99"/>
      <c r="AA105" s="99"/>
      <c r="AB105" s="99"/>
      <c r="AC105" s="99"/>
      <c r="AD105" s="99"/>
      <c r="AE105" s="99"/>
      <c r="AF105" s="99"/>
      <c r="AG105" s="99"/>
      <c r="AH105" s="99"/>
      <c r="AI105" s="99"/>
      <c r="AJ105" s="99"/>
      <c r="AK105" s="99"/>
      <c r="AL105" s="99"/>
      <c r="AM105" s="99"/>
      <c r="AN105" s="99"/>
      <c r="AO105" s="99"/>
      <c r="AP105" s="169"/>
      <c r="AQ105" s="99"/>
      <c r="AR105" s="170"/>
      <c r="AS105" s="171"/>
      <c r="AT105" s="172"/>
      <c r="AW105" s="98"/>
      <c r="AX105" s="98"/>
      <c r="AY105" s="98"/>
      <c r="AZ105" s="98"/>
    </row>
    <row r="106" spans="3:52" x14ac:dyDescent="0.2">
      <c r="C106" s="99"/>
      <c r="D106" s="100"/>
      <c r="E106" s="100"/>
      <c r="F106" s="98"/>
      <c r="G106" s="168"/>
      <c r="H106" s="168"/>
      <c r="I106" s="168"/>
      <c r="J106" s="155"/>
      <c r="K106" s="155"/>
      <c r="L106" s="155"/>
      <c r="M106" s="155"/>
      <c r="N106" s="155"/>
      <c r="O106" s="155"/>
      <c r="P106" s="155"/>
      <c r="Q106" s="155"/>
      <c r="R106" s="155"/>
      <c r="S106" s="155"/>
      <c r="T106" s="155"/>
      <c r="U106" s="155"/>
      <c r="V106" s="155"/>
      <c r="W106" s="155"/>
      <c r="X106" s="99"/>
      <c r="Y106" s="99"/>
      <c r="Z106" s="99"/>
      <c r="AA106" s="99"/>
      <c r="AB106" s="99"/>
      <c r="AC106" s="99"/>
      <c r="AD106" s="99"/>
      <c r="AE106" s="99"/>
      <c r="AF106" s="99"/>
      <c r="AG106" s="99"/>
      <c r="AH106" s="99"/>
      <c r="AI106" s="99"/>
      <c r="AJ106" s="99"/>
      <c r="AK106" s="99"/>
      <c r="AL106" s="99"/>
      <c r="AM106" s="99"/>
      <c r="AN106" s="99"/>
      <c r="AO106" s="99"/>
      <c r="AP106" s="169"/>
      <c r="AQ106" s="99"/>
      <c r="AR106" s="170"/>
      <c r="AS106" s="171"/>
      <c r="AT106" s="172"/>
      <c r="AW106" s="98"/>
      <c r="AX106" s="98"/>
      <c r="AY106" s="98"/>
      <c r="AZ106" s="98"/>
    </row>
    <row r="107" spans="3:52" x14ac:dyDescent="0.2">
      <c r="C107" s="99"/>
      <c r="D107" s="100"/>
      <c r="E107" s="100"/>
      <c r="F107" s="98"/>
      <c r="G107" s="168"/>
      <c r="H107" s="168"/>
      <c r="I107" s="168"/>
      <c r="J107" s="155"/>
      <c r="K107" s="155"/>
      <c r="L107" s="155"/>
      <c r="M107" s="155"/>
      <c r="N107" s="155"/>
      <c r="O107" s="155"/>
      <c r="P107" s="155"/>
      <c r="Q107" s="155"/>
      <c r="R107" s="155"/>
      <c r="S107" s="155"/>
      <c r="T107" s="155"/>
      <c r="U107" s="155"/>
      <c r="V107" s="155"/>
      <c r="W107" s="155"/>
      <c r="X107" s="99"/>
      <c r="Y107" s="99"/>
      <c r="Z107" s="99"/>
      <c r="AA107" s="99"/>
      <c r="AB107" s="99"/>
      <c r="AC107" s="99"/>
      <c r="AD107" s="99"/>
      <c r="AE107" s="99"/>
      <c r="AF107" s="99"/>
      <c r="AG107" s="99"/>
      <c r="AH107" s="99"/>
      <c r="AI107" s="99"/>
      <c r="AJ107" s="99"/>
      <c r="AK107" s="99"/>
      <c r="AL107" s="99"/>
      <c r="AM107" s="99"/>
      <c r="AN107" s="99"/>
      <c r="AO107" s="99"/>
      <c r="AP107" s="169"/>
      <c r="AQ107" s="99"/>
      <c r="AR107" s="170"/>
      <c r="AS107" s="171"/>
      <c r="AT107" s="172"/>
      <c r="AW107" s="98"/>
      <c r="AX107" s="98"/>
      <c r="AY107" s="98"/>
      <c r="AZ107" s="98"/>
    </row>
    <row r="108" spans="3:52" x14ac:dyDescent="0.2">
      <c r="C108" s="99"/>
      <c r="D108" s="100"/>
      <c r="E108" s="100"/>
      <c r="F108" s="98"/>
      <c r="G108" s="168"/>
      <c r="H108" s="168"/>
      <c r="I108" s="168"/>
      <c r="J108" s="155"/>
      <c r="K108" s="155"/>
      <c r="L108" s="155"/>
      <c r="M108" s="155"/>
      <c r="N108" s="155"/>
      <c r="O108" s="155"/>
      <c r="P108" s="155"/>
      <c r="Q108" s="155"/>
      <c r="R108" s="155"/>
      <c r="S108" s="155"/>
      <c r="T108" s="155"/>
      <c r="U108" s="155"/>
      <c r="V108" s="155"/>
      <c r="W108" s="155"/>
      <c r="X108" s="99"/>
      <c r="Y108" s="99"/>
      <c r="Z108" s="99"/>
      <c r="AA108" s="99"/>
      <c r="AB108" s="99"/>
      <c r="AC108" s="99"/>
      <c r="AD108" s="99"/>
      <c r="AE108" s="99"/>
      <c r="AF108" s="99"/>
      <c r="AG108" s="99"/>
      <c r="AH108" s="99"/>
      <c r="AI108" s="99"/>
      <c r="AJ108" s="99"/>
      <c r="AK108" s="99"/>
      <c r="AL108" s="99"/>
      <c r="AM108" s="99"/>
      <c r="AN108" s="99"/>
      <c r="AO108" s="99"/>
      <c r="AP108" s="169"/>
      <c r="AQ108" s="99"/>
      <c r="AR108" s="170"/>
      <c r="AS108" s="171"/>
      <c r="AT108" s="172"/>
      <c r="AW108" s="98"/>
      <c r="AX108" s="98"/>
      <c r="AY108" s="98"/>
      <c r="AZ108" s="98"/>
    </row>
    <row r="109" spans="3:52" x14ac:dyDescent="0.2">
      <c r="C109" s="99"/>
      <c r="D109" s="100"/>
      <c r="E109" s="100"/>
      <c r="F109" s="98"/>
      <c r="G109" s="168"/>
      <c r="H109" s="168"/>
      <c r="I109" s="168"/>
      <c r="J109" s="155"/>
      <c r="K109" s="155"/>
      <c r="L109" s="155"/>
      <c r="M109" s="155"/>
      <c r="N109" s="155"/>
      <c r="O109" s="155"/>
      <c r="P109" s="155"/>
      <c r="Q109" s="155"/>
      <c r="R109" s="155"/>
      <c r="S109" s="155"/>
      <c r="T109" s="155"/>
      <c r="U109" s="155"/>
      <c r="V109" s="155"/>
      <c r="W109" s="155"/>
      <c r="X109" s="99"/>
      <c r="Y109" s="99"/>
      <c r="Z109" s="99"/>
      <c r="AA109" s="99"/>
      <c r="AB109" s="99"/>
      <c r="AC109" s="99"/>
      <c r="AD109" s="99"/>
      <c r="AE109" s="99"/>
      <c r="AF109" s="99"/>
      <c r="AG109" s="99"/>
      <c r="AH109" s="99"/>
      <c r="AI109" s="99"/>
      <c r="AJ109" s="99"/>
      <c r="AK109" s="99"/>
      <c r="AL109" s="99"/>
      <c r="AM109" s="99"/>
      <c r="AN109" s="99"/>
      <c r="AO109" s="99"/>
      <c r="AP109" s="169"/>
      <c r="AQ109" s="99"/>
      <c r="AR109" s="170"/>
      <c r="AS109" s="171"/>
      <c r="AT109" s="172"/>
      <c r="AW109" s="98"/>
      <c r="AX109" s="98"/>
      <c r="AY109" s="98"/>
      <c r="AZ109" s="98"/>
    </row>
    <row r="110" spans="3:52" x14ac:dyDescent="0.2">
      <c r="C110" s="99"/>
      <c r="D110" s="100"/>
      <c r="E110" s="100"/>
      <c r="F110" s="98"/>
      <c r="G110" s="168"/>
      <c r="H110" s="168"/>
      <c r="I110" s="168"/>
      <c r="J110" s="155"/>
      <c r="K110" s="155"/>
      <c r="L110" s="155"/>
      <c r="M110" s="155"/>
      <c r="N110" s="155"/>
      <c r="O110" s="155"/>
      <c r="P110" s="155"/>
      <c r="Q110" s="155"/>
      <c r="R110" s="155"/>
      <c r="S110" s="155"/>
      <c r="T110" s="155"/>
      <c r="U110" s="155"/>
      <c r="V110" s="155"/>
      <c r="W110" s="155"/>
      <c r="X110" s="99"/>
      <c r="Y110" s="99"/>
      <c r="Z110" s="99"/>
      <c r="AA110" s="99"/>
      <c r="AB110" s="99"/>
      <c r="AC110" s="99"/>
      <c r="AD110" s="99"/>
      <c r="AE110" s="99"/>
      <c r="AF110" s="99"/>
      <c r="AG110" s="99"/>
      <c r="AH110" s="99"/>
      <c r="AI110" s="99"/>
      <c r="AJ110" s="99"/>
      <c r="AK110" s="99"/>
      <c r="AL110" s="99"/>
      <c r="AM110" s="99"/>
      <c r="AN110" s="99"/>
      <c r="AO110" s="99"/>
      <c r="AP110" s="169"/>
      <c r="AQ110" s="99"/>
      <c r="AR110" s="170"/>
      <c r="AS110" s="171"/>
      <c r="AT110" s="172"/>
      <c r="AW110" s="98"/>
      <c r="AX110" s="98"/>
      <c r="AY110" s="98"/>
      <c r="AZ110" s="98"/>
    </row>
    <row r="111" spans="3:52" x14ac:dyDescent="0.2">
      <c r="C111" s="99"/>
      <c r="D111" s="100"/>
      <c r="E111" s="100"/>
      <c r="F111" s="98"/>
      <c r="G111" s="168"/>
      <c r="H111" s="168"/>
      <c r="I111" s="168"/>
      <c r="J111" s="155"/>
      <c r="K111" s="155"/>
      <c r="L111" s="155"/>
      <c r="M111" s="155"/>
      <c r="N111" s="155"/>
      <c r="O111" s="155"/>
      <c r="P111" s="155"/>
      <c r="Q111" s="155"/>
      <c r="R111" s="155"/>
      <c r="S111" s="155"/>
      <c r="T111" s="155"/>
      <c r="U111" s="155"/>
      <c r="V111" s="155"/>
      <c r="W111" s="155"/>
      <c r="X111" s="99"/>
      <c r="Y111" s="99"/>
      <c r="Z111" s="99"/>
      <c r="AA111" s="99"/>
      <c r="AB111" s="99"/>
      <c r="AC111" s="99"/>
      <c r="AD111" s="99"/>
      <c r="AE111" s="99"/>
      <c r="AF111" s="99"/>
      <c r="AG111" s="99"/>
      <c r="AH111" s="99"/>
      <c r="AI111" s="99"/>
      <c r="AJ111" s="99"/>
      <c r="AK111" s="99"/>
      <c r="AL111" s="99"/>
      <c r="AM111" s="99"/>
      <c r="AN111" s="99"/>
      <c r="AO111" s="99"/>
      <c r="AP111" s="169"/>
      <c r="AQ111" s="99"/>
      <c r="AR111" s="170"/>
      <c r="AS111" s="171"/>
      <c r="AT111" s="172"/>
      <c r="AW111" s="98"/>
      <c r="AX111" s="98"/>
      <c r="AY111" s="98"/>
      <c r="AZ111" s="98"/>
    </row>
    <row r="112" spans="3:52" x14ac:dyDescent="0.2">
      <c r="C112" s="99"/>
      <c r="D112" s="100"/>
      <c r="E112" s="100"/>
      <c r="F112" s="98"/>
      <c r="G112" s="168"/>
      <c r="H112" s="168"/>
      <c r="I112" s="168"/>
      <c r="J112" s="155"/>
      <c r="K112" s="155"/>
      <c r="L112" s="155"/>
      <c r="M112" s="155"/>
      <c r="N112" s="155"/>
      <c r="O112" s="155"/>
      <c r="P112" s="155"/>
      <c r="Q112" s="155"/>
      <c r="R112" s="155"/>
      <c r="S112" s="155"/>
      <c r="T112" s="155"/>
      <c r="U112" s="155"/>
      <c r="V112" s="155"/>
      <c r="W112" s="155"/>
      <c r="X112" s="99"/>
      <c r="Y112" s="99"/>
      <c r="Z112" s="99"/>
      <c r="AA112" s="99"/>
      <c r="AB112" s="99"/>
      <c r="AC112" s="99"/>
      <c r="AD112" s="99"/>
      <c r="AE112" s="99"/>
      <c r="AF112" s="99"/>
      <c r="AG112" s="99"/>
      <c r="AH112" s="99"/>
      <c r="AI112" s="99"/>
      <c r="AJ112" s="99"/>
      <c r="AK112" s="99"/>
      <c r="AL112" s="99"/>
      <c r="AM112" s="99"/>
      <c r="AN112" s="99"/>
      <c r="AO112" s="99"/>
      <c r="AP112" s="169"/>
      <c r="AQ112" s="99"/>
      <c r="AR112" s="170"/>
      <c r="AS112" s="171"/>
      <c r="AT112" s="172"/>
      <c r="AW112" s="98"/>
      <c r="AX112" s="98"/>
      <c r="AY112" s="98"/>
      <c r="AZ112" s="98"/>
    </row>
    <row r="113" spans="3:52" x14ac:dyDescent="0.2">
      <c r="C113" s="99"/>
      <c r="D113" s="100"/>
      <c r="E113" s="100"/>
      <c r="F113" s="98"/>
      <c r="G113" s="168"/>
      <c r="H113" s="168"/>
      <c r="I113" s="168"/>
      <c r="J113" s="155"/>
      <c r="K113" s="155"/>
      <c r="L113" s="155"/>
      <c r="M113" s="155"/>
      <c r="N113" s="155"/>
      <c r="O113" s="155"/>
      <c r="P113" s="155"/>
      <c r="Q113" s="155"/>
      <c r="R113" s="155"/>
      <c r="S113" s="155"/>
      <c r="T113" s="155"/>
      <c r="U113" s="155"/>
      <c r="V113" s="155"/>
      <c r="W113" s="155"/>
      <c r="X113" s="99"/>
      <c r="Y113" s="99"/>
      <c r="Z113" s="99"/>
      <c r="AA113" s="99"/>
      <c r="AB113" s="99"/>
      <c r="AC113" s="99"/>
      <c r="AD113" s="99"/>
      <c r="AE113" s="99"/>
      <c r="AF113" s="99"/>
      <c r="AG113" s="99"/>
      <c r="AH113" s="99"/>
      <c r="AI113" s="99"/>
      <c r="AJ113" s="99"/>
      <c r="AK113" s="99"/>
      <c r="AL113" s="99"/>
      <c r="AM113" s="99"/>
      <c r="AN113" s="99"/>
      <c r="AO113" s="99"/>
      <c r="AP113" s="169"/>
      <c r="AQ113" s="99"/>
      <c r="AR113" s="170"/>
      <c r="AS113" s="171"/>
      <c r="AT113" s="172"/>
      <c r="AW113" s="98"/>
      <c r="AX113" s="98"/>
      <c r="AY113" s="98"/>
      <c r="AZ113" s="98"/>
    </row>
    <row r="114" spans="3:52" x14ac:dyDescent="0.2">
      <c r="C114" s="99"/>
      <c r="D114" s="100"/>
      <c r="E114" s="100"/>
      <c r="F114" s="98"/>
      <c r="G114" s="168"/>
      <c r="H114" s="168"/>
      <c r="I114" s="168"/>
      <c r="J114" s="155"/>
      <c r="K114" s="155"/>
      <c r="L114" s="155"/>
      <c r="M114" s="155"/>
      <c r="N114" s="155"/>
      <c r="O114" s="155"/>
      <c r="P114" s="155"/>
      <c r="Q114" s="155"/>
      <c r="R114" s="155"/>
      <c r="S114" s="155"/>
      <c r="T114" s="155"/>
      <c r="U114" s="155"/>
      <c r="V114" s="155"/>
      <c r="W114" s="155"/>
      <c r="X114" s="99"/>
      <c r="Y114" s="99"/>
      <c r="Z114" s="99"/>
      <c r="AA114" s="99"/>
      <c r="AB114" s="99"/>
      <c r="AC114" s="99"/>
      <c r="AD114" s="99"/>
      <c r="AE114" s="99"/>
      <c r="AF114" s="99"/>
      <c r="AG114" s="99"/>
      <c r="AH114" s="99"/>
      <c r="AI114" s="99"/>
      <c r="AJ114" s="99"/>
      <c r="AK114" s="99"/>
      <c r="AL114" s="99"/>
      <c r="AM114" s="99"/>
      <c r="AN114" s="99"/>
      <c r="AO114" s="99"/>
      <c r="AP114" s="169"/>
      <c r="AQ114" s="99"/>
      <c r="AR114" s="170"/>
      <c r="AS114" s="171"/>
      <c r="AT114" s="172"/>
      <c r="AW114" s="98"/>
      <c r="AX114" s="98"/>
      <c r="AY114" s="98"/>
      <c r="AZ114" s="98"/>
    </row>
    <row r="115" spans="3:52" x14ac:dyDescent="0.2">
      <c r="C115" s="99"/>
      <c r="D115" s="100"/>
      <c r="E115" s="100"/>
      <c r="F115" s="98"/>
      <c r="G115" s="168"/>
      <c r="H115" s="168"/>
      <c r="I115" s="168"/>
      <c r="J115" s="155"/>
      <c r="K115" s="155"/>
      <c r="L115" s="155"/>
      <c r="M115" s="155"/>
      <c r="N115" s="155"/>
      <c r="O115" s="155"/>
      <c r="P115" s="155"/>
      <c r="Q115" s="155"/>
      <c r="R115" s="155"/>
      <c r="S115" s="155"/>
      <c r="T115" s="155"/>
      <c r="U115" s="155"/>
      <c r="V115" s="155"/>
      <c r="W115" s="155"/>
      <c r="X115" s="99"/>
      <c r="Y115" s="99"/>
      <c r="Z115" s="99"/>
      <c r="AA115" s="99"/>
      <c r="AB115" s="99"/>
      <c r="AC115" s="99"/>
      <c r="AD115" s="99"/>
      <c r="AE115" s="99"/>
      <c r="AF115" s="99"/>
      <c r="AG115" s="99"/>
      <c r="AH115" s="99"/>
      <c r="AI115" s="99"/>
      <c r="AJ115" s="99"/>
      <c r="AK115" s="99"/>
      <c r="AL115" s="99"/>
      <c r="AM115" s="99"/>
      <c r="AN115" s="99"/>
      <c r="AO115" s="99"/>
      <c r="AP115" s="169"/>
      <c r="AQ115" s="99"/>
      <c r="AR115" s="170"/>
      <c r="AS115" s="171"/>
      <c r="AT115" s="172"/>
      <c r="AW115" s="98"/>
      <c r="AX115" s="98"/>
      <c r="AY115" s="98"/>
      <c r="AZ115" s="98"/>
    </row>
    <row r="116" spans="3:52" x14ac:dyDescent="0.2">
      <c r="C116" s="99"/>
      <c r="D116" s="100"/>
      <c r="E116" s="100"/>
      <c r="F116" s="98"/>
      <c r="G116" s="168"/>
      <c r="H116" s="168"/>
      <c r="I116" s="168"/>
      <c r="J116" s="155"/>
      <c r="K116" s="155"/>
      <c r="L116" s="155"/>
      <c r="M116" s="155"/>
      <c r="N116" s="155"/>
      <c r="O116" s="155"/>
      <c r="P116" s="155"/>
      <c r="Q116" s="155"/>
      <c r="R116" s="155"/>
      <c r="S116" s="155"/>
      <c r="T116" s="155"/>
      <c r="U116" s="155"/>
      <c r="V116" s="155"/>
      <c r="W116" s="155"/>
      <c r="X116" s="99"/>
      <c r="Y116" s="99"/>
      <c r="Z116" s="99"/>
      <c r="AA116" s="99"/>
      <c r="AB116" s="99"/>
      <c r="AC116" s="99"/>
      <c r="AD116" s="99"/>
      <c r="AE116" s="99"/>
      <c r="AF116" s="99"/>
      <c r="AG116" s="99"/>
      <c r="AH116" s="99"/>
      <c r="AI116" s="99"/>
      <c r="AJ116" s="99"/>
      <c r="AK116" s="99"/>
      <c r="AL116" s="99"/>
      <c r="AM116" s="99"/>
      <c r="AN116" s="99"/>
      <c r="AO116" s="99"/>
      <c r="AP116" s="169"/>
      <c r="AQ116" s="99"/>
      <c r="AR116" s="170"/>
      <c r="AS116" s="171"/>
      <c r="AT116" s="172"/>
      <c r="AW116" s="98"/>
      <c r="AX116" s="98"/>
      <c r="AY116" s="98"/>
      <c r="AZ116" s="98"/>
    </row>
    <row r="117" spans="3:52" x14ac:dyDescent="0.2">
      <c r="C117" s="99"/>
      <c r="D117" s="100"/>
      <c r="E117" s="100"/>
      <c r="F117" s="98"/>
      <c r="G117" s="168"/>
      <c r="H117" s="168"/>
      <c r="I117" s="168"/>
      <c r="J117" s="155"/>
      <c r="K117" s="155"/>
      <c r="L117" s="155"/>
      <c r="M117" s="155"/>
      <c r="N117" s="155"/>
      <c r="O117" s="155"/>
      <c r="P117" s="155"/>
      <c r="Q117" s="155"/>
      <c r="R117" s="155"/>
      <c r="S117" s="155"/>
      <c r="T117" s="155"/>
      <c r="U117" s="155"/>
      <c r="V117" s="155"/>
      <c r="W117" s="155"/>
      <c r="X117" s="99"/>
      <c r="Y117" s="99"/>
      <c r="Z117" s="99"/>
      <c r="AA117" s="99"/>
      <c r="AB117" s="99"/>
      <c r="AC117" s="99"/>
      <c r="AD117" s="99"/>
      <c r="AE117" s="99"/>
      <c r="AF117" s="99"/>
      <c r="AG117" s="99"/>
      <c r="AH117" s="99"/>
      <c r="AI117" s="99"/>
      <c r="AJ117" s="99"/>
      <c r="AK117" s="99"/>
      <c r="AL117" s="99"/>
      <c r="AM117" s="99"/>
      <c r="AN117" s="99"/>
      <c r="AO117" s="99"/>
      <c r="AP117" s="169"/>
      <c r="AQ117" s="99"/>
      <c r="AR117" s="170"/>
      <c r="AS117" s="171"/>
      <c r="AT117" s="172"/>
      <c r="AW117" s="98"/>
      <c r="AX117" s="98"/>
      <c r="AY117" s="98"/>
      <c r="AZ117" s="98"/>
    </row>
    <row r="118" spans="3:52" x14ac:dyDescent="0.2">
      <c r="C118" s="99"/>
      <c r="D118" s="100"/>
      <c r="E118" s="100"/>
      <c r="F118" s="98"/>
      <c r="G118" s="168"/>
      <c r="H118" s="168"/>
      <c r="I118" s="168"/>
      <c r="J118" s="155"/>
      <c r="K118" s="155"/>
      <c r="L118" s="155"/>
      <c r="M118" s="155"/>
      <c r="N118" s="155"/>
      <c r="O118" s="155"/>
      <c r="P118" s="155"/>
      <c r="Q118" s="155"/>
      <c r="R118" s="155"/>
      <c r="S118" s="155"/>
      <c r="T118" s="155"/>
      <c r="U118" s="155"/>
      <c r="V118" s="155"/>
      <c r="W118" s="155"/>
      <c r="X118" s="99"/>
      <c r="Y118" s="99"/>
      <c r="Z118" s="99"/>
      <c r="AA118" s="99"/>
      <c r="AB118" s="99"/>
      <c r="AC118" s="99"/>
      <c r="AD118" s="99"/>
      <c r="AE118" s="99"/>
      <c r="AF118" s="99"/>
      <c r="AG118" s="99"/>
      <c r="AH118" s="99"/>
      <c r="AI118" s="99"/>
      <c r="AJ118" s="99"/>
      <c r="AK118" s="99"/>
      <c r="AL118" s="99"/>
      <c r="AM118" s="99"/>
      <c r="AN118" s="99"/>
      <c r="AO118" s="99"/>
      <c r="AP118" s="169"/>
      <c r="AQ118" s="99"/>
      <c r="AR118" s="170"/>
      <c r="AS118" s="171"/>
      <c r="AT118" s="172"/>
      <c r="AW118" s="98"/>
      <c r="AX118" s="98"/>
      <c r="AY118" s="98"/>
      <c r="AZ118" s="98"/>
    </row>
    <row r="119" spans="3:52" x14ac:dyDescent="0.2">
      <c r="C119" s="99"/>
      <c r="D119" s="100"/>
      <c r="E119" s="100"/>
      <c r="F119" s="98"/>
      <c r="G119" s="168"/>
      <c r="H119" s="168"/>
      <c r="I119" s="168"/>
      <c r="J119" s="155"/>
      <c r="K119" s="155"/>
      <c r="L119" s="155"/>
      <c r="M119" s="155"/>
      <c r="N119" s="155"/>
      <c r="O119" s="155"/>
      <c r="P119" s="155"/>
      <c r="Q119" s="155"/>
      <c r="R119" s="155"/>
      <c r="S119" s="155"/>
      <c r="T119" s="155"/>
      <c r="U119" s="155"/>
      <c r="V119" s="155"/>
      <c r="W119" s="155"/>
      <c r="X119" s="99"/>
      <c r="Y119" s="99"/>
      <c r="Z119" s="99"/>
      <c r="AA119" s="99"/>
      <c r="AB119" s="99"/>
      <c r="AC119" s="99"/>
      <c r="AD119" s="99"/>
      <c r="AE119" s="99"/>
      <c r="AF119" s="99"/>
      <c r="AG119" s="99"/>
      <c r="AH119" s="99"/>
      <c r="AI119" s="99"/>
      <c r="AJ119" s="99"/>
      <c r="AK119" s="99"/>
      <c r="AL119" s="99"/>
      <c r="AM119" s="99"/>
      <c r="AN119" s="99"/>
      <c r="AO119" s="99"/>
      <c r="AP119" s="169"/>
      <c r="AQ119" s="99"/>
      <c r="AR119" s="170"/>
      <c r="AS119" s="171"/>
      <c r="AT119" s="172"/>
      <c r="AW119" s="98"/>
      <c r="AX119" s="98"/>
      <c r="AY119" s="98"/>
      <c r="AZ119" s="98"/>
    </row>
    <row r="120" spans="3:52" x14ac:dyDescent="0.2">
      <c r="C120" s="99"/>
      <c r="D120" s="100"/>
      <c r="E120" s="100"/>
      <c r="F120" s="98"/>
      <c r="G120" s="168"/>
      <c r="H120" s="168"/>
      <c r="I120" s="168"/>
      <c r="J120" s="155"/>
      <c r="K120" s="155"/>
      <c r="L120" s="155"/>
      <c r="M120" s="155"/>
      <c r="N120" s="155"/>
      <c r="O120" s="155"/>
      <c r="P120" s="155"/>
      <c r="Q120" s="155"/>
      <c r="R120" s="155"/>
      <c r="S120" s="155"/>
      <c r="T120" s="155"/>
      <c r="U120" s="155"/>
      <c r="V120" s="155"/>
      <c r="W120" s="155"/>
      <c r="X120" s="99"/>
      <c r="Y120" s="99"/>
      <c r="Z120" s="99"/>
      <c r="AA120" s="99"/>
      <c r="AB120" s="99"/>
      <c r="AC120" s="99"/>
      <c r="AD120" s="99"/>
      <c r="AE120" s="99"/>
      <c r="AF120" s="99"/>
      <c r="AG120" s="99"/>
      <c r="AH120" s="99"/>
      <c r="AI120" s="99"/>
      <c r="AJ120" s="99"/>
      <c r="AK120" s="99"/>
      <c r="AL120" s="99"/>
      <c r="AM120" s="99"/>
      <c r="AN120" s="99"/>
      <c r="AO120" s="99"/>
      <c r="AP120" s="169"/>
      <c r="AQ120" s="99"/>
      <c r="AR120" s="170"/>
      <c r="AS120" s="171"/>
      <c r="AT120" s="172"/>
      <c r="AW120" s="98"/>
      <c r="AX120" s="98"/>
      <c r="AY120" s="98"/>
      <c r="AZ120" s="98"/>
    </row>
    <row r="121" spans="3:52" x14ac:dyDescent="0.2">
      <c r="C121" s="99"/>
      <c r="D121" s="100"/>
      <c r="E121" s="100"/>
      <c r="F121" s="98"/>
      <c r="G121" s="168"/>
      <c r="H121" s="168"/>
      <c r="I121" s="168"/>
      <c r="J121" s="155"/>
      <c r="K121" s="155"/>
      <c r="L121" s="155"/>
      <c r="M121" s="155"/>
      <c r="N121" s="155"/>
      <c r="O121" s="155"/>
      <c r="P121" s="155"/>
      <c r="Q121" s="155"/>
      <c r="R121" s="155"/>
      <c r="S121" s="155"/>
      <c r="T121" s="155"/>
      <c r="U121" s="155"/>
      <c r="V121" s="155"/>
      <c r="W121" s="155"/>
      <c r="X121" s="99"/>
      <c r="Y121" s="99"/>
      <c r="Z121" s="99"/>
      <c r="AA121" s="99"/>
      <c r="AB121" s="99"/>
      <c r="AC121" s="99"/>
      <c r="AD121" s="99"/>
      <c r="AE121" s="99"/>
      <c r="AF121" s="99"/>
      <c r="AG121" s="99"/>
      <c r="AH121" s="99"/>
      <c r="AI121" s="99"/>
      <c r="AJ121" s="99"/>
      <c r="AK121" s="99"/>
      <c r="AL121" s="99"/>
      <c r="AM121" s="99"/>
      <c r="AN121" s="99"/>
      <c r="AO121" s="99"/>
      <c r="AP121" s="169"/>
      <c r="AQ121" s="99"/>
      <c r="AR121" s="170"/>
      <c r="AS121" s="171"/>
      <c r="AT121" s="172"/>
      <c r="AW121" s="98"/>
      <c r="AX121" s="98"/>
      <c r="AY121" s="98"/>
      <c r="AZ121" s="98"/>
    </row>
    <row r="122" spans="3:52" x14ac:dyDescent="0.2">
      <c r="C122" s="99"/>
      <c r="D122" s="100"/>
      <c r="E122" s="100"/>
      <c r="F122" s="98"/>
      <c r="G122" s="168"/>
      <c r="H122" s="168"/>
      <c r="I122" s="168"/>
      <c r="J122" s="155"/>
      <c r="K122" s="155"/>
      <c r="L122" s="155"/>
      <c r="M122" s="155"/>
      <c r="N122" s="155"/>
      <c r="O122" s="155"/>
      <c r="P122" s="155"/>
      <c r="Q122" s="155"/>
      <c r="R122" s="155"/>
      <c r="S122" s="155"/>
      <c r="T122" s="155"/>
      <c r="U122" s="155"/>
      <c r="V122" s="155"/>
      <c r="W122" s="155"/>
      <c r="X122" s="99"/>
      <c r="Y122" s="99"/>
      <c r="Z122" s="99"/>
      <c r="AA122" s="99"/>
      <c r="AB122" s="99"/>
      <c r="AC122" s="99"/>
      <c r="AD122" s="99"/>
      <c r="AE122" s="99"/>
      <c r="AF122" s="99"/>
      <c r="AG122" s="99"/>
      <c r="AH122" s="99"/>
      <c r="AI122" s="99"/>
      <c r="AJ122" s="99"/>
      <c r="AK122" s="99"/>
      <c r="AL122" s="99"/>
      <c r="AM122" s="99"/>
      <c r="AN122" s="99"/>
      <c r="AO122" s="99"/>
      <c r="AP122" s="169"/>
      <c r="AQ122" s="99"/>
      <c r="AR122" s="170"/>
      <c r="AS122" s="171"/>
      <c r="AT122" s="172"/>
      <c r="AW122" s="98"/>
      <c r="AX122" s="98"/>
      <c r="AY122" s="98"/>
      <c r="AZ122" s="98"/>
    </row>
    <row r="123" spans="3:52" x14ac:dyDescent="0.2">
      <c r="C123" s="99"/>
      <c r="D123" s="100"/>
      <c r="E123" s="100"/>
      <c r="F123" s="98"/>
      <c r="G123" s="168"/>
      <c r="H123" s="168"/>
      <c r="I123" s="168"/>
      <c r="J123" s="155"/>
      <c r="K123" s="155"/>
      <c r="L123" s="155"/>
      <c r="M123" s="155"/>
      <c r="N123" s="155"/>
      <c r="O123" s="155"/>
      <c r="P123" s="155"/>
      <c r="Q123" s="155"/>
      <c r="R123" s="155"/>
      <c r="S123" s="155"/>
      <c r="T123" s="155"/>
      <c r="U123" s="155"/>
      <c r="V123" s="155"/>
      <c r="W123" s="155"/>
      <c r="X123" s="99"/>
      <c r="Y123" s="99"/>
      <c r="Z123" s="99"/>
      <c r="AA123" s="99"/>
      <c r="AB123" s="99"/>
      <c r="AC123" s="99"/>
      <c r="AD123" s="99"/>
      <c r="AE123" s="99"/>
      <c r="AF123" s="99"/>
      <c r="AG123" s="99"/>
      <c r="AH123" s="99"/>
      <c r="AI123" s="99"/>
      <c r="AJ123" s="99"/>
      <c r="AK123" s="99"/>
      <c r="AL123" s="99"/>
      <c r="AM123" s="99"/>
      <c r="AN123" s="99"/>
      <c r="AO123" s="99"/>
      <c r="AP123" s="169"/>
      <c r="AQ123" s="99"/>
      <c r="AR123" s="170"/>
      <c r="AS123" s="171"/>
      <c r="AT123" s="172"/>
      <c r="AW123" s="98"/>
      <c r="AX123" s="98"/>
      <c r="AY123" s="98"/>
      <c r="AZ123" s="98"/>
    </row>
    <row r="124" spans="3:52" x14ac:dyDescent="0.2">
      <c r="C124" s="99"/>
      <c r="D124" s="100"/>
      <c r="E124" s="100"/>
      <c r="F124" s="98"/>
      <c r="G124" s="168"/>
      <c r="H124" s="168"/>
      <c r="I124" s="168"/>
      <c r="J124" s="155"/>
      <c r="K124" s="155"/>
      <c r="L124" s="155"/>
      <c r="M124" s="155"/>
      <c r="N124" s="155"/>
      <c r="O124" s="155"/>
      <c r="P124" s="155"/>
      <c r="Q124" s="155"/>
      <c r="R124" s="155"/>
      <c r="S124" s="155"/>
      <c r="T124" s="155"/>
      <c r="U124" s="155"/>
      <c r="V124" s="155"/>
      <c r="W124" s="155"/>
      <c r="X124" s="99"/>
      <c r="Y124" s="99"/>
      <c r="Z124" s="99"/>
      <c r="AA124" s="99"/>
      <c r="AB124" s="99"/>
      <c r="AC124" s="99"/>
      <c r="AD124" s="99"/>
      <c r="AE124" s="99"/>
      <c r="AF124" s="99"/>
      <c r="AG124" s="99"/>
      <c r="AH124" s="99"/>
      <c r="AI124" s="99"/>
      <c r="AJ124" s="99"/>
      <c r="AK124" s="99"/>
      <c r="AL124" s="99"/>
      <c r="AM124" s="99"/>
      <c r="AN124" s="99"/>
      <c r="AO124" s="99"/>
      <c r="AP124" s="169"/>
      <c r="AQ124" s="99"/>
      <c r="AR124" s="170"/>
      <c r="AS124" s="171"/>
      <c r="AT124" s="172"/>
      <c r="AW124" s="98"/>
      <c r="AX124" s="98"/>
      <c r="AY124" s="98"/>
      <c r="AZ124" s="98"/>
    </row>
    <row r="125" spans="3:52" x14ac:dyDescent="0.2">
      <c r="C125" s="99"/>
      <c r="D125" s="100"/>
      <c r="E125" s="100"/>
      <c r="F125" s="98"/>
      <c r="G125" s="168"/>
      <c r="H125" s="168"/>
      <c r="I125" s="168"/>
      <c r="J125" s="155"/>
      <c r="K125" s="155"/>
      <c r="L125" s="155"/>
      <c r="M125" s="155"/>
      <c r="N125" s="155"/>
      <c r="O125" s="155"/>
      <c r="P125" s="155"/>
      <c r="Q125" s="155"/>
      <c r="R125" s="155"/>
      <c r="S125" s="155"/>
      <c r="T125" s="155"/>
      <c r="U125" s="155"/>
      <c r="V125" s="155"/>
      <c r="W125" s="155"/>
      <c r="X125" s="99"/>
      <c r="Y125" s="99"/>
      <c r="Z125" s="99"/>
      <c r="AA125" s="99"/>
      <c r="AB125" s="99"/>
      <c r="AC125" s="99"/>
      <c r="AD125" s="99"/>
      <c r="AE125" s="99"/>
      <c r="AF125" s="99"/>
      <c r="AG125" s="99"/>
      <c r="AH125" s="99"/>
      <c r="AI125" s="99"/>
      <c r="AJ125" s="99"/>
      <c r="AK125" s="99"/>
      <c r="AL125" s="99"/>
      <c r="AM125" s="99"/>
      <c r="AN125" s="99"/>
      <c r="AO125" s="99"/>
      <c r="AP125" s="169"/>
      <c r="AQ125" s="99"/>
      <c r="AR125" s="170"/>
      <c r="AS125" s="171"/>
      <c r="AT125" s="172"/>
      <c r="AW125" s="98"/>
      <c r="AX125" s="98"/>
      <c r="AY125" s="98"/>
      <c r="AZ125" s="98"/>
    </row>
    <row r="126" spans="3:52" x14ac:dyDescent="0.2">
      <c r="C126" s="99"/>
      <c r="D126" s="100"/>
      <c r="E126" s="100"/>
      <c r="F126" s="98"/>
      <c r="G126" s="168"/>
      <c r="H126" s="168"/>
      <c r="I126" s="168"/>
      <c r="J126" s="155"/>
      <c r="K126" s="155"/>
      <c r="L126" s="155"/>
      <c r="M126" s="155"/>
      <c r="N126" s="155"/>
      <c r="O126" s="155"/>
      <c r="P126" s="155"/>
      <c r="Q126" s="155"/>
      <c r="R126" s="155"/>
      <c r="S126" s="155"/>
      <c r="T126" s="155"/>
      <c r="U126" s="155"/>
      <c r="V126" s="155"/>
      <c r="W126" s="155"/>
      <c r="X126" s="99"/>
      <c r="Y126" s="99"/>
      <c r="Z126" s="99"/>
      <c r="AA126" s="99"/>
      <c r="AB126" s="99"/>
      <c r="AC126" s="99"/>
      <c r="AD126" s="99"/>
      <c r="AE126" s="99"/>
      <c r="AF126" s="99"/>
      <c r="AG126" s="99"/>
      <c r="AH126" s="99"/>
      <c r="AI126" s="99"/>
      <c r="AJ126" s="99"/>
      <c r="AK126" s="99"/>
      <c r="AL126" s="99"/>
      <c r="AM126" s="99"/>
      <c r="AN126" s="99"/>
      <c r="AO126" s="99"/>
      <c r="AP126" s="169"/>
      <c r="AQ126" s="99"/>
      <c r="AR126" s="170"/>
      <c r="AS126" s="171"/>
      <c r="AT126" s="172"/>
      <c r="AW126" s="98"/>
      <c r="AX126" s="98"/>
      <c r="AY126" s="98"/>
      <c r="AZ126" s="98"/>
    </row>
    <row r="127" spans="3:52" x14ac:dyDescent="0.2">
      <c r="C127" s="99"/>
      <c r="D127" s="100"/>
      <c r="E127" s="100"/>
      <c r="F127" s="98"/>
      <c r="G127" s="168"/>
      <c r="H127" s="168"/>
      <c r="I127" s="168"/>
      <c r="J127" s="155"/>
      <c r="K127" s="155"/>
      <c r="L127" s="155"/>
      <c r="M127" s="155"/>
      <c r="N127" s="155"/>
      <c r="O127" s="155"/>
      <c r="P127" s="155"/>
      <c r="Q127" s="155"/>
      <c r="R127" s="155"/>
      <c r="S127" s="155"/>
      <c r="T127" s="155"/>
      <c r="U127" s="155"/>
      <c r="V127" s="155"/>
      <c r="W127" s="155"/>
      <c r="X127" s="99"/>
      <c r="Y127" s="99"/>
      <c r="Z127" s="99"/>
      <c r="AA127" s="99"/>
      <c r="AB127" s="99"/>
      <c r="AC127" s="99"/>
      <c r="AD127" s="99"/>
      <c r="AE127" s="99"/>
      <c r="AF127" s="99"/>
      <c r="AG127" s="99"/>
      <c r="AH127" s="99"/>
      <c r="AI127" s="99"/>
      <c r="AJ127" s="99"/>
      <c r="AK127" s="99"/>
      <c r="AL127" s="99"/>
      <c r="AM127" s="99"/>
      <c r="AN127" s="99"/>
      <c r="AO127" s="99"/>
      <c r="AP127" s="169"/>
      <c r="AQ127" s="99"/>
      <c r="AR127" s="170"/>
      <c r="AS127" s="171"/>
      <c r="AT127" s="172"/>
      <c r="AW127" s="98"/>
      <c r="AX127" s="98"/>
      <c r="AY127" s="98"/>
      <c r="AZ127" s="98"/>
    </row>
    <row r="128" spans="3:52" x14ac:dyDescent="0.2">
      <c r="C128" s="99"/>
      <c r="D128" s="100"/>
      <c r="E128" s="100"/>
      <c r="F128" s="98"/>
      <c r="G128" s="168"/>
      <c r="H128" s="168"/>
      <c r="I128" s="168"/>
      <c r="J128" s="155"/>
      <c r="K128" s="155"/>
      <c r="L128" s="155"/>
      <c r="M128" s="155"/>
      <c r="N128" s="155"/>
      <c r="O128" s="155"/>
      <c r="P128" s="155"/>
      <c r="Q128" s="155"/>
      <c r="R128" s="155"/>
      <c r="S128" s="155"/>
      <c r="T128" s="155"/>
      <c r="U128" s="155"/>
      <c r="V128" s="155"/>
      <c r="W128" s="155"/>
      <c r="X128" s="99"/>
      <c r="Y128" s="99"/>
      <c r="Z128" s="99"/>
      <c r="AA128" s="99"/>
      <c r="AB128" s="99"/>
      <c r="AC128" s="99"/>
      <c r="AD128" s="99"/>
      <c r="AE128" s="99"/>
      <c r="AF128" s="99"/>
      <c r="AG128" s="99"/>
      <c r="AH128" s="99"/>
      <c r="AI128" s="99"/>
      <c r="AJ128" s="99"/>
      <c r="AK128" s="99"/>
      <c r="AL128" s="99"/>
      <c r="AM128" s="99"/>
      <c r="AN128" s="99"/>
      <c r="AO128" s="99"/>
      <c r="AP128" s="169"/>
      <c r="AQ128" s="99"/>
      <c r="AR128" s="170"/>
      <c r="AS128" s="171"/>
      <c r="AT128" s="172"/>
      <c r="AW128" s="98"/>
      <c r="AX128" s="98"/>
      <c r="AY128" s="98"/>
      <c r="AZ128" s="98"/>
    </row>
    <row r="129" spans="3:52" x14ac:dyDescent="0.2">
      <c r="C129" s="99"/>
      <c r="D129" s="100"/>
      <c r="E129" s="100"/>
      <c r="F129" s="98"/>
      <c r="G129" s="168"/>
      <c r="H129" s="168"/>
      <c r="I129" s="168"/>
      <c r="J129" s="155"/>
      <c r="K129" s="155"/>
      <c r="L129" s="155"/>
      <c r="M129" s="155"/>
      <c r="N129" s="155"/>
      <c r="O129" s="155"/>
      <c r="P129" s="155"/>
      <c r="Q129" s="155"/>
      <c r="R129" s="155"/>
      <c r="S129" s="155"/>
      <c r="T129" s="155"/>
      <c r="U129" s="155"/>
      <c r="V129" s="155"/>
      <c r="W129" s="155"/>
      <c r="X129" s="99"/>
      <c r="Y129" s="99"/>
      <c r="Z129" s="99"/>
      <c r="AA129" s="99"/>
      <c r="AB129" s="99"/>
      <c r="AC129" s="99"/>
      <c r="AD129" s="99"/>
      <c r="AE129" s="99"/>
      <c r="AF129" s="99"/>
      <c r="AG129" s="99"/>
      <c r="AH129" s="99"/>
      <c r="AI129" s="99"/>
      <c r="AJ129" s="99"/>
      <c r="AK129" s="99"/>
      <c r="AL129" s="99"/>
      <c r="AM129" s="99"/>
      <c r="AN129" s="99"/>
      <c r="AO129" s="99"/>
      <c r="AP129" s="169"/>
      <c r="AQ129" s="99"/>
      <c r="AR129" s="170"/>
      <c r="AS129" s="171"/>
      <c r="AT129" s="172"/>
      <c r="AW129" s="98"/>
      <c r="AX129" s="98"/>
      <c r="AY129" s="98"/>
      <c r="AZ129" s="98"/>
    </row>
    <row r="130" spans="3:52" x14ac:dyDescent="0.2">
      <c r="C130" s="99"/>
      <c r="D130" s="100"/>
      <c r="E130" s="100"/>
      <c r="F130" s="98"/>
      <c r="G130" s="168"/>
      <c r="H130" s="168"/>
      <c r="I130" s="168"/>
      <c r="J130" s="155"/>
      <c r="K130" s="155"/>
      <c r="L130" s="155"/>
      <c r="M130" s="155"/>
      <c r="N130" s="155"/>
      <c r="O130" s="155"/>
      <c r="P130" s="155"/>
      <c r="Q130" s="155"/>
      <c r="R130" s="155"/>
      <c r="S130" s="155"/>
      <c r="T130" s="155"/>
      <c r="U130" s="155"/>
      <c r="V130" s="155"/>
      <c r="W130" s="155"/>
      <c r="X130" s="99"/>
      <c r="Y130" s="99"/>
      <c r="Z130" s="99"/>
      <c r="AA130" s="99"/>
      <c r="AB130" s="99"/>
      <c r="AC130" s="99"/>
      <c r="AD130" s="99"/>
      <c r="AE130" s="99"/>
      <c r="AF130" s="99"/>
      <c r="AG130" s="99"/>
      <c r="AH130" s="99"/>
      <c r="AI130" s="99"/>
      <c r="AJ130" s="99"/>
      <c r="AK130" s="99"/>
      <c r="AL130" s="99"/>
      <c r="AM130" s="99"/>
      <c r="AN130" s="99"/>
      <c r="AO130" s="99"/>
      <c r="AP130" s="169"/>
      <c r="AQ130" s="99"/>
      <c r="AR130" s="170"/>
      <c r="AS130" s="171"/>
      <c r="AT130" s="172"/>
      <c r="AW130" s="98"/>
      <c r="AX130" s="98"/>
      <c r="AY130" s="98"/>
      <c r="AZ130" s="98"/>
    </row>
    <row r="131" spans="3:52" x14ac:dyDescent="0.2">
      <c r="C131" s="99"/>
      <c r="D131" s="100"/>
      <c r="E131" s="100"/>
      <c r="F131" s="98"/>
      <c r="G131" s="168"/>
      <c r="H131" s="168"/>
      <c r="I131" s="168"/>
      <c r="J131" s="155"/>
      <c r="K131" s="155"/>
      <c r="L131" s="155"/>
      <c r="M131" s="155"/>
      <c r="N131" s="155"/>
      <c r="O131" s="155"/>
      <c r="P131" s="155"/>
      <c r="Q131" s="155"/>
      <c r="R131" s="155"/>
      <c r="S131" s="155"/>
      <c r="T131" s="155"/>
      <c r="U131" s="155"/>
      <c r="V131" s="155"/>
      <c r="W131" s="155"/>
      <c r="X131" s="99"/>
      <c r="Y131" s="99"/>
      <c r="Z131" s="99"/>
      <c r="AA131" s="99"/>
      <c r="AB131" s="99"/>
      <c r="AC131" s="99"/>
      <c r="AD131" s="99"/>
      <c r="AE131" s="99"/>
      <c r="AF131" s="99"/>
      <c r="AG131" s="99"/>
      <c r="AH131" s="99"/>
      <c r="AI131" s="99"/>
      <c r="AJ131" s="99"/>
      <c r="AK131" s="99"/>
      <c r="AL131" s="99"/>
      <c r="AM131" s="99"/>
      <c r="AN131" s="99"/>
      <c r="AO131" s="99"/>
      <c r="AP131" s="169"/>
      <c r="AQ131" s="99"/>
      <c r="AR131" s="170"/>
      <c r="AS131" s="171"/>
      <c r="AT131" s="172"/>
      <c r="AW131" s="98"/>
      <c r="AX131" s="98"/>
      <c r="AY131" s="98"/>
      <c r="AZ131" s="98"/>
    </row>
    <row r="132" spans="3:52" x14ac:dyDescent="0.2">
      <c r="C132" s="99"/>
      <c r="D132" s="100"/>
      <c r="E132" s="100"/>
      <c r="F132" s="98"/>
      <c r="G132" s="168"/>
      <c r="H132" s="168"/>
      <c r="I132" s="168"/>
      <c r="J132" s="155"/>
      <c r="K132" s="155"/>
      <c r="L132" s="155"/>
      <c r="M132" s="155"/>
      <c r="N132" s="155"/>
      <c r="O132" s="155"/>
      <c r="P132" s="155"/>
      <c r="Q132" s="155"/>
      <c r="R132" s="155"/>
      <c r="S132" s="155"/>
      <c r="T132" s="155"/>
      <c r="U132" s="155"/>
      <c r="V132" s="155"/>
      <c r="W132" s="155"/>
      <c r="X132" s="99"/>
      <c r="Y132" s="99"/>
      <c r="Z132" s="99"/>
      <c r="AA132" s="99"/>
      <c r="AB132" s="99"/>
      <c r="AC132" s="99"/>
      <c r="AD132" s="99"/>
      <c r="AE132" s="99"/>
      <c r="AF132" s="99"/>
      <c r="AG132" s="99"/>
      <c r="AH132" s="99"/>
      <c r="AI132" s="99"/>
      <c r="AJ132" s="99"/>
      <c r="AK132" s="99"/>
      <c r="AL132" s="99"/>
      <c r="AM132" s="99"/>
      <c r="AN132" s="99"/>
      <c r="AO132" s="99"/>
      <c r="AP132" s="169"/>
      <c r="AQ132" s="99"/>
      <c r="AR132" s="170"/>
      <c r="AS132" s="171"/>
      <c r="AT132" s="172"/>
      <c r="AW132" s="98"/>
      <c r="AX132" s="98"/>
      <c r="AY132" s="98"/>
      <c r="AZ132" s="98"/>
    </row>
    <row r="133" spans="3:52" x14ac:dyDescent="0.2">
      <c r="C133" s="99"/>
      <c r="D133" s="100"/>
      <c r="E133" s="100"/>
      <c r="F133" s="98"/>
      <c r="G133" s="168"/>
      <c r="H133" s="168"/>
      <c r="I133" s="168"/>
      <c r="J133" s="155"/>
      <c r="K133" s="155"/>
      <c r="L133" s="155"/>
      <c r="M133" s="155"/>
      <c r="N133" s="155"/>
      <c r="O133" s="155"/>
      <c r="P133" s="155"/>
      <c r="Q133" s="155"/>
      <c r="R133" s="155"/>
      <c r="S133" s="155"/>
      <c r="T133" s="155"/>
      <c r="U133" s="155"/>
      <c r="V133" s="155"/>
      <c r="W133" s="155"/>
      <c r="X133" s="99"/>
      <c r="Y133" s="99"/>
      <c r="Z133" s="99"/>
      <c r="AA133" s="99"/>
      <c r="AB133" s="99"/>
      <c r="AC133" s="99"/>
      <c r="AD133" s="99"/>
      <c r="AE133" s="99"/>
      <c r="AF133" s="99"/>
      <c r="AG133" s="99"/>
      <c r="AH133" s="99"/>
      <c r="AI133" s="99"/>
      <c r="AJ133" s="99"/>
      <c r="AK133" s="99"/>
      <c r="AL133" s="99"/>
      <c r="AM133" s="99"/>
      <c r="AN133" s="99"/>
      <c r="AO133" s="99"/>
      <c r="AP133" s="169"/>
      <c r="AQ133" s="99"/>
      <c r="AR133" s="170"/>
      <c r="AS133" s="171"/>
      <c r="AT133" s="172"/>
      <c r="AW133" s="98"/>
      <c r="AX133" s="98"/>
      <c r="AY133" s="98"/>
      <c r="AZ133" s="98"/>
    </row>
    <row r="134" spans="3:52" x14ac:dyDescent="0.2">
      <c r="C134" s="99"/>
      <c r="D134" s="100"/>
      <c r="E134" s="100"/>
      <c r="F134" s="98"/>
      <c r="G134" s="168"/>
      <c r="H134" s="168"/>
      <c r="I134" s="168"/>
      <c r="J134" s="155"/>
      <c r="K134" s="155"/>
      <c r="L134" s="155"/>
      <c r="M134" s="155"/>
      <c r="N134" s="155"/>
      <c r="O134" s="155"/>
      <c r="P134" s="155"/>
      <c r="Q134" s="155"/>
      <c r="R134" s="155"/>
      <c r="S134" s="155"/>
      <c r="T134" s="155"/>
      <c r="U134" s="155"/>
      <c r="V134" s="155"/>
      <c r="W134" s="155"/>
      <c r="X134" s="99"/>
      <c r="Y134" s="99"/>
      <c r="Z134" s="99"/>
      <c r="AA134" s="99"/>
      <c r="AB134" s="99"/>
      <c r="AC134" s="99"/>
      <c r="AD134" s="99"/>
      <c r="AE134" s="99"/>
      <c r="AF134" s="99"/>
      <c r="AG134" s="99"/>
      <c r="AH134" s="99"/>
      <c r="AI134" s="99"/>
      <c r="AJ134" s="99"/>
      <c r="AK134" s="99"/>
      <c r="AL134" s="99"/>
      <c r="AM134" s="99"/>
      <c r="AN134" s="99"/>
      <c r="AO134" s="99"/>
      <c r="AP134" s="169"/>
      <c r="AQ134" s="99"/>
      <c r="AR134" s="170"/>
      <c r="AS134" s="171"/>
      <c r="AT134" s="172"/>
      <c r="AW134" s="98"/>
      <c r="AX134" s="98"/>
      <c r="AY134" s="98"/>
      <c r="AZ134" s="98"/>
    </row>
    <row r="135" spans="3:52" x14ac:dyDescent="0.2">
      <c r="C135" s="99"/>
      <c r="D135" s="100"/>
      <c r="E135" s="100"/>
      <c r="F135" s="98"/>
      <c r="G135" s="168"/>
      <c r="H135" s="168"/>
      <c r="I135" s="168"/>
      <c r="J135" s="155"/>
      <c r="K135" s="155"/>
      <c r="L135" s="155"/>
      <c r="M135" s="155"/>
      <c r="N135" s="155"/>
      <c r="O135" s="155"/>
      <c r="P135" s="155"/>
      <c r="Q135" s="155"/>
      <c r="R135" s="155"/>
      <c r="S135" s="155"/>
      <c r="T135" s="155"/>
      <c r="U135" s="155"/>
      <c r="V135" s="155"/>
      <c r="W135" s="155"/>
      <c r="X135" s="99"/>
      <c r="Y135" s="99"/>
      <c r="Z135" s="99"/>
      <c r="AA135" s="99"/>
      <c r="AB135" s="99"/>
      <c r="AC135" s="99"/>
      <c r="AD135" s="99"/>
      <c r="AE135" s="99"/>
      <c r="AF135" s="99"/>
      <c r="AG135" s="99"/>
      <c r="AH135" s="99"/>
      <c r="AI135" s="99"/>
      <c r="AJ135" s="99"/>
      <c r="AK135" s="99"/>
      <c r="AL135" s="99"/>
      <c r="AM135" s="99"/>
      <c r="AN135" s="99"/>
      <c r="AO135" s="99"/>
      <c r="AP135" s="169"/>
      <c r="AQ135" s="99"/>
      <c r="AR135" s="170"/>
      <c r="AS135" s="171"/>
      <c r="AT135" s="172"/>
      <c r="AW135" s="98"/>
      <c r="AX135" s="98"/>
      <c r="AY135" s="98"/>
      <c r="AZ135" s="98"/>
    </row>
    <row r="136" spans="3:52" x14ac:dyDescent="0.2">
      <c r="C136" s="99"/>
      <c r="D136" s="100"/>
      <c r="E136" s="100"/>
      <c r="F136" s="98"/>
      <c r="G136" s="168"/>
      <c r="H136" s="168"/>
      <c r="I136" s="168"/>
      <c r="J136" s="155"/>
      <c r="K136" s="155"/>
      <c r="L136" s="155"/>
      <c r="M136" s="155"/>
      <c r="N136" s="155"/>
      <c r="O136" s="155"/>
      <c r="P136" s="155"/>
      <c r="Q136" s="155"/>
      <c r="R136" s="155"/>
      <c r="S136" s="155"/>
      <c r="T136" s="155"/>
      <c r="U136" s="155"/>
      <c r="V136" s="155"/>
      <c r="W136" s="155"/>
      <c r="X136" s="99"/>
      <c r="Y136" s="99"/>
      <c r="Z136" s="99"/>
      <c r="AA136" s="99"/>
      <c r="AB136" s="99"/>
      <c r="AC136" s="99"/>
      <c r="AD136" s="99"/>
      <c r="AE136" s="99"/>
      <c r="AF136" s="99"/>
      <c r="AG136" s="99"/>
      <c r="AH136" s="99"/>
      <c r="AI136" s="99"/>
      <c r="AJ136" s="99"/>
      <c r="AK136" s="99"/>
      <c r="AL136" s="99"/>
      <c r="AM136" s="99"/>
      <c r="AN136" s="99"/>
      <c r="AO136" s="99"/>
      <c r="AP136" s="169"/>
      <c r="AQ136" s="99"/>
      <c r="AR136" s="170"/>
      <c r="AS136" s="171"/>
      <c r="AT136" s="172"/>
      <c r="AW136" s="98"/>
      <c r="AX136" s="98"/>
      <c r="AY136" s="98"/>
      <c r="AZ136" s="98"/>
    </row>
    <row r="137" spans="3:52" x14ac:dyDescent="0.2">
      <c r="C137" s="99"/>
      <c r="D137" s="100"/>
      <c r="E137" s="100"/>
      <c r="F137" s="98"/>
      <c r="G137" s="168"/>
      <c r="H137" s="168"/>
      <c r="I137" s="168"/>
      <c r="J137" s="155"/>
      <c r="K137" s="155"/>
      <c r="L137" s="155"/>
      <c r="M137" s="155"/>
      <c r="N137" s="155"/>
      <c r="O137" s="155"/>
      <c r="P137" s="155"/>
      <c r="Q137" s="155"/>
      <c r="R137" s="155"/>
      <c r="S137" s="155"/>
      <c r="T137" s="155"/>
      <c r="U137" s="155"/>
      <c r="V137" s="155"/>
      <c r="W137" s="155"/>
      <c r="X137" s="99"/>
      <c r="Y137" s="99"/>
      <c r="Z137" s="99"/>
      <c r="AA137" s="99"/>
      <c r="AB137" s="99"/>
      <c r="AC137" s="99"/>
      <c r="AD137" s="99"/>
      <c r="AE137" s="99"/>
      <c r="AF137" s="99"/>
      <c r="AG137" s="99"/>
      <c r="AH137" s="99"/>
      <c r="AI137" s="99"/>
      <c r="AJ137" s="99"/>
      <c r="AK137" s="99"/>
      <c r="AL137" s="99"/>
      <c r="AM137" s="99"/>
      <c r="AN137" s="99"/>
      <c r="AO137" s="99"/>
      <c r="AP137" s="169"/>
      <c r="AQ137" s="99"/>
      <c r="AR137" s="170"/>
      <c r="AS137" s="171"/>
      <c r="AT137" s="172"/>
      <c r="AW137" s="98"/>
      <c r="AX137" s="98"/>
      <c r="AY137" s="98"/>
      <c r="AZ137" s="98"/>
    </row>
    <row r="138" spans="3:52" x14ac:dyDescent="0.2">
      <c r="C138" s="99"/>
      <c r="D138" s="100"/>
      <c r="E138" s="100"/>
      <c r="F138" s="98"/>
      <c r="G138" s="168"/>
      <c r="H138" s="168"/>
      <c r="I138" s="168"/>
      <c r="J138" s="155"/>
      <c r="K138" s="155"/>
      <c r="L138" s="155"/>
      <c r="M138" s="155"/>
      <c r="N138" s="155"/>
      <c r="O138" s="155"/>
      <c r="P138" s="155"/>
      <c r="Q138" s="155"/>
      <c r="R138" s="155"/>
      <c r="S138" s="155"/>
      <c r="T138" s="155"/>
      <c r="U138" s="155"/>
      <c r="V138" s="155"/>
      <c r="W138" s="155"/>
      <c r="X138" s="99"/>
      <c r="Y138" s="99"/>
      <c r="Z138" s="99"/>
      <c r="AA138" s="99"/>
      <c r="AB138" s="99"/>
      <c r="AC138" s="99"/>
      <c r="AD138" s="99"/>
      <c r="AE138" s="99"/>
      <c r="AF138" s="99"/>
      <c r="AG138" s="99"/>
      <c r="AH138" s="99"/>
      <c r="AI138" s="99"/>
      <c r="AJ138" s="99"/>
      <c r="AK138" s="99"/>
      <c r="AL138" s="99"/>
      <c r="AM138" s="99"/>
      <c r="AN138" s="99"/>
      <c r="AO138" s="99"/>
      <c r="AP138" s="169"/>
      <c r="AQ138" s="99"/>
      <c r="AR138" s="170"/>
      <c r="AS138" s="171"/>
      <c r="AT138" s="172"/>
      <c r="AW138" s="98"/>
      <c r="AX138" s="98"/>
      <c r="AY138" s="98"/>
      <c r="AZ138" s="98"/>
    </row>
    <row r="139" spans="3:52" x14ac:dyDescent="0.2">
      <c r="C139" s="99"/>
      <c r="D139" s="100"/>
      <c r="E139" s="100"/>
      <c r="F139" s="98"/>
      <c r="G139" s="168"/>
      <c r="H139" s="168"/>
      <c r="I139" s="168"/>
      <c r="J139" s="155"/>
      <c r="K139" s="155"/>
      <c r="L139" s="155"/>
      <c r="M139" s="155"/>
      <c r="N139" s="155"/>
      <c r="O139" s="155"/>
      <c r="P139" s="155"/>
      <c r="Q139" s="155"/>
      <c r="R139" s="155"/>
      <c r="S139" s="155"/>
      <c r="T139" s="155"/>
      <c r="U139" s="155"/>
      <c r="V139" s="155"/>
      <c r="W139" s="155"/>
      <c r="X139" s="99"/>
      <c r="Y139" s="99"/>
      <c r="Z139" s="99"/>
      <c r="AA139" s="99"/>
      <c r="AB139" s="99"/>
      <c r="AC139" s="99"/>
      <c r="AD139" s="99"/>
      <c r="AE139" s="99"/>
      <c r="AF139" s="99"/>
      <c r="AG139" s="99"/>
      <c r="AH139" s="99"/>
      <c r="AI139" s="99"/>
      <c r="AJ139" s="99"/>
      <c r="AK139" s="99"/>
      <c r="AL139" s="99"/>
      <c r="AM139" s="99"/>
      <c r="AN139" s="99"/>
      <c r="AO139" s="99"/>
      <c r="AP139" s="169"/>
      <c r="AQ139" s="99"/>
      <c r="AR139" s="170"/>
      <c r="AS139" s="171"/>
      <c r="AT139" s="172"/>
      <c r="AW139" s="98"/>
      <c r="AX139" s="98"/>
      <c r="AY139" s="98"/>
      <c r="AZ139" s="98"/>
    </row>
    <row r="140" spans="3:52" x14ac:dyDescent="0.2">
      <c r="C140" s="99"/>
      <c r="D140" s="100"/>
      <c r="E140" s="100"/>
      <c r="F140" s="98"/>
      <c r="G140" s="168"/>
      <c r="H140" s="168"/>
      <c r="I140" s="168"/>
      <c r="J140" s="155"/>
      <c r="K140" s="155"/>
      <c r="L140" s="155"/>
      <c r="M140" s="155"/>
      <c r="N140" s="155"/>
      <c r="O140" s="155"/>
      <c r="P140" s="155"/>
      <c r="Q140" s="155"/>
      <c r="R140" s="155"/>
      <c r="S140" s="155"/>
      <c r="T140" s="155"/>
      <c r="U140" s="155"/>
      <c r="V140" s="155"/>
      <c r="W140" s="155"/>
      <c r="X140" s="99"/>
      <c r="Y140" s="99"/>
      <c r="Z140" s="99"/>
      <c r="AA140" s="99"/>
      <c r="AB140" s="99"/>
      <c r="AC140" s="99"/>
      <c r="AD140" s="99"/>
      <c r="AE140" s="99"/>
      <c r="AF140" s="99"/>
      <c r="AG140" s="99"/>
      <c r="AH140" s="99"/>
      <c r="AI140" s="99"/>
      <c r="AJ140" s="99"/>
      <c r="AK140" s="99"/>
      <c r="AL140" s="99"/>
      <c r="AM140" s="99"/>
      <c r="AN140" s="99"/>
      <c r="AO140" s="99"/>
      <c r="AP140" s="169"/>
      <c r="AQ140" s="99"/>
      <c r="AR140" s="170"/>
      <c r="AS140" s="171"/>
      <c r="AT140" s="172"/>
      <c r="AW140" s="98"/>
      <c r="AX140" s="98"/>
      <c r="AY140" s="98"/>
      <c r="AZ140" s="98"/>
    </row>
    <row r="141" spans="3:52" x14ac:dyDescent="0.2">
      <c r="C141" s="99"/>
      <c r="D141" s="100"/>
      <c r="E141" s="100"/>
      <c r="F141" s="98"/>
      <c r="G141" s="168"/>
      <c r="H141" s="168"/>
      <c r="I141" s="168"/>
      <c r="J141" s="155"/>
      <c r="K141" s="155"/>
      <c r="L141" s="155"/>
      <c r="M141" s="155"/>
      <c r="N141" s="155"/>
      <c r="O141" s="155"/>
      <c r="P141" s="155"/>
      <c r="Q141" s="155"/>
      <c r="R141" s="155"/>
      <c r="S141" s="155"/>
      <c r="T141" s="155"/>
      <c r="U141" s="155"/>
      <c r="V141" s="155"/>
      <c r="W141" s="155"/>
      <c r="X141" s="99"/>
      <c r="Y141" s="99"/>
      <c r="Z141" s="99"/>
      <c r="AA141" s="99"/>
      <c r="AB141" s="99"/>
      <c r="AC141" s="99"/>
      <c r="AD141" s="99"/>
      <c r="AE141" s="99"/>
      <c r="AF141" s="99"/>
      <c r="AG141" s="99"/>
      <c r="AH141" s="99"/>
      <c r="AI141" s="99"/>
      <c r="AJ141" s="99"/>
      <c r="AK141" s="99"/>
      <c r="AL141" s="99"/>
      <c r="AM141" s="99"/>
      <c r="AN141" s="99"/>
      <c r="AO141" s="99"/>
      <c r="AP141" s="169"/>
      <c r="AQ141" s="99"/>
      <c r="AR141" s="170"/>
      <c r="AS141" s="171"/>
      <c r="AT141" s="172"/>
      <c r="AW141" s="98"/>
      <c r="AX141" s="98"/>
      <c r="AY141" s="98"/>
      <c r="AZ141" s="98"/>
    </row>
    <row r="142" spans="3:52" x14ac:dyDescent="0.2">
      <c r="C142" s="99"/>
      <c r="D142" s="100"/>
      <c r="E142" s="100"/>
      <c r="F142" s="98"/>
      <c r="G142" s="168"/>
      <c r="H142" s="168"/>
      <c r="I142" s="168"/>
      <c r="J142" s="155"/>
      <c r="K142" s="155"/>
      <c r="L142" s="155"/>
      <c r="M142" s="155"/>
      <c r="N142" s="155"/>
      <c r="O142" s="155"/>
      <c r="P142" s="155"/>
      <c r="Q142" s="155"/>
      <c r="R142" s="155"/>
      <c r="S142" s="155"/>
      <c r="T142" s="155"/>
      <c r="U142" s="155"/>
      <c r="V142" s="155"/>
      <c r="W142" s="155"/>
      <c r="X142" s="99"/>
      <c r="Y142" s="99"/>
      <c r="Z142" s="99"/>
      <c r="AA142" s="99"/>
      <c r="AB142" s="99"/>
      <c r="AC142" s="99"/>
      <c r="AD142" s="99"/>
      <c r="AE142" s="99"/>
      <c r="AF142" s="99"/>
      <c r="AG142" s="99"/>
      <c r="AH142" s="99"/>
      <c r="AI142" s="99"/>
      <c r="AJ142" s="99"/>
      <c r="AK142" s="99"/>
      <c r="AL142" s="99"/>
      <c r="AM142" s="99"/>
      <c r="AN142" s="99"/>
      <c r="AO142" s="99"/>
      <c r="AP142" s="169"/>
      <c r="AQ142" s="99"/>
      <c r="AR142" s="170"/>
      <c r="AS142" s="171"/>
      <c r="AT142" s="172"/>
      <c r="AW142" s="98"/>
      <c r="AX142" s="98"/>
      <c r="AY142" s="98"/>
      <c r="AZ142" s="98"/>
    </row>
    <row r="143" spans="3:52" x14ac:dyDescent="0.2">
      <c r="C143" s="99"/>
      <c r="D143" s="100"/>
      <c r="E143" s="100"/>
      <c r="F143" s="98"/>
      <c r="G143" s="168"/>
      <c r="H143" s="168"/>
      <c r="I143" s="168"/>
      <c r="J143" s="155"/>
      <c r="K143" s="155"/>
      <c r="L143" s="155"/>
      <c r="M143" s="155"/>
      <c r="N143" s="155"/>
      <c r="O143" s="155"/>
      <c r="P143" s="155"/>
      <c r="Q143" s="155"/>
      <c r="R143" s="155"/>
      <c r="S143" s="155"/>
      <c r="T143" s="155"/>
      <c r="U143" s="155"/>
      <c r="V143" s="155"/>
      <c r="W143" s="155"/>
      <c r="X143" s="99"/>
      <c r="Y143" s="99"/>
      <c r="Z143" s="99"/>
      <c r="AA143" s="99"/>
      <c r="AB143" s="99"/>
      <c r="AC143" s="99"/>
      <c r="AD143" s="99"/>
      <c r="AE143" s="99"/>
      <c r="AF143" s="99"/>
      <c r="AG143" s="99"/>
      <c r="AH143" s="99"/>
      <c r="AI143" s="99"/>
      <c r="AJ143" s="99"/>
      <c r="AK143" s="99"/>
      <c r="AL143" s="99"/>
      <c r="AM143" s="99"/>
      <c r="AN143" s="99"/>
      <c r="AO143" s="99"/>
      <c r="AP143" s="169"/>
      <c r="AQ143" s="99"/>
      <c r="AR143" s="170"/>
      <c r="AS143" s="171"/>
      <c r="AT143" s="172"/>
      <c r="AW143" s="98"/>
      <c r="AX143" s="98"/>
      <c r="AY143" s="98"/>
      <c r="AZ143" s="98"/>
    </row>
    <row r="144" spans="3:52" x14ac:dyDescent="0.2">
      <c r="C144" s="99"/>
      <c r="D144" s="100"/>
      <c r="E144" s="100"/>
      <c r="F144" s="98"/>
      <c r="G144" s="168"/>
      <c r="H144" s="168"/>
      <c r="I144" s="168"/>
      <c r="J144" s="155"/>
      <c r="K144" s="155"/>
      <c r="L144" s="155"/>
      <c r="M144" s="155"/>
      <c r="N144" s="155"/>
      <c r="O144" s="155"/>
      <c r="P144" s="155"/>
      <c r="Q144" s="155"/>
      <c r="R144" s="155"/>
      <c r="S144" s="155"/>
      <c r="T144" s="155"/>
      <c r="U144" s="155"/>
      <c r="V144" s="155"/>
      <c r="W144" s="155"/>
      <c r="X144" s="99"/>
      <c r="Y144" s="99"/>
      <c r="Z144" s="99"/>
      <c r="AA144" s="99"/>
      <c r="AB144" s="99"/>
      <c r="AC144" s="99"/>
      <c r="AD144" s="99"/>
      <c r="AE144" s="99"/>
      <c r="AF144" s="99"/>
      <c r="AG144" s="99"/>
      <c r="AH144" s="99"/>
      <c r="AI144" s="99"/>
      <c r="AJ144" s="99"/>
      <c r="AK144" s="99"/>
      <c r="AL144" s="99"/>
      <c r="AM144" s="99"/>
      <c r="AN144" s="99"/>
      <c r="AO144" s="99"/>
      <c r="AP144" s="169"/>
      <c r="AQ144" s="99"/>
      <c r="AR144" s="170"/>
      <c r="AS144" s="171"/>
      <c r="AT144" s="172"/>
      <c r="AW144" s="98"/>
      <c r="AX144" s="98"/>
      <c r="AY144" s="98"/>
      <c r="AZ144" s="98"/>
    </row>
    <row r="145" spans="3:52" x14ac:dyDescent="0.2">
      <c r="C145" s="99"/>
      <c r="D145" s="100"/>
      <c r="E145" s="100"/>
      <c r="F145" s="98"/>
      <c r="G145" s="168"/>
      <c r="H145" s="168"/>
      <c r="I145" s="168"/>
      <c r="J145" s="155"/>
      <c r="K145" s="155"/>
      <c r="L145" s="155"/>
      <c r="M145" s="155"/>
      <c r="N145" s="155"/>
      <c r="O145" s="155"/>
      <c r="P145" s="155"/>
      <c r="Q145" s="155"/>
      <c r="R145" s="155"/>
      <c r="S145" s="155"/>
      <c r="T145" s="155"/>
      <c r="U145" s="155"/>
      <c r="V145" s="155"/>
      <c r="W145" s="155"/>
      <c r="X145" s="99"/>
      <c r="Y145" s="99"/>
      <c r="Z145" s="99"/>
      <c r="AA145" s="99"/>
      <c r="AB145" s="99"/>
      <c r="AC145" s="99"/>
      <c r="AD145" s="99"/>
      <c r="AE145" s="99"/>
      <c r="AF145" s="99"/>
      <c r="AG145" s="99"/>
      <c r="AH145" s="99"/>
      <c r="AI145" s="99"/>
      <c r="AJ145" s="99"/>
      <c r="AK145" s="99"/>
      <c r="AL145" s="99"/>
      <c r="AM145" s="99"/>
      <c r="AN145" s="99"/>
      <c r="AO145" s="99"/>
      <c r="AP145" s="169"/>
      <c r="AQ145" s="99"/>
      <c r="AR145" s="170"/>
      <c r="AS145" s="171"/>
      <c r="AT145" s="172"/>
      <c r="AW145" s="98"/>
      <c r="AX145" s="98"/>
      <c r="AY145" s="98"/>
      <c r="AZ145" s="98"/>
    </row>
    <row r="146" spans="3:52" x14ac:dyDescent="0.2">
      <c r="C146" s="99"/>
      <c r="D146" s="100"/>
      <c r="E146" s="100"/>
      <c r="F146" s="98"/>
      <c r="G146" s="168"/>
      <c r="H146" s="168"/>
      <c r="I146" s="168"/>
      <c r="J146" s="155"/>
      <c r="K146" s="155"/>
      <c r="L146" s="155"/>
      <c r="M146" s="155"/>
      <c r="N146" s="155"/>
      <c r="O146" s="155"/>
      <c r="P146" s="155"/>
      <c r="Q146" s="155"/>
      <c r="R146" s="155"/>
      <c r="S146" s="155"/>
      <c r="T146" s="155"/>
      <c r="U146" s="155"/>
      <c r="V146" s="155"/>
      <c r="W146" s="155"/>
      <c r="X146" s="99"/>
      <c r="Y146" s="99"/>
      <c r="Z146" s="99"/>
      <c r="AA146" s="99"/>
      <c r="AB146" s="99"/>
      <c r="AC146" s="99"/>
      <c r="AD146" s="99"/>
      <c r="AE146" s="99"/>
      <c r="AF146" s="99"/>
      <c r="AG146" s="99"/>
      <c r="AH146" s="99"/>
      <c r="AI146" s="99"/>
      <c r="AJ146" s="99"/>
      <c r="AK146" s="99"/>
      <c r="AL146" s="99"/>
      <c r="AM146" s="99"/>
      <c r="AN146" s="99"/>
      <c r="AO146" s="99"/>
      <c r="AP146" s="169"/>
      <c r="AQ146" s="99"/>
      <c r="AR146" s="170"/>
      <c r="AS146" s="171"/>
      <c r="AT146" s="172"/>
      <c r="AW146" s="98"/>
      <c r="AX146" s="98"/>
      <c r="AY146" s="98"/>
      <c r="AZ146" s="98"/>
    </row>
    <row r="147" spans="3:52" x14ac:dyDescent="0.2">
      <c r="C147" s="99"/>
      <c r="D147" s="100"/>
      <c r="E147" s="100"/>
      <c r="F147" s="98"/>
      <c r="G147" s="168"/>
      <c r="H147" s="168"/>
      <c r="I147" s="168"/>
      <c r="J147" s="155"/>
      <c r="K147" s="155"/>
      <c r="L147" s="155"/>
      <c r="M147" s="155"/>
      <c r="N147" s="155"/>
      <c r="O147" s="155"/>
      <c r="P147" s="155"/>
      <c r="Q147" s="155"/>
      <c r="R147" s="155"/>
      <c r="S147" s="155"/>
      <c r="T147" s="155"/>
      <c r="U147" s="155"/>
      <c r="V147" s="155"/>
      <c r="W147" s="155"/>
      <c r="X147" s="99"/>
      <c r="Y147" s="99"/>
      <c r="Z147" s="99"/>
      <c r="AA147" s="99"/>
      <c r="AB147" s="99"/>
      <c r="AC147" s="99"/>
      <c r="AD147" s="99"/>
      <c r="AE147" s="99"/>
      <c r="AF147" s="99"/>
      <c r="AG147" s="99"/>
      <c r="AH147" s="99"/>
      <c r="AI147" s="99"/>
      <c r="AJ147" s="99"/>
      <c r="AK147" s="99"/>
      <c r="AL147" s="99"/>
      <c r="AM147" s="99"/>
      <c r="AN147" s="99"/>
      <c r="AO147" s="99"/>
      <c r="AP147" s="169"/>
      <c r="AQ147" s="99"/>
      <c r="AR147" s="170"/>
      <c r="AS147" s="171"/>
      <c r="AT147" s="172"/>
      <c r="AW147" s="98"/>
      <c r="AX147" s="98"/>
      <c r="AY147" s="98"/>
      <c r="AZ147" s="98"/>
    </row>
    <row r="148" spans="3:52" x14ac:dyDescent="0.2">
      <c r="C148" s="99"/>
      <c r="D148" s="100"/>
      <c r="E148" s="100"/>
      <c r="F148" s="98"/>
      <c r="G148" s="168"/>
      <c r="H148" s="168"/>
      <c r="I148" s="168"/>
      <c r="J148" s="155"/>
      <c r="K148" s="155"/>
      <c r="L148" s="155"/>
      <c r="M148" s="155"/>
      <c r="N148" s="155"/>
      <c r="O148" s="155"/>
      <c r="P148" s="155"/>
      <c r="Q148" s="155"/>
      <c r="R148" s="155"/>
      <c r="S148" s="155"/>
      <c r="T148" s="155"/>
      <c r="U148" s="155"/>
      <c r="V148" s="155"/>
      <c r="W148" s="155"/>
      <c r="X148" s="99"/>
      <c r="Y148" s="99"/>
      <c r="Z148" s="99"/>
      <c r="AA148" s="99"/>
      <c r="AB148" s="99"/>
      <c r="AC148" s="99"/>
      <c r="AD148" s="99"/>
      <c r="AE148" s="99"/>
      <c r="AF148" s="99"/>
      <c r="AG148" s="99"/>
      <c r="AH148" s="99"/>
      <c r="AI148" s="99"/>
      <c r="AJ148" s="99"/>
      <c r="AK148" s="99"/>
      <c r="AL148" s="99"/>
      <c r="AM148" s="99"/>
      <c r="AN148" s="99"/>
      <c r="AO148" s="99"/>
      <c r="AP148" s="169"/>
      <c r="AQ148" s="99"/>
      <c r="AR148" s="170"/>
      <c r="AS148" s="171"/>
      <c r="AT148" s="172"/>
      <c r="AW148" s="98"/>
      <c r="AX148" s="98"/>
      <c r="AY148" s="98"/>
      <c r="AZ148" s="98"/>
    </row>
    <row r="149" spans="3:52" x14ac:dyDescent="0.2">
      <c r="C149" s="99"/>
      <c r="D149" s="100"/>
      <c r="E149" s="100"/>
      <c r="F149" s="98"/>
      <c r="G149" s="168"/>
      <c r="H149" s="168"/>
      <c r="I149" s="168"/>
      <c r="J149" s="155"/>
      <c r="K149" s="155"/>
      <c r="L149" s="155"/>
      <c r="M149" s="155"/>
      <c r="N149" s="155"/>
      <c r="O149" s="155"/>
      <c r="P149" s="155"/>
      <c r="Q149" s="155"/>
      <c r="R149" s="155"/>
      <c r="S149" s="155"/>
      <c r="T149" s="155"/>
      <c r="U149" s="155"/>
      <c r="V149" s="155"/>
      <c r="W149" s="155"/>
      <c r="X149" s="99"/>
      <c r="Y149" s="99"/>
      <c r="Z149" s="99"/>
      <c r="AA149" s="99"/>
      <c r="AB149" s="99"/>
      <c r="AC149" s="99"/>
      <c r="AD149" s="99"/>
      <c r="AE149" s="99"/>
      <c r="AF149" s="99"/>
      <c r="AG149" s="99"/>
      <c r="AH149" s="99"/>
      <c r="AI149" s="99"/>
      <c r="AJ149" s="99"/>
      <c r="AK149" s="99"/>
      <c r="AL149" s="99"/>
      <c r="AM149" s="99"/>
      <c r="AN149" s="99"/>
      <c r="AO149" s="99"/>
      <c r="AP149" s="169"/>
      <c r="AQ149" s="99"/>
      <c r="AR149" s="170"/>
      <c r="AS149" s="171"/>
      <c r="AT149" s="172"/>
      <c r="AW149" s="98"/>
      <c r="AX149" s="98"/>
      <c r="AY149" s="98"/>
      <c r="AZ149" s="98"/>
    </row>
    <row r="150" spans="3:52" x14ac:dyDescent="0.2">
      <c r="C150" s="99"/>
      <c r="D150" s="100"/>
      <c r="E150" s="100"/>
      <c r="F150" s="98"/>
      <c r="G150" s="168"/>
      <c r="H150" s="168"/>
      <c r="I150" s="168"/>
      <c r="J150" s="155"/>
      <c r="K150" s="155"/>
      <c r="L150" s="155"/>
      <c r="M150" s="155"/>
      <c r="N150" s="155"/>
      <c r="O150" s="155"/>
      <c r="P150" s="155"/>
      <c r="Q150" s="155"/>
      <c r="R150" s="155"/>
      <c r="S150" s="155"/>
      <c r="T150" s="155"/>
      <c r="U150" s="155"/>
      <c r="V150" s="155"/>
      <c r="W150" s="155"/>
      <c r="X150" s="99"/>
      <c r="Y150" s="99"/>
      <c r="Z150" s="99"/>
      <c r="AA150" s="99"/>
      <c r="AB150" s="99"/>
      <c r="AC150" s="99"/>
      <c r="AD150" s="99"/>
      <c r="AE150" s="99"/>
      <c r="AF150" s="99"/>
      <c r="AG150" s="99"/>
      <c r="AH150" s="99"/>
      <c r="AI150" s="99"/>
      <c r="AJ150" s="99"/>
      <c r="AK150" s="99"/>
      <c r="AL150" s="99"/>
      <c r="AM150" s="99"/>
      <c r="AN150" s="99"/>
      <c r="AO150" s="99"/>
      <c r="AP150" s="169"/>
      <c r="AQ150" s="99"/>
      <c r="AR150" s="170"/>
      <c r="AS150" s="171"/>
      <c r="AT150" s="172"/>
      <c r="AW150" s="98"/>
      <c r="AX150" s="98"/>
      <c r="AY150" s="98"/>
      <c r="AZ150" s="98"/>
    </row>
    <row r="151" spans="3:52" x14ac:dyDescent="0.2">
      <c r="C151" s="99"/>
      <c r="D151" s="100"/>
      <c r="E151" s="100"/>
      <c r="F151" s="98"/>
      <c r="G151" s="168"/>
      <c r="H151" s="168"/>
      <c r="I151" s="168"/>
      <c r="J151" s="155"/>
      <c r="K151" s="155"/>
      <c r="L151" s="155"/>
      <c r="M151" s="155"/>
      <c r="N151" s="155"/>
      <c r="O151" s="155"/>
      <c r="P151" s="155"/>
      <c r="Q151" s="155"/>
      <c r="R151" s="155"/>
      <c r="S151" s="155"/>
      <c r="T151" s="155"/>
      <c r="U151" s="155"/>
      <c r="V151" s="155"/>
      <c r="W151" s="155"/>
      <c r="X151" s="99"/>
      <c r="Y151" s="99"/>
      <c r="Z151" s="99"/>
      <c r="AA151" s="99"/>
      <c r="AB151" s="99"/>
      <c r="AC151" s="99"/>
      <c r="AD151" s="99"/>
      <c r="AE151" s="99"/>
      <c r="AF151" s="99"/>
      <c r="AG151" s="99"/>
      <c r="AH151" s="99"/>
      <c r="AI151" s="99"/>
      <c r="AJ151" s="99"/>
      <c r="AK151" s="99"/>
      <c r="AL151" s="99"/>
      <c r="AM151" s="99"/>
      <c r="AN151" s="99"/>
      <c r="AO151" s="99"/>
      <c r="AP151" s="169"/>
      <c r="AQ151" s="99"/>
      <c r="AR151" s="170"/>
      <c r="AS151" s="171"/>
      <c r="AT151" s="172"/>
      <c r="AW151" s="98"/>
      <c r="AX151" s="98"/>
      <c r="AY151" s="98"/>
      <c r="AZ151" s="98"/>
    </row>
    <row r="152" spans="3:52" x14ac:dyDescent="0.2">
      <c r="C152" s="99"/>
      <c r="D152" s="100"/>
      <c r="E152" s="100"/>
      <c r="F152" s="98"/>
      <c r="G152" s="168"/>
      <c r="H152" s="168"/>
      <c r="I152" s="168"/>
      <c r="J152" s="155"/>
      <c r="K152" s="155"/>
      <c r="L152" s="155"/>
      <c r="M152" s="155"/>
      <c r="N152" s="155"/>
      <c r="O152" s="155"/>
      <c r="P152" s="155"/>
      <c r="Q152" s="155"/>
      <c r="R152" s="155"/>
      <c r="S152" s="155"/>
      <c r="T152" s="155"/>
      <c r="U152" s="155"/>
      <c r="V152" s="155"/>
      <c r="W152" s="155"/>
      <c r="X152" s="99"/>
      <c r="Y152" s="99"/>
      <c r="Z152" s="99"/>
      <c r="AA152" s="99"/>
      <c r="AB152" s="99"/>
      <c r="AC152" s="99"/>
      <c r="AD152" s="99"/>
      <c r="AE152" s="99"/>
      <c r="AF152" s="99"/>
      <c r="AG152" s="99"/>
      <c r="AH152" s="99"/>
      <c r="AI152" s="99"/>
      <c r="AJ152" s="99"/>
      <c r="AK152" s="99"/>
      <c r="AL152" s="99"/>
      <c r="AM152" s="99"/>
      <c r="AN152" s="99"/>
      <c r="AO152" s="99"/>
      <c r="AP152" s="169"/>
      <c r="AQ152" s="99"/>
      <c r="AR152" s="170"/>
      <c r="AS152" s="171"/>
      <c r="AT152" s="172"/>
      <c r="AW152" s="98"/>
      <c r="AX152" s="98"/>
      <c r="AY152" s="98"/>
      <c r="AZ152" s="98"/>
    </row>
    <row r="153" spans="3:52" x14ac:dyDescent="0.2">
      <c r="C153" s="99"/>
      <c r="D153" s="100"/>
      <c r="E153" s="100"/>
      <c r="F153" s="98"/>
      <c r="G153" s="168"/>
      <c r="H153" s="168"/>
      <c r="I153" s="168"/>
      <c r="J153" s="155"/>
      <c r="K153" s="155"/>
      <c r="L153" s="155"/>
      <c r="M153" s="155"/>
      <c r="N153" s="155"/>
      <c r="O153" s="155"/>
      <c r="P153" s="155"/>
      <c r="Q153" s="155"/>
      <c r="R153" s="155"/>
      <c r="S153" s="155"/>
      <c r="T153" s="155"/>
      <c r="U153" s="155"/>
      <c r="V153" s="155"/>
      <c r="W153" s="155"/>
      <c r="X153" s="99"/>
      <c r="Y153" s="99"/>
      <c r="Z153" s="99"/>
      <c r="AA153" s="99"/>
      <c r="AB153" s="99"/>
      <c r="AC153" s="99"/>
      <c r="AD153" s="99"/>
      <c r="AE153" s="99"/>
      <c r="AF153" s="99"/>
      <c r="AG153" s="99"/>
      <c r="AH153" s="99"/>
      <c r="AI153" s="99"/>
      <c r="AJ153" s="99"/>
      <c r="AK153" s="99"/>
      <c r="AL153" s="99"/>
      <c r="AM153" s="99"/>
      <c r="AN153" s="99"/>
      <c r="AO153" s="99"/>
      <c r="AP153" s="169"/>
      <c r="AQ153" s="99"/>
      <c r="AR153" s="170"/>
      <c r="AS153" s="171"/>
      <c r="AT153" s="172"/>
      <c r="AW153" s="98"/>
      <c r="AX153" s="98"/>
      <c r="AY153" s="98"/>
      <c r="AZ153" s="98"/>
    </row>
    <row r="154" spans="3:52" x14ac:dyDescent="0.2">
      <c r="C154" s="99"/>
      <c r="D154" s="100"/>
      <c r="E154" s="100"/>
      <c r="F154" s="98"/>
      <c r="G154" s="168"/>
      <c r="H154" s="168"/>
      <c r="I154" s="168"/>
      <c r="J154" s="155"/>
      <c r="K154" s="155"/>
      <c r="L154" s="155"/>
      <c r="M154" s="155"/>
      <c r="N154" s="155"/>
      <c r="O154" s="155"/>
      <c r="P154" s="155"/>
      <c r="Q154" s="155"/>
      <c r="R154" s="155"/>
      <c r="S154" s="155"/>
      <c r="T154" s="155"/>
      <c r="U154" s="155"/>
      <c r="V154" s="155"/>
      <c r="W154" s="155"/>
      <c r="X154" s="99"/>
      <c r="Y154" s="99"/>
      <c r="Z154" s="99"/>
      <c r="AA154" s="99"/>
      <c r="AB154" s="99"/>
      <c r="AC154" s="99"/>
      <c r="AD154" s="99"/>
      <c r="AE154" s="99"/>
      <c r="AF154" s="99"/>
      <c r="AG154" s="99"/>
      <c r="AH154" s="99"/>
      <c r="AI154" s="99"/>
      <c r="AJ154" s="99"/>
      <c r="AK154" s="99"/>
      <c r="AL154" s="99"/>
      <c r="AM154" s="99"/>
      <c r="AN154" s="99"/>
      <c r="AO154" s="99"/>
      <c r="AP154" s="169"/>
      <c r="AQ154" s="99"/>
      <c r="AR154" s="170"/>
      <c r="AS154" s="171"/>
      <c r="AT154" s="172"/>
      <c r="AW154" s="98"/>
      <c r="AX154" s="98"/>
      <c r="AY154" s="98"/>
      <c r="AZ154" s="98"/>
    </row>
    <row r="155" spans="3:52" x14ac:dyDescent="0.2">
      <c r="C155" s="99"/>
      <c r="D155" s="100"/>
      <c r="E155" s="100"/>
      <c r="F155" s="98"/>
      <c r="G155" s="168"/>
      <c r="H155" s="168"/>
      <c r="I155" s="168"/>
      <c r="J155" s="155"/>
      <c r="K155" s="155"/>
      <c r="L155" s="155"/>
      <c r="M155" s="155"/>
      <c r="N155" s="155"/>
      <c r="O155" s="155"/>
      <c r="P155" s="155"/>
      <c r="Q155" s="155"/>
      <c r="R155" s="155"/>
      <c r="S155" s="155"/>
      <c r="T155" s="155"/>
      <c r="U155" s="155"/>
      <c r="V155" s="155"/>
      <c r="W155" s="155"/>
      <c r="X155" s="99"/>
      <c r="Y155" s="99"/>
      <c r="Z155" s="99"/>
      <c r="AA155" s="99"/>
      <c r="AB155" s="99"/>
      <c r="AC155" s="99"/>
      <c r="AD155" s="99"/>
      <c r="AE155" s="99"/>
      <c r="AF155" s="99"/>
      <c r="AG155" s="99"/>
      <c r="AH155" s="99"/>
      <c r="AI155" s="99"/>
      <c r="AJ155" s="99"/>
      <c r="AK155" s="99"/>
      <c r="AL155" s="99"/>
      <c r="AM155" s="99"/>
      <c r="AN155" s="99"/>
      <c r="AO155" s="99"/>
      <c r="AP155" s="169"/>
      <c r="AQ155" s="99"/>
      <c r="AR155" s="170"/>
      <c r="AS155" s="171"/>
      <c r="AT155" s="172"/>
      <c r="AW155" s="98"/>
      <c r="AX155" s="98"/>
      <c r="AY155" s="98"/>
      <c r="AZ155" s="98"/>
    </row>
    <row r="156" spans="3:52" x14ac:dyDescent="0.2">
      <c r="C156" s="99"/>
      <c r="D156" s="100"/>
      <c r="E156" s="100"/>
      <c r="F156" s="98"/>
      <c r="G156" s="168"/>
      <c r="H156" s="168"/>
      <c r="I156" s="168"/>
      <c r="J156" s="155"/>
      <c r="K156" s="155"/>
      <c r="L156" s="155"/>
      <c r="M156" s="155"/>
      <c r="N156" s="155"/>
      <c r="O156" s="155"/>
      <c r="P156" s="155"/>
      <c r="Q156" s="155"/>
      <c r="R156" s="155"/>
      <c r="S156" s="155"/>
      <c r="T156" s="155"/>
      <c r="U156" s="155"/>
      <c r="V156" s="155"/>
      <c r="W156" s="155"/>
      <c r="X156" s="99"/>
      <c r="Y156" s="99"/>
      <c r="Z156" s="99"/>
      <c r="AA156" s="99"/>
      <c r="AB156" s="99"/>
      <c r="AC156" s="99"/>
      <c r="AD156" s="99"/>
      <c r="AE156" s="99"/>
      <c r="AF156" s="99"/>
      <c r="AG156" s="99"/>
      <c r="AH156" s="99"/>
      <c r="AI156" s="99"/>
      <c r="AJ156" s="99"/>
      <c r="AK156" s="99"/>
      <c r="AL156" s="99"/>
      <c r="AM156" s="99"/>
      <c r="AN156" s="99"/>
      <c r="AO156" s="99"/>
      <c r="AP156" s="169"/>
      <c r="AQ156" s="99"/>
      <c r="AR156" s="170"/>
      <c r="AS156" s="171"/>
      <c r="AT156" s="172"/>
      <c r="AW156" s="98"/>
      <c r="AX156" s="98"/>
      <c r="AY156" s="98"/>
      <c r="AZ156" s="98"/>
    </row>
    <row r="157" spans="3:52" x14ac:dyDescent="0.2">
      <c r="C157" s="99"/>
      <c r="D157" s="100"/>
      <c r="E157" s="100"/>
      <c r="F157" s="98"/>
      <c r="G157" s="168"/>
      <c r="H157" s="168"/>
      <c r="I157" s="168"/>
      <c r="J157" s="155"/>
      <c r="K157" s="155"/>
      <c r="L157" s="155"/>
      <c r="M157" s="155"/>
      <c r="N157" s="155"/>
      <c r="O157" s="155"/>
      <c r="P157" s="155"/>
      <c r="Q157" s="155"/>
      <c r="R157" s="155"/>
      <c r="S157" s="155"/>
      <c r="T157" s="155"/>
      <c r="U157" s="155"/>
      <c r="V157" s="155"/>
      <c r="W157" s="155"/>
      <c r="X157" s="99"/>
      <c r="Y157" s="99"/>
      <c r="Z157" s="99"/>
      <c r="AA157" s="99"/>
      <c r="AB157" s="99"/>
      <c r="AC157" s="99"/>
      <c r="AD157" s="99"/>
      <c r="AE157" s="99"/>
      <c r="AF157" s="99"/>
      <c r="AG157" s="99"/>
      <c r="AH157" s="99"/>
      <c r="AI157" s="99"/>
      <c r="AJ157" s="99"/>
      <c r="AK157" s="99"/>
      <c r="AL157" s="99"/>
      <c r="AM157" s="99"/>
      <c r="AN157" s="99"/>
      <c r="AO157" s="99"/>
      <c r="AP157" s="169"/>
      <c r="AQ157" s="99"/>
      <c r="AR157" s="170"/>
      <c r="AS157" s="171"/>
      <c r="AT157" s="172"/>
      <c r="AW157" s="98"/>
      <c r="AX157" s="98"/>
      <c r="AY157" s="98"/>
      <c r="AZ157" s="98"/>
    </row>
    <row r="158" spans="3:52" x14ac:dyDescent="0.2">
      <c r="C158" s="99"/>
      <c r="D158" s="100"/>
      <c r="E158" s="100"/>
      <c r="F158" s="98"/>
      <c r="G158" s="168"/>
      <c r="H158" s="168"/>
      <c r="I158" s="168"/>
      <c r="J158" s="155"/>
      <c r="K158" s="155"/>
      <c r="L158" s="155"/>
      <c r="M158" s="155"/>
      <c r="N158" s="155"/>
      <c r="O158" s="155"/>
      <c r="P158" s="155"/>
      <c r="Q158" s="155"/>
      <c r="R158" s="155"/>
      <c r="S158" s="155"/>
      <c r="T158" s="155"/>
      <c r="U158" s="155"/>
      <c r="V158" s="155"/>
      <c r="W158" s="155"/>
      <c r="X158" s="99"/>
      <c r="Y158" s="99"/>
      <c r="Z158" s="99"/>
      <c r="AA158" s="99"/>
      <c r="AB158" s="99"/>
      <c r="AC158" s="99"/>
      <c r="AD158" s="99"/>
      <c r="AE158" s="99"/>
      <c r="AF158" s="99"/>
      <c r="AG158" s="99"/>
      <c r="AH158" s="99"/>
      <c r="AI158" s="99"/>
      <c r="AJ158" s="99"/>
      <c r="AK158" s="99"/>
      <c r="AL158" s="99"/>
      <c r="AM158" s="99"/>
      <c r="AN158" s="99"/>
      <c r="AO158" s="99"/>
      <c r="AP158" s="169"/>
      <c r="AQ158" s="99"/>
      <c r="AR158" s="170"/>
      <c r="AS158" s="171"/>
      <c r="AT158" s="172"/>
      <c r="AW158" s="98"/>
      <c r="AX158" s="98"/>
      <c r="AY158" s="98"/>
      <c r="AZ158" s="98"/>
    </row>
    <row r="159" spans="3:52" x14ac:dyDescent="0.2">
      <c r="C159" s="99"/>
      <c r="D159" s="100"/>
      <c r="E159" s="100"/>
      <c r="F159" s="98"/>
      <c r="G159" s="168"/>
      <c r="H159" s="168"/>
      <c r="I159" s="168"/>
      <c r="J159" s="155"/>
      <c r="K159" s="155"/>
      <c r="L159" s="155"/>
      <c r="M159" s="155"/>
      <c r="N159" s="155"/>
      <c r="O159" s="155"/>
      <c r="P159" s="155"/>
      <c r="Q159" s="155"/>
      <c r="R159" s="155"/>
      <c r="S159" s="155"/>
      <c r="T159" s="155"/>
      <c r="U159" s="155"/>
      <c r="V159" s="155"/>
      <c r="W159" s="155"/>
      <c r="X159" s="99"/>
      <c r="Y159" s="99"/>
      <c r="Z159" s="99"/>
      <c r="AA159" s="99"/>
      <c r="AB159" s="99"/>
      <c r="AC159" s="99"/>
      <c r="AD159" s="99"/>
      <c r="AE159" s="99"/>
      <c r="AF159" s="99"/>
      <c r="AG159" s="99"/>
      <c r="AH159" s="99"/>
      <c r="AI159" s="99"/>
      <c r="AJ159" s="99"/>
      <c r="AK159" s="99"/>
      <c r="AL159" s="99"/>
      <c r="AM159" s="99"/>
      <c r="AN159" s="99"/>
      <c r="AO159" s="99"/>
      <c r="AP159" s="169"/>
      <c r="AQ159" s="99"/>
      <c r="AR159" s="170"/>
      <c r="AS159" s="171"/>
      <c r="AT159" s="172"/>
      <c r="AW159" s="98"/>
      <c r="AX159" s="98"/>
      <c r="AY159" s="98"/>
      <c r="AZ159" s="98"/>
    </row>
    <row r="160" spans="3:52" x14ac:dyDescent="0.2">
      <c r="C160" s="99"/>
      <c r="D160" s="100"/>
      <c r="E160" s="100"/>
      <c r="F160" s="98"/>
      <c r="G160" s="168"/>
      <c r="H160" s="168"/>
      <c r="I160" s="168"/>
      <c r="J160" s="155"/>
      <c r="K160" s="155"/>
      <c r="L160" s="155"/>
      <c r="M160" s="155"/>
      <c r="N160" s="155"/>
      <c r="O160" s="155"/>
      <c r="P160" s="155"/>
      <c r="Q160" s="155"/>
      <c r="R160" s="155"/>
      <c r="S160" s="155"/>
      <c r="T160" s="155"/>
      <c r="U160" s="155"/>
      <c r="V160" s="155"/>
      <c r="W160" s="155"/>
      <c r="X160" s="99"/>
      <c r="Y160" s="99"/>
      <c r="Z160" s="99"/>
      <c r="AA160" s="99"/>
      <c r="AB160" s="99"/>
      <c r="AC160" s="99"/>
      <c r="AD160" s="99"/>
      <c r="AE160" s="99"/>
      <c r="AF160" s="99"/>
      <c r="AG160" s="99"/>
      <c r="AH160" s="99"/>
      <c r="AI160" s="99"/>
      <c r="AJ160" s="99"/>
      <c r="AK160" s="99"/>
      <c r="AL160" s="99"/>
      <c r="AM160" s="99"/>
      <c r="AN160" s="99"/>
      <c r="AO160" s="99"/>
      <c r="AP160" s="169"/>
      <c r="AQ160" s="99"/>
      <c r="AR160" s="170"/>
      <c r="AS160" s="171"/>
      <c r="AT160" s="172"/>
      <c r="AW160" s="98"/>
      <c r="AX160" s="98"/>
      <c r="AY160" s="98"/>
      <c r="AZ160" s="98"/>
    </row>
    <row r="161" spans="3:52" x14ac:dyDescent="0.2">
      <c r="C161" s="99"/>
      <c r="D161" s="100"/>
      <c r="E161" s="100"/>
      <c r="F161" s="98"/>
      <c r="G161" s="168"/>
      <c r="H161" s="168"/>
      <c r="I161" s="168"/>
      <c r="J161" s="155"/>
      <c r="K161" s="155"/>
      <c r="L161" s="155"/>
      <c r="M161" s="155"/>
      <c r="N161" s="155"/>
      <c r="O161" s="155"/>
      <c r="P161" s="155"/>
      <c r="Q161" s="155"/>
      <c r="R161" s="155"/>
      <c r="S161" s="155"/>
      <c r="T161" s="155"/>
      <c r="U161" s="155"/>
      <c r="V161" s="155"/>
      <c r="W161" s="155"/>
      <c r="X161" s="99"/>
      <c r="Y161" s="99"/>
      <c r="Z161" s="99"/>
      <c r="AA161" s="99"/>
      <c r="AB161" s="99"/>
      <c r="AC161" s="99"/>
      <c r="AD161" s="99"/>
      <c r="AE161" s="99"/>
      <c r="AF161" s="99"/>
      <c r="AG161" s="99"/>
      <c r="AH161" s="99"/>
      <c r="AI161" s="99"/>
      <c r="AJ161" s="99"/>
      <c r="AK161" s="99"/>
      <c r="AL161" s="99"/>
      <c r="AM161" s="99"/>
      <c r="AN161" s="99"/>
      <c r="AO161" s="99"/>
      <c r="AP161" s="169"/>
      <c r="AQ161" s="99"/>
      <c r="AR161" s="170"/>
      <c r="AS161" s="171"/>
      <c r="AT161" s="172"/>
      <c r="AW161" s="98"/>
      <c r="AX161" s="98"/>
      <c r="AY161" s="98"/>
      <c r="AZ161" s="98"/>
    </row>
    <row r="162" spans="3:52" x14ac:dyDescent="0.2">
      <c r="C162" s="99"/>
      <c r="D162" s="100"/>
      <c r="E162" s="100"/>
      <c r="F162" s="98"/>
      <c r="G162" s="168"/>
      <c r="H162" s="168"/>
      <c r="I162" s="168"/>
      <c r="J162" s="155"/>
      <c r="K162" s="155"/>
      <c r="L162" s="155"/>
      <c r="M162" s="155"/>
      <c r="N162" s="155"/>
      <c r="O162" s="155"/>
      <c r="P162" s="155"/>
      <c r="Q162" s="155"/>
      <c r="R162" s="155"/>
      <c r="S162" s="155"/>
      <c r="T162" s="155"/>
      <c r="U162" s="155"/>
      <c r="V162" s="155"/>
      <c r="W162" s="155"/>
      <c r="X162" s="99"/>
      <c r="Y162" s="99"/>
      <c r="Z162" s="99"/>
      <c r="AA162" s="99"/>
      <c r="AB162" s="99"/>
      <c r="AC162" s="99"/>
      <c r="AD162" s="99"/>
      <c r="AE162" s="99"/>
      <c r="AF162" s="99"/>
      <c r="AG162" s="99"/>
      <c r="AH162" s="99"/>
      <c r="AI162" s="99"/>
      <c r="AJ162" s="99"/>
      <c r="AK162" s="99"/>
      <c r="AL162" s="99"/>
      <c r="AM162" s="99"/>
      <c r="AN162" s="99"/>
      <c r="AO162" s="99"/>
      <c r="AP162" s="169"/>
      <c r="AQ162" s="99"/>
      <c r="AR162" s="170"/>
      <c r="AS162" s="171"/>
      <c r="AT162" s="172"/>
      <c r="AW162" s="98"/>
      <c r="AX162" s="98"/>
      <c r="AY162" s="98"/>
      <c r="AZ162" s="98"/>
    </row>
    <row r="163" spans="3:52" x14ac:dyDescent="0.2">
      <c r="C163" s="99"/>
      <c r="D163" s="100"/>
      <c r="E163" s="100"/>
      <c r="F163" s="98"/>
      <c r="G163" s="168"/>
      <c r="H163" s="168"/>
      <c r="I163" s="168"/>
      <c r="J163" s="155"/>
      <c r="K163" s="155"/>
      <c r="L163" s="155"/>
      <c r="M163" s="155"/>
      <c r="N163" s="155"/>
      <c r="O163" s="155"/>
      <c r="P163" s="155"/>
      <c r="Q163" s="155"/>
      <c r="R163" s="155"/>
      <c r="S163" s="155"/>
      <c r="T163" s="155"/>
      <c r="U163" s="155"/>
      <c r="V163" s="155"/>
      <c r="W163" s="155"/>
      <c r="X163" s="99"/>
      <c r="Y163" s="99"/>
      <c r="Z163" s="99"/>
      <c r="AA163" s="99"/>
      <c r="AB163" s="99"/>
      <c r="AC163" s="99"/>
      <c r="AD163" s="99"/>
      <c r="AE163" s="99"/>
      <c r="AF163" s="99"/>
      <c r="AG163" s="99"/>
      <c r="AH163" s="99"/>
      <c r="AI163" s="99"/>
      <c r="AJ163" s="99"/>
      <c r="AK163" s="99"/>
      <c r="AL163" s="99"/>
      <c r="AM163" s="99"/>
      <c r="AN163" s="99"/>
      <c r="AO163" s="99"/>
      <c r="AP163" s="169"/>
      <c r="AQ163" s="99"/>
      <c r="AR163" s="170"/>
      <c r="AS163" s="171"/>
      <c r="AT163" s="172"/>
      <c r="AW163" s="98"/>
      <c r="AX163" s="98"/>
      <c r="AY163" s="98"/>
      <c r="AZ163" s="98"/>
    </row>
    <row r="164" spans="3:52" x14ac:dyDescent="0.2">
      <c r="C164" s="99"/>
      <c r="D164" s="100"/>
      <c r="E164" s="100"/>
      <c r="F164" s="98"/>
      <c r="G164" s="168"/>
      <c r="H164" s="168"/>
      <c r="I164" s="168"/>
      <c r="J164" s="155"/>
      <c r="K164" s="155"/>
      <c r="L164" s="155"/>
      <c r="M164" s="155"/>
      <c r="N164" s="155"/>
      <c r="O164" s="155"/>
      <c r="P164" s="155"/>
      <c r="Q164" s="155"/>
      <c r="R164" s="155"/>
      <c r="S164" s="155"/>
      <c r="T164" s="155"/>
      <c r="U164" s="155"/>
      <c r="V164" s="155"/>
      <c r="W164" s="155"/>
      <c r="X164" s="99"/>
      <c r="Y164" s="99"/>
      <c r="Z164" s="99"/>
      <c r="AA164" s="99"/>
      <c r="AB164" s="99"/>
      <c r="AC164" s="99"/>
      <c r="AD164" s="99"/>
      <c r="AE164" s="99"/>
      <c r="AF164" s="99"/>
      <c r="AG164" s="99"/>
      <c r="AH164" s="99"/>
      <c r="AI164" s="99"/>
      <c r="AJ164" s="99"/>
      <c r="AK164" s="99"/>
      <c r="AL164" s="99"/>
      <c r="AM164" s="99"/>
      <c r="AN164" s="99"/>
      <c r="AO164" s="99"/>
      <c r="AP164" s="169"/>
      <c r="AQ164" s="99"/>
      <c r="AR164" s="170"/>
      <c r="AS164" s="171"/>
      <c r="AT164" s="172"/>
      <c r="AW164" s="98"/>
      <c r="AX164" s="98"/>
      <c r="AY164" s="98"/>
      <c r="AZ164" s="98"/>
    </row>
    <row r="165" spans="3:52" x14ac:dyDescent="0.2">
      <c r="C165" s="99"/>
      <c r="D165" s="100"/>
      <c r="E165" s="100"/>
      <c r="F165" s="98"/>
      <c r="G165" s="168"/>
      <c r="H165" s="168"/>
      <c r="I165" s="168"/>
      <c r="J165" s="155"/>
      <c r="K165" s="155"/>
      <c r="L165" s="155"/>
      <c r="M165" s="155"/>
      <c r="N165" s="155"/>
      <c r="O165" s="155"/>
      <c r="P165" s="155"/>
      <c r="Q165" s="155"/>
      <c r="R165" s="155"/>
      <c r="S165" s="155"/>
      <c r="T165" s="155"/>
      <c r="U165" s="155"/>
      <c r="V165" s="155"/>
      <c r="W165" s="155"/>
      <c r="X165" s="99"/>
      <c r="Y165" s="99"/>
      <c r="Z165" s="99"/>
      <c r="AA165" s="99"/>
      <c r="AB165" s="99"/>
      <c r="AC165" s="99"/>
      <c r="AD165" s="99"/>
      <c r="AE165" s="99"/>
      <c r="AF165" s="99"/>
      <c r="AG165" s="99"/>
      <c r="AH165" s="99"/>
      <c r="AI165" s="99"/>
      <c r="AJ165" s="99"/>
      <c r="AK165" s="99"/>
      <c r="AL165" s="99"/>
      <c r="AM165" s="99"/>
      <c r="AN165" s="99"/>
      <c r="AO165" s="99"/>
      <c r="AP165" s="169"/>
      <c r="AQ165" s="99"/>
      <c r="AR165" s="170"/>
      <c r="AS165" s="171"/>
      <c r="AT165" s="172"/>
      <c r="AW165" s="98"/>
      <c r="AX165" s="98"/>
      <c r="AY165" s="98"/>
      <c r="AZ165" s="98"/>
    </row>
    <row r="166" spans="3:52" x14ac:dyDescent="0.2">
      <c r="C166" s="99"/>
      <c r="D166" s="100"/>
      <c r="E166" s="100"/>
      <c r="F166" s="98"/>
      <c r="G166" s="168"/>
      <c r="H166" s="168"/>
      <c r="I166" s="168"/>
      <c r="J166" s="155"/>
      <c r="K166" s="155"/>
      <c r="L166" s="155"/>
      <c r="M166" s="155"/>
      <c r="N166" s="155"/>
      <c r="O166" s="155"/>
      <c r="P166" s="155"/>
      <c r="Q166" s="155"/>
      <c r="R166" s="155"/>
      <c r="S166" s="155"/>
      <c r="T166" s="155"/>
      <c r="U166" s="155"/>
      <c r="V166" s="155"/>
      <c r="W166" s="155"/>
      <c r="X166" s="99"/>
      <c r="Y166" s="99"/>
      <c r="Z166" s="99"/>
      <c r="AA166" s="99"/>
      <c r="AB166" s="99"/>
      <c r="AC166" s="99"/>
      <c r="AD166" s="99"/>
      <c r="AE166" s="99"/>
      <c r="AF166" s="99"/>
      <c r="AG166" s="99"/>
      <c r="AH166" s="99"/>
      <c r="AI166" s="99"/>
      <c r="AJ166" s="99"/>
      <c r="AK166" s="99"/>
      <c r="AL166" s="99"/>
      <c r="AM166" s="99"/>
      <c r="AN166" s="99"/>
      <c r="AO166" s="99"/>
      <c r="AP166" s="169"/>
      <c r="AQ166" s="99"/>
      <c r="AR166" s="170"/>
      <c r="AS166" s="171"/>
      <c r="AT166" s="172"/>
      <c r="AW166" s="98"/>
      <c r="AX166" s="98"/>
      <c r="AY166" s="98"/>
      <c r="AZ166" s="98"/>
    </row>
    <row r="167" spans="3:52" x14ac:dyDescent="0.2">
      <c r="C167" s="99"/>
      <c r="D167" s="100"/>
      <c r="E167" s="100"/>
      <c r="F167" s="98"/>
      <c r="G167" s="168"/>
      <c r="H167" s="168"/>
      <c r="I167" s="168"/>
      <c r="J167" s="155"/>
      <c r="K167" s="155"/>
      <c r="L167" s="155"/>
      <c r="M167" s="155"/>
      <c r="N167" s="155"/>
      <c r="O167" s="155"/>
      <c r="P167" s="155"/>
      <c r="Q167" s="155"/>
      <c r="R167" s="155"/>
      <c r="S167" s="155"/>
      <c r="T167" s="155"/>
      <c r="U167" s="155"/>
      <c r="V167" s="155"/>
      <c r="W167" s="155"/>
      <c r="X167" s="99"/>
      <c r="Y167" s="99"/>
      <c r="Z167" s="99"/>
      <c r="AA167" s="99"/>
      <c r="AB167" s="99"/>
      <c r="AC167" s="99"/>
      <c r="AD167" s="99"/>
      <c r="AE167" s="99"/>
      <c r="AF167" s="99"/>
      <c r="AG167" s="99"/>
      <c r="AH167" s="99"/>
      <c r="AI167" s="99"/>
      <c r="AJ167" s="99"/>
      <c r="AK167" s="99"/>
      <c r="AL167" s="99"/>
      <c r="AM167" s="99"/>
      <c r="AN167" s="99"/>
      <c r="AO167" s="99"/>
      <c r="AP167" s="169"/>
      <c r="AQ167" s="99"/>
      <c r="AR167" s="170"/>
      <c r="AS167" s="171"/>
      <c r="AT167" s="172"/>
      <c r="AW167" s="98"/>
      <c r="AX167" s="98"/>
      <c r="AY167" s="98"/>
      <c r="AZ167" s="98"/>
    </row>
    <row r="168" spans="3:52" x14ac:dyDescent="0.2">
      <c r="C168" s="99"/>
      <c r="D168" s="100"/>
      <c r="E168" s="100"/>
      <c r="F168" s="98"/>
      <c r="G168" s="168"/>
      <c r="H168" s="168"/>
      <c r="I168" s="168"/>
      <c r="J168" s="155"/>
      <c r="K168" s="155"/>
      <c r="L168" s="155"/>
      <c r="M168" s="155"/>
      <c r="N168" s="155"/>
      <c r="O168" s="155"/>
      <c r="P168" s="155"/>
      <c r="Q168" s="155"/>
      <c r="R168" s="155"/>
      <c r="S168" s="155"/>
      <c r="T168" s="155"/>
      <c r="U168" s="155"/>
      <c r="V168" s="155"/>
      <c r="W168" s="155"/>
      <c r="X168" s="99"/>
      <c r="Y168" s="99"/>
      <c r="Z168" s="99"/>
      <c r="AA168" s="99"/>
      <c r="AB168" s="99"/>
      <c r="AC168" s="99"/>
      <c r="AD168" s="99"/>
      <c r="AE168" s="99"/>
      <c r="AF168" s="99"/>
      <c r="AG168" s="99"/>
      <c r="AH168" s="99"/>
      <c r="AI168" s="99"/>
      <c r="AJ168" s="99"/>
      <c r="AK168" s="99"/>
      <c r="AL168" s="99"/>
      <c r="AM168" s="99"/>
      <c r="AN168" s="99"/>
      <c r="AO168" s="99"/>
      <c r="AP168" s="169"/>
      <c r="AQ168" s="99"/>
      <c r="AR168" s="170"/>
      <c r="AS168" s="171"/>
      <c r="AT168" s="172"/>
      <c r="AW168" s="98"/>
      <c r="AX168" s="98"/>
      <c r="AY168" s="98"/>
      <c r="AZ168" s="98"/>
    </row>
    <row r="169" spans="3:52" x14ac:dyDescent="0.2">
      <c r="C169" s="99"/>
      <c r="D169" s="100"/>
      <c r="E169" s="100"/>
      <c r="F169" s="98"/>
      <c r="G169" s="168"/>
      <c r="H169" s="168"/>
      <c r="I169" s="168"/>
      <c r="J169" s="155"/>
      <c r="K169" s="155"/>
      <c r="L169" s="155"/>
      <c r="M169" s="155"/>
      <c r="N169" s="155"/>
      <c r="O169" s="155"/>
      <c r="P169" s="155"/>
      <c r="Q169" s="155"/>
      <c r="R169" s="155"/>
      <c r="S169" s="155"/>
      <c r="T169" s="155"/>
      <c r="U169" s="155"/>
      <c r="V169" s="155"/>
      <c r="W169" s="155"/>
      <c r="X169" s="99"/>
      <c r="Y169" s="99"/>
      <c r="Z169" s="99"/>
      <c r="AA169" s="99"/>
      <c r="AB169" s="99"/>
      <c r="AC169" s="99"/>
      <c r="AD169" s="99"/>
      <c r="AE169" s="99"/>
      <c r="AF169" s="99"/>
      <c r="AG169" s="99"/>
      <c r="AH169" s="99"/>
      <c r="AI169" s="99"/>
      <c r="AJ169" s="99"/>
      <c r="AK169" s="99"/>
      <c r="AL169" s="99"/>
      <c r="AM169" s="99"/>
      <c r="AN169" s="99"/>
      <c r="AO169" s="99"/>
      <c r="AP169" s="169"/>
      <c r="AQ169" s="99"/>
      <c r="AR169" s="170"/>
      <c r="AS169" s="171"/>
      <c r="AT169" s="172"/>
      <c r="AW169" s="98"/>
      <c r="AX169" s="98"/>
      <c r="AY169" s="98"/>
      <c r="AZ169" s="98"/>
    </row>
    <row r="170" spans="3:52" x14ac:dyDescent="0.2">
      <c r="C170" s="99"/>
      <c r="D170" s="100"/>
      <c r="E170" s="100"/>
      <c r="F170" s="98"/>
      <c r="G170" s="168"/>
      <c r="H170" s="168"/>
      <c r="I170" s="168"/>
      <c r="J170" s="155"/>
      <c r="K170" s="155"/>
      <c r="L170" s="155"/>
      <c r="M170" s="155"/>
      <c r="N170" s="155"/>
      <c r="O170" s="155"/>
      <c r="P170" s="155"/>
      <c r="Q170" s="155"/>
      <c r="R170" s="155"/>
      <c r="S170" s="155"/>
      <c r="T170" s="155"/>
      <c r="U170" s="155"/>
      <c r="V170" s="155"/>
      <c r="W170" s="155"/>
      <c r="X170" s="99"/>
      <c r="Y170" s="99"/>
      <c r="Z170" s="99"/>
      <c r="AA170" s="99"/>
      <c r="AB170" s="99"/>
      <c r="AC170" s="99"/>
      <c r="AD170" s="99"/>
      <c r="AE170" s="99"/>
      <c r="AF170" s="99"/>
      <c r="AG170" s="99"/>
      <c r="AH170" s="99"/>
      <c r="AI170" s="99"/>
      <c r="AJ170" s="99"/>
      <c r="AK170" s="99"/>
      <c r="AL170" s="99"/>
      <c r="AM170" s="99"/>
      <c r="AN170" s="99"/>
      <c r="AO170" s="99"/>
      <c r="AP170" s="169"/>
      <c r="AQ170" s="99"/>
      <c r="AR170" s="170"/>
      <c r="AS170" s="171"/>
      <c r="AT170" s="172"/>
      <c r="AW170" s="98"/>
      <c r="AX170" s="98"/>
      <c r="AY170" s="98"/>
      <c r="AZ170" s="98"/>
    </row>
    <row r="171" spans="3:52" x14ac:dyDescent="0.2">
      <c r="C171" s="99"/>
      <c r="D171" s="100"/>
      <c r="E171" s="100"/>
      <c r="F171" s="98"/>
      <c r="G171" s="168"/>
      <c r="H171" s="168"/>
      <c r="I171" s="168"/>
      <c r="J171" s="155"/>
      <c r="K171" s="155"/>
      <c r="L171" s="155"/>
      <c r="M171" s="155"/>
      <c r="N171" s="155"/>
      <c r="O171" s="155"/>
      <c r="P171" s="155"/>
      <c r="Q171" s="155"/>
      <c r="R171" s="155"/>
      <c r="S171" s="155"/>
      <c r="T171" s="155"/>
      <c r="U171" s="155"/>
      <c r="V171" s="155"/>
      <c r="W171" s="155"/>
      <c r="X171" s="99"/>
      <c r="Y171" s="99"/>
      <c r="Z171" s="99"/>
      <c r="AA171" s="99"/>
      <c r="AB171" s="99"/>
      <c r="AC171" s="99"/>
      <c r="AD171" s="99"/>
      <c r="AE171" s="99"/>
      <c r="AF171" s="99"/>
      <c r="AG171" s="99"/>
      <c r="AH171" s="99"/>
      <c r="AI171" s="99"/>
      <c r="AJ171" s="99"/>
      <c r="AK171" s="99"/>
      <c r="AL171" s="99"/>
      <c r="AM171" s="99"/>
      <c r="AN171" s="99"/>
      <c r="AO171" s="99"/>
      <c r="AP171" s="169"/>
      <c r="AQ171" s="99"/>
      <c r="AR171" s="170"/>
      <c r="AS171" s="171"/>
      <c r="AT171" s="172"/>
      <c r="AW171" s="98"/>
      <c r="AX171" s="98"/>
      <c r="AY171" s="98"/>
      <c r="AZ171" s="98"/>
    </row>
    <row r="172" spans="3:52" x14ac:dyDescent="0.2">
      <c r="C172" s="99"/>
      <c r="D172" s="100"/>
      <c r="E172" s="100"/>
      <c r="F172" s="98"/>
      <c r="G172" s="168"/>
      <c r="H172" s="168"/>
      <c r="I172" s="168"/>
      <c r="J172" s="155"/>
      <c r="K172" s="155"/>
      <c r="L172" s="155"/>
      <c r="M172" s="155"/>
      <c r="N172" s="155"/>
      <c r="O172" s="155"/>
      <c r="P172" s="155"/>
      <c r="Q172" s="155"/>
      <c r="R172" s="155"/>
      <c r="S172" s="155"/>
      <c r="T172" s="155"/>
      <c r="U172" s="155"/>
      <c r="V172" s="155"/>
      <c r="W172" s="155"/>
      <c r="X172" s="99"/>
      <c r="Y172" s="99"/>
      <c r="Z172" s="99"/>
      <c r="AA172" s="99"/>
      <c r="AB172" s="99"/>
      <c r="AC172" s="99"/>
      <c r="AD172" s="99"/>
      <c r="AE172" s="99"/>
      <c r="AF172" s="99"/>
      <c r="AG172" s="99"/>
      <c r="AH172" s="99"/>
      <c r="AI172" s="99"/>
      <c r="AJ172" s="99"/>
      <c r="AK172" s="99"/>
      <c r="AL172" s="99"/>
      <c r="AM172" s="99"/>
      <c r="AN172" s="99"/>
      <c r="AO172" s="99"/>
      <c r="AP172" s="169"/>
      <c r="AQ172" s="99"/>
      <c r="AR172" s="170"/>
      <c r="AS172" s="171"/>
      <c r="AT172" s="172"/>
      <c r="AW172" s="98"/>
      <c r="AX172" s="98"/>
      <c r="AY172" s="98"/>
      <c r="AZ172" s="98"/>
    </row>
    <row r="173" spans="3:52" x14ac:dyDescent="0.2">
      <c r="C173" s="99"/>
      <c r="D173" s="100"/>
      <c r="E173" s="100"/>
      <c r="F173" s="98"/>
      <c r="G173" s="168"/>
      <c r="H173" s="168"/>
      <c r="I173" s="168"/>
      <c r="J173" s="155"/>
      <c r="K173" s="155"/>
      <c r="L173" s="155"/>
      <c r="M173" s="155"/>
      <c r="N173" s="155"/>
      <c r="O173" s="155"/>
      <c r="P173" s="155"/>
      <c r="Q173" s="155"/>
      <c r="R173" s="155"/>
      <c r="S173" s="155"/>
      <c r="T173" s="155"/>
      <c r="U173" s="155"/>
      <c r="V173" s="155"/>
      <c r="W173" s="155"/>
      <c r="X173" s="99"/>
      <c r="Y173" s="99"/>
      <c r="Z173" s="99"/>
      <c r="AA173" s="99"/>
      <c r="AB173" s="99"/>
      <c r="AC173" s="99"/>
      <c r="AD173" s="99"/>
      <c r="AE173" s="99"/>
      <c r="AF173" s="99"/>
      <c r="AG173" s="99"/>
      <c r="AH173" s="99"/>
      <c r="AI173" s="99"/>
      <c r="AJ173" s="99"/>
      <c r="AK173" s="99"/>
      <c r="AL173" s="99"/>
      <c r="AM173" s="99"/>
      <c r="AN173" s="99"/>
      <c r="AO173" s="99"/>
      <c r="AP173" s="169"/>
      <c r="AQ173" s="99"/>
      <c r="AR173" s="170"/>
      <c r="AS173" s="171"/>
      <c r="AT173" s="172"/>
      <c r="AW173" s="98"/>
      <c r="AX173" s="98"/>
      <c r="AY173" s="98"/>
      <c r="AZ173" s="98"/>
    </row>
    <row r="174" spans="3:52" x14ac:dyDescent="0.2">
      <c r="C174" s="99"/>
      <c r="D174" s="100"/>
      <c r="E174" s="100"/>
      <c r="F174" s="98"/>
      <c r="G174" s="168"/>
      <c r="H174" s="168"/>
      <c r="I174" s="168"/>
      <c r="J174" s="155"/>
      <c r="K174" s="155"/>
      <c r="L174" s="155"/>
      <c r="M174" s="155"/>
      <c r="N174" s="155"/>
      <c r="O174" s="155"/>
      <c r="P174" s="155"/>
      <c r="Q174" s="155"/>
      <c r="R174" s="155"/>
      <c r="S174" s="155"/>
      <c r="T174" s="155"/>
      <c r="U174" s="155"/>
      <c r="V174" s="155"/>
      <c r="W174" s="155"/>
      <c r="X174" s="99"/>
      <c r="Y174" s="99"/>
      <c r="Z174" s="99"/>
      <c r="AA174" s="99"/>
      <c r="AB174" s="99"/>
      <c r="AC174" s="99"/>
      <c r="AD174" s="99"/>
      <c r="AE174" s="99"/>
      <c r="AF174" s="99"/>
      <c r="AG174" s="99"/>
      <c r="AH174" s="99"/>
      <c r="AI174" s="99"/>
      <c r="AJ174" s="99"/>
      <c r="AK174" s="99"/>
      <c r="AL174" s="99"/>
      <c r="AM174" s="99"/>
      <c r="AN174" s="99"/>
      <c r="AO174" s="99"/>
      <c r="AP174" s="169"/>
      <c r="AQ174" s="99"/>
      <c r="AR174" s="170"/>
      <c r="AS174" s="171"/>
      <c r="AT174" s="172"/>
      <c r="AW174" s="98"/>
      <c r="AX174" s="98"/>
      <c r="AY174" s="98"/>
      <c r="AZ174" s="98"/>
    </row>
    <row r="175" spans="3:52" x14ac:dyDescent="0.2">
      <c r="C175" s="99"/>
      <c r="D175" s="100"/>
      <c r="E175" s="100"/>
      <c r="F175" s="98"/>
      <c r="G175" s="168"/>
      <c r="H175" s="168"/>
      <c r="I175" s="168"/>
      <c r="J175" s="155"/>
      <c r="K175" s="155"/>
      <c r="L175" s="155"/>
      <c r="M175" s="155"/>
      <c r="N175" s="155"/>
      <c r="O175" s="155"/>
      <c r="P175" s="155"/>
      <c r="Q175" s="155"/>
      <c r="R175" s="155"/>
      <c r="S175" s="155"/>
      <c r="T175" s="155"/>
      <c r="U175" s="155"/>
      <c r="V175" s="155"/>
      <c r="W175" s="155"/>
      <c r="X175" s="99"/>
      <c r="Y175" s="99"/>
      <c r="Z175" s="99"/>
      <c r="AA175" s="99"/>
      <c r="AB175" s="99"/>
      <c r="AC175" s="99"/>
      <c r="AD175" s="99"/>
      <c r="AE175" s="99"/>
      <c r="AF175" s="99"/>
      <c r="AG175" s="99"/>
      <c r="AH175" s="99"/>
      <c r="AI175" s="99"/>
      <c r="AJ175" s="99"/>
      <c r="AK175" s="99"/>
      <c r="AL175" s="99"/>
      <c r="AM175" s="99"/>
      <c r="AN175" s="99"/>
      <c r="AO175" s="99"/>
      <c r="AP175" s="169"/>
      <c r="AQ175" s="99"/>
      <c r="AR175" s="170"/>
      <c r="AS175" s="171"/>
      <c r="AT175" s="172"/>
      <c r="AW175" s="98"/>
      <c r="AX175" s="98"/>
      <c r="AY175" s="98"/>
      <c r="AZ175" s="98"/>
    </row>
    <row r="176" spans="3:52" x14ac:dyDescent="0.2">
      <c r="C176" s="99"/>
      <c r="D176" s="100"/>
      <c r="E176" s="100"/>
      <c r="F176" s="98"/>
      <c r="G176" s="168"/>
      <c r="H176" s="168"/>
      <c r="I176" s="168"/>
      <c r="J176" s="155"/>
      <c r="K176" s="155"/>
      <c r="L176" s="155"/>
      <c r="M176" s="155"/>
      <c r="N176" s="155"/>
      <c r="O176" s="155"/>
      <c r="P176" s="155"/>
      <c r="Q176" s="155"/>
      <c r="R176" s="155"/>
      <c r="S176" s="155"/>
      <c r="T176" s="155"/>
      <c r="U176" s="155"/>
      <c r="V176" s="155"/>
      <c r="W176" s="155"/>
      <c r="X176" s="99"/>
      <c r="Y176" s="99"/>
      <c r="Z176" s="99"/>
      <c r="AA176" s="99"/>
      <c r="AB176" s="99"/>
      <c r="AC176" s="99"/>
      <c r="AD176" s="99"/>
      <c r="AE176" s="99"/>
      <c r="AF176" s="99"/>
      <c r="AG176" s="99"/>
      <c r="AH176" s="99"/>
      <c r="AI176" s="99"/>
      <c r="AJ176" s="99"/>
      <c r="AK176" s="99"/>
      <c r="AL176" s="99"/>
      <c r="AM176" s="99"/>
      <c r="AN176" s="99"/>
      <c r="AO176" s="99"/>
      <c r="AP176" s="169"/>
      <c r="AQ176" s="99"/>
      <c r="AR176" s="170"/>
      <c r="AS176" s="171"/>
      <c r="AT176" s="172"/>
      <c r="AW176" s="98"/>
      <c r="AX176" s="98"/>
      <c r="AY176" s="98"/>
      <c r="AZ176" s="98"/>
    </row>
    <row r="177" spans="3:52" x14ac:dyDescent="0.2">
      <c r="C177" s="99"/>
      <c r="D177" s="100"/>
      <c r="E177" s="100"/>
      <c r="F177" s="98"/>
      <c r="G177" s="168"/>
      <c r="H177" s="168"/>
      <c r="I177" s="168"/>
      <c r="J177" s="155"/>
      <c r="K177" s="155"/>
      <c r="L177" s="155"/>
      <c r="M177" s="155"/>
      <c r="N177" s="155"/>
      <c r="O177" s="155"/>
      <c r="P177" s="155"/>
      <c r="Q177" s="155"/>
      <c r="R177" s="155"/>
      <c r="S177" s="155"/>
      <c r="T177" s="155"/>
      <c r="U177" s="155"/>
      <c r="V177" s="155"/>
      <c r="W177" s="155"/>
      <c r="X177" s="99"/>
      <c r="Y177" s="99"/>
      <c r="Z177" s="99"/>
      <c r="AA177" s="99"/>
      <c r="AB177" s="99"/>
      <c r="AC177" s="99"/>
      <c r="AD177" s="99"/>
      <c r="AE177" s="99"/>
      <c r="AF177" s="99"/>
      <c r="AG177" s="99"/>
      <c r="AH177" s="99"/>
      <c r="AI177" s="99"/>
      <c r="AJ177" s="99"/>
      <c r="AK177" s="99"/>
      <c r="AL177" s="99"/>
      <c r="AM177" s="99"/>
      <c r="AN177" s="99"/>
      <c r="AO177" s="99"/>
      <c r="AP177" s="169"/>
      <c r="AQ177" s="99"/>
      <c r="AR177" s="170"/>
      <c r="AS177" s="171"/>
      <c r="AT177" s="172"/>
      <c r="AW177" s="98"/>
      <c r="AX177" s="98"/>
      <c r="AY177" s="98"/>
      <c r="AZ177" s="98"/>
    </row>
    <row r="178" spans="3:52" x14ac:dyDescent="0.2">
      <c r="C178" s="99"/>
      <c r="D178" s="100"/>
      <c r="E178" s="100"/>
      <c r="F178" s="98"/>
      <c r="G178" s="168"/>
      <c r="H178" s="168"/>
      <c r="I178" s="168"/>
      <c r="J178" s="155"/>
      <c r="K178" s="155"/>
      <c r="L178" s="155"/>
      <c r="M178" s="155"/>
      <c r="N178" s="155"/>
      <c r="O178" s="155"/>
      <c r="P178" s="155"/>
      <c r="Q178" s="155"/>
      <c r="R178" s="155"/>
      <c r="S178" s="155"/>
      <c r="T178" s="155"/>
      <c r="U178" s="155"/>
      <c r="V178" s="155"/>
      <c r="W178" s="155"/>
      <c r="X178" s="99"/>
      <c r="Y178" s="99"/>
      <c r="Z178" s="99"/>
      <c r="AA178" s="99"/>
      <c r="AB178" s="99"/>
      <c r="AC178" s="99"/>
      <c r="AD178" s="99"/>
      <c r="AE178" s="99"/>
      <c r="AF178" s="99"/>
      <c r="AG178" s="99"/>
      <c r="AH178" s="99"/>
      <c r="AI178" s="99"/>
      <c r="AJ178" s="99"/>
      <c r="AK178" s="99"/>
      <c r="AL178" s="99"/>
      <c r="AM178" s="99"/>
      <c r="AN178" s="99"/>
      <c r="AO178" s="99"/>
      <c r="AP178" s="169"/>
      <c r="AQ178" s="99"/>
      <c r="AR178" s="170"/>
      <c r="AS178" s="171"/>
      <c r="AT178" s="172"/>
      <c r="AW178" s="98"/>
      <c r="AX178" s="98"/>
      <c r="AY178" s="98"/>
      <c r="AZ178" s="98"/>
    </row>
    <row r="179" spans="3:52" x14ac:dyDescent="0.2">
      <c r="C179" s="99"/>
      <c r="D179" s="100"/>
      <c r="E179" s="100"/>
      <c r="F179" s="98"/>
      <c r="G179" s="168"/>
      <c r="H179" s="168"/>
      <c r="I179" s="168"/>
      <c r="J179" s="155"/>
      <c r="K179" s="155"/>
      <c r="L179" s="155"/>
      <c r="M179" s="155"/>
      <c r="N179" s="155"/>
      <c r="O179" s="155"/>
      <c r="P179" s="155"/>
      <c r="Q179" s="155"/>
      <c r="R179" s="155"/>
      <c r="S179" s="155"/>
      <c r="T179" s="155"/>
      <c r="U179" s="155"/>
      <c r="V179" s="155"/>
      <c r="W179" s="155"/>
      <c r="X179" s="99"/>
      <c r="Y179" s="99"/>
      <c r="Z179" s="99"/>
      <c r="AA179" s="99"/>
      <c r="AB179" s="99"/>
      <c r="AC179" s="99"/>
      <c r="AD179" s="99"/>
      <c r="AE179" s="99"/>
      <c r="AF179" s="99"/>
      <c r="AG179" s="99"/>
      <c r="AH179" s="99"/>
      <c r="AI179" s="99"/>
      <c r="AJ179" s="99"/>
      <c r="AK179" s="99"/>
      <c r="AL179" s="99"/>
      <c r="AM179" s="99"/>
      <c r="AN179" s="99"/>
      <c r="AO179" s="99"/>
      <c r="AP179" s="169"/>
      <c r="AQ179" s="99"/>
      <c r="AR179" s="170"/>
      <c r="AS179" s="171"/>
      <c r="AT179" s="172"/>
      <c r="AW179" s="98"/>
      <c r="AX179" s="98"/>
      <c r="AY179" s="98"/>
      <c r="AZ179" s="98"/>
    </row>
    <row r="180" spans="3:52" x14ac:dyDescent="0.2">
      <c r="C180" s="99"/>
      <c r="D180" s="100"/>
      <c r="E180" s="100"/>
      <c r="F180" s="98"/>
      <c r="G180" s="168"/>
      <c r="H180" s="168"/>
      <c r="I180" s="168"/>
      <c r="J180" s="155"/>
      <c r="K180" s="155"/>
      <c r="L180" s="155"/>
      <c r="M180" s="155"/>
      <c r="N180" s="155"/>
      <c r="O180" s="155"/>
      <c r="P180" s="155"/>
      <c r="Q180" s="155"/>
      <c r="R180" s="155"/>
      <c r="S180" s="155"/>
      <c r="T180" s="155"/>
      <c r="U180" s="155"/>
      <c r="V180" s="155"/>
      <c r="W180" s="155"/>
      <c r="X180" s="99"/>
      <c r="Y180" s="99"/>
      <c r="Z180" s="99"/>
      <c r="AA180" s="99"/>
      <c r="AB180" s="99"/>
      <c r="AC180" s="99"/>
      <c r="AD180" s="99"/>
      <c r="AE180" s="99"/>
      <c r="AF180" s="99"/>
      <c r="AG180" s="99"/>
      <c r="AH180" s="99"/>
      <c r="AI180" s="99"/>
      <c r="AJ180" s="99"/>
      <c r="AK180" s="99"/>
      <c r="AL180" s="99"/>
      <c r="AM180" s="99"/>
      <c r="AN180" s="99"/>
      <c r="AO180" s="99"/>
      <c r="AP180" s="169"/>
      <c r="AQ180" s="99"/>
      <c r="AR180" s="170"/>
      <c r="AS180" s="171"/>
      <c r="AT180" s="172"/>
      <c r="AW180" s="98"/>
      <c r="AX180" s="98"/>
      <c r="AY180" s="98"/>
      <c r="AZ180" s="98"/>
    </row>
    <row r="181" spans="3:52" x14ac:dyDescent="0.2">
      <c r="C181" s="99"/>
      <c r="D181" s="100"/>
      <c r="E181" s="100"/>
      <c r="F181" s="98"/>
      <c r="G181" s="168"/>
      <c r="H181" s="168"/>
      <c r="I181" s="168"/>
      <c r="J181" s="155"/>
      <c r="K181" s="155"/>
      <c r="L181" s="155"/>
      <c r="M181" s="155"/>
      <c r="N181" s="155"/>
      <c r="O181" s="155"/>
      <c r="P181" s="155"/>
      <c r="Q181" s="155"/>
      <c r="R181" s="155"/>
      <c r="S181" s="155"/>
      <c r="T181" s="155"/>
      <c r="U181" s="155"/>
      <c r="V181" s="155"/>
      <c r="W181" s="155"/>
      <c r="X181" s="99"/>
      <c r="Y181" s="99"/>
      <c r="Z181" s="99"/>
      <c r="AA181" s="99"/>
      <c r="AB181" s="99"/>
      <c r="AC181" s="99"/>
      <c r="AD181" s="99"/>
      <c r="AE181" s="99"/>
      <c r="AF181" s="99"/>
      <c r="AG181" s="99"/>
      <c r="AH181" s="99"/>
      <c r="AI181" s="99"/>
      <c r="AJ181" s="99"/>
      <c r="AK181" s="99"/>
      <c r="AL181" s="99"/>
      <c r="AM181" s="99"/>
      <c r="AN181" s="99"/>
      <c r="AO181" s="99"/>
      <c r="AP181" s="169"/>
      <c r="AQ181" s="99"/>
      <c r="AR181" s="170"/>
      <c r="AS181" s="171"/>
      <c r="AT181" s="172"/>
      <c r="AW181" s="98"/>
      <c r="AX181" s="98"/>
      <c r="AY181" s="98"/>
      <c r="AZ181" s="98"/>
    </row>
    <row r="182" spans="3:52" x14ac:dyDescent="0.2">
      <c r="C182" s="99"/>
      <c r="D182" s="100"/>
      <c r="E182" s="100"/>
      <c r="F182" s="98"/>
      <c r="G182" s="168"/>
      <c r="H182" s="168"/>
      <c r="I182" s="168"/>
      <c r="J182" s="155"/>
      <c r="K182" s="155"/>
      <c r="L182" s="155"/>
      <c r="M182" s="155"/>
      <c r="N182" s="155"/>
      <c r="O182" s="155"/>
      <c r="P182" s="155"/>
      <c r="Q182" s="155"/>
      <c r="R182" s="155"/>
      <c r="S182" s="155"/>
      <c r="T182" s="155"/>
      <c r="U182" s="155"/>
      <c r="V182" s="155"/>
      <c r="W182" s="155"/>
      <c r="X182" s="99"/>
      <c r="Y182" s="99"/>
      <c r="Z182" s="99"/>
      <c r="AA182" s="99"/>
      <c r="AB182" s="99"/>
      <c r="AC182" s="99"/>
      <c r="AD182" s="99"/>
      <c r="AE182" s="99"/>
      <c r="AF182" s="99"/>
      <c r="AG182" s="99"/>
      <c r="AH182" s="99"/>
      <c r="AI182" s="99"/>
      <c r="AJ182" s="99"/>
      <c r="AK182" s="99"/>
      <c r="AL182" s="99"/>
      <c r="AM182" s="99"/>
      <c r="AN182" s="99"/>
      <c r="AO182" s="99"/>
      <c r="AP182" s="169"/>
      <c r="AQ182" s="99"/>
      <c r="AR182" s="170"/>
      <c r="AS182" s="171"/>
      <c r="AT182" s="172"/>
      <c r="AW182" s="98"/>
      <c r="AX182" s="98"/>
      <c r="AY182" s="98"/>
      <c r="AZ182" s="98"/>
    </row>
    <row r="183" spans="3:52" x14ac:dyDescent="0.2">
      <c r="C183" s="99"/>
      <c r="D183" s="100"/>
      <c r="E183" s="100"/>
      <c r="F183" s="98"/>
      <c r="G183" s="168"/>
      <c r="H183" s="168"/>
      <c r="I183" s="168"/>
      <c r="J183" s="155"/>
      <c r="K183" s="155"/>
      <c r="L183" s="155"/>
      <c r="M183" s="155"/>
      <c r="N183" s="155"/>
      <c r="O183" s="155"/>
      <c r="P183" s="155"/>
      <c r="Q183" s="155"/>
      <c r="R183" s="155"/>
      <c r="S183" s="155"/>
      <c r="T183" s="155"/>
      <c r="U183" s="155"/>
      <c r="V183" s="155"/>
      <c r="W183" s="155"/>
      <c r="X183" s="99"/>
      <c r="Y183" s="99"/>
      <c r="Z183" s="99"/>
      <c r="AA183" s="99"/>
      <c r="AB183" s="99"/>
      <c r="AC183" s="99"/>
      <c r="AD183" s="99"/>
      <c r="AE183" s="99"/>
      <c r="AF183" s="99"/>
      <c r="AG183" s="99"/>
      <c r="AH183" s="99"/>
      <c r="AI183" s="99"/>
      <c r="AJ183" s="99"/>
      <c r="AK183" s="99"/>
      <c r="AL183" s="99"/>
      <c r="AM183" s="99"/>
      <c r="AN183" s="99"/>
      <c r="AO183" s="99"/>
      <c r="AP183" s="169"/>
      <c r="AQ183" s="99"/>
      <c r="AR183" s="170"/>
      <c r="AS183" s="171"/>
      <c r="AT183" s="172"/>
      <c r="AW183" s="98"/>
      <c r="AX183" s="98"/>
      <c r="AY183" s="98"/>
      <c r="AZ183" s="98"/>
    </row>
    <row r="184" spans="3:52" x14ac:dyDescent="0.2">
      <c r="C184" s="99"/>
      <c r="D184" s="100"/>
      <c r="E184" s="100"/>
      <c r="F184" s="98"/>
      <c r="G184" s="168"/>
      <c r="H184" s="168"/>
      <c r="I184" s="168"/>
      <c r="J184" s="155"/>
      <c r="K184" s="155"/>
      <c r="L184" s="155"/>
      <c r="M184" s="155"/>
      <c r="N184" s="155"/>
      <c r="O184" s="155"/>
      <c r="P184" s="155"/>
      <c r="Q184" s="155"/>
      <c r="R184" s="155"/>
      <c r="S184" s="155"/>
      <c r="T184" s="155"/>
      <c r="U184" s="155"/>
      <c r="V184" s="155"/>
      <c r="W184" s="155"/>
      <c r="X184" s="99"/>
      <c r="Y184" s="99"/>
      <c r="Z184" s="99"/>
      <c r="AA184" s="99"/>
      <c r="AB184" s="99"/>
      <c r="AC184" s="99"/>
      <c r="AD184" s="99"/>
      <c r="AE184" s="99"/>
      <c r="AF184" s="99"/>
      <c r="AG184" s="99"/>
      <c r="AH184" s="99"/>
      <c r="AI184" s="99"/>
      <c r="AJ184" s="99"/>
      <c r="AK184" s="99"/>
      <c r="AL184" s="99"/>
      <c r="AM184" s="99"/>
      <c r="AN184" s="99"/>
      <c r="AO184" s="99"/>
      <c r="AP184" s="169"/>
      <c r="AQ184" s="99"/>
      <c r="AR184" s="170"/>
      <c r="AS184" s="171"/>
      <c r="AT184" s="172"/>
      <c r="AW184" s="98"/>
      <c r="AX184" s="98"/>
      <c r="AY184" s="98"/>
      <c r="AZ184" s="98"/>
    </row>
    <row r="185" spans="3:52" x14ac:dyDescent="0.2">
      <c r="C185" s="99"/>
      <c r="D185" s="100"/>
      <c r="E185" s="100"/>
      <c r="F185" s="98"/>
      <c r="G185" s="168"/>
      <c r="H185" s="168"/>
      <c r="I185" s="168"/>
      <c r="J185" s="155"/>
      <c r="K185" s="155"/>
      <c r="L185" s="155"/>
      <c r="M185" s="155"/>
      <c r="N185" s="155"/>
      <c r="O185" s="155"/>
      <c r="P185" s="155"/>
      <c r="Q185" s="155"/>
      <c r="R185" s="155"/>
      <c r="S185" s="155"/>
      <c r="T185" s="155"/>
      <c r="U185" s="155"/>
      <c r="V185" s="155"/>
      <c r="W185" s="155"/>
      <c r="X185" s="99"/>
      <c r="Y185" s="99"/>
      <c r="Z185" s="99"/>
      <c r="AA185" s="99"/>
      <c r="AB185" s="99"/>
      <c r="AC185" s="99"/>
      <c r="AD185" s="99"/>
      <c r="AE185" s="99"/>
      <c r="AF185" s="99"/>
      <c r="AG185" s="99"/>
      <c r="AH185" s="99"/>
      <c r="AI185" s="99"/>
      <c r="AJ185" s="99"/>
      <c r="AK185" s="99"/>
      <c r="AL185" s="99"/>
      <c r="AM185" s="99"/>
      <c r="AN185" s="99"/>
      <c r="AO185" s="99"/>
      <c r="AP185" s="169"/>
      <c r="AQ185" s="99"/>
      <c r="AR185" s="170"/>
      <c r="AS185" s="171"/>
      <c r="AT185" s="172"/>
      <c r="AW185" s="98"/>
      <c r="AX185" s="98"/>
      <c r="AY185" s="98"/>
      <c r="AZ185" s="98"/>
    </row>
    <row r="186" spans="3:52" x14ac:dyDescent="0.2">
      <c r="C186" s="99"/>
      <c r="D186" s="100"/>
      <c r="E186" s="100"/>
      <c r="F186" s="98"/>
      <c r="G186" s="168"/>
      <c r="H186" s="168"/>
      <c r="I186" s="168"/>
      <c r="J186" s="155"/>
      <c r="K186" s="155"/>
      <c r="L186" s="155"/>
      <c r="M186" s="155"/>
      <c r="N186" s="155"/>
      <c r="O186" s="155"/>
      <c r="P186" s="155"/>
      <c r="Q186" s="155"/>
      <c r="R186" s="155"/>
      <c r="S186" s="155"/>
      <c r="T186" s="155"/>
      <c r="U186" s="155"/>
      <c r="V186" s="155"/>
      <c r="W186" s="155"/>
      <c r="X186" s="99"/>
      <c r="Y186" s="99"/>
      <c r="Z186" s="99"/>
      <c r="AA186" s="99"/>
      <c r="AB186" s="99"/>
      <c r="AC186" s="99"/>
      <c r="AD186" s="99"/>
      <c r="AE186" s="99"/>
      <c r="AF186" s="99"/>
      <c r="AG186" s="99"/>
      <c r="AH186" s="99"/>
      <c r="AI186" s="99"/>
      <c r="AJ186" s="99"/>
      <c r="AK186" s="99"/>
      <c r="AL186" s="99"/>
      <c r="AM186" s="99"/>
      <c r="AN186" s="99"/>
      <c r="AO186" s="99"/>
      <c r="AP186" s="169"/>
      <c r="AQ186" s="99"/>
      <c r="AR186" s="170"/>
      <c r="AS186" s="171"/>
      <c r="AT186" s="172"/>
      <c r="AW186" s="98"/>
      <c r="AX186" s="98"/>
      <c r="AY186" s="98"/>
      <c r="AZ186" s="98"/>
    </row>
    <row r="187" spans="3:52" x14ac:dyDescent="0.2">
      <c r="C187" s="99"/>
      <c r="D187" s="100"/>
      <c r="E187" s="100"/>
      <c r="F187" s="98"/>
      <c r="G187" s="168"/>
      <c r="H187" s="168"/>
      <c r="I187" s="168"/>
      <c r="J187" s="155"/>
      <c r="K187" s="155"/>
      <c r="L187" s="155"/>
      <c r="M187" s="155"/>
      <c r="N187" s="155"/>
      <c r="O187" s="155"/>
      <c r="P187" s="155"/>
      <c r="Q187" s="155"/>
      <c r="R187" s="155"/>
      <c r="S187" s="155"/>
      <c r="T187" s="155"/>
      <c r="U187" s="155"/>
      <c r="V187" s="155"/>
      <c r="W187" s="155"/>
      <c r="X187" s="99"/>
      <c r="Y187" s="99"/>
      <c r="Z187" s="99"/>
      <c r="AA187" s="99"/>
      <c r="AB187" s="99"/>
      <c r="AC187" s="99"/>
      <c r="AD187" s="99"/>
      <c r="AE187" s="99"/>
      <c r="AF187" s="99"/>
      <c r="AG187" s="99"/>
      <c r="AH187" s="99"/>
      <c r="AI187" s="99"/>
      <c r="AJ187" s="99"/>
      <c r="AK187" s="99"/>
      <c r="AL187" s="99"/>
      <c r="AM187" s="99"/>
      <c r="AN187" s="99"/>
      <c r="AO187" s="99"/>
      <c r="AP187" s="169"/>
      <c r="AQ187" s="99"/>
      <c r="AR187" s="170"/>
      <c r="AS187" s="171"/>
      <c r="AT187" s="172"/>
      <c r="AW187" s="98"/>
      <c r="AX187" s="98"/>
      <c r="AY187" s="98"/>
      <c r="AZ187" s="98"/>
    </row>
    <row r="188" spans="3:52" x14ac:dyDescent="0.2">
      <c r="C188" s="99"/>
      <c r="D188" s="100"/>
      <c r="E188" s="100"/>
      <c r="F188" s="98"/>
      <c r="G188" s="168"/>
      <c r="H188" s="168"/>
      <c r="I188" s="168"/>
      <c r="J188" s="155"/>
      <c r="K188" s="155"/>
      <c r="L188" s="155"/>
      <c r="M188" s="155"/>
      <c r="N188" s="155"/>
      <c r="O188" s="155"/>
      <c r="P188" s="155"/>
      <c r="Q188" s="155"/>
      <c r="R188" s="155"/>
      <c r="S188" s="155"/>
      <c r="T188" s="155"/>
      <c r="U188" s="155"/>
      <c r="V188" s="155"/>
      <c r="W188" s="155"/>
      <c r="X188" s="99"/>
      <c r="Y188" s="99"/>
      <c r="Z188" s="99"/>
      <c r="AA188" s="99"/>
      <c r="AB188" s="99"/>
      <c r="AC188" s="99"/>
      <c r="AD188" s="99"/>
      <c r="AE188" s="99"/>
      <c r="AF188" s="99"/>
      <c r="AG188" s="99"/>
      <c r="AH188" s="99"/>
      <c r="AI188" s="99"/>
      <c r="AJ188" s="99"/>
      <c r="AK188" s="99"/>
      <c r="AL188" s="99"/>
      <c r="AM188" s="99"/>
      <c r="AN188" s="99"/>
      <c r="AO188" s="99"/>
      <c r="AP188" s="169"/>
      <c r="AQ188" s="99"/>
      <c r="AR188" s="170"/>
      <c r="AS188" s="171"/>
      <c r="AT188" s="172"/>
      <c r="AW188" s="98"/>
      <c r="AX188" s="98"/>
      <c r="AY188" s="98"/>
      <c r="AZ188" s="98"/>
    </row>
    <row r="189" spans="3:52" x14ac:dyDescent="0.2">
      <c r="C189" s="99"/>
      <c r="D189" s="100"/>
      <c r="E189" s="100"/>
      <c r="F189" s="98"/>
      <c r="G189" s="168"/>
      <c r="H189" s="168"/>
      <c r="I189" s="168"/>
      <c r="J189" s="155"/>
      <c r="K189" s="155"/>
      <c r="L189" s="155"/>
      <c r="M189" s="155"/>
      <c r="N189" s="155"/>
      <c r="O189" s="155"/>
      <c r="P189" s="155"/>
      <c r="Q189" s="155"/>
      <c r="R189" s="155"/>
      <c r="S189" s="155"/>
      <c r="T189" s="155"/>
      <c r="U189" s="155"/>
      <c r="V189" s="155"/>
      <c r="W189" s="155"/>
      <c r="X189" s="99"/>
      <c r="Y189" s="99"/>
      <c r="Z189" s="99"/>
      <c r="AA189" s="99"/>
      <c r="AB189" s="99"/>
      <c r="AC189" s="99"/>
      <c r="AD189" s="99"/>
      <c r="AE189" s="99"/>
      <c r="AF189" s="99"/>
      <c r="AG189" s="99"/>
      <c r="AH189" s="99"/>
      <c r="AI189" s="99"/>
      <c r="AJ189" s="99"/>
      <c r="AK189" s="99"/>
      <c r="AL189" s="99"/>
      <c r="AM189" s="99"/>
      <c r="AN189" s="99"/>
      <c r="AO189" s="99"/>
      <c r="AP189" s="169"/>
      <c r="AQ189" s="99"/>
      <c r="AR189" s="170"/>
      <c r="AS189" s="171"/>
      <c r="AT189" s="172"/>
      <c r="AW189" s="98"/>
      <c r="AX189" s="98"/>
      <c r="AY189" s="98"/>
      <c r="AZ189" s="98"/>
    </row>
    <row r="190" spans="3:52" x14ac:dyDescent="0.2">
      <c r="C190" s="99"/>
      <c r="D190" s="100"/>
      <c r="E190" s="100"/>
      <c r="F190" s="98"/>
      <c r="G190" s="168"/>
      <c r="H190" s="168"/>
      <c r="I190" s="168"/>
      <c r="J190" s="155"/>
      <c r="K190" s="155"/>
      <c r="L190" s="155"/>
      <c r="M190" s="155"/>
      <c r="N190" s="155"/>
      <c r="O190" s="155"/>
      <c r="P190" s="155"/>
      <c r="Q190" s="155"/>
      <c r="R190" s="155"/>
      <c r="S190" s="155"/>
      <c r="T190" s="155"/>
      <c r="U190" s="155"/>
      <c r="V190" s="155"/>
      <c r="W190" s="155"/>
      <c r="X190" s="99"/>
      <c r="Y190" s="99"/>
      <c r="Z190" s="99"/>
      <c r="AA190" s="99"/>
      <c r="AB190" s="99"/>
      <c r="AC190" s="99"/>
      <c r="AD190" s="99"/>
      <c r="AE190" s="99"/>
      <c r="AF190" s="99"/>
      <c r="AG190" s="99"/>
      <c r="AH190" s="99"/>
      <c r="AI190" s="99"/>
      <c r="AJ190" s="99"/>
      <c r="AK190" s="99"/>
      <c r="AL190" s="99"/>
      <c r="AM190" s="99"/>
      <c r="AN190" s="99"/>
      <c r="AO190" s="99"/>
      <c r="AP190" s="169"/>
      <c r="AQ190" s="99"/>
      <c r="AR190" s="170"/>
      <c r="AS190" s="171"/>
      <c r="AT190" s="172"/>
      <c r="AW190" s="98"/>
      <c r="AX190" s="98"/>
      <c r="AY190" s="98"/>
      <c r="AZ190" s="98"/>
    </row>
    <row r="191" spans="3:52" x14ac:dyDescent="0.2">
      <c r="C191" s="99"/>
      <c r="D191" s="100"/>
      <c r="E191" s="100"/>
      <c r="F191" s="98"/>
      <c r="G191" s="168"/>
      <c r="H191" s="168"/>
      <c r="I191" s="168"/>
      <c r="J191" s="155"/>
      <c r="K191" s="155"/>
      <c r="L191" s="155"/>
      <c r="M191" s="155"/>
      <c r="N191" s="155"/>
      <c r="O191" s="155"/>
      <c r="P191" s="155"/>
      <c r="Q191" s="155"/>
      <c r="R191" s="155"/>
      <c r="S191" s="155"/>
      <c r="T191" s="155"/>
      <c r="U191" s="155"/>
      <c r="V191" s="155"/>
      <c r="W191" s="155"/>
      <c r="X191" s="99"/>
      <c r="Y191" s="99"/>
      <c r="Z191" s="99"/>
      <c r="AA191" s="99"/>
      <c r="AB191" s="99"/>
      <c r="AC191" s="99"/>
      <c r="AD191" s="99"/>
      <c r="AE191" s="99"/>
      <c r="AF191" s="99"/>
      <c r="AG191" s="99"/>
      <c r="AH191" s="99"/>
      <c r="AI191" s="99"/>
      <c r="AJ191" s="99"/>
      <c r="AK191" s="99"/>
      <c r="AL191" s="99"/>
      <c r="AM191" s="99"/>
      <c r="AN191" s="99"/>
      <c r="AO191" s="99"/>
      <c r="AP191" s="169"/>
      <c r="AQ191" s="99"/>
      <c r="AR191" s="170"/>
      <c r="AS191" s="171"/>
      <c r="AT191" s="172"/>
      <c r="AW191" s="98"/>
      <c r="AX191" s="98"/>
      <c r="AY191" s="98"/>
      <c r="AZ191" s="98"/>
    </row>
    <row r="192" spans="3:52" x14ac:dyDescent="0.2">
      <c r="C192" s="99"/>
      <c r="D192" s="100"/>
      <c r="E192" s="100"/>
      <c r="F192" s="98"/>
      <c r="G192" s="168"/>
      <c r="H192" s="168"/>
      <c r="I192" s="168"/>
      <c r="J192" s="155"/>
      <c r="K192" s="155"/>
      <c r="L192" s="155"/>
      <c r="M192" s="155"/>
      <c r="N192" s="155"/>
      <c r="O192" s="155"/>
      <c r="P192" s="155"/>
      <c r="Q192" s="155"/>
      <c r="R192" s="155"/>
      <c r="S192" s="155"/>
      <c r="T192" s="155"/>
      <c r="U192" s="155"/>
      <c r="V192" s="155"/>
      <c r="W192" s="155"/>
      <c r="X192" s="99"/>
      <c r="Y192" s="99"/>
      <c r="Z192" s="99"/>
      <c r="AA192" s="99"/>
      <c r="AB192" s="99"/>
      <c r="AC192" s="99"/>
      <c r="AD192" s="99"/>
      <c r="AE192" s="99"/>
      <c r="AF192" s="99"/>
      <c r="AG192" s="99"/>
      <c r="AH192" s="99"/>
      <c r="AI192" s="99"/>
      <c r="AJ192" s="99"/>
      <c r="AK192" s="99"/>
      <c r="AL192" s="99"/>
      <c r="AM192" s="99"/>
      <c r="AN192" s="99"/>
      <c r="AO192" s="99"/>
      <c r="AP192" s="169"/>
      <c r="AQ192" s="99"/>
      <c r="AR192" s="170"/>
      <c r="AS192" s="171"/>
      <c r="AT192" s="172"/>
      <c r="AW192" s="98"/>
      <c r="AX192" s="98"/>
      <c r="AY192" s="98"/>
      <c r="AZ192" s="98"/>
    </row>
    <row r="193" spans="3:52" x14ac:dyDescent="0.2">
      <c r="C193" s="99"/>
      <c r="D193" s="100"/>
      <c r="E193" s="100"/>
      <c r="F193" s="98"/>
      <c r="G193" s="168"/>
      <c r="H193" s="168"/>
      <c r="I193" s="168"/>
      <c r="J193" s="155"/>
      <c r="K193" s="155"/>
      <c r="L193" s="155"/>
      <c r="M193" s="155"/>
      <c r="N193" s="155"/>
      <c r="O193" s="155"/>
      <c r="P193" s="155"/>
      <c r="Q193" s="155"/>
      <c r="R193" s="155"/>
      <c r="S193" s="155"/>
      <c r="T193" s="155"/>
      <c r="U193" s="155"/>
      <c r="V193" s="155"/>
      <c r="W193" s="155"/>
      <c r="X193" s="99"/>
      <c r="Y193" s="99"/>
      <c r="Z193" s="99"/>
      <c r="AA193" s="99"/>
      <c r="AB193" s="99"/>
      <c r="AC193" s="99"/>
      <c r="AD193" s="99"/>
      <c r="AE193" s="99"/>
      <c r="AF193" s="99"/>
      <c r="AG193" s="99"/>
      <c r="AH193" s="99"/>
      <c r="AI193" s="99"/>
      <c r="AJ193" s="99"/>
      <c r="AK193" s="99"/>
      <c r="AL193" s="99"/>
      <c r="AM193" s="99"/>
      <c r="AN193" s="99"/>
      <c r="AO193" s="99"/>
      <c r="AP193" s="169"/>
      <c r="AQ193" s="99"/>
      <c r="AR193" s="170"/>
      <c r="AS193" s="171"/>
      <c r="AT193" s="172"/>
      <c r="AW193" s="98"/>
      <c r="AX193" s="98"/>
      <c r="AY193" s="98"/>
      <c r="AZ193" s="98"/>
    </row>
    <row r="194" spans="3:52" x14ac:dyDescent="0.2">
      <c r="C194" s="99"/>
      <c r="D194" s="100"/>
      <c r="E194" s="100"/>
      <c r="F194" s="98"/>
      <c r="G194" s="168"/>
      <c r="H194" s="168"/>
      <c r="I194" s="168"/>
      <c r="J194" s="155"/>
      <c r="K194" s="155"/>
      <c r="L194" s="155"/>
      <c r="M194" s="155"/>
      <c r="N194" s="155"/>
      <c r="O194" s="155"/>
      <c r="P194" s="155"/>
      <c r="Q194" s="155"/>
      <c r="R194" s="155"/>
      <c r="S194" s="155"/>
      <c r="T194" s="155"/>
      <c r="U194" s="155"/>
      <c r="V194" s="155"/>
      <c r="W194" s="155"/>
      <c r="X194" s="99"/>
      <c r="Y194" s="99"/>
      <c r="Z194" s="99"/>
      <c r="AA194" s="99"/>
      <c r="AB194" s="99"/>
      <c r="AC194" s="99"/>
      <c r="AD194" s="99"/>
      <c r="AE194" s="99"/>
      <c r="AF194" s="99"/>
      <c r="AG194" s="99"/>
      <c r="AH194" s="99"/>
      <c r="AI194" s="99"/>
      <c r="AJ194" s="99"/>
      <c r="AK194" s="99"/>
      <c r="AL194" s="99"/>
      <c r="AM194" s="99"/>
      <c r="AN194" s="99"/>
      <c r="AO194" s="99"/>
      <c r="AP194" s="169"/>
      <c r="AQ194" s="99"/>
      <c r="AR194" s="170"/>
      <c r="AS194" s="171"/>
      <c r="AT194" s="172"/>
      <c r="AW194" s="98"/>
      <c r="AX194" s="98"/>
      <c r="AY194" s="98"/>
      <c r="AZ194" s="98"/>
    </row>
    <row r="195" spans="3:52" x14ac:dyDescent="0.2">
      <c r="C195" s="99"/>
      <c r="D195" s="100"/>
      <c r="E195" s="100"/>
      <c r="F195" s="98"/>
      <c r="G195" s="168"/>
      <c r="H195" s="168"/>
      <c r="I195" s="168"/>
      <c r="J195" s="155"/>
      <c r="K195" s="155"/>
      <c r="L195" s="155"/>
      <c r="M195" s="155"/>
      <c r="N195" s="155"/>
      <c r="O195" s="155"/>
      <c r="P195" s="155"/>
      <c r="Q195" s="155"/>
      <c r="R195" s="155"/>
      <c r="S195" s="155"/>
      <c r="T195" s="155"/>
      <c r="U195" s="155"/>
      <c r="V195" s="155"/>
      <c r="W195" s="155"/>
      <c r="X195" s="99"/>
      <c r="Y195" s="99"/>
      <c r="Z195" s="99"/>
      <c r="AA195" s="99"/>
      <c r="AB195" s="99"/>
      <c r="AC195" s="99"/>
      <c r="AD195" s="99"/>
      <c r="AE195" s="99"/>
      <c r="AF195" s="99"/>
      <c r="AG195" s="99"/>
      <c r="AH195" s="99"/>
      <c r="AI195" s="99"/>
      <c r="AJ195" s="99"/>
      <c r="AK195" s="99"/>
      <c r="AL195" s="99"/>
      <c r="AM195" s="99"/>
      <c r="AN195" s="99"/>
      <c r="AO195" s="99"/>
      <c r="AP195" s="169"/>
      <c r="AQ195" s="99"/>
      <c r="AR195" s="170"/>
      <c r="AS195" s="171"/>
      <c r="AT195" s="172"/>
      <c r="AW195" s="98"/>
      <c r="AX195" s="98"/>
      <c r="AY195" s="98"/>
      <c r="AZ195" s="98"/>
    </row>
    <row r="196" spans="3:52" x14ac:dyDescent="0.2">
      <c r="C196" s="99"/>
      <c r="D196" s="100"/>
      <c r="E196" s="100"/>
      <c r="F196" s="98"/>
      <c r="G196" s="168"/>
      <c r="H196" s="168"/>
      <c r="I196" s="168"/>
      <c r="J196" s="155"/>
      <c r="K196" s="155"/>
      <c r="L196" s="155"/>
      <c r="M196" s="155"/>
      <c r="N196" s="155"/>
      <c r="O196" s="155"/>
      <c r="P196" s="155"/>
      <c r="Q196" s="155"/>
      <c r="R196" s="155"/>
      <c r="S196" s="155"/>
      <c r="T196" s="155"/>
      <c r="U196" s="155"/>
      <c r="V196" s="155"/>
      <c r="W196" s="155"/>
      <c r="X196" s="99"/>
      <c r="Y196" s="99"/>
      <c r="Z196" s="99"/>
      <c r="AA196" s="99"/>
      <c r="AB196" s="99"/>
      <c r="AC196" s="99"/>
      <c r="AD196" s="99"/>
      <c r="AE196" s="99"/>
      <c r="AF196" s="99"/>
      <c r="AG196" s="99"/>
      <c r="AH196" s="99"/>
      <c r="AI196" s="99"/>
      <c r="AJ196" s="99"/>
      <c r="AK196" s="99"/>
      <c r="AL196" s="99"/>
      <c r="AM196" s="99"/>
      <c r="AN196" s="99"/>
      <c r="AO196" s="99"/>
      <c r="AP196" s="169"/>
      <c r="AQ196" s="99"/>
      <c r="AR196" s="170"/>
      <c r="AS196" s="171"/>
      <c r="AT196" s="172"/>
      <c r="AW196" s="98"/>
      <c r="AX196" s="98"/>
      <c r="AY196" s="98"/>
      <c r="AZ196" s="98"/>
    </row>
    <row r="197" spans="3:52" x14ac:dyDescent="0.2">
      <c r="C197" s="99"/>
      <c r="D197" s="100"/>
      <c r="E197" s="100"/>
      <c r="F197" s="98"/>
      <c r="G197" s="168"/>
      <c r="H197" s="168"/>
      <c r="I197" s="168"/>
      <c r="J197" s="155"/>
      <c r="K197" s="155"/>
      <c r="L197" s="155"/>
      <c r="M197" s="155"/>
      <c r="N197" s="155"/>
      <c r="O197" s="155"/>
      <c r="P197" s="155"/>
      <c r="Q197" s="155"/>
      <c r="R197" s="155"/>
      <c r="S197" s="155"/>
      <c r="T197" s="155"/>
      <c r="U197" s="155"/>
      <c r="V197" s="155"/>
      <c r="W197" s="155"/>
      <c r="X197" s="99"/>
      <c r="Y197" s="99"/>
      <c r="Z197" s="99"/>
      <c r="AA197" s="99"/>
      <c r="AB197" s="99"/>
      <c r="AC197" s="99"/>
      <c r="AD197" s="99"/>
      <c r="AE197" s="99"/>
      <c r="AF197" s="99"/>
      <c r="AG197" s="99"/>
      <c r="AH197" s="99"/>
      <c r="AI197" s="99"/>
      <c r="AJ197" s="99"/>
      <c r="AK197" s="99"/>
      <c r="AL197" s="99"/>
      <c r="AM197" s="99"/>
      <c r="AN197" s="99"/>
      <c r="AO197" s="99"/>
      <c r="AP197" s="169"/>
      <c r="AQ197" s="99"/>
      <c r="AR197" s="170"/>
      <c r="AS197" s="171"/>
      <c r="AT197" s="172"/>
      <c r="AW197" s="98"/>
      <c r="AX197" s="98"/>
      <c r="AY197" s="98"/>
      <c r="AZ197" s="98"/>
    </row>
    <row r="198" spans="3:52" x14ac:dyDescent="0.2">
      <c r="C198" s="99"/>
      <c r="D198" s="100"/>
      <c r="E198" s="100"/>
      <c r="F198" s="98"/>
      <c r="G198" s="168"/>
      <c r="H198" s="168"/>
      <c r="I198" s="168"/>
      <c r="J198" s="155"/>
      <c r="K198" s="155"/>
      <c r="L198" s="155"/>
      <c r="M198" s="155"/>
      <c r="N198" s="155"/>
      <c r="O198" s="155"/>
      <c r="P198" s="155"/>
      <c r="Q198" s="155"/>
      <c r="R198" s="155"/>
      <c r="S198" s="155"/>
      <c r="T198" s="155"/>
      <c r="U198" s="155"/>
      <c r="V198" s="155"/>
      <c r="W198" s="155"/>
      <c r="X198" s="99"/>
      <c r="Y198" s="99"/>
      <c r="Z198" s="99"/>
      <c r="AA198" s="99"/>
      <c r="AB198" s="99"/>
      <c r="AC198" s="99"/>
      <c r="AD198" s="99"/>
      <c r="AE198" s="99"/>
      <c r="AF198" s="99"/>
      <c r="AG198" s="99"/>
      <c r="AH198" s="99"/>
      <c r="AI198" s="99"/>
      <c r="AJ198" s="99"/>
      <c r="AK198" s="99"/>
      <c r="AL198" s="99"/>
      <c r="AM198" s="99"/>
      <c r="AN198" s="99"/>
      <c r="AO198" s="99"/>
      <c r="AP198" s="169"/>
      <c r="AQ198" s="99"/>
      <c r="AR198" s="170"/>
      <c r="AS198" s="171"/>
      <c r="AT198" s="172"/>
      <c r="AW198" s="98"/>
      <c r="AX198" s="98"/>
      <c r="AY198" s="98"/>
      <c r="AZ198" s="98"/>
    </row>
    <row r="199" spans="3:52" x14ac:dyDescent="0.2">
      <c r="C199" s="99"/>
      <c r="D199" s="100"/>
      <c r="E199" s="100"/>
      <c r="F199" s="98"/>
      <c r="G199" s="168"/>
      <c r="H199" s="168"/>
      <c r="I199" s="168"/>
      <c r="J199" s="155"/>
      <c r="K199" s="155"/>
      <c r="L199" s="155"/>
      <c r="M199" s="155"/>
      <c r="N199" s="155"/>
      <c r="O199" s="155"/>
      <c r="P199" s="155"/>
      <c r="Q199" s="155"/>
      <c r="R199" s="155"/>
      <c r="S199" s="155"/>
      <c r="T199" s="155"/>
      <c r="U199" s="155"/>
      <c r="V199" s="155"/>
      <c r="W199" s="155"/>
      <c r="X199" s="99"/>
      <c r="Y199" s="99"/>
      <c r="Z199" s="99"/>
      <c r="AA199" s="99"/>
      <c r="AB199" s="99"/>
      <c r="AC199" s="99"/>
      <c r="AD199" s="99"/>
      <c r="AE199" s="99"/>
      <c r="AF199" s="99"/>
      <c r="AG199" s="99"/>
      <c r="AH199" s="99"/>
      <c r="AI199" s="99"/>
      <c r="AJ199" s="99"/>
      <c r="AK199" s="99"/>
      <c r="AL199" s="99"/>
      <c r="AM199" s="99"/>
      <c r="AN199" s="99"/>
      <c r="AO199" s="99"/>
      <c r="AP199" s="169"/>
      <c r="AQ199" s="99"/>
      <c r="AR199" s="170"/>
      <c r="AS199" s="171"/>
      <c r="AT199" s="172"/>
      <c r="AW199" s="98"/>
      <c r="AX199" s="98"/>
      <c r="AY199" s="98"/>
      <c r="AZ199" s="98"/>
    </row>
    <row r="200" spans="3:52" x14ac:dyDescent="0.2">
      <c r="C200" s="99"/>
      <c r="D200" s="100"/>
      <c r="E200" s="100"/>
      <c r="F200" s="98"/>
      <c r="G200" s="168"/>
      <c r="H200" s="168"/>
      <c r="I200" s="168"/>
      <c r="J200" s="155"/>
      <c r="K200" s="155"/>
      <c r="L200" s="155"/>
      <c r="M200" s="155"/>
      <c r="N200" s="155"/>
      <c r="O200" s="155"/>
      <c r="P200" s="155"/>
      <c r="Q200" s="155"/>
      <c r="R200" s="155"/>
      <c r="S200" s="155"/>
      <c r="T200" s="155"/>
      <c r="U200" s="155"/>
      <c r="V200" s="155"/>
      <c r="W200" s="155"/>
      <c r="X200" s="99"/>
      <c r="Y200" s="99"/>
      <c r="Z200" s="99"/>
      <c r="AA200" s="99"/>
      <c r="AB200" s="99"/>
      <c r="AC200" s="99"/>
      <c r="AD200" s="99"/>
      <c r="AE200" s="99"/>
      <c r="AF200" s="99"/>
      <c r="AG200" s="99"/>
      <c r="AH200" s="99"/>
      <c r="AI200" s="99"/>
      <c r="AJ200" s="99"/>
      <c r="AK200" s="99"/>
      <c r="AL200" s="99"/>
      <c r="AM200" s="99"/>
      <c r="AN200" s="99"/>
      <c r="AO200" s="99"/>
      <c r="AP200" s="169"/>
      <c r="AQ200" s="99"/>
      <c r="AR200" s="170"/>
      <c r="AS200" s="171"/>
      <c r="AT200" s="172"/>
      <c r="AW200" s="98"/>
      <c r="AX200" s="98"/>
      <c r="AY200" s="98"/>
      <c r="AZ200" s="98"/>
    </row>
    <row r="201" spans="3:52" x14ac:dyDescent="0.2">
      <c r="C201" s="99"/>
      <c r="D201" s="100"/>
      <c r="E201" s="100"/>
      <c r="F201" s="98"/>
      <c r="G201" s="168"/>
      <c r="H201" s="168"/>
      <c r="I201" s="168"/>
      <c r="J201" s="155"/>
      <c r="K201" s="155"/>
      <c r="L201" s="155"/>
      <c r="M201" s="155"/>
      <c r="N201" s="155"/>
      <c r="O201" s="155"/>
      <c r="P201" s="155"/>
      <c r="Q201" s="155"/>
      <c r="R201" s="155"/>
      <c r="S201" s="155"/>
      <c r="T201" s="155"/>
      <c r="U201" s="155"/>
      <c r="V201" s="155"/>
      <c r="W201" s="155"/>
      <c r="X201" s="99"/>
      <c r="Y201" s="99"/>
      <c r="Z201" s="99"/>
      <c r="AA201" s="99"/>
      <c r="AB201" s="99"/>
      <c r="AC201" s="99"/>
      <c r="AD201" s="99"/>
      <c r="AE201" s="99"/>
      <c r="AF201" s="99"/>
      <c r="AG201" s="99"/>
      <c r="AH201" s="99"/>
      <c r="AI201" s="99"/>
      <c r="AJ201" s="99"/>
      <c r="AK201" s="99"/>
      <c r="AL201" s="99"/>
      <c r="AM201" s="99"/>
      <c r="AN201" s="99"/>
      <c r="AO201" s="99"/>
      <c r="AP201" s="169"/>
      <c r="AQ201" s="99"/>
      <c r="AR201" s="170"/>
      <c r="AS201" s="171"/>
      <c r="AT201" s="172"/>
      <c r="AW201" s="98"/>
      <c r="AX201" s="98"/>
      <c r="AY201" s="98"/>
      <c r="AZ201" s="98"/>
    </row>
    <row r="202" spans="3:52" x14ac:dyDescent="0.2">
      <c r="C202" s="99"/>
      <c r="D202" s="100"/>
      <c r="E202" s="100"/>
      <c r="F202" s="98"/>
      <c r="G202" s="168"/>
      <c r="H202" s="168"/>
      <c r="I202" s="168"/>
      <c r="J202" s="155"/>
      <c r="K202" s="155"/>
      <c r="L202" s="155"/>
      <c r="M202" s="155"/>
      <c r="N202" s="155"/>
      <c r="O202" s="155"/>
      <c r="P202" s="155"/>
      <c r="Q202" s="155"/>
      <c r="R202" s="155"/>
      <c r="S202" s="155"/>
      <c r="T202" s="155"/>
      <c r="U202" s="155"/>
      <c r="V202" s="155"/>
      <c r="W202" s="155"/>
      <c r="X202" s="99"/>
      <c r="Y202" s="99"/>
      <c r="Z202" s="99"/>
      <c r="AA202" s="99"/>
      <c r="AB202" s="99"/>
      <c r="AC202" s="99"/>
      <c r="AD202" s="99"/>
      <c r="AE202" s="99"/>
      <c r="AF202" s="99"/>
      <c r="AG202" s="99"/>
      <c r="AH202" s="99"/>
      <c r="AI202" s="99"/>
      <c r="AJ202" s="99"/>
      <c r="AK202" s="99"/>
      <c r="AL202" s="99"/>
      <c r="AM202" s="99"/>
      <c r="AN202" s="99"/>
      <c r="AO202" s="99"/>
      <c r="AP202" s="169"/>
      <c r="AQ202" s="99"/>
      <c r="AR202" s="170"/>
      <c r="AS202" s="171"/>
      <c r="AT202" s="172"/>
      <c r="AW202" s="98"/>
      <c r="AX202" s="98"/>
      <c r="AY202" s="98"/>
      <c r="AZ202" s="98"/>
    </row>
    <row r="203" spans="3:52" x14ac:dyDescent="0.2">
      <c r="C203" s="99"/>
      <c r="D203" s="100"/>
      <c r="E203" s="100"/>
      <c r="F203" s="98"/>
      <c r="G203" s="168"/>
      <c r="H203" s="168"/>
      <c r="I203" s="168"/>
      <c r="J203" s="155"/>
      <c r="K203" s="155"/>
      <c r="L203" s="155"/>
      <c r="M203" s="155"/>
      <c r="N203" s="155"/>
      <c r="O203" s="155"/>
      <c r="P203" s="155"/>
      <c r="Q203" s="155"/>
      <c r="R203" s="155"/>
      <c r="S203" s="155"/>
      <c r="T203" s="155"/>
      <c r="U203" s="155"/>
      <c r="V203" s="155"/>
      <c r="W203" s="155"/>
      <c r="X203" s="99"/>
      <c r="Y203" s="99"/>
      <c r="Z203" s="99"/>
      <c r="AA203" s="99"/>
      <c r="AB203" s="99"/>
      <c r="AC203" s="99"/>
      <c r="AD203" s="99"/>
      <c r="AE203" s="99"/>
      <c r="AF203" s="99"/>
      <c r="AG203" s="99"/>
      <c r="AH203" s="99"/>
      <c r="AI203" s="99"/>
      <c r="AJ203" s="99"/>
      <c r="AK203" s="99"/>
      <c r="AL203" s="99"/>
      <c r="AM203" s="99"/>
      <c r="AN203" s="99"/>
      <c r="AO203" s="99"/>
      <c r="AP203" s="169"/>
      <c r="AQ203" s="99"/>
      <c r="AR203" s="170"/>
      <c r="AS203" s="171"/>
      <c r="AT203" s="172"/>
      <c r="AW203" s="98"/>
      <c r="AX203" s="98"/>
      <c r="AY203" s="98"/>
      <c r="AZ203" s="98"/>
    </row>
    <row r="204" spans="3:52" x14ac:dyDescent="0.2">
      <c r="C204" s="99"/>
      <c r="D204" s="100"/>
      <c r="E204" s="100"/>
      <c r="F204" s="98"/>
      <c r="G204" s="168"/>
      <c r="H204" s="168"/>
      <c r="I204" s="168"/>
      <c r="J204" s="155"/>
      <c r="K204" s="155"/>
      <c r="L204" s="155"/>
      <c r="M204" s="155"/>
      <c r="N204" s="155"/>
      <c r="O204" s="155"/>
      <c r="P204" s="155"/>
      <c r="Q204" s="155"/>
      <c r="R204" s="155"/>
      <c r="S204" s="155"/>
      <c r="T204" s="155"/>
      <c r="U204" s="155"/>
      <c r="V204" s="155"/>
      <c r="W204" s="155"/>
      <c r="X204" s="99"/>
      <c r="Y204" s="99"/>
      <c r="Z204" s="99"/>
      <c r="AA204" s="99"/>
      <c r="AB204" s="99"/>
      <c r="AC204" s="99"/>
      <c r="AD204" s="99"/>
      <c r="AE204" s="99"/>
      <c r="AF204" s="99"/>
      <c r="AG204" s="99"/>
      <c r="AH204" s="99"/>
      <c r="AI204" s="99"/>
      <c r="AJ204" s="99"/>
      <c r="AK204" s="99"/>
      <c r="AL204" s="99"/>
      <c r="AM204" s="99"/>
      <c r="AN204" s="99"/>
      <c r="AO204" s="99"/>
      <c r="AP204" s="169"/>
      <c r="AQ204" s="99"/>
      <c r="AR204" s="170"/>
      <c r="AS204" s="171"/>
      <c r="AT204" s="172"/>
      <c r="AW204" s="98"/>
      <c r="AX204" s="98"/>
      <c r="AY204" s="98"/>
      <c r="AZ204" s="98"/>
    </row>
    <row r="205" spans="3:52" x14ac:dyDescent="0.2">
      <c r="C205" s="99"/>
      <c r="D205" s="100"/>
      <c r="E205" s="100"/>
      <c r="F205" s="98"/>
      <c r="G205" s="168"/>
      <c r="H205" s="168"/>
      <c r="I205" s="168"/>
      <c r="J205" s="155"/>
      <c r="K205" s="155"/>
      <c r="L205" s="155"/>
      <c r="M205" s="155"/>
      <c r="N205" s="155"/>
      <c r="O205" s="155"/>
      <c r="P205" s="155"/>
      <c r="Q205" s="155"/>
      <c r="R205" s="155"/>
      <c r="S205" s="155"/>
      <c r="T205" s="155"/>
      <c r="U205" s="155"/>
      <c r="V205" s="155"/>
      <c r="W205" s="155"/>
      <c r="X205" s="99"/>
      <c r="Y205" s="99"/>
      <c r="Z205" s="99"/>
      <c r="AA205" s="99"/>
      <c r="AB205" s="99"/>
      <c r="AC205" s="99"/>
      <c r="AD205" s="99"/>
      <c r="AE205" s="99"/>
      <c r="AF205" s="99"/>
      <c r="AG205" s="99"/>
      <c r="AH205" s="99"/>
      <c r="AI205" s="99"/>
      <c r="AJ205" s="99"/>
      <c r="AK205" s="99"/>
      <c r="AL205" s="99"/>
      <c r="AM205" s="99"/>
      <c r="AN205" s="99"/>
      <c r="AO205" s="99"/>
      <c r="AP205" s="169"/>
      <c r="AQ205" s="99"/>
      <c r="AR205" s="170"/>
      <c r="AS205" s="171"/>
      <c r="AT205" s="172"/>
      <c r="AW205" s="98"/>
      <c r="AX205" s="98"/>
      <c r="AY205" s="98"/>
      <c r="AZ205" s="98"/>
    </row>
    <row r="206" spans="3:52" x14ac:dyDescent="0.2">
      <c r="C206" s="99"/>
      <c r="D206" s="100"/>
      <c r="E206" s="100"/>
      <c r="F206" s="98"/>
      <c r="G206" s="168"/>
      <c r="H206" s="168"/>
      <c r="I206" s="168"/>
      <c r="J206" s="155"/>
      <c r="K206" s="155"/>
      <c r="L206" s="155"/>
      <c r="M206" s="155"/>
      <c r="N206" s="155"/>
      <c r="O206" s="155"/>
      <c r="P206" s="155"/>
      <c r="Q206" s="155"/>
      <c r="R206" s="155"/>
      <c r="S206" s="155"/>
      <c r="T206" s="155"/>
      <c r="U206" s="155"/>
      <c r="V206" s="155"/>
      <c r="W206" s="155"/>
      <c r="X206" s="99"/>
      <c r="Y206" s="99"/>
      <c r="Z206" s="99"/>
      <c r="AA206" s="99"/>
      <c r="AB206" s="99"/>
      <c r="AC206" s="99"/>
      <c r="AD206" s="99"/>
      <c r="AE206" s="99"/>
      <c r="AF206" s="99"/>
      <c r="AG206" s="99"/>
      <c r="AH206" s="99"/>
      <c r="AI206" s="99"/>
      <c r="AJ206" s="99"/>
      <c r="AK206" s="99"/>
      <c r="AL206" s="99"/>
      <c r="AM206" s="99"/>
      <c r="AN206" s="99"/>
      <c r="AO206" s="99"/>
      <c r="AP206" s="169"/>
      <c r="AQ206" s="99"/>
      <c r="AR206" s="170"/>
      <c r="AS206" s="171"/>
      <c r="AT206" s="172"/>
      <c r="AW206" s="98"/>
      <c r="AX206" s="98"/>
      <c r="AY206" s="98"/>
      <c r="AZ206" s="98"/>
    </row>
    <row r="207" spans="3:52" x14ac:dyDescent="0.2">
      <c r="C207" s="99"/>
      <c r="D207" s="100"/>
      <c r="E207" s="100"/>
      <c r="F207" s="98"/>
      <c r="G207" s="168"/>
      <c r="H207" s="168"/>
      <c r="I207" s="168"/>
      <c r="J207" s="155"/>
      <c r="K207" s="155"/>
      <c r="L207" s="155"/>
      <c r="M207" s="155"/>
      <c r="N207" s="155"/>
      <c r="O207" s="155"/>
      <c r="P207" s="155"/>
      <c r="Q207" s="155"/>
      <c r="R207" s="155"/>
      <c r="S207" s="155"/>
      <c r="T207" s="155"/>
      <c r="U207" s="155"/>
      <c r="V207" s="155"/>
      <c r="W207" s="155"/>
      <c r="X207" s="99"/>
      <c r="Y207" s="99"/>
      <c r="Z207" s="99"/>
      <c r="AA207" s="99"/>
      <c r="AB207" s="99"/>
      <c r="AC207" s="99"/>
      <c r="AD207" s="99"/>
      <c r="AE207" s="99"/>
      <c r="AF207" s="99"/>
      <c r="AG207" s="99"/>
      <c r="AH207" s="99"/>
      <c r="AI207" s="99"/>
      <c r="AJ207" s="99"/>
      <c r="AK207" s="99"/>
      <c r="AL207" s="99"/>
      <c r="AM207" s="99"/>
      <c r="AN207" s="99"/>
      <c r="AO207" s="99"/>
      <c r="AP207" s="169"/>
      <c r="AQ207" s="99"/>
      <c r="AR207" s="170"/>
      <c r="AS207" s="171"/>
      <c r="AT207" s="172"/>
      <c r="AW207" s="98"/>
      <c r="AX207" s="98"/>
      <c r="AY207" s="98"/>
      <c r="AZ207" s="98"/>
    </row>
    <row r="208" spans="3:52" x14ac:dyDescent="0.2">
      <c r="C208" s="99"/>
      <c r="D208" s="100"/>
      <c r="E208" s="100"/>
      <c r="F208" s="98"/>
      <c r="G208" s="168"/>
      <c r="H208" s="168"/>
      <c r="I208" s="168"/>
      <c r="J208" s="155"/>
      <c r="K208" s="155"/>
      <c r="L208" s="155"/>
      <c r="M208" s="155"/>
      <c r="N208" s="155"/>
      <c r="O208" s="155"/>
      <c r="P208" s="155"/>
      <c r="Q208" s="155"/>
      <c r="R208" s="155"/>
      <c r="S208" s="155"/>
      <c r="T208" s="155"/>
      <c r="U208" s="155"/>
      <c r="V208" s="155"/>
      <c r="W208" s="155"/>
      <c r="X208" s="99"/>
      <c r="Y208" s="99"/>
      <c r="Z208" s="99"/>
      <c r="AA208" s="99"/>
      <c r="AB208" s="99"/>
      <c r="AC208" s="99"/>
      <c r="AD208" s="99"/>
      <c r="AE208" s="99"/>
      <c r="AF208" s="99"/>
      <c r="AG208" s="99"/>
      <c r="AH208" s="99"/>
      <c r="AI208" s="99"/>
      <c r="AJ208" s="99"/>
      <c r="AK208" s="99"/>
      <c r="AL208" s="99"/>
      <c r="AM208" s="99"/>
      <c r="AN208" s="99"/>
      <c r="AO208" s="99"/>
      <c r="AP208" s="169"/>
      <c r="AQ208" s="99"/>
      <c r="AR208" s="170"/>
      <c r="AS208" s="171"/>
      <c r="AT208" s="172"/>
      <c r="AW208" s="98"/>
      <c r="AX208" s="98"/>
      <c r="AY208" s="98"/>
      <c r="AZ208" s="98"/>
    </row>
    <row r="209" spans="3:52" x14ac:dyDescent="0.2">
      <c r="C209" s="99"/>
      <c r="D209" s="100"/>
      <c r="E209" s="100"/>
      <c r="F209" s="98"/>
      <c r="G209" s="168"/>
      <c r="H209" s="168"/>
      <c r="I209" s="168"/>
      <c r="J209" s="155"/>
      <c r="K209" s="155"/>
      <c r="L209" s="155"/>
      <c r="M209" s="155"/>
      <c r="N209" s="155"/>
      <c r="O209" s="155"/>
      <c r="P209" s="155"/>
      <c r="Q209" s="155"/>
      <c r="R209" s="155"/>
      <c r="S209" s="155"/>
      <c r="T209" s="155"/>
      <c r="U209" s="155"/>
      <c r="V209" s="155"/>
      <c r="W209" s="155"/>
      <c r="X209" s="99"/>
      <c r="Y209" s="99"/>
      <c r="Z209" s="99"/>
      <c r="AA209" s="99"/>
      <c r="AB209" s="99"/>
      <c r="AC209" s="99"/>
      <c r="AD209" s="99"/>
      <c r="AE209" s="99"/>
      <c r="AF209" s="99"/>
      <c r="AG209" s="99"/>
      <c r="AH209" s="99"/>
      <c r="AI209" s="99"/>
      <c r="AJ209" s="99"/>
      <c r="AK209" s="99"/>
      <c r="AL209" s="99"/>
      <c r="AM209" s="99"/>
      <c r="AN209" s="99"/>
      <c r="AO209" s="99"/>
      <c r="AP209" s="169"/>
      <c r="AQ209" s="99"/>
      <c r="AR209" s="170"/>
      <c r="AS209" s="171"/>
      <c r="AT209" s="172"/>
      <c r="AW209" s="98"/>
      <c r="AX209" s="98"/>
      <c r="AY209" s="98"/>
      <c r="AZ209" s="98"/>
    </row>
    <row r="210" spans="3:52" x14ac:dyDescent="0.2">
      <c r="C210" s="99"/>
      <c r="D210" s="100"/>
      <c r="E210" s="100"/>
      <c r="F210" s="98"/>
      <c r="G210" s="168"/>
      <c r="H210" s="168"/>
      <c r="I210" s="168"/>
      <c r="J210" s="155"/>
      <c r="K210" s="155"/>
      <c r="L210" s="155"/>
      <c r="M210" s="155"/>
      <c r="N210" s="155"/>
      <c r="O210" s="155"/>
      <c r="P210" s="155"/>
      <c r="Q210" s="155"/>
      <c r="R210" s="155"/>
      <c r="S210" s="155"/>
      <c r="T210" s="155"/>
      <c r="U210" s="155"/>
      <c r="V210" s="155"/>
      <c r="W210" s="155"/>
      <c r="X210" s="99"/>
      <c r="Y210" s="99"/>
      <c r="Z210" s="99"/>
      <c r="AA210" s="99"/>
      <c r="AB210" s="99"/>
      <c r="AC210" s="99"/>
      <c r="AD210" s="99"/>
      <c r="AE210" s="99"/>
      <c r="AF210" s="99"/>
      <c r="AG210" s="99"/>
      <c r="AH210" s="99"/>
      <c r="AI210" s="99"/>
      <c r="AJ210" s="99"/>
      <c r="AK210" s="99"/>
      <c r="AL210" s="99"/>
      <c r="AM210" s="99"/>
      <c r="AN210" s="99"/>
      <c r="AO210" s="99"/>
      <c r="AP210" s="169"/>
      <c r="AQ210" s="99"/>
      <c r="AR210" s="170"/>
      <c r="AS210" s="171"/>
      <c r="AT210" s="172"/>
      <c r="AW210" s="98"/>
      <c r="AX210" s="98"/>
      <c r="AY210" s="98"/>
      <c r="AZ210" s="98"/>
    </row>
    <row r="211" spans="3:52" x14ac:dyDescent="0.2">
      <c r="C211" s="99"/>
      <c r="D211" s="100"/>
      <c r="E211" s="100"/>
      <c r="F211" s="98"/>
      <c r="G211" s="168"/>
      <c r="H211" s="168"/>
      <c r="I211" s="168"/>
      <c r="J211" s="155"/>
      <c r="K211" s="155"/>
      <c r="L211" s="155"/>
      <c r="M211" s="155"/>
      <c r="N211" s="155"/>
      <c r="O211" s="155"/>
      <c r="P211" s="155"/>
      <c r="Q211" s="155"/>
      <c r="R211" s="155"/>
      <c r="S211" s="155"/>
      <c r="T211" s="155"/>
      <c r="U211" s="155"/>
      <c r="V211" s="155"/>
      <c r="W211" s="155"/>
      <c r="X211" s="99"/>
      <c r="Y211" s="99"/>
      <c r="Z211" s="99"/>
      <c r="AA211" s="99"/>
      <c r="AB211" s="99"/>
      <c r="AC211" s="99"/>
      <c r="AD211" s="99"/>
      <c r="AE211" s="99"/>
      <c r="AF211" s="99"/>
      <c r="AG211" s="99"/>
      <c r="AH211" s="99"/>
      <c r="AI211" s="99"/>
      <c r="AJ211" s="99"/>
      <c r="AK211" s="99"/>
      <c r="AL211" s="99"/>
      <c r="AM211" s="99"/>
      <c r="AN211" s="99"/>
      <c r="AO211" s="99"/>
      <c r="AP211" s="169"/>
      <c r="AQ211" s="99"/>
      <c r="AR211" s="170"/>
      <c r="AS211" s="171"/>
      <c r="AT211" s="172"/>
      <c r="AW211" s="98"/>
      <c r="AX211" s="98"/>
      <c r="AY211" s="98"/>
      <c r="AZ211" s="98"/>
    </row>
    <row r="212" spans="3:52" x14ac:dyDescent="0.2">
      <c r="C212" s="99"/>
      <c r="D212" s="100"/>
      <c r="E212" s="100"/>
      <c r="F212" s="98"/>
      <c r="G212" s="168"/>
      <c r="H212" s="168"/>
      <c r="I212" s="168"/>
      <c r="J212" s="155"/>
      <c r="K212" s="155"/>
      <c r="L212" s="155"/>
      <c r="M212" s="155"/>
      <c r="N212" s="155"/>
      <c r="O212" s="155"/>
      <c r="P212" s="155"/>
      <c r="Q212" s="155"/>
      <c r="R212" s="155"/>
      <c r="S212" s="155"/>
      <c r="T212" s="155"/>
      <c r="U212" s="155"/>
      <c r="V212" s="155"/>
      <c r="W212" s="155"/>
      <c r="X212" s="99"/>
      <c r="Y212" s="99"/>
      <c r="Z212" s="99"/>
      <c r="AA212" s="99"/>
      <c r="AB212" s="99"/>
      <c r="AC212" s="99"/>
      <c r="AD212" s="99"/>
      <c r="AE212" s="99"/>
      <c r="AF212" s="99"/>
      <c r="AG212" s="99"/>
      <c r="AH212" s="99"/>
      <c r="AI212" s="99"/>
      <c r="AJ212" s="99"/>
      <c r="AK212" s="99"/>
      <c r="AL212" s="99"/>
      <c r="AM212" s="99"/>
      <c r="AN212" s="99"/>
      <c r="AO212" s="99"/>
      <c r="AP212" s="169"/>
      <c r="AQ212" s="99"/>
      <c r="AR212" s="170"/>
      <c r="AS212" s="171"/>
      <c r="AT212" s="172"/>
      <c r="AW212" s="98"/>
      <c r="AX212" s="98"/>
      <c r="AY212" s="98"/>
      <c r="AZ212" s="98"/>
    </row>
    <row r="213" spans="3:52" x14ac:dyDescent="0.2">
      <c r="C213" s="99"/>
      <c r="D213" s="100"/>
      <c r="E213" s="100"/>
      <c r="F213" s="98"/>
      <c r="G213" s="168"/>
      <c r="H213" s="168"/>
      <c r="I213" s="168"/>
      <c r="J213" s="155"/>
      <c r="K213" s="155"/>
      <c r="L213" s="155"/>
      <c r="M213" s="155"/>
      <c r="N213" s="155"/>
      <c r="O213" s="155"/>
      <c r="P213" s="155"/>
      <c r="Q213" s="155"/>
      <c r="R213" s="155"/>
      <c r="S213" s="155"/>
      <c r="T213" s="155"/>
      <c r="U213" s="155"/>
      <c r="V213" s="155"/>
      <c r="W213" s="155"/>
      <c r="X213" s="99"/>
      <c r="Y213" s="99"/>
      <c r="Z213" s="99"/>
      <c r="AA213" s="99"/>
      <c r="AB213" s="99"/>
      <c r="AC213" s="99"/>
      <c r="AD213" s="99"/>
      <c r="AE213" s="99"/>
      <c r="AF213" s="99"/>
      <c r="AG213" s="99"/>
      <c r="AH213" s="99"/>
      <c r="AI213" s="99"/>
      <c r="AJ213" s="99"/>
      <c r="AK213" s="99"/>
      <c r="AL213" s="99"/>
      <c r="AM213" s="99"/>
      <c r="AN213" s="99"/>
      <c r="AO213" s="99"/>
      <c r="AP213" s="169"/>
      <c r="AQ213" s="99"/>
      <c r="AR213" s="170"/>
      <c r="AS213" s="171"/>
      <c r="AT213" s="172"/>
      <c r="AW213" s="98"/>
      <c r="AX213" s="98"/>
      <c r="AY213" s="98"/>
      <c r="AZ213" s="98"/>
    </row>
    <row r="214" spans="3:52" x14ac:dyDescent="0.2">
      <c r="C214" s="99"/>
      <c r="D214" s="100"/>
      <c r="E214" s="100"/>
      <c r="F214" s="98"/>
      <c r="G214" s="168"/>
      <c r="H214" s="168"/>
      <c r="I214" s="168"/>
      <c r="J214" s="155"/>
      <c r="K214" s="155"/>
      <c r="L214" s="155"/>
      <c r="M214" s="155"/>
      <c r="N214" s="155"/>
      <c r="O214" s="155"/>
      <c r="P214" s="155"/>
      <c r="Q214" s="155"/>
      <c r="R214" s="155"/>
      <c r="S214" s="155"/>
      <c r="T214" s="155"/>
      <c r="U214" s="155"/>
      <c r="V214" s="155"/>
      <c r="W214" s="155"/>
      <c r="X214" s="99"/>
      <c r="Y214" s="99"/>
      <c r="Z214" s="99"/>
      <c r="AA214" s="99"/>
      <c r="AB214" s="99"/>
      <c r="AC214" s="99"/>
      <c r="AD214" s="99"/>
      <c r="AE214" s="99"/>
      <c r="AF214" s="99"/>
      <c r="AG214" s="99"/>
      <c r="AH214" s="99"/>
      <c r="AI214" s="99"/>
      <c r="AJ214" s="99"/>
      <c r="AK214" s="99"/>
      <c r="AL214" s="99"/>
      <c r="AM214" s="99"/>
      <c r="AN214" s="99"/>
      <c r="AO214" s="99"/>
      <c r="AP214" s="169"/>
      <c r="AQ214" s="99"/>
      <c r="AR214" s="170"/>
      <c r="AS214" s="171"/>
      <c r="AT214" s="172"/>
      <c r="AW214" s="98"/>
      <c r="AX214" s="98"/>
      <c r="AY214" s="98"/>
      <c r="AZ214" s="98"/>
    </row>
    <row r="215" spans="3:52" x14ac:dyDescent="0.2">
      <c r="C215" s="99"/>
      <c r="D215" s="100"/>
      <c r="E215" s="100"/>
      <c r="F215" s="98"/>
      <c r="G215" s="168"/>
      <c r="H215" s="168"/>
      <c r="I215" s="168"/>
      <c r="J215" s="155"/>
      <c r="K215" s="155"/>
      <c r="L215" s="155"/>
      <c r="M215" s="155"/>
      <c r="N215" s="155"/>
      <c r="O215" s="155"/>
      <c r="P215" s="155"/>
      <c r="Q215" s="155"/>
      <c r="R215" s="155"/>
      <c r="S215" s="155"/>
      <c r="T215" s="155"/>
      <c r="U215" s="155"/>
      <c r="V215" s="155"/>
      <c r="W215" s="155"/>
      <c r="X215" s="99"/>
      <c r="Y215" s="99"/>
      <c r="Z215" s="99"/>
      <c r="AA215" s="99"/>
      <c r="AB215" s="99"/>
      <c r="AC215" s="99"/>
      <c r="AD215" s="99"/>
      <c r="AE215" s="99"/>
      <c r="AF215" s="99"/>
      <c r="AG215" s="99"/>
      <c r="AH215" s="99"/>
      <c r="AI215" s="99"/>
      <c r="AJ215" s="99"/>
      <c r="AK215" s="99"/>
      <c r="AL215" s="99"/>
      <c r="AM215" s="99"/>
      <c r="AN215" s="99"/>
      <c r="AO215" s="99"/>
      <c r="AP215" s="169"/>
      <c r="AQ215" s="99"/>
      <c r="AR215" s="170"/>
      <c r="AS215" s="171"/>
      <c r="AT215" s="172"/>
      <c r="AW215" s="98"/>
      <c r="AX215" s="98"/>
      <c r="AY215" s="98"/>
      <c r="AZ215" s="98"/>
    </row>
    <row r="216" spans="3:52" x14ac:dyDescent="0.2">
      <c r="C216" s="99"/>
      <c r="D216" s="100"/>
      <c r="E216" s="100"/>
      <c r="F216" s="98"/>
      <c r="G216" s="168"/>
      <c r="H216" s="168"/>
      <c r="I216" s="168"/>
      <c r="J216" s="155"/>
      <c r="K216" s="155"/>
      <c r="L216" s="155"/>
      <c r="M216" s="155"/>
      <c r="N216" s="155"/>
      <c r="O216" s="155"/>
      <c r="P216" s="155"/>
      <c r="Q216" s="155"/>
      <c r="R216" s="155"/>
      <c r="S216" s="155"/>
      <c r="T216" s="155"/>
      <c r="U216" s="155"/>
      <c r="V216" s="155"/>
      <c r="W216" s="155"/>
      <c r="X216" s="99"/>
      <c r="Y216" s="99"/>
      <c r="Z216" s="99"/>
      <c r="AA216" s="99"/>
      <c r="AB216" s="99"/>
      <c r="AC216" s="99"/>
      <c r="AD216" s="99"/>
      <c r="AE216" s="99"/>
      <c r="AF216" s="99"/>
      <c r="AG216" s="99"/>
      <c r="AH216" s="99"/>
      <c r="AI216" s="99"/>
      <c r="AJ216" s="99"/>
      <c r="AK216" s="99"/>
      <c r="AL216" s="99"/>
      <c r="AM216" s="99"/>
      <c r="AN216" s="99"/>
      <c r="AO216" s="99"/>
      <c r="AP216" s="169"/>
      <c r="AQ216" s="99"/>
      <c r="AR216" s="170"/>
      <c r="AS216" s="171"/>
      <c r="AT216" s="172"/>
      <c r="AW216" s="98"/>
      <c r="AX216" s="98"/>
      <c r="AY216" s="98"/>
      <c r="AZ216" s="98"/>
    </row>
    <row r="217" spans="3:52" x14ac:dyDescent="0.2">
      <c r="C217" s="99"/>
      <c r="D217" s="100"/>
      <c r="E217" s="100"/>
      <c r="F217" s="98"/>
      <c r="G217" s="168"/>
      <c r="H217" s="168"/>
      <c r="I217" s="168"/>
      <c r="J217" s="155"/>
      <c r="K217" s="155"/>
      <c r="L217" s="155"/>
      <c r="M217" s="155"/>
      <c r="N217" s="155"/>
      <c r="O217" s="155"/>
      <c r="P217" s="155"/>
      <c r="Q217" s="155"/>
      <c r="R217" s="155"/>
      <c r="S217" s="155"/>
      <c r="T217" s="155"/>
      <c r="U217" s="155"/>
      <c r="V217" s="155"/>
      <c r="W217" s="155"/>
      <c r="X217" s="99"/>
      <c r="Y217" s="99"/>
      <c r="Z217" s="99"/>
      <c r="AA217" s="99"/>
      <c r="AB217" s="99"/>
      <c r="AC217" s="99"/>
      <c r="AD217" s="99"/>
      <c r="AE217" s="99"/>
      <c r="AF217" s="99"/>
      <c r="AG217" s="99"/>
      <c r="AH217" s="99"/>
      <c r="AI217" s="99"/>
      <c r="AJ217" s="99"/>
      <c r="AK217" s="99"/>
      <c r="AL217" s="99"/>
      <c r="AM217" s="99"/>
      <c r="AN217" s="99"/>
      <c r="AO217" s="99"/>
      <c r="AP217" s="169"/>
      <c r="AQ217" s="99"/>
      <c r="AR217" s="170"/>
      <c r="AS217" s="171"/>
      <c r="AT217" s="172"/>
      <c r="AW217" s="98"/>
      <c r="AX217" s="98"/>
      <c r="AY217" s="98"/>
      <c r="AZ217" s="98"/>
    </row>
    <row r="218" spans="3:52" x14ac:dyDescent="0.2">
      <c r="C218" s="99"/>
      <c r="D218" s="100"/>
      <c r="E218" s="100"/>
      <c r="F218" s="98"/>
      <c r="G218" s="168"/>
      <c r="H218" s="168"/>
      <c r="I218" s="168"/>
      <c r="J218" s="155"/>
      <c r="K218" s="155"/>
      <c r="L218" s="155"/>
      <c r="M218" s="155"/>
      <c r="N218" s="155"/>
      <c r="O218" s="155"/>
      <c r="P218" s="155"/>
      <c r="Q218" s="155"/>
      <c r="R218" s="155"/>
      <c r="S218" s="155"/>
      <c r="T218" s="155"/>
      <c r="U218" s="155"/>
      <c r="V218" s="155"/>
      <c r="W218" s="155"/>
      <c r="X218" s="99"/>
      <c r="Y218" s="99"/>
      <c r="Z218" s="99"/>
      <c r="AA218" s="99"/>
      <c r="AB218" s="99"/>
      <c r="AC218" s="99"/>
      <c r="AD218" s="99"/>
      <c r="AE218" s="99"/>
      <c r="AF218" s="99"/>
      <c r="AG218" s="99"/>
      <c r="AH218" s="99"/>
      <c r="AI218" s="99"/>
      <c r="AJ218" s="99"/>
      <c r="AK218" s="99"/>
      <c r="AL218" s="99"/>
      <c r="AM218" s="99"/>
      <c r="AN218" s="99"/>
      <c r="AO218" s="99"/>
      <c r="AP218" s="169"/>
      <c r="AQ218" s="99"/>
      <c r="AR218" s="170"/>
      <c r="AS218" s="171"/>
      <c r="AT218" s="172"/>
      <c r="AW218" s="98"/>
      <c r="AX218" s="98"/>
      <c r="AY218" s="98"/>
      <c r="AZ218" s="98"/>
    </row>
    <row r="219" spans="3:52" x14ac:dyDescent="0.2">
      <c r="C219" s="99"/>
      <c r="D219" s="100"/>
      <c r="E219" s="100"/>
      <c r="F219" s="98"/>
      <c r="G219" s="168"/>
      <c r="H219" s="168"/>
      <c r="I219" s="168"/>
      <c r="J219" s="155"/>
      <c r="K219" s="155"/>
      <c r="L219" s="155"/>
      <c r="M219" s="155"/>
      <c r="N219" s="155"/>
      <c r="O219" s="155"/>
      <c r="P219" s="155"/>
      <c r="Q219" s="155"/>
      <c r="R219" s="155"/>
      <c r="S219" s="155"/>
      <c r="T219" s="155"/>
      <c r="U219" s="155"/>
      <c r="V219" s="155"/>
      <c r="W219" s="155"/>
      <c r="X219" s="99"/>
      <c r="Y219" s="99"/>
      <c r="Z219" s="99"/>
      <c r="AA219" s="99"/>
      <c r="AB219" s="99"/>
      <c r="AC219" s="99"/>
      <c r="AD219" s="99"/>
      <c r="AE219" s="99"/>
      <c r="AF219" s="99"/>
      <c r="AG219" s="99"/>
      <c r="AH219" s="99"/>
      <c r="AI219" s="99"/>
      <c r="AJ219" s="99"/>
      <c r="AK219" s="99"/>
      <c r="AL219" s="99"/>
      <c r="AM219" s="99"/>
      <c r="AN219" s="99"/>
      <c r="AO219" s="99"/>
      <c r="AP219" s="169"/>
      <c r="AQ219" s="99"/>
      <c r="AR219" s="170"/>
      <c r="AS219" s="171"/>
      <c r="AT219" s="172"/>
      <c r="AW219" s="98"/>
      <c r="AX219" s="98"/>
      <c r="AY219" s="98"/>
      <c r="AZ219" s="98"/>
    </row>
    <row r="220" spans="3:52" x14ac:dyDescent="0.2">
      <c r="C220" s="99"/>
      <c r="D220" s="100"/>
      <c r="E220" s="100"/>
      <c r="F220" s="98"/>
      <c r="G220" s="168"/>
      <c r="H220" s="168"/>
      <c r="I220" s="168"/>
      <c r="J220" s="155"/>
      <c r="K220" s="155"/>
      <c r="L220" s="155"/>
      <c r="M220" s="155"/>
      <c r="N220" s="155"/>
      <c r="O220" s="155"/>
      <c r="P220" s="155"/>
      <c r="Q220" s="155"/>
      <c r="R220" s="155"/>
      <c r="S220" s="155"/>
      <c r="T220" s="155"/>
      <c r="U220" s="155"/>
      <c r="V220" s="155"/>
      <c r="W220" s="155"/>
      <c r="X220" s="99"/>
      <c r="Y220" s="99"/>
      <c r="Z220" s="99"/>
      <c r="AA220" s="99"/>
      <c r="AB220" s="99"/>
      <c r="AC220" s="99"/>
      <c r="AD220" s="99"/>
      <c r="AE220" s="99"/>
      <c r="AF220" s="99"/>
      <c r="AG220" s="99"/>
      <c r="AH220" s="99"/>
      <c r="AI220" s="99"/>
      <c r="AJ220" s="99"/>
      <c r="AK220" s="99"/>
      <c r="AL220" s="99"/>
      <c r="AM220" s="99"/>
      <c r="AN220" s="99"/>
      <c r="AO220" s="99"/>
      <c r="AP220" s="169"/>
      <c r="AQ220" s="99"/>
      <c r="AR220" s="170"/>
      <c r="AS220" s="171"/>
      <c r="AT220" s="172"/>
      <c r="AW220" s="98"/>
      <c r="AX220" s="98"/>
      <c r="AY220" s="98"/>
      <c r="AZ220" s="98"/>
    </row>
    <row r="221" spans="3:52" x14ac:dyDescent="0.2">
      <c r="C221" s="99"/>
      <c r="D221" s="100"/>
      <c r="E221" s="100"/>
      <c r="F221" s="98"/>
      <c r="G221" s="168"/>
      <c r="H221" s="168"/>
      <c r="I221" s="168"/>
      <c r="J221" s="155"/>
      <c r="K221" s="155"/>
      <c r="L221" s="155"/>
      <c r="M221" s="155"/>
      <c r="N221" s="155"/>
      <c r="O221" s="155"/>
      <c r="P221" s="155"/>
      <c r="Q221" s="155"/>
      <c r="R221" s="155"/>
      <c r="S221" s="155"/>
      <c r="T221" s="155"/>
      <c r="U221" s="155"/>
      <c r="V221" s="155"/>
      <c r="W221" s="155"/>
      <c r="X221" s="99"/>
      <c r="Y221" s="99"/>
      <c r="Z221" s="99"/>
      <c r="AA221" s="99"/>
      <c r="AB221" s="99"/>
      <c r="AC221" s="99"/>
      <c r="AD221" s="99"/>
      <c r="AE221" s="99"/>
      <c r="AF221" s="99"/>
      <c r="AG221" s="99"/>
      <c r="AH221" s="99"/>
      <c r="AI221" s="99"/>
      <c r="AJ221" s="99"/>
      <c r="AK221" s="99"/>
      <c r="AL221" s="99"/>
      <c r="AM221" s="99"/>
      <c r="AN221" s="99"/>
      <c r="AO221" s="99"/>
      <c r="AP221" s="169"/>
      <c r="AQ221" s="99"/>
      <c r="AR221" s="170"/>
      <c r="AS221" s="171"/>
      <c r="AT221" s="172"/>
      <c r="AW221" s="98"/>
      <c r="AX221" s="98"/>
      <c r="AY221" s="98"/>
      <c r="AZ221" s="98"/>
    </row>
    <row r="222" spans="3:52" x14ac:dyDescent="0.2">
      <c r="C222" s="99"/>
      <c r="D222" s="100"/>
      <c r="E222" s="100"/>
      <c r="F222" s="98"/>
      <c r="G222" s="168"/>
      <c r="H222" s="168"/>
      <c r="I222" s="168"/>
      <c r="J222" s="155"/>
      <c r="K222" s="155"/>
      <c r="L222" s="155"/>
      <c r="M222" s="155"/>
      <c r="N222" s="155"/>
      <c r="O222" s="155"/>
      <c r="P222" s="155"/>
      <c r="Q222" s="155"/>
      <c r="R222" s="155"/>
      <c r="S222" s="155"/>
      <c r="T222" s="155"/>
      <c r="U222" s="155"/>
      <c r="V222" s="155"/>
      <c r="W222" s="155"/>
      <c r="X222" s="99"/>
      <c r="Y222" s="99"/>
      <c r="Z222" s="99"/>
      <c r="AA222" s="99"/>
      <c r="AB222" s="99"/>
      <c r="AC222" s="99"/>
      <c r="AD222" s="99"/>
      <c r="AE222" s="99"/>
      <c r="AF222" s="99"/>
      <c r="AG222" s="99"/>
      <c r="AH222" s="99"/>
      <c r="AI222" s="99"/>
      <c r="AJ222" s="99"/>
      <c r="AK222" s="99"/>
      <c r="AL222" s="99"/>
      <c r="AM222" s="99"/>
      <c r="AN222" s="99"/>
      <c r="AO222" s="99"/>
      <c r="AP222" s="169"/>
      <c r="AQ222" s="99"/>
      <c r="AR222" s="170"/>
      <c r="AS222" s="171"/>
      <c r="AT222" s="172"/>
      <c r="AW222" s="98"/>
      <c r="AX222" s="98"/>
      <c r="AY222" s="98"/>
      <c r="AZ222" s="98"/>
    </row>
    <row r="223" spans="3:52" x14ac:dyDescent="0.2">
      <c r="C223" s="99"/>
      <c r="D223" s="100"/>
      <c r="E223" s="100"/>
      <c r="F223" s="98"/>
      <c r="G223" s="168"/>
      <c r="H223" s="168"/>
      <c r="I223" s="168"/>
      <c r="J223" s="155"/>
      <c r="K223" s="155"/>
      <c r="L223" s="155"/>
      <c r="M223" s="155"/>
      <c r="N223" s="155"/>
      <c r="O223" s="155"/>
      <c r="P223" s="155"/>
      <c r="Q223" s="155"/>
      <c r="R223" s="155"/>
      <c r="S223" s="155"/>
      <c r="T223" s="155"/>
      <c r="U223" s="155"/>
      <c r="V223" s="155"/>
      <c r="W223" s="155"/>
      <c r="X223" s="99"/>
      <c r="Y223" s="99"/>
      <c r="Z223" s="99"/>
      <c r="AA223" s="99"/>
      <c r="AB223" s="99"/>
      <c r="AC223" s="99"/>
      <c r="AD223" s="99"/>
      <c r="AE223" s="99"/>
      <c r="AF223" s="99"/>
      <c r="AG223" s="99"/>
      <c r="AH223" s="99"/>
      <c r="AI223" s="99"/>
      <c r="AJ223" s="99"/>
      <c r="AK223" s="99"/>
      <c r="AL223" s="99"/>
      <c r="AM223" s="99"/>
      <c r="AN223" s="99"/>
      <c r="AO223" s="99"/>
      <c r="AP223" s="169"/>
      <c r="AQ223" s="99"/>
      <c r="AR223" s="170"/>
      <c r="AS223" s="171"/>
      <c r="AT223" s="172"/>
      <c r="AW223" s="98"/>
      <c r="AX223" s="98"/>
      <c r="AY223" s="98"/>
      <c r="AZ223" s="98"/>
    </row>
    <row r="224" spans="3:52" x14ac:dyDescent="0.2">
      <c r="C224" s="99"/>
      <c r="D224" s="100"/>
      <c r="E224" s="100"/>
      <c r="F224" s="98"/>
      <c r="G224" s="168"/>
      <c r="H224" s="168"/>
      <c r="I224" s="168"/>
      <c r="J224" s="155"/>
      <c r="K224" s="155"/>
      <c r="L224" s="155"/>
      <c r="M224" s="155"/>
      <c r="N224" s="155"/>
      <c r="O224" s="155"/>
      <c r="P224" s="155"/>
      <c r="Q224" s="155"/>
      <c r="R224" s="155"/>
      <c r="S224" s="155"/>
      <c r="T224" s="155"/>
      <c r="U224" s="155"/>
      <c r="V224" s="155"/>
      <c r="W224" s="155"/>
      <c r="X224" s="99"/>
      <c r="Y224" s="99"/>
      <c r="Z224" s="99"/>
      <c r="AA224" s="99"/>
      <c r="AB224" s="99"/>
      <c r="AC224" s="99"/>
      <c r="AD224" s="99"/>
      <c r="AE224" s="99"/>
      <c r="AF224" s="99"/>
      <c r="AG224" s="99"/>
      <c r="AH224" s="99"/>
      <c r="AI224" s="99"/>
      <c r="AJ224" s="99"/>
      <c r="AK224" s="99"/>
      <c r="AL224" s="99"/>
      <c r="AM224" s="99"/>
      <c r="AN224" s="99"/>
      <c r="AO224" s="99"/>
      <c r="AP224" s="169"/>
      <c r="AQ224" s="99"/>
      <c r="AR224" s="170"/>
      <c r="AS224" s="171"/>
      <c r="AT224" s="172"/>
      <c r="AW224" s="98"/>
      <c r="AX224" s="98"/>
      <c r="AY224" s="98"/>
      <c r="AZ224" s="98"/>
    </row>
    <row r="225" spans="3:52" x14ac:dyDescent="0.2">
      <c r="C225" s="99"/>
      <c r="D225" s="100"/>
      <c r="E225" s="100"/>
      <c r="F225" s="98"/>
      <c r="G225" s="168"/>
      <c r="H225" s="168"/>
      <c r="I225" s="168"/>
      <c r="J225" s="155"/>
      <c r="K225" s="155"/>
      <c r="L225" s="155"/>
      <c r="M225" s="155"/>
      <c r="N225" s="155"/>
      <c r="O225" s="155"/>
      <c r="P225" s="155"/>
      <c r="Q225" s="155"/>
      <c r="R225" s="155"/>
      <c r="S225" s="155"/>
      <c r="T225" s="155"/>
      <c r="U225" s="155"/>
      <c r="V225" s="155"/>
      <c r="W225" s="155"/>
      <c r="X225" s="99"/>
      <c r="Y225" s="99"/>
      <c r="Z225" s="99"/>
      <c r="AA225" s="99"/>
      <c r="AB225" s="99"/>
      <c r="AC225" s="99"/>
      <c r="AD225" s="99"/>
      <c r="AE225" s="99"/>
      <c r="AF225" s="99"/>
      <c r="AG225" s="99"/>
      <c r="AH225" s="99"/>
      <c r="AI225" s="99"/>
      <c r="AJ225" s="99"/>
      <c r="AK225" s="99"/>
      <c r="AL225" s="99"/>
      <c r="AM225" s="99"/>
      <c r="AN225" s="99"/>
      <c r="AO225" s="99"/>
      <c r="AP225" s="169"/>
      <c r="AQ225" s="99"/>
      <c r="AR225" s="170"/>
      <c r="AS225" s="171"/>
      <c r="AT225" s="172"/>
      <c r="AW225" s="98"/>
      <c r="AX225" s="98"/>
      <c r="AY225" s="98"/>
      <c r="AZ225" s="98"/>
    </row>
    <row r="226" spans="3:52" x14ac:dyDescent="0.2">
      <c r="C226" s="99"/>
      <c r="D226" s="100"/>
      <c r="E226" s="100"/>
      <c r="F226" s="98"/>
      <c r="G226" s="168"/>
      <c r="H226" s="168"/>
      <c r="I226" s="168"/>
      <c r="J226" s="155"/>
      <c r="K226" s="155"/>
      <c r="L226" s="155"/>
      <c r="M226" s="155"/>
      <c r="N226" s="155"/>
      <c r="O226" s="155"/>
      <c r="P226" s="155"/>
      <c r="Q226" s="155"/>
      <c r="R226" s="155"/>
      <c r="S226" s="155"/>
      <c r="T226" s="155"/>
      <c r="U226" s="155"/>
      <c r="V226" s="155"/>
      <c r="W226" s="155"/>
      <c r="X226" s="99"/>
      <c r="Y226" s="99"/>
      <c r="Z226" s="99"/>
      <c r="AA226" s="99"/>
      <c r="AB226" s="99"/>
      <c r="AC226" s="99"/>
      <c r="AD226" s="99"/>
      <c r="AE226" s="99"/>
      <c r="AF226" s="99"/>
      <c r="AG226" s="99"/>
      <c r="AH226" s="99"/>
      <c r="AI226" s="99"/>
      <c r="AJ226" s="99"/>
      <c r="AK226" s="99"/>
      <c r="AL226" s="99"/>
      <c r="AM226" s="99"/>
      <c r="AN226" s="99"/>
      <c r="AO226" s="99"/>
      <c r="AP226" s="169"/>
      <c r="AQ226" s="99"/>
      <c r="AR226" s="170"/>
      <c r="AS226" s="171"/>
      <c r="AT226" s="172"/>
      <c r="AW226" s="98"/>
      <c r="AX226" s="98"/>
      <c r="AY226" s="98"/>
      <c r="AZ226" s="98"/>
    </row>
    <row r="227" spans="3:52" x14ac:dyDescent="0.2">
      <c r="C227" s="99"/>
      <c r="D227" s="100"/>
      <c r="E227" s="100"/>
      <c r="F227" s="98"/>
      <c r="G227" s="168"/>
      <c r="H227" s="168"/>
      <c r="I227" s="168"/>
      <c r="J227" s="155"/>
      <c r="K227" s="155"/>
      <c r="L227" s="155"/>
      <c r="M227" s="155"/>
      <c r="N227" s="155"/>
      <c r="O227" s="155"/>
      <c r="P227" s="155"/>
      <c r="Q227" s="155"/>
      <c r="R227" s="155"/>
      <c r="S227" s="155"/>
      <c r="T227" s="155"/>
      <c r="U227" s="155"/>
      <c r="V227" s="155"/>
      <c r="W227" s="155"/>
      <c r="X227" s="99"/>
      <c r="Y227" s="99"/>
      <c r="Z227" s="99"/>
      <c r="AA227" s="99"/>
      <c r="AB227" s="99"/>
      <c r="AC227" s="99"/>
      <c r="AD227" s="99"/>
      <c r="AE227" s="99"/>
      <c r="AF227" s="99"/>
      <c r="AG227" s="99"/>
      <c r="AH227" s="99"/>
      <c r="AI227" s="99"/>
      <c r="AJ227" s="99"/>
      <c r="AK227" s="99"/>
      <c r="AL227" s="99"/>
      <c r="AM227" s="99"/>
      <c r="AN227" s="99"/>
      <c r="AO227" s="99"/>
      <c r="AP227" s="169"/>
      <c r="AQ227" s="99"/>
      <c r="AR227" s="170"/>
      <c r="AS227" s="171"/>
      <c r="AT227" s="172"/>
      <c r="AW227" s="98"/>
      <c r="AX227" s="98"/>
      <c r="AY227" s="98"/>
      <c r="AZ227" s="98"/>
    </row>
    <row r="228" spans="3:52" x14ac:dyDescent="0.2">
      <c r="C228" s="99"/>
      <c r="D228" s="100"/>
      <c r="E228" s="100"/>
      <c r="F228" s="98"/>
      <c r="G228" s="168"/>
      <c r="H228" s="168"/>
      <c r="I228" s="168"/>
      <c r="J228" s="155"/>
      <c r="K228" s="155"/>
      <c r="L228" s="155"/>
      <c r="M228" s="155"/>
      <c r="N228" s="155"/>
      <c r="O228" s="155"/>
      <c r="P228" s="155"/>
      <c r="Q228" s="155"/>
      <c r="R228" s="155"/>
      <c r="S228" s="155"/>
      <c r="T228" s="155"/>
      <c r="U228" s="155"/>
      <c r="V228" s="155"/>
      <c r="W228" s="155"/>
      <c r="X228" s="99"/>
      <c r="Y228" s="99"/>
      <c r="Z228" s="99"/>
      <c r="AA228" s="99"/>
      <c r="AB228" s="99"/>
      <c r="AC228" s="99"/>
      <c r="AD228" s="99"/>
      <c r="AE228" s="99"/>
      <c r="AF228" s="99"/>
      <c r="AG228" s="99"/>
      <c r="AH228" s="99"/>
      <c r="AI228" s="99"/>
      <c r="AJ228" s="99"/>
      <c r="AK228" s="99"/>
      <c r="AL228" s="99"/>
      <c r="AM228" s="99"/>
      <c r="AN228" s="99"/>
      <c r="AO228" s="99"/>
      <c r="AP228" s="169"/>
      <c r="AQ228" s="99"/>
      <c r="AR228" s="170"/>
      <c r="AS228" s="171"/>
      <c r="AT228" s="172"/>
      <c r="AW228" s="98"/>
      <c r="AX228" s="98"/>
      <c r="AY228" s="98"/>
      <c r="AZ228" s="98"/>
    </row>
    <row r="229" spans="3:52" x14ac:dyDescent="0.2">
      <c r="C229" s="99"/>
      <c r="D229" s="100"/>
      <c r="E229" s="100"/>
      <c r="F229" s="98"/>
      <c r="G229" s="168"/>
      <c r="H229" s="168"/>
      <c r="I229" s="168"/>
      <c r="J229" s="155"/>
      <c r="K229" s="155"/>
      <c r="L229" s="155"/>
      <c r="M229" s="155"/>
      <c r="N229" s="155"/>
      <c r="O229" s="155"/>
      <c r="P229" s="155"/>
      <c r="Q229" s="155"/>
      <c r="R229" s="155"/>
      <c r="S229" s="155"/>
      <c r="T229" s="155"/>
      <c r="U229" s="155"/>
      <c r="V229" s="155"/>
      <c r="W229" s="155"/>
      <c r="X229" s="99"/>
      <c r="Y229" s="99"/>
      <c r="Z229" s="99"/>
      <c r="AA229" s="99"/>
      <c r="AB229" s="99"/>
      <c r="AC229" s="99"/>
      <c r="AD229" s="99"/>
      <c r="AE229" s="99"/>
      <c r="AF229" s="99"/>
      <c r="AG229" s="99"/>
      <c r="AH229" s="99"/>
      <c r="AI229" s="99"/>
      <c r="AJ229" s="99"/>
      <c r="AK229" s="99"/>
      <c r="AL229" s="99"/>
      <c r="AM229" s="99"/>
      <c r="AN229" s="99"/>
      <c r="AO229" s="99"/>
      <c r="AP229" s="169"/>
      <c r="AQ229" s="99"/>
      <c r="AR229" s="170"/>
      <c r="AS229" s="171"/>
      <c r="AT229" s="172"/>
      <c r="AW229" s="98"/>
      <c r="AX229" s="98"/>
      <c r="AY229" s="98"/>
      <c r="AZ229" s="98"/>
    </row>
    <row r="230" spans="3:52" x14ac:dyDescent="0.2">
      <c r="C230" s="99"/>
      <c r="D230" s="100"/>
      <c r="E230" s="100"/>
      <c r="F230" s="98"/>
      <c r="G230" s="168"/>
      <c r="H230" s="168"/>
      <c r="I230" s="168"/>
      <c r="J230" s="155"/>
      <c r="K230" s="155"/>
      <c r="L230" s="155"/>
      <c r="M230" s="155"/>
      <c r="N230" s="155"/>
      <c r="O230" s="155"/>
      <c r="P230" s="155"/>
      <c r="Q230" s="155"/>
      <c r="R230" s="155"/>
      <c r="S230" s="155"/>
      <c r="T230" s="155"/>
      <c r="U230" s="155"/>
      <c r="V230" s="155"/>
      <c r="W230" s="155"/>
      <c r="X230" s="99"/>
      <c r="Y230" s="99"/>
      <c r="Z230" s="99"/>
      <c r="AA230" s="99"/>
      <c r="AB230" s="99"/>
      <c r="AC230" s="99"/>
      <c r="AD230" s="99"/>
      <c r="AE230" s="99"/>
      <c r="AF230" s="99"/>
      <c r="AG230" s="99"/>
      <c r="AH230" s="99"/>
      <c r="AI230" s="99"/>
      <c r="AJ230" s="99"/>
      <c r="AK230" s="99"/>
      <c r="AL230" s="99"/>
      <c r="AM230" s="99"/>
      <c r="AN230" s="99"/>
      <c r="AO230" s="99"/>
      <c r="AP230" s="169"/>
      <c r="AQ230" s="99"/>
      <c r="AR230" s="170"/>
      <c r="AS230" s="171"/>
      <c r="AT230" s="172"/>
      <c r="AW230" s="98"/>
      <c r="AX230" s="98"/>
      <c r="AY230" s="98"/>
      <c r="AZ230" s="98"/>
    </row>
    <row r="231" spans="3:52" x14ac:dyDescent="0.2">
      <c r="C231" s="99"/>
      <c r="D231" s="100"/>
      <c r="E231" s="100"/>
      <c r="F231" s="98"/>
      <c r="G231" s="168"/>
      <c r="H231" s="168"/>
      <c r="I231" s="168"/>
      <c r="J231" s="155"/>
      <c r="K231" s="155"/>
      <c r="L231" s="155"/>
      <c r="M231" s="155"/>
      <c r="N231" s="155"/>
      <c r="O231" s="155"/>
      <c r="P231" s="155"/>
      <c r="Q231" s="155"/>
      <c r="R231" s="155"/>
      <c r="S231" s="155"/>
      <c r="T231" s="155"/>
      <c r="U231" s="155"/>
      <c r="V231" s="155"/>
      <c r="W231" s="155"/>
      <c r="X231" s="99"/>
      <c r="Y231" s="99"/>
      <c r="Z231" s="99"/>
      <c r="AA231" s="99"/>
      <c r="AB231" s="99"/>
      <c r="AC231" s="99"/>
      <c r="AD231" s="99"/>
      <c r="AE231" s="99"/>
      <c r="AF231" s="99"/>
      <c r="AG231" s="99"/>
      <c r="AH231" s="99"/>
      <c r="AI231" s="99"/>
      <c r="AJ231" s="99"/>
      <c r="AK231" s="99"/>
      <c r="AL231" s="99"/>
      <c r="AM231" s="99"/>
      <c r="AN231" s="99"/>
      <c r="AO231" s="99"/>
      <c r="AP231" s="169"/>
      <c r="AQ231" s="99"/>
      <c r="AR231" s="170"/>
      <c r="AS231" s="171"/>
      <c r="AT231" s="172"/>
      <c r="AW231" s="98"/>
      <c r="AX231" s="98"/>
      <c r="AY231" s="98"/>
      <c r="AZ231" s="98"/>
    </row>
    <row r="232" spans="3:52" x14ac:dyDescent="0.2">
      <c r="C232" s="99"/>
      <c r="D232" s="100"/>
      <c r="E232" s="100"/>
      <c r="F232" s="98"/>
      <c r="G232" s="168"/>
      <c r="H232" s="168"/>
      <c r="I232" s="168"/>
      <c r="J232" s="155"/>
      <c r="K232" s="155"/>
      <c r="L232" s="155"/>
      <c r="M232" s="155"/>
      <c r="N232" s="155"/>
      <c r="O232" s="155"/>
      <c r="P232" s="155"/>
      <c r="Q232" s="155"/>
      <c r="R232" s="155"/>
      <c r="S232" s="155"/>
      <c r="T232" s="155"/>
      <c r="U232" s="155"/>
      <c r="V232" s="155"/>
      <c r="W232" s="155"/>
      <c r="X232" s="99"/>
      <c r="Y232" s="99"/>
      <c r="Z232" s="99"/>
      <c r="AA232" s="99"/>
      <c r="AB232" s="99"/>
      <c r="AC232" s="99"/>
      <c r="AD232" s="99"/>
      <c r="AE232" s="99"/>
      <c r="AF232" s="99"/>
      <c r="AG232" s="99"/>
      <c r="AH232" s="99"/>
      <c r="AI232" s="99"/>
      <c r="AJ232" s="99"/>
      <c r="AK232" s="99"/>
      <c r="AL232" s="99"/>
      <c r="AM232" s="99"/>
      <c r="AN232" s="99"/>
      <c r="AO232" s="99"/>
      <c r="AP232" s="169"/>
      <c r="AQ232" s="99"/>
      <c r="AR232" s="170"/>
      <c r="AS232" s="171"/>
      <c r="AT232" s="172"/>
      <c r="AW232" s="98"/>
      <c r="AX232" s="98"/>
      <c r="AY232" s="98"/>
      <c r="AZ232" s="98"/>
    </row>
    <row r="233" spans="3:52" x14ac:dyDescent="0.2">
      <c r="C233" s="99"/>
      <c r="D233" s="100"/>
      <c r="E233" s="100"/>
      <c r="F233" s="98"/>
      <c r="G233" s="168"/>
      <c r="H233" s="168"/>
      <c r="I233" s="168"/>
      <c r="J233" s="155"/>
      <c r="K233" s="155"/>
      <c r="L233" s="155"/>
      <c r="M233" s="155"/>
      <c r="N233" s="155"/>
      <c r="O233" s="155"/>
      <c r="P233" s="155"/>
      <c r="Q233" s="155"/>
      <c r="R233" s="155"/>
      <c r="S233" s="155"/>
      <c r="T233" s="155"/>
      <c r="U233" s="155"/>
      <c r="V233" s="155"/>
      <c r="W233" s="155"/>
      <c r="X233" s="99"/>
      <c r="Y233" s="99"/>
      <c r="Z233" s="99"/>
      <c r="AA233" s="99"/>
      <c r="AB233" s="99"/>
      <c r="AC233" s="99"/>
      <c r="AD233" s="99"/>
      <c r="AE233" s="99"/>
      <c r="AF233" s="99"/>
      <c r="AG233" s="99"/>
      <c r="AH233" s="99"/>
      <c r="AI233" s="99"/>
      <c r="AJ233" s="99"/>
      <c r="AK233" s="99"/>
      <c r="AL233" s="99"/>
      <c r="AM233" s="99"/>
      <c r="AN233" s="99"/>
      <c r="AO233" s="99"/>
      <c r="AP233" s="169"/>
      <c r="AQ233" s="99"/>
      <c r="AR233" s="170"/>
      <c r="AS233" s="171"/>
      <c r="AT233" s="172"/>
      <c r="AW233" s="98"/>
      <c r="AX233" s="98"/>
      <c r="AY233" s="98"/>
      <c r="AZ233" s="98"/>
    </row>
    <row r="234" spans="3:52" x14ac:dyDescent="0.2">
      <c r="C234" s="99"/>
      <c r="D234" s="100"/>
      <c r="E234" s="100"/>
      <c r="F234" s="98"/>
      <c r="G234" s="168"/>
      <c r="H234" s="168"/>
      <c r="I234" s="168"/>
      <c r="J234" s="155"/>
      <c r="K234" s="155"/>
      <c r="L234" s="155"/>
      <c r="M234" s="155"/>
      <c r="N234" s="155"/>
      <c r="O234" s="155"/>
      <c r="P234" s="155"/>
      <c r="Q234" s="155"/>
      <c r="R234" s="155"/>
      <c r="S234" s="155"/>
      <c r="T234" s="155"/>
      <c r="U234" s="155"/>
      <c r="V234" s="155"/>
      <c r="W234" s="155"/>
      <c r="X234" s="99"/>
      <c r="Y234" s="99"/>
      <c r="Z234" s="99"/>
      <c r="AA234" s="99"/>
      <c r="AB234" s="99"/>
      <c r="AC234" s="99"/>
      <c r="AD234" s="99"/>
      <c r="AE234" s="99"/>
      <c r="AF234" s="99"/>
      <c r="AG234" s="99"/>
      <c r="AH234" s="99"/>
      <c r="AI234" s="99"/>
      <c r="AJ234" s="99"/>
      <c r="AK234" s="99"/>
      <c r="AL234" s="99"/>
      <c r="AM234" s="99"/>
      <c r="AN234" s="99"/>
      <c r="AO234" s="99"/>
      <c r="AP234" s="169"/>
      <c r="AQ234" s="99"/>
      <c r="AR234" s="170"/>
      <c r="AS234" s="171"/>
      <c r="AT234" s="172"/>
      <c r="AW234" s="98"/>
      <c r="AX234" s="98"/>
      <c r="AY234" s="98"/>
      <c r="AZ234" s="98"/>
    </row>
    <row r="235" spans="3:52" x14ac:dyDescent="0.2">
      <c r="C235" s="99"/>
      <c r="D235" s="100"/>
      <c r="E235" s="100"/>
      <c r="F235" s="98"/>
      <c r="G235" s="168"/>
      <c r="H235" s="168"/>
      <c r="I235" s="168"/>
      <c r="J235" s="155"/>
      <c r="K235" s="155"/>
      <c r="L235" s="155"/>
      <c r="M235" s="155"/>
      <c r="N235" s="155"/>
      <c r="O235" s="155"/>
      <c r="P235" s="155"/>
      <c r="Q235" s="155"/>
      <c r="R235" s="155"/>
      <c r="S235" s="155"/>
      <c r="T235" s="155"/>
      <c r="U235" s="155"/>
      <c r="V235" s="155"/>
      <c r="W235" s="155"/>
      <c r="X235" s="99"/>
      <c r="Y235" s="99"/>
      <c r="Z235" s="99"/>
      <c r="AA235" s="99"/>
      <c r="AB235" s="99"/>
      <c r="AC235" s="99"/>
      <c r="AD235" s="99"/>
      <c r="AE235" s="99"/>
      <c r="AF235" s="99"/>
      <c r="AG235" s="99"/>
      <c r="AH235" s="99"/>
      <c r="AI235" s="99"/>
      <c r="AJ235" s="99"/>
      <c r="AK235" s="99"/>
      <c r="AL235" s="99"/>
      <c r="AM235" s="99"/>
      <c r="AN235" s="99"/>
      <c r="AO235" s="99"/>
      <c r="AP235" s="169"/>
      <c r="AQ235" s="99"/>
      <c r="AR235" s="170"/>
      <c r="AS235" s="171"/>
      <c r="AT235" s="172"/>
      <c r="AW235" s="98"/>
      <c r="AX235" s="98"/>
      <c r="AY235" s="98"/>
      <c r="AZ235" s="98"/>
    </row>
    <row r="236" spans="3:52" x14ac:dyDescent="0.2">
      <c r="C236" s="99"/>
      <c r="D236" s="100"/>
      <c r="E236" s="100"/>
      <c r="F236" s="98"/>
      <c r="G236" s="168"/>
      <c r="H236" s="168"/>
      <c r="I236" s="168"/>
      <c r="J236" s="155"/>
      <c r="K236" s="155"/>
      <c r="L236" s="155"/>
      <c r="M236" s="155"/>
      <c r="N236" s="155"/>
      <c r="O236" s="155"/>
      <c r="P236" s="155"/>
      <c r="Q236" s="155"/>
      <c r="R236" s="155"/>
      <c r="S236" s="155"/>
      <c r="T236" s="155"/>
      <c r="U236" s="155"/>
      <c r="V236" s="155"/>
      <c r="W236" s="155"/>
      <c r="X236" s="99"/>
      <c r="Y236" s="99"/>
      <c r="Z236" s="99"/>
      <c r="AA236" s="99"/>
      <c r="AB236" s="99"/>
      <c r="AC236" s="99"/>
      <c r="AD236" s="99"/>
      <c r="AE236" s="99"/>
      <c r="AF236" s="99"/>
      <c r="AG236" s="99"/>
      <c r="AH236" s="99"/>
      <c r="AI236" s="99"/>
      <c r="AJ236" s="99"/>
      <c r="AK236" s="99"/>
      <c r="AL236" s="99"/>
      <c r="AM236" s="99"/>
      <c r="AN236" s="99"/>
      <c r="AO236" s="99"/>
      <c r="AP236" s="169"/>
      <c r="AQ236" s="99"/>
      <c r="AR236" s="170"/>
      <c r="AS236" s="171"/>
      <c r="AT236" s="172"/>
      <c r="AW236" s="98"/>
      <c r="AX236" s="98"/>
      <c r="AY236" s="98"/>
      <c r="AZ236" s="98"/>
    </row>
    <row r="237" spans="3:52" x14ac:dyDescent="0.2">
      <c r="C237" s="99"/>
      <c r="D237" s="100"/>
      <c r="E237" s="100"/>
      <c r="F237" s="98"/>
      <c r="G237" s="168"/>
      <c r="H237" s="168"/>
      <c r="I237" s="168"/>
      <c r="J237" s="155"/>
      <c r="K237" s="155"/>
      <c r="L237" s="155"/>
      <c r="M237" s="155"/>
      <c r="N237" s="155"/>
      <c r="O237" s="155"/>
      <c r="P237" s="155"/>
      <c r="Q237" s="155"/>
      <c r="R237" s="155"/>
      <c r="S237" s="155"/>
      <c r="T237" s="155"/>
      <c r="U237" s="155"/>
      <c r="V237" s="155"/>
      <c r="W237" s="155"/>
      <c r="X237" s="99"/>
      <c r="Y237" s="99"/>
      <c r="Z237" s="99"/>
      <c r="AA237" s="99"/>
      <c r="AB237" s="99"/>
      <c r="AC237" s="99"/>
      <c r="AD237" s="99"/>
      <c r="AE237" s="99"/>
      <c r="AF237" s="99"/>
      <c r="AG237" s="99"/>
      <c r="AH237" s="99"/>
      <c r="AI237" s="99"/>
      <c r="AJ237" s="99"/>
      <c r="AK237" s="99"/>
      <c r="AL237" s="99"/>
      <c r="AM237" s="99"/>
      <c r="AN237" s="99"/>
      <c r="AO237" s="99"/>
      <c r="AP237" s="169"/>
      <c r="AQ237" s="99"/>
      <c r="AR237" s="170"/>
      <c r="AS237" s="171"/>
      <c r="AT237" s="172"/>
      <c r="AW237" s="98"/>
      <c r="AX237" s="98"/>
      <c r="AY237" s="98"/>
      <c r="AZ237" s="98"/>
    </row>
    <row r="238" spans="3:52" x14ac:dyDescent="0.2">
      <c r="C238" s="99"/>
      <c r="D238" s="100"/>
      <c r="E238" s="100"/>
      <c r="F238" s="98"/>
      <c r="G238" s="168"/>
      <c r="H238" s="168"/>
      <c r="I238" s="168"/>
      <c r="J238" s="155"/>
      <c r="K238" s="155"/>
      <c r="L238" s="155"/>
      <c r="M238" s="155"/>
      <c r="N238" s="155"/>
      <c r="O238" s="155"/>
      <c r="P238" s="155"/>
      <c r="Q238" s="155"/>
      <c r="R238" s="155"/>
      <c r="S238" s="155"/>
      <c r="T238" s="155"/>
      <c r="U238" s="155"/>
      <c r="V238" s="155"/>
      <c r="W238" s="155"/>
      <c r="X238" s="99"/>
      <c r="Y238" s="99"/>
      <c r="Z238" s="99"/>
      <c r="AA238" s="99"/>
      <c r="AB238" s="99"/>
      <c r="AC238" s="99"/>
      <c r="AD238" s="99"/>
      <c r="AE238" s="99"/>
      <c r="AF238" s="99"/>
      <c r="AG238" s="99"/>
      <c r="AH238" s="99"/>
      <c r="AI238" s="99"/>
      <c r="AJ238" s="99"/>
      <c r="AK238" s="99"/>
      <c r="AL238" s="99"/>
      <c r="AM238" s="99"/>
      <c r="AN238" s="99"/>
      <c r="AO238" s="99"/>
      <c r="AP238" s="169"/>
      <c r="AQ238" s="99"/>
      <c r="AR238" s="170"/>
      <c r="AS238" s="171"/>
      <c r="AT238" s="172"/>
      <c r="AW238" s="98"/>
      <c r="AX238" s="98"/>
      <c r="AY238" s="98"/>
      <c r="AZ238" s="98"/>
    </row>
    <row r="239" spans="3:52" x14ac:dyDescent="0.2">
      <c r="C239" s="99"/>
      <c r="D239" s="100"/>
      <c r="E239" s="100"/>
      <c r="F239" s="98"/>
      <c r="G239" s="168"/>
      <c r="H239" s="168"/>
      <c r="I239" s="168"/>
      <c r="J239" s="155"/>
      <c r="K239" s="155"/>
      <c r="L239" s="155"/>
      <c r="M239" s="155"/>
      <c r="N239" s="155"/>
      <c r="O239" s="155"/>
      <c r="P239" s="155"/>
      <c r="Q239" s="155"/>
      <c r="R239" s="155"/>
      <c r="S239" s="155"/>
      <c r="T239" s="155"/>
      <c r="U239" s="155"/>
      <c r="V239" s="155"/>
      <c r="W239" s="155"/>
      <c r="X239" s="99"/>
      <c r="Y239" s="99"/>
      <c r="Z239" s="99"/>
      <c r="AA239" s="99"/>
      <c r="AB239" s="99"/>
      <c r="AC239" s="99"/>
      <c r="AD239" s="99"/>
      <c r="AE239" s="99"/>
      <c r="AF239" s="99"/>
      <c r="AG239" s="99"/>
      <c r="AH239" s="99"/>
      <c r="AI239" s="99"/>
      <c r="AJ239" s="99"/>
      <c r="AK239" s="99"/>
      <c r="AL239" s="99"/>
      <c r="AM239" s="99"/>
      <c r="AN239" s="99"/>
      <c r="AO239" s="99"/>
      <c r="AP239" s="169"/>
      <c r="AQ239" s="99"/>
      <c r="AR239" s="170"/>
      <c r="AS239" s="171"/>
      <c r="AT239" s="172"/>
      <c r="AW239" s="98"/>
      <c r="AX239" s="98"/>
      <c r="AY239" s="98"/>
      <c r="AZ239" s="98"/>
    </row>
    <row r="240" spans="3:52" x14ac:dyDescent="0.2">
      <c r="C240" s="99"/>
      <c r="D240" s="100"/>
      <c r="E240" s="100"/>
      <c r="F240" s="98"/>
      <c r="G240" s="168"/>
      <c r="H240" s="168"/>
      <c r="I240" s="168"/>
      <c r="J240" s="155"/>
      <c r="K240" s="155"/>
      <c r="L240" s="155"/>
      <c r="M240" s="155"/>
      <c r="N240" s="155"/>
      <c r="O240" s="155"/>
      <c r="P240" s="155"/>
      <c r="Q240" s="155"/>
      <c r="R240" s="155"/>
      <c r="S240" s="155"/>
      <c r="T240" s="155"/>
      <c r="U240" s="155"/>
      <c r="V240" s="155"/>
      <c r="W240" s="155"/>
      <c r="X240" s="99"/>
      <c r="Y240" s="99"/>
      <c r="Z240" s="99"/>
      <c r="AA240" s="99"/>
      <c r="AB240" s="99"/>
      <c r="AC240" s="99"/>
      <c r="AD240" s="99"/>
      <c r="AE240" s="99"/>
      <c r="AF240" s="99"/>
      <c r="AG240" s="99"/>
      <c r="AH240" s="99"/>
      <c r="AI240" s="99"/>
      <c r="AJ240" s="99"/>
      <c r="AK240" s="99"/>
      <c r="AL240" s="99"/>
      <c r="AM240" s="99"/>
      <c r="AN240" s="99"/>
      <c r="AO240" s="99"/>
      <c r="AP240" s="169"/>
      <c r="AQ240" s="99"/>
      <c r="AR240" s="170"/>
      <c r="AS240" s="171"/>
      <c r="AT240" s="172"/>
      <c r="AW240" s="98"/>
      <c r="AX240" s="98"/>
      <c r="AY240" s="98"/>
      <c r="AZ240" s="98"/>
    </row>
    <row r="241" spans="3:52" x14ac:dyDescent="0.2">
      <c r="C241" s="99"/>
      <c r="D241" s="100"/>
      <c r="E241" s="100"/>
      <c r="F241" s="98"/>
      <c r="G241" s="168"/>
      <c r="H241" s="168"/>
      <c r="I241" s="168"/>
      <c r="J241" s="155"/>
      <c r="K241" s="155"/>
      <c r="L241" s="155"/>
      <c r="M241" s="155"/>
      <c r="N241" s="155"/>
      <c r="O241" s="155"/>
      <c r="P241" s="155"/>
      <c r="Q241" s="155"/>
      <c r="R241" s="155"/>
      <c r="S241" s="155"/>
      <c r="T241" s="155"/>
      <c r="U241" s="155"/>
      <c r="V241" s="155"/>
      <c r="W241" s="155"/>
      <c r="X241" s="99"/>
      <c r="Y241" s="99"/>
      <c r="Z241" s="99"/>
      <c r="AA241" s="99"/>
      <c r="AB241" s="99"/>
      <c r="AC241" s="99"/>
      <c r="AD241" s="99"/>
      <c r="AE241" s="99"/>
      <c r="AF241" s="99"/>
      <c r="AG241" s="99"/>
      <c r="AH241" s="99"/>
      <c r="AI241" s="99"/>
      <c r="AJ241" s="99"/>
      <c r="AK241" s="99"/>
      <c r="AL241" s="99"/>
      <c r="AM241" s="99"/>
      <c r="AN241" s="99"/>
      <c r="AO241" s="99"/>
      <c r="AP241" s="169"/>
      <c r="AQ241" s="99"/>
      <c r="AR241" s="170"/>
      <c r="AS241" s="171"/>
      <c r="AT241" s="172"/>
      <c r="AW241" s="98"/>
      <c r="AX241" s="98"/>
      <c r="AY241" s="98"/>
      <c r="AZ241" s="98"/>
    </row>
    <row r="242" spans="3:52" x14ac:dyDescent="0.2">
      <c r="C242" s="99"/>
      <c r="D242" s="100"/>
      <c r="E242" s="100"/>
      <c r="F242" s="98"/>
      <c r="G242" s="168"/>
      <c r="H242" s="168"/>
      <c r="I242" s="168"/>
      <c r="J242" s="155"/>
      <c r="K242" s="155"/>
      <c r="L242" s="155"/>
      <c r="M242" s="155"/>
      <c r="N242" s="155"/>
      <c r="O242" s="155"/>
      <c r="P242" s="155"/>
      <c r="Q242" s="155"/>
      <c r="R242" s="155"/>
      <c r="S242" s="155"/>
      <c r="T242" s="155"/>
      <c r="U242" s="155"/>
      <c r="V242" s="155"/>
      <c r="W242" s="155"/>
      <c r="X242" s="99"/>
      <c r="Y242" s="99"/>
      <c r="Z242" s="99"/>
      <c r="AA242" s="99"/>
      <c r="AB242" s="99"/>
      <c r="AC242" s="99"/>
      <c r="AD242" s="99"/>
      <c r="AE242" s="99"/>
      <c r="AF242" s="99"/>
      <c r="AG242" s="99"/>
      <c r="AH242" s="99"/>
      <c r="AI242" s="99"/>
      <c r="AJ242" s="99"/>
      <c r="AK242" s="99"/>
      <c r="AL242" s="99"/>
      <c r="AM242" s="99"/>
      <c r="AN242" s="99"/>
      <c r="AO242" s="99"/>
      <c r="AP242" s="169"/>
      <c r="AQ242" s="99"/>
      <c r="AR242" s="170"/>
      <c r="AS242" s="171"/>
      <c r="AT242" s="172"/>
      <c r="AW242" s="98"/>
      <c r="AX242" s="98"/>
      <c r="AY242" s="98"/>
      <c r="AZ242" s="98"/>
    </row>
    <row r="243" spans="3:52" x14ac:dyDescent="0.2">
      <c r="C243" s="99"/>
      <c r="D243" s="100"/>
      <c r="E243" s="100"/>
      <c r="F243" s="98"/>
      <c r="G243" s="168"/>
      <c r="H243" s="168"/>
      <c r="I243" s="168"/>
      <c r="J243" s="155"/>
      <c r="K243" s="155"/>
      <c r="L243" s="155"/>
      <c r="M243" s="155"/>
      <c r="N243" s="155"/>
      <c r="O243" s="155"/>
      <c r="P243" s="155"/>
      <c r="Q243" s="155"/>
      <c r="R243" s="155"/>
      <c r="S243" s="155"/>
      <c r="T243" s="155"/>
      <c r="U243" s="155"/>
      <c r="V243" s="155"/>
      <c r="W243" s="155"/>
      <c r="X243" s="99"/>
      <c r="Y243" s="99"/>
      <c r="Z243" s="99"/>
      <c r="AA243" s="99"/>
      <c r="AB243" s="99"/>
      <c r="AC243" s="99"/>
      <c r="AD243" s="99"/>
      <c r="AE243" s="99"/>
      <c r="AF243" s="99"/>
      <c r="AG243" s="99"/>
      <c r="AH243" s="99"/>
      <c r="AI243" s="99"/>
      <c r="AJ243" s="99"/>
      <c r="AK243" s="99"/>
      <c r="AL243" s="99"/>
      <c r="AM243" s="99"/>
      <c r="AN243" s="99"/>
      <c r="AO243" s="99"/>
      <c r="AP243" s="169"/>
      <c r="AQ243" s="99"/>
      <c r="AR243" s="170"/>
      <c r="AS243" s="171"/>
      <c r="AT243" s="172"/>
      <c r="AW243" s="98"/>
      <c r="AX243" s="98"/>
      <c r="AY243" s="98"/>
      <c r="AZ243" s="98"/>
    </row>
    <row r="244" spans="3:52" x14ac:dyDescent="0.2">
      <c r="C244" s="99"/>
      <c r="D244" s="100"/>
      <c r="E244" s="100"/>
      <c r="F244" s="98"/>
      <c r="G244" s="168"/>
      <c r="H244" s="168"/>
      <c r="I244" s="168"/>
      <c r="J244" s="155"/>
      <c r="K244" s="155"/>
      <c r="L244" s="155"/>
      <c r="M244" s="155"/>
      <c r="N244" s="155"/>
      <c r="O244" s="155"/>
      <c r="P244" s="155"/>
      <c r="Q244" s="155"/>
      <c r="R244" s="155"/>
      <c r="S244" s="155"/>
      <c r="T244" s="155"/>
      <c r="U244" s="155"/>
      <c r="V244" s="155"/>
      <c r="W244" s="155"/>
      <c r="X244" s="99"/>
      <c r="Y244" s="99"/>
      <c r="Z244" s="99"/>
      <c r="AA244" s="99"/>
      <c r="AB244" s="99"/>
      <c r="AC244" s="99"/>
      <c r="AD244" s="99"/>
      <c r="AE244" s="99"/>
      <c r="AF244" s="99"/>
      <c r="AG244" s="99"/>
      <c r="AH244" s="99"/>
      <c r="AI244" s="99"/>
      <c r="AJ244" s="99"/>
      <c r="AK244" s="99"/>
      <c r="AL244" s="99"/>
      <c r="AM244" s="99"/>
      <c r="AN244" s="99"/>
      <c r="AO244" s="99"/>
      <c r="AP244" s="169"/>
      <c r="AQ244" s="99"/>
      <c r="AR244" s="170"/>
      <c r="AS244" s="171"/>
      <c r="AT244" s="172"/>
      <c r="AW244" s="98"/>
      <c r="AX244" s="98"/>
      <c r="AY244" s="98"/>
      <c r="AZ244" s="98"/>
    </row>
    <row r="245" spans="3:52" x14ac:dyDescent="0.2">
      <c r="C245" s="99"/>
      <c r="D245" s="100"/>
      <c r="E245" s="100"/>
      <c r="F245" s="98"/>
      <c r="G245" s="168"/>
      <c r="H245" s="168"/>
      <c r="I245" s="168"/>
      <c r="J245" s="155"/>
      <c r="K245" s="155"/>
      <c r="L245" s="155"/>
      <c r="M245" s="155"/>
      <c r="N245" s="155"/>
      <c r="O245" s="155"/>
      <c r="P245" s="155"/>
      <c r="Q245" s="155"/>
      <c r="R245" s="155"/>
      <c r="S245" s="155"/>
      <c r="T245" s="155"/>
      <c r="U245" s="155"/>
      <c r="V245" s="155"/>
      <c r="W245" s="155"/>
      <c r="X245" s="99"/>
      <c r="Y245" s="99"/>
      <c r="Z245" s="99"/>
      <c r="AA245" s="99"/>
      <c r="AB245" s="99"/>
      <c r="AC245" s="99"/>
      <c r="AD245" s="99"/>
      <c r="AE245" s="99"/>
      <c r="AF245" s="99"/>
      <c r="AG245" s="99"/>
      <c r="AH245" s="99"/>
      <c r="AI245" s="99"/>
      <c r="AJ245" s="99"/>
      <c r="AK245" s="99"/>
      <c r="AL245" s="99"/>
      <c r="AM245" s="99"/>
      <c r="AN245" s="99"/>
      <c r="AO245" s="99"/>
      <c r="AP245" s="169"/>
      <c r="AQ245" s="99"/>
      <c r="AR245" s="170"/>
      <c r="AS245" s="171"/>
      <c r="AT245" s="172"/>
      <c r="AW245" s="98"/>
      <c r="AX245" s="98"/>
      <c r="AY245" s="98"/>
      <c r="AZ245" s="98"/>
    </row>
    <row r="246" spans="3:52" x14ac:dyDescent="0.2">
      <c r="C246" s="99"/>
      <c r="D246" s="100"/>
      <c r="E246" s="100"/>
      <c r="F246" s="98"/>
      <c r="G246" s="168"/>
      <c r="H246" s="168"/>
      <c r="I246" s="168"/>
      <c r="J246" s="155"/>
      <c r="K246" s="155"/>
      <c r="L246" s="155"/>
      <c r="M246" s="155"/>
      <c r="N246" s="155"/>
      <c r="O246" s="155"/>
      <c r="P246" s="155"/>
      <c r="Q246" s="155"/>
      <c r="R246" s="155"/>
      <c r="S246" s="155"/>
      <c r="T246" s="155"/>
      <c r="U246" s="155"/>
      <c r="V246" s="155"/>
      <c r="W246" s="155"/>
      <c r="X246" s="99"/>
      <c r="Y246" s="99"/>
      <c r="Z246" s="99"/>
      <c r="AA246" s="99"/>
      <c r="AB246" s="99"/>
      <c r="AC246" s="99"/>
      <c r="AD246" s="99"/>
      <c r="AE246" s="99"/>
      <c r="AF246" s="99"/>
      <c r="AG246" s="99"/>
      <c r="AH246" s="99"/>
      <c r="AI246" s="99"/>
      <c r="AJ246" s="99"/>
      <c r="AK246" s="99"/>
      <c r="AL246" s="99"/>
      <c r="AM246" s="99"/>
      <c r="AN246" s="99"/>
      <c r="AO246" s="99"/>
      <c r="AP246" s="169"/>
      <c r="AQ246" s="99"/>
      <c r="AR246" s="170"/>
      <c r="AS246" s="171"/>
      <c r="AT246" s="172"/>
      <c r="AW246" s="98"/>
      <c r="AX246" s="98"/>
      <c r="AY246" s="98"/>
      <c r="AZ246" s="98"/>
    </row>
    <row r="247" spans="3:52" x14ac:dyDescent="0.2">
      <c r="C247" s="99"/>
      <c r="D247" s="100"/>
      <c r="E247" s="100"/>
      <c r="F247" s="98"/>
      <c r="G247" s="168"/>
      <c r="H247" s="168"/>
      <c r="I247" s="168"/>
      <c r="J247" s="155"/>
      <c r="K247" s="155"/>
      <c r="L247" s="155"/>
      <c r="M247" s="155"/>
      <c r="N247" s="155"/>
      <c r="O247" s="155"/>
      <c r="P247" s="155"/>
      <c r="Q247" s="155"/>
      <c r="R247" s="155"/>
      <c r="S247" s="155"/>
      <c r="T247" s="155"/>
      <c r="U247" s="155"/>
      <c r="V247" s="155"/>
      <c r="W247" s="155"/>
      <c r="X247" s="99"/>
      <c r="Y247" s="99"/>
      <c r="Z247" s="99"/>
      <c r="AA247" s="99"/>
      <c r="AB247" s="99"/>
      <c r="AC247" s="99"/>
      <c r="AD247" s="99"/>
      <c r="AE247" s="99"/>
      <c r="AF247" s="99"/>
      <c r="AG247" s="99"/>
      <c r="AH247" s="99"/>
      <c r="AI247" s="99"/>
      <c r="AJ247" s="99"/>
      <c r="AK247" s="99"/>
      <c r="AL247" s="99"/>
      <c r="AM247" s="99"/>
      <c r="AN247" s="99"/>
      <c r="AO247" s="99"/>
      <c r="AP247" s="169"/>
      <c r="AQ247" s="99"/>
      <c r="AR247" s="170"/>
      <c r="AS247" s="171"/>
      <c r="AT247" s="172"/>
      <c r="AW247" s="98"/>
      <c r="AX247" s="98"/>
      <c r="AY247" s="98"/>
      <c r="AZ247" s="98"/>
    </row>
    <row r="248" spans="3:52" x14ac:dyDescent="0.2">
      <c r="C248" s="99"/>
      <c r="D248" s="100"/>
      <c r="E248" s="100"/>
      <c r="F248" s="98"/>
      <c r="G248" s="168"/>
      <c r="H248" s="168"/>
      <c r="I248" s="168"/>
      <c r="J248" s="155"/>
      <c r="K248" s="155"/>
      <c r="L248" s="155"/>
      <c r="M248" s="155"/>
      <c r="N248" s="155"/>
      <c r="O248" s="155"/>
      <c r="P248" s="155"/>
      <c r="Q248" s="155"/>
      <c r="R248" s="155"/>
      <c r="S248" s="155"/>
      <c r="T248" s="155"/>
      <c r="U248" s="155"/>
      <c r="V248" s="155"/>
      <c r="W248" s="155"/>
      <c r="X248" s="99"/>
      <c r="Y248" s="99"/>
      <c r="Z248" s="99"/>
      <c r="AA248" s="99"/>
      <c r="AB248" s="99"/>
      <c r="AC248" s="99"/>
      <c r="AD248" s="99"/>
      <c r="AE248" s="99"/>
      <c r="AF248" s="99"/>
      <c r="AG248" s="99"/>
      <c r="AH248" s="99"/>
      <c r="AI248" s="99"/>
      <c r="AJ248" s="99"/>
      <c r="AK248" s="99"/>
      <c r="AL248" s="99"/>
      <c r="AM248" s="99"/>
      <c r="AN248" s="99"/>
      <c r="AO248" s="99"/>
      <c r="AP248" s="169"/>
      <c r="AQ248" s="99"/>
      <c r="AR248" s="170"/>
      <c r="AS248" s="171"/>
      <c r="AT248" s="172"/>
      <c r="AW248" s="98"/>
      <c r="AX248" s="98"/>
      <c r="AY248" s="98"/>
      <c r="AZ248" s="98"/>
    </row>
    <row r="249" spans="3:52" x14ac:dyDescent="0.2">
      <c r="C249" s="99"/>
      <c r="D249" s="100"/>
      <c r="E249" s="100"/>
      <c r="F249" s="98"/>
      <c r="G249" s="168"/>
      <c r="H249" s="168"/>
      <c r="I249" s="168"/>
      <c r="J249" s="155"/>
      <c r="K249" s="155"/>
      <c r="L249" s="155"/>
      <c r="M249" s="155"/>
      <c r="N249" s="155"/>
      <c r="O249" s="155"/>
      <c r="P249" s="155"/>
      <c r="Q249" s="155"/>
      <c r="R249" s="155"/>
      <c r="S249" s="155"/>
      <c r="T249" s="155"/>
      <c r="U249" s="155"/>
      <c r="V249" s="155"/>
      <c r="W249" s="155"/>
      <c r="X249" s="99"/>
      <c r="Y249" s="99"/>
      <c r="Z249" s="99"/>
      <c r="AA249" s="99"/>
      <c r="AB249" s="99"/>
      <c r="AC249" s="99"/>
      <c r="AD249" s="99"/>
      <c r="AE249" s="99"/>
      <c r="AF249" s="99"/>
      <c r="AG249" s="99"/>
      <c r="AH249" s="99"/>
      <c r="AI249" s="99"/>
      <c r="AJ249" s="99"/>
      <c r="AK249" s="99"/>
      <c r="AL249" s="99"/>
      <c r="AM249" s="99"/>
      <c r="AN249" s="99"/>
      <c r="AO249" s="99"/>
      <c r="AP249" s="169"/>
      <c r="AQ249" s="99"/>
      <c r="AR249" s="170"/>
      <c r="AS249" s="171"/>
      <c r="AT249" s="172"/>
      <c r="AW249" s="98"/>
      <c r="AX249" s="98"/>
      <c r="AY249" s="98"/>
      <c r="AZ249" s="98"/>
    </row>
    <row r="250" spans="3:52" x14ac:dyDescent="0.2">
      <c r="C250" s="99"/>
      <c r="D250" s="100"/>
      <c r="E250" s="100"/>
      <c r="F250" s="98"/>
      <c r="G250" s="168"/>
      <c r="H250" s="168"/>
      <c r="I250" s="168"/>
      <c r="J250" s="155"/>
      <c r="K250" s="155"/>
      <c r="L250" s="155"/>
      <c r="M250" s="155"/>
      <c r="N250" s="155"/>
      <c r="O250" s="155"/>
      <c r="P250" s="155"/>
      <c r="Q250" s="155"/>
      <c r="R250" s="155"/>
      <c r="S250" s="155"/>
      <c r="T250" s="155"/>
      <c r="U250" s="155"/>
      <c r="V250" s="155"/>
      <c r="W250" s="155"/>
      <c r="X250" s="99"/>
      <c r="Y250" s="99"/>
      <c r="Z250" s="99"/>
      <c r="AA250" s="99"/>
      <c r="AB250" s="99"/>
      <c r="AC250" s="99"/>
      <c r="AD250" s="99"/>
      <c r="AE250" s="99"/>
      <c r="AF250" s="99"/>
      <c r="AG250" s="99"/>
      <c r="AH250" s="99"/>
      <c r="AI250" s="99"/>
      <c r="AJ250" s="99"/>
      <c r="AK250" s="99"/>
      <c r="AL250" s="99"/>
      <c r="AM250" s="99"/>
      <c r="AN250" s="99"/>
      <c r="AO250" s="99"/>
      <c r="AP250" s="169"/>
      <c r="AQ250" s="99"/>
      <c r="AR250" s="170"/>
      <c r="AS250" s="171"/>
      <c r="AT250" s="172"/>
      <c r="AW250" s="98"/>
      <c r="AX250" s="98"/>
      <c r="AY250" s="98"/>
      <c r="AZ250" s="98"/>
    </row>
    <row r="251" spans="3:52" x14ac:dyDescent="0.2">
      <c r="C251" s="99"/>
      <c r="D251" s="100"/>
      <c r="E251" s="100"/>
      <c r="F251" s="98"/>
      <c r="G251" s="168"/>
      <c r="H251" s="168"/>
      <c r="I251" s="168"/>
      <c r="J251" s="155"/>
      <c r="K251" s="155"/>
      <c r="L251" s="155"/>
      <c r="M251" s="155"/>
      <c r="N251" s="155"/>
      <c r="O251" s="155"/>
      <c r="P251" s="155"/>
      <c r="Q251" s="155"/>
      <c r="R251" s="155"/>
      <c r="S251" s="155"/>
      <c r="T251" s="155"/>
      <c r="U251" s="155"/>
      <c r="V251" s="155"/>
      <c r="W251" s="155"/>
      <c r="X251" s="99"/>
      <c r="Y251" s="99"/>
      <c r="Z251" s="99"/>
      <c r="AA251" s="99"/>
      <c r="AB251" s="99"/>
      <c r="AC251" s="99"/>
      <c r="AD251" s="99"/>
      <c r="AE251" s="99"/>
      <c r="AF251" s="99"/>
      <c r="AG251" s="99"/>
      <c r="AH251" s="99"/>
      <c r="AI251" s="99"/>
      <c r="AJ251" s="99"/>
      <c r="AK251" s="99"/>
      <c r="AL251" s="99"/>
      <c r="AM251" s="99"/>
      <c r="AN251" s="99"/>
      <c r="AO251" s="99"/>
      <c r="AP251" s="169"/>
      <c r="AQ251" s="99"/>
      <c r="AR251" s="170"/>
      <c r="AS251" s="171"/>
      <c r="AT251" s="172"/>
      <c r="AW251" s="98"/>
      <c r="AX251" s="98"/>
      <c r="AY251" s="98"/>
      <c r="AZ251" s="98"/>
    </row>
    <row r="252" spans="3:52" x14ac:dyDescent="0.2">
      <c r="C252" s="99"/>
      <c r="D252" s="100"/>
      <c r="E252" s="100"/>
      <c r="F252" s="98"/>
      <c r="G252" s="168"/>
      <c r="H252" s="168"/>
      <c r="I252" s="168"/>
      <c r="J252" s="155"/>
      <c r="K252" s="155"/>
      <c r="L252" s="155"/>
      <c r="M252" s="155"/>
      <c r="N252" s="155"/>
      <c r="O252" s="155"/>
      <c r="P252" s="155"/>
      <c r="Q252" s="155"/>
      <c r="R252" s="155"/>
      <c r="S252" s="155"/>
      <c r="T252" s="155"/>
      <c r="U252" s="155"/>
      <c r="V252" s="155"/>
      <c r="W252" s="155"/>
      <c r="X252" s="99"/>
      <c r="Y252" s="99"/>
      <c r="Z252" s="99"/>
      <c r="AA252" s="99"/>
      <c r="AB252" s="99"/>
      <c r="AC252" s="99"/>
      <c r="AD252" s="99"/>
      <c r="AE252" s="99"/>
      <c r="AF252" s="99"/>
      <c r="AG252" s="99"/>
      <c r="AH252" s="99"/>
      <c r="AI252" s="99"/>
      <c r="AJ252" s="99"/>
      <c r="AK252" s="99"/>
      <c r="AL252" s="99"/>
      <c r="AM252" s="99"/>
      <c r="AN252" s="99"/>
      <c r="AO252" s="99"/>
      <c r="AP252" s="169"/>
      <c r="AQ252" s="99"/>
      <c r="AR252" s="170"/>
      <c r="AS252" s="171"/>
      <c r="AT252" s="172"/>
      <c r="AW252" s="98"/>
      <c r="AX252" s="98"/>
      <c r="AY252" s="98"/>
      <c r="AZ252" s="98"/>
    </row>
    <row r="253" spans="3:52" x14ac:dyDescent="0.2">
      <c r="C253" s="99"/>
      <c r="D253" s="100"/>
      <c r="E253" s="100"/>
      <c r="F253" s="98"/>
      <c r="G253" s="168"/>
      <c r="H253" s="168"/>
      <c r="I253" s="168"/>
      <c r="J253" s="155"/>
      <c r="K253" s="155"/>
      <c r="L253" s="155"/>
      <c r="M253" s="155"/>
      <c r="N253" s="155"/>
      <c r="O253" s="155"/>
      <c r="P253" s="155"/>
      <c r="Q253" s="155"/>
      <c r="R253" s="155"/>
      <c r="S253" s="155"/>
      <c r="T253" s="155"/>
      <c r="U253" s="155"/>
      <c r="V253" s="155"/>
      <c r="W253" s="155"/>
      <c r="X253" s="99"/>
      <c r="Y253" s="99"/>
      <c r="Z253" s="99"/>
      <c r="AA253" s="99"/>
      <c r="AB253" s="99"/>
      <c r="AC253" s="99"/>
      <c r="AD253" s="99"/>
      <c r="AE253" s="99"/>
      <c r="AF253" s="99"/>
      <c r="AG253" s="99"/>
      <c r="AH253" s="99"/>
      <c r="AI253" s="99"/>
      <c r="AJ253" s="99"/>
      <c r="AK253" s="99"/>
      <c r="AL253" s="99"/>
      <c r="AM253" s="99"/>
      <c r="AN253" s="99"/>
      <c r="AO253" s="99"/>
      <c r="AP253" s="169"/>
      <c r="AQ253" s="99"/>
      <c r="AR253" s="170"/>
      <c r="AS253" s="171"/>
      <c r="AT253" s="172"/>
      <c r="AW253" s="98"/>
      <c r="AX253" s="98"/>
      <c r="AY253" s="98"/>
      <c r="AZ253" s="98"/>
    </row>
    <row r="254" spans="3:52" x14ac:dyDescent="0.2">
      <c r="C254" s="99"/>
      <c r="D254" s="100"/>
      <c r="E254" s="100"/>
      <c r="F254" s="98"/>
      <c r="G254" s="168"/>
      <c r="H254" s="168"/>
      <c r="I254" s="168"/>
      <c r="J254" s="155"/>
      <c r="K254" s="155"/>
      <c r="L254" s="155"/>
      <c r="M254" s="155"/>
      <c r="N254" s="155"/>
      <c r="O254" s="155"/>
      <c r="P254" s="155"/>
      <c r="Q254" s="155"/>
      <c r="R254" s="155"/>
      <c r="S254" s="155"/>
      <c r="T254" s="155"/>
      <c r="U254" s="155"/>
      <c r="V254" s="155"/>
      <c r="W254" s="155"/>
      <c r="X254" s="99"/>
      <c r="Y254" s="99"/>
      <c r="Z254" s="99"/>
      <c r="AA254" s="99"/>
      <c r="AB254" s="99"/>
      <c r="AC254" s="99"/>
      <c r="AD254" s="99"/>
      <c r="AE254" s="99"/>
      <c r="AF254" s="99"/>
      <c r="AG254" s="99"/>
      <c r="AH254" s="99"/>
      <c r="AI254" s="99"/>
      <c r="AJ254" s="99"/>
      <c r="AK254" s="99"/>
      <c r="AL254" s="99"/>
      <c r="AM254" s="99"/>
      <c r="AN254" s="99"/>
      <c r="AO254" s="99"/>
      <c r="AP254" s="169"/>
      <c r="AQ254" s="99"/>
      <c r="AR254" s="170"/>
      <c r="AS254" s="171"/>
      <c r="AT254" s="172"/>
      <c r="AW254" s="98"/>
      <c r="AX254" s="98"/>
      <c r="AY254" s="98"/>
      <c r="AZ254" s="98"/>
    </row>
    <row r="255" spans="3:52" x14ac:dyDescent="0.2">
      <c r="C255" s="99"/>
      <c r="D255" s="100"/>
      <c r="E255" s="100"/>
      <c r="F255" s="98"/>
      <c r="G255" s="168"/>
      <c r="H255" s="168"/>
      <c r="I255" s="168"/>
      <c r="J255" s="155"/>
      <c r="K255" s="155"/>
      <c r="L255" s="155"/>
      <c r="M255" s="155"/>
      <c r="N255" s="155"/>
      <c r="O255" s="155"/>
      <c r="P255" s="155"/>
      <c r="Q255" s="155"/>
      <c r="R255" s="155"/>
      <c r="S255" s="155"/>
      <c r="T255" s="155"/>
      <c r="U255" s="155"/>
      <c r="V255" s="155"/>
      <c r="W255" s="155"/>
      <c r="X255" s="99"/>
      <c r="Y255" s="99"/>
      <c r="Z255" s="99"/>
      <c r="AA255" s="99"/>
      <c r="AB255" s="99"/>
      <c r="AC255" s="99"/>
      <c r="AD255" s="99"/>
      <c r="AE255" s="99"/>
      <c r="AF255" s="99"/>
      <c r="AG255" s="99"/>
      <c r="AH255" s="99"/>
      <c r="AI255" s="99"/>
      <c r="AJ255" s="99"/>
      <c r="AK255" s="99"/>
      <c r="AL255" s="99"/>
      <c r="AM255" s="99"/>
      <c r="AN255" s="99"/>
      <c r="AO255" s="99"/>
      <c r="AP255" s="169"/>
      <c r="AQ255" s="99"/>
      <c r="AR255" s="170"/>
      <c r="AS255" s="171"/>
      <c r="AT255" s="172"/>
      <c r="AW255" s="98"/>
      <c r="AX255" s="98"/>
      <c r="AY255" s="98"/>
      <c r="AZ255" s="98"/>
    </row>
    <row r="256" spans="3:52" x14ac:dyDescent="0.2">
      <c r="C256" s="99"/>
      <c r="D256" s="100"/>
      <c r="E256" s="100"/>
      <c r="F256" s="98"/>
      <c r="G256" s="168"/>
      <c r="H256" s="168"/>
      <c r="I256" s="168"/>
      <c r="J256" s="155"/>
      <c r="K256" s="155"/>
      <c r="L256" s="155"/>
      <c r="M256" s="155"/>
      <c r="N256" s="155"/>
      <c r="O256" s="155"/>
      <c r="P256" s="155"/>
      <c r="Q256" s="155"/>
      <c r="R256" s="155"/>
      <c r="S256" s="155"/>
      <c r="T256" s="155"/>
      <c r="U256" s="155"/>
      <c r="V256" s="155"/>
      <c r="W256" s="155"/>
      <c r="X256" s="99"/>
      <c r="Y256" s="99"/>
      <c r="Z256" s="99"/>
      <c r="AA256" s="99"/>
      <c r="AB256" s="99"/>
      <c r="AC256" s="99"/>
      <c r="AD256" s="99"/>
      <c r="AE256" s="99"/>
      <c r="AF256" s="99"/>
      <c r="AG256" s="99"/>
      <c r="AH256" s="99"/>
      <c r="AI256" s="99"/>
      <c r="AJ256" s="99"/>
      <c r="AK256" s="99"/>
      <c r="AL256" s="99"/>
      <c r="AM256" s="99"/>
      <c r="AN256" s="99"/>
      <c r="AO256" s="99"/>
      <c r="AP256" s="169"/>
      <c r="AQ256" s="99"/>
      <c r="AR256" s="170"/>
      <c r="AS256" s="171"/>
      <c r="AT256" s="172"/>
      <c r="AW256" s="98"/>
      <c r="AX256" s="98"/>
      <c r="AY256" s="98"/>
      <c r="AZ256" s="98"/>
    </row>
    <row r="257" spans="3:52" x14ac:dyDescent="0.2">
      <c r="C257" s="99"/>
      <c r="D257" s="100"/>
      <c r="E257" s="100"/>
      <c r="F257" s="98"/>
      <c r="G257" s="168"/>
      <c r="H257" s="168"/>
      <c r="I257" s="168"/>
      <c r="J257" s="155"/>
      <c r="K257" s="155"/>
      <c r="L257" s="155"/>
      <c r="M257" s="155"/>
      <c r="N257" s="155"/>
      <c r="O257" s="155"/>
      <c r="P257" s="155"/>
      <c r="Q257" s="155"/>
      <c r="R257" s="155"/>
      <c r="S257" s="155"/>
      <c r="T257" s="155"/>
      <c r="U257" s="155"/>
      <c r="V257" s="155"/>
      <c r="W257" s="155"/>
      <c r="X257" s="99"/>
      <c r="Y257" s="99"/>
      <c r="Z257" s="99"/>
      <c r="AA257" s="99"/>
      <c r="AB257" s="99"/>
      <c r="AC257" s="99"/>
      <c r="AD257" s="99"/>
      <c r="AE257" s="99"/>
      <c r="AF257" s="99"/>
      <c r="AG257" s="99"/>
      <c r="AH257" s="99"/>
      <c r="AI257" s="99"/>
      <c r="AJ257" s="99"/>
      <c r="AK257" s="99"/>
      <c r="AL257" s="99"/>
      <c r="AM257" s="99"/>
      <c r="AN257" s="99"/>
      <c r="AO257" s="99"/>
      <c r="AP257" s="169"/>
      <c r="AQ257" s="99"/>
      <c r="AR257" s="170"/>
      <c r="AS257" s="171"/>
      <c r="AT257" s="172"/>
      <c r="AW257" s="98"/>
      <c r="AX257" s="98"/>
      <c r="AY257" s="98"/>
      <c r="AZ257" s="98"/>
    </row>
    <row r="258" spans="3:52" x14ac:dyDescent="0.2">
      <c r="C258" s="99"/>
      <c r="D258" s="100"/>
      <c r="E258" s="100"/>
      <c r="F258" s="98"/>
      <c r="G258" s="168"/>
      <c r="H258" s="168"/>
      <c r="I258" s="168"/>
      <c r="J258" s="155"/>
      <c r="K258" s="155"/>
      <c r="L258" s="155"/>
      <c r="M258" s="155"/>
      <c r="N258" s="155"/>
      <c r="O258" s="155"/>
      <c r="P258" s="155"/>
      <c r="Q258" s="155"/>
      <c r="R258" s="155"/>
      <c r="S258" s="155"/>
      <c r="T258" s="155"/>
      <c r="U258" s="155"/>
      <c r="V258" s="155"/>
      <c r="W258" s="155"/>
      <c r="X258" s="99"/>
      <c r="Y258" s="99"/>
      <c r="Z258" s="99"/>
      <c r="AA258" s="99"/>
      <c r="AB258" s="99"/>
      <c r="AC258" s="99"/>
      <c r="AD258" s="99"/>
      <c r="AE258" s="99"/>
      <c r="AF258" s="99"/>
      <c r="AG258" s="99"/>
      <c r="AH258" s="99"/>
      <c r="AI258" s="99"/>
      <c r="AJ258" s="99"/>
      <c r="AK258" s="99"/>
      <c r="AL258" s="99"/>
      <c r="AM258" s="99"/>
      <c r="AN258" s="99"/>
      <c r="AO258" s="99"/>
      <c r="AP258" s="169"/>
      <c r="AQ258" s="99"/>
      <c r="AR258" s="170"/>
      <c r="AS258" s="171"/>
      <c r="AT258" s="172"/>
      <c r="AW258" s="98"/>
      <c r="AX258" s="98"/>
      <c r="AY258" s="98"/>
      <c r="AZ258" s="98"/>
    </row>
    <row r="259" spans="3:52" x14ac:dyDescent="0.2">
      <c r="C259" s="99"/>
      <c r="D259" s="100"/>
      <c r="E259" s="100"/>
      <c r="F259" s="98"/>
      <c r="G259" s="168"/>
      <c r="H259" s="168"/>
      <c r="I259" s="168"/>
      <c r="J259" s="155"/>
      <c r="K259" s="155"/>
      <c r="L259" s="155"/>
      <c r="M259" s="155"/>
      <c r="N259" s="155"/>
      <c r="O259" s="155"/>
      <c r="P259" s="155"/>
      <c r="Q259" s="155"/>
      <c r="R259" s="155"/>
      <c r="S259" s="155"/>
      <c r="T259" s="155"/>
      <c r="U259" s="155"/>
      <c r="V259" s="155"/>
      <c r="W259" s="155"/>
      <c r="X259" s="99"/>
      <c r="Y259" s="99"/>
      <c r="Z259" s="99"/>
      <c r="AA259" s="99"/>
      <c r="AB259" s="99"/>
      <c r="AC259" s="99"/>
      <c r="AD259" s="99"/>
      <c r="AE259" s="99"/>
      <c r="AF259" s="99"/>
      <c r="AG259" s="99"/>
      <c r="AH259" s="99"/>
      <c r="AI259" s="99"/>
      <c r="AJ259" s="99"/>
      <c r="AK259" s="99"/>
      <c r="AL259" s="99"/>
      <c r="AM259" s="99"/>
      <c r="AN259" s="99"/>
      <c r="AO259" s="99"/>
      <c r="AP259" s="169"/>
      <c r="AQ259" s="99"/>
      <c r="AR259" s="170"/>
      <c r="AS259" s="171"/>
      <c r="AT259" s="172"/>
      <c r="AW259" s="98"/>
      <c r="AX259" s="98"/>
      <c r="AY259" s="98"/>
      <c r="AZ259" s="98"/>
    </row>
    <row r="260" spans="3:52" x14ac:dyDescent="0.2">
      <c r="C260" s="99"/>
      <c r="D260" s="100"/>
      <c r="E260" s="100"/>
      <c r="F260" s="98"/>
      <c r="G260" s="168"/>
      <c r="H260" s="168"/>
      <c r="I260" s="168"/>
      <c r="J260" s="155"/>
      <c r="K260" s="155"/>
      <c r="L260" s="155"/>
      <c r="M260" s="155"/>
      <c r="N260" s="155"/>
      <c r="O260" s="155"/>
      <c r="P260" s="155"/>
      <c r="Q260" s="155"/>
      <c r="R260" s="155"/>
      <c r="S260" s="155"/>
      <c r="T260" s="155"/>
      <c r="U260" s="155"/>
      <c r="V260" s="155"/>
      <c r="W260" s="155"/>
      <c r="X260" s="99"/>
      <c r="Y260" s="99"/>
      <c r="Z260" s="99"/>
      <c r="AA260" s="99"/>
      <c r="AB260" s="99"/>
      <c r="AC260" s="99"/>
      <c r="AD260" s="99"/>
      <c r="AE260" s="99"/>
      <c r="AF260" s="99"/>
      <c r="AG260" s="99"/>
      <c r="AH260" s="99"/>
      <c r="AI260" s="99"/>
      <c r="AJ260" s="99"/>
      <c r="AK260" s="99"/>
      <c r="AL260" s="99"/>
      <c r="AM260" s="99"/>
      <c r="AN260" s="99"/>
      <c r="AO260" s="99"/>
      <c r="AP260" s="169"/>
      <c r="AQ260" s="99"/>
      <c r="AR260" s="170"/>
      <c r="AS260" s="171"/>
      <c r="AT260" s="172"/>
      <c r="AW260" s="98"/>
      <c r="AX260" s="98"/>
      <c r="AY260" s="98"/>
      <c r="AZ260" s="98"/>
    </row>
    <row r="261" spans="3:52" x14ac:dyDescent="0.2">
      <c r="C261" s="99"/>
      <c r="D261" s="100"/>
      <c r="E261" s="100"/>
      <c r="F261" s="98"/>
      <c r="G261" s="168"/>
      <c r="H261" s="168"/>
      <c r="I261" s="168"/>
      <c r="J261" s="155"/>
      <c r="K261" s="155"/>
      <c r="L261" s="155"/>
      <c r="M261" s="155"/>
      <c r="N261" s="155"/>
      <c r="O261" s="155"/>
      <c r="P261" s="155"/>
      <c r="Q261" s="155"/>
      <c r="R261" s="155"/>
      <c r="S261" s="155"/>
      <c r="T261" s="155"/>
      <c r="U261" s="155"/>
      <c r="V261" s="155"/>
      <c r="W261" s="155"/>
      <c r="X261" s="99"/>
      <c r="Y261" s="99"/>
      <c r="Z261" s="99"/>
      <c r="AA261" s="99"/>
      <c r="AB261" s="99"/>
      <c r="AC261" s="99"/>
      <c r="AD261" s="99"/>
      <c r="AE261" s="99"/>
      <c r="AF261" s="99"/>
      <c r="AG261" s="99"/>
      <c r="AH261" s="99"/>
      <c r="AI261" s="99"/>
      <c r="AJ261" s="99"/>
      <c r="AK261" s="99"/>
      <c r="AL261" s="99"/>
      <c r="AM261" s="99"/>
      <c r="AN261" s="99"/>
      <c r="AO261" s="99"/>
      <c r="AP261" s="169"/>
      <c r="AQ261" s="99"/>
      <c r="AR261" s="170"/>
      <c r="AS261" s="171"/>
      <c r="AT261" s="172"/>
      <c r="AW261" s="98"/>
      <c r="AX261" s="98"/>
      <c r="AY261" s="98"/>
      <c r="AZ261" s="98"/>
    </row>
    <row r="262" spans="3:52" x14ac:dyDescent="0.2">
      <c r="C262" s="99"/>
      <c r="D262" s="100"/>
      <c r="E262" s="100"/>
      <c r="F262" s="98"/>
      <c r="G262" s="168"/>
      <c r="H262" s="168"/>
      <c r="I262" s="168"/>
      <c r="J262" s="155"/>
      <c r="K262" s="155"/>
      <c r="L262" s="155"/>
      <c r="M262" s="155"/>
      <c r="N262" s="155"/>
      <c r="O262" s="155"/>
      <c r="P262" s="155"/>
      <c r="Q262" s="155"/>
      <c r="R262" s="155"/>
      <c r="S262" s="155"/>
      <c r="T262" s="155"/>
      <c r="U262" s="155"/>
      <c r="V262" s="155"/>
      <c r="W262" s="155"/>
      <c r="X262" s="99"/>
      <c r="Y262" s="99"/>
      <c r="Z262" s="99"/>
      <c r="AA262" s="99"/>
      <c r="AB262" s="99"/>
      <c r="AC262" s="99"/>
      <c r="AD262" s="99"/>
      <c r="AE262" s="99"/>
      <c r="AF262" s="99"/>
      <c r="AG262" s="99"/>
      <c r="AH262" s="99"/>
      <c r="AI262" s="99"/>
      <c r="AJ262" s="99"/>
      <c r="AK262" s="99"/>
      <c r="AL262" s="99"/>
      <c r="AM262" s="99"/>
      <c r="AN262" s="99"/>
      <c r="AO262" s="99"/>
      <c r="AP262" s="169"/>
      <c r="AQ262" s="99"/>
      <c r="AR262" s="170"/>
      <c r="AS262" s="171"/>
      <c r="AT262" s="172"/>
      <c r="AW262" s="98"/>
      <c r="AX262" s="98"/>
      <c r="AY262" s="98"/>
      <c r="AZ262" s="98"/>
    </row>
    <row r="263" spans="3:52" x14ac:dyDescent="0.2">
      <c r="C263" s="99"/>
      <c r="D263" s="100"/>
      <c r="E263" s="100"/>
      <c r="F263" s="98"/>
      <c r="G263" s="168"/>
      <c r="H263" s="168"/>
      <c r="I263" s="168"/>
      <c r="J263" s="155"/>
      <c r="K263" s="155"/>
      <c r="L263" s="155"/>
      <c r="M263" s="155"/>
      <c r="N263" s="155"/>
      <c r="O263" s="155"/>
      <c r="P263" s="155"/>
      <c r="Q263" s="155"/>
      <c r="R263" s="155"/>
      <c r="S263" s="155"/>
      <c r="T263" s="155"/>
      <c r="U263" s="155"/>
      <c r="V263" s="155"/>
      <c r="W263" s="155"/>
      <c r="X263" s="99"/>
      <c r="Y263" s="99"/>
      <c r="Z263" s="99"/>
      <c r="AA263" s="99"/>
      <c r="AB263" s="99"/>
      <c r="AC263" s="99"/>
      <c r="AD263" s="99"/>
      <c r="AE263" s="99"/>
      <c r="AF263" s="99"/>
      <c r="AG263" s="99"/>
      <c r="AH263" s="99"/>
      <c r="AI263" s="99"/>
      <c r="AJ263" s="99"/>
      <c r="AK263" s="99"/>
      <c r="AL263" s="99"/>
      <c r="AM263" s="99"/>
      <c r="AN263" s="99"/>
      <c r="AO263" s="99"/>
      <c r="AP263" s="169"/>
      <c r="AQ263" s="99"/>
      <c r="AR263" s="170"/>
      <c r="AS263" s="171"/>
      <c r="AT263" s="172"/>
      <c r="AW263" s="98"/>
      <c r="AX263" s="98"/>
      <c r="AY263" s="98"/>
      <c r="AZ263" s="98"/>
    </row>
    <row r="264" spans="3:52" x14ac:dyDescent="0.2">
      <c r="C264" s="99"/>
      <c r="D264" s="100"/>
      <c r="E264" s="100"/>
      <c r="F264" s="98"/>
      <c r="G264" s="168"/>
      <c r="H264" s="168"/>
      <c r="I264" s="168"/>
      <c r="J264" s="155"/>
      <c r="K264" s="155"/>
      <c r="L264" s="155"/>
      <c r="M264" s="155"/>
      <c r="N264" s="155"/>
      <c r="O264" s="155"/>
      <c r="P264" s="155"/>
      <c r="Q264" s="155"/>
      <c r="R264" s="155"/>
      <c r="S264" s="155"/>
      <c r="T264" s="155"/>
      <c r="U264" s="155"/>
      <c r="V264" s="155"/>
      <c r="W264" s="155"/>
      <c r="X264" s="99"/>
      <c r="Y264" s="99"/>
      <c r="Z264" s="99"/>
      <c r="AA264" s="99"/>
      <c r="AB264" s="99"/>
      <c r="AC264" s="99"/>
      <c r="AD264" s="99"/>
      <c r="AE264" s="99"/>
      <c r="AF264" s="99"/>
      <c r="AG264" s="99"/>
      <c r="AH264" s="99"/>
      <c r="AI264" s="99"/>
      <c r="AJ264" s="99"/>
      <c r="AK264" s="99"/>
      <c r="AL264" s="99"/>
      <c r="AM264" s="99"/>
      <c r="AN264" s="99"/>
      <c r="AO264" s="99"/>
      <c r="AP264" s="169"/>
      <c r="AQ264" s="99"/>
      <c r="AR264" s="170"/>
      <c r="AS264" s="171"/>
      <c r="AT264" s="172"/>
      <c r="AW264" s="98"/>
      <c r="AX264" s="98"/>
      <c r="AY264" s="98"/>
      <c r="AZ264" s="98"/>
    </row>
    <row r="265" spans="3:52" x14ac:dyDescent="0.2">
      <c r="C265" s="99"/>
      <c r="D265" s="100"/>
      <c r="E265" s="100"/>
      <c r="F265" s="98"/>
      <c r="G265" s="168"/>
      <c r="H265" s="168"/>
      <c r="I265" s="168"/>
      <c r="J265" s="155"/>
      <c r="K265" s="155"/>
      <c r="L265" s="155"/>
      <c r="M265" s="155"/>
      <c r="N265" s="155"/>
      <c r="O265" s="155"/>
      <c r="P265" s="155"/>
      <c r="Q265" s="155"/>
      <c r="R265" s="155"/>
      <c r="S265" s="155"/>
      <c r="T265" s="155"/>
      <c r="U265" s="155"/>
      <c r="V265" s="155"/>
      <c r="W265" s="155"/>
      <c r="X265" s="99"/>
      <c r="Y265" s="99"/>
      <c r="Z265" s="99"/>
      <c r="AA265" s="99"/>
      <c r="AB265" s="99"/>
      <c r="AC265" s="99"/>
      <c r="AD265" s="99"/>
      <c r="AE265" s="99"/>
      <c r="AF265" s="99"/>
      <c r="AG265" s="99"/>
      <c r="AH265" s="99"/>
      <c r="AI265" s="99"/>
      <c r="AJ265" s="99"/>
      <c r="AK265" s="99"/>
      <c r="AL265" s="99"/>
      <c r="AM265" s="99"/>
      <c r="AN265" s="99"/>
      <c r="AO265" s="99"/>
      <c r="AP265" s="169"/>
      <c r="AQ265" s="99"/>
      <c r="AR265" s="170"/>
      <c r="AS265" s="171"/>
      <c r="AT265" s="172"/>
      <c r="AW265" s="98"/>
      <c r="AX265" s="98"/>
      <c r="AY265" s="98"/>
      <c r="AZ265" s="98"/>
    </row>
    <row r="266" spans="3:52" x14ac:dyDescent="0.2">
      <c r="C266" s="99"/>
      <c r="D266" s="100"/>
      <c r="E266" s="100"/>
      <c r="F266" s="98"/>
      <c r="G266" s="168"/>
      <c r="H266" s="168"/>
      <c r="I266" s="168"/>
      <c r="J266" s="155"/>
      <c r="K266" s="155"/>
      <c r="L266" s="155"/>
      <c r="M266" s="155"/>
      <c r="N266" s="155"/>
      <c r="O266" s="155"/>
      <c r="P266" s="155"/>
      <c r="Q266" s="155"/>
      <c r="R266" s="155"/>
      <c r="S266" s="155"/>
      <c r="T266" s="155"/>
      <c r="U266" s="155"/>
      <c r="V266" s="155"/>
      <c r="W266" s="155"/>
      <c r="X266" s="99"/>
      <c r="Y266" s="99"/>
      <c r="Z266" s="99"/>
      <c r="AA266" s="99"/>
      <c r="AB266" s="99"/>
      <c r="AC266" s="99"/>
      <c r="AD266" s="99"/>
      <c r="AE266" s="99"/>
      <c r="AF266" s="99"/>
      <c r="AG266" s="99"/>
      <c r="AH266" s="99"/>
      <c r="AI266" s="99"/>
      <c r="AJ266" s="99"/>
      <c r="AK266" s="99"/>
      <c r="AL266" s="99"/>
      <c r="AM266" s="99"/>
      <c r="AN266" s="99"/>
      <c r="AO266" s="99"/>
      <c r="AP266" s="169"/>
      <c r="AQ266" s="99"/>
      <c r="AR266" s="170"/>
      <c r="AS266" s="171"/>
      <c r="AT266" s="172"/>
      <c r="AW266" s="98"/>
      <c r="AX266" s="98"/>
      <c r="AY266" s="98"/>
      <c r="AZ266" s="98"/>
    </row>
    <row r="267" spans="3:52" x14ac:dyDescent="0.2">
      <c r="C267" s="99"/>
      <c r="D267" s="100"/>
      <c r="E267" s="100"/>
      <c r="F267" s="98"/>
      <c r="G267" s="168"/>
      <c r="H267" s="168"/>
      <c r="I267" s="168"/>
      <c r="J267" s="155"/>
      <c r="K267" s="155"/>
      <c r="L267" s="155"/>
      <c r="M267" s="155"/>
      <c r="N267" s="155"/>
      <c r="O267" s="155"/>
      <c r="P267" s="155"/>
      <c r="Q267" s="155"/>
      <c r="R267" s="155"/>
      <c r="S267" s="155"/>
      <c r="T267" s="155"/>
      <c r="U267" s="155"/>
      <c r="V267" s="155"/>
      <c r="W267" s="155"/>
      <c r="X267" s="99"/>
      <c r="Y267" s="99"/>
      <c r="Z267" s="99"/>
      <c r="AA267" s="99"/>
      <c r="AB267" s="99"/>
      <c r="AC267" s="99"/>
      <c r="AD267" s="99"/>
      <c r="AE267" s="99"/>
      <c r="AF267" s="99"/>
      <c r="AG267" s="99"/>
      <c r="AH267" s="99"/>
      <c r="AI267" s="99"/>
      <c r="AJ267" s="99"/>
      <c r="AK267" s="99"/>
      <c r="AL267" s="99"/>
      <c r="AM267" s="99"/>
      <c r="AN267" s="99"/>
      <c r="AO267" s="99"/>
      <c r="AP267" s="169"/>
      <c r="AQ267" s="99"/>
      <c r="AR267" s="170"/>
      <c r="AS267" s="171"/>
      <c r="AT267" s="172"/>
      <c r="AW267" s="98"/>
      <c r="AX267" s="98"/>
      <c r="AY267" s="98"/>
      <c r="AZ267" s="98"/>
    </row>
    <row r="268" spans="3:52" x14ac:dyDescent="0.2">
      <c r="C268" s="99"/>
      <c r="D268" s="100"/>
      <c r="E268" s="100"/>
      <c r="F268" s="98"/>
      <c r="G268" s="168"/>
      <c r="H268" s="168"/>
      <c r="I268" s="168"/>
      <c r="J268" s="155"/>
      <c r="K268" s="155"/>
      <c r="L268" s="155"/>
      <c r="M268" s="155"/>
      <c r="N268" s="155"/>
      <c r="O268" s="155"/>
      <c r="P268" s="155"/>
      <c r="Q268" s="155"/>
      <c r="R268" s="155"/>
      <c r="S268" s="155"/>
      <c r="T268" s="155"/>
      <c r="U268" s="155"/>
      <c r="V268" s="155"/>
      <c r="W268" s="155"/>
      <c r="X268" s="99"/>
      <c r="Y268" s="99"/>
      <c r="Z268" s="99"/>
      <c r="AA268" s="99"/>
      <c r="AB268" s="99"/>
      <c r="AC268" s="99"/>
      <c r="AD268" s="99"/>
      <c r="AE268" s="99"/>
      <c r="AF268" s="99"/>
      <c r="AG268" s="99"/>
      <c r="AH268" s="99"/>
      <c r="AI268" s="99"/>
      <c r="AJ268" s="99"/>
      <c r="AK268" s="99"/>
      <c r="AL268" s="99"/>
      <c r="AM268" s="99"/>
      <c r="AN268" s="99"/>
      <c r="AO268" s="99"/>
      <c r="AP268" s="169"/>
      <c r="AQ268" s="99"/>
      <c r="AR268" s="170"/>
      <c r="AS268" s="171"/>
      <c r="AT268" s="172"/>
      <c r="AW268" s="98"/>
      <c r="AX268" s="98"/>
      <c r="AY268" s="98"/>
      <c r="AZ268" s="98"/>
    </row>
    <row r="269" spans="3:52" x14ac:dyDescent="0.2">
      <c r="C269" s="99"/>
      <c r="D269" s="100"/>
      <c r="E269" s="100"/>
      <c r="F269" s="98"/>
      <c r="G269" s="168"/>
      <c r="H269" s="168"/>
      <c r="I269" s="168"/>
      <c r="J269" s="155"/>
      <c r="K269" s="155"/>
      <c r="L269" s="155"/>
      <c r="M269" s="155"/>
      <c r="N269" s="155"/>
      <c r="O269" s="155"/>
      <c r="P269" s="155"/>
      <c r="Q269" s="155"/>
      <c r="R269" s="155"/>
      <c r="S269" s="155"/>
      <c r="T269" s="155"/>
      <c r="U269" s="155"/>
      <c r="V269" s="155"/>
      <c r="W269" s="155"/>
      <c r="X269" s="99"/>
      <c r="Y269" s="99"/>
      <c r="Z269" s="99"/>
      <c r="AA269" s="99"/>
      <c r="AB269" s="99"/>
      <c r="AC269" s="99"/>
      <c r="AD269" s="99"/>
      <c r="AE269" s="99"/>
      <c r="AF269" s="99"/>
      <c r="AG269" s="99"/>
      <c r="AH269" s="99"/>
      <c r="AI269" s="99"/>
      <c r="AJ269" s="99"/>
      <c r="AK269" s="99"/>
      <c r="AL269" s="99"/>
      <c r="AM269" s="99"/>
      <c r="AN269" s="99"/>
      <c r="AO269" s="99"/>
      <c r="AP269" s="169"/>
      <c r="AQ269" s="99"/>
      <c r="AR269" s="170"/>
      <c r="AS269" s="171"/>
      <c r="AT269" s="172"/>
      <c r="AW269" s="98"/>
      <c r="AX269" s="98"/>
      <c r="AY269" s="98"/>
      <c r="AZ269" s="98"/>
    </row>
    <row r="270" spans="3:52" x14ac:dyDescent="0.2">
      <c r="C270" s="99"/>
      <c r="D270" s="100"/>
      <c r="E270" s="100"/>
      <c r="F270" s="98"/>
      <c r="G270" s="168"/>
      <c r="H270" s="168"/>
      <c r="I270" s="168"/>
      <c r="J270" s="155"/>
      <c r="K270" s="155"/>
      <c r="L270" s="155"/>
      <c r="M270" s="155"/>
      <c r="N270" s="155"/>
      <c r="O270" s="155"/>
      <c r="P270" s="155"/>
      <c r="Q270" s="155"/>
      <c r="R270" s="155"/>
      <c r="S270" s="155"/>
      <c r="T270" s="155"/>
      <c r="U270" s="155"/>
      <c r="V270" s="155"/>
      <c r="W270" s="155"/>
      <c r="X270" s="99"/>
      <c r="Y270" s="99"/>
      <c r="Z270" s="99"/>
      <c r="AA270" s="99"/>
      <c r="AB270" s="99"/>
      <c r="AC270" s="99"/>
      <c r="AD270" s="99"/>
      <c r="AE270" s="99"/>
      <c r="AF270" s="99"/>
      <c r="AG270" s="99"/>
      <c r="AH270" s="99"/>
      <c r="AI270" s="99"/>
      <c r="AJ270" s="99"/>
      <c r="AK270" s="99"/>
      <c r="AL270" s="99"/>
      <c r="AM270" s="99"/>
      <c r="AN270" s="99"/>
      <c r="AO270" s="99"/>
      <c r="AP270" s="169"/>
      <c r="AQ270" s="99"/>
      <c r="AR270" s="170"/>
      <c r="AS270" s="171"/>
      <c r="AT270" s="172"/>
      <c r="AW270" s="98"/>
      <c r="AX270" s="98"/>
      <c r="AY270" s="98"/>
      <c r="AZ270" s="98"/>
    </row>
    <row r="271" spans="3:52" x14ac:dyDescent="0.2">
      <c r="C271" s="99"/>
      <c r="D271" s="100"/>
      <c r="E271" s="100"/>
      <c r="F271" s="98"/>
      <c r="G271" s="168"/>
      <c r="H271" s="168"/>
      <c r="I271" s="168"/>
      <c r="J271" s="155"/>
      <c r="K271" s="155"/>
      <c r="L271" s="155"/>
      <c r="M271" s="155"/>
      <c r="N271" s="155"/>
      <c r="O271" s="155"/>
      <c r="P271" s="155"/>
      <c r="Q271" s="155"/>
      <c r="R271" s="155"/>
      <c r="S271" s="155"/>
      <c r="T271" s="155"/>
      <c r="U271" s="155"/>
      <c r="V271" s="155"/>
      <c r="W271" s="155"/>
      <c r="X271" s="99"/>
      <c r="Y271" s="99"/>
      <c r="Z271" s="99"/>
      <c r="AA271" s="99"/>
      <c r="AB271" s="99"/>
      <c r="AC271" s="99"/>
      <c r="AD271" s="99"/>
      <c r="AE271" s="99"/>
      <c r="AF271" s="99"/>
      <c r="AG271" s="99"/>
      <c r="AH271" s="99"/>
      <c r="AI271" s="99"/>
      <c r="AJ271" s="99"/>
      <c r="AK271" s="99"/>
      <c r="AL271" s="99"/>
      <c r="AM271" s="99"/>
      <c r="AN271" s="99"/>
      <c r="AO271" s="99"/>
      <c r="AP271" s="169"/>
      <c r="AQ271" s="99"/>
      <c r="AR271" s="170"/>
      <c r="AS271" s="171"/>
      <c r="AT271" s="172"/>
      <c r="AW271" s="98"/>
      <c r="AX271" s="98"/>
      <c r="AY271" s="98"/>
      <c r="AZ271" s="98"/>
    </row>
    <row r="272" spans="3:52" x14ac:dyDescent="0.2">
      <c r="C272" s="99"/>
      <c r="D272" s="100"/>
      <c r="E272" s="100"/>
      <c r="F272" s="98"/>
      <c r="G272" s="168"/>
      <c r="H272" s="168"/>
      <c r="I272" s="168"/>
      <c r="J272" s="155"/>
      <c r="K272" s="155"/>
      <c r="L272" s="155"/>
      <c r="M272" s="155"/>
      <c r="N272" s="155"/>
      <c r="O272" s="155"/>
      <c r="P272" s="155"/>
      <c r="Q272" s="155"/>
      <c r="R272" s="155"/>
      <c r="S272" s="155"/>
      <c r="T272" s="155"/>
      <c r="U272" s="155"/>
      <c r="V272" s="155"/>
      <c r="W272" s="155"/>
      <c r="X272" s="99"/>
      <c r="Y272" s="99"/>
      <c r="Z272" s="99"/>
      <c r="AA272" s="99"/>
      <c r="AB272" s="99"/>
      <c r="AC272" s="99"/>
      <c r="AD272" s="99"/>
      <c r="AE272" s="99"/>
      <c r="AF272" s="99"/>
      <c r="AG272" s="99"/>
      <c r="AH272" s="99"/>
      <c r="AI272" s="99"/>
      <c r="AJ272" s="99"/>
      <c r="AK272" s="99"/>
      <c r="AL272" s="99"/>
      <c r="AM272" s="99"/>
      <c r="AN272" s="99"/>
      <c r="AO272" s="99"/>
      <c r="AP272" s="169"/>
      <c r="AQ272" s="99"/>
      <c r="AR272" s="170"/>
      <c r="AS272" s="171"/>
      <c r="AT272" s="172"/>
      <c r="AW272" s="98"/>
      <c r="AX272" s="98"/>
      <c r="AY272" s="98"/>
      <c r="AZ272" s="98"/>
    </row>
    <row r="273" spans="3:52" x14ac:dyDescent="0.2">
      <c r="C273" s="99"/>
      <c r="D273" s="100"/>
      <c r="E273" s="100"/>
      <c r="F273" s="98"/>
      <c r="G273" s="168"/>
      <c r="H273" s="168"/>
      <c r="I273" s="168"/>
      <c r="J273" s="155"/>
      <c r="K273" s="155"/>
      <c r="L273" s="155"/>
      <c r="M273" s="155"/>
      <c r="N273" s="155"/>
      <c r="O273" s="155"/>
      <c r="P273" s="155"/>
      <c r="Q273" s="155"/>
      <c r="R273" s="155"/>
      <c r="S273" s="155"/>
      <c r="T273" s="155"/>
      <c r="U273" s="155"/>
      <c r="V273" s="155"/>
      <c r="W273" s="155"/>
      <c r="X273" s="99"/>
      <c r="Y273" s="99"/>
      <c r="Z273" s="99"/>
      <c r="AA273" s="99"/>
      <c r="AB273" s="99"/>
      <c r="AC273" s="99"/>
      <c r="AD273" s="99"/>
      <c r="AE273" s="99"/>
      <c r="AF273" s="99"/>
      <c r="AG273" s="99"/>
      <c r="AH273" s="99"/>
      <c r="AI273" s="99"/>
      <c r="AJ273" s="99"/>
      <c r="AK273" s="99"/>
      <c r="AL273" s="99"/>
      <c r="AM273" s="99"/>
      <c r="AN273" s="99"/>
      <c r="AO273" s="99"/>
      <c r="AP273" s="169"/>
      <c r="AQ273" s="99"/>
      <c r="AR273" s="170"/>
      <c r="AS273" s="171"/>
      <c r="AT273" s="172"/>
      <c r="AW273" s="98"/>
      <c r="AX273" s="98"/>
      <c r="AY273" s="98"/>
      <c r="AZ273" s="98"/>
    </row>
    <row r="274" spans="3:52" x14ac:dyDescent="0.2">
      <c r="C274" s="99"/>
      <c r="D274" s="100"/>
      <c r="E274" s="100"/>
      <c r="F274" s="98"/>
      <c r="G274" s="168"/>
      <c r="H274" s="168"/>
      <c r="I274" s="168"/>
      <c r="J274" s="155"/>
      <c r="K274" s="155"/>
      <c r="L274" s="155"/>
      <c r="M274" s="155"/>
      <c r="N274" s="155"/>
      <c r="O274" s="155"/>
      <c r="P274" s="155"/>
      <c r="Q274" s="155"/>
      <c r="R274" s="155"/>
      <c r="S274" s="155"/>
      <c r="T274" s="155"/>
      <c r="U274" s="155"/>
      <c r="V274" s="155"/>
      <c r="W274" s="155"/>
      <c r="X274" s="99"/>
      <c r="Y274" s="99"/>
      <c r="Z274" s="99"/>
      <c r="AA274" s="99"/>
      <c r="AB274" s="99"/>
      <c r="AC274" s="99"/>
      <c r="AD274" s="99"/>
      <c r="AE274" s="99"/>
      <c r="AF274" s="99"/>
      <c r="AG274" s="99"/>
      <c r="AH274" s="99"/>
      <c r="AI274" s="99"/>
      <c r="AJ274" s="99"/>
      <c r="AK274" s="99"/>
      <c r="AL274" s="99"/>
      <c r="AM274" s="99"/>
      <c r="AN274" s="99"/>
      <c r="AO274" s="99"/>
      <c r="AP274" s="169"/>
      <c r="AQ274" s="99"/>
      <c r="AR274" s="170"/>
      <c r="AS274" s="171"/>
      <c r="AT274" s="172"/>
      <c r="AW274" s="98"/>
      <c r="AX274" s="98"/>
      <c r="AY274" s="98"/>
      <c r="AZ274" s="98"/>
    </row>
    <row r="275" spans="3:52" x14ac:dyDescent="0.2">
      <c r="C275" s="99"/>
      <c r="D275" s="100"/>
      <c r="E275" s="100"/>
      <c r="F275" s="98"/>
      <c r="G275" s="168"/>
      <c r="H275" s="168"/>
      <c r="I275" s="168"/>
      <c r="J275" s="155"/>
      <c r="K275" s="155"/>
      <c r="L275" s="155"/>
      <c r="M275" s="155"/>
      <c r="N275" s="155"/>
      <c r="O275" s="155"/>
      <c r="P275" s="155"/>
      <c r="Q275" s="155"/>
      <c r="R275" s="155"/>
      <c r="S275" s="155"/>
      <c r="T275" s="155"/>
      <c r="U275" s="155"/>
      <c r="V275" s="155"/>
      <c r="W275" s="155"/>
      <c r="X275" s="99"/>
      <c r="Y275" s="99"/>
      <c r="Z275" s="99"/>
      <c r="AA275" s="99"/>
      <c r="AB275" s="99"/>
      <c r="AC275" s="99"/>
      <c r="AD275" s="99"/>
      <c r="AE275" s="99"/>
      <c r="AF275" s="99"/>
      <c r="AG275" s="99"/>
      <c r="AH275" s="99"/>
      <c r="AI275" s="99"/>
      <c r="AJ275" s="99"/>
      <c r="AK275" s="99"/>
      <c r="AL275" s="99"/>
      <c r="AM275" s="99"/>
      <c r="AN275" s="99"/>
      <c r="AO275" s="99"/>
      <c r="AP275" s="169"/>
      <c r="AQ275" s="99"/>
      <c r="AR275" s="170"/>
      <c r="AS275" s="171"/>
      <c r="AT275" s="172"/>
      <c r="AW275" s="98"/>
      <c r="AX275" s="98"/>
      <c r="AY275" s="98"/>
      <c r="AZ275" s="98"/>
    </row>
    <row r="276" spans="3:52" x14ac:dyDescent="0.2">
      <c r="C276" s="99"/>
      <c r="D276" s="100"/>
      <c r="E276" s="100"/>
      <c r="F276" s="98"/>
      <c r="G276" s="168"/>
      <c r="H276" s="168"/>
      <c r="I276" s="168"/>
      <c r="J276" s="155"/>
      <c r="K276" s="155"/>
      <c r="L276" s="155"/>
      <c r="M276" s="155"/>
      <c r="N276" s="155"/>
      <c r="O276" s="155"/>
      <c r="P276" s="155"/>
      <c r="Q276" s="155"/>
      <c r="R276" s="155"/>
      <c r="S276" s="155"/>
      <c r="T276" s="155"/>
      <c r="U276" s="155"/>
      <c r="V276" s="155"/>
      <c r="W276" s="155"/>
      <c r="X276" s="99"/>
      <c r="Y276" s="99"/>
      <c r="Z276" s="99"/>
      <c r="AA276" s="99"/>
      <c r="AB276" s="99"/>
      <c r="AC276" s="99"/>
      <c r="AD276" s="99"/>
      <c r="AE276" s="99"/>
      <c r="AF276" s="99"/>
      <c r="AG276" s="99"/>
      <c r="AH276" s="99"/>
      <c r="AI276" s="99"/>
      <c r="AJ276" s="99"/>
      <c r="AK276" s="99"/>
      <c r="AL276" s="99"/>
      <c r="AM276" s="99"/>
      <c r="AN276" s="99"/>
      <c r="AO276" s="99"/>
      <c r="AP276" s="169"/>
      <c r="AQ276" s="99"/>
      <c r="AR276" s="170"/>
      <c r="AS276" s="171"/>
      <c r="AT276" s="172"/>
      <c r="AW276" s="98"/>
      <c r="AX276" s="98"/>
      <c r="AY276" s="98"/>
      <c r="AZ276" s="98"/>
    </row>
    <row r="277" spans="3:52" x14ac:dyDescent="0.2">
      <c r="C277" s="99"/>
      <c r="D277" s="100"/>
      <c r="E277" s="100"/>
      <c r="F277" s="98"/>
      <c r="G277" s="168"/>
      <c r="H277" s="168"/>
      <c r="I277" s="168"/>
      <c r="J277" s="155"/>
      <c r="K277" s="155"/>
      <c r="L277" s="155"/>
      <c r="M277" s="155"/>
      <c r="N277" s="155"/>
      <c r="O277" s="155"/>
      <c r="P277" s="155"/>
      <c r="Q277" s="155"/>
      <c r="R277" s="155"/>
      <c r="S277" s="155"/>
      <c r="T277" s="155"/>
      <c r="U277" s="155"/>
      <c r="V277" s="155"/>
      <c r="W277" s="155"/>
      <c r="X277" s="99"/>
      <c r="Y277" s="99"/>
      <c r="Z277" s="99"/>
      <c r="AA277" s="99"/>
      <c r="AB277" s="99"/>
      <c r="AC277" s="99"/>
      <c r="AD277" s="99"/>
      <c r="AE277" s="99"/>
      <c r="AF277" s="99"/>
      <c r="AG277" s="99"/>
      <c r="AH277" s="99"/>
      <c r="AI277" s="99"/>
      <c r="AJ277" s="99"/>
      <c r="AK277" s="99"/>
      <c r="AL277" s="99"/>
      <c r="AM277" s="99"/>
      <c r="AN277" s="99"/>
      <c r="AO277" s="99"/>
      <c r="AP277" s="169"/>
      <c r="AQ277" s="99"/>
      <c r="AR277" s="170"/>
      <c r="AS277" s="171"/>
      <c r="AT277" s="172"/>
      <c r="AW277" s="98"/>
      <c r="AX277" s="98"/>
      <c r="AY277" s="98"/>
      <c r="AZ277" s="98"/>
    </row>
    <row r="278" spans="3:52" x14ac:dyDescent="0.2">
      <c r="C278" s="99"/>
      <c r="D278" s="100"/>
      <c r="E278" s="100"/>
      <c r="F278" s="98"/>
      <c r="G278" s="168"/>
      <c r="H278" s="168"/>
      <c r="I278" s="168"/>
      <c r="J278" s="155"/>
      <c r="K278" s="155"/>
      <c r="L278" s="155"/>
      <c r="M278" s="155"/>
      <c r="N278" s="155"/>
      <c r="O278" s="155"/>
      <c r="P278" s="155"/>
      <c r="Q278" s="155"/>
      <c r="R278" s="155"/>
      <c r="S278" s="155"/>
      <c r="T278" s="155"/>
      <c r="U278" s="155"/>
      <c r="V278" s="155"/>
      <c r="W278" s="155"/>
      <c r="X278" s="99"/>
      <c r="Y278" s="99"/>
      <c r="Z278" s="99"/>
      <c r="AA278" s="99"/>
      <c r="AB278" s="99"/>
      <c r="AC278" s="99"/>
      <c r="AD278" s="99"/>
      <c r="AE278" s="99"/>
      <c r="AF278" s="99"/>
      <c r="AG278" s="99"/>
      <c r="AH278" s="99"/>
      <c r="AI278" s="99"/>
      <c r="AJ278" s="99"/>
      <c r="AK278" s="99"/>
      <c r="AL278" s="99"/>
      <c r="AM278" s="99"/>
      <c r="AN278" s="99"/>
      <c r="AO278" s="99"/>
      <c r="AP278" s="169"/>
      <c r="AQ278" s="99"/>
      <c r="AR278" s="170"/>
      <c r="AS278" s="171"/>
      <c r="AT278" s="172"/>
      <c r="AW278" s="98"/>
      <c r="AX278" s="98"/>
      <c r="AY278" s="98"/>
      <c r="AZ278" s="98"/>
    </row>
    <row r="279" spans="3:52" x14ac:dyDescent="0.2">
      <c r="C279" s="99"/>
      <c r="D279" s="100"/>
      <c r="E279" s="100"/>
      <c r="F279" s="98"/>
      <c r="G279" s="168"/>
      <c r="H279" s="168"/>
      <c r="I279" s="168"/>
      <c r="J279" s="155"/>
      <c r="K279" s="155"/>
      <c r="L279" s="155"/>
      <c r="M279" s="155"/>
      <c r="N279" s="155"/>
      <c r="O279" s="155"/>
      <c r="P279" s="155"/>
      <c r="Q279" s="155"/>
      <c r="R279" s="155"/>
      <c r="S279" s="155"/>
      <c r="T279" s="155"/>
      <c r="U279" s="155"/>
      <c r="V279" s="155"/>
      <c r="W279" s="155"/>
      <c r="X279" s="99"/>
      <c r="Y279" s="99"/>
      <c r="Z279" s="99"/>
      <c r="AA279" s="99"/>
      <c r="AB279" s="99"/>
      <c r="AC279" s="99"/>
      <c r="AD279" s="99"/>
      <c r="AE279" s="99"/>
      <c r="AF279" s="99"/>
      <c r="AG279" s="99"/>
      <c r="AH279" s="99"/>
      <c r="AI279" s="99"/>
      <c r="AJ279" s="99"/>
      <c r="AK279" s="99"/>
      <c r="AL279" s="99"/>
      <c r="AM279" s="99"/>
      <c r="AN279" s="99"/>
      <c r="AO279" s="99"/>
      <c r="AP279" s="169"/>
      <c r="AQ279" s="99"/>
      <c r="AR279" s="170"/>
      <c r="AS279" s="171"/>
      <c r="AT279" s="172"/>
      <c r="AW279" s="98"/>
      <c r="AX279" s="98"/>
      <c r="AY279" s="98"/>
      <c r="AZ279" s="98"/>
    </row>
    <row r="280" spans="3:52" x14ac:dyDescent="0.2">
      <c r="C280" s="99"/>
      <c r="D280" s="100"/>
      <c r="E280" s="100"/>
      <c r="F280" s="98"/>
      <c r="G280" s="168"/>
      <c r="H280" s="168"/>
      <c r="I280" s="168"/>
      <c r="J280" s="155"/>
      <c r="K280" s="155"/>
      <c r="L280" s="155"/>
      <c r="M280" s="155"/>
      <c r="N280" s="155"/>
      <c r="O280" s="155"/>
      <c r="P280" s="155"/>
      <c r="Q280" s="155"/>
      <c r="R280" s="155"/>
      <c r="S280" s="155"/>
      <c r="T280" s="155"/>
      <c r="U280" s="155"/>
      <c r="V280" s="155"/>
      <c r="W280" s="155"/>
      <c r="X280" s="99"/>
      <c r="Y280" s="99"/>
      <c r="Z280" s="99"/>
      <c r="AA280" s="99"/>
      <c r="AB280" s="99"/>
      <c r="AC280" s="99"/>
      <c r="AD280" s="99"/>
      <c r="AE280" s="99"/>
      <c r="AF280" s="99"/>
      <c r="AG280" s="99"/>
      <c r="AH280" s="99"/>
      <c r="AI280" s="99"/>
      <c r="AJ280" s="99"/>
      <c r="AK280" s="99"/>
      <c r="AL280" s="99"/>
      <c r="AM280" s="99"/>
      <c r="AN280" s="99"/>
      <c r="AO280" s="99"/>
      <c r="AP280" s="169"/>
      <c r="AQ280" s="99"/>
      <c r="AR280" s="170"/>
      <c r="AS280" s="171"/>
      <c r="AT280" s="172"/>
      <c r="AW280" s="98"/>
      <c r="AX280" s="98"/>
      <c r="AY280" s="98"/>
      <c r="AZ280" s="98"/>
    </row>
    <row r="281" spans="3:52" x14ac:dyDescent="0.2">
      <c r="C281" s="99"/>
      <c r="D281" s="100"/>
      <c r="E281" s="100"/>
      <c r="F281" s="98"/>
      <c r="G281" s="168"/>
      <c r="H281" s="168"/>
      <c r="I281" s="168"/>
      <c r="J281" s="155"/>
      <c r="K281" s="155"/>
      <c r="L281" s="155"/>
      <c r="M281" s="155"/>
      <c r="N281" s="155"/>
      <c r="O281" s="155"/>
      <c r="P281" s="155"/>
      <c r="Q281" s="155"/>
      <c r="R281" s="155"/>
      <c r="S281" s="155"/>
      <c r="T281" s="155"/>
      <c r="U281" s="155"/>
      <c r="V281" s="155"/>
      <c r="W281" s="155"/>
      <c r="X281" s="99"/>
      <c r="Y281" s="99"/>
      <c r="Z281" s="99"/>
      <c r="AA281" s="99"/>
      <c r="AB281" s="99"/>
      <c r="AC281" s="99"/>
      <c r="AD281" s="99"/>
      <c r="AE281" s="99"/>
      <c r="AF281" s="99"/>
      <c r="AG281" s="99"/>
      <c r="AH281" s="99"/>
      <c r="AI281" s="99"/>
      <c r="AJ281" s="99"/>
      <c r="AK281" s="99"/>
      <c r="AL281" s="99"/>
      <c r="AM281" s="99"/>
      <c r="AN281" s="99"/>
      <c r="AO281" s="99"/>
      <c r="AP281" s="169"/>
      <c r="AQ281" s="99"/>
      <c r="AR281" s="170"/>
      <c r="AS281" s="171"/>
      <c r="AT281" s="172"/>
      <c r="AW281" s="98"/>
      <c r="AX281" s="98"/>
      <c r="AY281" s="98"/>
      <c r="AZ281" s="98"/>
    </row>
    <row r="282" spans="3:52" x14ac:dyDescent="0.2">
      <c r="C282" s="99"/>
      <c r="D282" s="100"/>
      <c r="E282" s="100"/>
      <c r="F282" s="98"/>
      <c r="G282" s="168"/>
      <c r="H282" s="168"/>
      <c r="I282" s="168"/>
      <c r="J282" s="155"/>
      <c r="K282" s="155"/>
      <c r="L282" s="155"/>
      <c r="M282" s="155"/>
      <c r="N282" s="155"/>
      <c r="O282" s="155"/>
      <c r="P282" s="155"/>
      <c r="Q282" s="155"/>
      <c r="R282" s="155"/>
      <c r="S282" s="155"/>
      <c r="T282" s="155"/>
      <c r="U282" s="155"/>
      <c r="V282" s="155"/>
      <c r="W282" s="155"/>
      <c r="X282" s="99"/>
      <c r="Y282" s="99"/>
      <c r="Z282" s="99"/>
      <c r="AA282" s="99"/>
      <c r="AB282" s="99"/>
      <c r="AC282" s="99"/>
      <c r="AD282" s="99"/>
      <c r="AE282" s="99"/>
      <c r="AF282" s="99"/>
      <c r="AG282" s="99"/>
      <c r="AH282" s="99"/>
      <c r="AI282" s="99"/>
      <c r="AJ282" s="99"/>
      <c r="AK282" s="99"/>
      <c r="AL282" s="99"/>
      <c r="AM282" s="99"/>
      <c r="AN282" s="99"/>
      <c r="AO282" s="99"/>
      <c r="AP282" s="169"/>
      <c r="AQ282" s="99"/>
      <c r="AR282" s="170"/>
      <c r="AS282" s="171"/>
      <c r="AT282" s="172"/>
      <c r="AW282" s="98"/>
      <c r="AX282" s="98"/>
      <c r="AY282" s="98"/>
      <c r="AZ282" s="98"/>
    </row>
    <row r="283" spans="3:52" x14ac:dyDescent="0.2">
      <c r="C283" s="99"/>
      <c r="D283" s="100"/>
      <c r="E283" s="100"/>
      <c r="F283" s="98"/>
      <c r="G283" s="168"/>
      <c r="H283" s="168"/>
      <c r="I283" s="168"/>
      <c r="J283" s="155"/>
      <c r="K283" s="155"/>
      <c r="L283" s="155"/>
      <c r="M283" s="155"/>
      <c r="N283" s="155"/>
      <c r="O283" s="155"/>
      <c r="P283" s="155"/>
      <c r="Q283" s="155"/>
      <c r="R283" s="155"/>
      <c r="S283" s="155"/>
      <c r="T283" s="155"/>
      <c r="U283" s="155"/>
      <c r="V283" s="155"/>
      <c r="W283" s="155"/>
      <c r="X283" s="99"/>
      <c r="Y283" s="99"/>
      <c r="Z283" s="99"/>
      <c r="AA283" s="99"/>
      <c r="AB283" s="99"/>
      <c r="AC283" s="99"/>
      <c r="AD283" s="99"/>
      <c r="AE283" s="99"/>
      <c r="AF283" s="99"/>
      <c r="AG283" s="99"/>
      <c r="AH283" s="99"/>
      <c r="AI283" s="99"/>
      <c r="AJ283" s="99"/>
      <c r="AK283" s="99"/>
      <c r="AL283" s="99"/>
      <c r="AM283" s="99"/>
      <c r="AN283" s="99"/>
      <c r="AO283" s="99"/>
      <c r="AP283" s="169"/>
      <c r="AQ283" s="99"/>
      <c r="AR283" s="170"/>
      <c r="AS283" s="171"/>
      <c r="AT283" s="172"/>
      <c r="AW283" s="98"/>
      <c r="AX283" s="98"/>
      <c r="AY283" s="98"/>
      <c r="AZ283" s="98"/>
    </row>
    <row r="284" spans="3:52" x14ac:dyDescent="0.2">
      <c r="C284" s="99"/>
      <c r="D284" s="100"/>
      <c r="E284" s="100"/>
      <c r="F284" s="98"/>
      <c r="G284" s="168"/>
      <c r="H284" s="168"/>
      <c r="I284" s="168"/>
      <c r="J284" s="155"/>
      <c r="K284" s="155"/>
      <c r="L284" s="155"/>
      <c r="M284" s="155"/>
      <c r="N284" s="155"/>
      <c r="O284" s="155"/>
      <c r="P284" s="155"/>
      <c r="Q284" s="155"/>
      <c r="R284" s="155"/>
      <c r="S284" s="155"/>
      <c r="T284" s="155"/>
      <c r="U284" s="155"/>
      <c r="V284" s="155"/>
      <c r="W284" s="155"/>
      <c r="X284" s="99"/>
      <c r="Y284" s="99"/>
      <c r="Z284" s="99"/>
      <c r="AA284" s="99"/>
      <c r="AB284" s="99"/>
      <c r="AC284" s="99"/>
      <c r="AD284" s="99"/>
      <c r="AE284" s="99"/>
      <c r="AF284" s="99"/>
      <c r="AG284" s="99"/>
      <c r="AH284" s="99"/>
      <c r="AI284" s="99"/>
      <c r="AJ284" s="99"/>
      <c r="AK284" s="99"/>
      <c r="AL284" s="99"/>
      <c r="AM284" s="99"/>
      <c r="AN284" s="99"/>
      <c r="AO284" s="99"/>
      <c r="AP284" s="169"/>
      <c r="AQ284" s="99"/>
      <c r="AR284" s="170"/>
      <c r="AS284" s="171"/>
      <c r="AT284" s="172"/>
      <c r="AW284" s="98"/>
      <c r="AX284" s="98"/>
      <c r="AY284" s="98"/>
      <c r="AZ284" s="98"/>
    </row>
    <row r="285" spans="3:52" x14ac:dyDescent="0.2">
      <c r="C285" s="99"/>
      <c r="D285" s="100"/>
      <c r="E285" s="100"/>
      <c r="F285" s="98"/>
      <c r="G285" s="168"/>
      <c r="H285" s="168"/>
      <c r="I285" s="168"/>
      <c r="J285" s="155"/>
      <c r="K285" s="155"/>
      <c r="L285" s="155"/>
      <c r="M285" s="155"/>
      <c r="N285" s="155"/>
      <c r="O285" s="155"/>
      <c r="P285" s="155"/>
      <c r="Q285" s="155"/>
      <c r="R285" s="155"/>
      <c r="S285" s="155"/>
      <c r="T285" s="155"/>
      <c r="U285" s="155"/>
      <c r="V285" s="155"/>
      <c r="W285" s="155"/>
      <c r="X285" s="99"/>
      <c r="Y285" s="99"/>
      <c r="Z285" s="99"/>
      <c r="AA285" s="99"/>
      <c r="AB285" s="99"/>
      <c r="AC285" s="99"/>
      <c r="AD285" s="99"/>
      <c r="AE285" s="99"/>
      <c r="AF285" s="99"/>
      <c r="AG285" s="99"/>
      <c r="AH285" s="99"/>
      <c r="AI285" s="99"/>
      <c r="AJ285" s="99"/>
      <c r="AK285" s="99"/>
      <c r="AL285" s="99"/>
      <c r="AM285" s="99"/>
      <c r="AN285" s="99"/>
      <c r="AO285" s="99"/>
      <c r="AP285" s="169"/>
      <c r="AQ285" s="99"/>
      <c r="AR285" s="170"/>
      <c r="AS285" s="171"/>
      <c r="AT285" s="172"/>
      <c r="AW285" s="98"/>
      <c r="AX285" s="98"/>
      <c r="AY285" s="98"/>
      <c r="AZ285" s="98"/>
    </row>
    <row r="286" spans="3:52" x14ac:dyDescent="0.2">
      <c r="C286" s="99"/>
      <c r="D286" s="100"/>
      <c r="E286" s="100"/>
      <c r="F286" s="98"/>
      <c r="G286" s="168"/>
      <c r="H286" s="168"/>
      <c r="I286" s="168"/>
      <c r="J286" s="155"/>
      <c r="K286" s="155"/>
      <c r="L286" s="155"/>
      <c r="M286" s="155"/>
      <c r="N286" s="155"/>
      <c r="O286" s="155"/>
      <c r="P286" s="155"/>
      <c r="Q286" s="155"/>
      <c r="R286" s="155"/>
      <c r="S286" s="155"/>
      <c r="T286" s="155"/>
      <c r="U286" s="155"/>
      <c r="V286" s="155"/>
      <c r="W286" s="155"/>
      <c r="X286" s="99"/>
      <c r="Y286" s="99"/>
      <c r="Z286" s="99"/>
      <c r="AA286" s="99"/>
      <c r="AB286" s="99"/>
      <c r="AC286" s="99"/>
      <c r="AD286" s="99"/>
      <c r="AE286" s="99"/>
      <c r="AF286" s="99"/>
      <c r="AG286" s="99"/>
      <c r="AH286" s="99"/>
      <c r="AI286" s="99"/>
      <c r="AJ286" s="99"/>
      <c r="AK286" s="99"/>
      <c r="AL286" s="99"/>
      <c r="AM286" s="99"/>
      <c r="AN286" s="99"/>
      <c r="AO286" s="99"/>
      <c r="AP286" s="169"/>
      <c r="AQ286" s="99"/>
      <c r="AR286" s="170"/>
      <c r="AS286" s="171"/>
      <c r="AT286" s="172"/>
      <c r="AW286" s="98"/>
      <c r="AX286" s="98"/>
      <c r="AY286" s="98"/>
      <c r="AZ286" s="98"/>
    </row>
    <row r="287" spans="3:52" x14ac:dyDescent="0.2">
      <c r="C287" s="99"/>
      <c r="D287" s="100"/>
      <c r="E287" s="100"/>
      <c r="F287" s="98"/>
      <c r="G287" s="168"/>
      <c r="H287" s="168"/>
      <c r="I287" s="168"/>
      <c r="J287" s="155"/>
      <c r="K287" s="155"/>
      <c r="L287" s="155"/>
      <c r="M287" s="155"/>
      <c r="N287" s="155"/>
      <c r="O287" s="155"/>
      <c r="P287" s="155"/>
      <c r="Q287" s="155"/>
      <c r="R287" s="155"/>
      <c r="S287" s="155"/>
      <c r="T287" s="155"/>
      <c r="U287" s="155"/>
      <c r="V287" s="155"/>
      <c r="W287" s="155"/>
      <c r="X287" s="99"/>
      <c r="Y287" s="99"/>
      <c r="Z287" s="99"/>
      <c r="AA287" s="99"/>
      <c r="AB287" s="99"/>
      <c r="AC287" s="99"/>
      <c r="AD287" s="99"/>
      <c r="AE287" s="99"/>
      <c r="AF287" s="99"/>
      <c r="AG287" s="99"/>
      <c r="AH287" s="99"/>
      <c r="AI287" s="99"/>
      <c r="AJ287" s="99"/>
      <c r="AK287" s="99"/>
      <c r="AL287" s="99"/>
      <c r="AM287" s="99"/>
      <c r="AN287" s="99"/>
      <c r="AO287" s="99"/>
      <c r="AP287" s="169"/>
      <c r="AQ287" s="99"/>
      <c r="AR287" s="170"/>
      <c r="AS287" s="171"/>
      <c r="AT287" s="172"/>
      <c r="AW287" s="98"/>
      <c r="AX287" s="98"/>
      <c r="AY287" s="98"/>
      <c r="AZ287" s="98"/>
    </row>
    <row r="288" spans="3:52" x14ac:dyDescent="0.2">
      <c r="C288" s="99"/>
      <c r="D288" s="100"/>
      <c r="E288" s="100"/>
      <c r="F288" s="98"/>
      <c r="G288" s="168"/>
      <c r="H288" s="168"/>
      <c r="I288" s="168"/>
      <c r="J288" s="155"/>
      <c r="K288" s="155"/>
      <c r="L288" s="155"/>
      <c r="M288" s="155"/>
      <c r="N288" s="155"/>
      <c r="O288" s="155"/>
      <c r="P288" s="155"/>
      <c r="Q288" s="155"/>
      <c r="R288" s="155"/>
      <c r="S288" s="155"/>
      <c r="T288" s="155"/>
      <c r="U288" s="155"/>
      <c r="V288" s="155"/>
      <c r="W288" s="155"/>
      <c r="X288" s="99"/>
      <c r="Y288" s="99"/>
      <c r="Z288" s="99"/>
      <c r="AA288" s="99"/>
      <c r="AB288" s="99"/>
      <c r="AC288" s="99"/>
      <c r="AD288" s="99"/>
      <c r="AE288" s="99"/>
      <c r="AF288" s="99"/>
      <c r="AG288" s="99"/>
      <c r="AH288" s="99"/>
      <c r="AI288" s="99"/>
      <c r="AJ288" s="99"/>
      <c r="AK288" s="99"/>
      <c r="AL288" s="99"/>
      <c r="AM288" s="99"/>
      <c r="AN288" s="99"/>
      <c r="AO288" s="99"/>
      <c r="AP288" s="169"/>
      <c r="AQ288" s="99"/>
      <c r="AR288" s="170"/>
      <c r="AS288" s="171"/>
      <c r="AT288" s="172"/>
      <c r="AW288" s="98"/>
      <c r="AX288" s="98"/>
      <c r="AY288" s="98"/>
      <c r="AZ288" s="98"/>
    </row>
    <row r="289" spans="3:52" x14ac:dyDescent="0.2">
      <c r="C289" s="99"/>
      <c r="D289" s="100"/>
      <c r="E289" s="100"/>
      <c r="F289" s="98"/>
      <c r="G289" s="168"/>
      <c r="H289" s="168"/>
      <c r="I289" s="168"/>
      <c r="J289" s="155"/>
      <c r="K289" s="155"/>
      <c r="L289" s="155"/>
      <c r="M289" s="155"/>
      <c r="N289" s="155"/>
      <c r="O289" s="155"/>
      <c r="P289" s="155"/>
      <c r="Q289" s="155"/>
      <c r="R289" s="155"/>
      <c r="S289" s="155"/>
      <c r="T289" s="155"/>
      <c r="U289" s="155"/>
      <c r="V289" s="155"/>
      <c r="W289" s="155"/>
      <c r="X289" s="99"/>
      <c r="Y289" s="99"/>
      <c r="Z289" s="99"/>
      <c r="AA289" s="99"/>
      <c r="AB289" s="99"/>
      <c r="AC289" s="99"/>
      <c r="AD289" s="99"/>
      <c r="AE289" s="99"/>
      <c r="AF289" s="99"/>
      <c r="AG289" s="99"/>
      <c r="AH289" s="99"/>
      <c r="AI289" s="99"/>
      <c r="AJ289" s="99"/>
      <c r="AK289" s="99"/>
      <c r="AL289" s="99"/>
      <c r="AM289" s="99"/>
      <c r="AN289" s="99"/>
      <c r="AO289" s="99"/>
      <c r="AP289" s="169"/>
      <c r="AQ289" s="99"/>
      <c r="AR289" s="170"/>
      <c r="AS289" s="171"/>
      <c r="AT289" s="172"/>
      <c r="AW289" s="98"/>
      <c r="AX289" s="98"/>
      <c r="AY289" s="98"/>
      <c r="AZ289" s="98"/>
    </row>
    <row r="290" spans="3:52" x14ac:dyDescent="0.2">
      <c r="C290" s="99"/>
      <c r="D290" s="100"/>
      <c r="E290" s="100"/>
      <c r="F290" s="98"/>
      <c r="G290" s="168"/>
      <c r="H290" s="168"/>
      <c r="I290" s="168"/>
      <c r="J290" s="155"/>
      <c r="K290" s="155"/>
      <c r="L290" s="155"/>
      <c r="M290" s="155"/>
      <c r="N290" s="155"/>
      <c r="O290" s="155"/>
      <c r="P290" s="155"/>
      <c r="Q290" s="155"/>
      <c r="R290" s="155"/>
      <c r="S290" s="155"/>
      <c r="T290" s="155"/>
      <c r="U290" s="155"/>
      <c r="V290" s="155"/>
      <c r="W290" s="155"/>
      <c r="X290" s="99"/>
      <c r="Y290" s="99"/>
      <c r="Z290" s="99"/>
      <c r="AA290" s="99"/>
      <c r="AB290" s="99"/>
      <c r="AC290" s="99"/>
      <c r="AD290" s="99"/>
      <c r="AE290" s="99"/>
      <c r="AF290" s="99"/>
      <c r="AG290" s="99"/>
      <c r="AH290" s="99"/>
      <c r="AI290" s="99"/>
      <c r="AJ290" s="99"/>
      <c r="AK290" s="99"/>
      <c r="AL290" s="99"/>
      <c r="AM290" s="99"/>
      <c r="AN290" s="99"/>
      <c r="AO290" s="99"/>
      <c r="AP290" s="169"/>
      <c r="AQ290" s="99"/>
      <c r="AR290" s="170"/>
      <c r="AS290" s="171"/>
      <c r="AT290" s="172"/>
      <c r="AW290" s="98"/>
      <c r="AX290" s="98"/>
      <c r="AY290" s="98"/>
      <c r="AZ290" s="98"/>
    </row>
    <row r="291" spans="3:52" x14ac:dyDescent="0.2">
      <c r="C291" s="99"/>
      <c r="D291" s="100"/>
      <c r="E291" s="100"/>
      <c r="F291" s="98"/>
      <c r="G291" s="168"/>
      <c r="H291" s="168"/>
      <c r="I291" s="168"/>
      <c r="J291" s="155"/>
      <c r="K291" s="155"/>
      <c r="L291" s="155"/>
      <c r="M291" s="155"/>
      <c r="N291" s="155"/>
      <c r="O291" s="155"/>
      <c r="P291" s="155"/>
      <c r="Q291" s="155"/>
      <c r="R291" s="155"/>
      <c r="S291" s="155"/>
      <c r="T291" s="155"/>
      <c r="U291" s="155"/>
      <c r="V291" s="155"/>
      <c r="W291" s="155"/>
      <c r="X291" s="99"/>
      <c r="Y291" s="99"/>
      <c r="Z291" s="99"/>
      <c r="AA291" s="99"/>
      <c r="AB291" s="99"/>
      <c r="AC291" s="99"/>
      <c r="AD291" s="99"/>
      <c r="AE291" s="99"/>
      <c r="AF291" s="99"/>
      <c r="AG291" s="99"/>
      <c r="AH291" s="99"/>
      <c r="AI291" s="99"/>
      <c r="AJ291" s="99"/>
      <c r="AK291" s="99"/>
      <c r="AL291" s="99"/>
      <c r="AM291" s="99"/>
      <c r="AN291" s="99"/>
      <c r="AO291" s="99"/>
      <c r="AP291" s="169"/>
      <c r="AQ291" s="99"/>
      <c r="AR291" s="170"/>
      <c r="AS291" s="171"/>
      <c r="AT291" s="172"/>
      <c r="AW291" s="98"/>
      <c r="AX291" s="98"/>
      <c r="AY291" s="98"/>
      <c r="AZ291" s="98"/>
    </row>
    <row r="292" spans="3:52" x14ac:dyDescent="0.2">
      <c r="C292" s="99"/>
      <c r="D292" s="100"/>
      <c r="E292" s="100"/>
      <c r="F292" s="98"/>
      <c r="G292" s="168"/>
      <c r="H292" s="168"/>
      <c r="I292" s="168"/>
      <c r="J292" s="155"/>
      <c r="K292" s="155"/>
      <c r="L292" s="155"/>
      <c r="M292" s="155"/>
      <c r="N292" s="155"/>
      <c r="O292" s="155"/>
      <c r="P292" s="155"/>
      <c r="Q292" s="155"/>
      <c r="R292" s="155"/>
      <c r="S292" s="155"/>
      <c r="T292" s="155"/>
      <c r="U292" s="155"/>
      <c r="V292" s="155"/>
      <c r="W292" s="155"/>
      <c r="X292" s="99"/>
      <c r="Y292" s="99"/>
      <c r="Z292" s="99"/>
      <c r="AA292" s="99"/>
      <c r="AB292" s="99"/>
      <c r="AC292" s="99"/>
      <c r="AD292" s="99"/>
      <c r="AE292" s="99"/>
      <c r="AF292" s="99"/>
      <c r="AG292" s="99"/>
      <c r="AH292" s="99"/>
      <c r="AI292" s="99"/>
      <c r="AJ292" s="99"/>
      <c r="AK292" s="99"/>
      <c r="AL292" s="99"/>
      <c r="AM292" s="99"/>
      <c r="AN292" s="99"/>
      <c r="AO292" s="99"/>
      <c r="AP292" s="169"/>
      <c r="AQ292" s="99"/>
      <c r="AR292" s="170"/>
      <c r="AS292" s="171"/>
      <c r="AT292" s="172"/>
      <c r="AW292" s="98"/>
      <c r="AX292" s="98"/>
      <c r="AY292" s="98"/>
      <c r="AZ292" s="98"/>
    </row>
    <row r="293" spans="3:52" x14ac:dyDescent="0.2">
      <c r="C293" s="99"/>
      <c r="D293" s="100"/>
      <c r="E293" s="100"/>
      <c r="F293" s="98"/>
      <c r="G293" s="168"/>
      <c r="H293" s="168"/>
      <c r="I293" s="168"/>
      <c r="J293" s="155"/>
      <c r="K293" s="155"/>
      <c r="L293" s="155"/>
      <c r="M293" s="155"/>
      <c r="N293" s="155"/>
      <c r="O293" s="155"/>
      <c r="P293" s="155"/>
      <c r="Q293" s="155"/>
      <c r="R293" s="155"/>
      <c r="S293" s="155"/>
      <c r="T293" s="155"/>
      <c r="U293" s="155"/>
      <c r="V293" s="155"/>
      <c r="W293" s="155"/>
      <c r="X293" s="99"/>
      <c r="Y293" s="99"/>
      <c r="Z293" s="99"/>
      <c r="AA293" s="99"/>
      <c r="AB293" s="99"/>
      <c r="AC293" s="99"/>
      <c r="AD293" s="99"/>
      <c r="AE293" s="99"/>
      <c r="AF293" s="99"/>
      <c r="AG293" s="99"/>
      <c r="AH293" s="99"/>
      <c r="AI293" s="99"/>
      <c r="AJ293" s="99"/>
      <c r="AK293" s="99"/>
      <c r="AL293" s="99"/>
      <c r="AM293" s="99"/>
      <c r="AN293" s="99"/>
      <c r="AO293" s="99"/>
      <c r="AP293" s="169"/>
      <c r="AQ293" s="99"/>
      <c r="AR293" s="170"/>
      <c r="AS293" s="171"/>
      <c r="AT293" s="172"/>
      <c r="AW293" s="98"/>
      <c r="AX293" s="98"/>
      <c r="AY293" s="98"/>
      <c r="AZ293" s="98"/>
    </row>
    <row r="294" spans="3:52" x14ac:dyDescent="0.2">
      <c r="C294" s="99"/>
      <c r="D294" s="100"/>
      <c r="E294" s="100"/>
      <c r="F294" s="98"/>
      <c r="G294" s="168"/>
      <c r="H294" s="168"/>
      <c r="I294" s="168"/>
      <c r="J294" s="155"/>
      <c r="K294" s="155"/>
      <c r="L294" s="155"/>
      <c r="M294" s="155"/>
      <c r="N294" s="155"/>
      <c r="O294" s="155"/>
      <c r="P294" s="155"/>
      <c r="Q294" s="155"/>
      <c r="R294" s="155"/>
      <c r="S294" s="155"/>
      <c r="T294" s="155"/>
      <c r="U294" s="155"/>
      <c r="V294" s="155"/>
      <c r="W294" s="155"/>
      <c r="X294" s="99"/>
      <c r="Y294" s="99"/>
      <c r="Z294" s="99"/>
      <c r="AA294" s="99"/>
      <c r="AB294" s="99"/>
      <c r="AC294" s="99"/>
      <c r="AD294" s="99"/>
      <c r="AE294" s="99"/>
      <c r="AF294" s="99"/>
      <c r="AG294" s="99"/>
      <c r="AH294" s="99"/>
      <c r="AI294" s="99"/>
      <c r="AJ294" s="99"/>
      <c r="AK294" s="99"/>
      <c r="AL294" s="99"/>
      <c r="AM294" s="99"/>
      <c r="AN294" s="99"/>
      <c r="AO294" s="99"/>
      <c r="AP294" s="169"/>
      <c r="AQ294" s="99"/>
      <c r="AR294" s="170"/>
      <c r="AS294" s="171"/>
      <c r="AT294" s="172"/>
      <c r="AW294" s="98"/>
      <c r="AX294" s="98"/>
      <c r="AY294" s="98"/>
      <c r="AZ294" s="98"/>
    </row>
    <row r="295" spans="3:52" x14ac:dyDescent="0.2">
      <c r="C295" s="99"/>
      <c r="D295" s="100"/>
      <c r="E295" s="100"/>
      <c r="F295" s="98"/>
      <c r="G295" s="168"/>
      <c r="H295" s="168"/>
      <c r="I295" s="168"/>
      <c r="J295" s="155"/>
      <c r="K295" s="155"/>
      <c r="L295" s="155"/>
      <c r="M295" s="155"/>
      <c r="N295" s="155"/>
      <c r="O295" s="155"/>
      <c r="P295" s="155"/>
      <c r="Q295" s="155"/>
      <c r="R295" s="155"/>
      <c r="S295" s="155"/>
      <c r="T295" s="155"/>
      <c r="U295" s="155"/>
      <c r="V295" s="155"/>
      <c r="W295" s="155"/>
      <c r="X295" s="99"/>
      <c r="Y295" s="99"/>
      <c r="Z295" s="99"/>
      <c r="AA295" s="99"/>
      <c r="AB295" s="99"/>
      <c r="AC295" s="99"/>
      <c r="AD295" s="99"/>
      <c r="AE295" s="99"/>
      <c r="AF295" s="99"/>
      <c r="AG295" s="99"/>
      <c r="AH295" s="99"/>
      <c r="AI295" s="99"/>
      <c r="AJ295" s="99"/>
      <c r="AK295" s="99"/>
      <c r="AL295" s="99"/>
      <c r="AM295" s="99"/>
      <c r="AN295" s="99"/>
      <c r="AO295" s="99"/>
      <c r="AP295" s="169"/>
      <c r="AQ295" s="99"/>
      <c r="AR295" s="170"/>
      <c r="AS295" s="171"/>
      <c r="AT295" s="172"/>
      <c r="AW295" s="98"/>
      <c r="AX295" s="98"/>
      <c r="AY295" s="98"/>
      <c r="AZ295" s="98"/>
    </row>
    <row r="296" spans="3:52" x14ac:dyDescent="0.2">
      <c r="C296" s="99"/>
      <c r="D296" s="100"/>
      <c r="E296" s="100"/>
      <c r="F296" s="98"/>
      <c r="G296" s="168"/>
      <c r="H296" s="168"/>
      <c r="I296" s="168"/>
      <c r="J296" s="155"/>
      <c r="K296" s="155"/>
      <c r="L296" s="155"/>
      <c r="M296" s="155"/>
      <c r="N296" s="155"/>
      <c r="O296" s="155"/>
      <c r="P296" s="155"/>
      <c r="Q296" s="155"/>
      <c r="R296" s="155"/>
      <c r="S296" s="155"/>
      <c r="T296" s="155"/>
      <c r="U296" s="155"/>
      <c r="V296" s="155"/>
      <c r="W296" s="155"/>
      <c r="X296" s="99"/>
      <c r="Y296" s="99"/>
      <c r="Z296" s="99"/>
      <c r="AA296" s="99"/>
      <c r="AB296" s="99"/>
      <c r="AC296" s="99"/>
      <c r="AD296" s="99"/>
      <c r="AE296" s="99"/>
      <c r="AF296" s="99"/>
      <c r="AG296" s="99"/>
      <c r="AH296" s="99"/>
      <c r="AI296" s="99"/>
      <c r="AJ296" s="99"/>
      <c r="AK296" s="99"/>
      <c r="AL296" s="99"/>
      <c r="AM296" s="99"/>
      <c r="AN296" s="99"/>
      <c r="AO296" s="99"/>
      <c r="AP296" s="169"/>
      <c r="AQ296" s="99"/>
      <c r="AR296" s="170"/>
      <c r="AS296" s="171"/>
      <c r="AT296" s="172"/>
      <c r="AW296" s="98"/>
      <c r="AX296" s="98"/>
      <c r="AY296" s="98"/>
      <c r="AZ296" s="98"/>
    </row>
    <row r="297" spans="3:52" x14ac:dyDescent="0.2">
      <c r="C297" s="99"/>
      <c r="D297" s="100"/>
      <c r="E297" s="100"/>
      <c r="F297" s="98"/>
      <c r="G297" s="168"/>
      <c r="H297" s="168"/>
      <c r="I297" s="168"/>
      <c r="J297" s="155"/>
      <c r="K297" s="155"/>
      <c r="L297" s="155"/>
      <c r="M297" s="155"/>
      <c r="N297" s="155"/>
      <c r="O297" s="155"/>
      <c r="P297" s="155"/>
      <c r="Q297" s="155"/>
      <c r="R297" s="155"/>
      <c r="S297" s="155"/>
      <c r="T297" s="155"/>
      <c r="U297" s="155"/>
      <c r="V297" s="155"/>
      <c r="W297" s="155"/>
      <c r="X297" s="99"/>
      <c r="Y297" s="99"/>
      <c r="Z297" s="99"/>
      <c r="AA297" s="99"/>
      <c r="AB297" s="99"/>
      <c r="AC297" s="99"/>
      <c r="AD297" s="99"/>
      <c r="AE297" s="99"/>
      <c r="AF297" s="99"/>
      <c r="AG297" s="99"/>
      <c r="AH297" s="99"/>
      <c r="AI297" s="99"/>
      <c r="AJ297" s="99"/>
      <c r="AK297" s="99"/>
      <c r="AL297" s="99"/>
      <c r="AM297" s="99"/>
      <c r="AN297" s="99"/>
      <c r="AO297" s="99"/>
      <c r="AP297" s="169"/>
      <c r="AQ297" s="99"/>
      <c r="AR297" s="170"/>
      <c r="AS297" s="171"/>
      <c r="AT297" s="172"/>
      <c r="AW297" s="98"/>
      <c r="AX297" s="98"/>
      <c r="AY297" s="98"/>
      <c r="AZ297" s="98"/>
    </row>
    <row r="298" spans="3:52" x14ac:dyDescent="0.2">
      <c r="C298" s="99"/>
      <c r="D298" s="100"/>
      <c r="E298" s="100"/>
      <c r="F298" s="98"/>
      <c r="G298" s="168"/>
      <c r="H298" s="168"/>
      <c r="I298" s="168"/>
      <c r="J298" s="155"/>
      <c r="K298" s="155"/>
      <c r="L298" s="155"/>
      <c r="M298" s="155"/>
      <c r="N298" s="155"/>
      <c r="O298" s="155"/>
      <c r="P298" s="155"/>
      <c r="Q298" s="155"/>
      <c r="R298" s="155"/>
      <c r="S298" s="155"/>
      <c r="T298" s="155"/>
      <c r="U298" s="155"/>
      <c r="V298" s="155"/>
      <c r="W298" s="155"/>
      <c r="X298" s="99"/>
      <c r="Y298" s="99"/>
      <c r="Z298" s="99"/>
      <c r="AA298" s="99"/>
      <c r="AB298" s="99"/>
      <c r="AC298" s="99"/>
      <c r="AD298" s="99"/>
      <c r="AE298" s="99"/>
      <c r="AF298" s="99"/>
      <c r="AG298" s="99"/>
      <c r="AH298" s="99"/>
      <c r="AI298" s="99"/>
      <c r="AJ298" s="99"/>
      <c r="AK298" s="99"/>
      <c r="AL298" s="99"/>
      <c r="AM298" s="99"/>
      <c r="AN298" s="99"/>
      <c r="AO298" s="99"/>
      <c r="AP298" s="169"/>
      <c r="AQ298" s="99"/>
      <c r="AR298" s="170"/>
      <c r="AS298" s="171"/>
      <c r="AT298" s="172"/>
      <c r="AW298" s="98"/>
      <c r="AX298" s="98"/>
      <c r="AY298" s="98"/>
      <c r="AZ298" s="98"/>
    </row>
    <row r="299" spans="3:52" x14ac:dyDescent="0.2">
      <c r="C299" s="99"/>
      <c r="D299" s="100"/>
      <c r="E299" s="100"/>
      <c r="F299" s="98"/>
      <c r="G299" s="168"/>
      <c r="H299" s="168"/>
      <c r="I299" s="168"/>
      <c r="J299" s="155"/>
      <c r="K299" s="155"/>
      <c r="L299" s="155"/>
      <c r="M299" s="155"/>
      <c r="N299" s="155"/>
      <c r="O299" s="155"/>
      <c r="P299" s="155"/>
      <c r="Q299" s="155"/>
      <c r="R299" s="155"/>
      <c r="S299" s="155"/>
      <c r="T299" s="155"/>
      <c r="U299" s="155"/>
      <c r="V299" s="155"/>
      <c r="W299" s="155"/>
      <c r="X299" s="99"/>
      <c r="Y299" s="99"/>
      <c r="Z299" s="99"/>
      <c r="AA299" s="99"/>
      <c r="AB299" s="99"/>
      <c r="AC299" s="99"/>
      <c r="AD299" s="99"/>
      <c r="AE299" s="99"/>
      <c r="AF299" s="99"/>
      <c r="AG299" s="99"/>
      <c r="AH299" s="99"/>
      <c r="AI299" s="99"/>
      <c r="AJ299" s="99"/>
      <c r="AK299" s="99"/>
      <c r="AL299" s="99"/>
      <c r="AM299" s="99"/>
      <c r="AN299" s="99"/>
      <c r="AO299" s="99"/>
      <c r="AP299" s="169"/>
      <c r="AQ299" s="99"/>
      <c r="AR299" s="170"/>
      <c r="AS299" s="171"/>
      <c r="AT299" s="172"/>
      <c r="AW299" s="98"/>
      <c r="AX299" s="98"/>
      <c r="AY299" s="98"/>
      <c r="AZ299" s="98"/>
    </row>
    <row r="300" spans="3:52" x14ac:dyDescent="0.2">
      <c r="C300" s="99"/>
      <c r="D300" s="100"/>
      <c r="E300" s="100"/>
      <c r="F300" s="98"/>
      <c r="G300" s="168"/>
      <c r="H300" s="168"/>
      <c r="I300" s="168"/>
      <c r="J300" s="155"/>
      <c r="K300" s="155"/>
      <c r="L300" s="155"/>
      <c r="M300" s="155"/>
      <c r="N300" s="155"/>
      <c r="O300" s="155"/>
      <c r="P300" s="155"/>
      <c r="Q300" s="155"/>
      <c r="R300" s="155"/>
      <c r="S300" s="155"/>
      <c r="T300" s="155"/>
      <c r="U300" s="155"/>
      <c r="V300" s="155"/>
      <c r="W300" s="155"/>
      <c r="X300" s="99"/>
      <c r="Y300" s="99"/>
      <c r="Z300" s="99"/>
      <c r="AA300" s="99"/>
      <c r="AB300" s="99"/>
      <c r="AC300" s="99"/>
      <c r="AD300" s="99"/>
      <c r="AE300" s="99"/>
      <c r="AF300" s="99"/>
      <c r="AG300" s="99"/>
      <c r="AH300" s="99"/>
      <c r="AI300" s="99"/>
      <c r="AJ300" s="99"/>
      <c r="AK300" s="99"/>
      <c r="AL300" s="99"/>
      <c r="AM300" s="99"/>
      <c r="AN300" s="99"/>
      <c r="AO300" s="99"/>
      <c r="AP300" s="169"/>
      <c r="AQ300" s="99"/>
      <c r="AR300" s="170"/>
      <c r="AS300" s="171"/>
      <c r="AT300" s="172"/>
      <c r="AW300" s="98"/>
      <c r="AX300" s="98"/>
      <c r="AY300" s="98"/>
      <c r="AZ300" s="98"/>
    </row>
    <row r="301" spans="3:52" x14ac:dyDescent="0.2">
      <c r="C301" s="99"/>
      <c r="D301" s="100"/>
      <c r="E301" s="100"/>
      <c r="F301" s="98"/>
      <c r="G301" s="168"/>
      <c r="H301" s="168"/>
      <c r="I301" s="168"/>
      <c r="J301" s="155"/>
      <c r="K301" s="155"/>
      <c r="L301" s="155"/>
      <c r="M301" s="155"/>
      <c r="N301" s="155"/>
      <c r="O301" s="155"/>
      <c r="P301" s="155"/>
      <c r="Q301" s="155"/>
      <c r="R301" s="155"/>
      <c r="S301" s="155"/>
      <c r="T301" s="155"/>
      <c r="U301" s="155"/>
      <c r="V301" s="155"/>
      <c r="W301" s="155"/>
      <c r="X301" s="99"/>
      <c r="Y301" s="99"/>
      <c r="Z301" s="99"/>
      <c r="AA301" s="99"/>
      <c r="AB301" s="99"/>
      <c r="AC301" s="99"/>
      <c r="AD301" s="99"/>
      <c r="AE301" s="99"/>
      <c r="AF301" s="99"/>
      <c r="AG301" s="99"/>
      <c r="AH301" s="99"/>
      <c r="AI301" s="99"/>
      <c r="AJ301" s="99"/>
      <c r="AK301" s="99"/>
      <c r="AL301" s="99"/>
      <c r="AM301" s="99"/>
      <c r="AN301" s="99"/>
      <c r="AO301" s="99"/>
      <c r="AP301" s="169"/>
      <c r="AQ301" s="99"/>
      <c r="AR301" s="170"/>
      <c r="AS301" s="171"/>
      <c r="AT301" s="172"/>
      <c r="AW301" s="98"/>
      <c r="AX301" s="98"/>
      <c r="AY301" s="98"/>
      <c r="AZ301" s="98"/>
    </row>
    <row r="302" spans="3:52" x14ac:dyDescent="0.2">
      <c r="C302" s="99"/>
      <c r="D302" s="100"/>
      <c r="E302" s="100"/>
      <c r="F302" s="98"/>
      <c r="G302" s="168"/>
      <c r="H302" s="168"/>
      <c r="I302" s="168"/>
      <c r="J302" s="155"/>
      <c r="K302" s="155"/>
      <c r="L302" s="155"/>
      <c r="M302" s="155"/>
      <c r="N302" s="155"/>
      <c r="O302" s="155"/>
      <c r="P302" s="155"/>
      <c r="Q302" s="155"/>
      <c r="R302" s="155"/>
      <c r="S302" s="155"/>
      <c r="T302" s="155"/>
      <c r="U302" s="155"/>
      <c r="V302" s="155"/>
      <c r="W302" s="155"/>
      <c r="X302" s="99"/>
      <c r="Y302" s="99"/>
      <c r="Z302" s="99"/>
      <c r="AA302" s="99"/>
      <c r="AB302" s="99"/>
      <c r="AC302" s="99"/>
      <c r="AD302" s="99"/>
      <c r="AE302" s="99"/>
      <c r="AF302" s="99"/>
      <c r="AG302" s="99"/>
      <c r="AH302" s="99"/>
      <c r="AI302" s="99"/>
      <c r="AJ302" s="99"/>
      <c r="AK302" s="99"/>
      <c r="AL302" s="99"/>
      <c r="AM302" s="99"/>
      <c r="AN302" s="99"/>
      <c r="AO302" s="99"/>
      <c r="AP302" s="169"/>
      <c r="AQ302" s="99"/>
      <c r="AR302" s="170"/>
      <c r="AS302" s="171"/>
      <c r="AT302" s="172"/>
      <c r="AW302" s="98"/>
      <c r="AX302" s="98"/>
      <c r="AY302" s="98"/>
      <c r="AZ302" s="98"/>
    </row>
    <row r="303" spans="3:52" x14ac:dyDescent="0.2">
      <c r="C303" s="99"/>
      <c r="D303" s="100"/>
      <c r="E303" s="100"/>
      <c r="F303" s="98"/>
      <c r="G303" s="168"/>
      <c r="H303" s="168"/>
      <c r="I303" s="168"/>
      <c r="J303" s="155"/>
      <c r="K303" s="155"/>
      <c r="L303" s="155"/>
      <c r="M303" s="155"/>
      <c r="N303" s="155"/>
      <c r="O303" s="155"/>
      <c r="P303" s="155"/>
      <c r="Q303" s="155"/>
      <c r="R303" s="155"/>
      <c r="S303" s="155"/>
      <c r="T303" s="155"/>
      <c r="U303" s="155"/>
      <c r="V303" s="155"/>
      <c r="W303" s="155"/>
      <c r="X303" s="99"/>
      <c r="Y303" s="99"/>
      <c r="Z303" s="99"/>
      <c r="AA303" s="99"/>
      <c r="AB303" s="99"/>
      <c r="AC303" s="99"/>
      <c r="AD303" s="99"/>
      <c r="AE303" s="99"/>
      <c r="AF303" s="99"/>
      <c r="AG303" s="99"/>
      <c r="AH303" s="99"/>
      <c r="AI303" s="99"/>
      <c r="AJ303" s="99"/>
      <c r="AK303" s="99"/>
      <c r="AL303" s="99"/>
      <c r="AM303" s="99"/>
      <c r="AN303" s="99"/>
      <c r="AO303" s="99"/>
      <c r="AP303" s="169"/>
      <c r="AQ303" s="99"/>
      <c r="AR303" s="170"/>
      <c r="AS303" s="171"/>
      <c r="AT303" s="172"/>
      <c r="AW303" s="98"/>
      <c r="AX303" s="98"/>
      <c r="AY303" s="98"/>
      <c r="AZ303" s="98"/>
    </row>
    <row r="304" spans="3:52" x14ac:dyDescent="0.2">
      <c r="C304" s="99"/>
      <c r="D304" s="100"/>
      <c r="E304" s="100"/>
      <c r="F304" s="98"/>
      <c r="G304" s="168"/>
      <c r="H304" s="168"/>
      <c r="I304" s="168"/>
      <c r="J304" s="155"/>
      <c r="K304" s="155"/>
      <c r="L304" s="155"/>
      <c r="M304" s="155"/>
      <c r="N304" s="155"/>
      <c r="O304" s="155"/>
      <c r="P304" s="155"/>
      <c r="Q304" s="155"/>
      <c r="R304" s="155"/>
      <c r="S304" s="155"/>
      <c r="T304" s="155"/>
      <c r="U304" s="155"/>
      <c r="V304" s="155"/>
      <c r="W304" s="155"/>
      <c r="X304" s="99"/>
      <c r="Y304" s="99"/>
      <c r="Z304" s="99"/>
      <c r="AA304" s="99"/>
      <c r="AB304" s="99"/>
      <c r="AC304" s="99"/>
      <c r="AD304" s="99"/>
      <c r="AE304" s="99"/>
      <c r="AF304" s="99"/>
      <c r="AG304" s="99"/>
      <c r="AH304" s="99"/>
      <c r="AI304" s="99"/>
      <c r="AJ304" s="99"/>
      <c r="AK304" s="99"/>
      <c r="AL304" s="99"/>
      <c r="AM304" s="99"/>
      <c r="AN304" s="99"/>
      <c r="AO304" s="99"/>
      <c r="AP304" s="169"/>
      <c r="AQ304" s="99"/>
      <c r="AR304" s="170"/>
      <c r="AS304" s="171"/>
      <c r="AT304" s="172"/>
      <c r="AW304" s="98"/>
      <c r="AX304" s="98"/>
      <c r="AY304" s="98"/>
      <c r="AZ304" s="98"/>
    </row>
    <row r="305" spans="3:52" x14ac:dyDescent="0.2">
      <c r="C305" s="99"/>
      <c r="D305" s="100"/>
      <c r="E305" s="100"/>
      <c r="F305" s="98"/>
      <c r="G305" s="168"/>
      <c r="H305" s="168"/>
      <c r="I305" s="168"/>
      <c r="J305" s="155"/>
      <c r="K305" s="155"/>
      <c r="L305" s="155"/>
      <c r="M305" s="155"/>
      <c r="N305" s="155"/>
      <c r="O305" s="155"/>
      <c r="P305" s="155"/>
      <c r="Q305" s="155"/>
      <c r="R305" s="155"/>
      <c r="S305" s="155"/>
      <c r="T305" s="155"/>
      <c r="U305" s="155"/>
      <c r="V305" s="155"/>
      <c r="W305" s="155"/>
      <c r="X305" s="99"/>
      <c r="Y305" s="99"/>
      <c r="Z305" s="99"/>
      <c r="AA305" s="99"/>
      <c r="AB305" s="99"/>
      <c r="AC305" s="99"/>
      <c r="AD305" s="99"/>
      <c r="AE305" s="99"/>
      <c r="AF305" s="99"/>
      <c r="AG305" s="99"/>
      <c r="AH305" s="99"/>
      <c r="AI305" s="99"/>
      <c r="AJ305" s="99"/>
      <c r="AK305" s="99"/>
      <c r="AL305" s="99"/>
      <c r="AM305" s="99"/>
      <c r="AN305" s="99"/>
      <c r="AO305" s="99"/>
      <c r="AP305" s="169"/>
      <c r="AQ305" s="99"/>
      <c r="AR305" s="170"/>
      <c r="AS305" s="171"/>
      <c r="AT305" s="172"/>
      <c r="AW305" s="98"/>
      <c r="AX305" s="98"/>
      <c r="AY305" s="98"/>
      <c r="AZ305" s="98"/>
    </row>
    <row r="306" spans="3:52" x14ac:dyDescent="0.2">
      <c r="C306" s="99"/>
      <c r="D306" s="100"/>
      <c r="E306" s="100"/>
      <c r="F306" s="98"/>
      <c r="G306" s="168"/>
      <c r="H306" s="168"/>
      <c r="I306" s="168"/>
      <c r="J306" s="155"/>
      <c r="K306" s="155"/>
      <c r="L306" s="155"/>
      <c r="M306" s="155"/>
      <c r="N306" s="155"/>
      <c r="O306" s="155"/>
      <c r="P306" s="155"/>
      <c r="Q306" s="155"/>
      <c r="R306" s="155"/>
      <c r="S306" s="155"/>
      <c r="T306" s="155"/>
      <c r="U306" s="155"/>
      <c r="V306" s="155"/>
      <c r="W306" s="155"/>
      <c r="X306" s="99"/>
      <c r="Y306" s="99"/>
      <c r="Z306" s="99"/>
      <c r="AA306" s="99"/>
      <c r="AB306" s="99"/>
      <c r="AC306" s="99"/>
      <c r="AD306" s="99"/>
      <c r="AE306" s="99"/>
      <c r="AF306" s="99"/>
      <c r="AG306" s="99"/>
      <c r="AH306" s="99"/>
      <c r="AI306" s="99"/>
      <c r="AJ306" s="99"/>
      <c r="AK306" s="99"/>
      <c r="AL306" s="99"/>
      <c r="AM306" s="99"/>
      <c r="AN306" s="99"/>
      <c r="AO306" s="99"/>
      <c r="AP306" s="169"/>
      <c r="AQ306" s="99"/>
      <c r="AR306" s="170"/>
      <c r="AS306" s="171"/>
      <c r="AT306" s="172"/>
      <c r="AW306" s="98"/>
      <c r="AX306" s="98"/>
      <c r="AY306" s="98"/>
      <c r="AZ306" s="98"/>
    </row>
    <row r="307" spans="3:52" x14ac:dyDescent="0.2">
      <c r="C307" s="99"/>
      <c r="D307" s="100"/>
      <c r="E307" s="100"/>
      <c r="F307" s="98"/>
      <c r="G307" s="168"/>
      <c r="H307" s="168"/>
      <c r="I307" s="168"/>
      <c r="J307" s="155"/>
      <c r="K307" s="155"/>
      <c r="L307" s="155"/>
      <c r="M307" s="155"/>
      <c r="N307" s="155"/>
      <c r="O307" s="155"/>
      <c r="P307" s="155"/>
      <c r="Q307" s="155"/>
      <c r="R307" s="155"/>
      <c r="S307" s="155"/>
      <c r="T307" s="155"/>
      <c r="U307" s="155"/>
      <c r="V307" s="155"/>
      <c r="W307" s="155"/>
      <c r="X307" s="99"/>
      <c r="Y307" s="99"/>
      <c r="Z307" s="99"/>
      <c r="AA307" s="99"/>
      <c r="AB307" s="99"/>
      <c r="AC307" s="99"/>
      <c r="AD307" s="99"/>
      <c r="AE307" s="99"/>
      <c r="AF307" s="99"/>
      <c r="AG307" s="99"/>
      <c r="AH307" s="99"/>
      <c r="AI307" s="99"/>
      <c r="AJ307" s="99"/>
      <c r="AK307" s="99"/>
      <c r="AL307" s="99"/>
      <c r="AM307" s="99"/>
      <c r="AN307" s="99"/>
      <c r="AO307" s="99"/>
      <c r="AP307" s="169"/>
      <c r="AQ307" s="99"/>
      <c r="AR307" s="170"/>
      <c r="AS307" s="171"/>
      <c r="AT307" s="172"/>
      <c r="AW307" s="98"/>
      <c r="AX307" s="98"/>
      <c r="AY307" s="98"/>
      <c r="AZ307" s="98"/>
    </row>
    <row r="308" spans="3:52" x14ac:dyDescent="0.2">
      <c r="C308" s="99"/>
      <c r="D308" s="100"/>
      <c r="E308" s="100"/>
      <c r="F308" s="98"/>
      <c r="G308" s="168"/>
      <c r="H308" s="168"/>
      <c r="I308" s="168"/>
      <c r="J308" s="155"/>
      <c r="K308" s="155"/>
      <c r="L308" s="155"/>
      <c r="M308" s="155"/>
      <c r="N308" s="155"/>
      <c r="O308" s="155"/>
      <c r="P308" s="155"/>
      <c r="Q308" s="155"/>
      <c r="R308" s="155"/>
      <c r="S308" s="155"/>
      <c r="T308" s="155"/>
      <c r="U308" s="155"/>
      <c r="V308" s="155"/>
      <c r="W308" s="155"/>
      <c r="X308" s="99"/>
      <c r="Y308" s="99"/>
      <c r="Z308" s="99"/>
      <c r="AA308" s="99"/>
      <c r="AB308" s="99"/>
      <c r="AC308" s="99"/>
      <c r="AD308" s="99"/>
      <c r="AE308" s="99"/>
      <c r="AF308" s="99"/>
      <c r="AG308" s="99"/>
      <c r="AH308" s="99"/>
      <c r="AI308" s="99"/>
      <c r="AJ308" s="99"/>
      <c r="AK308" s="99"/>
      <c r="AL308" s="99"/>
      <c r="AM308" s="99"/>
      <c r="AN308" s="99"/>
      <c r="AO308" s="99"/>
      <c r="AP308" s="169"/>
      <c r="AQ308" s="99"/>
      <c r="AR308" s="170"/>
      <c r="AS308" s="171"/>
      <c r="AT308" s="172"/>
      <c r="AW308" s="98"/>
      <c r="AX308" s="98"/>
      <c r="AY308" s="98"/>
      <c r="AZ308" s="98"/>
    </row>
    <row r="309" spans="3:52" x14ac:dyDescent="0.2">
      <c r="C309" s="99"/>
      <c r="D309" s="100"/>
      <c r="E309" s="100"/>
      <c r="F309" s="98"/>
      <c r="G309" s="168"/>
      <c r="H309" s="168"/>
      <c r="I309" s="168"/>
      <c r="J309" s="155"/>
      <c r="K309" s="155"/>
      <c r="L309" s="155"/>
      <c r="M309" s="155"/>
      <c r="N309" s="155"/>
      <c r="O309" s="155"/>
      <c r="P309" s="155"/>
      <c r="Q309" s="155"/>
      <c r="R309" s="155"/>
      <c r="S309" s="155"/>
      <c r="T309" s="155"/>
      <c r="U309" s="155"/>
      <c r="V309" s="155"/>
      <c r="W309" s="155"/>
      <c r="X309" s="99"/>
      <c r="Y309" s="99"/>
      <c r="Z309" s="99"/>
      <c r="AA309" s="99"/>
      <c r="AB309" s="99"/>
      <c r="AC309" s="99"/>
      <c r="AD309" s="99"/>
      <c r="AE309" s="99"/>
      <c r="AF309" s="99"/>
      <c r="AG309" s="99"/>
      <c r="AH309" s="99"/>
      <c r="AI309" s="99"/>
      <c r="AJ309" s="99"/>
      <c r="AK309" s="99"/>
      <c r="AL309" s="99"/>
      <c r="AM309" s="99"/>
      <c r="AN309" s="99"/>
      <c r="AO309" s="99"/>
      <c r="AP309" s="169"/>
      <c r="AQ309" s="99"/>
      <c r="AR309" s="170"/>
      <c r="AS309" s="171"/>
      <c r="AT309" s="172"/>
      <c r="AW309" s="98"/>
      <c r="AX309" s="98"/>
      <c r="AY309" s="98"/>
      <c r="AZ309" s="98"/>
    </row>
    <row r="310" spans="3:52" x14ac:dyDescent="0.2">
      <c r="C310" s="99"/>
      <c r="D310" s="100"/>
      <c r="E310" s="100"/>
      <c r="F310" s="98"/>
      <c r="G310" s="168"/>
      <c r="H310" s="168"/>
      <c r="I310" s="168"/>
      <c r="J310" s="155"/>
      <c r="K310" s="155"/>
      <c r="L310" s="155"/>
      <c r="M310" s="155"/>
      <c r="N310" s="155"/>
      <c r="O310" s="155"/>
      <c r="P310" s="155"/>
      <c r="Q310" s="155"/>
      <c r="R310" s="155"/>
      <c r="S310" s="155"/>
      <c r="T310" s="155"/>
      <c r="U310" s="155"/>
      <c r="V310" s="155"/>
      <c r="W310" s="155"/>
      <c r="X310" s="99"/>
      <c r="Y310" s="99"/>
      <c r="Z310" s="99"/>
      <c r="AA310" s="99"/>
      <c r="AB310" s="99"/>
      <c r="AC310" s="99"/>
      <c r="AD310" s="99"/>
      <c r="AE310" s="99"/>
      <c r="AF310" s="99"/>
      <c r="AG310" s="99"/>
      <c r="AH310" s="99"/>
      <c r="AI310" s="99"/>
      <c r="AJ310" s="99"/>
      <c r="AK310" s="99"/>
      <c r="AL310" s="99"/>
      <c r="AM310" s="99"/>
      <c r="AN310" s="99"/>
      <c r="AO310" s="99"/>
      <c r="AP310" s="169"/>
      <c r="AQ310" s="99"/>
      <c r="AR310" s="170"/>
      <c r="AS310" s="171"/>
      <c r="AT310" s="172"/>
      <c r="AW310" s="98"/>
      <c r="AX310" s="98"/>
      <c r="AY310" s="98"/>
      <c r="AZ310" s="98"/>
    </row>
    <row r="311" spans="3:52" x14ac:dyDescent="0.2">
      <c r="C311" s="99"/>
      <c r="D311" s="100"/>
      <c r="E311" s="100"/>
      <c r="F311" s="98"/>
      <c r="G311" s="168"/>
      <c r="H311" s="168"/>
      <c r="I311" s="168"/>
      <c r="J311" s="155"/>
      <c r="K311" s="155"/>
      <c r="L311" s="155"/>
      <c r="M311" s="155"/>
      <c r="N311" s="155"/>
      <c r="O311" s="155"/>
      <c r="P311" s="155"/>
      <c r="Q311" s="155"/>
      <c r="R311" s="155"/>
      <c r="S311" s="155"/>
      <c r="T311" s="155"/>
      <c r="U311" s="155"/>
      <c r="V311" s="155"/>
      <c r="W311" s="155"/>
      <c r="X311" s="99"/>
      <c r="Y311" s="99"/>
      <c r="Z311" s="99"/>
      <c r="AA311" s="99"/>
      <c r="AB311" s="99"/>
      <c r="AC311" s="99"/>
      <c r="AD311" s="99"/>
      <c r="AE311" s="99"/>
      <c r="AF311" s="99"/>
      <c r="AG311" s="99"/>
      <c r="AH311" s="99"/>
      <c r="AI311" s="99"/>
      <c r="AJ311" s="99"/>
      <c r="AK311" s="99"/>
      <c r="AL311" s="99"/>
      <c r="AM311" s="99"/>
      <c r="AN311" s="99"/>
      <c r="AO311" s="99"/>
      <c r="AP311" s="169"/>
      <c r="AQ311" s="99"/>
      <c r="AR311" s="170"/>
      <c r="AS311" s="171"/>
      <c r="AT311" s="172"/>
      <c r="AW311" s="98"/>
      <c r="AX311" s="98"/>
      <c r="AY311" s="98"/>
      <c r="AZ311" s="98"/>
    </row>
    <row r="312" spans="3:52" x14ac:dyDescent="0.2">
      <c r="C312" s="99"/>
      <c r="D312" s="100"/>
      <c r="E312" s="100"/>
      <c r="F312" s="98"/>
      <c r="G312" s="168"/>
      <c r="H312" s="168"/>
      <c r="I312" s="168"/>
      <c r="J312" s="155"/>
      <c r="K312" s="155"/>
      <c r="L312" s="155"/>
      <c r="M312" s="155"/>
      <c r="N312" s="155"/>
      <c r="O312" s="155"/>
      <c r="P312" s="155"/>
      <c r="Q312" s="155"/>
      <c r="R312" s="155"/>
      <c r="S312" s="155"/>
      <c r="T312" s="155"/>
      <c r="U312" s="155"/>
      <c r="V312" s="155"/>
      <c r="W312" s="155"/>
      <c r="X312" s="99"/>
      <c r="Y312" s="99"/>
      <c r="Z312" s="99"/>
      <c r="AA312" s="99"/>
      <c r="AB312" s="99"/>
      <c r="AC312" s="99"/>
      <c r="AD312" s="99"/>
      <c r="AE312" s="99"/>
      <c r="AF312" s="99"/>
      <c r="AG312" s="99"/>
      <c r="AH312" s="99"/>
      <c r="AI312" s="99"/>
      <c r="AJ312" s="99"/>
      <c r="AK312" s="99"/>
      <c r="AL312" s="99"/>
      <c r="AM312" s="99"/>
      <c r="AN312" s="99"/>
      <c r="AO312" s="99"/>
      <c r="AP312" s="169"/>
      <c r="AQ312" s="99"/>
      <c r="AR312" s="170"/>
      <c r="AS312" s="171"/>
      <c r="AT312" s="172"/>
      <c r="AW312" s="98"/>
      <c r="AX312" s="98"/>
      <c r="AY312" s="98"/>
      <c r="AZ312" s="98"/>
    </row>
    <row r="313" spans="3:52" x14ac:dyDescent="0.2">
      <c r="C313" s="99"/>
      <c r="D313" s="100"/>
      <c r="E313" s="100"/>
      <c r="F313" s="98"/>
      <c r="G313" s="168"/>
      <c r="H313" s="168"/>
      <c r="I313" s="168"/>
      <c r="J313" s="155"/>
      <c r="K313" s="155"/>
      <c r="L313" s="155"/>
      <c r="M313" s="155"/>
      <c r="N313" s="155"/>
      <c r="O313" s="155"/>
      <c r="P313" s="155"/>
      <c r="Q313" s="155"/>
      <c r="R313" s="155"/>
      <c r="S313" s="155"/>
      <c r="T313" s="155"/>
      <c r="U313" s="155"/>
      <c r="V313" s="155"/>
      <c r="W313" s="155"/>
      <c r="X313" s="99"/>
      <c r="Y313" s="99"/>
      <c r="Z313" s="99"/>
      <c r="AA313" s="99"/>
      <c r="AB313" s="99"/>
      <c r="AC313" s="99"/>
      <c r="AD313" s="99"/>
      <c r="AE313" s="99"/>
      <c r="AF313" s="99"/>
      <c r="AG313" s="99"/>
      <c r="AH313" s="99"/>
      <c r="AI313" s="99"/>
      <c r="AJ313" s="99"/>
      <c r="AK313" s="99"/>
      <c r="AL313" s="99"/>
      <c r="AM313" s="99"/>
      <c r="AN313" s="99"/>
      <c r="AO313" s="99"/>
      <c r="AP313" s="169"/>
      <c r="AQ313" s="99"/>
      <c r="AR313" s="170"/>
      <c r="AS313" s="171"/>
      <c r="AT313" s="172"/>
      <c r="AW313" s="98"/>
      <c r="AX313" s="98"/>
      <c r="AY313" s="98"/>
      <c r="AZ313" s="98"/>
    </row>
    <row r="314" spans="3:52" x14ac:dyDescent="0.2">
      <c r="C314" s="99"/>
      <c r="D314" s="100"/>
      <c r="E314" s="100"/>
      <c r="F314" s="98"/>
      <c r="G314" s="168"/>
      <c r="H314" s="168"/>
      <c r="I314" s="168"/>
      <c r="J314" s="155"/>
      <c r="K314" s="155"/>
      <c r="L314" s="155"/>
      <c r="M314" s="155"/>
      <c r="N314" s="155"/>
      <c r="O314" s="155"/>
      <c r="P314" s="155"/>
      <c r="Q314" s="155"/>
      <c r="R314" s="155"/>
      <c r="S314" s="155"/>
      <c r="T314" s="155"/>
      <c r="U314" s="155"/>
      <c r="V314" s="155"/>
      <c r="W314" s="155"/>
      <c r="X314" s="99"/>
      <c r="Y314" s="99"/>
      <c r="Z314" s="99"/>
      <c r="AA314" s="99"/>
      <c r="AB314" s="99"/>
      <c r="AC314" s="99"/>
      <c r="AD314" s="99"/>
      <c r="AE314" s="99"/>
      <c r="AF314" s="99"/>
      <c r="AG314" s="99"/>
      <c r="AH314" s="99"/>
      <c r="AI314" s="99"/>
      <c r="AJ314" s="99"/>
      <c r="AK314" s="99"/>
      <c r="AL314" s="99"/>
      <c r="AM314" s="99"/>
      <c r="AN314" s="99"/>
      <c r="AO314" s="99"/>
      <c r="AP314" s="169"/>
      <c r="AQ314" s="99"/>
      <c r="AR314" s="170"/>
      <c r="AS314" s="171"/>
      <c r="AT314" s="172"/>
      <c r="AW314" s="98"/>
      <c r="AX314" s="98"/>
      <c r="AY314" s="98"/>
      <c r="AZ314" s="98"/>
    </row>
    <row r="315" spans="3:52" x14ac:dyDescent="0.2">
      <c r="C315" s="99"/>
      <c r="D315" s="100"/>
      <c r="E315" s="100"/>
      <c r="F315" s="98"/>
      <c r="G315" s="168"/>
      <c r="H315" s="168"/>
      <c r="I315" s="168"/>
      <c r="J315" s="155"/>
      <c r="K315" s="155"/>
      <c r="L315" s="155"/>
      <c r="M315" s="155"/>
      <c r="N315" s="155"/>
      <c r="O315" s="155"/>
      <c r="P315" s="155"/>
      <c r="Q315" s="155"/>
      <c r="R315" s="155"/>
      <c r="S315" s="155"/>
      <c r="T315" s="155"/>
      <c r="U315" s="155"/>
      <c r="V315" s="155"/>
      <c r="W315" s="155"/>
      <c r="X315" s="99"/>
      <c r="Y315" s="99"/>
      <c r="Z315" s="99"/>
      <c r="AA315" s="99"/>
      <c r="AB315" s="99"/>
      <c r="AC315" s="99"/>
      <c r="AD315" s="99"/>
      <c r="AE315" s="99"/>
      <c r="AF315" s="99"/>
      <c r="AG315" s="99"/>
      <c r="AH315" s="99"/>
      <c r="AI315" s="99"/>
      <c r="AJ315" s="99"/>
      <c r="AK315" s="99"/>
      <c r="AL315" s="99"/>
      <c r="AM315" s="99"/>
      <c r="AN315" s="99"/>
      <c r="AO315" s="99"/>
      <c r="AP315" s="169"/>
      <c r="AQ315" s="99"/>
      <c r="AR315" s="170"/>
      <c r="AS315" s="171"/>
      <c r="AT315" s="172"/>
      <c r="AW315" s="98"/>
      <c r="AX315" s="98"/>
      <c r="AY315" s="98"/>
      <c r="AZ315" s="98"/>
    </row>
    <row r="316" spans="3:52" x14ac:dyDescent="0.2">
      <c r="C316" s="99"/>
      <c r="D316" s="100"/>
      <c r="E316" s="100"/>
      <c r="F316" s="98"/>
      <c r="G316" s="168"/>
      <c r="H316" s="168"/>
      <c r="I316" s="168"/>
      <c r="J316" s="155"/>
      <c r="K316" s="155"/>
      <c r="L316" s="155"/>
      <c r="M316" s="155"/>
      <c r="N316" s="155"/>
      <c r="O316" s="155"/>
      <c r="P316" s="155"/>
      <c r="Q316" s="155"/>
      <c r="R316" s="155"/>
      <c r="S316" s="155"/>
      <c r="T316" s="155"/>
      <c r="U316" s="155"/>
      <c r="V316" s="155"/>
      <c r="W316" s="155"/>
      <c r="X316" s="99"/>
      <c r="Y316" s="99"/>
      <c r="Z316" s="99"/>
      <c r="AA316" s="99"/>
      <c r="AB316" s="99"/>
      <c r="AC316" s="99"/>
      <c r="AD316" s="99"/>
      <c r="AE316" s="99"/>
      <c r="AF316" s="99"/>
      <c r="AG316" s="99"/>
      <c r="AH316" s="99"/>
      <c r="AI316" s="99"/>
      <c r="AJ316" s="99"/>
      <c r="AK316" s="99"/>
      <c r="AL316" s="99"/>
      <c r="AM316" s="99"/>
      <c r="AN316" s="99"/>
      <c r="AO316" s="99"/>
      <c r="AP316" s="169"/>
      <c r="AQ316" s="99"/>
      <c r="AR316" s="170"/>
      <c r="AS316" s="171"/>
      <c r="AT316" s="172"/>
      <c r="AW316" s="98"/>
      <c r="AX316" s="98"/>
      <c r="AY316" s="98"/>
      <c r="AZ316" s="98"/>
    </row>
    <row r="317" spans="3:52" x14ac:dyDescent="0.2">
      <c r="C317" s="99"/>
      <c r="D317" s="100"/>
      <c r="E317" s="100"/>
      <c r="F317" s="98"/>
      <c r="G317" s="168"/>
      <c r="H317" s="168"/>
      <c r="I317" s="168"/>
      <c r="J317" s="155"/>
      <c r="K317" s="155"/>
      <c r="L317" s="155"/>
      <c r="M317" s="155"/>
      <c r="N317" s="155"/>
      <c r="O317" s="155"/>
      <c r="P317" s="155"/>
      <c r="Q317" s="155"/>
      <c r="R317" s="155"/>
      <c r="S317" s="155"/>
      <c r="T317" s="155"/>
      <c r="U317" s="155"/>
      <c r="V317" s="155"/>
      <c r="W317" s="155"/>
      <c r="X317" s="99"/>
      <c r="Y317" s="99"/>
      <c r="Z317" s="99"/>
      <c r="AA317" s="99"/>
      <c r="AB317" s="99"/>
      <c r="AC317" s="99"/>
      <c r="AD317" s="99"/>
      <c r="AE317" s="99"/>
      <c r="AF317" s="99"/>
      <c r="AG317" s="99"/>
      <c r="AH317" s="99"/>
      <c r="AI317" s="99"/>
      <c r="AJ317" s="99"/>
      <c r="AK317" s="99"/>
      <c r="AL317" s="99"/>
      <c r="AM317" s="99"/>
      <c r="AN317" s="99"/>
      <c r="AO317" s="99"/>
      <c r="AP317" s="169"/>
      <c r="AQ317" s="99"/>
      <c r="AR317" s="170"/>
      <c r="AS317" s="171"/>
      <c r="AT317" s="172"/>
      <c r="AW317" s="98"/>
      <c r="AX317" s="98"/>
      <c r="AY317" s="98"/>
      <c r="AZ317" s="98"/>
    </row>
    <row r="318" spans="3:52" x14ac:dyDescent="0.2">
      <c r="C318" s="99"/>
      <c r="D318" s="100"/>
      <c r="E318" s="100"/>
      <c r="F318" s="98"/>
      <c r="G318" s="168"/>
      <c r="H318" s="168"/>
      <c r="I318" s="168"/>
      <c r="J318" s="155"/>
      <c r="K318" s="155"/>
      <c r="L318" s="155"/>
      <c r="M318" s="155"/>
      <c r="N318" s="155"/>
      <c r="O318" s="155"/>
      <c r="P318" s="155"/>
      <c r="Q318" s="155"/>
      <c r="R318" s="155"/>
      <c r="S318" s="155"/>
      <c r="T318" s="155"/>
      <c r="U318" s="155"/>
      <c r="V318" s="155"/>
      <c r="W318" s="155"/>
      <c r="X318" s="99"/>
      <c r="Y318" s="99"/>
      <c r="Z318" s="99"/>
      <c r="AA318" s="99"/>
      <c r="AB318" s="99"/>
      <c r="AC318" s="99"/>
      <c r="AD318" s="99"/>
      <c r="AE318" s="99"/>
      <c r="AF318" s="99"/>
      <c r="AG318" s="99"/>
      <c r="AH318" s="99"/>
      <c r="AI318" s="99"/>
      <c r="AJ318" s="99"/>
      <c r="AK318" s="99"/>
      <c r="AL318" s="99"/>
      <c r="AM318" s="99"/>
      <c r="AN318" s="99"/>
      <c r="AO318" s="99"/>
      <c r="AP318" s="169"/>
      <c r="AQ318" s="99"/>
      <c r="AR318" s="170"/>
      <c r="AS318" s="171"/>
      <c r="AT318" s="172"/>
      <c r="AW318" s="98"/>
      <c r="AX318" s="98"/>
      <c r="AY318" s="98"/>
      <c r="AZ318" s="98"/>
    </row>
    <row r="319" spans="3:52" x14ac:dyDescent="0.2">
      <c r="C319" s="99"/>
      <c r="D319" s="100"/>
      <c r="E319" s="100"/>
      <c r="F319" s="98"/>
      <c r="G319" s="168"/>
      <c r="H319" s="168"/>
      <c r="I319" s="168"/>
      <c r="J319" s="155"/>
      <c r="K319" s="155"/>
      <c r="L319" s="155"/>
      <c r="M319" s="155"/>
      <c r="N319" s="155"/>
      <c r="O319" s="155"/>
      <c r="P319" s="155"/>
      <c r="Q319" s="155"/>
      <c r="R319" s="155"/>
      <c r="S319" s="155"/>
      <c r="T319" s="155"/>
      <c r="U319" s="155"/>
      <c r="V319" s="155"/>
      <c r="W319" s="155"/>
      <c r="X319" s="99"/>
      <c r="Y319" s="99"/>
      <c r="Z319" s="99"/>
      <c r="AA319" s="99"/>
      <c r="AB319" s="99"/>
      <c r="AC319" s="99"/>
      <c r="AD319" s="99"/>
      <c r="AE319" s="99"/>
      <c r="AF319" s="99"/>
      <c r="AG319" s="99"/>
      <c r="AH319" s="99"/>
      <c r="AI319" s="99"/>
      <c r="AJ319" s="99"/>
      <c r="AK319" s="99"/>
      <c r="AL319" s="99"/>
      <c r="AM319" s="99"/>
      <c r="AN319" s="99"/>
      <c r="AO319" s="99"/>
      <c r="AP319" s="169"/>
      <c r="AQ319" s="99"/>
      <c r="AR319" s="170"/>
      <c r="AS319" s="171"/>
      <c r="AT319" s="172"/>
      <c r="AW319" s="98"/>
      <c r="AX319" s="98"/>
      <c r="AY319" s="98"/>
      <c r="AZ319" s="98"/>
    </row>
    <row r="320" spans="3:52" x14ac:dyDescent="0.2">
      <c r="C320" s="99"/>
      <c r="D320" s="100"/>
      <c r="E320" s="100"/>
      <c r="F320" s="98"/>
      <c r="G320" s="168"/>
      <c r="H320" s="168"/>
      <c r="I320" s="168"/>
      <c r="J320" s="155"/>
      <c r="K320" s="155"/>
      <c r="L320" s="155"/>
      <c r="M320" s="155"/>
      <c r="N320" s="155"/>
      <c r="O320" s="155"/>
      <c r="P320" s="155"/>
      <c r="Q320" s="155"/>
      <c r="R320" s="155"/>
      <c r="S320" s="155"/>
      <c r="T320" s="155"/>
      <c r="U320" s="155"/>
      <c r="V320" s="155"/>
      <c r="W320" s="155"/>
      <c r="X320" s="99"/>
      <c r="Y320" s="99"/>
      <c r="Z320" s="99"/>
      <c r="AA320" s="99"/>
      <c r="AB320" s="99"/>
      <c r="AC320" s="99"/>
      <c r="AD320" s="99"/>
      <c r="AE320" s="99"/>
      <c r="AF320" s="99"/>
      <c r="AG320" s="99"/>
      <c r="AH320" s="99"/>
      <c r="AI320" s="99"/>
      <c r="AJ320" s="99"/>
      <c r="AK320" s="99"/>
      <c r="AL320" s="99"/>
      <c r="AM320" s="99"/>
      <c r="AN320" s="99"/>
      <c r="AO320" s="99"/>
      <c r="AP320" s="169"/>
      <c r="AQ320" s="99"/>
      <c r="AR320" s="170"/>
      <c r="AS320" s="171"/>
      <c r="AT320" s="172"/>
      <c r="AW320" s="98"/>
      <c r="AX320" s="98"/>
      <c r="AY320" s="98"/>
      <c r="AZ320" s="98"/>
    </row>
    <row r="321" spans="3:52" x14ac:dyDescent="0.2">
      <c r="C321" s="99"/>
      <c r="D321" s="100"/>
      <c r="E321" s="100"/>
      <c r="F321" s="98"/>
      <c r="G321" s="168"/>
      <c r="H321" s="168"/>
      <c r="I321" s="168"/>
      <c r="J321" s="155"/>
      <c r="K321" s="155"/>
      <c r="L321" s="155"/>
      <c r="M321" s="155"/>
      <c r="N321" s="155"/>
      <c r="O321" s="155"/>
      <c r="P321" s="155"/>
      <c r="Q321" s="155"/>
      <c r="R321" s="155"/>
      <c r="S321" s="155"/>
      <c r="T321" s="155"/>
      <c r="U321" s="155"/>
      <c r="V321" s="155"/>
      <c r="W321" s="155"/>
      <c r="X321" s="99"/>
      <c r="Y321" s="99"/>
      <c r="Z321" s="99"/>
      <c r="AA321" s="99"/>
      <c r="AB321" s="99"/>
      <c r="AC321" s="99"/>
      <c r="AD321" s="99"/>
      <c r="AE321" s="99"/>
      <c r="AF321" s="99"/>
      <c r="AG321" s="99"/>
      <c r="AH321" s="99"/>
      <c r="AI321" s="99"/>
      <c r="AJ321" s="99"/>
      <c r="AK321" s="99"/>
      <c r="AL321" s="99"/>
      <c r="AM321" s="99"/>
      <c r="AN321" s="99"/>
      <c r="AO321" s="99"/>
      <c r="AP321" s="169"/>
      <c r="AQ321" s="99"/>
      <c r="AR321" s="170"/>
      <c r="AS321" s="171"/>
      <c r="AT321" s="172"/>
      <c r="AW321" s="98"/>
      <c r="AX321" s="98"/>
      <c r="AY321" s="98"/>
      <c r="AZ321" s="98"/>
    </row>
    <row r="322" spans="3:52" x14ac:dyDescent="0.2">
      <c r="C322" s="99"/>
      <c r="D322" s="100"/>
      <c r="E322" s="100"/>
      <c r="F322" s="98"/>
      <c r="G322" s="168"/>
      <c r="H322" s="168"/>
      <c r="I322" s="168"/>
      <c r="J322" s="155"/>
      <c r="K322" s="155"/>
      <c r="L322" s="155"/>
      <c r="M322" s="155"/>
      <c r="N322" s="155"/>
      <c r="O322" s="155"/>
      <c r="P322" s="155"/>
      <c r="Q322" s="155"/>
      <c r="R322" s="155"/>
      <c r="S322" s="155"/>
      <c r="T322" s="155"/>
      <c r="U322" s="155"/>
      <c r="V322" s="155"/>
      <c r="W322" s="155"/>
      <c r="X322" s="99"/>
      <c r="Y322" s="99"/>
      <c r="Z322" s="99"/>
      <c r="AA322" s="99"/>
      <c r="AB322" s="99"/>
      <c r="AC322" s="99"/>
      <c r="AD322" s="99"/>
      <c r="AE322" s="99"/>
      <c r="AF322" s="99"/>
      <c r="AG322" s="99"/>
      <c r="AH322" s="99"/>
      <c r="AI322" s="99"/>
      <c r="AJ322" s="99"/>
      <c r="AK322" s="99"/>
      <c r="AL322" s="99"/>
      <c r="AM322" s="99"/>
      <c r="AN322" s="99"/>
      <c r="AO322" s="99"/>
      <c r="AP322" s="169"/>
      <c r="AQ322" s="99"/>
      <c r="AR322" s="170"/>
      <c r="AS322" s="171"/>
      <c r="AT322" s="172"/>
      <c r="AW322" s="98"/>
      <c r="AX322" s="98"/>
      <c r="AY322" s="98"/>
      <c r="AZ322" s="98"/>
    </row>
    <row r="323" spans="3:52" x14ac:dyDescent="0.2">
      <c r="C323" s="99"/>
      <c r="D323" s="100"/>
      <c r="E323" s="100"/>
      <c r="F323" s="98"/>
      <c r="G323" s="168"/>
      <c r="H323" s="168"/>
      <c r="I323" s="168"/>
      <c r="J323" s="155"/>
      <c r="K323" s="155"/>
      <c r="L323" s="155"/>
      <c r="M323" s="155"/>
      <c r="N323" s="155"/>
      <c r="O323" s="155"/>
      <c r="P323" s="155"/>
      <c r="Q323" s="155"/>
      <c r="R323" s="155"/>
      <c r="S323" s="155"/>
      <c r="T323" s="155"/>
      <c r="U323" s="155"/>
      <c r="V323" s="155"/>
      <c r="W323" s="155"/>
      <c r="X323" s="99"/>
      <c r="Y323" s="99"/>
      <c r="Z323" s="99"/>
      <c r="AA323" s="99"/>
      <c r="AB323" s="99"/>
      <c r="AC323" s="99"/>
      <c r="AD323" s="99"/>
      <c r="AE323" s="99"/>
      <c r="AF323" s="99"/>
      <c r="AG323" s="99"/>
      <c r="AH323" s="99"/>
      <c r="AI323" s="99"/>
      <c r="AJ323" s="99"/>
      <c r="AK323" s="99"/>
      <c r="AL323" s="99"/>
      <c r="AM323" s="99"/>
      <c r="AN323" s="99"/>
      <c r="AO323" s="99"/>
      <c r="AP323" s="169"/>
      <c r="AQ323" s="99"/>
      <c r="AR323" s="170"/>
      <c r="AS323" s="171"/>
      <c r="AT323" s="172"/>
      <c r="AW323" s="98"/>
      <c r="AX323" s="98"/>
      <c r="AY323" s="98"/>
      <c r="AZ323" s="98"/>
    </row>
    <row r="324" spans="3:52" x14ac:dyDescent="0.2">
      <c r="C324" s="99"/>
      <c r="D324" s="100"/>
      <c r="E324" s="100"/>
      <c r="F324" s="98"/>
      <c r="G324" s="168"/>
      <c r="H324" s="168"/>
      <c r="I324" s="168"/>
      <c r="J324" s="155"/>
      <c r="K324" s="155"/>
      <c r="L324" s="155"/>
      <c r="M324" s="155"/>
      <c r="N324" s="155"/>
      <c r="O324" s="155"/>
      <c r="P324" s="155"/>
      <c r="Q324" s="155"/>
      <c r="R324" s="155"/>
      <c r="S324" s="155"/>
      <c r="T324" s="155"/>
      <c r="U324" s="155"/>
      <c r="V324" s="155"/>
      <c r="W324" s="155"/>
      <c r="X324" s="99"/>
      <c r="Y324" s="99"/>
      <c r="Z324" s="99"/>
      <c r="AA324" s="99"/>
      <c r="AB324" s="99"/>
      <c r="AC324" s="99"/>
      <c r="AD324" s="99"/>
      <c r="AE324" s="99"/>
      <c r="AF324" s="99"/>
      <c r="AG324" s="99"/>
      <c r="AH324" s="99"/>
      <c r="AI324" s="99"/>
      <c r="AJ324" s="99"/>
      <c r="AK324" s="99"/>
      <c r="AL324" s="99"/>
      <c r="AM324" s="99"/>
      <c r="AN324" s="99"/>
      <c r="AO324" s="99"/>
      <c r="AP324" s="169"/>
      <c r="AQ324" s="99"/>
      <c r="AR324" s="170"/>
      <c r="AS324" s="171"/>
      <c r="AT324" s="172"/>
      <c r="AW324" s="98"/>
      <c r="AX324" s="98"/>
      <c r="AY324" s="98"/>
      <c r="AZ324" s="98"/>
    </row>
    <row r="325" spans="3:52" x14ac:dyDescent="0.2">
      <c r="C325" s="99"/>
      <c r="D325" s="100"/>
      <c r="E325" s="100"/>
      <c r="F325" s="98"/>
      <c r="G325" s="168"/>
      <c r="H325" s="168"/>
      <c r="I325" s="168"/>
      <c r="J325" s="155"/>
      <c r="K325" s="155"/>
      <c r="L325" s="155"/>
      <c r="M325" s="155"/>
      <c r="N325" s="155"/>
      <c r="O325" s="155"/>
      <c r="P325" s="155"/>
      <c r="Q325" s="155"/>
      <c r="R325" s="155"/>
      <c r="S325" s="155"/>
      <c r="T325" s="155"/>
      <c r="U325" s="155"/>
      <c r="V325" s="155"/>
      <c r="W325" s="155"/>
      <c r="X325" s="99"/>
      <c r="Y325" s="99"/>
      <c r="Z325" s="99"/>
      <c r="AA325" s="99"/>
      <c r="AB325" s="99"/>
      <c r="AC325" s="99"/>
      <c r="AD325" s="99"/>
      <c r="AE325" s="99"/>
      <c r="AF325" s="99"/>
      <c r="AG325" s="99"/>
      <c r="AH325" s="99"/>
      <c r="AI325" s="99"/>
      <c r="AJ325" s="99"/>
      <c r="AK325" s="99"/>
      <c r="AL325" s="99"/>
      <c r="AM325" s="99"/>
      <c r="AN325" s="99"/>
      <c r="AO325" s="99"/>
      <c r="AP325" s="169"/>
      <c r="AQ325" s="99"/>
      <c r="AR325" s="170"/>
      <c r="AS325" s="171"/>
      <c r="AT325" s="172"/>
      <c r="AW325" s="98"/>
      <c r="AX325" s="98"/>
      <c r="AY325" s="98"/>
      <c r="AZ325" s="98"/>
    </row>
    <row r="326" spans="3:52" x14ac:dyDescent="0.2">
      <c r="C326" s="99"/>
      <c r="D326" s="100"/>
      <c r="E326" s="100"/>
      <c r="F326" s="98"/>
      <c r="G326" s="168"/>
      <c r="H326" s="168"/>
      <c r="I326" s="168"/>
      <c r="J326" s="155"/>
      <c r="K326" s="155"/>
      <c r="L326" s="155"/>
      <c r="M326" s="155"/>
      <c r="N326" s="155"/>
      <c r="O326" s="155"/>
      <c r="P326" s="155"/>
      <c r="Q326" s="155"/>
      <c r="R326" s="155"/>
      <c r="S326" s="155"/>
      <c r="T326" s="155"/>
      <c r="U326" s="155"/>
      <c r="V326" s="155"/>
      <c r="W326" s="155"/>
      <c r="X326" s="99"/>
      <c r="Y326" s="99"/>
      <c r="Z326" s="99"/>
      <c r="AA326" s="99"/>
      <c r="AB326" s="99"/>
      <c r="AC326" s="99"/>
      <c r="AD326" s="99"/>
      <c r="AE326" s="99"/>
      <c r="AF326" s="99"/>
      <c r="AG326" s="99"/>
      <c r="AH326" s="99"/>
      <c r="AI326" s="99"/>
      <c r="AJ326" s="99"/>
      <c r="AK326" s="99"/>
      <c r="AL326" s="99"/>
      <c r="AM326" s="99"/>
      <c r="AN326" s="99"/>
      <c r="AO326" s="99"/>
      <c r="AP326" s="169"/>
      <c r="AQ326" s="99"/>
      <c r="AR326" s="170"/>
      <c r="AS326" s="171"/>
      <c r="AT326" s="172"/>
      <c r="AW326" s="98"/>
      <c r="AX326" s="98"/>
      <c r="AY326" s="98"/>
      <c r="AZ326" s="98"/>
    </row>
    <row r="327" spans="3:52" x14ac:dyDescent="0.2">
      <c r="C327" s="99"/>
      <c r="D327" s="100"/>
      <c r="E327" s="100"/>
      <c r="F327" s="98"/>
      <c r="G327" s="168"/>
      <c r="H327" s="168"/>
      <c r="I327" s="168"/>
      <c r="J327" s="155"/>
      <c r="K327" s="155"/>
      <c r="L327" s="155"/>
      <c r="M327" s="155"/>
      <c r="N327" s="155"/>
      <c r="O327" s="155"/>
      <c r="P327" s="155"/>
      <c r="Q327" s="155"/>
      <c r="R327" s="155"/>
      <c r="S327" s="155"/>
      <c r="T327" s="155"/>
      <c r="U327" s="155"/>
      <c r="V327" s="155"/>
      <c r="W327" s="155"/>
      <c r="X327" s="99"/>
      <c r="Y327" s="99"/>
      <c r="Z327" s="99"/>
      <c r="AA327" s="99"/>
      <c r="AB327" s="99"/>
      <c r="AC327" s="99"/>
      <c r="AD327" s="99"/>
      <c r="AE327" s="99"/>
      <c r="AF327" s="99"/>
      <c r="AG327" s="99"/>
      <c r="AH327" s="99"/>
      <c r="AI327" s="99"/>
      <c r="AJ327" s="99"/>
      <c r="AK327" s="99"/>
      <c r="AL327" s="99"/>
      <c r="AM327" s="99"/>
      <c r="AN327" s="99"/>
      <c r="AO327" s="99"/>
      <c r="AP327" s="169"/>
      <c r="AQ327" s="99"/>
      <c r="AR327" s="170"/>
      <c r="AS327" s="171"/>
      <c r="AT327" s="172"/>
      <c r="AW327" s="98"/>
      <c r="AX327" s="98"/>
      <c r="AY327" s="98"/>
      <c r="AZ327" s="98"/>
    </row>
    <row r="328" spans="3:52" x14ac:dyDescent="0.2">
      <c r="C328" s="99"/>
      <c r="D328" s="100"/>
      <c r="E328" s="100"/>
      <c r="F328" s="98"/>
      <c r="G328" s="168"/>
      <c r="H328" s="168"/>
      <c r="I328" s="168"/>
      <c r="J328" s="155"/>
      <c r="K328" s="155"/>
      <c r="L328" s="155"/>
      <c r="M328" s="155"/>
      <c r="N328" s="155"/>
      <c r="O328" s="155"/>
      <c r="P328" s="155"/>
      <c r="Q328" s="155"/>
      <c r="R328" s="155"/>
      <c r="S328" s="155"/>
      <c r="T328" s="155"/>
      <c r="U328" s="155"/>
      <c r="V328" s="155"/>
      <c r="W328" s="155"/>
      <c r="X328" s="99"/>
      <c r="Y328" s="99"/>
      <c r="Z328" s="99"/>
      <c r="AA328" s="99"/>
      <c r="AB328" s="99"/>
      <c r="AC328" s="99"/>
      <c r="AD328" s="99"/>
      <c r="AE328" s="99"/>
      <c r="AF328" s="99"/>
      <c r="AG328" s="99"/>
      <c r="AH328" s="99"/>
      <c r="AI328" s="99"/>
      <c r="AJ328" s="99"/>
      <c r="AK328" s="99"/>
      <c r="AL328" s="99"/>
      <c r="AM328" s="99"/>
      <c r="AN328" s="99"/>
      <c r="AO328" s="99"/>
      <c r="AP328" s="169"/>
      <c r="AQ328" s="99"/>
      <c r="AR328" s="170"/>
      <c r="AS328" s="171"/>
      <c r="AT328" s="172"/>
      <c r="AW328" s="98"/>
      <c r="AX328" s="98"/>
      <c r="AY328" s="98"/>
      <c r="AZ328" s="98"/>
    </row>
    <row r="329" spans="3:52" x14ac:dyDescent="0.2">
      <c r="C329" s="99"/>
      <c r="D329" s="100"/>
      <c r="E329" s="100"/>
      <c r="F329" s="98"/>
      <c r="G329" s="168"/>
      <c r="H329" s="168"/>
      <c r="I329" s="168"/>
      <c r="J329" s="155"/>
      <c r="K329" s="155"/>
      <c r="L329" s="155"/>
      <c r="M329" s="155"/>
      <c r="N329" s="155"/>
      <c r="O329" s="155"/>
      <c r="P329" s="155"/>
      <c r="Q329" s="155"/>
      <c r="R329" s="155"/>
      <c r="S329" s="155"/>
      <c r="T329" s="155"/>
      <c r="U329" s="155"/>
      <c r="V329" s="155"/>
      <c r="W329" s="155"/>
      <c r="X329" s="99"/>
      <c r="Y329" s="99"/>
      <c r="Z329" s="99"/>
      <c r="AA329" s="99"/>
      <c r="AB329" s="99"/>
      <c r="AC329" s="99"/>
      <c r="AD329" s="99"/>
      <c r="AE329" s="99"/>
      <c r="AF329" s="99"/>
      <c r="AG329" s="99"/>
      <c r="AH329" s="99"/>
      <c r="AI329" s="99"/>
      <c r="AJ329" s="99"/>
      <c r="AK329" s="99"/>
      <c r="AL329" s="99"/>
      <c r="AM329" s="99"/>
      <c r="AN329" s="99"/>
      <c r="AO329" s="99"/>
      <c r="AP329" s="169"/>
      <c r="AQ329" s="99"/>
      <c r="AR329" s="170"/>
      <c r="AS329" s="171"/>
      <c r="AT329" s="172"/>
      <c r="AW329" s="98"/>
      <c r="AX329" s="98"/>
      <c r="AY329" s="98"/>
      <c r="AZ329" s="98"/>
    </row>
    <row r="330" spans="3:52" x14ac:dyDescent="0.2">
      <c r="C330" s="99"/>
      <c r="D330" s="100"/>
      <c r="E330" s="100"/>
      <c r="F330" s="98"/>
      <c r="G330" s="168"/>
      <c r="H330" s="168"/>
      <c r="I330" s="168"/>
      <c r="J330" s="155"/>
      <c r="K330" s="155"/>
      <c r="L330" s="155"/>
      <c r="M330" s="155"/>
      <c r="N330" s="155"/>
      <c r="O330" s="155"/>
      <c r="P330" s="155"/>
      <c r="Q330" s="155"/>
      <c r="R330" s="155"/>
      <c r="S330" s="155"/>
      <c r="T330" s="155"/>
      <c r="U330" s="155"/>
      <c r="V330" s="155"/>
      <c r="W330" s="155"/>
      <c r="X330" s="99"/>
      <c r="Y330" s="99"/>
      <c r="Z330" s="99"/>
      <c r="AA330" s="99"/>
      <c r="AB330" s="99"/>
      <c r="AC330" s="99"/>
      <c r="AD330" s="99"/>
      <c r="AE330" s="99"/>
      <c r="AF330" s="99"/>
      <c r="AG330" s="99"/>
      <c r="AH330" s="99"/>
      <c r="AI330" s="99"/>
      <c r="AJ330" s="99"/>
      <c r="AK330" s="99"/>
      <c r="AL330" s="99"/>
      <c r="AM330" s="99"/>
      <c r="AN330" s="99"/>
      <c r="AO330" s="99"/>
      <c r="AP330" s="169"/>
      <c r="AQ330" s="99"/>
      <c r="AR330" s="170"/>
      <c r="AS330" s="171"/>
      <c r="AT330" s="172"/>
      <c r="AW330" s="98"/>
      <c r="AX330" s="98"/>
      <c r="AY330" s="98"/>
      <c r="AZ330" s="98"/>
    </row>
    <row r="331" spans="3:52" x14ac:dyDescent="0.2">
      <c r="C331" s="99"/>
      <c r="D331" s="100"/>
      <c r="E331" s="100"/>
      <c r="F331" s="98"/>
      <c r="G331" s="168"/>
      <c r="H331" s="168"/>
      <c r="I331" s="168"/>
      <c r="J331" s="155"/>
      <c r="K331" s="155"/>
      <c r="L331" s="155"/>
      <c r="M331" s="155"/>
      <c r="N331" s="155"/>
      <c r="O331" s="155"/>
      <c r="P331" s="155"/>
      <c r="Q331" s="155"/>
      <c r="R331" s="155"/>
      <c r="S331" s="155"/>
      <c r="T331" s="155"/>
      <c r="U331" s="155"/>
      <c r="V331" s="155"/>
      <c r="W331" s="155"/>
      <c r="X331" s="99"/>
      <c r="Y331" s="99"/>
      <c r="Z331" s="99"/>
      <c r="AA331" s="99"/>
      <c r="AB331" s="99"/>
      <c r="AC331" s="99"/>
      <c r="AD331" s="99"/>
      <c r="AE331" s="99"/>
      <c r="AF331" s="99"/>
      <c r="AG331" s="99"/>
      <c r="AH331" s="99"/>
      <c r="AI331" s="99"/>
      <c r="AJ331" s="99"/>
      <c r="AK331" s="99"/>
      <c r="AL331" s="99"/>
      <c r="AM331" s="99"/>
      <c r="AN331" s="99"/>
      <c r="AO331" s="99"/>
      <c r="AP331" s="169"/>
      <c r="AQ331" s="99"/>
      <c r="AR331" s="170"/>
      <c r="AS331" s="171"/>
      <c r="AT331" s="172"/>
      <c r="AW331" s="98"/>
      <c r="AX331" s="98"/>
      <c r="AY331" s="98"/>
      <c r="AZ331" s="98"/>
    </row>
    <row r="332" spans="3:52" x14ac:dyDescent="0.2">
      <c r="C332" s="99"/>
      <c r="D332" s="100"/>
      <c r="E332" s="100"/>
      <c r="F332" s="98"/>
      <c r="G332" s="168"/>
      <c r="H332" s="168"/>
      <c r="I332" s="168"/>
      <c r="J332" s="155"/>
      <c r="K332" s="155"/>
      <c r="L332" s="155"/>
      <c r="M332" s="155"/>
      <c r="N332" s="155"/>
      <c r="O332" s="155"/>
      <c r="P332" s="155"/>
      <c r="Q332" s="155"/>
      <c r="R332" s="155"/>
      <c r="S332" s="155"/>
      <c r="T332" s="155"/>
      <c r="U332" s="155"/>
      <c r="V332" s="155"/>
      <c r="W332" s="155"/>
      <c r="X332" s="99"/>
      <c r="Y332" s="99"/>
      <c r="Z332" s="99"/>
      <c r="AA332" s="99"/>
      <c r="AB332" s="99"/>
      <c r="AC332" s="99"/>
      <c r="AD332" s="99"/>
      <c r="AE332" s="99"/>
      <c r="AF332" s="99"/>
      <c r="AG332" s="99"/>
      <c r="AH332" s="99"/>
      <c r="AI332" s="99"/>
      <c r="AJ332" s="99"/>
      <c r="AK332" s="99"/>
      <c r="AL332" s="99"/>
      <c r="AM332" s="99"/>
      <c r="AN332" s="99"/>
      <c r="AO332" s="99"/>
      <c r="AP332" s="169"/>
      <c r="AQ332" s="99"/>
      <c r="AR332" s="170"/>
      <c r="AS332" s="171"/>
      <c r="AT332" s="172"/>
      <c r="AW332" s="98"/>
      <c r="AX332" s="98"/>
      <c r="AY332" s="98"/>
      <c r="AZ332" s="98"/>
    </row>
    <row r="333" spans="3:52" x14ac:dyDescent="0.2">
      <c r="C333" s="99"/>
      <c r="D333" s="100"/>
      <c r="E333" s="100"/>
      <c r="F333" s="98"/>
      <c r="G333" s="168"/>
      <c r="H333" s="168"/>
      <c r="I333" s="168"/>
      <c r="J333" s="155"/>
      <c r="K333" s="155"/>
      <c r="L333" s="155"/>
      <c r="M333" s="155"/>
      <c r="N333" s="155"/>
      <c r="O333" s="155"/>
      <c r="P333" s="155"/>
      <c r="Q333" s="155"/>
      <c r="R333" s="155"/>
      <c r="S333" s="155"/>
      <c r="T333" s="155"/>
      <c r="U333" s="155"/>
      <c r="V333" s="155"/>
      <c r="W333" s="155"/>
      <c r="X333" s="99"/>
      <c r="Y333" s="99"/>
      <c r="Z333" s="99"/>
      <c r="AA333" s="99"/>
      <c r="AB333" s="99"/>
      <c r="AC333" s="99"/>
      <c r="AD333" s="99"/>
      <c r="AE333" s="99"/>
      <c r="AF333" s="99"/>
      <c r="AG333" s="99"/>
      <c r="AH333" s="99"/>
      <c r="AI333" s="99"/>
      <c r="AJ333" s="99"/>
      <c r="AK333" s="99"/>
      <c r="AL333" s="99"/>
      <c r="AM333" s="99"/>
      <c r="AN333" s="99"/>
      <c r="AO333" s="99"/>
      <c r="AP333" s="169"/>
      <c r="AQ333" s="99"/>
      <c r="AR333" s="170"/>
      <c r="AS333" s="171"/>
      <c r="AT333" s="172"/>
      <c r="AW333" s="98"/>
      <c r="AX333" s="98"/>
      <c r="AY333" s="98"/>
      <c r="AZ333" s="98"/>
    </row>
  </sheetData>
  <sheetProtection algorithmName="SHA-512" hashValue="cAMymJcnedOzRoInXeWGxxDTo8VE3EWSjsQvtbf2iCwz01TyJ+rS3hBQLU1pUFloV5yrdY5+wMwbDaZ/wYd6+Q==" saltValue="UL1nfI1J9+RzeVnr07+zjQ==" spinCount="100000" sheet="1" objects="1" scenarios="1"/>
  <mergeCells count="62">
    <mergeCell ref="AB4:AC4"/>
    <mergeCell ref="AD4:AE4"/>
    <mergeCell ref="Z4:AA4"/>
    <mergeCell ref="X4:Y4"/>
    <mergeCell ref="N5:N6"/>
    <mergeCell ref="P5:P6"/>
    <mergeCell ref="T5:T6"/>
    <mergeCell ref="U5:U6"/>
    <mergeCell ref="R5:R6"/>
    <mergeCell ref="AX3:AY3"/>
    <mergeCell ref="Q5:Q6"/>
    <mergeCell ref="AR4:AR5"/>
    <mergeCell ref="AS4:AS5"/>
    <mergeCell ref="AH4:AI4"/>
    <mergeCell ref="AL4:AM4"/>
    <mergeCell ref="AL5:AM5"/>
    <mergeCell ref="AF4:AF5"/>
    <mergeCell ref="AD5:AE5"/>
    <mergeCell ref="AB5:AC5"/>
    <mergeCell ref="Z5:AA5"/>
    <mergeCell ref="AD6:AE6"/>
    <mergeCell ref="AB6:AC6"/>
    <mergeCell ref="Z6:AA6"/>
    <mergeCell ref="X6:Y6"/>
    <mergeCell ref="X5:Y5"/>
    <mergeCell ref="C3:C6"/>
    <mergeCell ref="D4:F5"/>
    <mergeCell ref="H5:H6"/>
    <mergeCell ref="J5:J6"/>
    <mergeCell ref="D3:F3"/>
    <mergeCell ref="G5:G6"/>
    <mergeCell ref="I5:I6"/>
    <mergeCell ref="E1:AQ1"/>
    <mergeCell ref="E2:AQ2"/>
    <mergeCell ref="X3:AF3"/>
    <mergeCell ref="G3:K3"/>
    <mergeCell ref="L3:P3"/>
    <mergeCell ref="Q3:U3"/>
    <mergeCell ref="K5:K6"/>
    <mergeCell ref="AV3:AV6"/>
    <mergeCell ref="AN4:AO4"/>
    <mergeCell ref="AN5:AO5"/>
    <mergeCell ref="AN6:AO6"/>
    <mergeCell ref="AH3:AP3"/>
    <mergeCell ref="AR3:AS3"/>
    <mergeCell ref="AU3:AU6"/>
    <mergeCell ref="L5:L6"/>
    <mergeCell ref="O5:O6"/>
    <mergeCell ref="S5:S6"/>
    <mergeCell ref="AT3:AT6"/>
    <mergeCell ref="AJ4:AK4"/>
    <mergeCell ref="AP4:AP5"/>
    <mergeCell ref="V4:V6"/>
    <mergeCell ref="M5:M6"/>
    <mergeCell ref="AJ67:AK67"/>
    <mergeCell ref="AN67:AO67"/>
    <mergeCell ref="AJ5:AK5"/>
    <mergeCell ref="AH6:AI6"/>
    <mergeCell ref="AJ6:AK6"/>
    <mergeCell ref="AH67:AI67"/>
    <mergeCell ref="AH5:AI5"/>
    <mergeCell ref="AL6:AM6"/>
  </mergeCells>
  <phoneticPr fontId="4" type="noConversion"/>
  <conditionalFormatting sqref="V7:V66">
    <cfRule type="containsText" dxfId="73" priority="1" operator="containsText" text="D">
      <formula>NOT(ISERROR(SEARCH("D",V7)))</formula>
    </cfRule>
  </conditionalFormatting>
  <conditionalFormatting sqref="X7:X66 Z7:Z66 AB7:AB66 AD7:AD66">
    <cfRule type="expression" dxfId="72" priority="10">
      <formula>AND(ISTEXT(X7),X7&lt;&gt;"")</formula>
    </cfRule>
  </conditionalFormatting>
  <conditionalFormatting sqref="X7:X66">
    <cfRule type="expression" dxfId="71" priority="8">
      <formula>AND(X7&gt;$X$5,X7&lt;&gt;"")</formula>
    </cfRule>
  </conditionalFormatting>
  <conditionalFormatting sqref="X5:AE5">
    <cfRule type="expression" dxfId="70" priority="4">
      <formula>AND(ISTEXT(X5),X5&lt;&gt;"")</formula>
    </cfRule>
  </conditionalFormatting>
  <conditionalFormatting sqref="Z7:Z66">
    <cfRule type="expression" dxfId="69" priority="7">
      <formula>AND(Z7&gt;$Z$5,Z7&lt;&gt;"")</formula>
    </cfRule>
  </conditionalFormatting>
  <conditionalFormatting sqref="AB7:AB66">
    <cfRule type="expression" dxfId="68" priority="6">
      <formula>AND(AB7&gt;$AB$5,AB7&lt;&gt;"")</formula>
    </cfRule>
  </conditionalFormatting>
  <conditionalFormatting sqref="AD7:AD66">
    <cfRule type="expression" dxfId="67" priority="5">
      <formula>AND(AD7&gt;$AD$5,AD7&lt;&gt;"")</formula>
    </cfRule>
  </conditionalFormatting>
  <conditionalFormatting sqref="AH7:AH66 AJ7:AJ66 AL7:AL66 AN7:AN66 AR7:AR66">
    <cfRule type="expression" dxfId="66" priority="14">
      <formula>AND(ISTEXT(AH7),AH7&lt;&gt;"")</formula>
    </cfRule>
  </conditionalFormatting>
  <conditionalFormatting sqref="AH7:AH66">
    <cfRule type="expression" dxfId="65" priority="21">
      <formula>AND(AH7&gt;$AH$5,AH7&lt;&gt;"")</formula>
    </cfRule>
  </conditionalFormatting>
  <conditionalFormatting sqref="AH5:AO5">
    <cfRule type="expression" dxfId="64" priority="12">
      <formula>AND(ISTEXT(AH5),AH5&lt;&gt;"")</formula>
    </cfRule>
  </conditionalFormatting>
  <conditionalFormatting sqref="AI1:AI6 AO1:AO6 AK4:AK6 AM4:AM6 AK1:AM3 AG1:AG1048576 AK67 AM67 AI67:AI1048576 AO67:AO1048576 AK68:AM1048576">
    <cfRule type="cellIs" dxfId="63" priority="98" stopIfTrue="1" operator="lessThan">
      <formula>75</formula>
    </cfRule>
  </conditionalFormatting>
  <conditionalFormatting sqref="AJ7:AJ66">
    <cfRule type="expression" dxfId="62" priority="20">
      <formula>AND(AJ7&gt;$AJ$5,AJ7&lt;&gt;"")</formula>
    </cfRule>
  </conditionalFormatting>
  <conditionalFormatting sqref="AL7:AL66">
    <cfRule type="expression" dxfId="61" priority="19">
      <formula>AND(AL7&gt;$AL$5,AL7&lt;&gt;"")</formula>
    </cfRule>
  </conditionalFormatting>
  <conditionalFormatting sqref="AN7:AN66">
    <cfRule type="expression" dxfId="60" priority="18">
      <formula>AND(AN7&gt;$AN$5,AN7&lt;&gt;"")</formula>
    </cfRule>
  </conditionalFormatting>
  <conditionalFormatting sqref="AR4:AR5">
    <cfRule type="expression" dxfId="59" priority="11">
      <formula>AND(ISTEXT(AR4),AR4&lt;&gt;"")</formula>
    </cfRule>
  </conditionalFormatting>
  <conditionalFormatting sqref="AR7:AR66">
    <cfRule type="expression" dxfId="58" priority="17">
      <formula>AND(AR7&gt;$AR$4,AR7&lt;&gt;"")</formula>
    </cfRule>
  </conditionalFormatting>
  <conditionalFormatting sqref="AU1:AU1048576">
    <cfRule type="cellIs" dxfId="57" priority="56" stopIfTrue="1" operator="lessThanOrEqual">
      <formula>1.75</formula>
    </cfRule>
    <cfRule type="cellIs" dxfId="56" priority="57" stopIfTrue="1" operator="equal">
      <formula>5</formula>
    </cfRule>
  </conditionalFormatting>
  <conditionalFormatting sqref="AU7:AU66">
    <cfRule type="cellIs" dxfId="55" priority="54" stopIfTrue="1" operator="lessThanOrEqual">
      <formula>1.75</formula>
    </cfRule>
    <cfRule type="cellIs" dxfId="54" priority="55" stopIfTrue="1" operator="equal">
      <formula>5</formula>
    </cfRule>
  </conditionalFormatting>
  <dataValidations count="4">
    <dataValidation type="list" allowBlank="1" showInputMessage="1" showErrorMessage="1" sqref="G4:U4" xr:uid="{31D265DB-5DAD-4353-82FB-3CF845A0C80E}">
      <formula1>"1,2,3,4,5,6,7,8,9,10,11,12,13,14,15,16,17,18,19,20,21,22,23,24,25,26,27,28,29,30,31"</formula1>
    </dataValidation>
    <dataValidation type="list" allowBlank="1" showInputMessage="1" showErrorMessage="1" sqref="G5:U6" xr:uid="{69561A20-6022-4C61-AB07-CCC0BD8C7A82}">
      <formula1>"M,T,W,Th,F,Sat,Sun"</formula1>
    </dataValidation>
    <dataValidation type="list" allowBlank="1" showInputMessage="1" showErrorMessage="1" sqref="G3:U3" xr:uid="{723DFA33-F94D-42C1-88EE-5B332819A531}">
      <formula1>"January,February,March,April,May,June,July,August,September,October,November,December"</formula1>
    </dataValidation>
    <dataValidation type="list" allowBlank="1" showInputMessage="1" showErrorMessage="1" sqref="G7:U66" xr:uid="{873732E8-0E33-4A2B-8B38-DE2B95A3BB02}">
      <formula1>"P,A,L,E,D"</formula1>
    </dataValidation>
  </dataValidations>
  <pageMargins left="0.09" right="0.1" top="0.17" bottom="0.41" header="0.2" footer="0.14000000000000001"/>
  <pageSetup scale="53" orientation="landscape"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EA3B8414-A5F3-44BA-A377-65327EEB8880}">
          <x14:formula1>
            <xm:f>'Student Helper'!$D$2:$D$3</xm:f>
          </x14:formula1>
          <xm:sqref>V7:V66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A69"/>
  <sheetViews>
    <sheetView showGridLines="0" zoomScaleNormal="100" workbookViewId="0">
      <pane xSplit="6" ySplit="6" topLeftCell="G7" activePane="bottomRight" state="frozen"/>
      <selection pane="topRight"/>
      <selection pane="bottomLeft"/>
      <selection pane="bottomRight"/>
    </sheetView>
  </sheetViews>
  <sheetFormatPr defaultColWidth="9.140625" defaultRowHeight="15.75" x14ac:dyDescent="0.2"/>
  <cols>
    <col min="1" max="1" width="1.7109375" style="98" customWidth="1"/>
    <col min="2" max="2" width="2.7109375" style="98" customWidth="1"/>
    <col min="3" max="3" width="3.7109375" style="99" customWidth="1"/>
    <col min="4" max="4" width="11.7109375" style="100" customWidth="1"/>
    <col min="5" max="5" width="2.7109375" style="100" hidden="1" customWidth="1"/>
    <col min="6" max="6" width="50.7109375" style="98" customWidth="1"/>
    <col min="7" max="9" width="3.28515625" style="168" customWidth="1"/>
    <col min="10" max="21" width="3.28515625" style="155" customWidth="1"/>
    <col min="22" max="22" width="3.7109375" style="155" customWidth="1"/>
    <col min="23" max="23" width="1.7109375" style="155" customWidth="1"/>
    <col min="24" max="31" width="4" style="99" customWidth="1"/>
    <col min="32" max="32" width="7.140625" style="99" customWidth="1"/>
    <col min="33" max="33" width="1.7109375" style="99" customWidth="1"/>
    <col min="34" max="41" width="4" style="99" customWidth="1"/>
    <col min="42" max="42" width="7.140625" style="169" customWidth="1"/>
    <col min="43" max="43" width="1.7109375" style="99" customWidth="1"/>
    <col min="44" max="44" width="4.7109375" style="170" customWidth="1"/>
    <col min="45" max="45" width="5.7109375" style="171" customWidth="1"/>
    <col min="46" max="46" width="7.7109375" style="172" customWidth="1"/>
    <col min="47" max="47" width="6.7109375" style="160" customWidth="1"/>
    <col min="48" max="48" width="6.7109375" style="220" customWidth="1"/>
    <col min="49" max="49" width="1.7109375" style="98" customWidth="1"/>
    <col min="50" max="51" width="8.7109375" style="98" customWidth="1"/>
    <col min="52" max="52" width="2.7109375" style="98" customWidth="1"/>
    <col min="53" max="53" width="1.7109375" style="98" customWidth="1"/>
    <col min="54" max="16384" width="9.140625" style="98"/>
  </cols>
  <sheetData>
    <row r="1" spans="1:53" ht="9.9499999999999993" customHeight="1" x14ac:dyDescent="0.2">
      <c r="A1" s="97"/>
      <c r="B1" s="97"/>
      <c r="C1" s="102"/>
      <c r="D1" s="103"/>
      <c r="E1" s="472"/>
      <c r="F1" s="472"/>
      <c r="G1" s="472"/>
      <c r="H1" s="472"/>
      <c r="I1" s="472"/>
      <c r="J1" s="472"/>
      <c r="K1" s="472"/>
      <c r="L1" s="472"/>
      <c r="M1" s="472"/>
      <c r="N1" s="472"/>
      <c r="O1" s="472"/>
      <c r="P1" s="472"/>
      <c r="Q1" s="472"/>
      <c r="R1" s="472"/>
      <c r="S1" s="472"/>
      <c r="T1" s="472"/>
      <c r="U1" s="472"/>
      <c r="V1" s="472"/>
      <c r="W1" s="472"/>
      <c r="X1" s="472"/>
      <c r="Y1" s="472"/>
      <c r="Z1" s="472"/>
      <c r="AA1" s="472"/>
      <c r="AB1" s="472"/>
      <c r="AC1" s="472"/>
      <c r="AD1" s="472"/>
      <c r="AE1" s="472"/>
      <c r="AF1" s="472"/>
      <c r="AG1" s="472"/>
      <c r="AH1" s="472"/>
      <c r="AI1" s="472"/>
      <c r="AJ1" s="472"/>
      <c r="AK1" s="472"/>
      <c r="AL1" s="472"/>
      <c r="AM1" s="472"/>
      <c r="AN1" s="472"/>
      <c r="AO1" s="472"/>
      <c r="AP1" s="472"/>
      <c r="AQ1" s="472"/>
      <c r="AR1" s="196"/>
      <c r="AS1" s="165"/>
      <c r="AT1" s="165"/>
      <c r="AU1" s="167"/>
      <c r="AV1" s="221"/>
      <c r="AW1" s="97"/>
      <c r="AX1" s="97"/>
      <c r="AY1" s="97"/>
      <c r="AZ1" s="97"/>
      <c r="BA1" s="97"/>
    </row>
    <row r="2" spans="1:53" ht="15" customHeight="1" thickBot="1" x14ac:dyDescent="0.25">
      <c r="A2" s="97"/>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197"/>
      <c r="AT2" s="171"/>
      <c r="BA2" s="97"/>
    </row>
    <row r="3" spans="1:53" ht="30" customHeight="1" thickBot="1" x14ac:dyDescent="0.25">
      <c r="A3" s="97"/>
      <c r="B3" s="239"/>
      <c r="C3" s="557"/>
      <c r="D3" s="559" t="str">
        <f>Settings!E8&amp;" - "&amp;Settings!P5</f>
        <v>MATH IN THE MODERN WORLD - BSHM-1B</v>
      </c>
      <c r="E3" s="559"/>
      <c r="F3" s="559"/>
      <c r="G3" s="565"/>
      <c r="H3" s="565"/>
      <c r="I3" s="565"/>
      <c r="J3" s="565"/>
      <c r="K3" s="565"/>
      <c r="L3" s="565"/>
      <c r="M3" s="565"/>
      <c r="N3" s="565"/>
      <c r="O3" s="565"/>
      <c r="P3" s="565"/>
      <c r="Q3" s="565"/>
      <c r="R3" s="565"/>
      <c r="S3" s="565"/>
      <c r="T3" s="565"/>
      <c r="U3" s="565"/>
      <c r="V3" s="19"/>
      <c r="W3" s="198"/>
      <c r="X3" s="562" t="s">
        <v>109</v>
      </c>
      <c r="Y3" s="563"/>
      <c r="Z3" s="563"/>
      <c r="AA3" s="563"/>
      <c r="AB3" s="563"/>
      <c r="AC3" s="563"/>
      <c r="AD3" s="563"/>
      <c r="AE3" s="563"/>
      <c r="AF3" s="564"/>
      <c r="AG3" s="174"/>
      <c r="AH3" s="562" t="s">
        <v>89</v>
      </c>
      <c r="AI3" s="576"/>
      <c r="AJ3" s="576"/>
      <c r="AK3" s="576"/>
      <c r="AL3" s="576"/>
      <c r="AM3" s="576"/>
      <c r="AN3" s="576"/>
      <c r="AO3" s="576"/>
      <c r="AP3" s="564"/>
      <c r="AQ3" s="174"/>
      <c r="AR3" s="577" t="s">
        <v>102</v>
      </c>
      <c r="AS3" s="578"/>
      <c r="AT3" s="574" t="s">
        <v>110</v>
      </c>
      <c r="AU3" s="587" t="s">
        <v>111</v>
      </c>
      <c r="AV3" s="599" t="s">
        <v>112</v>
      </c>
      <c r="AX3" s="605" t="s">
        <v>113</v>
      </c>
      <c r="AY3" s="606"/>
      <c r="BA3" s="97"/>
    </row>
    <row r="4" spans="1:53" ht="15" customHeight="1" x14ac:dyDescent="0.2">
      <c r="A4" s="97"/>
      <c r="B4" s="239"/>
      <c r="C4" s="558"/>
      <c r="D4" s="561" t="str">
        <f>IF(Settings!P4="","",Settings!P4)</f>
        <v>GEDC1005</v>
      </c>
      <c r="E4" s="561"/>
      <c r="F4" s="561"/>
      <c r="G4" s="22"/>
      <c r="H4" s="22"/>
      <c r="I4" s="22"/>
      <c r="J4" s="22"/>
      <c r="K4" s="22"/>
      <c r="L4" s="22"/>
      <c r="M4" s="22"/>
      <c r="N4" s="22"/>
      <c r="O4" s="22"/>
      <c r="P4" s="22"/>
      <c r="Q4" s="22"/>
      <c r="R4" s="22"/>
      <c r="S4" s="22"/>
      <c r="T4" s="22"/>
      <c r="U4" s="22"/>
      <c r="V4" s="566" t="s">
        <v>114</v>
      </c>
      <c r="W4" s="174"/>
      <c r="X4" s="608" t="s">
        <v>82</v>
      </c>
      <c r="Y4" s="607"/>
      <c r="Z4" s="607" t="s">
        <v>84</v>
      </c>
      <c r="AA4" s="607"/>
      <c r="AB4" s="607" t="s">
        <v>86</v>
      </c>
      <c r="AC4" s="607"/>
      <c r="AD4" s="607" t="s">
        <v>88</v>
      </c>
      <c r="AE4" s="607"/>
      <c r="AF4" s="594">
        <f>Input!AK4</f>
        <v>0.3</v>
      </c>
      <c r="AG4" s="174"/>
      <c r="AH4" s="579" t="s">
        <v>91</v>
      </c>
      <c r="AI4" s="573"/>
      <c r="AJ4" s="573" t="s">
        <v>93</v>
      </c>
      <c r="AK4" s="573"/>
      <c r="AL4" s="573" t="s">
        <v>95</v>
      </c>
      <c r="AM4" s="573"/>
      <c r="AN4" s="573" t="s">
        <v>97</v>
      </c>
      <c r="AO4" s="573"/>
      <c r="AP4" s="581">
        <f>Input!AP4</f>
        <v>0.2</v>
      </c>
      <c r="AQ4" s="174"/>
      <c r="AR4" s="604">
        <f>Settings!Q39</f>
        <v>0</v>
      </c>
      <c r="AS4" s="589">
        <f>Input!AR4</f>
        <v>0.5</v>
      </c>
      <c r="AT4" s="575"/>
      <c r="AU4" s="588"/>
      <c r="AV4" s="600"/>
      <c r="AX4" s="240" t="s">
        <v>110</v>
      </c>
      <c r="AY4" s="241" t="s">
        <v>115</v>
      </c>
      <c r="BA4" s="97"/>
    </row>
    <row r="5" spans="1:53" ht="15" customHeight="1" x14ac:dyDescent="0.2">
      <c r="A5" s="97"/>
      <c r="B5" s="239"/>
      <c r="C5" s="558"/>
      <c r="D5" s="561"/>
      <c r="E5" s="561"/>
      <c r="F5" s="561"/>
      <c r="G5" s="560"/>
      <c r="H5" s="560"/>
      <c r="I5" s="560"/>
      <c r="J5" s="560"/>
      <c r="K5" s="560"/>
      <c r="L5" s="560"/>
      <c r="M5" s="560"/>
      <c r="N5" s="560"/>
      <c r="O5" s="560"/>
      <c r="P5" s="560"/>
      <c r="Q5" s="560"/>
      <c r="R5" s="560"/>
      <c r="S5" s="560"/>
      <c r="T5" s="560"/>
      <c r="U5" s="560"/>
      <c r="V5" s="566"/>
      <c r="W5" s="174"/>
      <c r="X5" s="591" t="str">
        <f>IF(Input!AG6&lt;&gt;"",Input!AG6,"")</f>
        <v/>
      </c>
      <c r="Y5" s="571"/>
      <c r="Z5" s="571" t="str">
        <f>IF(Input!AH6&lt;&gt;"",Input!AH6,"")</f>
        <v/>
      </c>
      <c r="AA5" s="571"/>
      <c r="AB5" s="571" t="str">
        <f>IF(Input!AI6&lt;&gt;"",Input!AI6,"")</f>
        <v/>
      </c>
      <c r="AC5" s="571"/>
      <c r="AD5" s="571" t="str">
        <f>IF(Input!AJ6&lt;&gt;"",Input!AJ6,"")</f>
        <v/>
      </c>
      <c r="AE5" s="571"/>
      <c r="AF5" s="595"/>
      <c r="AG5" s="174"/>
      <c r="AH5" s="572" t="str">
        <f>IF(Input!AL6&lt;&gt;"",Input!AL6,"")</f>
        <v/>
      </c>
      <c r="AI5" s="571"/>
      <c r="AJ5" s="571" t="str">
        <f>IF(Input!AM6&lt;&gt;"",Input!AM6,"")</f>
        <v/>
      </c>
      <c r="AK5" s="571"/>
      <c r="AL5" s="571" t="str">
        <f>IF(Input!AN6&lt;&gt;"",Input!AN6,"")</f>
        <v/>
      </c>
      <c r="AM5" s="571"/>
      <c r="AN5" s="571" t="str">
        <f>IF(Input!AO6&lt;&gt;"",Input!AO6,"")</f>
        <v/>
      </c>
      <c r="AO5" s="571"/>
      <c r="AP5" s="581"/>
      <c r="AQ5" s="174"/>
      <c r="AR5" s="604"/>
      <c r="AS5" s="589"/>
      <c r="AT5" s="575"/>
      <c r="AU5" s="588"/>
      <c r="AV5" s="600"/>
      <c r="AX5" s="183">
        <v>1</v>
      </c>
      <c r="AY5" s="184">
        <f>COUNTIF($AU$7:$AU$66,AX5)</f>
        <v>0</v>
      </c>
      <c r="BA5" s="97"/>
    </row>
    <row r="6" spans="1:53" s="99" customFormat="1" ht="15" customHeight="1" x14ac:dyDescent="0.2">
      <c r="A6" s="102"/>
      <c r="B6" s="242"/>
      <c r="C6" s="558"/>
      <c r="D6" s="201" t="s">
        <v>106</v>
      </c>
      <c r="E6" s="202"/>
      <c r="F6" s="203" t="s">
        <v>107</v>
      </c>
      <c r="G6" s="560"/>
      <c r="H6" s="560"/>
      <c r="I6" s="560"/>
      <c r="J6" s="560"/>
      <c r="K6" s="560"/>
      <c r="L6" s="560"/>
      <c r="M6" s="560"/>
      <c r="N6" s="560"/>
      <c r="O6" s="560"/>
      <c r="P6" s="560"/>
      <c r="Q6" s="560"/>
      <c r="R6" s="560"/>
      <c r="S6" s="560"/>
      <c r="T6" s="560"/>
      <c r="U6" s="560"/>
      <c r="V6" s="566"/>
      <c r="W6" s="174"/>
      <c r="X6" s="590" t="str">
        <f>IF(Input!AG7&lt;&gt;"",Input!AG7,"")</f>
        <v/>
      </c>
      <c r="Y6" s="569"/>
      <c r="Z6" s="569" t="str">
        <f>IF(Input!AH7&lt;&gt;"",Input!AH7,"")</f>
        <v/>
      </c>
      <c r="AA6" s="569"/>
      <c r="AB6" s="569" t="str">
        <f>IF(Input!AI7&lt;&gt;"",Input!AI7,"")</f>
        <v/>
      </c>
      <c r="AC6" s="569"/>
      <c r="AD6" s="569" t="str">
        <f>IF(Input!AJ7&lt;&gt;"",Input!AJ7,"")</f>
        <v/>
      </c>
      <c r="AE6" s="569"/>
      <c r="AF6" s="313" t="s">
        <v>50</v>
      </c>
      <c r="AG6" s="174"/>
      <c r="AH6" s="580" t="str">
        <f>IF(Input!AL7&lt;&gt;"",Input!AL7,"")</f>
        <v/>
      </c>
      <c r="AI6" s="569"/>
      <c r="AJ6" s="569" t="str">
        <f>IF(Input!AM7&lt;&gt;"",Input!AM7,"")</f>
        <v/>
      </c>
      <c r="AK6" s="569"/>
      <c r="AL6" s="569" t="str">
        <f>IF(Input!AN7&lt;&gt;"",Input!AN7,"")</f>
        <v/>
      </c>
      <c r="AM6" s="569"/>
      <c r="AN6" s="569" t="str">
        <f>IF(Input!AO7&lt;&gt;"",Input!AO7,"")</f>
        <v/>
      </c>
      <c r="AO6" s="569"/>
      <c r="AP6" s="204" t="s">
        <v>50</v>
      </c>
      <c r="AQ6" s="174"/>
      <c r="AR6" s="205" t="str">
        <f>IF(Settings!P39&lt;&gt;"",Settings!P39,"")</f>
        <v/>
      </c>
      <c r="AS6" s="206" t="s">
        <v>50</v>
      </c>
      <c r="AT6" s="575"/>
      <c r="AU6" s="588"/>
      <c r="AV6" s="600"/>
      <c r="AX6" s="183">
        <v>1.25</v>
      </c>
      <c r="AY6" s="184">
        <f t="shared" ref="AY6:AY16" si="0">COUNTIF($AU$7:$AU$66,AX6)</f>
        <v>0</v>
      </c>
      <c r="BA6" s="102"/>
    </row>
    <row r="7" spans="1:53" ht="15" customHeight="1" x14ac:dyDescent="0.2">
      <c r="A7" s="97"/>
      <c r="B7" s="239"/>
      <c r="C7" s="194">
        <v>1</v>
      </c>
      <c r="D7" s="203" t="str">
        <f>IF(Input!D8&lt;&gt;"",IF(F7&lt;&gt;"",Input!D8,""),"")</f>
        <v>02000503790</v>
      </c>
      <c r="E7" s="297"/>
      <c r="F7" s="298" t="str">
        <f>(IF(Input!F8&lt;&gt;"",Input!F8,""))</f>
        <v>BARICAS, CASSANDRA ALAB</v>
      </c>
      <c r="G7" s="333"/>
      <c r="H7" s="333"/>
      <c r="I7" s="333"/>
      <c r="J7" s="333"/>
      <c r="K7" s="333"/>
      <c r="L7" s="333"/>
      <c r="M7" s="333"/>
      <c r="N7" s="333"/>
      <c r="O7" s="333"/>
      <c r="P7" s="333"/>
      <c r="Q7" s="333"/>
      <c r="R7" s="333"/>
      <c r="S7" s="333"/>
      <c r="T7" s="333"/>
      <c r="U7" s="333"/>
      <c r="V7" s="336"/>
      <c r="W7" s="173"/>
      <c r="X7" s="309" t="str">
        <f>IF(F7&lt;&gt;"",IF(Input!AG8&lt;&gt;"",Input!AG8,""),"")</f>
        <v/>
      </c>
      <c r="Y7" s="449" t="str">
        <f>IFERROR(IF($X$5="","",IF(F7&lt;&gt;"",(Input!AG8/Input!$AG$6)*100,"")),"NA")</f>
        <v/>
      </c>
      <c r="Z7" s="310" t="str">
        <f>IF(F7&lt;&gt;"",IF(Input!AH8&lt;&gt;"",Input!AH8,""),"")</f>
        <v/>
      </c>
      <c r="AA7" s="449" t="str">
        <f>IFERROR(IF($Z$5="","",IF(F7&lt;&gt;"",(Input!AH8/Input!$AH$6)*100,"")),"NA")</f>
        <v/>
      </c>
      <c r="AB7" s="310" t="str">
        <f>IF(F7&lt;&gt;"",IF(Input!AI8&lt;&gt;"",Input!AI8,""),"")</f>
        <v/>
      </c>
      <c r="AC7" s="449" t="str">
        <f>IFERROR(IF($AB$5="","",IF(F7&lt;&gt;"",(Input!AI8/Input!$AI$6)*100,"")),"NA")</f>
        <v/>
      </c>
      <c r="AD7" s="310" t="str">
        <f>IF(F7&lt;&gt;"",IF(Input!AJ8&lt;&gt;"",Input!AJ8,""),"")</f>
        <v/>
      </c>
      <c r="AE7" s="449" t="str">
        <f>IFERROR(IF($AD$5="","",IF(F7&lt;&gt;"",(Input!AJ8/Input!$AJ$6)*100,"")),"NA")</f>
        <v/>
      </c>
      <c r="AF7" s="108">
        <f>IF(Input!AK8="Error","Error",IF(F7="","",IF($X$5="",0,IF(F7&lt;&gt;"",IFERROR(AVERAGE(Y7,AA7,AC7,AE7)*$AF$4,0),""))))</f>
        <v>0</v>
      </c>
      <c r="AG7" s="174"/>
      <c r="AH7" s="175" t="str">
        <f>IF(F7&lt;&gt;"",IF(Input!AL8&lt;&gt;"",Input!AL8,""),"")</f>
        <v/>
      </c>
      <c r="AI7" s="451" t="str">
        <f>IFERROR(IF($AH$5="","",IF(F7&lt;&gt;"",(Input!AL8/Input!$AL$6)*100,"")),"NA")</f>
        <v/>
      </c>
      <c r="AJ7" s="176" t="str">
        <f>IF(F7&lt;&gt;"",IF(Input!AM8&lt;&gt;"",Input!AM8,""),"")</f>
        <v/>
      </c>
      <c r="AK7" s="451" t="str">
        <f>IFERROR(IF($AJ$5="","",IF(F7&lt;&gt;"",(Input!AM8/Input!$AM$6)*100,"")),"NA")</f>
        <v/>
      </c>
      <c r="AL7" s="176" t="str">
        <f>IF(F7&lt;&gt;"",IF(Input!AN8&lt;&gt;"",Input!AN8,""),"")</f>
        <v/>
      </c>
      <c r="AM7" s="451" t="str">
        <f>IFERROR(IF($AL$5="","",IF(F7&lt;&gt;"",(Input!AN8/Input!$AN$6)*100,"")),"NA")</f>
        <v/>
      </c>
      <c r="AN7" s="177" t="str">
        <f>IF(F7&lt;&gt;"",IF(Input!AO8&lt;&gt;"",Input!AO8,""),"")</f>
        <v/>
      </c>
      <c r="AO7" s="451" t="str">
        <f>IFERROR(IF($AN$5="","",IF(F7&lt;&gt;"",(Input!AO8/Input!$AO$6)*100,"")),"NA")</f>
        <v/>
      </c>
      <c r="AP7" s="303">
        <f>IF(Input!AP8="Error","Error",IF(F7="","",IF($AH$5="",0,IF(F7&lt;&gt;"",IFERROR(AVERAGE(AI7,AK7,AM7,AO7)*$AP$4,0),""))))</f>
        <v>0</v>
      </c>
      <c r="AQ7" s="174"/>
      <c r="AR7" s="178" t="str">
        <f>IF(Input!AQ8="","",IF(F7&lt;&gt;"",Input!AQ8,""))</f>
        <v/>
      </c>
      <c r="AS7" s="179" t="str">
        <f>IF(F7="","",IF(Input!AR8="Error","Error",IF(ISNUMBER(Input!AR8),(Input!AR8*$AS$4),"")))</f>
        <v/>
      </c>
      <c r="AT7" s="331" t="str">
        <f>IF(V7="D","DRP",
IF(F7&lt;&gt;"",
IF(OR(AF7="Error",AP7="Error",AS7="Error"),"Error",
IF(Input!AQ8="","-",ROUND(AF7+AP7+AS7,2))),""))</f>
        <v>-</v>
      </c>
      <c r="AU7" s="180" t="str">
        <f>IF(F7&lt;&gt;"",VLOOKUP(AT7,TRANSMUTATION!$A$2:$B$14,2),"")</f>
        <v>INC</v>
      </c>
      <c r="AV7" s="232" t="str">
        <f>IF(AU7="Inc","",IF(F7&lt;&gt;"",IF(OR(AU7="Drp",AU7="-"),"",RANK(AT7,$AT$7:$AT$66)),""))</f>
        <v/>
      </c>
      <c r="AX7" s="183">
        <v>1.5</v>
      </c>
      <c r="AY7" s="184">
        <f t="shared" si="0"/>
        <v>0</v>
      </c>
      <c r="BA7" s="97"/>
    </row>
    <row r="8" spans="1:53" ht="15" customHeight="1" x14ac:dyDescent="0.2">
      <c r="A8" s="97"/>
      <c r="B8" s="239"/>
      <c r="C8" s="194">
        <v>2</v>
      </c>
      <c r="D8" s="203" t="str">
        <f>IF(Input!D9&lt;&gt;"",IF(F8&lt;&gt;"",Input!D9,""),"")</f>
        <v>02000512377</v>
      </c>
      <c r="E8" s="297"/>
      <c r="F8" s="298" t="str">
        <f>(IF(Input!F9&lt;&gt;"",Input!F9,""))</f>
        <v>BETITA, RUSSEL ANGELO ROJO</v>
      </c>
      <c r="G8" s="333"/>
      <c r="H8" s="333"/>
      <c r="I8" s="333"/>
      <c r="J8" s="333"/>
      <c r="K8" s="333"/>
      <c r="L8" s="333"/>
      <c r="M8" s="333"/>
      <c r="N8" s="333"/>
      <c r="O8" s="333"/>
      <c r="P8" s="333"/>
      <c r="Q8" s="333"/>
      <c r="R8" s="333"/>
      <c r="S8" s="333"/>
      <c r="T8" s="333"/>
      <c r="U8" s="333"/>
      <c r="V8" s="336"/>
      <c r="W8" s="173"/>
      <c r="X8" s="309" t="str">
        <f>IF(F8&lt;&gt;"",IF(Input!AG9&lt;&gt;"",Input!AG9,""),"")</f>
        <v/>
      </c>
      <c r="Y8" s="449" t="str">
        <f>IFERROR(IF($X$5="","",IF(F8&lt;&gt;"",(Input!AG9/Input!$AG$6)*100,"")),"NA")</f>
        <v/>
      </c>
      <c r="Z8" s="310" t="str">
        <f>IF(F8&lt;&gt;"",IF(Input!AH9&lt;&gt;"",Input!AH9,""),"")</f>
        <v/>
      </c>
      <c r="AA8" s="449" t="str">
        <f>IFERROR(IF($Z$5="","",IF(F8&lt;&gt;"",(Input!AH9/Input!$AH$6)*100,"")),"NA")</f>
        <v/>
      </c>
      <c r="AB8" s="310" t="str">
        <f>IF(F8&lt;&gt;"",IF(Input!AI9&lt;&gt;"",Input!AI9,""),"")</f>
        <v/>
      </c>
      <c r="AC8" s="449" t="str">
        <f>IFERROR(IF($AB$5="","",IF(F8&lt;&gt;"",(Input!AI9/Input!$AI$6)*100,"")),"NA")</f>
        <v/>
      </c>
      <c r="AD8" s="310" t="str">
        <f>IF(F8&lt;&gt;"",IF(Input!AJ9&lt;&gt;"",Input!AJ9,""),"")</f>
        <v/>
      </c>
      <c r="AE8" s="449" t="str">
        <f>IFERROR(IF($AD$5="","",IF(F8&lt;&gt;"",(Input!AJ9/Input!$AJ$6)*100,"")),"NA")</f>
        <v/>
      </c>
      <c r="AF8" s="108">
        <f>IF(Input!AK9="Error","Error",IF(F8="","",IF($X$5="",0,IF(F8&lt;&gt;"",IFERROR(AVERAGE(Y8,AA8,AC8,AE8)*$AF$4,0),""))))</f>
        <v>0</v>
      </c>
      <c r="AG8" s="174"/>
      <c r="AH8" s="175" t="str">
        <f>IF(F8&lt;&gt;"",IF(Input!AL9&lt;&gt;"",Input!AL9,""),"")</f>
        <v/>
      </c>
      <c r="AI8" s="451" t="str">
        <f>IFERROR(IF($AH$5="","",IF(F8&lt;&gt;"",(Input!AL9/Input!$AL$6)*100,"")),"NA")</f>
        <v/>
      </c>
      <c r="AJ8" s="176" t="str">
        <f>IF(F8&lt;&gt;"",IF(Input!AM9&lt;&gt;"",Input!AM9,""),"")</f>
        <v/>
      </c>
      <c r="AK8" s="451" t="str">
        <f>IFERROR(IF($AJ$5="","",IF(F8&lt;&gt;"",(Input!AM9/Input!$AM$6)*100,"")),"NA")</f>
        <v/>
      </c>
      <c r="AL8" s="176" t="str">
        <f>IF(F8&lt;&gt;"",IF(Input!AN9&lt;&gt;"",Input!AN9,""),"")</f>
        <v/>
      </c>
      <c r="AM8" s="451" t="str">
        <f>IFERROR(IF($AL$5="","",IF(F8&lt;&gt;"",(Input!AN9/Input!$AN$6)*100,"")),"NA")</f>
        <v/>
      </c>
      <c r="AN8" s="177" t="str">
        <f>IF(F8&lt;&gt;"",IF(Input!AO9&lt;&gt;"",Input!AO9,""),"")</f>
        <v/>
      </c>
      <c r="AO8" s="451" t="str">
        <f>IFERROR(IF($AN$5="","",IF(F8&lt;&gt;"",(Input!AO9/Input!$AO$6)*100,"")),"NA")</f>
        <v/>
      </c>
      <c r="AP8" s="303">
        <f>IF(Input!AP9="Error","Error",IF(F8="","",IF($AH$5="",0,IF(F8&lt;&gt;"",IFERROR(AVERAGE(AI8,AK8,AM8,AO8)*$AP$4,0),""))))</f>
        <v>0</v>
      </c>
      <c r="AQ8" s="174"/>
      <c r="AR8" s="178" t="str">
        <f>IF(Input!AQ9="","",IF(F8&lt;&gt;"",Input!AQ9,""))</f>
        <v/>
      </c>
      <c r="AS8" s="179" t="str">
        <f>IF(F8="","",IF(Input!AR9="Error","Error",IF(ISNUMBER(Input!AR9),(Input!AR9*$AS$4),"")))</f>
        <v/>
      </c>
      <c r="AT8" s="331" t="str">
        <f>IF(V8="D","DRP",
IF(F8&lt;&gt;"",
IF(OR(AF8="Error",AP8="Error",AS8="Error"),"Error",
IF(Input!AQ9="","-",ROUND(AF8+AP8+AS8,2))),""))</f>
        <v>-</v>
      </c>
      <c r="AU8" s="180" t="str">
        <f>IF(F8&lt;&gt;"",VLOOKUP(AT8,TRANSMUTATION!$A$2:$B$14,2),"")</f>
        <v>INC</v>
      </c>
      <c r="AV8" s="232" t="str">
        <f t="shared" ref="AV8:AV66" si="1">IF(AU8="Inc","",IF(F8&lt;&gt;"",IF(OR(AU8="Drp",AU8="-"),"",RANK(AT8,$AT$7:$AT$66)),""))</f>
        <v/>
      </c>
      <c r="AX8" s="183">
        <v>1.75</v>
      </c>
      <c r="AY8" s="184">
        <f t="shared" si="0"/>
        <v>0</v>
      </c>
      <c r="BA8" s="97"/>
    </row>
    <row r="9" spans="1:53" ht="15" customHeight="1" x14ac:dyDescent="0.2">
      <c r="A9" s="97"/>
      <c r="B9" s="239"/>
      <c r="C9" s="194">
        <v>3</v>
      </c>
      <c r="D9" s="203" t="str">
        <f>IF(Input!D10&lt;&gt;"",IF(F9&lt;&gt;"",Input!D10,""),"")</f>
        <v>02000509818</v>
      </c>
      <c r="E9" s="297"/>
      <c r="F9" s="298" t="str">
        <f>(IF(Input!F10&lt;&gt;"",Input!F10,""))</f>
        <v>DELA CRUZ, ANGEL CANDELARIA</v>
      </c>
      <c r="G9" s="333"/>
      <c r="H9" s="333"/>
      <c r="I9" s="333"/>
      <c r="J9" s="333"/>
      <c r="K9" s="333"/>
      <c r="L9" s="333"/>
      <c r="M9" s="333"/>
      <c r="N9" s="333"/>
      <c r="O9" s="333"/>
      <c r="P9" s="333"/>
      <c r="Q9" s="333"/>
      <c r="R9" s="333"/>
      <c r="S9" s="333"/>
      <c r="T9" s="333"/>
      <c r="U9" s="333"/>
      <c r="V9" s="336"/>
      <c r="W9" s="173"/>
      <c r="X9" s="309" t="str">
        <f>IF(F9&lt;&gt;"",IF(Input!AG10&lt;&gt;"",Input!AG10,""),"")</f>
        <v/>
      </c>
      <c r="Y9" s="449" t="str">
        <f>IFERROR(IF($X$5="","",IF(F9&lt;&gt;"",(Input!AG10/Input!$AG$6)*100,"")),"NA")</f>
        <v/>
      </c>
      <c r="Z9" s="310" t="str">
        <f>IF(F9&lt;&gt;"",IF(Input!AH10&lt;&gt;"",Input!AH10,""),"")</f>
        <v/>
      </c>
      <c r="AA9" s="449" t="str">
        <f>IFERROR(IF($Z$5="","",IF(F9&lt;&gt;"",(Input!AH10/Input!$AH$6)*100,"")),"NA")</f>
        <v/>
      </c>
      <c r="AB9" s="310" t="str">
        <f>IF(F9&lt;&gt;"",IF(Input!AI10&lt;&gt;"",Input!AI10,""),"")</f>
        <v/>
      </c>
      <c r="AC9" s="449" t="str">
        <f>IFERROR(IF($AB$5="","",IF(F9&lt;&gt;"",(Input!AI10/Input!$AI$6)*100,"")),"NA")</f>
        <v/>
      </c>
      <c r="AD9" s="310" t="str">
        <f>IF(F9&lt;&gt;"",IF(Input!AJ10&lt;&gt;"",Input!AJ10,""),"")</f>
        <v/>
      </c>
      <c r="AE9" s="449" t="str">
        <f>IFERROR(IF($AD$5="","",IF(F9&lt;&gt;"",(Input!AJ10/Input!$AJ$6)*100,"")),"NA")</f>
        <v/>
      </c>
      <c r="AF9" s="108">
        <f>IF(Input!AK10="Error","Error",IF(F9="","",IF($X$5="",0,IF(F9&lt;&gt;"",IFERROR(AVERAGE(Y9,AA9,AC9,AE9)*$AF$4,0),""))))</f>
        <v>0</v>
      </c>
      <c r="AG9" s="174"/>
      <c r="AH9" s="175" t="str">
        <f>IF(F9&lt;&gt;"",IF(Input!AL10&lt;&gt;"",Input!AL10,""),"")</f>
        <v/>
      </c>
      <c r="AI9" s="451" t="str">
        <f>IFERROR(IF($AH$5="","",IF(F9&lt;&gt;"",(Input!AL10/Input!$AL$6)*100,"")),"NA")</f>
        <v/>
      </c>
      <c r="AJ9" s="176" t="str">
        <f>IF(F9&lt;&gt;"",IF(Input!AM10&lt;&gt;"",Input!AM10,""),"")</f>
        <v/>
      </c>
      <c r="AK9" s="451" t="str">
        <f>IFERROR(IF($AJ$5="","",IF(F9&lt;&gt;"",(Input!AM10/Input!$AM$6)*100,"")),"NA")</f>
        <v/>
      </c>
      <c r="AL9" s="176" t="str">
        <f>IF(F9&lt;&gt;"",IF(Input!AN10&lt;&gt;"",Input!AN10,""),"")</f>
        <v/>
      </c>
      <c r="AM9" s="451" t="str">
        <f>IFERROR(IF($AL$5="","",IF(F9&lt;&gt;"",(Input!AN10/Input!$AN$6)*100,"")),"NA")</f>
        <v/>
      </c>
      <c r="AN9" s="177" t="str">
        <f>IF(F9&lt;&gt;"",IF(Input!AO10&lt;&gt;"",Input!AO10,""),"")</f>
        <v/>
      </c>
      <c r="AO9" s="451" t="str">
        <f>IFERROR(IF($AN$5="","",IF(F9&lt;&gt;"",(Input!AO10/Input!$AO$6)*100,"")),"NA")</f>
        <v/>
      </c>
      <c r="AP9" s="303">
        <f>IF(Input!AP10="Error","Error",IF(F9="","",IF($AH$5="",0,IF(F9&lt;&gt;"",IFERROR(AVERAGE(AI9,AK9,AM9,AO9)*$AP$4,0),""))))</f>
        <v>0</v>
      </c>
      <c r="AQ9" s="174"/>
      <c r="AR9" s="178" t="str">
        <f>IF(Input!AQ10="","",IF(F9&lt;&gt;"",Input!AQ10,""))</f>
        <v/>
      </c>
      <c r="AS9" s="179" t="str">
        <f>IF(F9="","",IF(Input!AR10="Error","Error",IF(ISNUMBER(Input!AR10),(Input!AR10*$AS$4),"")))</f>
        <v/>
      </c>
      <c r="AT9" s="331" t="str">
        <f>IF(V9="D","DRP",
IF(F9&lt;&gt;"",
IF(OR(AF9="Error",AP9="Error",AS9="Error"),"Error",
IF(Input!AQ10="","-",ROUND(AF9+AP9+AS9,2))),""))</f>
        <v>-</v>
      </c>
      <c r="AU9" s="180" t="str">
        <f>IF(F9&lt;&gt;"",VLOOKUP(AT9,TRANSMUTATION!$A$2:$B$14,2),"")</f>
        <v>INC</v>
      </c>
      <c r="AV9" s="232" t="str">
        <f t="shared" si="1"/>
        <v/>
      </c>
      <c r="AX9" s="183">
        <v>2</v>
      </c>
      <c r="AY9" s="184">
        <f t="shared" si="0"/>
        <v>0</v>
      </c>
      <c r="BA9" s="97"/>
    </row>
    <row r="10" spans="1:53" ht="15" customHeight="1" x14ac:dyDescent="0.2">
      <c r="A10" s="97"/>
      <c r="B10" s="239"/>
      <c r="C10" s="194">
        <v>4</v>
      </c>
      <c r="D10" s="203" t="str">
        <f>IF(Input!D11&lt;&gt;"",IF(F10&lt;&gt;"",Input!D11,""),"")</f>
        <v>02000367567</v>
      </c>
      <c r="E10" s="297"/>
      <c r="F10" s="298" t="str">
        <f>(IF(Input!F11&lt;&gt;"",Input!F11,""))</f>
        <v>DELMIGUEZ, DANIELLA CORTEZ</v>
      </c>
      <c r="G10" s="333"/>
      <c r="H10" s="333"/>
      <c r="I10" s="333"/>
      <c r="J10" s="333"/>
      <c r="K10" s="333"/>
      <c r="L10" s="333"/>
      <c r="M10" s="333"/>
      <c r="N10" s="333"/>
      <c r="O10" s="333"/>
      <c r="P10" s="333"/>
      <c r="Q10" s="333"/>
      <c r="R10" s="333"/>
      <c r="S10" s="333"/>
      <c r="T10" s="333"/>
      <c r="U10" s="333"/>
      <c r="V10" s="336"/>
      <c r="W10" s="173"/>
      <c r="X10" s="309" t="str">
        <f>IF(F10&lt;&gt;"",IF(Input!AG11&lt;&gt;"",Input!AG11,""),"")</f>
        <v/>
      </c>
      <c r="Y10" s="449" t="str">
        <f>IFERROR(IF($X$5="","",IF(F10&lt;&gt;"",(Input!AG11/Input!$AG$6)*100,"")),"NA")</f>
        <v/>
      </c>
      <c r="Z10" s="310" t="str">
        <f>IF(F10&lt;&gt;"",IF(Input!AH11&lt;&gt;"",Input!AH11,""),"")</f>
        <v/>
      </c>
      <c r="AA10" s="449" t="str">
        <f>IFERROR(IF($Z$5="","",IF(F10&lt;&gt;"",(Input!AH11/Input!$AH$6)*100,"")),"NA")</f>
        <v/>
      </c>
      <c r="AB10" s="310" t="str">
        <f>IF(F10&lt;&gt;"",IF(Input!AI11&lt;&gt;"",Input!AI11,""),"")</f>
        <v/>
      </c>
      <c r="AC10" s="449" t="str">
        <f>IFERROR(IF($AB$5="","",IF(F10&lt;&gt;"",(Input!AI11/Input!$AI$6)*100,"")),"NA")</f>
        <v/>
      </c>
      <c r="AD10" s="310" t="str">
        <f>IF(F10&lt;&gt;"",IF(Input!AJ11&lt;&gt;"",Input!AJ11,""),"")</f>
        <v/>
      </c>
      <c r="AE10" s="449" t="str">
        <f>IFERROR(IF($AD$5="","",IF(F10&lt;&gt;"",(Input!AJ11/Input!$AJ$6)*100,"")),"NA")</f>
        <v/>
      </c>
      <c r="AF10" s="108">
        <f>IF(Input!AK11="Error","Error",IF(F10="","",IF($X$5="",0,IF(F10&lt;&gt;"",IFERROR(AVERAGE(Y10,AA10,AC10,AE10)*$AF$4,0),""))))</f>
        <v>0</v>
      </c>
      <c r="AG10" s="174"/>
      <c r="AH10" s="175" t="str">
        <f>IF(F10&lt;&gt;"",IF(Input!AL11&lt;&gt;"",Input!AL11,""),"")</f>
        <v/>
      </c>
      <c r="AI10" s="451" t="str">
        <f>IFERROR(IF($AH$5="","",IF(F10&lt;&gt;"",(Input!AL11/Input!$AL$6)*100,"")),"NA")</f>
        <v/>
      </c>
      <c r="AJ10" s="176" t="str">
        <f>IF(F10&lt;&gt;"",IF(Input!AM11&lt;&gt;"",Input!AM11,""),"")</f>
        <v/>
      </c>
      <c r="AK10" s="451" t="str">
        <f>IFERROR(IF($AJ$5="","",IF(F10&lt;&gt;"",(Input!AM11/Input!$AM$6)*100,"")),"NA")</f>
        <v/>
      </c>
      <c r="AL10" s="176" t="str">
        <f>IF(F10&lt;&gt;"",IF(Input!AN11&lt;&gt;"",Input!AN11,""),"")</f>
        <v/>
      </c>
      <c r="AM10" s="451" t="str">
        <f>IFERROR(IF($AL$5="","",IF(F10&lt;&gt;"",(Input!AN11/Input!$AN$6)*100,"")),"NA")</f>
        <v/>
      </c>
      <c r="AN10" s="177" t="str">
        <f>IF(F10&lt;&gt;"",IF(Input!AO11&lt;&gt;"",Input!AO11,""),"")</f>
        <v/>
      </c>
      <c r="AO10" s="451" t="str">
        <f>IFERROR(IF($AN$5="","",IF(F10&lt;&gt;"",(Input!AO11/Input!$AO$6)*100,"")),"NA")</f>
        <v/>
      </c>
      <c r="AP10" s="303">
        <f>IF(Input!AP11="Error","Error",IF(F10="","",IF($AH$5="",0,IF(F10&lt;&gt;"",IFERROR(AVERAGE(AI10,AK10,AM10,AO10)*$AP$4,0),""))))</f>
        <v>0</v>
      </c>
      <c r="AQ10" s="174"/>
      <c r="AR10" s="178" t="str">
        <f>IF(Input!AQ11="","",IF(F10&lt;&gt;"",Input!AQ11,""))</f>
        <v/>
      </c>
      <c r="AS10" s="179" t="str">
        <f>IF(F10="","",IF(Input!AR11="Error","Error",IF(ISNUMBER(Input!AR11),(Input!AR11*$AS$4),"")))</f>
        <v/>
      </c>
      <c r="AT10" s="331" t="str">
        <f>IF(V10="D","DRP",
IF(F10&lt;&gt;"",
IF(OR(AF10="Error",AP10="Error",AS10="Error"),"Error",
IF(Input!AQ11="","-",ROUND(AF10+AP10+AS10,2))),""))</f>
        <v>-</v>
      </c>
      <c r="AU10" s="180" t="str">
        <f>IF(F10&lt;&gt;"",VLOOKUP(AT10,TRANSMUTATION!$A$2:$B$14,2),"")</f>
        <v>INC</v>
      </c>
      <c r="AV10" s="232" t="str">
        <f t="shared" si="1"/>
        <v/>
      </c>
      <c r="AX10" s="183">
        <v>2.25</v>
      </c>
      <c r="AY10" s="184">
        <f t="shared" si="0"/>
        <v>0</v>
      </c>
      <c r="BA10" s="97"/>
    </row>
    <row r="11" spans="1:53" ht="15" customHeight="1" x14ac:dyDescent="0.2">
      <c r="A11" s="97"/>
      <c r="B11" s="239"/>
      <c r="C11" s="194">
        <v>5</v>
      </c>
      <c r="D11" s="203" t="str">
        <f>IF(Input!D12&lt;&gt;"",IF(F11&lt;&gt;"",Input!D12,""),"")</f>
        <v>02000490904</v>
      </c>
      <c r="E11" s="297"/>
      <c r="F11" s="298" t="str">
        <f>(IF(Input!F12&lt;&gt;"",Input!F12,""))</f>
        <v>GONZAGA, SANDY</v>
      </c>
      <c r="G11" s="333"/>
      <c r="H11" s="333"/>
      <c r="I11" s="333"/>
      <c r="J11" s="333"/>
      <c r="K11" s="333"/>
      <c r="L11" s="333"/>
      <c r="M11" s="333"/>
      <c r="N11" s="333"/>
      <c r="O11" s="333"/>
      <c r="P11" s="333"/>
      <c r="Q11" s="333"/>
      <c r="R11" s="333"/>
      <c r="S11" s="333"/>
      <c r="T11" s="333"/>
      <c r="U11" s="333"/>
      <c r="V11" s="336"/>
      <c r="W11" s="173"/>
      <c r="X11" s="309" t="str">
        <f>IF(F11&lt;&gt;"",IF(Input!AG12&lt;&gt;"",Input!AG12,""),"")</f>
        <v/>
      </c>
      <c r="Y11" s="449" t="str">
        <f>IFERROR(IF($X$5="","",IF(F11&lt;&gt;"",(Input!AG12/Input!$AG$6)*100,"")),"NA")</f>
        <v/>
      </c>
      <c r="Z11" s="310" t="str">
        <f>IF(F11&lt;&gt;"",IF(Input!AH12&lt;&gt;"",Input!AH12,""),"")</f>
        <v/>
      </c>
      <c r="AA11" s="449" t="str">
        <f>IFERROR(IF($Z$5="","",IF(F11&lt;&gt;"",(Input!AH12/Input!$AH$6)*100,"")),"NA")</f>
        <v/>
      </c>
      <c r="AB11" s="310" t="str">
        <f>IF(F11&lt;&gt;"",IF(Input!AI12&lt;&gt;"",Input!AI12,""),"")</f>
        <v/>
      </c>
      <c r="AC11" s="449" t="str">
        <f>IFERROR(IF($AB$5="","",IF(F11&lt;&gt;"",(Input!AI12/Input!$AI$6)*100,"")),"NA")</f>
        <v/>
      </c>
      <c r="AD11" s="310" t="str">
        <f>IF(F11&lt;&gt;"",IF(Input!AJ12&lt;&gt;"",Input!AJ12,""),"")</f>
        <v/>
      </c>
      <c r="AE11" s="449" t="str">
        <f>IFERROR(IF($AD$5="","",IF(F11&lt;&gt;"",(Input!AJ12/Input!$AJ$6)*100,"")),"NA")</f>
        <v/>
      </c>
      <c r="AF11" s="108">
        <f>IF(Input!AK12="Error","Error",IF(F11="","",IF($X$5="",0,IF(F11&lt;&gt;"",IFERROR(AVERAGE(Y11,AA11,AC11,AE11)*$AF$4,0),""))))</f>
        <v>0</v>
      </c>
      <c r="AG11" s="174"/>
      <c r="AH11" s="175" t="str">
        <f>IF(F11&lt;&gt;"",IF(Input!AL12&lt;&gt;"",Input!AL12,""),"")</f>
        <v/>
      </c>
      <c r="AI11" s="451" t="str">
        <f>IFERROR(IF($AH$5="","",IF(F11&lt;&gt;"",(Input!AL12/Input!$AL$6)*100,"")),"NA")</f>
        <v/>
      </c>
      <c r="AJ11" s="176" t="str">
        <f>IF(F11&lt;&gt;"",IF(Input!AM12&lt;&gt;"",Input!AM12,""),"")</f>
        <v/>
      </c>
      <c r="AK11" s="451" t="str">
        <f>IFERROR(IF($AJ$5="","",IF(F11&lt;&gt;"",(Input!AM12/Input!$AM$6)*100,"")),"NA")</f>
        <v/>
      </c>
      <c r="AL11" s="176" t="str">
        <f>IF(F11&lt;&gt;"",IF(Input!AN12&lt;&gt;"",Input!AN12,""),"")</f>
        <v/>
      </c>
      <c r="AM11" s="451" t="str">
        <f>IFERROR(IF($AL$5="","",IF(F11&lt;&gt;"",(Input!AN12/Input!$AN$6)*100,"")),"NA")</f>
        <v/>
      </c>
      <c r="AN11" s="177" t="str">
        <f>IF(F11&lt;&gt;"",IF(Input!AO12&lt;&gt;"",Input!AO12,""),"")</f>
        <v/>
      </c>
      <c r="AO11" s="451" t="str">
        <f>IFERROR(IF($AN$5="","",IF(F11&lt;&gt;"",(Input!AO12/Input!$AO$6)*100,"")),"NA")</f>
        <v/>
      </c>
      <c r="AP11" s="303">
        <f>IF(Input!AP12="Error","Error",IF(F11="","",IF($AH$5="",0,IF(F11&lt;&gt;"",IFERROR(AVERAGE(AI11,AK11,AM11,AO11)*$AP$4,0),""))))</f>
        <v>0</v>
      </c>
      <c r="AQ11" s="174"/>
      <c r="AR11" s="178" t="str">
        <f>IF(Input!AQ12="","",IF(F11&lt;&gt;"",Input!AQ12,""))</f>
        <v/>
      </c>
      <c r="AS11" s="179" t="str">
        <f>IF(F11="","",IF(Input!AR12="Error","Error",IF(ISNUMBER(Input!AR12),(Input!AR12*$AS$4),"")))</f>
        <v/>
      </c>
      <c r="AT11" s="331" t="str">
        <f>IF(V11="D","DRP",
IF(F11&lt;&gt;"",
IF(OR(AF11="Error",AP11="Error",AS11="Error"),"Error",
IF(Input!AQ12="","-",ROUND(AF11+AP11+AS11,2))),""))</f>
        <v>-</v>
      </c>
      <c r="AU11" s="180" t="str">
        <f>IF(F11&lt;&gt;"",VLOOKUP(AT11,TRANSMUTATION!$A$2:$B$14,2),"")</f>
        <v>INC</v>
      </c>
      <c r="AV11" s="232" t="str">
        <f t="shared" si="1"/>
        <v/>
      </c>
      <c r="AX11" s="183">
        <v>2.5</v>
      </c>
      <c r="AY11" s="184">
        <f t="shared" si="0"/>
        <v>0</v>
      </c>
      <c r="BA11" s="97"/>
    </row>
    <row r="12" spans="1:53" ht="15" customHeight="1" x14ac:dyDescent="0.2">
      <c r="A12" s="97"/>
      <c r="B12" s="239"/>
      <c r="C12" s="194">
        <v>6</v>
      </c>
      <c r="D12" s="203" t="str">
        <f>IF(Input!D13&lt;&gt;"",IF(F12&lt;&gt;"",Input!D13,""),"")</f>
        <v>02000433161</v>
      </c>
      <c r="E12" s="297"/>
      <c r="F12" s="298" t="str">
        <f>(IF(Input!F13&lt;&gt;"",Input!F13,""))</f>
        <v>MAGADIA, LOURD GAVIN BUEZA</v>
      </c>
      <c r="G12" s="333"/>
      <c r="H12" s="333"/>
      <c r="I12" s="333"/>
      <c r="J12" s="333"/>
      <c r="K12" s="333"/>
      <c r="L12" s="333"/>
      <c r="M12" s="333"/>
      <c r="N12" s="333"/>
      <c r="O12" s="333"/>
      <c r="P12" s="333"/>
      <c r="Q12" s="333"/>
      <c r="R12" s="333"/>
      <c r="S12" s="333"/>
      <c r="T12" s="333"/>
      <c r="U12" s="333"/>
      <c r="V12" s="336"/>
      <c r="W12" s="173"/>
      <c r="X12" s="309" t="str">
        <f>IF(F12&lt;&gt;"",IF(Input!AG13&lt;&gt;"",Input!AG13,""),"")</f>
        <v/>
      </c>
      <c r="Y12" s="449" t="str">
        <f>IFERROR(IF($X$5="","",IF(F12&lt;&gt;"",(Input!AG13/Input!$AG$6)*100,"")),"NA")</f>
        <v/>
      </c>
      <c r="Z12" s="310" t="str">
        <f>IF(F12&lt;&gt;"",IF(Input!AH13&lt;&gt;"",Input!AH13,""),"")</f>
        <v/>
      </c>
      <c r="AA12" s="449" t="str">
        <f>IFERROR(IF($Z$5="","",IF(F12&lt;&gt;"",(Input!AH13/Input!$AH$6)*100,"")),"NA")</f>
        <v/>
      </c>
      <c r="AB12" s="310" t="str">
        <f>IF(F12&lt;&gt;"",IF(Input!AI13&lt;&gt;"",Input!AI13,""),"")</f>
        <v/>
      </c>
      <c r="AC12" s="449" t="str">
        <f>IFERROR(IF($AB$5="","",IF(F12&lt;&gt;"",(Input!AI13/Input!$AI$6)*100,"")),"NA")</f>
        <v/>
      </c>
      <c r="AD12" s="310" t="str">
        <f>IF(F12&lt;&gt;"",IF(Input!AJ13&lt;&gt;"",Input!AJ13,""),"")</f>
        <v/>
      </c>
      <c r="AE12" s="449" t="str">
        <f>IFERROR(IF($AD$5="","",IF(F12&lt;&gt;"",(Input!AJ13/Input!$AJ$6)*100,"")),"NA")</f>
        <v/>
      </c>
      <c r="AF12" s="108">
        <f>IF(Input!AK13="Error","Error",IF(F12="","",IF($X$5="",0,IF(F12&lt;&gt;"",IFERROR(AVERAGE(Y12,AA12,AC12,AE12)*$AF$4,0),""))))</f>
        <v>0</v>
      </c>
      <c r="AG12" s="174"/>
      <c r="AH12" s="175" t="str">
        <f>IF(F12&lt;&gt;"",IF(Input!AL13&lt;&gt;"",Input!AL13,""),"")</f>
        <v/>
      </c>
      <c r="AI12" s="451" t="str">
        <f>IFERROR(IF($AH$5="","",IF(F12&lt;&gt;"",(Input!AL13/Input!$AL$6)*100,"")),"NA")</f>
        <v/>
      </c>
      <c r="AJ12" s="176" t="str">
        <f>IF(F12&lt;&gt;"",IF(Input!AM13&lt;&gt;"",Input!AM13,""),"")</f>
        <v/>
      </c>
      <c r="AK12" s="451" t="str">
        <f>IFERROR(IF($AJ$5="","",IF(F12&lt;&gt;"",(Input!AM13/Input!$AM$6)*100,"")),"NA")</f>
        <v/>
      </c>
      <c r="AL12" s="176" t="str">
        <f>IF(F12&lt;&gt;"",IF(Input!AN13&lt;&gt;"",Input!AN13,""),"")</f>
        <v/>
      </c>
      <c r="AM12" s="451" t="str">
        <f>IFERROR(IF($AL$5="","",IF(F12&lt;&gt;"",(Input!AN13/Input!$AN$6)*100,"")),"NA")</f>
        <v/>
      </c>
      <c r="AN12" s="177" t="str">
        <f>IF(F12&lt;&gt;"",IF(Input!AO13&lt;&gt;"",Input!AO13,""),"")</f>
        <v/>
      </c>
      <c r="AO12" s="451" t="str">
        <f>IFERROR(IF($AN$5="","",IF(F12&lt;&gt;"",(Input!AO13/Input!$AO$6)*100,"")),"NA")</f>
        <v/>
      </c>
      <c r="AP12" s="303">
        <f>IF(Input!AP13="Error","Error",IF(F12="","",IF($AH$5="",0,IF(F12&lt;&gt;"",IFERROR(AVERAGE(AI12,AK12,AM12,AO12)*$AP$4,0),""))))</f>
        <v>0</v>
      </c>
      <c r="AQ12" s="174"/>
      <c r="AR12" s="178" t="str">
        <f>IF(Input!AQ13="","",IF(F12&lt;&gt;"",Input!AQ13,""))</f>
        <v/>
      </c>
      <c r="AS12" s="179" t="str">
        <f>IF(F12="","",IF(Input!AR13="Error","Error",IF(ISNUMBER(Input!AR13),(Input!AR13*$AS$4),"")))</f>
        <v/>
      </c>
      <c r="AT12" s="331" t="str">
        <f>IF(V12="D","DRP",
IF(F12&lt;&gt;"",
IF(OR(AF12="Error",AP12="Error",AS12="Error"),"Error",
IF(Input!AQ13="","-",ROUND(AF12+AP12+AS12,2))),""))</f>
        <v>-</v>
      </c>
      <c r="AU12" s="180" t="str">
        <f>IF(F12&lt;&gt;"",VLOOKUP(AT12,TRANSMUTATION!$A$2:$B$14,2),"")</f>
        <v>INC</v>
      </c>
      <c r="AV12" s="232" t="str">
        <f t="shared" si="1"/>
        <v/>
      </c>
      <c r="AX12" s="183">
        <v>2.75</v>
      </c>
      <c r="AY12" s="184">
        <f t="shared" si="0"/>
        <v>0</v>
      </c>
      <c r="BA12" s="97"/>
    </row>
    <row r="13" spans="1:53" ht="15" customHeight="1" x14ac:dyDescent="0.2">
      <c r="A13" s="97"/>
      <c r="B13" s="239"/>
      <c r="C13" s="194">
        <v>7</v>
      </c>
      <c r="D13" s="203" t="str">
        <f>IF(Input!D14&lt;&gt;"",IF(F13&lt;&gt;"",Input!D14,""),"")</f>
        <v>02000511375</v>
      </c>
      <c r="E13" s="297"/>
      <c r="F13" s="298" t="str">
        <f>(IF(Input!F14&lt;&gt;"",Input!F14,""))</f>
        <v>MANZANO, JHON KENNETH</v>
      </c>
      <c r="G13" s="333"/>
      <c r="H13" s="333"/>
      <c r="I13" s="333"/>
      <c r="J13" s="333"/>
      <c r="K13" s="333"/>
      <c r="L13" s="333"/>
      <c r="M13" s="333"/>
      <c r="N13" s="333"/>
      <c r="O13" s="333"/>
      <c r="P13" s="333"/>
      <c r="Q13" s="333"/>
      <c r="R13" s="333"/>
      <c r="S13" s="333"/>
      <c r="T13" s="333"/>
      <c r="U13" s="333"/>
      <c r="V13" s="336"/>
      <c r="W13" s="173"/>
      <c r="X13" s="309" t="str">
        <f>IF(F13&lt;&gt;"",IF(Input!AG14&lt;&gt;"",Input!AG14,""),"")</f>
        <v/>
      </c>
      <c r="Y13" s="449" t="str">
        <f>IFERROR(IF($X$5="","",IF(F13&lt;&gt;"",(Input!AG14/Input!$AG$6)*100,"")),"NA")</f>
        <v/>
      </c>
      <c r="Z13" s="310" t="str">
        <f>IF(F13&lt;&gt;"",IF(Input!AH14&lt;&gt;"",Input!AH14,""),"")</f>
        <v/>
      </c>
      <c r="AA13" s="449" t="str">
        <f>IFERROR(IF($Z$5="","",IF(F13&lt;&gt;"",(Input!AH14/Input!$AH$6)*100,"")),"NA")</f>
        <v/>
      </c>
      <c r="AB13" s="310" t="str">
        <f>IF(F13&lt;&gt;"",IF(Input!AI14&lt;&gt;"",Input!AI14,""),"")</f>
        <v/>
      </c>
      <c r="AC13" s="449" t="str">
        <f>IFERROR(IF($AB$5="","",IF(F13&lt;&gt;"",(Input!AI14/Input!$AI$6)*100,"")),"NA")</f>
        <v/>
      </c>
      <c r="AD13" s="310" t="str">
        <f>IF(F13&lt;&gt;"",IF(Input!AJ14&lt;&gt;"",Input!AJ14,""),"")</f>
        <v/>
      </c>
      <c r="AE13" s="449" t="str">
        <f>IFERROR(IF($AD$5="","",IF(F13&lt;&gt;"",(Input!AJ14/Input!$AJ$6)*100,"")),"NA")</f>
        <v/>
      </c>
      <c r="AF13" s="108">
        <f>IF(Input!AK14="Error","Error",IF(F13="","",IF($X$5="",0,IF(F13&lt;&gt;"",IFERROR(AVERAGE(Y13,AA13,AC13,AE13)*$AF$4,0),""))))</f>
        <v>0</v>
      </c>
      <c r="AG13" s="174"/>
      <c r="AH13" s="175" t="str">
        <f>IF(F13&lt;&gt;"",IF(Input!AL14&lt;&gt;"",Input!AL14,""),"")</f>
        <v/>
      </c>
      <c r="AI13" s="451" t="str">
        <f>IFERROR(IF($AH$5="","",IF(F13&lt;&gt;"",(Input!AL14/Input!$AL$6)*100,"")),"NA")</f>
        <v/>
      </c>
      <c r="AJ13" s="176" t="str">
        <f>IF(F13&lt;&gt;"",IF(Input!AM14&lt;&gt;"",Input!AM14,""),"")</f>
        <v/>
      </c>
      <c r="AK13" s="451" t="str">
        <f>IFERROR(IF($AJ$5="","",IF(F13&lt;&gt;"",(Input!AM14/Input!$AM$6)*100,"")),"NA")</f>
        <v/>
      </c>
      <c r="AL13" s="176" t="str">
        <f>IF(F13&lt;&gt;"",IF(Input!AN14&lt;&gt;"",Input!AN14,""),"")</f>
        <v/>
      </c>
      <c r="AM13" s="451" t="str">
        <f>IFERROR(IF($AL$5="","",IF(F13&lt;&gt;"",(Input!AN14/Input!$AN$6)*100,"")),"NA")</f>
        <v/>
      </c>
      <c r="AN13" s="177" t="str">
        <f>IF(F13&lt;&gt;"",IF(Input!AO14&lt;&gt;"",Input!AO14,""),"")</f>
        <v/>
      </c>
      <c r="AO13" s="451" t="str">
        <f>IFERROR(IF($AN$5="","",IF(F13&lt;&gt;"",(Input!AO14/Input!$AO$6)*100,"")),"NA")</f>
        <v/>
      </c>
      <c r="AP13" s="303">
        <f>IF(Input!AP14="Error","Error",IF(F13="","",IF($AH$5="",0,IF(F13&lt;&gt;"",IFERROR(AVERAGE(AI13,AK13,AM13,AO13)*$AP$4,0),""))))</f>
        <v>0</v>
      </c>
      <c r="AQ13" s="174"/>
      <c r="AR13" s="178" t="str">
        <f>IF(Input!AQ14="","",IF(F13&lt;&gt;"",Input!AQ14,""))</f>
        <v/>
      </c>
      <c r="AS13" s="179" t="str">
        <f>IF(F13="","",IF(Input!AR14="Error","Error",IF(ISNUMBER(Input!AR14),(Input!AR14*$AS$4),"")))</f>
        <v/>
      </c>
      <c r="AT13" s="331" t="str">
        <f>IF(V13="D","DRP",
IF(F13&lt;&gt;"",
IF(OR(AF13="Error",AP13="Error",AS13="Error"),"Error",
IF(Input!AQ14="","-",ROUND(AF13+AP13+AS13,2))),""))</f>
        <v>-</v>
      </c>
      <c r="AU13" s="180" t="str">
        <f>IF(F13&lt;&gt;"",VLOOKUP(AT13,TRANSMUTATION!$A$2:$B$14,2),"")</f>
        <v>INC</v>
      </c>
      <c r="AV13" s="232" t="str">
        <f t="shared" si="1"/>
        <v/>
      </c>
      <c r="AX13" s="183">
        <v>3</v>
      </c>
      <c r="AY13" s="184">
        <f t="shared" si="0"/>
        <v>0</v>
      </c>
      <c r="BA13" s="97"/>
    </row>
    <row r="14" spans="1:53" ht="15" customHeight="1" x14ac:dyDescent="0.2">
      <c r="A14" s="97"/>
      <c r="B14" s="239"/>
      <c r="C14" s="194">
        <v>8</v>
      </c>
      <c r="D14" s="203" t="str">
        <f>IF(Input!D15&lt;&gt;"",IF(F14&lt;&gt;"",Input!D15,""),"")</f>
        <v>02000511957</v>
      </c>
      <c r="E14" s="297"/>
      <c r="F14" s="298" t="str">
        <f>(IF(Input!F15&lt;&gt;"",Input!F15,""))</f>
        <v>OLAYRES, PRINCESS ENOLVA</v>
      </c>
      <c r="G14" s="333"/>
      <c r="H14" s="333"/>
      <c r="I14" s="333"/>
      <c r="J14" s="333"/>
      <c r="K14" s="333"/>
      <c r="L14" s="333"/>
      <c r="M14" s="333"/>
      <c r="N14" s="333"/>
      <c r="O14" s="333"/>
      <c r="P14" s="333"/>
      <c r="Q14" s="333"/>
      <c r="R14" s="333"/>
      <c r="S14" s="333"/>
      <c r="T14" s="333"/>
      <c r="U14" s="333"/>
      <c r="V14" s="336"/>
      <c r="W14" s="173"/>
      <c r="X14" s="309" t="str">
        <f>IF(F14&lt;&gt;"",IF(Input!AG15&lt;&gt;"",Input!AG15,""),"")</f>
        <v/>
      </c>
      <c r="Y14" s="449" t="str">
        <f>IFERROR(IF($X$5="","",IF(F14&lt;&gt;"",(Input!AG15/Input!$AG$6)*100,"")),"NA")</f>
        <v/>
      </c>
      <c r="Z14" s="310" t="str">
        <f>IF(F14&lt;&gt;"",IF(Input!AH15&lt;&gt;"",Input!AH15,""),"")</f>
        <v/>
      </c>
      <c r="AA14" s="449" t="str">
        <f>IFERROR(IF($Z$5="","",IF(F14&lt;&gt;"",(Input!AH15/Input!$AH$6)*100,"")),"NA")</f>
        <v/>
      </c>
      <c r="AB14" s="310" t="str">
        <f>IF(F14&lt;&gt;"",IF(Input!AI15&lt;&gt;"",Input!AI15,""),"")</f>
        <v/>
      </c>
      <c r="AC14" s="449" t="str">
        <f>IFERROR(IF($AB$5="","",IF(F14&lt;&gt;"",(Input!AI15/Input!$AI$6)*100,"")),"NA")</f>
        <v/>
      </c>
      <c r="AD14" s="310" t="str">
        <f>IF(F14&lt;&gt;"",IF(Input!AJ15&lt;&gt;"",Input!AJ15,""),"")</f>
        <v/>
      </c>
      <c r="AE14" s="449" t="str">
        <f>IFERROR(IF($AD$5="","",IF(F14&lt;&gt;"",(Input!AJ15/Input!$AJ$6)*100,"")),"NA")</f>
        <v/>
      </c>
      <c r="AF14" s="108">
        <f>IF(Input!AK15="Error","Error",IF(F14="","",IF($X$5="",0,IF(F14&lt;&gt;"",IFERROR(AVERAGE(Y14,AA14,AC14,AE14)*$AF$4,0),""))))</f>
        <v>0</v>
      </c>
      <c r="AG14" s="174"/>
      <c r="AH14" s="175" t="str">
        <f>IF(F14&lt;&gt;"",IF(Input!AL15&lt;&gt;"",Input!AL15,""),"")</f>
        <v/>
      </c>
      <c r="AI14" s="451" t="str">
        <f>IFERROR(IF($AH$5="","",IF(F14&lt;&gt;"",(Input!AL15/Input!$AL$6)*100,"")),"NA")</f>
        <v/>
      </c>
      <c r="AJ14" s="176" t="str">
        <f>IF(F14&lt;&gt;"",IF(Input!AM15&lt;&gt;"",Input!AM15,""),"")</f>
        <v/>
      </c>
      <c r="AK14" s="451" t="str">
        <f>IFERROR(IF($AJ$5="","",IF(F14&lt;&gt;"",(Input!AM15/Input!$AM$6)*100,"")),"NA")</f>
        <v/>
      </c>
      <c r="AL14" s="176" t="str">
        <f>IF(F14&lt;&gt;"",IF(Input!AN15&lt;&gt;"",Input!AN15,""),"")</f>
        <v/>
      </c>
      <c r="AM14" s="451" t="str">
        <f>IFERROR(IF($AL$5="","",IF(F14&lt;&gt;"",(Input!AN15/Input!$AN$6)*100,"")),"NA")</f>
        <v/>
      </c>
      <c r="AN14" s="177" t="str">
        <f>IF(F14&lt;&gt;"",IF(Input!AO15&lt;&gt;"",Input!AO15,""),"")</f>
        <v/>
      </c>
      <c r="AO14" s="451" t="str">
        <f>IFERROR(IF($AN$5="","",IF(F14&lt;&gt;"",(Input!AO15/Input!$AO$6)*100,"")),"NA")</f>
        <v/>
      </c>
      <c r="AP14" s="303">
        <f>IF(Input!AP15="Error","Error",IF(F14="","",IF($AH$5="",0,IF(F14&lt;&gt;"",IFERROR(AVERAGE(AI14,AK14,AM14,AO14)*$AP$4,0),""))))</f>
        <v>0</v>
      </c>
      <c r="AQ14" s="174"/>
      <c r="AR14" s="178" t="str">
        <f>IF(Input!AQ15="","",IF(F14&lt;&gt;"",Input!AQ15,""))</f>
        <v/>
      </c>
      <c r="AS14" s="179" t="str">
        <f>IF(F14="","",IF(Input!AR15="Error","Error",IF(ISNUMBER(Input!AR15),(Input!AR15*$AS$4),"")))</f>
        <v/>
      </c>
      <c r="AT14" s="331" t="str">
        <f>IF(V14="D","DRP",
IF(F14&lt;&gt;"",
IF(OR(AF14="Error",AP14="Error",AS14="Error"),"Error",
IF(Input!AQ15="","-",ROUND(AF14+AP14+AS14,2))),""))</f>
        <v>-</v>
      </c>
      <c r="AU14" s="180" t="str">
        <f>IF(F14&lt;&gt;"",VLOOKUP(AT14,TRANSMUTATION!$A$2:$B$14,2),"")</f>
        <v>INC</v>
      </c>
      <c r="AV14" s="232" t="str">
        <f t="shared" si="1"/>
        <v/>
      </c>
      <c r="AX14" s="183">
        <v>5</v>
      </c>
      <c r="AY14" s="184">
        <f t="shared" si="0"/>
        <v>0</v>
      </c>
      <c r="BA14" s="97"/>
    </row>
    <row r="15" spans="1:53" ht="15" customHeight="1" x14ac:dyDescent="0.2">
      <c r="A15" s="97"/>
      <c r="B15" s="239"/>
      <c r="C15" s="194">
        <v>9</v>
      </c>
      <c r="D15" s="203" t="str">
        <f>IF(Input!D16&lt;&gt;"",IF(F15&lt;&gt;"",Input!D16,""),"")</f>
        <v>02000512988</v>
      </c>
      <c r="E15" s="297"/>
      <c r="F15" s="298" t="str">
        <f>(IF(Input!F16&lt;&gt;"",Input!F16,""))</f>
        <v>OSEA, SANTINO JOSHUA NUYDA</v>
      </c>
      <c r="G15" s="333"/>
      <c r="H15" s="333"/>
      <c r="I15" s="333"/>
      <c r="J15" s="333"/>
      <c r="K15" s="333"/>
      <c r="L15" s="333"/>
      <c r="M15" s="333"/>
      <c r="N15" s="333"/>
      <c r="O15" s="333"/>
      <c r="P15" s="333"/>
      <c r="Q15" s="333"/>
      <c r="R15" s="333"/>
      <c r="S15" s="333"/>
      <c r="T15" s="333"/>
      <c r="U15" s="333"/>
      <c r="V15" s="336"/>
      <c r="W15" s="173"/>
      <c r="X15" s="309" t="str">
        <f>IF(F15&lt;&gt;"",IF(Input!AG16&lt;&gt;"",Input!AG16,""),"")</f>
        <v/>
      </c>
      <c r="Y15" s="449" t="str">
        <f>IFERROR(IF($X$5="","",IF(F15&lt;&gt;"",(Input!AG16/Input!$AG$6)*100,"")),"NA")</f>
        <v/>
      </c>
      <c r="Z15" s="310" t="str">
        <f>IF(F15&lt;&gt;"",IF(Input!AH16&lt;&gt;"",Input!AH16,""),"")</f>
        <v/>
      </c>
      <c r="AA15" s="449" t="str">
        <f>IFERROR(IF($Z$5="","",IF(F15&lt;&gt;"",(Input!AH16/Input!$AH$6)*100,"")),"NA")</f>
        <v/>
      </c>
      <c r="AB15" s="310" t="str">
        <f>IF(F15&lt;&gt;"",IF(Input!AI16&lt;&gt;"",Input!AI16,""),"")</f>
        <v/>
      </c>
      <c r="AC15" s="449" t="str">
        <f>IFERROR(IF($AB$5="","",IF(F15&lt;&gt;"",(Input!AI16/Input!$AI$6)*100,"")),"NA")</f>
        <v/>
      </c>
      <c r="AD15" s="310" t="str">
        <f>IF(F15&lt;&gt;"",IF(Input!AJ16&lt;&gt;"",Input!AJ16,""),"")</f>
        <v/>
      </c>
      <c r="AE15" s="449" t="str">
        <f>IFERROR(IF($AD$5="","",IF(F15&lt;&gt;"",(Input!AJ16/Input!$AJ$6)*100,"")),"NA")</f>
        <v/>
      </c>
      <c r="AF15" s="108">
        <f>IF(Input!AK16="Error","Error",IF(F15="","",IF($X$5="",0,IF(F15&lt;&gt;"",IFERROR(AVERAGE(Y15,AA15,AC15,AE15)*$AF$4,0),""))))</f>
        <v>0</v>
      </c>
      <c r="AG15" s="174"/>
      <c r="AH15" s="175" t="str">
        <f>IF(F15&lt;&gt;"",IF(Input!AL16&lt;&gt;"",Input!AL16,""),"")</f>
        <v/>
      </c>
      <c r="AI15" s="451" t="str">
        <f>IFERROR(IF($AH$5="","",IF(F15&lt;&gt;"",(Input!AL16/Input!$AL$6)*100,"")),"NA")</f>
        <v/>
      </c>
      <c r="AJ15" s="176" t="str">
        <f>IF(F15&lt;&gt;"",IF(Input!AM16&lt;&gt;"",Input!AM16,""),"")</f>
        <v/>
      </c>
      <c r="AK15" s="451" t="str">
        <f>IFERROR(IF($AJ$5="","",IF(F15&lt;&gt;"",(Input!AM16/Input!$AM$6)*100,"")),"NA")</f>
        <v/>
      </c>
      <c r="AL15" s="176" t="str">
        <f>IF(F15&lt;&gt;"",IF(Input!AN16&lt;&gt;"",Input!AN16,""),"")</f>
        <v/>
      </c>
      <c r="AM15" s="451" t="str">
        <f>IFERROR(IF($AL$5="","",IF(F15&lt;&gt;"",(Input!AN16/Input!$AN$6)*100,"")),"NA")</f>
        <v/>
      </c>
      <c r="AN15" s="177" t="str">
        <f>IF(F15&lt;&gt;"",IF(Input!AO16&lt;&gt;"",Input!AO16,""),"")</f>
        <v/>
      </c>
      <c r="AO15" s="451" t="str">
        <f>IFERROR(IF($AN$5="","",IF(F15&lt;&gt;"",(Input!AO16/Input!$AO$6)*100,"")),"NA")</f>
        <v/>
      </c>
      <c r="AP15" s="303">
        <f>IF(Input!AP16="Error","Error",IF(F15="","",IF($AH$5="",0,IF(F15&lt;&gt;"",IFERROR(AVERAGE(AI15,AK15,AM15,AO15)*$AP$4,0),""))))</f>
        <v>0</v>
      </c>
      <c r="AQ15" s="174"/>
      <c r="AR15" s="178" t="str">
        <f>IF(Input!AQ16="","",IF(F15&lt;&gt;"",Input!AQ16,""))</f>
        <v/>
      </c>
      <c r="AS15" s="179" t="str">
        <f>IF(F15="","",IF(Input!AR16="Error","Error",IF(ISNUMBER(Input!AR16),(Input!AR16*$AS$4),"")))</f>
        <v/>
      </c>
      <c r="AT15" s="331" t="str">
        <f>IF(V15="D","DRP",
IF(F15&lt;&gt;"",
IF(OR(AF15="Error",AP15="Error",AS15="Error"),"Error",
IF(Input!AQ16="","-",ROUND(AF15+AP15+AS15,2))),""))</f>
        <v>-</v>
      </c>
      <c r="AU15" s="180" t="str">
        <f>IF(F15&lt;&gt;"",VLOOKUP(AT15,TRANSMUTATION!$A$2:$B$14,2),"")</f>
        <v>INC</v>
      </c>
      <c r="AV15" s="232" t="str">
        <f t="shared" si="1"/>
        <v/>
      </c>
      <c r="AX15" s="183" t="s">
        <v>116</v>
      </c>
      <c r="AY15" s="184">
        <f t="shared" si="0"/>
        <v>0</v>
      </c>
      <c r="BA15" s="97"/>
    </row>
    <row r="16" spans="1:53" ht="15" customHeight="1" x14ac:dyDescent="0.2">
      <c r="A16" s="97"/>
      <c r="B16" s="239"/>
      <c r="C16" s="194">
        <v>10</v>
      </c>
      <c r="D16" s="203" t="str">
        <f>IF(Input!D17&lt;&gt;"",IF(F16&lt;&gt;"",Input!D17,""),"")</f>
        <v>02000509944</v>
      </c>
      <c r="E16" s="297"/>
      <c r="F16" s="298" t="str">
        <f>(IF(Input!F17&lt;&gt;"",Input!F17,""))</f>
        <v>RAMOS, RAFAH MORAL</v>
      </c>
      <c r="G16" s="333"/>
      <c r="H16" s="333"/>
      <c r="I16" s="333"/>
      <c r="J16" s="333"/>
      <c r="K16" s="333"/>
      <c r="L16" s="333"/>
      <c r="M16" s="333"/>
      <c r="N16" s="333"/>
      <c r="O16" s="333"/>
      <c r="P16" s="333"/>
      <c r="Q16" s="333"/>
      <c r="R16" s="333"/>
      <c r="S16" s="333"/>
      <c r="T16" s="333"/>
      <c r="U16" s="333"/>
      <c r="V16" s="336"/>
      <c r="W16" s="173"/>
      <c r="X16" s="309" t="str">
        <f>IF(F16&lt;&gt;"",IF(Input!AG17&lt;&gt;"",Input!AG17,""),"")</f>
        <v/>
      </c>
      <c r="Y16" s="449" t="str">
        <f>IFERROR(IF($X$5="","",IF(F16&lt;&gt;"",(Input!AG17/Input!$AG$6)*100,"")),"NA")</f>
        <v/>
      </c>
      <c r="Z16" s="310" t="str">
        <f>IF(F16&lt;&gt;"",IF(Input!AH17&lt;&gt;"",Input!AH17,""),"")</f>
        <v/>
      </c>
      <c r="AA16" s="449" t="str">
        <f>IFERROR(IF($Z$5="","",IF(F16&lt;&gt;"",(Input!AH17/Input!$AH$6)*100,"")),"NA")</f>
        <v/>
      </c>
      <c r="AB16" s="310" t="str">
        <f>IF(F16&lt;&gt;"",IF(Input!AI17&lt;&gt;"",Input!AI17,""),"")</f>
        <v/>
      </c>
      <c r="AC16" s="449" t="str">
        <f>IFERROR(IF($AB$5="","",IF(F16&lt;&gt;"",(Input!AI17/Input!$AI$6)*100,"")),"NA")</f>
        <v/>
      </c>
      <c r="AD16" s="310" t="str">
        <f>IF(F16&lt;&gt;"",IF(Input!AJ17&lt;&gt;"",Input!AJ17,""),"")</f>
        <v/>
      </c>
      <c r="AE16" s="449" t="str">
        <f>IFERROR(IF($AD$5="","",IF(F16&lt;&gt;"",(Input!AJ17/Input!$AJ$6)*100,"")),"NA")</f>
        <v/>
      </c>
      <c r="AF16" s="108">
        <f>IF(Input!AK17="Error","Error",IF(F16="","",IF($X$5="",0,IF(F16&lt;&gt;"",IFERROR(AVERAGE(Y16,AA16,AC16,AE16)*$AF$4,0),""))))</f>
        <v>0</v>
      </c>
      <c r="AG16" s="174"/>
      <c r="AH16" s="175" t="str">
        <f>IF(F16&lt;&gt;"",IF(Input!AL17&lt;&gt;"",Input!AL17,""),"")</f>
        <v/>
      </c>
      <c r="AI16" s="451" t="str">
        <f>IFERROR(IF($AH$5="","",IF(F16&lt;&gt;"",(Input!AL17/Input!$AL$6)*100,"")),"NA")</f>
        <v/>
      </c>
      <c r="AJ16" s="176" t="str">
        <f>IF(F16&lt;&gt;"",IF(Input!AM17&lt;&gt;"",Input!AM17,""),"")</f>
        <v/>
      </c>
      <c r="AK16" s="451" t="str">
        <f>IFERROR(IF($AJ$5="","",IF(F16&lt;&gt;"",(Input!AM17/Input!$AM$6)*100,"")),"NA")</f>
        <v/>
      </c>
      <c r="AL16" s="176" t="str">
        <f>IF(F16&lt;&gt;"",IF(Input!AN17&lt;&gt;"",Input!AN17,""),"")</f>
        <v/>
      </c>
      <c r="AM16" s="451" t="str">
        <f>IFERROR(IF($AL$5="","",IF(F16&lt;&gt;"",(Input!AN17/Input!$AN$6)*100,"")),"NA")</f>
        <v/>
      </c>
      <c r="AN16" s="177" t="str">
        <f>IF(F16&lt;&gt;"",IF(Input!AO17&lt;&gt;"",Input!AO17,""),"")</f>
        <v/>
      </c>
      <c r="AO16" s="451" t="str">
        <f>IFERROR(IF($AN$5="","",IF(F16&lt;&gt;"",(Input!AO17/Input!$AO$6)*100,"")),"NA")</f>
        <v/>
      </c>
      <c r="AP16" s="303">
        <f>IF(Input!AP17="Error","Error",IF(F16="","",IF($AH$5="",0,IF(F16&lt;&gt;"",IFERROR(AVERAGE(AI16,AK16,AM16,AO16)*$AP$4,0),""))))</f>
        <v>0</v>
      </c>
      <c r="AQ16" s="174"/>
      <c r="AR16" s="178" t="str">
        <f>IF(Input!AQ17="","",IF(F16&lt;&gt;"",Input!AQ17,""))</f>
        <v/>
      </c>
      <c r="AS16" s="179" t="str">
        <f>IF(F16="","",IF(Input!AR17="Error","Error",IF(ISNUMBER(Input!AR17),(Input!AR17*$AS$4),"")))</f>
        <v/>
      </c>
      <c r="AT16" s="331" t="str">
        <f>IF(V16="D","DRP",
IF(F16&lt;&gt;"",
IF(OR(AF16="Error",AP16="Error",AS16="Error"),"Error",
IF(Input!AQ17="","-",ROUND(AF16+AP16+AS16,2))),""))</f>
        <v>-</v>
      </c>
      <c r="AU16" s="180" t="str">
        <f>IF(F16&lt;&gt;"",VLOOKUP(AT16,TRANSMUTATION!$A$2:$B$14,2),"")</f>
        <v>INC</v>
      </c>
      <c r="AV16" s="232" t="str">
        <f t="shared" si="1"/>
        <v/>
      </c>
      <c r="AX16" s="185" t="s">
        <v>117</v>
      </c>
      <c r="AY16" s="186">
        <f t="shared" si="0"/>
        <v>17</v>
      </c>
      <c r="BA16" s="97"/>
    </row>
    <row r="17" spans="1:53" ht="15" customHeight="1" thickBot="1" x14ac:dyDescent="0.25">
      <c r="A17" s="97"/>
      <c r="B17" s="239"/>
      <c r="C17" s="194">
        <v>11</v>
      </c>
      <c r="D17" s="203" t="str">
        <f>IF(Input!D18&lt;&gt;"",IF(F17&lt;&gt;"",Input!D18,""),"")</f>
        <v>02000492694</v>
      </c>
      <c r="E17" s="297"/>
      <c r="F17" s="298" t="str">
        <f>(IF(Input!F18&lt;&gt;"",Input!F18,""))</f>
        <v>RAYNES, RAISSEN ISAIAH NOCITO</v>
      </c>
      <c r="G17" s="333"/>
      <c r="H17" s="333"/>
      <c r="I17" s="333"/>
      <c r="J17" s="333"/>
      <c r="K17" s="333"/>
      <c r="L17" s="333"/>
      <c r="M17" s="333"/>
      <c r="N17" s="333"/>
      <c r="O17" s="333"/>
      <c r="P17" s="333"/>
      <c r="Q17" s="333"/>
      <c r="R17" s="333"/>
      <c r="S17" s="333"/>
      <c r="T17" s="333"/>
      <c r="U17" s="333"/>
      <c r="V17" s="336"/>
      <c r="W17" s="173"/>
      <c r="X17" s="309" t="str">
        <f>IF(F17&lt;&gt;"",IF(Input!AG18&lt;&gt;"",Input!AG18,""),"")</f>
        <v/>
      </c>
      <c r="Y17" s="449" t="str">
        <f>IFERROR(IF($X$5="","",IF(F17&lt;&gt;"",(Input!AG18/Input!$AG$6)*100,"")),"NA")</f>
        <v/>
      </c>
      <c r="Z17" s="310" t="str">
        <f>IF(F17&lt;&gt;"",IF(Input!AH18&lt;&gt;"",Input!AH18,""),"")</f>
        <v/>
      </c>
      <c r="AA17" s="449" t="str">
        <f>IFERROR(IF($Z$5="","",IF(F17&lt;&gt;"",(Input!AH18/Input!$AH$6)*100,"")),"NA")</f>
        <v/>
      </c>
      <c r="AB17" s="310" t="str">
        <f>IF(F17&lt;&gt;"",IF(Input!AI18&lt;&gt;"",Input!AI18,""),"")</f>
        <v/>
      </c>
      <c r="AC17" s="449" t="str">
        <f>IFERROR(IF($AB$5="","",IF(F17&lt;&gt;"",(Input!AI18/Input!$AI$6)*100,"")),"NA")</f>
        <v/>
      </c>
      <c r="AD17" s="310" t="str">
        <f>IF(F17&lt;&gt;"",IF(Input!AJ18&lt;&gt;"",Input!AJ18,""),"")</f>
        <v/>
      </c>
      <c r="AE17" s="449" t="str">
        <f>IFERROR(IF($AD$5="","",IF(F17&lt;&gt;"",(Input!AJ18/Input!$AJ$6)*100,"")),"NA")</f>
        <v/>
      </c>
      <c r="AF17" s="108">
        <f>IF(Input!AK18="Error","Error",IF(F17="","",IF($X$5="",0,IF(F17&lt;&gt;"",IFERROR(AVERAGE(Y17,AA17,AC17,AE17)*$AF$4,0),""))))</f>
        <v>0</v>
      </c>
      <c r="AG17" s="174"/>
      <c r="AH17" s="175" t="str">
        <f>IF(F17&lt;&gt;"",IF(Input!AL18&lt;&gt;"",Input!AL18,""),"")</f>
        <v/>
      </c>
      <c r="AI17" s="451" t="str">
        <f>IFERROR(IF($AH$5="","",IF(F17&lt;&gt;"",(Input!AL18/Input!$AL$6)*100,"")),"NA")</f>
        <v/>
      </c>
      <c r="AJ17" s="176" t="str">
        <f>IF(F17&lt;&gt;"",IF(Input!AM18&lt;&gt;"",Input!AM18,""),"")</f>
        <v/>
      </c>
      <c r="AK17" s="451" t="str">
        <f>IFERROR(IF($AJ$5="","",IF(F17&lt;&gt;"",(Input!AM18/Input!$AM$6)*100,"")),"NA")</f>
        <v/>
      </c>
      <c r="AL17" s="176" t="str">
        <f>IF(F17&lt;&gt;"",IF(Input!AN18&lt;&gt;"",Input!AN18,""),"")</f>
        <v/>
      </c>
      <c r="AM17" s="451" t="str">
        <f>IFERROR(IF($AL$5="","",IF(F17&lt;&gt;"",(Input!AN18/Input!$AN$6)*100,"")),"NA")</f>
        <v/>
      </c>
      <c r="AN17" s="177" t="str">
        <f>IF(F17&lt;&gt;"",IF(Input!AO18&lt;&gt;"",Input!AO18,""),"")</f>
        <v/>
      </c>
      <c r="AO17" s="451" t="str">
        <f>IFERROR(IF($AN$5="","",IF(F17&lt;&gt;"",(Input!AO18/Input!$AO$6)*100,"")),"NA")</f>
        <v/>
      </c>
      <c r="AP17" s="303">
        <f>IF(Input!AP18="Error","Error",IF(F17="","",IF($AH$5="",0,IF(F17&lt;&gt;"",IFERROR(AVERAGE(AI17,AK17,AM17,AO17)*$AP$4,0),""))))</f>
        <v>0</v>
      </c>
      <c r="AQ17" s="174"/>
      <c r="AR17" s="178" t="str">
        <f>IF(Input!AQ18="","",IF(F17&lt;&gt;"",Input!AQ18,""))</f>
        <v/>
      </c>
      <c r="AS17" s="179" t="str">
        <f>IF(F17="","",IF(Input!AR18="Error","Error",IF(ISNUMBER(Input!AR18),(Input!AR18*$AS$4),"")))</f>
        <v/>
      </c>
      <c r="AT17" s="331" t="str">
        <f>IF(V17="D","DRP",
IF(F17&lt;&gt;"",
IF(OR(AF17="Error",AP17="Error",AS17="Error"),"Error",
IF(Input!AQ18="","-",ROUND(AF17+AP17+AS17,2))),""))</f>
        <v>-</v>
      </c>
      <c r="AU17" s="180" t="str">
        <f>IF(F17&lt;&gt;"",VLOOKUP(AT17,TRANSMUTATION!$A$2:$B$14,2),"")</f>
        <v>INC</v>
      </c>
      <c r="AV17" s="232" t="str">
        <f t="shared" si="1"/>
        <v/>
      </c>
      <c r="AX17" s="187" t="s">
        <v>118</v>
      </c>
      <c r="AY17" s="188">
        <f>SUM(AY5:AY16)</f>
        <v>17</v>
      </c>
      <c r="BA17" s="97"/>
    </row>
    <row r="18" spans="1:53" ht="15" customHeight="1" x14ac:dyDescent="0.2">
      <c r="A18" s="97"/>
      <c r="B18" s="239"/>
      <c r="C18" s="194">
        <v>12</v>
      </c>
      <c r="D18" s="203" t="str">
        <f>IF(Input!D19&lt;&gt;"",IF(F18&lt;&gt;"",Input!D19,""),"")</f>
        <v>02000512583</v>
      </c>
      <c r="E18" s="297"/>
      <c r="F18" s="298" t="str">
        <f>(IF(Input!F19&lt;&gt;"",Input!F19,""))</f>
        <v>SANCHEZ, CASEY FIONA NOCUS</v>
      </c>
      <c r="G18" s="333"/>
      <c r="H18" s="333"/>
      <c r="I18" s="333"/>
      <c r="J18" s="333"/>
      <c r="K18" s="333"/>
      <c r="L18" s="333"/>
      <c r="M18" s="333"/>
      <c r="N18" s="333"/>
      <c r="O18" s="333"/>
      <c r="P18" s="333"/>
      <c r="Q18" s="333"/>
      <c r="R18" s="333"/>
      <c r="S18" s="333"/>
      <c r="T18" s="333"/>
      <c r="U18" s="333"/>
      <c r="V18" s="336"/>
      <c r="W18" s="173"/>
      <c r="X18" s="309" t="str">
        <f>IF(F18&lt;&gt;"",IF(Input!AG19&lt;&gt;"",Input!AG19,""),"")</f>
        <v/>
      </c>
      <c r="Y18" s="449" t="str">
        <f>IFERROR(IF($X$5="","",IF(F18&lt;&gt;"",(Input!AG19/Input!$AG$6)*100,"")),"NA")</f>
        <v/>
      </c>
      <c r="Z18" s="310" t="str">
        <f>IF(F18&lt;&gt;"",IF(Input!AH19&lt;&gt;"",Input!AH19,""),"")</f>
        <v/>
      </c>
      <c r="AA18" s="449" t="str">
        <f>IFERROR(IF($Z$5="","",IF(F18&lt;&gt;"",(Input!AH19/Input!$AH$6)*100,"")),"NA")</f>
        <v/>
      </c>
      <c r="AB18" s="310" t="str">
        <f>IF(F18&lt;&gt;"",IF(Input!AI19&lt;&gt;"",Input!AI19,""),"")</f>
        <v/>
      </c>
      <c r="AC18" s="449" t="str">
        <f>IFERROR(IF($AB$5="","",IF(F18&lt;&gt;"",(Input!AI19/Input!$AI$6)*100,"")),"NA")</f>
        <v/>
      </c>
      <c r="AD18" s="310" t="str">
        <f>IF(F18&lt;&gt;"",IF(Input!AJ19&lt;&gt;"",Input!AJ19,""),"")</f>
        <v/>
      </c>
      <c r="AE18" s="449" t="str">
        <f>IFERROR(IF($AD$5="","",IF(F18&lt;&gt;"",(Input!AJ19/Input!$AJ$6)*100,"")),"NA")</f>
        <v/>
      </c>
      <c r="AF18" s="108">
        <f>IF(Input!AK19="Error","Error",IF(F18="","",IF($X$5="",0,IF(F18&lt;&gt;"",IFERROR(AVERAGE(Y18,AA18,AC18,AE18)*$AF$4,0),""))))</f>
        <v>0</v>
      </c>
      <c r="AG18" s="174"/>
      <c r="AH18" s="175" t="str">
        <f>IF(F18&lt;&gt;"",IF(Input!AL19&lt;&gt;"",Input!AL19,""),"")</f>
        <v/>
      </c>
      <c r="AI18" s="451" t="str">
        <f>IFERROR(IF($AH$5="","",IF(F18&lt;&gt;"",(Input!AL19/Input!$AL$6)*100,"")),"NA")</f>
        <v/>
      </c>
      <c r="AJ18" s="176" t="str">
        <f>IF(F18&lt;&gt;"",IF(Input!AM19&lt;&gt;"",Input!AM19,""),"")</f>
        <v/>
      </c>
      <c r="AK18" s="451" t="str">
        <f>IFERROR(IF($AJ$5="","",IF(F18&lt;&gt;"",(Input!AM19/Input!$AM$6)*100,"")),"NA")</f>
        <v/>
      </c>
      <c r="AL18" s="176" t="str">
        <f>IF(F18&lt;&gt;"",IF(Input!AN19&lt;&gt;"",Input!AN19,""),"")</f>
        <v/>
      </c>
      <c r="AM18" s="451" t="str">
        <f>IFERROR(IF($AL$5="","",IF(F18&lt;&gt;"",(Input!AN19/Input!$AN$6)*100,"")),"NA")</f>
        <v/>
      </c>
      <c r="AN18" s="177" t="str">
        <f>IF(F18&lt;&gt;"",IF(Input!AO19&lt;&gt;"",Input!AO19,""),"")</f>
        <v/>
      </c>
      <c r="AO18" s="451" t="str">
        <f>IFERROR(IF($AN$5="","",IF(F18&lt;&gt;"",(Input!AO19/Input!$AO$6)*100,"")),"NA")</f>
        <v/>
      </c>
      <c r="AP18" s="303">
        <f>IF(Input!AP19="Error","Error",IF(F18="","",IF($AH$5="",0,IF(F18&lt;&gt;"",IFERROR(AVERAGE(AI18,AK18,AM18,AO18)*$AP$4,0),""))))</f>
        <v>0</v>
      </c>
      <c r="AQ18" s="174"/>
      <c r="AR18" s="178" t="str">
        <f>IF(Input!AQ19="","",IF(F18&lt;&gt;"",Input!AQ19,""))</f>
        <v/>
      </c>
      <c r="AS18" s="179" t="str">
        <f>IF(F18="","",IF(Input!AR19="Error","Error",IF(ISNUMBER(Input!AR19),(Input!AR19*$AS$4),"")))</f>
        <v/>
      </c>
      <c r="AT18" s="331" t="str">
        <f>IF(V18="D","DRP",
IF(F18&lt;&gt;"",
IF(OR(AF18="Error",AP18="Error",AS18="Error"),"Error",
IF(Input!AQ19="","-",ROUND(AF18+AP18+AS18,2))),""))</f>
        <v>-</v>
      </c>
      <c r="AU18" s="180" t="str">
        <f>IF(F18&lt;&gt;"",VLOOKUP(AT18,TRANSMUTATION!$A$2:$B$14,2),"")</f>
        <v>INC</v>
      </c>
      <c r="AV18" s="232" t="str">
        <f t="shared" si="1"/>
        <v/>
      </c>
      <c r="BA18" s="97"/>
    </row>
    <row r="19" spans="1:53" ht="15" customHeight="1" x14ac:dyDescent="0.2">
      <c r="A19" s="97"/>
      <c r="B19" s="239"/>
      <c r="C19" s="194">
        <v>13</v>
      </c>
      <c r="D19" s="203" t="str">
        <f>IF(Input!D20&lt;&gt;"",IF(F19&lt;&gt;"",Input!D20,""),"")</f>
        <v>02000510067</v>
      </c>
      <c r="E19" s="297"/>
      <c r="F19" s="298" t="str">
        <f>(IF(Input!F20&lt;&gt;"",Input!F20,""))</f>
        <v>SANOY, KARL ASHER MEDINA</v>
      </c>
      <c r="G19" s="333"/>
      <c r="H19" s="333"/>
      <c r="I19" s="333"/>
      <c r="J19" s="333"/>
      <c r="K19" s="333"/>
      <c r="L19" s="333"/>
      <c r="M19" s="333"/>
      <c r="N19" s="333"/>
      <c r="O19" s="333"/>
      <c r="P19" s="333"/>
      <c r="Q19" s="333"/>
      <c r="R19" s="333"/>
      <c r="S19" s="333"/>
      <c r="T19" s="333"/>
      <c r="U19" s="333"/>
      <c r="V19" s="336"/>
      <c r="W19" s="173"/>
      <c r="X19" s="309" t="str">
        <f>IF(F19&lt;&gt;"",IF(Input!AG20&lt;&gt;"",Input!AG20,""),"")</f>
        <v/>
      </c>
      <c r="Y19" s="449" t="str">
        <f>IFERROR(IF($X$5="","",IF(F19&lt;&gt;"",(Input!AG20/Input!$AG$6)*100,"")),"NA")</f>
        <v/>
      </c>
      <c r="Z19" s="310" t="str">
        <f>IF(F19&lt;&gt;"",IF(Input!AH20&lt;&gt;"",Input!AH20,""),"")</f>
        <v/>
      </c>
      <c r="AA19" s="449" t="str">
        <f>IFERROR(IF($Z$5="","",IF(F19&lt;&gt;"",(Input!AH20/Input!$AH$6)*100,"")),"NA")</f>
        <v/>
      </c>
      <c r="AB19" s="310" t="str">
        <f>IF(F19&lt;&gt;"",IF(Input!AI20&lt;&gt;"",Input!AI20,""),"")</f>
        <v/>
      </c>
      <c r="AC19" s="449" t="str">
        <f>IFERROR(IF($AB$5="","",IF(F19&lt;&gt;"",(Input!AI20/Input!$AI$6)*100,"")),"NA")</f>
        <v/>
      </c>
      <c r="AD19" s="310" t="str">
        <f>IF(F19&lt;&gt;"",IF(Input!AJ20&lt;&gt;"",Input!AJ20,""),"")</f>
        <v/>
      </c>
      <c r="AE19" s="449" t="str">
        <f>IFERROR(IF($AD$5="","",IF(F19&lt;&gt;"",(Input!AJ20/Input!$AJ$6)*100,"")),"NA")</f>
        <v/>
      </c>
      <c r="AF19" s="108">
        <f>IF(Input!AK20="Error","Error",IF(F19="","",IF($X$5="",0,IF(F19&lt;&gt;"",IFERROR(AVERAGE(Y19,AA19,AC19,AE19)*$AF$4,0),""))))</f>
        <v>0</v>
      </c>
      <c r="AG19" s="174"/>
      <c r="AH19" s="175" t="str">
        <f>IF(F19&lt;&gt;"",IF(Input!AL20&lt;&gt;"",Input!AL20,""),"")</f>
        <v/>
      </c>
      <c r="AI19" s="451" t="str">
        <f>IFERROR(IF($AH$5="","",IF(F19&lt;&gt;"",(Input!AL20/Input!$AL$6)*100,"")),"NA")</f>
        <v/>
      </c>
      <c r="AJ19" s="176" t="str">
        <f>IF(F19&lt;&gt;"",IF(Input!AM20&lt;&gt;"",Input!AM20,""),"")</f>
        <v/>
      </c>
      <c r="AK19" s="451" t="str">
        <f>IFERROR(IF($AJ$5="","",IF(F19&lt;&gt;"",(Input!AM20/Input!$AM$6)*100,"")),"NA")</f>
        <v/>
      </c>
      <c r="AL19" s="176" t="str">
        <f>IF(F19&lt;&gt;"",IF(Input!AN20&lt;&gt;"",Input!AN20,""),"")</f>
        <v/>
      </c>
      <c r="AM19" s="451" t="str">
        <f>IFERROR(IF($AL$5="","",IF(F19&lt;&gt;"",(Input!AN20/Input!$AN$6)*100,"")),"NA")</f>
        <v/>
      </c>
      <c r="AN19" s="177" t="str">
        <f>IF(F19&lt;&gt;"",IF(Input!AO20&lt;&gt;"",Input!AO20,""),"")</f>
        <v/>
      </c>
      <c r="AO19" s="451" t="str">
        <f>IFERROR(IF($AN$5="","",IF(F19&lt;&gt;"",(Input!AO20/Input!$AO$6)*100,"")),"NA")</f>
        <v/>
      </c>
      <c r="AP19" s="303">
        <f>IF(Input!AP20="Error","Error",IF(F19="","",IF($AH$5="",0,IF(F19&lt;&gt;"",IFERROR(AVERAGE(AI19,AK19,AM19,AO19)*$AP$4,0),""))))</f>
        <v>0</v>
      </c>
      <c r="AQ19" s="174"/>
      <c r="AR19" s="178" t="str">
        <f>IF(Input!AQ20="","",IF(F19&lt;&gt;"",Input!AQ20,""))</f>
        <v/>
      </c>
      <c r="AS19" s="179" t="str">
        <f>IF(F19="","",IF(Input!AR20="Error","Error",IF(ISNUMBER(Input!AR20),(Input!AR20*$AS$4),"")))</f>
        <v/>
      </c>
      <c r="AT19" s="331" t="str">
        <f>IF(V19="D","DRP",
IF(F19&lt;&gt;"",
IF(OR(AF19="Error",AP19="Error",AS19="Error"),"Error",
IF(Input!AQ20="","-",ROUND(AF19+AP19+AS19,2))),""))</f>
        <v>-</v>
      </c>
      <c r="AU19" s="180" t="str">
        <f>IF(F19&lt;&gt;"",VLOOKUP(AT19,TRANSMUTATION!$A$2:$B$14,2),"")</f>
        <v>INC</v>
      </c>
      <c r="AV19" s="232" t="str">
        <f t="shared" si="1"/>
        <v/>
      </c>
      <c r="BA19" s="97"/>
    </row>
    <row r="20" spans="1:53" ht="15" customHeight="1" x14ac:dyDescent="0.2">
      <c r="A20" s="97"/>
      <c r="B20" s="239"/>
      <c r="C20" s="194">
        <v>14</v>
      </c>
      <c r="D20" s="203" t="str">
        <f>IF(Input!D21&lt;&gt;"",IF(F20&lt;&gt;"",Input!D21,""),"")</f>
        <v>02000511216</v>
      </c>
      <c r="E20" s="297"/>
      <c r="F20" s="298" t="str">
        <f>(IF(Input!F21&lt;&gt;"",Input!F21,""))</f>
        <v>TENORIO, JENINA ROSE TIBATIB</v>
      </c>
      <c r="G20" s="333"/>
      <c r="H20" s="333"/>
      <c r="I20" s="333"/>
      <c r="J20" s="333"/>
      <c r="K20" s="333"/>
      <c r="L20" s="333"/>
      <c r="M20" s="333"/>
      <c r="N20" s="333"/>
      <c r="O20" s="333"/>
      <c r="P20" s="333"/>
      <c r="Q20" s="333"/>
      <c r="R20" s="333"/>
      <c r="S20" s="333"/>
      <c r="T20" s="333"/>
      <c r="U20" s="333"/>
      <c r="V20" s="336"/>
      <c r="W20" s="173"/>
      <c r="X20" s="309" t="str">
        <f>IF(F20&lt;&gt;"",IF(Input!AG21&lt;&gt;"",Input!AG21,""),"")</f>
        <v/>
      </c>
      <c r="Y20" s="449" t="str">
        <f>IFERROR(IF($X$5="","",IF(F20&lt;&gt;"",(Input!AG21/Input!$AG$6)*100,"")),"NA")</f>
        <v/>
      </c>
      <c r="Z20" s="310" t="str">
        <f>IF(F20&lt;&gt;"",IF(Input!AH21&lt;&gt;"",Input!AH21,""),"")</f>
        <v/>
      </c>
      <c r="AA20" s="449" t="str">
        <f>IFERROR(IF($Z$5="","",IF(F20&lt;&gt;"",(Input!AH21/Input!$AH$6)*100,"")),"NA")</f>
        <v/>
      </c>
      <c r="AB20" s="310" t="str">
        <f>IF(F20&lt;&gt;"",IF(Input!AI21&lt;&gt;"",Input!AI21,""),"")</f>
        <v/>
      </c>
      <c r="AC20" s="449" t="str">
        <f>IFERROR(IF($AB$5="","",IF(F20&lt;&gt;"",(Input!AI21/Input!$AI$6)*100,"")),"NA")</f>
        <v/>
      </c>
      <c r="AD20" s="310" t="str">
        <f>IF(F20&lt;&gt;"",IF(Input!AJ21&lt;&gt;"",Input!AJ21,""),"")</f>
        <v/>
      </c>
      <c r="AE20" s="449" t="str">
        <f>IFERROR(IF($AD$5="","",IF(F20&lt;&gt;"",(Input!AJ21/Input!$AJ$6)*100,"")),"NA")</f>
        <v/>
      </c>
      <c r="AF20" s="108">
        <f>IF(Input!AK21="Error","Error",IF(F20="","",IF($X$5="",0,IF(F20&lt;&gt;"",IFERROR(AVERAGE(Y20,AA20,AC20,AE20)*$AF$4,0),""))))</f>
        <v>0</v>
      </c>
      <c r="AG20" s="174"/>
      <c r="AH20" s="175" t="str">
        <f>IF(F20&lt;&gt;"",IF(Input!AL21&lt;&gt;"",Input!AL21,""),"")</f>
        <v/>
      </c>
      <c r="AI20" s="451" t="str">
        <f>IFERROR(IF($AH$5="","",IF(F20&lt;&gt;"",(Input!AL21/Input!$AL$6)*100,"")),"NA")</f>
        <v/>
      </c>
      <c r="AJ20" s="176" t="str">
        <f>IF(F20&lt;&gt;"",IF(Input!AM21&lt;&gt;"",Input!AM21,""),"")</f>
        <v/>
      </c>
      <c r="AK20" s="451" t="str">
        <f>IFERROR(IF($AJ$5="","",IF(F20&lt;&gt;"",(Input!AM21/Input!$AM$6)*100,"")),"NA")</f>
        <v/>
      </c>
      <c r="AL20" s="176" t="str">
        <f>IF(F20&lt;&gt;"",IF(Input!AN21&lt;&gt;"",Input!AN21,""),"")</f>
        <v/>
      </c>
      <c r="AM20" s="451" t="str">
        <f>IFERROR(IF($AL$5="","",IF(F20&lt;&gt;"",(Input!AN21/Input!$AN$6)*100,"")),"NA")</f>
        <v/>
      </c>
      <c r="AN20" s="177" t="str">
        <f>IF(F20&lt;&gt;"",IF(Input!AO21&lt;&gt;"",Input!AO21,""),"")</f>
        <v/>
      </c>
      <c r="AO20" s="451" t="str">
        <f>IFERROR(IF($AN$5="","",IF(F20&lt;&gt;"",(Input!AO21/Input!$AO$6)*100,"")),"NA")</f>
        <v/>
      </c>
      <c r="AP20" s="303">
        <f>IF(Input!AP21="Error","Error",IF(F20="","",IF($AH$5="",0,IF(F20&lt;&gt;"",IFERROR(AVERAGE(AI20,AK20,AM20,AO20)*$AP$4,0),""))))</f>
        <v>0</v>
      </c>
      <c r="AQ20" s="174"/>
      <c r="AR20" s="178" t="str">
        <f>IF(Input!AQ21="","",IF(F20&lt;&gt;"",Input!AQ21,""))</f>
        <v/>
      </c>
      <c r="AS20" s="179" t="str">
        <f>IF(F20="","",IF(Input!AR21="Error","Error",IF(ISNUMBER(Input!AR21),(Input!AR21*$AS$4),"")))</f>
        <v/>
      </c>
      <c r="AT20" s="331" t="str">
        <f>IF(V20="D","DRP",
IF(F20&lt;&gt;"",
IF(OR(AF20="Error",AP20="Error",AS20="Error"),"Error",
IF(Input!AQ21="","-",ROUND(AF20+AP20+AS20,2))),""))</f>
        <v>-</v>
      </c>
      <c r="AU20" s="180" t="str">
        <f>IF(F20&lt;&gt;"",VLOOKUP(AT20,TRANSMUTATION!$A$2:$B$14,2),"")</f>
        <v>INC</v>
      </c>
      <c r="AV20" s="232" t="str">
        <f t="shared" si="1"/>
        <v/>
      </c>
      <c r="BA20" s="97"/>
    </row>
    <row r="21" spans="1:53" ht="15" customHeight="1" x14ac:dyDescent="0.2">
      <c r="A21" s="97"/>
      <c r="B21" s="239"/>
      <c r="C21" s="194">
        <v>15</v>
      </c>
      <c r="D21" s="203" t="str">
        <f>IF(Input!D22&lt;&gt;"",IF(F21&lt;&gt;"",Input!D22,""),"")</f>
        <v>02000402782</v>
      </c>
      <c r="E21" s="297"/>
      <c r="F21" s="298" t="str">
        <f>(IF(Input!F22&lt;&gt;"",Input!F22,""))</f>
        <v>TUAZON, PHOEBE RONTAS</v>
      </c>
      <c r="G21" s="333"/>
      <c r="H21" s="333"/>
      <c r="I21" s="333"/>
      <c r="J21" s="333"/>
      <c r="K21" s="333"/>
      <c r="L21" s="333"/>
      <c r="M21" s="333"/>
      <c r="N21" s="333"/>
      <c r="O21" s="333"/>
      <c r="P21" s="333"/>
      <c r="Q21" s="333"/>
      <c r="R21" s="333"/>
      <c r="S21" s="333"/>
      <c r="T21" s="333"/>
      <c r="U21" s="333"/>
      <c r="V21" s="336"/>
      <c r="W21" s="173"/>
      <c r="X21" s="309" t="str">
        <f>IF(F21&lt;&gt;"",IF(Input!AG22&lt;&gt;"",Input!AG22,""),"")</f>
        <v/>
      </c>
      <c r="Y21" s="449" t="str">
        <f>IFERROR(IF($X$5="","",IF(F21&lt;&gt;"",(Input!AG22/Input!$AG$6)*100,"")),"NA")</f>
        <v/>
      </c>
      <c r="Z21" s="310" t="str">
        <f>IF(F21&lt;&gt;"",IF(Input!AH22&lt;&gt;"",Input!AH22,""),"")</f>
        <v/>
      </c>
      <c r="AA21" s="449" t="str">
        <f>IFERROR(IF($Z$5="","",IF(F21&lt;&gt;"",(Input!AH22/Input!$AH$6)*100,"")),"NA")</f>
        <v/>
      </c>
      <c r="AB21" s="310" t="str">
        <f>IF(F21&lt;&gt;"",IF(Input!AI22&lt;&gt;"",Input!AI22,""),"")</f>
        <v/>
      </c>
      <c r="AC21" s="449" t="str">
        <f>IFERROR(IF($AB$5="","",IF(F21&lt;&gt;"",(Input!AI22/Input!$AI$6)*100,"")),"NA")</f>
        <v/>
      </c>
      <c r="AD21" s="310" t="str">
        <f>IF(F21&lt;&gt;"",IF(Input!AJ22&lt;&gt;"",Input!AJ22,""),"")</f>
        <v/>
      </c>
      <c r="AE21" s="449" t="str">
        <f>IFERROR(IF($AD$5="","",IF(F21&lt;&gt;"",(Input!AJ22/Input!$AJ$6)*100,"")),"NA")</f>
        <v/>
      </c>
      <c r="AF21" s="108">
        <f>IF(Input!AK22="Error","Error",IF(F21="","",IF($X$5="",0,IF(F21&lt;&gt;"",IFERROR(AVERAGE(Y21,AA21,AC21,AE21)*$AF$4,0),""))))</f>
        <v>0</v>
      </c>
      <c r="AG21" s="174"/>
      <c r="AH21" s="175" t="str">
        <f>IF(F21&lt;&gt;"",IF(Input!AL22&lt;&gt;"",Input!AL22,""),"")</f>
        <v/>
      </c>
      <c r="AI21" s="451" t="str">
        <f>IFERROR(IF($AH$5="","",IF(F21&lt;&gt;"",(Input!AL22/Input!$AL$6)*100,"")),"NA")</f>
        <v/>
      </c>
      <c r="AJ21" s="176" t="str">
        <f>IF(F21&lt;&gt;"",IF(Input!AM22&lt;&gt;"",Input!AM22,""),"")</f>
        <v/>
      </c>
      <c r="AK21" s="451" t="str">
        <f>IFERROR(IF($AJ$5="","",IF(F21&lt;&gt;"",(Input!AM22/Input!$AM$6)*100,"")),"NA")</f>
        <v/>
      </c>
      <c r="AL21" s="176" t="str">
        <f>IF(F21&lt;&gt;"",IF(Input!AN22&lt;&gt;"",Input!AN22,""),"")</f>
        <v/>
      </c>
      <c r="AM21" s="451" t="str">
        <f>IFERROR(IF($AL$5="","",IF(F21&lt;&gt;"",(Input!AN22/Input!$AN$6)*100,"")),"NA")</f>
        <v/>
      </c>
      <c r="AN21" s="177" t="str">
        <f>IF(F21&lt;&gt;"",IF(Input!AO22&lt;&gt;"",Input!AO22,""),"")</f>
        <v/>
      </c>
      <c r="AO21" s="451" t="str">
        <f>IFERROR(IF($AN$5="","",IF(F21&lt;&gt;"",(Input!AO22/Input!$AO$6)*100,"")),"NA")</f>
        <v/>
      </c>
      <c r="AP21" s="303">
        <f>IF(Input!AP22="Error","Error",IF(F21="","",IF($AH$5="",0,IF(F21&lt;&gt;"",IFERROR(AVERAGE(AI21,AK21,AM21,AO21)*$AP$4,0),""))))</f>
        <v>0</v>
      </c>
      <c r="AQ21" s="174"/>
      <c r="AR21" s="178" t="str">
        <f>IF(Input!AQ22="","",IF(F21&lt;&gt;"",Input!AQ22,""))</f>
        <v/>
      </c>
      <c r="AS21" s="179" t="str">
        <f>IF(F21="","",IF(Input!AR22="Error","Error",IF(ISNUMBER(Input!AR22),(Input!AR22*$AS$4),"")))</f>
        <v/>
      </c>
      <c r="AT21" s="331" t="str">
        <f>IF(V21="D","DRP",
IF(F21&lt;&gt;"",
IF(OR(AF21="Error",AP21="Error",AS21="Error"),"Error",
IF(Input!AQ22="","-",ROUND(AF21+AP21+AS21,2))),""))</f>
        <v>-</v>
      </c>
      <c r="AU21" s="180" t="str">
        <f>IF(F21&lt;&gt;"",VLOOKUP(AT21,TRANSMUTATION!$A$2:$B$14,2),"")</f>
        <v>INC</v>
      </c>
      <c r="AV21" s="232" t="str">
        <f t="shared" si="1"/>
        <v/>
      </c>
      <c r="BA21" s="97"/>
    </row>
    <row r="22" spans="1:53" ht="15" customHeight="1" x14ac:dyDescent="0.2">
      <c r="A22" s="97"/>
      <c r="B22" s="239"/>
      <c r="C22" s="194">
        <v>16</v>
      </c>
      <c r="D22" s="203" t="str">
        <f>IF(Input!D23&lt;&gt;"",IF(F22&lt;&gt;"",Input!D23,""),"")</f>
        <v>02000511382</v>
      </c>
      <c r="E22" s="297"/>
      <c r="F22" s="298" t="str">
        <f>(IF(Input!F23&lt;&gt;"",Input!F23,""))</f>
        <v>TUMACAG, JOHN RAVE VALERA</v>
      </c>
      <c r="G22" s="333"/>
      <c r="H22" s="333"/>
      <c r="I22" s="333"/>
      <c r="J22" s="333"/>
      <c r="K22" s="333"/>
      <c r="L22" s="333"/>
      <c r="M22" s="333"/>
      <c r="N22" s="333"/>
      <c r="O22" s="333"/>
      <c r="P22" s="333"/>
      <c r="Q22" s="333"/>
      <c r="R22" s="333"/>
      <c r="S22" s="333"/>
      <c r="T22" s="333"/>
      <c r="U22" s="333"/>
      <c r="V22" s="336"/>
      <c r="W22" s="173"/>
      <c r="X22" s="309" t="str">
        <f>IF(F22&lt;&gt;"",IF(Input!AG23&lt;&gt;"",Input!AG23,""),"")</f>
        <v/>
      </c>
      <c r="Y22" s="449" t="str">
        <f>IFERROR(IF($X$5="","",IF(F22&lt;&gt;"",(Input!AG23/Input!$AG$6)*100,"")),"NA")</f>
        <v/>
      </c>
      <c r="Z22" s="310" t="str">
        <f>IF(F22&lt;&gt;"",IF(Input!AH23&lt;&gt;"",Input!AH23,""),"")</f>
        <v/>
      </c>
      <c r="AA22" s="449" t="str">
        <f>IFERROR(IF($Z$5="","",IF(F22&lt;&gt;"",(Input!AH23/Input!$AH$6)*100,"")),"NA")</f>
        <v/>
      </c>
      <c r="AB22" s="310" t="str">
        <f>IF(F22&lt;&gt;"",IF(Input!AI23&lt;&gt;"",Input!AI23,""),"")</f>
        <v/>
      </c>
      <c r="AC22" s="449" t="str">
        <f>IFERROR(IF($AB$5="","",IF(F22&lt;&gt;"",(Input!AI23/Input!$AI$6)*100,"")),"NA")</f>
        <v/>
      </c>
      <c r="AD22" s="310" t="str">
        <f>IF(F22&lt;&gt;"",IF(Input!AJ23&lt;&gt;"",Input!AJ23,""),"")</f>
        <v/>
      </c>
      <c r="AE22" s="449" t="str">
        <f>IFERROR(IF($AD$5="","",IF(F22&lt;&gt;"",(Input!AJ23/Input!$AJ$6)*100,"")),"NA")</f>
        <v/>
      </c>
      <c r="AF22" s="108">
        <f>IF(Input!AK23="Error","Error",IF(F22="","",IF($X$5="",0,IF(F22&lt;&gt;"",IFERROR(AVERAGE(Y22,AA22,AC22,AE22)*$AF$4,0),""))))</f>
        <v>0</v>
      </c>
      <c r="AG22" s="174"/>
      <c r="AH22" s="175" t="str">
        <f>IF(F22&lt;&gt;"",IF(Input!AL23&lt;&gt;"",Input!AL23,""),"")</f>
        <v/>
      </c>
      <c r="AI22" s="451" t="str">
        <f>IFERROR(IF($AH$5="","",IF(F22&lt;&gt;"",(Input!AL23/Input!$AL$6)*100,"")),"NA")</f>
        <v/>
      </c>
      <c r="AJ22" s="176" t="str">
        <f>IF(F22&lt;&gt;"",IF(Input!AM23&lt;&gt;"",Input!AM23,""),"")</f>
        <v/>
      </c>
      <c r="AK22" s="451" t="str">
        <f>IFERROR(IF($AJ$5="","",IF(F22&lt;&gt;"",(Input!AM23/Input!$AM$6)*100,"")),"NA")</f>
        <v/>
      </c>
      <c r="AL22" s="176" t="str">
        <f>IF(F22&lt;&gt;"",IF(Input!AN23&lt;&gt;"",Input!AN23,""),"")</f>
        <v/>
      </c>
      <c r="AM22" s="451" t="str">
        <f>IFERROR(IF($AL$5="","",IF(F22&lt;&gt;"",(Input!AN23/Input!$AN$6)*100,"")),"NA")</f>
        <v/>
      </c>
      <c r="AN22" s="177" t="str">
        <f>IF(F22&lt;&gt;"",IF(Input!AO23&lt;&gt;"",Input!AO23,""),"")</f>
        <v/>
      </c>
      <c r="AO22" s="451" t="str">
        <f>IFERROR(IF($AN$5="","",IF(F22&lt;&gt;"",(Input!AO23/Input!$AO$6)*100,"")),"NA")</f>
        <v/>
      </c>
      <c r="AP22" s="303">
        <f>IF(Input!AP23="Error","Error",IF(F22="","",IF($AH$5="",0,IF(F22&lt;&gt;"",IFERROR(AVERAGE(AI22,AK22,AM22,AO22)*$AP$4,0),""))))</f>
        <v>0</v>
      </c>
      <c r="AQ22" s="174"/>
      <c r="AR22" s="178" t="str">
        <f>IF(Input!AQ23="","",IF(F22&lt;&gt;"",Input!AQ23,""))</f>
        <v/>
      </c>
      <c r="AS22" s="179" t="str">
        <f>IF(F22="","",IF(Input!AR23="Error","Error",IF(ISNUMBER(Input!AR23),(Input!AR23*$AS$4),"")))</f>
        <v/>
      </c>
      <c r="AT22" s="331" t="str">
        <f>IF(V22="D","DRP",
IF(F22&lt;&gt;"",
IF(OR(AF22="Error",AP22="Error",AS22="Error"),"Error",
IF(Input!AQ23="","-",ROUND(AF22+AP22+AS22,2))),""))</f>
        <v>-</v>
      </c>
      <c r="AU22" s="180" t="str">
        <f>IF(F22&lt;&gt;"",VLOOKUP(AT22,TRANSMUTATION!$A$2:$B$14,2),"")</f>
        <v>INC</v>
      </c>
      <c r="AV22" s="232" t="str">
        <f t="shared" si="1"/>
        <v/>
      </c>
      <c r="BA22" s="97"/>
    </row>
    <row r="23" spans="1:53" ht="15" customHeight="1" x14ac:dyDescent="0.2">
      <c r="A23" s="97"/>
      <c r="B23" s="239"/>
      <c r="C23" s="194">
        <v>17</v>
      </c>
      <c r="D23" s="203" t="str">
        <f>IF(Input!D24&lt;&gt;"",IF(F23&lt;&gt;"",Input!D24,""),"")</f>
        <v>02000301305</v>
      </c>
      <c r="E23" s="297"/>
      <c r="F23" s="298" t="str">
        <f>(IF(Input!F24&lt;&gt;"",Input!F24,""))</f>
        <v>UMALI, RINZO CAMU</v>
      </c>
      <c r="G23" s="333"/>
      <c r="H23" s="333"/>
      <c r="I23" s="333"/>
      <c r="J23" s="333"/>
      <c r="K23" s="333"/>
      <c r="L23" s="333"/>
      <c r="M23" s="333"/>
      <c r="N23" s="333"/>
      <c r="O23" s="333"/>
      <c r="P23" s="333"/>
      <c r="Q23" s="333"/>
      <c r="R23" s="333"/>
      <c r="S23" s="333"/>
      <c r="T23" s="333"/>
      <c r="U23" s="333"/>
      <c r="V23" s="336"/>
      <c r="W23" s="173"/>
      <c r="X23" s="309" t="str">
        <f>IF(F23&lt;&gt;"",IF(Input!AG24&lt;&gt;"",Input!AG24,""),"")</f>
        <v/>
      </c>
      <c r="Y23" s="449" t="str">
        <f>IFERROR(IF($X$5="","",IF(F23&lt;&gt;"",(Input!AG24/Input!$AG$6)*100,"")),"NA")</f>
        <v/>
      </c>
      <c r="Z23" s="310" t="str">
        <f>IF(F23&lt;&gt;"",IF(Input!AH24&lt;&gt;"",Input!AH24,""),"")</f>
        <v/>
      </c>
      <c r="AA23" s="449" t="str">
        <f>IFERROR(IF($Z$5="","",IF(F23&lt;&gt;"",(Input!AH24/Input!$AH$6)*100,"")),"NA")</f>
        <v/>
      </c>
      <c r="AB23" s="310" t="str">
        <f>IF(F23&lt;&gt;"",IF(Input!AI24&lt;&gt;"",Input!AI24,""),"")</f>
        <v/>
      </c>
      <c r="AC23" s="449" t="str">
        <f>IFERROR(IF($AB$5="","",IF(F23&lt;&gt;"",(Input!AI24/Input!$AI$6)*100,"")),"NA")</f>
        <v/>
      </c>
      <c r="AD23" s="310" t="str">
        <f>IF(F23&lt;&gt;"",IF(Input!AJ24&lt;&gt;"",Input!AJ24,""),"")</f>
        <v/>
      </c>
      <c r="AE23" s="449" t="str">
        <f>IFERROR(IF($AD$5="","",IF(F23&lt;&gt;"",(Input!AJ24/Input!$AJ$6)*100,"")),"NA")</f>
        <v/>
      </c>
      <c r="AF23" s="108">
        <f>IF(Input!AK24="Error","Error",IF(F23="","",IF($X$5="",0,IF(F23&lt;&gt;"",IFERROR(AVERAGE(Y23,AA23,AC23,AE23)*$AF$4,0),""))))</f>
        <v>0</v>
      </c>
      <c r="AG23" s="174"/>
      <c r="AH23" s="175" t="str">
        <f>IF(F23&lt;&gt;"",IF(Input!AL24&lt;&gt;"",Input!AL24,""),"")</f>
        <v/>
      </c>
      <c r="AI23" s="451" t="str">
        <f>IFERROR(IF($AH$5="","",IF(F23&lt;&gt;"",(Input!AL24/Input!$AL$6)*100,"")),"NA")</f>
        <v/>
      </c>
      <c r="AJ23" s="176" t="str">
        <f>IF(F23&lt;&gt;"",IF(Input!AM24&lt;&gt;"",Input!AM24,""),"")</f>
        <v/>
      </c>
      <c r="AK23" s="451" t="str">
        <f>IFERROR(IF($AJ$5="","",IF(F23&lt;&gt;"",(Input!AM24/Input!$AM$6)*100,"")),"NA")</f>
        <v/>
      </c>
      <c r="AL23" s="176" t="str">
        <f>IF(F23&lt;&gt;"",IF(Input!AN24&lt;&gt;"",Input!AN24,""),"")</f>
        <v/>
      </c>
      <c r="AM23" s="451" t="str">
        <f>IFERROR(IF($AL$5="","",IF(F23&lt;&gt;"",(Input!AN24/Input!$AN$6)*100,"")),"NA")</f>
        <v/>
      </c>
      <c r="AN23" s="177" t="str">
        <f>IF(F23&lt;&gt;"",IF(Input!AO24&lt;&gt;"",Input!AO24,""),"")</f>
        <v/>
      </c>
      <c r="AO23" s="451" t="str">
        <f>IFERROR(IF($AN$5="","",IF(F23&lt;&gt;"",(Input!AO24/Input!$AO$6)*100,"")),"NA")</f>
        <v/>
      </c>
      <c r="AP23" s="303">
        <f>IF(Input!AP24="Error","Error",IF(F23="","",IF($AH$5="",0,IF(F23&lt;&gt;"",IFERROR(AVERAGE(AI23,AK23,AM23,AO23)*$AP$4,0),""))))</f>
        <v>0</v>
      </c>
      <c r="AQ23" s="174"/>
      <c r="AR23" s="178" t="str">
        <f>IF(Input!AQ24="","",IF(F23&lt;&gt;"",Input!AQ24,""))</f>
        <v/>
      </c>
      <c r="AS23" s="179" t="str">
        <f>IF(F23="","",IF(Input!AR24="Error","Error",IF(ISNUMBER(Input!AR24),(Input!AR24*$AS$4),"")))</f>
        <v/>
      </c>
      <c r="AT23" s="331" t="str">
        <f>IF(V23="D","DRP",
IF(F23&lt;&gt;"",
IF(OR(AF23="Error",AP23="Error",AS23="Error"),"Error",
IF(Input!AQ24="","-",ROUND(AF23+AP23+AS23,2))),""))</f>
        <v>-</v>
      </c>
      <c r="AU23" s="180" t="str">
        <f>IF(F23&lt;&gt;"",VLOOKUP(AT23,TRANSMUTATION!$A$2:$B$14,2),"")</f>
        <v>INC</v>
      </c>
      <c r="AV23" s="232" t="str">
        <f t="shared" si="1"/>
        <v/>
      </c>
      <c r="BA23" s="97"/>
    </row>
    <row r="24" spans="1:53" ht="15" customHeight="1" x14ac:dyDescent="0.2">
      <c r="A24" s="97"/>
      <c r="B24" s="239"/>
      <c r="C24" s="194">
        <v>18</v>
      </c>
      <c r="D24" s="203" t="str">
        <f>IF(Input!D25&lt;&gt;"",IF(F24&lt;&gt;"",Input!D25,""),"")</f>
        <v/>
      </c>
      <c r="E24" s="297"/>
      <c r="F24" s="298" t="str">
        <f>(IF(Input!F25&lt;&gt;"",Input!F25,""))</f>
        <v/>
      </c>
      <c r="G24" s="333"/>
      <c r="H24" s="333"/>
      <c r="I24" s="333"/>
      <c r="J24" s="333"/>
      <c r="K24" s="333"/>
      <c r="L24" s="333"/>
      <c r="M24" s="333"/>
      <c r="N24" s="333"/>
      <c r="O24" s="333"/>
      <c r="P24" s="333"/>
      <c r="Q24" s="333"/>
      <c r="R24" s="333"/>
      <c r="S24" s="333"/>
      <c r="T24" s="333"/>
      <c r="U24" s="333"/>
      <c r="V24" s="336"/>
      <c r="W24" s="173"/>
      <c r="X24" s="309" t="str">
        <f>IF(F24&lt;&gt;"",IF(Input!AG25&lt;&gt;"",Input!AG25,""),"")</f>
        <v/>
      </c>
      <c r="Y24" s="449" t="str">
        <f>IFERROR(IF($X$5="","",IF(F24&lt;&gt;"",(Input!AG25/Input!$AG$6)*100,"")),"NA")</f>
        <v/>
      </c>
      <c r="Z24" s="310" t="str">
        <f>IF(F24&lt;&gt;"",IF(Input!AH25&lt;&gt;"",Input!AH25,""),"")</f>
        <v/>
      </c>
      <c r="AA24" s="449" t="str">
        <f>IFERROR(IF($Z$5="","",IF(F24&lt;&gt;"",(Input!AH25/Input!$AH$6)*100,"")),"NA")</f>
        <v/>
      </c>
      <c r="AB24" s="310" t="str">
        <f>IF(F24&lt;&gt;"",IF(Input!AI25&lt;&gt;"",Input!AI25,""),"")</f>
        <v/>
      </c>
      <c r="AC24" s="449" t="str">
        <f>IFERROR(IF($AB$5="","",IF(F24&lt;&gt;"",(Input!AI25/Input!$AI$6)*100,"")),"NA")</f>
        <v/>
      </c>
      <c r="AD24" s="310" t="str">
        <f>IF(F24&lt;&gt;"",IF(Input!AJ25&lt;&gt;"",Input!AJ25,""),"")</f>
        <v/>
      </c>
      <c r="AE24" s="449" t="str">
        <f>IFERROR(IF($AD$5="","",IF(F24&lt;&gt;"",(Input!AJ25/Input!$AJ$6)*100,"")),"NA")</f>
        <v/>
      </c>
      <c r="AF24" s="108" t="str">
        <f>IF(Input!AK25="Error","Error",IF(F24="","",IF($X$5="",0,IF(F24&lt;&gt;"",IFERROR(AVERAGE(Y24,AA24,AC24,AE24)*$AF$4,0),""))))</f>
        <v/>
      </c>
      <c r="AG24" s="174"/>
      <c r="AH24" s="175" t="str">
        <f>IF(F24&lt;&gt;"",IF(Input!AL25&lt;&gt;"",Input!AL25,""),"")</f>
        <v/>
      </c>
      <c r="AI24" s="451" t="str">
        <f>IFERROR(IF($AH$5="","",IF(F24&lt;&gt;"",(Input!AL25/Input!$AL$6)*100,"")),"NA")</f>
        <v/>
      </c>
      <c r="AJ24" s="176" t="str">
        <f>IF(F24&lt;&gt;"",IF(Input!AM25&lt;&gt;"",Input!AM25,""),"")</f>
        <v/>
      </c>
      <c r="AK24" s="451" t="str">
        <f>IFERROR(IF($AJ$5="","",IF(F24&lt;&gt;"",(Input!AM25/Input!$AM$6)*100,"")),"NA")</f>
        <v/>
      </c>
      <c r="AL24" s="176" t="str">
        <f>IF(F24&lt;&gt;"",IF(Input!AN25&lt;&gt;"",Input!AN25,""),"")</f>
        <v/>
      </c>
      <c r="AM24" s="451" t="str">
        <f>IFERROR(IF($AL$5="","",IF(F24&lt;&gt;"",(Input!AN25/Input!$AN$6)*100,"")),"NA")</f>
        <v/>
      </c>
      <c r="AN24" s="177" t="str">
        <f>IF(F24&lt;&gt;"",IF(Input!AO25&lt;&gt;"",Input!AO25,""),"")</f>
        <v/>
      </c>
      <c r="AO24" s="451" t="str">
        <f>IFERROR(IF($AN$5="","",IF(F24&lt;&gt;"",(Input!AO25/Input!$AO$6)*100,"")),"NA")</f>
        <v/>
      </c>
      <c r="AP24" s="303" t="str">
        <f>IF(Input!AP25="Error","Error",IF(F24="","",IF($AH$5="",0,IF(F24&lt;&gt;"",IFERROR(AVERAGE(AI24,AK24,AM24,AO24)*$AP$4,0),""))))</f>
        <v/>
      </c>
      <c r="AQ24" s="174"/>
      <c r="AR24" s="178" t="str">
        <f>IF(Input!AQ25="","",IF(F24&lt;&gt;"",Input!AQ25,""))</f>
        <v/>
      </c>
      <c r="AS24" s="179" t="str">
        <f>IF(F24="","",IF(Input!AR25="Error","Error",IF(ISNUMBER(Input!AR25),(Input!AR25*$AS$4),"")))</f>
        <v/>
      </c>
      <c r="AT24" s="331" t="str">
        <f>IF(V24="D","DRP",
IF(F24&lt;&gt;"",
IF(OR(AF24="Error",AP24="Error",AS24="Error"),"Error",
IF(Input!AQ25="","-",ROUND(AF24+AP24+AS24,2))),""))</f>
        <v/>
      </c>
      <c r="AU24" s="180" t="str">
        <f>IF(F24&lt;&gt;"",VLOOKUP(AT24,TRANSMUTATION!$A$2:$B$14,2),"")</f>
        <v/>
      </c>
      <c r="AV24" s="232" t="str">
        <f t="shared" si="1"/>
        <v/>
      </c>
      <c r="BA24" s="97"/>
    </row>
    <row r="25" spans="1:53" ht="15" customHeight="1" x14ac:dyDescent="0.2">
      <c r="A25" s="97"/>
      <c r="B25" s="239"/>
      <c r="C25" s="194">
        <v>19</v>
      </c>
      <c r="D25" s="203" t="str">
        <f>IF(Input!D26&lt;&gt;"",IF(F25&lt;&gt;"",Input!D26,""),"")</f>
        <v/>
      </c>
      <c r="E25" s="297"/>
      <c r="F25" s="298" t="str">
        <f>(IF(Input!F26&lt;&gt;"",Input!F26,""))</f>
        <v/>
      </c>
      <c r="G25" s="333"/>
      <c r="H25" s="333"/>
      <c r="I25" s="333"/>
      <c r="J25" s="333"/>
      <c r="K25" s="333"/>
      <c r="L25" s="333"/>
      <c r="M25" s="333"/>
      <c r="N25" s="333"/>
      <c r="O25" s="333"/>
      <c r="P25" s="333"/>
      <c r="Q25" s="333"/>
      <c r="R25" s="333"/>
      <c r="S25" s="333"/>
      <c r="T25" s="333"/>
      <c r="U25" s="333"/>
      <c r="V25" s="336"/>
      <c r="W25" s="173"/>
      <c r="X25" s="309" t="str">
        <f>IF(F25&lt;&gt;"",IF(Input!AG26&lt;&gt;"",Input!AG26,""),"")</f>
        <v/>
      </c>
      <c r="Y25" s="449" t="str">
        <f>IFERROR(IF($X$5="","",IF(F25&lt;&gt;"",(Input!AG26/Input!$AG$6)*100,"")),"NA")</f>
        <v/>
      </c>
      <c r="Z25" s="310" t="str">
        <f>IF(F25&lt;&gt;"",IF(Input!AH26&lt;&gt;"",Input!AH26,""),"")</f>
        <v/>
      </c>
      <c r="AA25" s="449" t="str">
        <f>IFERROR(IF($Z$5="","",IF(F25&lt;&gt;"",(Input!AH26/Input!$AH$6)*100,"")),"NA")</f>
        <v/>
      </c>
      <c r="AB25" s="310" t="str">
        <f>IF(F25&lt;&gt;"",IF(Input!AI26&lt;&gt;"",Input!AI26,""),"")</f>
        <v/>
      </c>
      <c r="AC25" s="449" t="str">
        <f>IFERROR(IF($AB$5="","",IF(F25&lt;&gt;"",(Input!AI26/Input!$AI$6)*100,"")),"NA")</f>
        <v/>
      </c>
      <c r="AD25" s="310" t="str">
        <f>IF(F25&lt;&gt;"",IF(Input!AJ26&lt;&gt;"",Input!AJ26,""),"")</f>
        <v/>
      </c>
      <c r="AE25" s="449" t="str">
        <f>IFERROR(IF($AD$5="","",IF(F25&lt;&gt;"",(Input!AJ26/Input!$AJ$6)*100,"")),"NA")</f>
        <v/>
      </c>
      <c r="AF25" s="108" t="str">
        <f>IF(Input!AK26="Error","Error",IF(F25="","",IF($X$5="",0,IF(F25&lt;&gt;"",IFERROR(AVERAGE(Y25,AA25,AC25,AE25)*$AF$4,0),""))))</f>
        <v/>
      </c>
      <c r="AG25" s="174"/>
      <c r="AH25" s="175" t="str">
        <f>IF(F25&lt;&gt;"",IF(Input!AL26&lt;&gt;"",Input!AL26,""),"")</f>
        <v/>
      </c>
      <c r="AI25" s="451" t="str">
        <f>IFERROR(IF($AH$5="","",IF(F25&lt;&gt;"",(Input!AL26/Input!$AL$6)*100,"")),"NA")</f>
        <v/>
      </c>
      <c r="AJ25" s="176" t="str">
        <f>IF(F25&lt;&gt;"",IF(Input!AM26&lt;&gt;"",Input!AM26,""),"")</f>
        <v/>
      </c>
      <c r="AK25" s="451" t="str">
        <f>IFERROR(IF($AJ$5="","",IF(F25&lt;&gt;"",(Input!AM26/Input!$AM$6)*100,"")),"NA")</f>
        <v/>
      </c>
      <c r="AL25" s="176" t="str">
        <f>IF(F25&lt;&gt;"",IF(Input!AN26&lt;&gt;"",Input!AN26,""),"")</f>
        <v/>
      </c>
      <c r="AM25" s="451" t="str">
        <f>IFERROR(IF($AL$5="","",IF(F25&lt;&gt;"",(Input!AN26/Input!$AN$6)*100,"")),"NA")</f>
        <v/>
      </c>
      <c r="AN25" s="177" t="str">
        <f>IF(F25&lt;&gt;"",IF(Input!AO26&lt;&gt;"",Input!AO26,""),"")</f>
        <v/>
      </c>
      <c r="AO25" s="451" t="str">
        <f>IFERROR(IF($AN$5="","",IF(F25&lt;&gt;"",(Input!AO26/Input!$AO$6)*100,"")),"NA")</f>
        <v/>
      </c>
      <c r="AP25" s="303" t="str">
        <f>IF(Input!AP26="Error","Error",IF(F25="","",IF($AH$5="",0,IF(F25&lt;&gt;"",IFERROR(AVERAGE(AI25,AK25,AM25,AO25)*$AP$4,0),""))))</f>
        <v/>
      </c>
      <c r="AQ25" s="174"/>
      <c r="AR25" s="178" t="str">
        <f>IF(Input!AQ26="","",IF(F25&lt;&gt;"",Input!AQ26,""))</f>
        <v/>
      </c>
      <c r="AS25" s="179" t="str">
        <f>IF(F25="","",IF(Input!AR26="Error","Error",IF(ISNUMBER(Input!AR26),(Input!AR26*$AS$4),"")))</f>
        <v/>
      </c>
      <c r="AT25" s="331" t="str">
        <f>IF(V25="D","DRP",
IF(F25&lt;&gt;"",
IF(OR(AF25="Error",AP25="Error",AS25="Error"),"Error",
IF(Input!AQ26="","-",ROUND(AF25+AP25+AS25,2))),""))</f>
        <v/>
      </c>
      <c r="AU25" s="180" t="str">
        <f>IF(F25&lt;&gt;"",VLOOKUP(AT25,TRANSMUTATION!$A$2:$B$14,2),"")</f>
        <v/>
      </c>
      <c r="AV25" s="232" t="str">
        <f t="shared" si="1"/>
        <v/>
      </c>
      <c r="BA25" s="97"/>
    </row>
    <row r="26" spans="1:53" ht="15" customHeight="1" x14ac:dyDescent="0.2">
      <c r="A26" s="97"/>
      <c r="B26" s="239"/>
      <c r="C26" s="194">
        <v>20</v>
      </c>
      <c r="D26" s="203" t="str">
        <f>IF(Input!D27&lt;&gt;"",IF(F26&lt;&gt;"",Input!D27,""),"")</f>
        <v/>
      </c>
      <c r="E26" s="297"/>
      <c r="F26" s="298" t="str">
        <f>(IF(Input!F27&lt;&gt;"",Input!F27,""))</f>
        <v/>
      </c>
      <c r="G26" s="333"/>
      <c r="H26" s="333"/>
      <c r="I26" s="333"/>
      <c r="J26" s="333"/>
      <c r="K26" s="333"/>
      <c r="L26" s="333"/>
      <c r="M26" s="333"/>
      <c r="N26" s="333"/>
      <c r="O26" s="333"/>
      <c r="P26" s="333"/>
      <c r="Q26" s="333"/>
      <c r="R26" s="333"/>
      <c r="S26" s="333"/>
      <c r="T26" s="333"/>
      <c r="U26" s="333"/>
      <c r="V26" s="336"/>
      <c r="W26" s="173"/>
      <c r="X26" s="309" t="str">
        <f>IF(F26&lt;&gt;"",IF(Input!AG27&lt;&gt;"",Input!AG27,""),"")</f>
        <v/>
      </c>
      <c r="Y26" s="449" t="str">
        <f>IFERROR(IF($X$5="","",IF(F26&lt;&gt;"",(Input!AG27/Input!$AG$6)*100,"")),"NA")</f>
        <v/>
      </c>
      <c r="Z26" s="310" t="str">
        <f>IF(F26&lt;&gt;"",IF(Input!AH27&lt;&gt;"",Input!AH27,""),"")</f>
        <v/>
      </c>
      <c r="AA26" s="449" t="str">
        <f>IFERROR(IF($Z$5="","",IF(F26&lt;&gt;"",(Input!AH27/Input!$AH$6)*100,"")),"NA")</f>
        <v/>
      </c>
      <c r="AB26" s="310" t="str">
        <f>IF(F26&lt;&gt;"",IF(Input!AI27&lt;&gt;"",Input!AI27,""),"")</f>
        <v/>
      </c>
      <c r="AC26" s="449" t="str">
        <f>IFERROR(IF($AB$5="","",IF(F26&lt;&gt;"",(Input!AI27/Input!$AI$6)*100,"")),"NA")</f>
        <v/>
      </c>
      <c r="AD26" s="310" t="str">
        <f>IF(F26&lt;&gt;"",IF(Input!AJ27&lt;&gt;"",Input!AJ27,""),"")</f>
        <v/>
      </c>
      <c r="AE26" s="449" t="str">
        <f>IFERROR(IF($AD$5="","",IF(F26&lt;&gt;"",(Input!AJ27/Input!$AJ$6)*100,"")),"NA")</f>
        <v/>
      </c>
      <c r="AF26" s="108" t="str">
        <f>IF(Input!AK27="Error","Error",IF(F26="","",IF($X$5="",0,IF(F26&lt;&gt;"",IFERROR(AVERAGE(Y26,AA26,AC26,AE26)*$AF$4,0),""))))</f>
        <v/>
      </c>
      <c r="AG26" s="174"/>
      <c r="AH26" s="175" t="str">
        <f>IF(F26&lt;&gt;"",IF(Input!AL27&lt;&gt;"",Input!AL27,""),"")</f>
        <v/>
      </c>
      <c r="AI26" s="451" t="str">
        <f>IFERROR(IF($AH$5="","",IF(F26&lt;&gt;"",(Input!AL27/Input!$AL$6)*100,"")),"NA")</f>
        <v/>
      </c>
      <c r="AJ26" s="176" t="str">
        <f>IF(F26&lt;&gt;"",IF(Input!AM27&lt;&gt;"",Input!AM27,""),"")</f>
        <v/>
      </c>
      <c r="AK26" s="451" t="str">
        <f>IFERROR(IF($AJ$5="","",IF(F26&lt;&gt;"",(Input!AM27/Input!$AM$6)*100,"")),"NA")</f>
        <v/>
      </c>
      <c r="AL26" s="176" t="str">
        <f>IF(F26&lt;&gt;"",IF(Input!AN27&lt;&gt;"",Input!AN27,""),"")</f>
        <v/>
      </c>
      <c r="AM26" s="451" t="str">
        <f>IFERROR(IF($AL$5="","",IF(F26&lt;&gt;"",(Input!AN27/Input!$AN$6)*100,"")),"NA")</f>
        <v/>
      </c>
      <c r="AN26" s="177" t="str">
        <f>IF(F26&lt;&gt;"",IF(Input!AO27&lt;&gt;"",Input!AO27,""),"")</f>
        <v/>
      </c>
      <c r="AO26" s="451" t="str">
        <f>IFERROR(IF($AN$5="","",IF(F26&lt;&gt;"",(Input!AO27/Input!$AO$6)*100,"")),"NA")</f>
        <v/>
      </c>
      <c r="AP26" s="303" t="str">
        <f>IF(Input!AP27="Error","Error",IF(F26="","",IF($AH$5="",0,IF(F26&lt;&gt;"",IFERROR(AVERAGE(AI26,AK26,AM26,AO26)*$AP$4,0),""))))</f>
        <v/>
      </c>
      <c r="AQ26" s="174"/>
      <c r="AR26" s="178" t="str">
        <f>IF(Input!AQ27="","",IF(F26&lt;&gt;"",Input!AQ27,""))</f>
        <v/>
      </c>
      <c r="AS26" s="179" t="str">
        <f>IF(F26="","",IF(Input!AR27="Error","Error",IF(ISNUMBER(Input!AR27),(Input!AR27*$AS$4),"")))</f>
        <v/>
      </c>
      <c r="AT26" s="331" t="str">
        <f>IF(V26="D","DRP",
IF(F26&lt;&gt;"",
IF(OR(AF26="Error",AP26="Error",AS26="Error"),"Error",
IF(Input!AQ27="","-",ROUND(AF26+AP26+AS26,2))),""))</f>
        <v/>
      </c>
      <c r="AU26" s="180" t="str">
        <f>IF(F26&lt;&gt;"",VLOOKUP(AT26,TRANSMUTATION!$A$2:$B$14,2),"")</f>
        <v/>
      </c>
      <c r="AV26" s="232" t="str">
        <f t="shared" si="1"/>
        <v/>
      </c>
      <c r="BA26" s="97"/>
    </row>
    <row r="27" spans="1:53" ht="15" customHeight="1" x14ac:dyDescent="0.2">
      <c r="A27" s="97"/>
      <c r="B27" s="239"/>
      <c r="C27" s="194">
        <v>21</v>
      </c>
      <c r="D27" s="203" t="str">
        <f>IF(Input!D28&lt;&gt;"",IF(F27&lt;&gt;"",Input!D28,""),"")</f>
        <v/>
      </c>
      <c r="E27" s="297"/>
      <c r="F27" s="298" t="str">
        <f>(IF(Input!F28&lt;&gt;"",Input!F28,""))</f>
        <v/>
      </c>
      <c r="G27" s="333"/>
      <c r="H27" s="333"/>
      <c r="I27" s="333"/>
      <c r="J27" s="333"/>
      <c r="K27" s="333"/>
      <c r="L27" s="333"/>
      <c r="M27" s="333"/>
      <c r="N27" s="333"/>
      <c r="O27" s="333"/>
      <c r="P27" s="333"/>
      <c r="Q27" s="333"/>
      <c r="R27" s="333"/>
      <c r="S27" s="333"/>
      <c r="T27" s="333"/>
      <c r="U27" s="333"/>
      <c r="V27" s="336"/>
      <c r="W27" s="173"/>
      <c r="X27" s="309" t="str">
        <f>IF(F27&lt;&gt;"",IF(Input!AG28&lt;&gt;"",Input!AG28,""),"")</f>
        <v/>
      </c>
      <c r="Y27" s="449" t="str">
        <f>IFERROR(IF($X$5="","",IF(F27&lt;&gt;"",(Input!AG28/Input!$AG$6)*100,"")),"NA")</f>
        <v/>
      </c>
      <c r="Z27" s="310" t="str">
        <f>IF(F27&lt;&gt;"",IF(Input!AH28&lt;&gt;"",Input!AH28,""),"")</f>
        <v/>
      </c>
      <c r="AA27" s="449" t="str">
        <f>IFERROR(IF($Z$5="","",IF(F27&lt;&gt;"",(Input!AH28/Input!$AH$6)*100,"")),"NA")</f>
        <v/>
      </c>
      <c r="AB27" s="310" t="str">
        <f>IF(F27&lt;&gt;"",IF(Input!AI28&lt;&gt;"",Input!AI28,""),"")</f>
        <v/>
      </c>
      <c r="AC27" s="449" t="str">
        <f>IFERROR(IF($AB$5="","",IF(F27&lt;&gt;"",(Input!AI28/Input!$AI$6)*100,"")),"NA")</f>
        <v/>
      </c>
      <c r="AD27" s="310" t="str">
        <f>IF(F27&lt;&gt;"",IF(Input!AJ28&lt;&gt;"",Input!AJ28,""),"")</f>
        <v/>
      </c>
      <c r="AE27" s="449" t="str">
        <f>IFERROR(IF($AD$5="","",IF(F27&lt;&gt;"",(Input!AJ28/Input!$AJ$6)*100,"")),"NA")</f>
        <v/>
      </c>
      <c r="AF27" s="108" t="str">
        <f>IF(Input!AK28="Error","Error",IF(F27="","",IF($X$5="",0,IF(F27&lt;&gt;"",IFERROR(AVERAGE(Y27,AA27,AC27,AE27)*$AF$4,0),""))))</f>
        <v/>
      </c>
      <c r="AG27" s="174"/>
      <c r="AH27" s="175" t="str">
        <f>IF(F27&lt;&gt;"",IF(Input!AL28&lt;&gt;"",Input!AL28,""),"")</f>
        <v/>
      </c>
      <c r="AI27" s="451" t="str">
        <f>IFERROR(IF($AH$5="","",IF(F27&lt;&gt;"",(Input!AL28/Input!$AL$6)*100,"")),"NA")</f>
        <v/>
      </c>
      <c r="AJ27" s="176" t="str">
        <f>IF(F27&lt;&gt;"",IF(Input!AM28&lt;&gt;"",Input!AM28,""),"")</f>
        <v/>
      </c>
      <c r="AK27" s="451" t="str">
        <f>IFERROR(IF($AJ$5="","",IF(F27&lt;&gt;"",(Input!AM28/Input!$AM$6)*100,"")),"NA")</f>
        <v/>
      </c>
      <c r="AL27" s="176" t="str">
        <f>IF(F27&lt;&gt;"",IF(Input!AN28&lt;&gt;"",Input!AN28,""),"")</f>
        <v/>
      </c>
      <c r="AM27" s="451" t="str">
        <f>IFERROR(IF($AL$5="","",IF(F27&lt;&gt;"",(Input!AN28/Input!$AN$6)*100,"")),"NA")</f>
        <v/>
      </c>
      <c r="AN27" s="177" t="str">
        <f>IF(F27&lt;&gt;"",IF(Input!AO28&lt;&gt;"",Input!AO28,""),"")</f>
        <v/>
      </c>
      <c r="AO27" s="451" t="str">
        <f>IFERROR(IF($AN$5="","",IF(F27&lt;&gt;"",(Input!AO28/Input!$AO$6)*100,"")),"NA")</f>
        <v/>
      </c>
      <c r="AP27" s="303" t="str">
        <f>IF(Input!AP28="Error","Error",IF(F27="","",IF($AH$5="",0,IF(F27&lt;&gt;"",IFERROR(AVERAGE(AI27,AK27,AM27,AO27)*$AP$4,0),""))))</f>
        <v/>
      </c>
      <c r="AQ27" s="174"/>
      <c r="AR27" s="178" t="str">
        <f>IF(Input!AQ28="","",IF(F27&lt;&gt;"",Input!AQ28,""))</f>
        <v/>
      </c>
      <c r="AS27" s="179" t="str">
        <f>IF(F27="","",IF(Input!AR28="Error","Error",IF(ISNUMBER(Input!AR28),(Input!AR28*$AS$4),"")))</f>
        <v/>
      </c>
      <c r="AT27" s="331" t="str">
        <f>IF(V27="D","DRP",
IF(F27&lt;&gt;"",
IF(OR(AF27="Error",AP27="Error",AS27="Error"),"Error",
IF(Input!AQ28="","-",ROUND(AF27+AP27+AS27,2))),""))</f>
        <v/>
      </c>
      <c r="AU27" s="180" t="str">
        <f>IF(F27&lt;&gt;"",VLOOKUP(AT27,TRANSMUTATION!$A$2:$B$14,2),"")</f>
        <v/>
      </c>
      <c r="AV27" s="232" t="str">
        <f t="shared" si="1"/>
        <v/>
      </c>
      <c r="BA27" s="97"/>
    </row>
    <row r="28" spans="1:53" ht="15" customHeight="1" x14ac:dyDescent="0.2">
      <c r="A28" s="97"/>
      <c r="B28" s="239"/>
      <c r="C28" s="194">
        <v>22</v>
      </c>
      <c r="D28" s="203" t="str">
        <f>IF(Input!D29&lt;&gt;"",IF(F28&lt;&gt;"",Input!D29,""),"")</f>
        <v/>
      </c>
      <c r="E28" s="297"/>
      <c r="F28" s="298" t="str">
        <f>(IF(Input!F29&lt;&gt;"",Input!F29,""))</f>
        <v/>
      </c>
      <c r="G28" s="333"/>
      <c r="H28" s="333"/>
      <c r="I28" s="333"/>
      <c r="J28" s="333"/>
      <c r="K28" s="333"/>
      <c r="L28" s="333"/>
      <c r="M28" s="333"/>
      <c r="N28" s="333"/>
      <c r="O28" s="333"/>
      <c r="P28" s="333"/>
      <c r="Q28" s="333"/>
      <c r="R28" s="333"/>
      <c r="S28" s="333"/>
      <c r="T28" s="333"/>
      <c r="U28" s="333"/>
      <c r="V28" s="336"/>
      <c r="W28" s="173"/>
      <c r="X28" s="309" t="str">
        <f>IF(F28&lt;&gt;"",IF(Input!AG29&lt;&gt;"",Input!AG29,""),"")</f>
        <v/>
      </c>
      <c r="Y28" s="449" t="str">
        <f>IFERROR(IF($X$5="","",IF(F28&lt;&gt;"",(Input!AG29/Input!$AG$6)*100,"")),"NA")</f>
        <v/>
      </c>
      <c r="Z28" s="310" t="str">
        <f>IF(F28&lt;&gt;"",IF(Input!AH29&lt;&gt;"",Input!AH29,""),"")</f>
        <v/>
      </c>
      <c r="AA28" s="449" t="str">
        <f>IFERROR(IF($Z$5="","",IF(F28&lt;&gt;"",(Input!AH29/Input!$AH$6)*100,"")),"NA")</f>
        <v/>
      </c>
      <c r="AB28" s="310" t="str">
        <f>IF(F28&lt;&gt;"",IF(Input!AI29&lt;&gt;"",Input!AI29,""),"")</f>
        <v/>
      </c>
      <c r="AC28" s="449" t="str">
        <f>IFERROR(IF($AB$5="","",IF(F28&lt;&gt;"",(Input!AI29/Input!$AI$6)*100,"")),"NA")</f>
        <v/>
      </c>
      <c r="AD28" s="310" t="str">
        <f>IF(F28&lt;&gt;"",IF(Input!AJ29&lt;&gt;"",Input!AJ29,""),"")</f>
        <v/>
      </c>
      <c r="AE28" s="449" t="str">
        <f>IFERROR(IF($AD$5="","",IF(F28&lt;&gt;"",(Input!AJ29/Input!$AJ$6)*100,"")),"NA")</f>
        <v/>
      </c>
      <c r="AF28" s="108" t="str">
        <f>IF(Input!AK29="Error","Error",IF(F28="","",IF($X$5="",0,IF(F28&lt;&gt;"",IFERROR(AVERAGE(Y28,AA28,AC28,AE28)*$AF$4,0),""))))</f>
        <v/>
      </c>
      <c r="AG28" s="174"/>
      <c r="AH28" s="175" t="str">
        <f>IF(F28&lt;&gt;"",IF(Input!AL29&lt;&gt;"",Input!AL29,""),"")</f>
        <v/>
      </c>
      <c r="AI28" s="451" t="str">
        <f>IFERROR(IF($AH$5="","",IF(F28&lt;&gt;"",(Input!AL29/Input!$AL$6)*100,"")),"NA")</f>
        <v/>
      </c>
      <c r="AJ28" s="176" t="str">
        <f>IF(F28&lt;&gt;"",IF(Input!AM29&lt;&gt;"",Input!AM29,""),"")</f>
        <v/>
      </c>
      <c r="AK28" s="451" t="str">
        <f>IFERROR(IF($AJ$5="","",IF(F28&lt;&gt;"",(Input!AM29/Input!$AM$6)*100,"")),"NA")</f>
        <v/>
      </c>
      <c r="AL28" s="176" t="str">
        <f>IF(F28&lt;&gt;"",IF(Input!AN29&lt;&gt;"",Input!AN29,""),"")</f>
        <v/>
      </c>
      <c r="AM28" s="451" t="str">
        <f>IFERROR(IF($AL$5="","",IF(F28&lt;&gt;"",(Input!AN29/Input!$AN$6)*100,"")),"NA")</f>
        <v/>
      </c>
      <c r="AN28" s="177" t="str">
        <f>IF(F28&lt;&gt;"",IF(Input!AO29&lt;&gt;"",Input!AO29,""),"")</f>
        <v/>
      </c>
      <c r="AO28" s="451" t="str">
        <f>IFERROR(IF($AN$5="","",IF(F28&lt;&gt;"",(Input!AO29/Input!$AO$6)*100,"")),"NA")</f>
        <v/>
      </c>
      <c r="AP28" s="303" t="str">
        <f>IF(Input!AP29="Error","Error",IF(F28="","",IF($AH$5="",0,IF(F28&lt;&gt;"",IFERROR(AVERAGE(AI28,AK28,AM28,AO28)*$AP$4,0),""))))</f>
        <v/>
      </c>
      <c r="AQ28" s="174"/>
      <c r="AR28" s="178" t="str">
        <f>IF(Input!AQ29="","",IF(F28&lt;&gt;"",Input!AQ29,""))</f>
        <v/>
      </c>
      <c r="AS28" s="179" t="str">
        <f>IF(F28="","",IF(Input!AR29="Error","Error",IF(ISNUMBER(Input!AR29),(Input!AR29*$AS$4),"")))</f>
        <v/>
      </c>
      <c r="AT28" s="331" t="str">
        <f>IF(V28="D","DRP",
IF(F28&lt;&gt;"",
IF(OR(AF28="Error",AP28="Error",AS28="Error"),"Error",
IF(Input!AQ29="","-",ROUND(AF28+AP28+AS28,2))),""))</f>
        <v/>
      </c>
      <c r="AU28" s="180" t="str">
        <f>IF(F28&lt;&gt;"",VLOOKUP(AT28,TRANSMUTATION!$A$2:$B$14,2),"")</f>
        <v/>
      </c>
      <c r="AV28" s="232" t="str">
        <f t="shared" si="1"/>
        <v/>
      </c>
      <c r="BA28" s="97"/>
    </row>
    <row r="29" spans="1:53" ht="15" customHeight="1" x14ac:dyDescent="0.2">
      <c r="A29" s="97"/>
      <c r="B29" s="239"/>
      <c r="C29" s="194">
        <v>23</v>
      </c>
      <c r="D29" s="203" t="str">
        <f>IF(Input!D30&lt;&gt;"",IF(F29&lt;&gt;"",Input!D30,""),"")</f>
        <v/>
      </c>
      <c r="E29" s="297"/>
      <c r="F29" s="298" t="str">
        <f>(IF(Input!F30&lt;&gt;"",Input!F30,""))</f>
        <v/>
      </c>
      <c r="G29" s="333"/>
      <c r="H29" s="333"/>
      <c r="I29" s="333"/>
      <c r="J29" s="333"/>
      <c r="K29" s="333"/>
      <c r="L29" s="333"/>
      <c r="M29" s="333"/>
      <c r="N29" s="333"/>
      <c r="O29" s="333"/>
      <c r="P29" s="333"/>
      <c r="Q29" s="333"/>
      <c r="R29" s="333"/>
      <c r="S29" s="333"/>
      <c r="T29" s="333"/>
      <c r="U29" s="333"/>
      <c r="V29" s="336"/>
      <c r="W29" s="173"/>
      <c r="X29" s="309" t="str">
        <f>IF(F29&lt;&gt;"",IF(Input!AG30&lt;&gt;"",Input!AG30,""),"")</f>
        <v/>
      </c>
      <c r="Y29" s="449" t="str">
        <f>IFERROR(IF($X$5="","",IF(F29&lt;&gt;"",(Input!AG30/Input!$AG$6)*100,"")),"NA")</f>
        <v/>
      </c>
      <c r="Z29" s="310" t="str">
        <f>IF(F29&lt;&gt;"",IF(Input!AH30&lt;&gt;"",Input!AH30,""),"")</f>
        <v/>
      </c>
      <c r="AA29" s="449" t="str">
        <f>IFERROR(IF($Z$5="","",IF(F29&lt;&gt;"",(Input!AH30/Input!$AH$6)*100,"")),"NA")</f>
        <v/>
      </c>
      <c r="AB29" s="310" t="str">
        <f>IF(F29&lt;&gt;"",IF(Input!AI30&lt;&gt;"",Input!AI30,""),"")</f>
        <v/>
      </c>
      <c r="AC29" s="449" t="str">
        <f>IFERROR(IF($AB$5="","",IF(F29&lt;&gt;"",(Input!AI30/Input!$AI$6)*100,"")),"NA")</f>
        <v/>
      </c>
      <c r="AD29" s="310" t="str">
        <f>IF(F29&lt;&gt;"",IF(Input!AJ30&lt;&gt;"",Input!AJ30,""),"")</f>
        <v/>
      </c>
      <c r="AE29" s="449" t="str">
        <f>IFERROR(IF($AD$5="","",IF(F29&lt;&gt;"",(Input!AJ30/Input!$AJ$6)*100,"")),"NA")</f>
        <v/>
      </c>
      <c r="AF29" s="108" t="str">
        <f>IF(Input!AK30="Error","Error",IF(F29="","",IF($X$5="",0,IF(F29&lt;&gt;"",IFERROR(AVERAGE(Y29,AA29,AC29,AE29)*$AF$4,0),""))))</f>
        <v/>
      </c>
      <c r="AG29" s="174"/>
      <c r="AH29" s="175" t="str">
        <f>IF(F29&lt;&gt;"",IF(Input!AL30&lt;&gt;"",Input!AL30,""),"")</f>
        <v/>
      </c>
      <c r="AI29" s="451" t="str">
        <f>IFERROR(IF($AH$5="","",IF(F29&lt;&gt;"",(Input!AL30/Input!$AL$6)*100,"")),"NA")</f>
        <v/>
      </c>
      <c r="AJ29" s="176" t="str">
        <f>IF(F29&lt;&gt;"",IF(Input!AM30&lt;&gt;"",Input!AM30,""),"")</f>
        <v/>
      </c>
      <c r="AK29" s="451" t="str">
        <f>IFERROR(IF($AJ$5="","",IF(F29&lt;&gt;"",(Input!AM30/Input!$AM$6)*100,"")),"NA")</f>
        <v/>
      </c>
      <c r="AL29" s="176" t="str">
        <f>IF(F29&lt;&gt;"",IF(Input!AN30&lt;&gt;"",Input!AN30,""),"")</f>
        <v/>
      </c>
      <c r="AM29" s="451" t="str">
        <f>IFERROR(IF($AL$5="","",IF(F29&lt;&gt;"",(Input!AN30/Input!$AN$6)*100,"")),"NA")</f>
        <v/>
      </c>
      <c r="AN29" s="177" t="str">
        <f>IF(F29&lt;&gt;"",IF(Input!AO30&lt;&gt;"",Input!AO30,""),"")</f>
        <v/>
      </c>
      <c r="AO29" s="451" t="str">
        <f>IFERROR(IF($AN$5="","",IF(F29&lt;&gt;"",(Input!AO30/Input!$AO$6)*100,"")),"NA")</f>
        <v/>
      </c>
      <c r="AP29" s="303" t="str">
        <f>IF(Input!AP30="Error","Error",IF(F29="","",IF($AH$5="",0,IF(F29&lt;&gt;"",IFERROR(AVERAGE(AI29,AK29,AM29,AO29)*$AP$4,0),""))))</f>
        <v/>
      </c>
      <c r="AQ29" s="174"/>
      <c r="AR29" s="178" t="str">
        <f>IF(Input!AQ30="","",IF(F29&lt;&gt;"",Input!AQ30,""))</f>
        <v/>
      </c>
      <c r="AS29" s="179" t="str">
        <f>IF(F29="","",IF(Input!AR30="Error","Error",IF(ISNUMBER(Input!AR30),(Input!AR30*$AS$4),"")))</f>
        <v/>
      </c>
      <c r="AT29" s="331" t="str">
        <f>IF(V29="D","DRP",
IF(F29&lt;&gt;"",
IF(OR(AF29="Error",AP29="Error",AS29="Error"),"Error",
IF(Input!AQ30="","-",ROUND(AF29+AP29+AS29,2))),""))</f>
        <v/>
      </c>
      <c r="AU29" s="180" t="str">
        <f>IF(F29&lt;&gt;"",VLOOKUP(AT29,TRANSMUTATION!$A$2:$B$14,2),"")</f>
        <v/>
      </c>
      <c r="AV29" s="232" t="str">
        <f t="shared" si="1"/>
        <v/>
      </c>
      <c r="BA29" s="97"/>
    </row>
    <row r="30" spans="1:53" ht="15" customHeight="1" x14ac:dyDescent="0.2">
      <c r="A30" s="97"/>
      <c r="B30" s="239"/>
      <c r="C30" s="194">
        <v>24</v>
      </c>
      <c r="D30" s="203" t="str">
        <f>IF(Input!D31&lt;&gt;"",IF(F30&lt;&gt;"",Input!D31,""),"")</f>
        <v/>
      </c>
      <c r="E30" s="297"/>
      <c r="F30" s="298" t="str">
        <f>(IF(Input!F31&lt;&gt;"",Input!F31,""))</f>
        <v/>
      </c>
      <c r="G30" s="333"/>
      <c r="H30" s="333"/>
      <c r="I30" s="333"/>
      <c r="J30" s="333"/>
      <c r="K30" s="333"/>
      <c r="L30" s="333"/>
      <c r="M30" s="333"/>
      <c r="N30" s="333"/>
      <c r="O30" s="333"/>
      <c r="P30" s="333"/>
      <c r="Q30" s="333"/>
      <c r="R30" s="333"/>
      <c r="S30" s="333"/>
      <c r="T30" s="333"/>
      <c r="U30" s="333"/>
      <c r="V30" s="336"/>
      <c r="W30" s="173"/>
      <c r="X30" s="309" t="str">
        <f>IF(F30&lt;&gt;"",IF(Input!AG31&lt;&gt;"",Input!AG31,""),"")</f>
        <v/>
      </c>
      <c r="Y30" s="449" t="str">
        <f>IFERROR(IF($X$5="","",IF(F30&lt;&gt;"",(Input!AG31/Input!$AG$6)*100,"")),"NA")</f>
        <v/>
      </c>
      <c r="Z30" s="310" t="str">
        <f>IF(F30&lt;&gt;"",IF(Input!AH31&lt;&gt;"",Input!AH31,""),"")</f>
        <v/>
      </c>
      <c r="AA30" s="449" t="str">
        <f>IFERROR(IF($Z$5="","",IF(F30&lt;&gt;"",(Input!AH31/Input!$AH$6)*100,"")),"NA")</f>
        <v/>
      </c>
      <c r="AB30" s="310" t="str">
        <f>IF(F30&lt;&gt;"",IF(Input!AI31&lt;&gt;"",Input!AI31,""),"")</f>
        <v/>
      </c>
      <c r="AC30" s="449" t="str">
        <f>IFERROR(IF($AB$5="","",IF(F30&lt;&gt;"",(Input!AI31/Input!$AI$6)*100,"")),"NA")</f>
        <v/>
      </c>
      <c r="AD30" s="310" t="str">
        <f>IF(F30&lt;&gt;"",IF(Input!AJ31&lt;&gt;"",Input!AJ31,""),"")</f>
        <v/>
      </c>
      <c r="AE30" s="449" t="str">
        <f>IFERROR(IF($AD$5="","",IF(F30&lt;&gt;"",(Input!AJ31/Input!$AJ$6)*100,"")),"NA")</f>
        <v/>
      </c>
      <c r="AF30" s="108" t="str">
        <f>IF(Input!AK31="Error","Error",IF(F30="","",IF($X$5="",0,IF(F30&lt;&gt;"",IFERROR(AVERAGE(Y30,AA30,AC30,AE30)*$AF$4,0),""))))</f>
        <v/>
      </c>
      <c r="AG30" s="174"/>
      <c r="AH30" s="175" t="str">
        <f>IF(F30&lt;&gt;"",IF(Input!AL31&lt;&gt;"",Input!AL31,""),"")</f>
        <v/>
      </c>
      <c r="AI30" s="451" t="str">
        <f>IFERROR(IF($AH$5="","",IF(F30&lt;&gt;"",(Input!AL31/Input!$AL$6)*100,"")),"NA")</f>
        <v/>
      </c>
      <c r="AJ30" s="176" t="str">
        <f>IF(F30&lt;&gt;"",IF(Input!AM31&lt;&gt;"",Input!AM31,""),"")</f>
        <v/>
      </c>
      <c r="AK30" s="451" t="str">
        <f>IFERROR(IF($AJ$5="","",IF(F30&lt;&gt;"",(Input!AM31/Input!$AM$6)*100,"")),"NA")</f>
        <v/>
      </c>
      <c r="AL30" s="176" t="str">
        <f>IF(F30&lt;&gt;"",IF(Input!AN31&lt;&gt;"",Input!AN31,""),"")</f>
        <v/>
      </c>
      <c r="AM30" s="451" t="str">
        <f>IFERROR(IF($AL$5="","",IF(F30&lt;&gt;"",(Input!AN31/Input!$AN$6)*100,"")),"NA")</f>
        <v/>
      </c>
      <c r="AN30" s="177" t="str">
        <f>IF(F30&lt;&gt;"",IF(Input!AO31&lt;&gt;"",Input!AO31,""),"")</f>
        <v/>
      </c>
      <c r="AO30" s="451" t="str">
        <f>IFERROR(IF($AN$5="","",IF(F30&lt;&gt;"",(Input!AO31/Input!$AO$6)*100,"")),"NA")</f>
        <v/>
      </c>
      <c r="AP30" s="303" t="str">
        <f>IF(Input!AP31="Error","Error",IF(F30="","",IF($AH$5="",0,IF(F30&lt;&gt;"",IFERROR(AVERAGE(AI30,AK30,AM30,AO30)*$AP$4,0),""))))</f>
        <v/>
      </c>
      <c r="AQ30" s="174"/>
      <c r="AR30" s="178" t="str">
        <f>IF(Input!AQ31="","",IF(F30&lt;&gt;"",Input!AQ31,""))</f>
        <v/>
      </c>
      <c r="AS30" s="179" t="str">
        <f>IF(F30="","",IF(Input!AR31="Error","Error",IF(ISNUMBER(Input!AR31),(Input!AR31*$AS$4),"")))</f>
        <v/>
      </c>
      <c r="AT30" s="331" t="str">
        <f>IF(V30="D","DRP",
IF(F30&lt;&gt;"",
IF(OR(AF30="Error",AP30="Error",AS30="Error"),"Error",
IF(Input!AQ31="","-",ROUND(AF30+AP30+AS30,2))),""))</f>
        <v/>
      </c>
      <c r="AU30" s="180" t="str">
        <f>IF(F30&lt;&gt;"",VLOOKUP(AT30,TRANSMUTATION!$A$2:$B$14,2),"")</f>
        <v/>
      </c>
      <c r="AV30" s="232" t="str">
        <f t="shared" si="1"/>
        <v/>
      </c>
      <c r="BA30" s="97"/>
    </row>
    <row r="31" spans="1:53" ht="15" customHeight="1" x14ac:dyDescent="0.2">
      <c r="A31" s="97"/>
      <c r="B31" s="239"/>
      <c r="C31" s="194">
        <v>25</v>
      </c>
      <c r="D31" s="203" t="str">
        <f>IF(Input!D32&lt;&gt;"",IF(F31&lt;&gt;"",Input!D32,""),"")</f>
        <v/>
      </c>
      <c r="E31" s="297"/>
      <c r="F31" s="298" t="str">
        <f>(IF(Input!F32&lt;&gt;"",Input!F32,""))</f>
        <v/>
      </c>
      <c r="G31" s="333"/>
      <c r="H31" s="333"/>
      <c r="I31" s="333"/>
      <c r="J31" s="333"/>
      <c r="K31" s="333"/>
      <c r="L31" s="333"/>
      <c r="M31" s="333"/>
      <c r="N31" s="333"/>
      <c r="O31" s="333"/>
      <c r="P31" s="333"/>
      <c r="Q31" s="333"/>
      <c r="R31" s="333"/>
      <c r="S31" s="333"/>
      <c r="T31" s="333"/>
      <c r="U31" s="333"/>
      <c r="V31" s="336"/>
      <c r="W31" s="173"/>
      <c r="X31" s="309" t="str">
        <f>IF(F31&lt;&gt;"",IF(Input!AG32&lt;&gt;"",Input!AG32,""),"")</f>
        <v/>
      </c>
      <c r="Y31" s="449" t="str">
        <f>IFERROR(IF($X$5="","",IF(F31&lt;&gt;"",(Input!AG32/Input!$AG$6)*100,"")),"NA")</f>
        <v/>
      </c>
      <c r="Z31" s="310" t="str">
        <f>IF(F31&lt;&gt;"",IF(Input!AH32&lt;&gt;"",Input!AH32,""),"")</f>
        <v/>
      </c>
      <c r="AA31" s="449" t="str">
        <f>IFERROR(IF($Z$5="","",IF(F31&lt;&gt;"",(Input!AH32/Input!$AH$6)*100,"")),"NA")</f>
        <v/>
      </c>
      <c r="AB31" s="310" t="str">
        <f>IF(F31&lt;&gt;"",IF(Input!AI32&lt;&gt;"",Input!AI32,""),"")</f>
        <v/>
      </c>
      <c r="AC31" s="449" t="str">
        <f>IFERROR(IF($AB$5="","",IF(F31&lt;&gt;"",(Input!AI32/Input!$AI$6)*100,"")),"NA")</f>
        <v/>
      </c>
      <c r="AD31" s="310" t="str">
        <f>IF(F31&lt;&gt;"",IF(Input!AJ32&lt;&gt;"",Input!AJ32,""),"")</f>
        <v/>
      </c>
      <c r="AE31" s="449" t="str">
        <f>IFERROR(IF($AD$5="","",IF(F31&lt;&gt;"",(Input!AJ32/Input!$AJ$6)*100,"")),"NA")</f>
        <v/>
      </c>
      <c r="AF31" s="108" t="str">
        <f>IF(Input!AK32="Error","Error",IF(F31="","",IF($X$5="",0,IF(F31&lt;&gt;"",IFERROR(AVERAGE(Y31,AA31,AC31,AE31)*$AF$4,0),""))))</f>
        <v/>
      </c>
      <c r="AG31" s="174"/>
      <c r="AH31" s="175" t="str">
        <f>IF(F31&lt;&gt;"",IF(Input!AL32&lt;&gt;"",Input!AL32,""),"")</f>
        <v/>
      </c>
      <c r="AI31" s="451" t="str">
        <f>IFERROR(IF($AH$5="","",IF(F31&lt;&gt;"",(Input!AL32/Input!$AL$6)*100,"")),"NA")</f>
        <v/>
      </c>
      <c r="AJ31" s="176" t="str">
        <f>IF(F31&lt;&gt;"",IF(Input!AM32&lt;&gt;"",Input!AM32,""),"")</f>
        <v/>
      </c>
      <c r="AK31" s="451" t="str">
        <f>IFERROR(IF($AJ$5="","",IF(F31&lt;&gt;"",(Input!AM32/Input!$AM$6)*100,"")),"NA")</f>
        <v/>
      </c>
      <c r="AL31" s="176" t="str">
        <f>IF(F31&lt;&gt;"",IF(Input!AN32&lt;&gt;"",Input!AN32,""),"")</f>
        <v/>
      </c>
      <c r="AM31" s="451" t="str">
        <f>IFERROR(IF($AL$5="","",IF(F31&lt;&gt;"",(Input!AN32/Input!$AN$6)*100,"")),"NA")</f>
        <v/>
      </c>
      <c r="AN31" s="177" t="str">
        <f>IF(F31&lt;&gt;"",IF(Input!AO32&lt;&gt;"",Input!AO32,""),"")</f>
        <v/>
      </c>
      <c r="AO31" s="451" t="str">
        <f>IFERROR(IF($AN$5="","",IF(F31&lt;&gt;"",(Input!AO32/Input!$AO$6)*100,"")),"NA")</f>
        <v/>
      </c>
      <c r="AP31" s="303" t="str">
        <f>IF(Input!AP32="Error","Error",IF(F31="","",IF($AH$5="",0,IF(F31&lt;&gt;"",IFERROR(AVERAGE(AI31,AK31,AM31,AO31)*$AP$4,0),""))))</f>
        <v/>
      </c>
      <c r="AQ31" s="174"/>
      <c r="AR31" s="178" t="str">
        <f>IF(Input!AQ32="","",IF(F31&lt;&gt;"",Input!AQ32,""))</f>
        <v/>
      </c>
      <c r="AS31" s="179" t="str">
        <f>IF(F31="","",IF(Input!AR32="Error","Error",IF(ISNUMBER(Input!AR32),(Input!AR32*$AS$4),"")))</f>
        <v/>
      </c>
      <c r="AT31" s="331" t="str">
        <f>IF(V31="D","DRP",
IF(F31&lt;&gt;"",
IF(OR(AF31="Error",AP31="Error",AS31="Error"),"Error",
IF(Input!AQ32="","-",ROUND(AF31+AP31+AS31,2))),""))</f>
        <v/>
      </c>
      <c r="AU31" s="180" t="str">
        <f>IF(F31&lt;&gt;"",VLOOKUP(AT31,TRANSMUTATION!$A$2:$B$14,2),"")</f>
        <v/>
      </c>
      <c r="AV31" s="232" t="str">
        <f t="shared" si="1"/>
        <v/>
      </c>
      <c r="BA31" s="97"/>
    </row>
    <row r="32" spans="1:53" ht="15" customHeight="1" x14ac:dyDescent="0.2">
      <c r="A32" s="97"/>
      <c r="B32" s="239"/>
      <c r="C32" s="194">
        <v>26</v>
      </c>
      <c r="D32" s="203" t="str">
        <f>IF(Input!D33&lt;&gt;"",IF(F32&lt;&gt;"",Input!D33,""),"")</f>
        <v/>
      </c>
      <c r="E32" s="297"/>
      <c r="F32" s="298" t="str">
        <f>(IF(Input!F33&lt;&gt;"",Input!F33,""))</f>
        <v/>
      </c>
      <c r="G32" s="333"/>
      <c r="H32" s="333"/>
      <c r="I32" s="333"/>
      <c r="J32" s="333"/>
      <c r="K32" s="333"/>
      <c r="L32" s="333"/>
      <c r="M32" s="333"/>
      <c r="N32" s="333"/>
      <c r="O32" s="333"/>
      <c r="P32" s="333"/>
      <c r="Q32" s="333"/>
      <c r="R32" s="333"/>
      <c r="S32" s="333"/>
      <c r="T32" s="333"/>
      <c r="U32" s="333"/>
      <c r="V32" s="336"/>
      <c r="W32" s="173"/>
      <c r="X32" s="309" t="str">
        <f>IF(F32&lt;&gt;"",IF(Input!AG33&lt;&gt;"",Input!AG33,""),"")</f>
        <v/>
      </c>
      <c r="Y32" s="449" t="str">
        <f>IFERROR(IF($X$5="","",IF(F32&lt;&gt;"",(Input!AG33/Input!$AG$6)*100,"")),"NA")</f>
        <v/>
      </c>
      <c r="Z32" s="310" t="str">
        <f>IF(F32&lt;&gt;"",IF(Input!AH33&lt;&gt;"",Input!AH33,""),"")</f>
        <v/>
      </c>
      <c r="AA32" s="449" t="str">
        <f>IFERROR(IF($Z$5="","",IF(F32&lt;&gt;"",(Input!AH33/Input!$AH$6)*100,"")),"NA")</f>
        <v/>
      </c>
      <c r="AB32" s="310" t="str">
        <f>IF(F32&lt;&gt;"",IF(Input!AI33&lt;&gt;"",Input!AI33,""),"")</f>
        <v/>
      </c>
      <c r="AC32" s="449" t="str">
        <f>IFERROR(IF($AB$5="","",IF(F32&lt;&gt;"",(Input!AI33/Input!$AI$6)*100,"")),"NA")</f>
        <v/>
      </c>
      <c r="AD32" s="310" t="str">
        <f>IF(F32&lt;&gt;"",IF(Input!AJ33&lt;&gt;"",Input!AJ33,""),"")</f>
        <v/>
      </c>
      <c r="AE32" s="449" t="str">
        <f>IFERROR(IF($AD$5="","",IF(F32&lt;&gt;"",(Input!AJ33/Input!$AJ$6)*100,"")),"NA")</f>
        <v/>
      </c>
      <c r="AF32" s="108" t="str">
        <f>IF(Input!AK33="Error","Error",IF(F32="","",IF($X$5="",0,IF(F32&lt;&gt;"",IFERROR(AVERAGE(Y32,AA32,AC32,AE32)*$AF$4,0),""))))</f>
        <v/>
      </c>
      <c r="AG32" s="174"/>
      <c r="AH32" s="175" t="str">
        <f>IF(F32&lt;&gt;"",IF(Input!AL33&lt;&gt;"",Input!AL33,""),"")</f>
        <v/>
      </c>
      <c r="AI32" s="451" t="str">
        <f>IFERROR(IF($AH$5="","",IF(F32&lt;&gt;"",(Input!AL33/Input!$AL$6)*100,"")),"NA")</f>
        <v/>
      </c>
      <c r="AJ32" s="176" t="str">
        <f>IF(F32&lt;&gt;"",IF(Input!AM33&lt;&gt;"",Input!AM33,""),"")</f>
        <v/>
      </c>
      <c r="AK32" s="451" t="str">
        <f>IFERROR(IF($AJ$5="","",IF(F32&lt;&gt;"",(Input!AM33/Input!$AM$6)*100,"")),"NA")</f>
        <v/>
      </c>
      <c r="AL32" s="176" t="str">
        <f>IF(F32&lt;&gt;"",IF(Input!AN33&lt;&gt;"",Input!AN33,""),"")</f>
        <v/>
      </c>
      <c r="AM32" s="451" t="str">
        <f>IFERROR(IF($AL$5="","",IF(F32&lt;&gt;"",(Input!AN33/Input!$AN$6)*100,"")),"NA")</f>
        <v/>
      </c>
      <c r="AN32" s="177" t="str">
        <f>IF(F32&lt;&gt;"",IF(Input!AO33&lt;&gt;"",Input!AO33,""),"")</f>
        <v/>
      </c>
      <c r="AO32" s="451" t="str">
        <f>IFERROR(IF($AN$5="","",IF(F32&lt;&gt;"",(Input!AO33/Input!$AO$6)*100,"")),"NA")</f>
        <v/>
      </c>
      <c r="AP32" s="303" t="str">
        <f>IF(Input!AP33="Error","Error",IF(F32="","",IF($AH$5="",0,IF(F32&lt;&gt;"",IFERROR(AVERAGE(AI32,AK32,AM32,AO32)*$AP$4,0),""))))</f>
        <v/>
      </c>
      <c r="AQ32" s="174"/>
      <c r="AR32" s="178" t="str">
        <f>IF(Input!AQ33="","",IF(F32&lt;&gt;"",Input!AQ33,""))</f>
        <v/>
      </c>
      <c r="AS32" s="179" t="str">
        <f>IF(F32="","",IF(Input!AR33="Error","Error",IF(ISNUMBER(Input!AR33),(Input!AR33*$AS$4),"")))</f>
        <v/>
      </c>
      <c r="AT32" s="331" t="str">
        <f>IF(V32="D","DRP",
IF(F32&lt;&gt;"",
IF(OR(AF32="Error",AP32="Error",AS32="Error"),"Error",
IF(Input!AQ33="","-",ROUND(AF32+AP32+AS32,2))),""))</f>
        <v/>
      </c>
      <c r="AU32" s="180" t="str">
        <f>IF(F32&lt;&gt;"",VLOOKUP(AT32,TRANSMUTATION!$A$2:$B$14,2),"")</f>
        <v/>
      </c>
      <c r="AV32" s="232" t="str">
        <f t="shared" si="1"/>
        <v/>
      </c>
      <c r="BA32" s="97"/>
    </row>
    <row r="33" spans="1:53" ht="15" customHeight="1" x14ac:dyDescent="0.2">
      <c r="A33" s="97"/>
      <c r="B33" s="239"/>
      <c r="C33" s="194">
        <v>27</v>
      </c>
      <c r="D33" s="203" t="str">
        <f>IF(Input!D34&lt;&gt;"",IF(F33&lt;&gt;"",Input!D34,""),"")</f>
        <v/>
      </c>
      <c r="E33" s="297"/>
      <c r="F33" s="298" t="str">
        <f>(IF(Input!F34&lt;&gt;"",Input!F34,""))</f>
        <v/>
      </c>
      <c r="G33" s="333"/>
      <c r="H33" s="333"/>
      <c r="I33" s="333"/>
      <c r="J33" s="333"/>
      <c r="K33" s="333"/>
      <c r="L33" s="333"/>
      <c r="M33" s="333"/>
      <c r="N33" s="333"/>
      <c r="O33" s="333"/>
      <c r="P33" s="333"/>
      <c r="Q33" s="333"/>
      <c r="R33" s="333"/>
      <c r="S33" s="333"/>
      <c r="T33" s="333"/>
      <c r="U33" s="333"/>
      <c r="V33" s="336"/>
      <c r="W33" s="173"/>
      <c r="X33" s="309" t="str">
        <f>IF(F33&lt;&gt;"",IF(Input!AG34&lt;&gt;"",Input!AG34,""),"")</f>
        <v/>
      </c>
      <c r="Y33" s="449" t="str">
        <f>IFERROR(IF($X$5="","",IF(F33&lt;&gt;"",(Input!AG34/Input!$AG$6)*100,"")),"NA")</f>
        <v/>
      </c>
      <c r="Z33" s="310" t="str">
        <f>IF(F33&lt;&gt;"",IF(Input!AH34&lt;&gt;"",Input!AH34,""),"")</f>
        <v/>
      </c>
      <c r="AA33" s="449" t="str">
        <f>IFERROR(IF($Z$5="","",IF(F33&lt;&gt;"",(Input!AH34/Input!$AH$6)*100,"")),"NA")</f>
        <v/>
      </c>
      <c r="AB33" s="310" t="str">
        <f>IF(F33&lt;&gt;"",IF(Input!AI34&lt;&gt;"",Input!AI34,""),"")</f>
        <v/>
      </c>
      <c r="AC33" s="449" t="str">
        <f>IFERROR(IF($AB$5="","",IF(F33&lt;&gt;"",(Input!AI34/Input!$AI$6)*100,"")),"NA")</f>
        <v/>
      </c>
      <c r="AD33" s="310" t="str">
        <f>IF(F33&lt;&gt;"",IF(Input!AJ34&lt;&gt;"",Input!AJ34,""),"")</f>
        <v/>
      </c>
      <c r="AE33" s="449" t="str">
        <f>IFERROR(IF($AD$5="","",IF(F33&lt;&gt;"",(Input!AJ34/Input!$AJ$6)*100,"")),"NA")</f>
        <v/>
      </c>
      <c r="AF33" s="108" t="str">
        <f>IF(Input!AK34="Error","Error",IF(F33="","",IF($X$5="",0,IF(F33&lt;&gt;"",IFERROR(AVERAGE(Y33,AA33,AC33,AE33)*$AF$4,0),""))))</f>
        <v/>
      </c>
      <c r="AG33" s="174"/>
      <c r="AH33" s="175" t="str">
        <f>IF(F33&lt;&gt;"",IF(Input!AL34&lt;&gt;"",Input!AL34,""),"")</f>
        <v/>
      </c>
      <c r="AI33" s="451" t="str">
        <f>IFERROR(IF($AH$5="","",IF(F33&lt;&gt;"",(Input!AL34/Input!$AL$6)*100,"")),"NA")</f>
        <v/>
      </c>
      <c r="AJ33" s="176" t="str">
        <f>IF(F33&lt;&gt;"",IF(Input!AM34&lt;&gt;"",Input!AM34,""),"")</f>
        <v/>
      </c>
      <c r="AK33" s="451" t="str">
        <f>IFERROR(IF($AJ$5="","",IF(F33&lt;&gt;"",(Input!AM34/Input!$AM$6)*100,"")),"NA")</f>
        <v/>
      </c>
      <c r="AL33" s="176" t="str">
        <f>IF(F33&lt;&gt;"",IF(Input!AN34&lt;&gt;"",Input!AN34,""),"")</f>
        <v/>
      </c>
      <c r="AM33" s="451" t="str">
        <f>IFERROR(IF($AL$5="","",IF(F33&lt;&gt;"",(Input!AN34/Input!$AN$6)*100,"")),"NA")</f>
        <v/>
      </c>
      <c r="AN33" s="177" t="str">
        <f>IF(F33&lt;&gt;"",IF(Input!AO34&lt;&gt;"",Input!AO34,""),"")</f>
        <v/>
      </c>
      <c r="AO33" s="451" t="str">
        <f>IFERROR(IF($AN$5="","",IF(F33&lt;&gt;"",(Input!AO34/Input!$AO$6)*100,"")),"NA")</f>
        <v/>
      </c>
      <c r="AP33" s="303" t="str">
        <f>IF(Input!AP34="Error","Error",IF(F33="","",IF($AH$5="",0,IF(F33&lt;&gt;"",IFERROR(AVERAGE(AI33,AK33,AM33,AO33)*$AP$4,0),""))))</f>
        <v/>
      </c>
      <c r="AQ33" s="174"/>
      <c r="AR33" s="178" t="str">
        <f>IF(Input!AQ34="","",IF(F33&lt;&gt;"",Input!AQ34,""))</f>
        <v/>
      </c>
      <c r="AS33" s="179" t="str">
        <f>IF(F33="","",IF(Input!AR34="Error","Error",IF(ISNUMBER(Input!AR34),(Input!AR34*$AS$4),"")))</f>
        <v/>
      </c>
      <c r="AT33" s="331" t="str">
        <f>IF(V33="D","DRP",
IF(F33&lt;&gt;"",
IF(OR(AF33="Error",AP33="Error",AS33="Error"),"Error",
IF(Input!AQ34="","-",ROUND(AF33+AP33+AS33,2))),""))</f>
        <v/>
      </c>
      <c r="AU33" s="180" t="str">
        <f>IF(F33&lt;&gt;"",VLOOKUP(AT33,TRANSMUTATION!$A$2:$B$14,2),"")</f>
        <v/>
      </c>
      <c r="AV33" s="232" t="str">
        <f t="shared" si="1"/>
        <v/>
      </c>
      <c r="BA33" s="97"/>
    </row>
    <row r="34" spans="1:53" ht="15" customHeight="1" x14ac:dyDescent="0.2">
      <c r="A34" s="97"/>
      <c r="B34" s="239"/>
      <c r="C34" s="194">
        <v>28</v>
      </c>
      <c r="D34" s="203" t="str">
        <f>IF(Input!D35&lt;&gt;"",IF(F34&lt;&gt;"",Input!D35,""),"")</f>
        <v/>
      </c>
      <c r="E34" s="297"/>
      <c r="F34" s="298" t="str">
        <f>(IF(Input!F35&lt;&gt;"",Input!F35,""))</f>
        <v/>
      </c>
      <c r="G34" s="333"/>
      <c r="H34" s="333"/>
      <c r="I34" s="333"/>
      <c r="J34" s="333"/>
      <c r="K34" s="333"/>
      <c r="L34" s="333"/>
      <c r="M34" s="333"/>
      <c r="N34" s="333"/>
      <c r="O34" s="333"/>
      <c r="P34" s="333"/>
      <c r="Q34" s="333"/>
      <c r="R34" s="333"/>
      <c r="S34" s="333"/>
      <c r="T34" s="333"/>
      <c r="U34" s="333"/>
      <c r="V34" s="336"/>
      <c r="W34" s="173"/>
      <c r="X34" s="309" t="str">
        <f>IF(F34&lt;&gt;"",IF(Input!AG35&lt;&gt;"",Input!AG35,""),"")</f>
        <v/>
      </c>
      <c r="Y34" s="449" t="str">
        <f>IFERROR(IF($X$5="","",IF(F34&lt;&gt;"",(Input!AG35/Input!$AG$6)*100,"")),"NA")</f>
        <v/>
      </c>
      <c r="Z34" s="310" t="str">
        <f>IF(F34&lt;&gt;"",IF(Input!AH35&lt;&gt;"",Input!AH35,""),"")</f>
        <v/>
      </c>
      <c r="AA34" s="449" t="str">
        <f>IFERROR(IF($Z$5="","",IF(F34&lt;&gt;"",(Input!AH35/Input!$AH$6)*100,"")),"NA")</f>
        <v/>
      </c>
      <c r="AB34" s="310" t="str">
        <f>IF(F34&lt;&gt;"",IF(Input!AI35&lt;&gt;"",Input!AI35,""),"")</f>
        <v/>
      </c>
      <c r="AC34" s="449" t="str">
        <f>IFERROR(IF($AB$5="","",IF(F34&lt;&gt;"",(Input!AI35/Input!$AI$6)*100,"")),"NA")</f>
        <v/>
      </c>
      <c r="AD34" s="310" t="str">
        <f>IF(F34&lt;&gt;"",IF(Input!AJ35&lt;&gt;"",Input!AJ35,""),"")</f>
        <v/>
      </c>
      <c r="AE34" s="449" t="str">
        <f>IFERROR(IF($AD$5="","",IF(F34&lt;&gt;"",(Input!AJ35/Input!$AJ$6)*100,"")),"NA")</f>
        <v/>
      </c>
      <c r="AF34" s="108" t="str">
        <f>IF(Input!AK35="Error","Error",IF(F34="","",IF($X$5="",0,IF(F34&lt;&gt;"",IFERROR(AVERAGE(Y34,AA34,AC34,AE34)*$AF$4,0),""))))</f>
        <v/>
      </c>
      <c r="AG34" s="174"/>
      <c r="AH34" s="175" t="str">
        <f>IF(F34&lt;&gt;"",IF(Input!AL35&lt;&gt;"",Input!AL35,""),"")</f>
        <v/>
      </c>
      <c r="AI34" s="451" t="str">
        <f>IFERROR(IF($AH$5="","",IF(F34&lt;&gt;"",(Input!AL35/Input!$AL$6)*100,"")),"NA")</f>
        <v/>
      </c>
      <c r="AJ34" s="176" t="str">
        <f>IF(F34&lt;&gt;"",IF(Input!AM35&lt;&gt;"",Input!AM35,""),"")</f>
        <v/>
      </c>
      <c r="AK34" s="451" t="str">
        <f>IFERROR(IF($AJ$5="","",IF(F34&lt;&gt;"",(Input!AM35/Input!$AM$6)*100,"")),"NA")</f>
        <v/>
      </c>
      <c r="AL34" s="176" t="str">
        <f>IF(F34&lt;&gt;"",IF(Input!AN35&lt;&gt;"",Input!AN35,""),"")</f>
        <v/>
      </c>
      <c r="AM34" s="451" t="str">
        <f>IFERROR(IF($AL$5="","",IF(F34&lt;&gt;"",(Input!AN35/Input!$AN$6)*100,"")),"NA")</f>
        <v/>
      </c>
      <c r="AN34" s="177" t="str">
        <f>IF(F34&lt;&gt;"",IF(Input!AO35&lt;&gt;"",Input!AO35,""),"")</f>
        <v/>
      </c>
      <c r="AO34" s="451" t="str">
        <f>IFERROR(IF($AN$5="","",IF(F34&lt;&gt;"",(Input!AO35/Input!$AO$6)*100,"")),"NA")</f>
        <v/>
      </c>
      <c r="AP34" s="303" t="str">
        <f>IF(Input!AP35="Error","Error",IF(F34="","",IF($AH$5="",0,IF(F34&lt;&gt;"",IFERROR(AVERAGE(AI34,AK34,AM34,AO34)*$AP$4,0),""))))</f>
        <v/>
      </c>
      <c r="AQ34" s="174"/>
      <c r="AR34" s="178" t="str">
        <f>IF(Input!AQ35="","",IF(F34&lt;&gt;"",Input!AQ35,""))</f>
        <v/>
      </c>
      <c r="AS34" s="179" t="str">
        <f>IF(F34="","",IF(Input!AR35="Error","Error",IF(ISNUMBER(Input!AR35),(Input!AR35*$AS$4),"")))</f>
        <v/>
      </c>
      <c r="AT34" s="331" t="str">
        <f>IF(V34="D","DRP",
IF(F34&lt;&gt;"",
IF(OR(AF34="Error",AP34="Error",AS34="Error"),"Error",
IF(Input!AQ35="","-",ROUND(AF34+AP34+AS34,2))),""))</f>
        <v/>
      </c>
      <c r="AU34" s="180" t="str">
        <f>IF(F34&lt;&gt;"",VLOOKUP(AT34,TRANSMUTATION!$A$2:$B$14,2),"")</f>
        <v/>
      </c>
      <c r="AV34" s="232" t="str">
        <f t="shared" si="1"/>
        <v/>
      </c>
      <c r="BA34" s="97"/>
    </row>
    <row r="35" spans="1:53" ht="15" customHeight="1" x14ac:dyDescent="0.2">
      <c r="A35" s="97"/>
      <c r="B35" s="239"/>
      <c r="C35" s="194">
        <v>29</v>
      </c>
      <c r="D35" s="203" t="str">
        <f>IF(Input!D36&lt;&gt;"",IF(F35&lt;&gt;"",Input!D36,""),"")</f>
        <v/>
      </c>
      <c r="E35" s="297"/>
      <c r="F35" s="298" t="str">
        <f>(IF(Input!F36&lt;&gt;"",Input!F36,""))</f>
        <v/>
      </c>
      <c r="G35" s="333"/>
      <c r="H35" s="333"/>
      <c r="I35" s="333"/>
      <c r="J35" s="333"/>
      <c r="K35" s="333"/>
      <c r="L35" s="333"/>
      <c r="M35" s="333"/>
      <c r="N35" s="333"/>
      <c r="O35" s="333"/>
      <c r="P35" s="333"/>
      <c r="Q35" s="333"/>
      <c r="R35" s="333"/>
      <c r="S35" s="333"/>
      <c r="T35" s="333"/>
      <c r="U35" s="333"/>
      <c r="V35" s="336"/>
      <c r="W35" s="173"/>
      <c r="X35" s="309" t="str">
        <f>IF(F35&lt;&gt;"",IF(Input!AG36&lt;&gt;"",Input!AG36,""),"")</f>
        <v/>
      </c>
      <c r="Y35" s="449" t="str">
        <f>IFERROR(IF($X$5="","",IF(F35&lt;&gt;"",(Input!AG36/Input!$AG$6)*100,"")),"NA")</f>
        <v/>
      </c>
      <c r="Z35" s="310" t="str">
        <f>IF(F35&lt;&gt;"",IF(Input!AH36&lt;&gt;"",Input!AH36,""),"")</f>
        <v/>
      </c>
      <c r="AA35" s="449" t="str">
        <f>IFERROR(IF($Z$5="","",IF(F35&lt;&gt;"",(Input!AH36/Input!$AH$6)*100,"")),"NA")</f>
        <v/>
      </c>
      <c r="AB35" s="310" t="str">
        <f>IF(F35&lt;&gt;"",IF(Input!AI36&lt;&gt;"",Input!AI36,""),"")</f>
        <v/>
      </c>
      <c r="AC35" s="449" t="str">
        <f>IFERROR(IF($AB$5="","",IF(F35&lt;&gt;"",(Input!AI36/Input!$AI$6)*100,"")),"NA")</f>
        <v/>
      </c>
      <c r="AD35" s="310" t="str">
        <f>IF(F35&lt;&gt;"",IF(Input!AJ36&lt;&gt;"",Input!AJ36,""),"")</f>
        <v/>
      </c>
      <c r="AE35" s="449" t="str">
        <f>IFERROR(IF($AD$5="","",IF(F35&lt;&gt;"",(Input!AJ36/Input!$AJ$6)*100,"")),"NA")</f>
        <v/>
      </c>
      <c r="AF35" s="108" t="str">
        <f>IF(Input!AK36="Error","Error",IF(F35="","",IF($X$5="",0,IF(F35&lt;&gt;"",IFERROR(AVERAGE(Y35,AA35,AC35,AE35)*$AF$4,0),""))))</f>
        <v/>
      </c>
      <c r="AG35" s="174"/>
      <c r="AH35" s="175" t="str">
        <f>IF(F35&lt;&gt;"",IF(Input!AL36&lt;&gt;"",Input!AL36,""),"")</f>
        <v/>
      </c>
      <c r="AI35" s="451" t="str">
        <f>IFERROR(IF($AH$5="","",IF(F35&lt;&gt;"",(Input!AL36/Input!$AL$6)*100,"")),"NA")</f>
        <v/>
      </c>
      <c r="AJ35" s="176" t="str">
        <f>IF(F35&lt;&gt;"",IF(Input!AM36&lt;&gt;"",Input!AM36,""),"")</f>
        <v/>
      </c>
      <c r="AK35" s="451" t="str">
        <f>IFERROR(IF($AJ$5="","",IF(F35&lt;&gt;"",(Input!AM36/Input!$AM$6)*100,"")),"NA")</f>
        <v/>
      </c>
      <c r="AL35" s="176" t="str">
        <f>IF(F35&lt;&gt;"",IF(Input!AN36&lt;&gt;"",Input!AN36,""),"")</f>
        <v/>
      </c>
      <c r="AM35" s="451" t="str">
        <f>IFERROR(IF($AL$5="","",IF(F35&lt;&gt;"",(Input!AN36/Input!$AN$6)*100,"")),"NA")</f>
        <v/>
      </c>
      <c r="AN35" s="177" t="str">
        <f>IF(F35&lt;&gt;"",IF(Input!AO36&lt;&gt;"",Input!AO36,""),"")</f>
        <v/>
      </c>
      <c r="AO35" s="451" t="str">
        <f>IFERROR(IF($AN$5="","",IF(F35&lt;&gt;"",(Input!AO36/Input!$AO$6)*100,"")),"NA")</f>
        <v/>
      </c>
      <c r="AP35" s="303" t="str">
        <f>IF(Input!AP36="Error","Error",IF(F35="","",IF($AH$5="",0,IF(F35&lt;&gt;"",IFERROR(AVERAGE(AI35,AK35,AM35,AO35)*$AP$4,0),""))))</f>
        <v/>
      </c>
      <c r="AQ35" s="174"/>
      <c r="AR35" s="178" t="str">
        <f>IF(Input!AQ36="","",IF(F35&lt;&gt;"",Input!AQ36,""))</f>
        <v/>
      </c>
      <c r="AS35" s="179" t="str">
        <f>IF(F35="","",IF(Input!AR36="Error","Error",IF(ISNUMBER(Input!AR36),(Input!AR36*$AS$4),"")))</f>
        <v/>
      </c>
      <c r="AT35" s="331" t="str">
        <f>IF(V35="D","DRP",
IF(F35&lt;&gt;"",
IF(OR(AF35="Error",AP35="Error",AS35="Error"),"Error",
IF(Input!AQ36="","-",ROUND(AF35+AP35+AS35,2))),""))</f>
        <v/>
      </c>
      <c r="AU35" s="180" t="str">
        <f>IF(F35&lt;&gt;"",VLOOKUP(AT35,TRANSMUTATION!$A$2:$B$14,2),"")</f>
        <v/>
      </c>
      <c r="AV35" s="232" t="str">
        <f t="shared" si="1"/>
        <v/>
      </c>
      <c r="BA35" s="97"/>
    </row>
    <row r="36" spans="1:53" ht="15" customHeight="1" x14ac:dyDescent="0.2">
      <c r="A36" s="97"/>
      <c r="B36" s="239"/>
      <c r="C36" s="194">
        <v>30</v>
      </c>
      <c r="D36" s="203" t="str">
        <f>IF(Input!D37&lt;&gt;"",IF(F36&lt;&gt;"",Input!D37,""),"")</f>
        <v/>
      </c>
      <c r="E36" s="297"/>
      <c r="F36" s="298" t="str">
        <f>(IF(Input!F37&lt;&gt;"",Input!F37,""))</f>
        <v/>
      </c>
      <c r="G36" s="333"/>
      <c r="H36" s="333"/>
      <c r="I36" s="333"/>
      <c r="J36" s="333"/>
      <c r="K36" s="333"/>
      <c r="L36" s="333"/>
      <c r="M36" s="333"/>
      <c r="N36" s="333"/>
      <c r="O36" s="333"/>
      <c r="P36" s="333"/>
      <c r="Q36" s="333"/>
      <c r="R36" s="333"/>
      <c r="S36" s="333"/>
      <c r="T36" s="333"/>
      <c r="U36" s="333"/>
      <c r="V36" s="336"/>
      <c r="W36" s="173"/>
      <c r="X36" s="309" t="str">
        <f>IF(F36&lt;&gt;"",IF(Input!AG37&lt;&gt;"",Input!AG37,""),"")</f>
        <v/>
      </c>
      <c r="Y36" s="449" t="str">
        <f>IFERROR(IF($X$5="","",IF(F36&lt;&gt;"",(Input!AG37/Input!$AG$6)*100,"")),"NA")</f>
        <v/>
      </c>
      <c r="Z36" s="310" t="str">
        <f>IF(F36&lt;&gt;"",IF(Input!AH37&lt;&gt;"",Input!AH37,""),"")</f>
        <v/>
      </c>
      <c r="AA36" s="449" t="str">
        <f>IFERROR(IF($Z$5="","",IF(F36&lt;&gt;"",(Input!AH37/Input!$AH$6)*100,"")),"NA")</f>
        <v/>
      </c>
      <c r="AB36" s="310" t="str">
        <f>IF(F36&lt;&gt;"",IF(Input!AI37&lt;&gt;"",Input!AI37,""),"")</f>
        <v/>
      </c>
      <c r="AC36" s="449" t="str">
        <f>IFERROR(IF($AB$5="","",IF(F36&lt;&gt;"",(Input!AI37/Input!$AI$6)*100,"")),"NA")</f>
        <v/>
      </c>
      <c r="AD36" s="310" t="str">
        <f>IF(F36&lt;&gt;"",IF(Input!AJ37&lt;&gt;"",Input!AJ37,""),"")</f>
        <v/>
      </c>
      <c r="AE36" s="449" t="str">
        <f>IFERROR(IF($AD$5="","",IF(F36&lt;&gt;"",(Input!AJ37/Input!$AJ$6)*100,"")),"NA")</f>
        <v/>
      </c>
      <c r="AF36" s="108" t="str">
        <f>IF(Input!AK37="Error","Error",IF(F36="","",IF($X$5="",0,IF(F36&lt;&gt;"",IFERROR(AVERAGE(Y36,AA36,AC36,AE36)*$AF$4,0),""))))</f>
        <v/>
      </c>
      <c r="AG36" s="174"/>
      <c r="AH36" s="175" t="str">
        <f>IF(F36&lt;&gt;"",IF(Input!AL37&lt;&gt;"",Input!AL37,""),"")</f>
        <v/>
      </c>
      <c r="AI36" s="451" t="str">
        <f>IFERROR(IF($AH$5="","",IF(F36&lt;&gt;"",(Input!AL37/Input!$AL$6)*100,"")),"NA")</f>
        <v/>
      </c>
      <c r="AJ36" s="176" t="str">
        <f>IF(F36&lt;&gt;"",IF(Input!AM37&lt;&gt;"",Input!AM37,""),"")</f>
        <v/>
      </c>
      <c r="AK36" s="451" t="str">
        <f>IFERROR(IF($AJ$5="","",IF(F36&lt;&gt;"",(Input!AM37/Input!$AM$6)*100,"")),"NA")</f>
        <v/>
      </c>
      <c r="AL36" s="176" t="str">
        <f>IF(F36&lt;&gt;"",IF(Input!AN37&lt;&gt;"",Input!AN37,""),"")</f>
        <v/>
      </c>
      <c r="AM36" s="451" t="str">
        <f>IFERROR(IF($AL$5="","",IF(F36&lt;&gt;"",(Input!AN37/Input!$AN$6)*100,"")),"NA")</f>
        <v/>
      </c>
      <c r="AN36" s="177" t="str">
        <f>IF(F36&lt;&gt;"",IF(Input!AO37&lt;&gt;"",Input!AO37,""),"")</f>
        <v/>
      </c>
      <c r="AO36" s="451" t="str">
        <f>IFERROR(IF($AN$5="","",IF(F36&lt;&gt;"",(Input!AO37/Input!$AO$6)*100,"")),"NA")</f>
        <v/>
      </c>
      <c r="AP36" s="303" t="str">
        <f>IF(Input!AP37="Error","Error",IF(F36="","",IF($AH$5="",0,IF(F36&lt;&gt;"",IFERROR(AVERAGE(AI36,AK36,AM36,AO36)*$AP$4,0),""))))</f>
        <v/>
      </c>
      <c r="AQ36" s="174"/>
      <c r="AR36" s="178" t="str">
        <f>IF(Input!AQ37="","",IF(F36&lt;&gt;"",Input!AQ37,""))</f>
        <v/>
      </c>
      <c r="AS36" s="179" t="str">
        <f>IF(F36="","",IF(Input!AR37="Error","Error",IF(ISNUMBER(Input!AR37),(Input!AR37*$AS$4),"")))</f>
        <v/>
      </c>
      <c r="AT36" s="331" t="str">
        <f>IF(V36="D","DRP",
IF(F36&lt;&gt;"",
IF(OR(AF36="Error",AP36="Error",AS36="Error"),"Error",
IF(Input!AQ37="","-",ROUND(AF36+AP36+AS36,2))),""))</f>
        <v/>
      </c>
      <c r="AU36" s="180" t="str">
        <f>IF(F36&lt;&gt;"",VLOOKUP(AT36,TRANSMUTATION!$A$2:$B$14,2),"")</f>
        <v/>
      </c>
      <c r="AV36" s="232" t="str">
        <f t="shared" si="1"/>
        <v/>
      </c>
      <c r="BA36" s="97"/>
    </row>
    <row r="37" spans="1:53" ht="15" customHeight="1" x14ac:dyDescent="0.2">
      <c r="A37" s="97"/>
      <c r="B37" s="239"/>
      <c r="C37" s="194">
        <v>31</v>
      </c>
      <c r="D37" s="203" t="str">
        <f>IF(Input!D38&lt;&gt;"",IF(F37&lt;&gt;"",Input!D38,""),"")</f>
        <v/>
      </c>
      <c r="E37" s="297"/>
      <c r="F37" s="298" t="str">
        <f>(IF(Input!F38&lt;&gt;"",Input!F38,""))</f>
        <v/>
      </c>
      <c r="G37" s="333"/>
      <c r="H37" s="333"/>
      <c r="I37" s="333"/>
      <c r="J37" s="333"/>
      <c r="K37" s="333"/>
      <c r="L37" s="333"/>
      <c r="M37" s="333"/>
      <c r="N37" s="333"/>
      <c r="O37" s="333"/>
      <c r="P37" s="333"/>
      <c r="Q37" s="333"/>
      <c r="R37" s="333"/>
      <c r="S37" s="333"/>
      <c r="T37" s="333"/>
      <c r="U37" s="333"/>
      <c r="V37" s="336"/>
      <c r="W37" s="173"/>
      <c r="X37" s="309" t="str">
        <f>IF(F37&lt;&gt;"",IF(Input!AG38&lt;&gt;"",Input!AG38,""),"")</f>
        <v/>
      </c>
      <c r="Y37" s="449" t="str">
        <f>IFERROR(IF($X$5="","",IF(F37&lt;&gt;"",(Input!AG38/Input!$AG$6)*100,"")),"NA")</f>
        <v/>
      </c>
      <c r="Z37" s="310" t="str">
        <f>IF(F37&lt;&gt;"",IF(Input!AH38&lt;&gt;"",Input!AH38,""),"")</f>
        <v/>
      </c>
      <c r="AA37" s="449" t="str">
        <f>IFERROR(IF($Z$5="","",IF(F37&lt;&gt;"",(Input!AH38/Input!$AH$6)*100,"")),"NA")</f>
        <v/>
      </c>
      <c r="AB37" s="310" t="str">
        <f>IF(F37&lt;&gt;"",IF(Input!AI38&lt;&gt;"",Input!AI38,""),"")</f>
        <v/>
      </c>
      <c r="AC37" s="449" t="str">
        <f>IFERROR(IF($AB$5="","",IF(F37&lt;&gt;"",(Input!AI38/Input!$AI$6)*100,"")),"NA")</f>
        <v/>
      </c>
      <c r="AD37" s="310" t="str">
        <f>IF(F37&lt;&gt;"",IF(Input!AJ38&lt;&gt;"",Input!AJ38,""),"")</f>
        <v/>
      </c>
      <c r="AE37" s="449" t="str">
        <f>IFERROR(IF($AD$5="","",IF(F37&lt;&gt;"",(Input!AJ38/Input!$AJ$6)*100,"")),"NA")</f>
        <v/>
      </c>
      <c r="AF37" s="108" t="str">
        <f>IF(Input!AK38="Error","Error",IF(F37="","",IF($X$5="",0,IF(F37&lt;&gt;"",IFERROR(AVERAGE(Y37,AA37,AC37,AE37)*$AF$4,0),""))))</f>
        <v/>
      </c>
      <c r="AG37" s="174"/>
      <c r="AH37" s="175" t="str">
        <f>IF(F37&lt;&gt;"",IF(Input!AL38&lt;&gt;"",Input!AL38,""),"")</f>
        <v/>
      </c>
      <c r="AI37" s="451" t="str">
        <f>IFERROR(IF($AH$5="","",IF(F37&lt;&gt;"",(Input!AL38/Input!$AL$6)*100,"")),"NA")</f>
        <v/>
      </c>
      <c r="AJ37" s="176" t="str">
        <f>IF(F37&lt;&gt;"",IF(Input!AM38&lt;&gt;"",Input!AM38,""),"")</f>
        <v/>
      </c>
      <c r="AK37" s="451" t="str">
        <f>IFERROR(IF($AJ$5="","",IF(F37&lt;&gt;"",(Input!AM38/Input!$AM$6)*100,"")),"NA")</f>
        <v/>
      </c>
      <c r="AL37" s="176" t="str">
        <f>IF(F37&lt;&gt;"",IF(Input!AN38&lt;&gt;"",Input!AN38,""),"")</f>
        <v/>
      </c>
      <c r="AM37" s="451" t="str">
        <f>IFERROR(IF($AL$5="","",IF(F37&lt;&gt;"",(Input!AN38/Input!$AN$6)*100,"")),"NA")</f>
        <v/>
      </c>
      <c r="AN37" s="177" t="str">
        <f>IF(F37&lt;&gt;"",IF(Input!AO38&lt;&gt;"",Input!AO38,""),"")</f>
        <v/>
      </c>
      <c r="AO37" s="451" t="str">
        <f>IFERROR(IF($AN$5="","",IF(F37&lt;&gt;"",(Input!AO38/Input!$AO$6)*100,"")),"NA")</f>
        <v/>
      </c>
      <c r="AP37" s="303" t="str">
        <f>IF(Input!AP38="Error","Error",IF(F37="","",IF($AH$5="",0,IF(F37&lt;&gt;"",IFERROR(AVERAGE(AI37,AK37,AM37,AO37)*$AP$4,0),""))))</f>
        <v/>
      </c>
      <c r="AQ37" s="174"/>
      <c r="AR37" s="178" t="str">
        <f>IF(Input!AQ38="","",IF(F37&lt;&gt;"",Input!AQ38,""))</f>
        <v/>
      </c>
      <c r="AS37" s="179" t="str">
        <f>IF(F37="","",IF(Input!AR38="Error","Error",IF(ISNUMBER(Input!AR38),(Input!AR38*$AS$4),"")))</f>
        <v/>
      </c>
      <c r="AT37" s="331" t="str">
        <f>IF(V37="D","DRP",
IF(F37&lt;&gt;"",
IF(OR(AF37="Error",AP37="Error",AS37="Error"),"Error",
IF(Input!AQ38="","-",ROUND(AF37+AP37+AS37,2))),""))</f>
        <v/>
      </c>
      <c r="AU37" s="180" t="str">
        <f>IF(F37&lt;&gt;"",VLOOKUP(AT37,TRANSMUTATION!$A$2:$B$14,2),"")</f>
        <v/>
      </c>
      <c r="AV37" s="232" t="str">
        <f t="shared" si="1"/>
        <v/>
      </c>
      <c r="BA37" s="97"/>
    </row>
    <row r="38" spans="1:53" ht="15" customHeight="1" x14ac:dyDescent="0.2">
      <c r="A38" s="97"/>
      <c r="B38" s="239"/>
      <c r="C38" s="194">
        <v>32</v>
      </c>
      <c r="D38" s="203" t="str">
        <f>IF(Input!D39&lt;&gt;"",IF(F38&lt;&gt;"",Input!D39,""),"")</f>
        <v/>
      </c>
      <c r="E38" s="297"/>
      <c r="F38" s="298" t="str">
        <f>(IF(Input!F39&lt;&gt;"",Input!F39,""))</f>
        <v/>
      </c>
      <c r="G38" s="333"/>
      <c r="H38" s="333"/>
      <c r="I38" s="333"/>
      <c r="J38" s="333"/>
      <c r="K38" s="333"/>
      <c r="L38" s="333"/>
      <c r="M38" s="333"/>
      <c r="N38" s="333"/>
      <c r="O38" s="333"/>
      <c r="P38" s="333"/>
      <c r="Q38" s="333"/>
      <c r="R38" s="333"/>
      <c r="S38" s="333"/>
      <c r="T38" s="333"/>
      <c r="U38" s="333"/>
      <c r="V38" s="336"/>
      <c r="W38" s="173"/>
      <c r="X38" s="309" t="str">
        <f>IF(F38&lt;&gt;"",IF(Input!AG39&lt;&gt;"",Input!AG39,""),"")</f>
        <v/>
      </c>
      <c r="Y38" s="449" t="str">
        <f>IFERROR(IF($X$5="","",IF(F38&lt;&gt;"",(Input!AG39/Input!$AG$6)*100,"")),"NA")</f>
        <v/>
      </c>
      <c r="Z38" s="310" t="str">
        <f>IF(F38&lt;&gt;"",IF(Input!AH39&lt;&gt;"",Input!AH39,""),"")</f>
        <v/>
      </c>
      <c r="AA38" s="449" t="str">
        <f>IFERROR(IF($Z$5="","",IF(F38&lt;&gt;"",(Input!AH39/Input!$AH$6)*100,"")),"NA")</f>
        <v/>
      </c>
      <c r="AB38" s="310" t="str">
        <f>IF(F38&lt;&gt;"",IF(Input!AI39&lt;&gt;"",Input!AI39,""),"")</f>
        <v/>
      </c>
      <c r="AC38" s="449" t="str">
        <f>IFERROR(IF($AB$5="","",IF(F38&lt;&gt;"",(Input!AI39/Input!$AI$6)*100,"")),"NA")</f>
        <v/>
      </c>
      <c r="AD38" s="310" t="str">
        <f>IF(F38&lt;&gt;"",IF(Input!AJ39&lt;&gt;"",Input!AJ39,""),"")</f>
        <v/>
      </c>
      <c r="AE38" s="449" t="str">
        <f>IFERROR(IF($AD$5="","",IF(F38&lt;&gt;"",(Input!AJ39/Input!$AJ$6)*100,"")),"NA")</f>
        <v/>
      </c>
      <c r="AF38" s="108" t="str">
        <f>IF(Input!AK39="Error","Error",IF(F38="","",IF($X$5="",0,IF(F38&lt;&gt;"",IFERROR(AVERAGE(Y38,AA38,AC38,AE38)*$AF$4,0),""))))</f>
        <v/>
      </c>
      <c r="AG38" s="174"/>
      <c r="AH38" s="175" t="str">
        <f>IF(F38&lt;&gt;"",IF(Input!AL39&lt;&gt;"",Input!AL39,""),"")</f>
        <v/>
      </c>
      <c r="AI38" s="451" t="str">
        <f>IFERROR(IF($AH$5="","",IF(F38&lt;&gt;"",(Input!AL39/Input!$AL$6)*100,"")),"NA")</f>
        <v/>
      </c>
      <c r="AJ38" s="176" t="str">
        <f>IF(F38&lt;&gt;"",IF(Input!AM39&lt;&gt;"",Input!AM39,""),"")</f>
        <v/>
      </c>
      <c r="AK38" s="451" t="str">
        <f>IFERROR(IF($AJ$5="","",IF(F38&lt;&gt;"",(Input!AM39/Input!$AM$6)*100,"")),"NA")</f>
        <v/>
      </c>
      <c r="AL38" s="176" t="str">
        <f>IF(F38&lt;&gt;"",IF(Input!AN39&lt;&gt;"",Input!AN39,""),"")</f>
        <v/>
      </c>
      <c r="AM38" s="451" t="str">
        <f>IFERROR(IF($AL$5="","",IF(F38&lt;&gt;"",(Input!AN39/Input!$AN$6)*100,"")),"NA")</f>
        <v/>
      </c>
      <c r="AN38" s="177" t="str">
        <f>IF(F38&lt;&gt;"",IF(Input!AO39&lt;&gt;"",Input!AO39,""),"")</f>
        <v/>
      </c>
      <c r="AO38" s="451" t="str">
        <f>IFERROR(IF($AN$5="","",IF(F38&lt;&gt;"",(Input!AO39/Input!$AO$6)*100,"")),"NA")</f>
        <v/>
      </c>
      <c r="AP38" s="303" t="str">
        <f>IF(Input!AP39="Error","Error",IF(F38="","",IF($AH$5="",0,IF(F38&lt;&gt;"",IFERROR(AVERAGE(AI38,AK38,AM38,AO38)*$AP$4,0),""))))</f>
        <v/>
      </c>
      <c r="AQ38" s="174"/>
      <c r="AR38" s="178" t="str">
        <f>IF(Input!AQ39="","",IF(F38&lt;&gt;"",Input!AQ39,""))</f>
        <v/>
      </c>
      <c r="AS38" s="179" t="str">
        <f>IF(F38="","",IF(Input!AR39="Error","Error",IF(ISNUMBER(Input!AR39),(Input!AR39*$AS$4),"")))</f>
        <v/>
      </c>
      <c r="AT38" s="331" t="str">
        <f>IF(V38="D","DRP",
IF(F38&lt;&gt;"",
IF(OR(AF38="Error",AP38="Error",AS38="Error"),"Error",
IF(Input!AQ39="","-",ROUND(AF38+AP38+AS38,2))),""))</f>
        <v/>
      </c>
      <c r="AU38" s="180" t="str">
        <f>IF(F38&lt;&gt;"",VLOOKUP(AT38,TRANSMUTATION!$A$2:$B$14,2),"")</f>
        <v/>
      </c>
      <c r="AV38" s="232" t="str">
        <f t="shared" si="1"/>
        <v/>
      </c>
      <c r="BA38" s="97"/>
    </row>
    <row r="39" spans="1:53" ht="15" customHeight="1" x14ac:dyDescent="0.2">
      <c r="A39" s="97"/>
      <c r="B39" s="239"/>
      <c r="C39" s="194">
        <v>33</v>
      </c>
      <c r="D39" s="203" t="str">
        <f>IF(Input!D40&lt;&gt;"",IF(F39&lt;&gt;"",Input!D40,""),"")</f>
        <v/>
      </c>
      <c r="E39" s="297"/>
      <c r="F39" s="298" t="str">
        <f>(IF(Input!F40&lt;&gt;"",Input!F40,""))</f>
        <v/>
      </c>
      <c r="G39" s="333"/>
      <c r="H39" s="333"/>
      <c r="I39" s="333"/>
      <c r="J39" s="333"/>
      <c r="K39" s="333"/>
      <c r="L39" s="333"/>
      <c r="M39" s="333"/>
      <c r="N39" s="333"/>
      <c r="O39" s="333"/>
      <c r="P39" s="333"/>
      <c r="Q39" s="333"/>
      <c r="R39" s="333"/>
      <c r="S39" s="333"/>
      <c r="T39" s="333"/>
      <c r="U39" s="333"/>
      <c r="V39" s="336"/>
      <c r="W39" s="173"/>
      <c r="X39" s="309" t="str">
        <f>IF(F39&lt;&gt;"",IF(Input!AG40&lt;&gt;"",Input!AG40,""),"")</f>
        <v/>
      </c>
      <c r="Y39" s="449" t="str">
        <f>IFERROR(IF($X$5="","",IF(F39&lt;&gt;"",(Input!AG40/Input!$AG$6)*100,"")),"NA")</f>
        <v/>
      </c>
      <c r="Z39" s="310" t="str">
        <f>IF(F39&lt;&gt;"",IF(Input!AH40&lt;&gt;"",Input!AH40,""),"")</f>
        <v/>
      </c>
      <c r="AA39" s="449" t="str">
        <f>IFERROR(IF($Z$5="","",IF(F39&lt;&gt;"",(Input!AH40/Input!$AH$6)*100,"")),"NA")</f>
        <v/>
      </c>
      <c r="AB39" s="310" t="str">
        <f>IF(F39&lt;&gt;"",IF(Input!AI40&lt;&gt;"",Input!AI40,""),"")</f>
        <v/>
      </c>
      <c r="AC39" s="449" t="str">
        <f>IFERROR(IF($AB$5="","",IF(F39&lt;&gt;"",(Input!AI40/Input!$AI$6)*100,"")),"NA")</f>
        <v/>
      </c>
      <c r="AD39" s="310" t="str">
        <f>IF(F39&lt;&gt;"",IF(Input!AJ40&lt;&gt;"",Input!AJ40,""),"")</f>
        <v/>
      </c>
      <c r="AE39" s="449" t="str">
        <f>IFERROR(IF($AD$5="","",IF(F39&lt;&gt;"",(Input!AJ40/Input!$AJ$6)*100,"")),"NA")</f>
        <v/>
      </c>
      <c r="AF39" s="108" t="str">
        <f>IF(Input!AK40="Error","Error",IF(F39="","",IF($X$5="",0,IF(F39&lt;&gt;"",IFERROR(AVERAGE(Y39,AA39,AC39,AE39)*$AF$4,0),""))))</f>
        <v/>
      </c>
      <c r="AG39" s="174"/>
      <c r="AH39" s="175" t="str">
        <f>IF(F39&lt;&gt;"",IF(Input!AL40&lt;&gt;"",Input!AL40,""),"")</f>
        <v/>
      </c>
      <c r="AI39" s="451" t="str">
        <f>IFERROR(IF($AH$5="","",IF(F39&lt;&gt;"",(Input!AL40/Input!$AL$6)*100,"")),"NA")</f>
        <v/>
      </c>
      <c r="AJ39" s="176" t="str">
        <f>IF(F39&lt;&gt;"",IF(Input!AM40&lt;&gt;"",Input!AM40,""),"")</f>
        <v/>
      </c>
      <c r="AK39" s="451" t="str">
        <f>IFERROR(IF($AJ$5="","",IF(F39&lt;&gt;"",(Input!AM40/Input!$AM$6)*100,"")),"NA")</f>
        <v/>
      </c>
      <c r="AL39" s="176" t="str">
        <f>IF(F39&lt;&gt;"",IF(Input!AN40&lt;&gt;"",Input!AN40,""),"")</f>
        <v/>
      </c>
      <c r="AM39" s="451" t="str">
        <f>IFERROR(IF($AL$5="","",IF(F39&lt;&gt;"",(Input!AN40/Input!$AN$6)*100,"")),"NA")</f>
        <v/>
      </c>
      <c r="AN39" s="177" t="str">
        <f>IF(F39&lt;&gt;"",IF(Input!AO40&lt;&gt;"",Input!AO40,""),"")</f>
        <v/>
      </c>
      <c r="AO39" s="451" t="str">
        <f>IFERROR(IF($AN$5="","",IF(F39&lt;&gt;"",(Input!AO40/Input!$AO$6)*100,"")),"NA")</f>
        <v/>
      </c>
      <c r="AP39" s="303" t="str">
        <f>IF(Input!AP40="Error","Error",IF(F39="","",IF($AH$5="",0,IF(F39&lt;&gt;"",IFERROR(AVERAGE(AI39,AK39,AM39,AO39)*$AP$4,0),""))))</f>
        <v/>
      </c>
      <c r="AQ39" s="174"/>
      <c r="AR39" s="178" t="str">
        <f>IF(Input!AQ40="","",IF(F39&lt;&gt;"",Input!AQ40,""))</f>
        <v/>
      </c>
      <c r="AS39" s="179" t="str">
        <f>IF(F39="","",IF(Input!AR40="Error","Error",IF(ISNUMBER(Input!AR40),(Input!AR40*$AS$4),"")))</f>
        <v/>
      </c>
      <c r="AT39" s="331" t="str">
        <f>IF(V39="D","DRP",
IF(F39&lt;&gt;"",
IF(OR(AF39="Error",AP39="Error",AS39="Error"),"Error",
IF(Input!AQ40="","-",ROUND(AF39+AP39+AS39,2))),""))</f>
        <v/>
      </c>
      <c r="AU39" s="180" t="str">
        <f>IF(F39&lt;&gt;"",VLOOKUP(AT39,TRANSMUTATION!$A$2:$B$14,2),"")</f>
        <v/>
      </c>
      <c r="AV39" s="232" t="str">
        <f t="shared" si="1"/>
        <v/>
      </c>
      <c r="BA39" s="97"/>
    </row>
    <row r="40" spans="1:53" ht="15" customHeight="1" x14ac:dyDescent="0.2">
      <c r="A40" s="97"/>
      <c r="B40" s="239"/>
      <c r="C40" s="194">
        <v>34</v>
      </c>
      <c r="D40" s="203" t="str">
        <f>IF(Input!D41&lt;&gt;"",IF(F40&lt;&gt;"",Input!D41,""),"")</f>
        <v/>
      </c>
      <c r="E40" s="297"/>
      <c r="F40" s="298" t="str">
        <f>(IF(Input!F41&lt;&gt;"",Input!F41,""))</f>
        <v/>
      </c>
      <c r="G40" s="333"/>
      <c r="H40" s="333"/>
      <c r="I40" s="333"/>
      <c r="J40" s="333"/>
      <c r="K40" s="333"/>
      <c r="L40" s="333"/>
      <c r="M40" s="333"/>
      <c r="N40" s="333"/>
      <c r="O40" s="333"/>
      <c r="P40" s="333"/>
      <c r="Q40" s="333"/>
      <c r="R40" s="333"/>
      <c r="S40" s="333"/>
      <c r="T40" s="333"/>
      <c r="U40" s="333"/>
      <c r="V40" s="336"/>
      <c r="W40" s="173"/>
      <c r="X40" s="309" t="str">
        <f>IF(F40&lt;&gt;"",IF(Input!AG41&lt;&gt;"",Input!AG41,""),"")</f>
        <v/>
      </c>
      <c r="Y40" s="449" t="str">
        <f>IFERROR(IF($X$5="","",IF(F40&lt;&gt;"",(Input!AG41/Input!$AG$6)*100,"")),"NA")</f>
        <v/>
      </c>
      <c r="Z40" s="310" t="str">
        <f>IF(F40&lt;&gt;"",IF(Input!AH41&lt;&gt;"",Input!AH41,""),"")</f>
        <v/>
      </c>
      <c r="AA40" s="449" t="str">
        <f>IFERROR(IF($Z$5="","",IF(F40&lt;&gt;"",(Input!AH41/Input!$AH$6)*100,"")),"NA")</f>
        <v/>
      </c>
      <c r="AB40" s="310" t="str">
        <f>IF(F40&lt;&gt;"",IF(Input!AI41&lt;&gt;"",Input!AI41,""),"")</f>
        <v/>
      </c>
      <c r="AC40" s="449" t="str">
        <f>IFERROR(IF($AB$5="","",IF(F40&lt;&gt;"",(Input!AI41/Input!$AI$6)*100,"")),"NA")</f>
        <v/>
      </c>
      <c r="AD40" s="310" t="str">
        <f>IF(F40&lt;&gt;"",IF(Input!AJ41&lt;&gt;"",Input!AJ41,""),"")</f>
        <v/>
      </c>
      <c r="AE40" s="449" t="str">
        <f>IFERROR(IF($AD$5="","",IF(F40&lt;&gt;"",(Input!AJ41/Input!$AJ$6)*100,"")),"NA")</f>
        <v/>
      </c>
      <c r="AF40" s="108" t="str">
        <f>IF(Input!AK41="Error","Error",IF(F40="","",IF($X$5="",0,IF(F40&lt;&gt;"",IFERROR(AVERAGE(Y40,AA40,AC40,AE40)*$AF$4,0),""))))</f>
        <v/>
      </c>
      <c r="AG40" s="174"/>
      <c r="AH40" s="175" t="str">
        <f>IF(F40&lt;&gt;"",IF(Input!AL41&lt;&gt;"",Input!AL41,""),"")</f>
        <v/>
      </c>
      <c r="AI40" s="451" t="str">
        <f>IFERROR(IF($AH$5="","",IF(F40&lt;&gt;"",(Input!AL41/Input!$AL$6)*100,"")),"NA")</f>
        <v/>
      </c>
      <c r="AJ40" s="176" t="str">
        <f>IF(F40&lt;&gt;"",IF(Input!AM41&lt;&gt;"",Input!AM41,""),"")</f>
        <v/>
      </c>
      <c r="AK40" s="451" t="str">
        <f>IFERROR(IF($AJ$5="","",IF(F40&lt;&gt;"",(Input!AM41/Input!$AM$6)*100,"")),"NA")</f>
        <v/>
      </c>
      <c r="AL40" s="176" t="str">
        <f>IF(F40&lt;&gt;"",IF(Input!AN41&lt;&gt;"",Input!AN41,""),"")</f>
        <v/>
      </c>
      <c r="AM40" s="451" t="str">
        <f>IFERROR(IF($AL$5="","",IF(F40&lt;&gt;"",(Input!AN41/Input!$AN$6)*100,"")),"NA")</f>
        <v/>
      </c>
      <c r="AN40" s="177" t="str">
        <f>IF(F40&lt;&gt;"",IF(Input!AO41&lt;&gt;"",Input!AO41,""),"")</f>
        <v/>
      </c>
      <c r="AO40" s="451" t="str">
        <f>IFERROR(IF($AN$5="","",IF(F40&lt;&gt;"",(Input!AO41/Input!$AO$6)*100,"")),"NA")</f>
        <v/>
      </c>
      <c r="AP40" s="303" t="str">
        <f>IF(Input!AP41="Error","Error",IF(F40="","",IF($AH$5="",0,IF(F40&lt;&gt;"",IFERROR(AVERAGE(AI40,AK40,AM40,AO40)*$AP$4,0),""))))</f>
        <v/>
      </c>
      <c r="AQ40" s="174"/>
      <c r="AR40" s="178" t="str">
        <f>IF(Input!AQ41="","",IF(F40&lt;&gt;"",Input!AQ41,""))</f>
        <v/>
      </c>
      <c r="AS40" s="179" t="str">
        <f>IF(F40="","",IF(Input!AR41="Error","Error",IF(ISNUMBER(Input!AR41),(Input!AR41*$AS$4),"")))</f>
        <v/>
      </c>
      <c r="AT40" s="331" t="str">
        <f>IF(V40="D","DRP",
IF(F40&lt;&gt;"",
IF(OR(AF40="Error",AP40="Error",AS40="Error"),"Error",
IF(Input!AQ41="","-",ROUND(AF40+AP40+AS40,2))),""))</f>
        <v/>
      </c>
      <c r="AU40" s="180" t="str">
        <f>IF(F40&lt;&gt;"",VLOOKUP(AT40,TRANSMUTATION!$A$2:$B$14,2),"")</f>
        <v/>
      </c>
      <c r="AV40" s="232" t="str">
        <f t="shared" si="1"/>
        <v/>
      </c>
      <c r="BA40" s="97"/>
    </row>
    <row r="41" spans="1:53" ht="15" customHeight="1" x14ac:dyDescent="0.2">
      <c r="A41" s="97"/>
      <c r="B41" s="239"/>
      <c r="C41" s="194">
        <v>35</v>
      </c>
      <c r="D41" s="203" t="str">
        <f>IF(Input!D42&lt;&gt;"",IF(F41&lt;&gt;"",Input!D42,""),"")</f>
        <v/>
      </c>
      <c r="E41" s="297"/>
      <c r="F41" s="298" t="str">
        <f>(IF(Input!F42&lt;&gt;"",Input!F42,""))</f>
        <v/>
      </c>
      <c r="G41" s="333"/>
      <c r="H41" s="333"/>
      <c r="I41" s="333"/>
      <c r="J41" s="333"/>
      <c r="K41" s="333"/>
      <c r="L41" s="333"/>
      <c r="M41" s="333"/>
      <c r="N41" s="333"/>
      <c r="O41" s="333"/>
      <c r="P41" s="333"/>
      <c r="Q41" s="333"/>
      <c r="R41" s="333"/>
      <c r="S41" s="333"/>
      <c r="T41" s="333"/>
      <c r="U41" s="333"/>
      <c r="V41" s="336"/>
      <c r="W41" s="173"/>
      <c r="X41" s="309" t="str">
        <f>IF(F41&lt;&gt;"",IF(Input!AG42&lt;&gt;"",Input!AG42,""),"")</f>
        <v/>
      </c>
      <c r="Y41" s="449" t="str">
        <f>IFERROR(IF($X$5="","",IF(F41&lt;&gt;"",(Input!AG42/Input!$AG$6)*100,"")),"NA")</f>
        <v/>
      </c>
      <c r="Z41" s="310" t="str">
        <f>IF(F41&lt;&gt;"",IF(Input!AH42&lt;&gt;"",Input!AH42,""),"")</f>
        <v/>
      </c>
      <c r="AA41" s="449" t="str">
        <f>IFERROR(IF($Z$5="","",IF(F41&lt;&gt;"",(Input!AH42/Input!$AH$6)*100,"")),"NA")</f>
        <v/>
      </c>
      <c r="AB41" s="310" t="str">
        <f>IF(F41&lt;&gt;"",IF(Input!AI42&lt;&gt;"",Input!AI42,""),"")</f>
        <v/>
      </c>
      <c r="AC41" s="449" t="str">
        <f>IFERROR(IF($AB$5="","",IF(F41&lt;&gt;"",(Input!AI42/Input!$AI$6)*100,"")),"NA")</f>
        <v/>
      </c>
      <c r="AD41" s="310" t="str">
        <f>IF(F41&lt;&gt;"",IF(Input!AJ42&lt;&gt;"",Input!AJ42,""),"")</f>
        <v/>
      </c>
      <c r="AE41" s="449" t="str">
        <f>IFERROR(IF($AD$5="","",IF(F41&lt;&gt;"",(Input!AJ42/Input!$AJ$6)*100,"")),"NA")</f>
        <v/>
      </c>
      <c r="AF41" s="108" t="str">
        <f>IF(Input!AK42="Error","Error",IF(F41="","",IF($X$5="",0,IF(F41&lt;&gt;"",IFERROR(AVERAGE(Y41,AA41,AC41,AE41)*$AF$4,0),""))))</f>
        <v/>
      </c>
      <c r="AG41" s="174"/>
      <c r="AH41" s="175" t="str">
        <f>IF(F41&lt;&gt;"",IF(Input!AL42&lt;&gt;"",Input!AL42,""),"")</f>
        <v/>
      </c>
      <c r="AI41" s="451" t="str">
        <f>IFERROR(IF($AH$5="","",IF(F41&lt;&gt;"",(Input!AL42/Input!$AL$6)*100,"")),"NA")</f>
        <v/>
      </c>
      <c r="AJ41" s="176" t="str">
        <f>IF(F41&lt;&gt;"",IF(Input!AM42&lt;&gt;"",Input!AM42,""),"")</f>
        <v/>
      </c>
      <c r="AK41" s="451" t="str">
        <f>IFERROR(IF($AJ$5="","",IF(F41&lt;&gt;"",(Input!AM42/Input!$AM$6)*100,"")),"NA")</f>
        <v/>
      </c>
      <c r="AL41" s="176" t="str">
        <f>IF(F41&lt;&gt;"",IF(Input!AN42&lt;&gt;"",Input!AN42,""),"")</f>
        <v/>
      </c>
      <c r="AM41" s="451" t="str">
        <f>IFERROR(IF($AL$5="","",IF(F41&lt;&gt;"",(Input!AN42/Input!$AN$6)*100,"")),"NA")</f>
        <v/>
      </c>
      <c r="AN41" s="177" t="str">
        <f>IF(F41&lt;&gt;"",IF(Input!AO42&lt;&gt;"",Input!AO42,""),"")</f>
        <v/>
      </c>
      <c r="AO41" s="451" t="str">
        <f>IFERROR(IF($AN$5="","",IF(F41&lt;&gt;"",(Input!AO42/Input!$AO$6)*100,"")),"NA")</f>
        <v/>
      </c>
      <c r="AP41" s="303" t="str">
        <f>IF(Input!AP42="Error","Error",IF(F41="","",IF($AH$5="",0,IF(F41&lt;&gt;"",IFERROR(AVERAGE(AI41,AK41,AM41,AO41)*$AP$4,0),""))))</f>
        <v/>
      </c>
      <c r="AQ41" s="174"/>
      <c r="AR41" s="178" t="str">
        <f>IF(Input!AQ42="","",IF(F41&lt;&gt;"",Input!AQ42,""))</f>
        <v/>
      </c>
      <c r="AS41" s="179" t="str">
        <f>IF(F41="","",IF(Input!AR42="Error","Error",IF(ISNUMBER(Input!AR42),(Input!AR42*$AS$4),"")))</f>
        <v/>
      </c>
      <c r="AT41" s="331" t="str">
        <f>IF(V41="D","DRP",
IF(F41&lt;&gt;"",
IF(OR(AF41="Error",AP41="Error",AS41="Error"),"Error",
IF(Input!AQ42="","-",ROUND(AF41+AP41+AS41,2))),""))</f>
        <v/>
      </c>
      <c r="AU41" s="180" t="str">
        <f>IF(F41&lt;&gt;"",VLOOKUP(AT41,TRANSMUTATION!$A$2:$B$14,2),"")</f>
        <v/>
      </c>
      <c r="AV41" s="232" t="str">
        <f t="shared" si="1"/>
        <v/>
      </c>
      <c r="BA41" s="97"/>
    </row>
    <row r="42" spans="1:53" ht="15" customHeight="1" x14ac:dyDescent="0.2">
      <c r="A42" s="97"/>
      <c r="B42" s="239"/>
      <c r="C42" s="194">
        <v>36</v>
      </c>
      <c r="D42" s="203" t="str">
        <f>IF(Input!D43&lt;&gt;"",IF(F42&lt;&gt;"",Input!D43,""),"")</f>
        <v/>
      </c>
      <c r="E42" s="297"/>
      <c r="F42" s="298" t="str">
        <f>(IF(Input!F43&lt;&gt;"",Input!F43,""))</f>
        <v/>
      </c>
      <c r="G42" s="333"/>
      <c r="H42" s="333"/>
      <c r="I42" s="333"/>
      <c r="J42" s="333"/>
      <c r="K42" s="333"/>
      <c r="L42" s="333"/>
      <c r="M42" s="333"/>
      <c r="N42" s="333"/>
      <c r="O42" s="333"/>
      <c r="P42" s="333"/>
      <c r="Q42" s="333"/>
      <c r="R42" s="333"/>
      <c r="S42" s="333"/>
      <c r="T42" s="333"/>
      <c r="U42" s="333"/>
      <c r="V42" s="336"/>
      <c r="W42" s="173"/>
      <c r="X42" s="309" t="str">
        <f>IF(F42&lt;&gt;"",IF(Input!AG43&lt;&gt;"",Input!AG43,""),"")</f>
        <v/>
      </c>
      <c r="Y42" s="449" t="str">
        <f>IFERROR(IF($X$5="","",IF(F42&lt;&gt;"",(Input!AG43/Input!$AG$6)*100,"")),"NA")</f>
        <v/>
      </c>
      <c r="Z42" s="310" t="str">
        <f>IF(F42&lt;&gt;"",IF(Input!AH43&lt;&gt;"",Input!AH43,""),"")</f>
        <v/>
      </c>
      <c r="AA42" s="449" t="str">
        <f>IFERROR(IF($Z$5="","",IF(F42&lt;&gt;"",(Input!AH43/Input!$AH$6)*100,"")),"NA")</f>
        <v/>
      </c>
      <c r="AB42" s="310" t="str">
        <f>IF(F42&lt;&gt;"",IF(Input!AI43&lt;&gt;"",Input!AI43,""),"")</f>
        <v/>
      </c>
      <c r="AC42" s="449" t="str">
        <f>IFERROR(IF($AB$5="","",IF(F42&lt;&gt;"",(Input!AI43/Input!$AI$6)*100,"")),"NA")</f>
        <v/>
      </c>
      <c r="AD42" s="310" t="str">
        <f>IF(F42&lt;&gt;"",IF(Input!AJ43&lt;&gt;"",Input!AJ43,""),"")</f>
        <v/>
      </c>
      <c r="AE42" s="449" t="str">
        <f>IFERROR(IF($AD$5="","",IF(F42&lt;&gt;"",(Input!AJ43/Input!$AJ$6)*100,"")),"NA")</f>
        <v/>
      </c>
      <c r="AF42" s="108" t="str">
        <f>IF(Input!AK43="Error","Error",IF(F42="","",IF($X$5="",0,IF(F42&lt;&gt;"",IFERROR(AVERAGE(Y42,AA42,AC42,AE42)*$AF$4,0),""))))</f>
        <v/>
      </c>
      <c r="AG42" s="174"/>
      <c r="AH42" s="175" t="str">
        <f>IF(F42&lt;&gt;"",IF(Input!AL43&lt;&gt;"",Input!AL43,""),"")</f>
        <v/>
      </c>
      <c r="AI42" s="451" t="str">
        <f>IFERROR(IF($AH$5="","",IF(F42&lt;&gt;"",(Input!AL43/Input!$AL$6)*100,"")),"NA")</f>
        <v/>
      </c>
      <c r="AJ42" s="176" t="str">
        <f>IF(F42&lt;&gt;"",IF(Input!AM43&lt;&gt;"",Input!AM43,""),"")</f>
        <v/>
      </c>
      <c r="AK42" s="451" t="str">
        <f>IFERROR(IF($AJ$5="","",IF(F42&lt;&gt;"",(Input!AM43/Input!$AM$6)*100,"")),"NA")</f>
        <v/>
      </c>
      <c r="AL42" s="176" t="str">
        <f>IF(F42&lt;&gt;"",IF(Input!AN43&lt;&gt;"",Input!AN43,""),"")</f>
        <v/>
      </c>
      <c r="AM42" s="451" t="str">
        <f>IFERROR(IF($AL$5="","",IF(F42&lt;&gt;"",(Input!AN43/Input!$AN$6)*100,"")),"NA")</f>
        <v/>
      </c>
      <c r="AN42" s="177" t="str">
        <f>IF(F42&lt;&gt;"",IF(Input!AO43&lt;&gt;"",Input!AO43,""),"")</f>
        <v/>
      </c>
      <c r="AO42" s="451" t="str">
        <f>IFERROR(IF($AN$5="","",IF(F42&lt;&gt;"",(Input!AO43/Input!$AO$6)*100,"")),"NA")</f>
        <v/>
      </c>
      <c r="AP42" s="303" t="str">
        <f>IF(Input!AP43="Error","Error",IF(F42="","",IF($AH$5="",0,IF(F42&lt;&gt;"",IFERROR(AVERAGE(AI42,AK42,AM42,AO42)*$AP$4,0),""))))</f>
        <v/>
      </c>
      <c r="AQ42" s="174"/>
      <c r="AR42" s="178" t="str">
        <f>IF(Input!AQ43="","",IF(F42&lt;&gt;"",Input!AQ43,""))</f>
        <v/>
      </c>
      <c r="AS42" s="179" t="str">
        <f>IF(F42="","",IF(Input!AR43="Error","Error",IF(ISNUMBER(Input!AR43),(Input!AR43*$AS$4),"")))</f>
        <v/>
      </c>
      <c r="AT42" s="331" t="str">
        <f>IF(V42="D","DRP",
IF(F42&lt;&gt;"",
IF(OR(AF42="Error",AP42="Error",AS42="Error"),"Error",
IF(Input!AQ43="","-",ROUND(AF42+AP42+AS42,2))),""))</f>
        <v/>
      </c>
      <c r="AU42" s="180" t="str">
        <f>IF(F42&lt;&gt;"",VLOOKUP(AT42,TRANSMUTATION!$A$2:$B$14,2),"")</f>
        <v/>
      </c>
      <c r="AV42" s="232" t="str">
        <f t="shared" si="1"/>
        <v/>
      </c>
      <c r="BA42" s="97"/>
    </row>
    <row r="43" spans="1:53" ht="15" customHeight="1" x14ac:dyDescent="0.2">
      <c r="A43" s="97"/>
      <c r="B43" s="239"/>
      <c r="C43" s="194">
        <v>37</v>
      </c>
      <c r="D43" s="203" t="str">
        <f>IF(Input!D44&lt;&gt;"",IF(F43&lt;&gt;"",Input!D44,""),"")</f>
        <v/>
      </c>
      <c r="E43" s="297"/>
      <c r="F43" s="298" t="str">
        <f>(IF(Input!F44&lt;&gt;"",Input!F44,""))</f>
        <v/>
      </c>
      <c r="G43" s="333"/>
      <c r="H43" s="333"/>
      <c r="I43" s="333"/>
      <c r="J43" s="333"/>
      <c r="K43" s="333"/>
      <c r="L43" s="333"/>
      <c r="M43" s="333"/>
      <c r="N43" s="333"/>
      <c r="O43" s="333"/>
      <c r="P43" s="333"/>
      <c r="Q43" s="333"/>
      <c r="R43" s="333"/>
      <c r="S43" s="333"/>
      <c r="T43" s="333"/>
      <c r="U43" s="333"/>
      <c r="V43" s="336"/>
      <c r="W43" s="173"/>
      <c r="X43" s="309" t="str">
        <f>IF(F43&lt;&gt;"",IF(Input!AG44&lt;&gt;"",Input!AG44,""),"")</f>
        <v/>
      </c>
      <c r="Y43" s="449" t="str">
        <f>IFERROR(IF($X$5="","",IF(F43&lt;&gt;"",(Input!AG44/Input!$AG$6)*100,"")),"NA")</f>
        <v/>
      </c>
      <c r="Z43" s="310" t="str">
        <f>IF(F43&lt;&gt;"",IF(Input!AH44&lt;&gt;"",Input!AH44,""),"")</f>
        <v/>
      </c>
      <c r="AA43" s="449" t="str">
        <f>IFERROR(IF($Z$5="","",IF(F43&lt;&gt;"",(Input!AH44/Input!$AH$6)*100,"")),"NA")</f>
        <v/>
      </c>
      <c r="AB43" s="310" t="str">
        <f>IF(F43&lt;&gt;"",IF(Input!AI44&lt;&gt;"",Input!AI44,""),"")</f>
        <v/>
      </c>
      <c r="AC43" s="449" t="str">
        <f>IFERROR(IF($AB$5="","",IF(F43&lt;&gt;"",(Input!AI44/Input!$AI$6)*100,"")),"NA")</f>
        <v/>
      </c>
      <c r="AD43" s="310" t="str">
        <f>IF(F43&lt;&gt;"",IF(Input!AJ44&lt;&gt;"",Input!AJ44,""),"")</f>
        <v/>
      </c>
      <c r="AE43" s="449" t="str">
        <f>IFERROR(IF($AD$5="","",IF(F43&lt;&gt;"",(Input!AJ44/Input!$AJ$6)*100,"")),"NA")</f>
        <v/>
      </c>
      <c r="AF43" s="108" t="str">
        <f>IF(Input!AK44="Error","Error",IF(F43="","",IF($X$5="",0,IF(F43&lt;&gt;"",IFERROR(AVERAGE(Y43,AA43,AC43,AE43)*$AF$4,0),""))))</f>
        <v/>
      </c>
      <c r="AG43" s="174"/>
      <c r="AH43" s="175" t="str">
        <f>IF(F43&lt;&gt;"",IF(Input!AL44&lt;&gt;"",Input!AL44,""),"")</f>
        <v/>
      </c>
      <c r="AI43" s="451" t="str">
        <f>IFERROR(IF($AH$5="","",IF(F43&lt;&gt;"",(Input!AL44/Input!$AL$6)*100,"")),"NA")</f>
        <v/>
      </c>
      <c r="AJ43" s="176" t="str">
        <f>IF(F43&lt;&gt;"",IF(Input!AM44&lt;&gt;"",Input!AM44,""),"")</f>
        <v/>
      </c>
      <c r="AK43" s="451" t="str">
        <f>IFERROR(IF($AJ$5="","",IF(F43&lt;&gt;"",(Input!AM44/Input!$AM$6)*100,"")),"NA")</f>
        <v/>
      </c>
      <c r="AL43" s="176" t="str">
        <f>IF(F43&lt;&gt;"",IF(Input!AN44&lt;&gt;"",Input!AN44,""),"")</f>
        <v/>
      </c>
      <c r="AM43" s="451" t="str">
        <f>IFERROR(IF($AL$5="","",IF(F43&lt;&gt;"",(Input!AN44/Input!$AN$6)*100,"")),"NA")</f>
        <v/>
      </c>
      <c r="AN43" s="177" t="str">
        <f>IF(F43&lt;&gt;"",IF(Input!AO44&lt;&gt;"",Input!AO44,""),"")</f>
        <v/>
      </c>
      <c r="AO43" s="451" t="str">
        <f>IFERROR(IF($AN$5="","",IF(F43&lt;&gt;"",(Input!AO44/Input!$AO$6)*100,"")),"NA")</f>
        <v/>
      </c>
      <c r="AP43" s="303" t="str">
        <f>IF(Input!AP44="Error","Error",IF(F43="","",IF($AH$5="",0,IF(F43&lt;&gt;"",IFERROR(AVERAGE(AI43,AK43,AM43,AO43)*$AP$4,0),""))))</f>
        <v/>
      </c>
      <c r="AQ43" s="174"/>
      <c r="AR43" s="178" t="str">
        <f>IF(Input!AQ44="","",IF(F43&lt;&gt;"",Input!AQ44,""))</f>
        <v/>
      </c>
      <c r="AS43" s="179" t="str">
        <f>IF(F43="","",IF(Input!AR44="Error","Error",IF(ISNUMBER(Input!AR44),(Input!AR44*$AS$4),"")))</f>
        <v/>
      </c>
      <c r="AT43" s="331" t="str">
        <f>IF(V43="D","DRP",
IF(F43&lt;&gt;"",
IF(OR(AF43="Error",AP43="Error",AS43="Error"),"Error",
IF(Input!AQ44="","-",ROUND(AF43+AP43+AS43,2))),""))</f>
        <v/>
      </c>
      <c r="AU43" s="180" t="str">
        <f>IF(F43&lt;&gt;"",VLOOKUP(AT43,TRANSMUTATION!$A$2:$B$14,2),"")</f>
        <v/>
      </c>
      <c r="AV43" s="232" t="str">
        <f t="shared" si="1"/>
        <v/>
      </c>
      <c r="BA43" s="97"/>
    </row>
    <row r="44" spans="1:53" ht="15" customHeight="1" x14ac:dyDescent="0.2">
      <c r="A44" s="97"/>
      <c r="B44" s="239"/>
      <c r="C44" s="194">
        <v>38</v>
      </c>
      <c r="D44" s="203" t="str">
        <f>IF(Input!D45&lt;&gt;"",IF(F44&lt;&gt;"",Input!D45,""),"")</f>
        <v/>
      </c>
      <c r="E44" s="297"/>
      <c r="F44" s="298" t="str">
        <f>(IF(Input!F45&lt;&gt;"",Input!F45,""))</f>
        <v/>
      </c>
      <c r="G44" s="333"/>
      <c r="H44" s="333"/>
      <c r="I44" s="333"/>
      <c r="J44" s="333"/>
      <c r="K44" s="333"/>
      <c r="L44" s="333"/>
      <c r="M44" s="333"/>
      <c r="N44" s="333"/>
      <c r="O44" s="333"/>
      <c r="P44" s="333"/>
      <c r="Q44" s="333"/>
      <c r="R44" s="333"/>
      <c r="S44" s="333"/>
      <c r="T44" s="333"/>
      <c r="U44" s="333"/>
      <c r="V44" s="336"/>
      <c r="W44" s="173"/>
      <c r="X44" s="309" t="str">
        <f>IF(F44&lt;&gt;"",IF(Input!AG45&lt;&gt;"",Input!AG45,""),"")</f>
        <v/>
      </c>
      <c r="Y44" s="449" t="str">
        <f>IFERROR(IF($X$5="","",IF(F44&lt;&gt;"",(Input!AG45/Input!$AG$6)*100,"")),"NA")</f>
        <v/>
      </c>
      <c r="Z44" s="310" t="str">
        <f>IF(F44&lt;&gt;"",IF(Input!AH45&lt;&gt;"",Input!AH45,""),"")</f>
        <v/>
      </c>
      <c r="AA44" s="449" t="str">
        <f>IFERROR(IF($Z$5="","",IF(F44&lt;&gt;"",(Input!AH45/Input!$AH$6)*100,"")),"NA")</f>
        <v/>
      </c>
      <c r="AB44" s="310" t="str">
        <f>IF(F44&lt;&gt;"",IF(Input!AI45&lt;&gt;"",Input!AI45,""),"")</f>
        <v/>
      </c>
      <c r="AC44" s="449" t="str">
        <f>IFERROR(IF($AB$5="","",IF(F44&lt;&gt;"",(Input!AI45/Input!$AI$6)*100,"")),"NA")</f>
        <v/>
      </c>
      <c r="AD44" s="310" t="str">
        <f>IF(F44&lt;&gt;"",IF(Input!AJ45&lt;&gt;"",Input!AJ45,""),"")</f>
        <v/>
      </c>
      <c r="AE44" s="449" t="str">
        <f>IFERROR(IF($AD$5="","",IF(F44&lt;&gt;"",(Input!AJ45/Input!$AJ$6)*100,"")),"NA")</f>
        <v/>
      </c>
      <c r="AF44" s="108" t="str">
        <f>IF(Input!AK45="Error","Error",IF(F44="","",IF($X$5="",0,IF(F44&lt;&gt;"",IFERROR(AVERAGE(Y44,AA44,AC44,AE44)*$AF$4,0),""))))</f>
        <v/>
      </c>
      <c r="AG44" s="174"/>
      <c r="AH44" s="175" t="str">
        <f>IF(F44&lt;&gt;"",IF(Input!AL45&lt;&gt;"",Input!AL45,""),"")</f>
        <v/>
      </c>
      <c r="AI44" s="451" t="str">
        <f>IFERROR(IF($AH$5="","",IF(F44&lt;&gt;"",(Input!AL45/Input!$AL$6)*100,"")),"NA")</f>
        <v/>
      </c>
      <c r="AJ44" s="176" t="str">
        <f>IF(F44&lt;&gt;"",IF(Input!AM45&lt;&gt;"",Input!AM45,""),"")</f>
        <v/>
      </c>
      <c r="AK44" s="451" t="str">
        <f>IFERROR(IF($AJ$5="","",IF(F44&lt;&gt;"",(Input!AM45/Input!$AM$6)*100,"")),"NA")</f>
        <v/>
      </c>
      <c r="AL44" s="176" t="str">
        <f>IF(F44&lt;&gt;"",IF(Input!AN45&lt;&gt;"",Input!AN45,""),"")</f>
        <v/>
      </c>
      <c r="AM44" s="451" t="str">
        <f>IFERROR(IF($AL$5="","",IF(F44&lt;&gt;"",(Input!AN45/Input!$AN$6)*100,"")),"NA")</f>
        <v/>
      </c>
      <c r="AN44" s="177" t="str">
        <f>IF(F44&lt;&gt;"",IF(Input!AO45&lt;&gt;"",Input!AO45,""),"")</f>
        <v/>
      </c>
      <c r="AO44" s="451" t="str">
        <f>IFERROR(IF($AN$5="","",IF(F44&lt;&gt;"",(Input!AO45/Input!$AO$6)*100,"")),"NA")</f>
        <v/>
      </c>
      <c r="AP44" s="303" t="str">
        <f>IF(Input!AP45="Error","Error",IF(F44="","",IF($AH$5="",0,IF(F44&lt;&gt;"",IFERROR(AVERAGE(AI44,AK44,AM44,AO44)*$AP$4,0),""))))</f>
        <v/>
      </c>
      <c r="AQ44" s="174"/>
      <c r="AR44" s="178" t="str">
        <f>IF(Input!AQ45="","",IF(F44&lt;&gt;"",Input!AQ45,""))</f>
        <v/>
      </c>
      <c r="AS44" s="179" t="str">
        <f>IF(F44="","",IF(Input!AR45="Error","Error",IF(ISNUMBER(Input!AR45),(Input!AR45*$AS$4),"")))</f>
        <v/>
      </c>
      <c r="AT44" s="331" t="str">
        <f>IF(V44="D","DRP",
IF(F44&lt;&gt;"",
IF(OR(AF44="Error",AP44="Error",AS44="Error"),"Error",
IF(Input!AQ45="","-",ROUND(AF44+AP44+AS44,2))),""))</f>
        <v/>
      </c>
      <c r="AU44" s="180" t="str">
        <f>IF(F44&lt;&gt;"",VLOOKUP(AT44,TRANSMUTATION!$A$2:$B$14,2),"")</f>
        <v/>
      </c>
      <c r="AV44" s="232" t="str">
        <f t="shared" si="1"/>
        <v/>
      </c>
      <c r="BA44" s="97"/>
    </row>
    <row r="45" spans="1:53" ht="15" customHeight="1" x14ac:dyDescent="0.2">
      <c r="A45" s="97"/>
      <c r="B45" s="239"/>
      <c r="C45" s="194">
        <v>39</v>
      </c>
      <c r="D45" s="203" t="str">
        <f>IF(Input!D46&lt;&gt;"",IF(F45&lt;&gt;"",Input!D46,""),"")</f>
        <v/>
      </c>
      <c r="E45" s="297"/>
      <c r="F45" s="298" t="str">
        <f>(IF(Input!F46&lt;&gt;"",Input!F46,""))</f>
        <v/>
      </c>
      <c r="G45" s="333"/>
      <c r="H45" s="333"/>
      <c r="I45" s="333"/>
      <c r="J45" s="333"/>
      <c r="K45" s="333"/>
      <c r="L45" s="333"/>
      <c r="M45" s="333"/>
      <c r="N45" s="333"/>
      <c r="O45" s="333"/>
      <c r="P45" s="333"/>
      <c r="Q45" s="333"/>
      <c r="R45" s="333"/>
      <c r="S45" s="333"/>
      <c r="T45" s="333"/>
      <c r="U45" s="333"/>
      <c r="V45" s="336"/>
      <c r="W45" s="173"/>
      <c r="X45" s="309" t="str">
        <f>IF(F45&lt;&gt;"",IF(Input!AG46&lt;&gt;"",Input!AG46,""),"")</f>
        <v/>
      </c>
      <c r="Y45" s="449" t="str">
        <f>IFERROR(IF($X$5="","",IF(F45&lt;&gt;"",(Input!AG46/Input!$AG$6)*100,"")),"NA")</f>
        <v/>
      </c>
      <c r="Z45" s="310" t="str">
        <f>IF(F45&lt;&gt;"",IF(Input!AH46&lt;&gt;"",Input!AH46,""),"")</f>
        <v/>
      </c>
      <c r="AA45" s="449" t="str">
        <f>IFERROR(IF($Z$5="","",IF(F45&lt;&gt;"",(Input!AH46/Input!$AH$6)*100,"")),"NA")</f>
        <v/>
      </c>
      <c r="AB45" s="310" t="str">
        <f>IF(F45&lt;&gt;"",IF(Input!AI46&lt;&gt;"",Input!AI46,""),"")</f>
        <v/>
      </c>
      <c r="AC45" s="449" t="str">
        <f>IFERROR(IF($AB$5="","",IF(F45&lt;&gt;"",(Input!AI46/Input!$AI$6)*100,"")),"NA")</f>
        <v/>
      </c>
      <c r="AD45" s="310" t="str">
        <f>IF(F45&lt;&gt;"",IF(Input!AJ46&lt;&gt;"",Input!AJ46,""),"")</f>
        <v/>
      </c>
      <c r="AE45" s="449" t="str">
        <f>IFERROR(IF($AD$5="","",IF(F45&lt;&gt;"",(Input!AJ46/Input!$AJ$6)*100,"")),"NA")</f>
        <v/>
      </c>
      <c r="AF45" s="108" t="str">
        <f>IF(Input!AK46="Error","Error",IF(F45="","",IF($X$5="",0,IF(F45&lt;&gt;"",IFERROR(AVERAGE(Y45,AA45,AC45,AE45)*$AF$4,0),""))))</f>
        <v/>
      </c>
      <c r="AG45" s="174"/>
      <c r="AH45" s="175" t="str">
        <f>IF(F45&lt;&gt;"",IF(Input!AL46&lt;&gt;"",Input!AL46,""),"")</f>
        <v/>
      </c>
      <c r="AI45" s="451" t="str">
        <f>IFERROR(IF($AH$5="","",IF(F45&lt;&gt;"",(Input!AL46/Input!$AL$6)*100,"")),"NA")</f>
        <v/>
      </c>
      <c r="AJ45" s="176" t="str">
        <f>IF(F45&lt;&gt;"",IF(Input!AM46&lt;&gt;"",Input!AM46,""),"")</f>
        <v/>
      </c>
      <c r="AK45" s="451" t="str">
        <f>IFERROR(IF($AJ$5="","",IF(F45&lt;&gt;"",(Input!AM46/Input!$AM$6)*100,"")),"NA")</f>
        <v/>
      </c>
      <c r="AL45" s="176" t="str">
        <f>IF(F45&lt;&gt;"",IF(Input!AN46&lt;&gt;"",Input!AN46,""),"")</f>
        <v/>
      </c>
      <c r="AM45" s="451" t="str">
        <f>IFERROR(IF($AL$5="","",IF(F45&lt;&gt;"",(Input!AN46/Input!$AN$6)*100,"")),"NA")</f>
        <v/>
      </c>
      <c r="AN45" s="177" t="str">
        <f>IF(F45&lt;&gt;"",IF(Input!AO46&lt;&gt;"",Input!AO46,""),"")</f>
        <v/>
      </c>
      <c r="AO45" s="451" t="str">
        <f>IFERROR(IF($AN$5="","",IF(F45&lt;&gt;"",(Input!AO46/Input!$AO$6)*100,"")),"NA")</f>
        <v/>
      </c>
      <c r="AP45" s="303" t="str">
        <f>IF(Input!AP46="Error","Error",IF(F45="","",IF($AH$5="",0,IF(F45&lt;&gt;"",IFERROR(AVERAGE(AI45,AK45,AM45,AO45)*$AP$4,0),""))))</f>
        <v/>
      </c>
      <c r="AQ45" s="174"/>
      <c r="AR45" s="178" t="str">
        <f>IF(Input!AQ46="","",IF(F45&lt;&gt;"",Input!AQ46,""))</f>
        <v/>
      </c>
      <c r="AS45" s="179" t="str">
        <f>IF(F45="","",IF(Input!AR46="Error","Error",IF(ISNUMBER(Input!AR46),(Input!AR46*$AS$4),"")))</f>
        <v/>
      </c>
      <c r="AT45" s="331" t="str">
        <f>IF(V45="D","DRP",
IF(F45&lt;&gt;"",
IF(OR(AF45="Error",AP45="Error",AS45="Error"),"Error",
IF(Input!AQ46="","-",ROUND(AF45+AP45+AS45,2))),""))</f>
        <v/>
      </c>
      <c r="AU45" s="180" t="str">
        <f>IF(F45&lt;&gt;"",VLOOKUP(AT45,TRANSMUTATION!$A$2:$B$14,2),"")</f>
        <v/>
      </c>
      <c r="AV45" s="232" t="str">
        <f t="shared" si="1"/>
        <v/>
      </c>
      <c r="BA45" s="97"/>
    </row>
    <row r="46" spans="1:53" ht="15" customHeight="1" x14ac:dyDescent="0.2">
      <c r="A46" s="97"/>
      <c r="B46" s="239"/>
      <c r="C46" s="194">
        <v>40</v>
      </c>
      <c r="D46" s="203" t="str">
        <f>IF(Input!D47&lt;&gt;"",IF(F46&lt;&gt;"",Input!D47,""),"")</f>
        <v/>
      </c>
      <c r="E46" s="297"/>
      <c r="F46" s="298" t="str">
        <f>(IF(Input!F47&lt;&gt;"",Input!F47,""))</f>
        <v/>
      </c>
      <c r="G46" s="333"/>
      <c r="H46" s="333"/>
      <c r="I46" s="333"/>
      <c r="J46" s="333"/>
      <c r="K46" s="333"/>
      <c r="L46" s="333"/>
      <c r="M46" s="333"/>
      <c r="N46" s="333"/>
      <c r="O46" s="333"/>
      <c r="P46" s="333"/>
      <c r="Q46" s="333"/>
      <c r="R46" s="333"/>
      <c r="S46" s="333"/>
      <c r="T46" s="333"/>
      <c r="U46" s="333"/>
      <c r="V46" s="336"/>
      <c r="W46" s="173"/>
      <c r="X46" s="309" t="str">
        <f>IF(F46&lt;&gt;"",IF(Input!AG47&lt;&gt;"",Input!AG47,""),"")</f>
        <v/>
      </c>
      <c r="Y46" s="449" t="str">
        <f>IFERROR(IF($X$5="","",IF(F46&lt;&gt;"",(Input!AG47/Input!$AG$6)*100,"")),"NA")</f>
        <v/>
      </c>
      <c r="Z46" s="310" t="str">
        <f>IF(F46&lt;&gt;"",IF(Input!AH47&lt;&gt;"",Input!AH47,""),"")</f>
        <v/>
      </c>
      <c r="AA46" s="449" t="str">
        <f>IFERROR(IF($Z$5="","",IF(F46&lt;&gt;"",(Input!AH47/Input!$AH$6)*100,"")),"NA")</f>
        <v/>
      </c>
      <c r="AB46" s="310" t="str">
        <f>IF(F46&lt;&gt;"",IF(Input!AI47&lt;&gt;"",Input!AI47,""),"")</f>
        <v/>
      </c>
      <c r="AC46" s="449" t="str">
        <f>IFERROR(IF($AB$5="","",IF(F46&lt;&gt;"",(Input!AI47/Input!$AI$6)*100,"")),"NA")</f>
        <v/>
      </c>
      <c r="AD46" s="310" t="str">
        <f>IF(F46&lt;&gt;"",IF(Input!AJ47&lt;&gt;"",Input!AJ47,""),"")</f>
        <v/>
      </c>
      <c r="AE46" s="449" t="str">
        <f>IFERROR(IF($AD$5="","",IF(F46&lt;&gt;"",(Input!AJ47/Input!$AJ$6)*100,"")),"NA")</f>
        <v/>
      </c>
      <c r="AF46" s="108" t="str">
        <f>IF(Input!AK47="Error","Error",IF(F46="","",IF($X$5="",0,IF(F46&lt;&gt;"",IFERROR(AVERAGE(Y46,AA46,AC46,AE46)*$AF$4,0),""))))</f>
        <v/>
      </c>
      <c r="AG46" s="174"/>
      <c r="AH46" s="175" t="str">
        <f>IF(F46&lt;&gt;"",IF(Input!AL47&lt;&gt;"",Input!AL47,""),"")</f>
        <v/>
      </c>
      <c r="AI46" s="451" t="str">
        <f>IFERROR(IF($AH$5="","",IF(F46&lt;&gt;"",(Input!AL47/Input!$AL$6)*100,"")),"NA")</f>
        <v/>
      </c>
      <c r="AJ46" s="176" t="str">
        <f>IF(F46&lt;&gt;"",IF(Input!AM47&lt;&gt;"",Input!AM47,""),"")</f>
        <v/>
      </c>
      <c r="AK46" s="451" t="str">
        <f>IFERROR(IF($AJ$5="","",IF(F46&lt;&gt;"",(Input!AM47/Input!$AM$6)*100,"")),"NA")</f>
        <v/>
      </c>
      <c r="AL46" s="176" t="str">
        <f>IF(F46&lt;&gt;"",IF(Input!AN47&lt;&gt;"",Input!AN47,""),"")</f>
        <v/>
      </c>
      <c r="AM46" s="451" t="str">
        <f>IFERROR(IF($AL$5="","",IF(F46&lt;&gt;"",(Input!AN47/Input!$AN$6)*100,"")),"NA")</f>
        <v/>
      </c>
      <c r="AN46" s="177" t="str">
        <f>IF(F46&lt;&gt;"",IF(Input!AO47&lt;&gt;"",Input!AO47,""),"")</f>
        <v/>
      </c>
      <c r="AO46" s="451" t="str">
        <f>IFERROR(IF($AN$5="","",IF(F46&lt;&gt;"",(Input!AO47/Input!$AO$6)*100,"")),"NA")</f>
        <v/>
      </c>
      <c r="AP46" s="303" t="str">
        <f>IF(Input!AP47="Error","Error",IF(F46="","",IF($AH$5="",0,IF(F46&lt;&gt;"",IFERROR(AVERAGE(AI46,AK46,AM46,AO46)*$AP$4,0),""))))</f>
        <v/>
      </c>
      <c r="AQ46" s="174"/>
      <c r="AR46" s="178" t="str">
        <f>IF(Input!AQ47="","",IF(F46&lt;&gt;"",Input!AQ47,""))</f>
        <v/>
      </c>
      <c r="AS46" s="179" t="str">
        <f>IF(F46="","",IF(Input!AR47="Error","Error",IF(ISNUMBER(Input!AR47),(Input!AR47*$AS$4),"")))</f>
        <v/>
      </c>
      <c r="AT46" s="331" t="str">
        <f>IF(V46="D","DRP",
IF(F46&lt;&gt;"",
IF(OR(AF46="Error",AP46="Error",AS46="Error"),"Error",
IF(Input!AQ47="","-",ROUND(AF46+AP46+AS46,2))),""))</f>
        <v/>
      </c>
      <c r="AU46" s="180" t="str">
        <f>IF(F46&lt;&gt;"",VLOOKUP(AT46,TRANSMUTATION!$A$2:$B$14,2),"")</f>
        <v/>
      </c>
      <c r="AV46" s="232" t="str">
        <f t="shared" si="1"/>
        <v/>
      </c>
      <c r="BA46" s="97"/>
    </row>
    <row r="47" spans="1:53" ht="15" customHeight="1" x14ac:dyDescent="0.2">
      <c r="A47" s="97"/>
      <c r="B47" s="239"/>
      <c r="C47" s="194">
        <v>41</v>
      </c>
      <c r="D47" s="203" t="str">
        <f>IF(Input!D48&lt;&gt;"",IF(F47&lt;&gt;"",Input!D48,""),"")</f>
        <v/>
      </c>
      <c r="E47" s="297"/>
      <c r="F47" s="298" t="str">
        <f>(IF(Input!F48&lt;&gt;"",Input!F48,""))</f>
        <v/>
      </c>
      <c r="G47" s="333"/>
      <c r="H47" s="333"/>
      <c r="I47" s="333"/>
      <c r="J47" s="333"/>
      <c r="K47" s="333"/>
      <c r="L47" s="333"/>
      <c r="M47" s="333"/>
      <c r="N47" s="333"/>
      <c r="O47" s="333"/>
      <c r="P47" s="333"/>
      <c r="Q47" s="333"/>
      <c r="R47" s="333"/>
      <c r="S47" s="333"/>
      <c r="T47" s="333"/>
      <c r="U47" s="333"/>
      <c r="V47" s="336"/>
      <c r="W47" s="173"/>
      <c r="X47" s="309" t="str">
        <f>IF(F47&lt;&gt;"",IF(Input!AG48&lt;&gt;"",Input!AG48,""),"")</f>
        <v/>
      </c>
      <c r="Y47" s="449" t="str">
        <f>IFERROR(IF($X$5="","",IF(F47&lt;&gt;"",(Input!AG48/Input!$AG$6)*100,"")),"NA")</f>
        <v/>
      </c>
      <c r="Z47" s="310" t="str">
        <f>IF(F47&lt;&gt;"",IF(Input!AH48&lt;&gt;"",Input!AH48,""),"")</f>
        <v/>
      </c>
      <c r="AA47" s="449" t="str">
        <f>IFERROR(IF($Z$5="","",IF(F47&lt;&gt;"",(Input!AH48/Input!$AH$6)*100,"")),"NA")</f>
        <v/>
      </c>
      <c r="AB47" s="310" t="str">
        <f>IF(F47&lt;&gt;"",IF(Input!AI48&lt;&gt;"",Input!AI48,""),"")</f>
        <v/>
      </c>
      <c r="AC47" s="449" t="str">
        <f>IFERROR(IF($AB$5="","",IF(F47&lt;&gt;"",(Input!AI48/Input!$AI$6)*100,"")),"NA")</f>
        <v/>
      </c>
      <c r="AD47" s="310" t="str">
        <f>IF(F47&lt;&gt;"",IF(Input!AJ48&lt;&gt;"",Input!AJ48,""),"")</f>
        <v/>
      </c>
      <c r="AE47" s="449" t="str">
        <f>IFERROR(IF($AD$5="","",IF(F47&lt;&gt;"",(Input!AJ48/Input!$AJ$6)*100,"")),"NA")</f>
        <v/>
      </c>
      <c r="AF47" s="108" t="str">
        <f>IF(Input!AK48="Error","Error",IF(F47="","",IF($X$5="",0,IF(F47&lt;&gt;"",IFERROR(AVERAGE(Y47,AA47,AC47,AE47)*$AF$4,0),""))))</f>
        <v/>
      </c>
      <c r="AG47" s="174"/>
      <c r="AH47" s="175" t="str">
        <f>IF(F47&lt;&gt;"",IF(Input!AL48&lt;&gt;"",Input!AL48,""),"")</f>
        <v/>
      </c>
      <c r="AI47" s="451" t="str">
        <f>IFERROR(IF($AH$5="","",IF(F47&lt;&gt;"",(Input!AL48/Input!$AL$6)*100,"")),"NA")</f>
        <v/>
      </c>
      <c r="AJ47" s="176" t="str">
        <f>IF(F47&lt;&gt;"",IF(Input!AM48&lt;&gt;"",Input!AM48,""),"")</f>
        <v/>
      </c>
      <c r="AK47" s="451" t="str">
        <f>IFERROR(IF($AJ$5="","",IF(F47&lt;&gt;"",(Input!AM48/Input!$AM$6)*100,"")),"NA")</f>
        <v/>
      </c>
      <c r="AL47" s="176" t="str">
        <f>IF(F47&lt;&gt;"",IF(Input!AN48&lt;&gt;"",Input!AN48,""),"")</f>
        <v/>
      </c>
      <c r="AM47" s="451" t="str">
        <f>IFERROR(IF($AL$5="","",IF(F47&lt;&gt;"",(Input!AN48/Input!$AN$6)*100,"")),"NA")</f>
        <v/>
      </c>
      <c r="AN47" s="177" t="str">
        <f>IF(F47&lt;&gt;"",IF(Input!AO48&lt;&gt;"",Input!AO48,""),"")</f>
        <v/>
      </c>
      <c r="AO47" s="451" t="str">
        <f>IFERROR(IF($AN$5="","",IF(F47&lt;&gt;"",(Input!AO48/Input!$AO$6)*100,"")),"NA")</f>
        <v/>
      </c>
      <c r="AP47" s="303" t="str">
        <f>IF(Input!AP48="Error","Error",IF(F47="","",IF($AH$5="",0,IF(F47&lt;&gt;"",IFERROR(AVERAGE(AI47,AK47,AM47,AO47)*$AP$4,0),""))))</f>
        <v/>
      </c>
      <c r="AQ47" s="174"/>
      <c r="AR47" s="178" t="str">
        <f>IF(Input!AQ48="","",IF(F47&lt;&gt;"",Input!AQ48,""))</f>
        <v/>
      </c>
      <c r="AS47" s="179" t="str">
        <f>IF(F47="","",IF(Input!AR48="Error","Error",IF(ISNUMBER(Input!AR48),(Input!AR48*$AS$4),"")))</f>
        <v/>
      </c>
      <c r="AT47" s="331" t="str">
        <f>IF(V47="D","DRP",
IF(F47&lt;&gt;"",
IF(OR(AF47="Error",AP47="Error",AS47="Error"),"Error",
IF(Input!AQ48="","-",ROUND(AF47+AP47+AS47,2))),""))</f>
        <v/>
      </c>
      <c r="AU47" s="180" t="str">
        <f>IF(F47&lt;&gt;"",VLOOKUP(AT47,TRANSMUTATION!$A$2:$B$14,2),"")</f>
        <v/>
      </c>
      <c r="AV47" s="232" t="str">
        <f t="shared" si="1"/>
        <v/>
      </c>
      <c r="BA47" s="97"/>
    </row>
    <row r="48" spans="1:53" ht="15" customHeight="1" x14ac:dyDescent="0.2">
      <c r="A48" s="97"/>
      <c r="B48" s="239"/>
      <c r="C48" s="194">
        <v>42</v>
      </c>
      <c r="D48" s="203" t="str">
        <f>IF(Input!D49&lt;&gt;"",IF(F48&lt;&gt;"",Input!D49,""),"")</f>
        <v/>
      </c>
      <c r="E48" s="297"/>
      <c r="F48" s="298" t="str">
        <f>(IF(Input!F49&lt;&gt;"",Input!F49,""))</f>
        <v/>
      </c>
      <c r="G48" s="333"/>
      <c r="H48" s="333"/>
      <c r="I48" s="333"/>
      <c r="J48" s="333"/>
      <c r="K48" s="333"/>
      <c r="L48" s="333"/>
      <c r="M48" s="333"/>
      <c r="N48" s="333"/>
      <c r="O48" s="333"/>
      <c r="P48" s="333"/>
      <c r="Q48" s="333"/>
      <c r="R48" s="333"/>
      <c r="S48" s="333"/>
      <c r="T48" s="333"/>
      <c r="U48" s="333"/>
      <c r="V48" s="336"/>
      <c r="W48" s="173"/>
      <c r="X48" s="309" t="str">
        <f>IF(F48&lt;&gt;"",IF(Input!AG49&lt;&gt;"",Input!AG49,""),"")</f>
        <v/>
      </c>
      <c r="Y48" s="449" t="str">
        <f>IFERROR(IF($X$5="","",IF(F48&lt;&gt;"",(Input!AG49/Input!$AG$6)*100,"")),"NA")</f>
        <v/>
      </c>
      <c r="Z48" s="310" t="str">
        <f>IF(F48&lt;&gt;"",IF(Input!AH49&lt;&gt;"",Input!AH49,""),"")</f>
        <v/>
      </c>
      <c r="AA48" s="449" t="str">
        <f>IFERROR(IF($Z$5="","",IF(F48&lt;&gt;"",(Input!AH49/Input!$AH$6)*100,"")),"NA")</f>
        <v/>
      </c>
      <c r="AB48" s="310" t="str">
        <f>IF(F48&lt;&gt;"",IF(Input!AI49&lt;&gt;"",Input!AI49,""),"")</f>
        <v/>
      </c>
      <c r="AC48" s="449" t="str">
        <f>IFERROR(IF($AB$5="","",IF(F48&lt;&gt;"",(Input!AI49/Input!$AI$6)*100,"")),"NA")</f>
        <v/>
      </c>
      <c r="AD48" s="310" t="str">
        <f>IF(F48&lt;&gt;"",IF(Input!AJ49&lt;&gt;"",Input!AJ49,""),"")</f>
        <v/>
      </c>
      <c r="AE48" s="449" t="str">
        <f>IFERROR(IF($AD$5="","",IF(F48&lt;&gt;"",(Input!AJ49/Input!$AJ$6)*100,"")),"NA")</f>
        <v/>
      </c>
      <c r="AF48" s="108" t="str">
        <f>IF(Input!AK49="Error","Error",IF(F48="","",IF($X$5="",0,IF(F48&lt;&gt;"",IFERROR(AVERAGE(Y48,AA48,AC48,AE48)*$AF$4,0),""))))</f>
        <v/>
      </c>
      <c r="AG48" s="174"/>
      <c r="AH48" s="175" t="str">
        <f>IF(F48&lt;&gt;"",IF(Input!AL49&lt;&gt;"",Input!AL49,""),"")</f>
        <v/>
      </c>
      <c r="AI48" s="451" t="str">
        <f>IFERROR(IF($AH$5="","",IF(F48&lt;&gt;"",(Input!AL49/Input!$AL$6)*100,"")),"NA")</f>
        <v/>
      </c>
      <c r="AJ48" s="176" t="str">
        <f>IF(F48&lt;&gt;"",IF(Input!AM49&lt;&gt;"",Input!AM49,""),"")</f>
        <v/>
      </c>
      <c r="AK48" s="451" t="str">
        <f>IFERROR(IF($AJ$5="","",IF(F48&lt;&gt;"",(Input!AM49/Input!$AM$6)*100,"")),"NA")</f>
        <v/>
      </c>
      <c r="AL48" s="176" t="str">
        <f>IF(F48&lt;&gt;"",IF(Input!AN49&lt;&gt;"",Input!AN49,""),"")</f>
        <v/>
      </c>
      <c r="AM48" s="451" t="str">
        <f>IFERROR(IF($AL$5="","",IF(F48&lt;&gt;"",(Input!AN49/Input!$AN$6)*100,"")),"NA")</f>
        <v/>
      </c>
      <c r="AN48" s="177" t="str">
        <f>IF(F48&lt;&gt;"",IF(Input!AO49&lt;&gt;"",Input!AO49,""),"")</f>
        <v/>
      </c>
      <c r="AO48" s="451" t="str">
        <f>IFERROR(IF($AN$5="","",IF(F48&lt;&gt;"",(Input!AO49/Input!$AO$6)*100,"")),"NA")</f>
        <v/>
      </c>
      <c r="AP48" s="303" t="str">
        <f>IF(Input!AP49="Error","Error",IF(F48="","",IF($AH$5="",0,IF(F48&lt;&gt;"",IFERROR(AVERAGE(AI48,AK48,AM48,AO48)*$AP$4,0),""))))</f>
        <v/>
      </c>
      <c r="AQ48" s="174"/>
      <c r="AR48" s="178" t="str">
        <f>IF(Input!AQ49="","",IF(F48&lt;&gt;"",Input!AQ49,""))</f>
        <v/>
      </c>
      <c r="AS48" s="179" t="str">
        <f>IF(F48="","",IF(Input!AR49="Error","Error",IF(ISNUMBER(Input!AR49),(Input!AR49*$AS$4),"")))</f>
        <v/>
      </c>
      <c r="AT48" s="331" t="str">
        <f>IF(V48="D","DRP",
IF(F48&lt;&gt;"",
IF(OR(AF48="Error",AP48="Error",AS48="Error"),"Error",
IF(Input!AQ49="","-",ROUND(AF48+AP48+AS48,2))),""))</f>
        <v/>
      </c>
      <c r="AU48" s="180" t="str">
        <f>IF(F48&lt;&gt;"",VLOOKUP(AT48,TRANSMUTATION!$A$2:$B$14,2),"")</f>
        <v/>
      </c>
      <c r="AV48" s="232" t="str">
        <f t="shared" si="1"/>
        <v/>
      </c>
      <c r="BA48" s="97"/>
    </row>
    <row r="49" spans="1:53" ht="15" customHeight="1" x14ac:dyDescent="0.2">
      <c r="A49" s="97"/>
      <c r="B49" s="239"/>
      <c r="C49" s="194">
        <v>43</v>
      </c>
      <c r="D49" s="203" t="str">
        <f>IF(Input!D50&lt;&gt;"",IF(F49&lt;&gt;"",Input!D50,""),"")</f>
        <v/>
      </c>
      <c r="E49" s="297"/>
      <c r="F49" s="298" t="str">
        <f>(IF(Input!F50&lt;&gt;"",Input!F50,""))</f>
        <v/>
      </c>
      <c r="G49" s="333"/>
      <c r="H49" s="333"/>
      <c r="I49" s="333"/>
      <c r="J49" s="333"/>
      <c r="K49" s="333"/>
      <c r="L49" s="333"/>
      <c r="M49" s="333"/>
      <c r="N49" s="333"/>
      <c r="O49" s="333"/>
      <c r="P49" s="333"/>
      <c r="Q49" s="333"/>
      <c r="R49" s="333"/>
      <c r="S49" s="333"/>
      <c r="T49" s="333"/>
      <c r="U49" s="333"/>
      <c r="V49" s="336"/>
      <c r="W49" s="173"/>
      <c r="X49" s="309" t="str">
        <f>IF(F49&lt;&gt;"",IF(Input!AG50&lt;&gt;"",Input!AG50,""),"")</f>
        <v/>
      </c>
      <c r="Y49" s="449" t="str">
        <f>IFERROR(IF($X$5="","",IF(F49&lt;&gt;"",(Input!AG50/Input!$AG$6)*100,"")),"NA")</f>
        <v/>
      </c>
      <c r="Z49" s="310" t="str">
        <f>IF(F49&lt;&gt;"",IF(Input!AH50&lt;&gt;"",Input!AH50,""),"")</f>
        <v/>
      </c>
      <c r="AA49" s="449" t="str">
        <f>IFERROR(IF($Z$5="","",IF(F49&lt;&gt;"",(Input!AH50/Input!$AH$6)*100,"")),"NA")</f>
        <v/>
      </c>
      <c r="AB49" s="310" t="str">
        <f>IF(F49&lt;&gt;"",IF(Input!AI50&lt;&gt;"",Input!AI50,""),"")</f>
        <v/>
      </c>
      <c r="AC49" s="449" t="str">
        <f>IFERROR(IF($AB$5="","",IF(F49&lt;&gt;"",(Input!AI50/Input!$AI$6)*100,"")),"NA")</f>
        <v/>
      </c>
      <c r="AD49" s="310" t="str">
        <f>IF(F49&lt;&gt;"",IF(Input!AJ50&lt;&gt;"",Input!AJ50,""),"")</f>
        <v/>
      </c>
      <c r="AE49" s="449" t="str">
        <f>IFERROR(IF($AD$5="","",IF(F49&lt;&gt;"",(Input!AJ50/Input!$AJ$6)*100,"")),"NA")</f>
        <v/>
      </c>
      <c r="AF49" s="108" t="str">
        <f>IF(Input!AK50="Error","Error",IF(F49="","",IF($X$5="",0,IF(F49&lt;&gt;"",IFERROR(AVERAGE(Y49,AA49,AC49,AE49)*$AF$4,0),""))))</f>
        <v/>
      </c>
      <c r="AG49" s="174"/>
      <c r="AH49" s="175" t="str">
        <f>IF(F49&lt;&gt;"",IF(Input!AL50&lt;&gt;"",Input!AL50,""),"")</f>
        <v/>
      </c>
      <c r="AI49" s="451" t="str">
        <f>IFERROR(IF($AH$5="","",IF(F49&lt;&gt;"",(Input!AL50/Input!$AL$6)*100,"")),"NA")</f>
        <v/>
      </c>
      <c r="AJ49" s="176" t="str">
        <f>IF(F49&lt;&gt;"",IF(Input!AM50&lt;&gt;"",Input!AM50,""),"")</f>
        <v/>
      </c>
      <c r="AK49" s="451" t="str">
        <f>IFERROR(IF($AJ$5="","",IF(F49&lt;&gt;"",(Input!AM50/Input!$AM$6)*100,"")),"NA")</f>
        <v/>
      </c>
      <c r="AL49" s="176" t="str">
        <f>IF(F49&lt;&gt;"",IF(Input!AN50&lt;&gt;"",Input!AN50,""),"")</f>
        <v/>
      </c>
      <c r="AM49" s="451" t="str">
        <f>IFERROR(IF($AL$5="","",IF(F49&lt;&gt;"",(Input!AN50/Input!$AN$6)*100,"")),"NA")</f>
        <v/>
      </c>
      <c r="AN49" s="177" t="str">
        <f>IF(F49&lt;&gt;"",IF(Input!AO50&lt;&gt;"",Input!AO50,""),"")</f>
        <v/>
      </c>
      <c r="AO49" s="451" t="str">
        <f>IFERROR(IF($AN$5="","",IF(F49&lt;&gt;"",(Input!AO50/Input!$AO$6)*100,"")),"NA")</f>
        <v/>
      </c>
      <c r="AP49" s="303" t="str">
        <f>IF(Input!AP50="Error","Error",IF(F49="","",IF($AH$5="",0,IF(F49&lt;&gt;"",IFERROR(AVERAGE(AI49,AK49,AM49,AO49)*$AP$4,0),""))))</f>
        <v/>
      </c>
      <c r="AQ49" s="174"/>
      <c r="AR49" s="178" t="str">
        <f>IF(Input!AQ50="","",IF(F49&lt;&gt;"",Input!AQ50,""))</f>
        <v/>
      </c>
      <c r="AS49" s="179" t="str">
        <f>IF(F49="","",IF(Input!AR50="Error","Error",IF(ISNUMBER(Input!AR50),(Input!AR50*$AS$4),"")))</f>
        <v/>
      </c>
      <c r="AT49" s="331" t="str">
        <f>IF(V49="D","DRP",
IF(F49&lt;&gt;"",
IF(OR(AF49="Error",AP49="Error",AS49="Error"),"Error",
IF(Input!AQ50="","-",ROUND(AF49+AP49+AS49,2))),""))</f>
        <v/>
      </c>
      <c r="AU49" s="180" t="str">
        <f>IF(F49&lt;&gt;"",VLOOKUP(AT49,TRANSMUTATION!$A$2:$B$14,2),"")</f>
        <v/>
      </c>
      <c r="AV49" s="232" t="str">
        <f t="shared" si="1"/>
        <v/>
      </c>
      <c r="BA49" s="97"/>
    </row>
    <row r="50" spans="1:53" ht="15" customHeight="1" x14ac:dyDescent="0.2">
      <c r="A50" s="97"/>
      <c r="B50" s="239"/>
      <c r="C50" s="194">
        <v>44</v>
      </c>
      <c r="D50" s="203" t="str">
        <f>IF(Input!D51&lt;&gt;"",IF(F50&lt;&gt;"",Input!D51,""),"")</f>
        <v/>
      </c>
      <c r="E50" s="297"/>
      <c r="F50" s="298" t="str">
        <f>(IF(Input!F51&lt;&gt;"",Input!F51,""))</f>
        <v/>
      </c>
      <c r="G50" s="333"/>
      <c r="H50" s="333"/>
      <c r="I50" s="333"/>
      <c r="J50" s="333"/>
      <c r="K50" s="333"/>
      <c r="L50" s="333"/>
      <c r="M50" s="333"/>
      <c r="N50" s="333"/>
      <c r="O50" s="333"/>
      <c r="P50" s="333"/>
      <c r="Q50" s="333"/>
      <c r="R50" s="333"/>
      <c r="S50" s="333"/>
      <c r="T50" s="333"/>
      <c r="U50" s="333"/>
      <c r="V50" s="336"/>
      <c r="W50" s="173"/>
      <c r="X50" s="309" t="str">
        <f>IF(F50&lt;&gt;"",IF(Input!AG51&lt;&gt;"",Input!AG51,""),"")</f>
        <v/>
      </c>
      <c r="Y50" s="449" t="str">
        <f>IFERROR(IF($X$5="","",IF(F50&lt;&gt;"",(Input!AG51/Input!$AG$6)*100,"")),"NA")</f>
        <v/>
      </c>
      <c r="Z50" s="310" t="str">
        <f>IF(F50&lt;&gt;"",IF(Input!AH51&lt;&gt;"",Input!AH51,""),"")</f>
        <v/>
      </c>
      <c r="AA50" s="449" t="str">
        <f>IFERROR(IF($Z$5="","",IF(F50&lt;&gt;"",(Input!AH51/Input!$AH$6)*100,"")),"NA")</f>
        <v/>
      </c>
      <c r="AB50" s="310" t="str">
        <f>IF(F50&lt;&gt;"",IF(Input!AI51&lt;&gt;"",Input!AI51,""),"")</f>
        <v/>
      </c>
      <c r="AC50" s="449" t="str">
        <f>IFERROR(IF($AB$5="","",IF(F50&lt;&gt;"",(Input!AI51/Input!$AI$6)*100,"")),"NA")</f>
        <v/>
      </c>
      <c r="AD50" s="310" t="str">
        <f>IF(F50&lt;&gt;"",IF(Input!AJ51&lt;&gt;"",Input!AJ51,""),"")</f>
        <v/>
      </c>
      <c r="AE50" s="449" t="str">
        <f>IFERROR(IF($AD$5="","",IF(F50&lt;&gt;"",(Input!AJ51/Input!$AJ$6)*100,"")),"NA")</f>
        <v/>
      </c>
      <c r="AF50" s="108" t="str">
        <f>IF(Input!AK51="Error","Error",IF(F50="","",IF($X$5="",0,IF(F50&lt;&gt;"",IFERROR(AVERAGE(Y50,AA50,AC50,AE50)*$AF$4,0),""))))</f>
        <v/>
      </c>
      <c r="AG50" s="174"/>
      <c r="AH50" s="175" t="str">
        <f>IF(F50&lt;&gt;"",IF(Input!AL51&lt;&gt;"",Input!AL51,""),"")</f>
        <v/>
      </c>
      <c r="AI50" s="451" t="str">
        <f>IFERROR(IF($AH$5="","",IF(F50&lt;&gt;"",(Input!AL51/Input!$AL$6)*100,"")),"NA")</f>
        <v/>
      </c>
      <c r="AJ50" s="176" t="str">
        <f>IF(F50&lt;&gt;"",IF(Input!AM51&lt;&gt;"",Input!AM51,""),"")</f>
        <v/>
      </c>
      <c r="AK50" s="451" t="str">
        <f>IFERROR(IF($AJ$5="","",IF(F50&lt;&gt;"",(Input!AM51/Input!$AM$6)*100,"")),"NA")</f>
        <v/>
      </c>
      <c r="AL50" s="176" t="str">
        <f>IF(F50&lt;&gt;"",IF(Input!AN51&lt;&gt;"",Input!AN51,""),"")</f>
        <v/>
      </c>
      <c r="AM50" s="451" t="str">
        <f>IFERROR(IF($AL$5="","",IF(F50&lt;&gt;"",(Input!AN51/Input!$AN$6)*100,"")),"NA")</f>
        <v/>
      </c>
      <c r="AN50" s="177" t="str">
        <f>IF(F50&lt;&gt;"",IF(Input!AO51&lt;&gt;"",Input!AO51,""),"")</f>
        <v/>
      </c>
      <c r="AO50" s="451" t="str">
        <f>IFERROR(IF($AN$5="","",IF(F50&lt;&gt;"",(Input!AO51/Input!$AO$6)*100,"")),"NA")</f>
        <v/>
      </c>
      <c r="AP50" s="303" t="str">
        <f>IF(Input!AP51="Error","Error",IF(F50="","",IF($AH$5="",0,IF(F50&lt;&gt;"",IFERROR(AVERAGE(AI50,AK50,AM50,AO50)*$AP$4,0),""))))</f>
        <v/>
      </c>
      <c r="AQ50" s="174"/>
      <c r="AR50" s="178" t="str">
        <f>IF(Input!AQ51="","",IF(F50&lt;&gt;"",Input!AQ51,""))</f>
        <v/>
      </c>
      <c r="AS50" s="179" t="str">
        <f>IF(F50="","",IF(Input!AR51="Error","Error",IF(ISNUMBER(Input!AR51),(Input!AR51*$AS$4),"")))</f>
        <v/>
      </c>
      <c r="AT50" s="331" t="str">
        <f>IF(V50="D","DRP",
IF(F50&lt;&gt;"",
IF(OR(AF50="Error",AP50="Error",AS50="Error"),"Error",
IF(Input!AQ51="","-",ROUND(AF50+AP50+AS50,2))),""))</f>
        <v/>
      </c>
      <c r="AU50" s="180" t="str">
        <f>IF(F50&lt;&gt;"",VLOOKUP(AT50,TRANSMUTATION!$A$2:$B$14,2),"")</f>
        <v/>
      </c>
      <c r="AV50" s="232" t="str">
        <f t="shared" si="1"/>
        <v/>
      </c>
      <c r="BA50" s="97"/>
    </row>
    <row r="51" spans="1:53" ht="15" customHeight="1" x14ac:dyDescent="0.2">
      <c r="A51" s="97"/>
      <c r="B51" s="239"/>
      <c r="C51" s="194">
        <v>45</v>
      </c>
      <c r="D51" s="203" t="str">
        <f>IF(Input!D52&lt;&gt;"",IF(F51&lt;&gt;"",Input!D52,""),"")</f>
        <v/>
      </c>
      <c r="E51" s="297"/>
      <c r="F51" s="298" t="str">
        <f>(IF(Input!F52&lt;&gt;"",Input!F52,""))</f>
        <v/>
      </c>
      <c r="G51" s="333"/>
      <c r="H51" s="333"/>
      <c r="I51" s="333"/>
      <c r="J51" s="333"/>
      <c r="K51" s="333"/>
      <c r="L51" s="333"/>
      <c r="M51" s="333"/>
      <c r="N51" s="333"/>
      <c r="O51" s="333"/>
      <c r="P51" s="333"/>
      <c r="Q51" s="333"/>
      <c r="R51" s="333"/>
      <c r="S51" s="333"/>
      <c r="T51" s="333"/>
      <c r="U51" s="333"/>
      <c r="V51" s="336"/>
      <c r="W51" s="173"/>
      <c r="X51" s="309" t="str">
        <f>IF(F51&lt;&gt;"",IF(Input!AG52&lt;&gt;"",Input!AG52,""),"")</f>
        <v/>
      </c>
      <c r="Y51" s="449" t="str">
        <f>IFERROR(IF($X$5="","",IF(F51&lt;&gt;"",(Input!AG52/Input!$AG$6)*100,"")),"NA")</f>
        <v/>
      </c>
      <c r="Z51" s="310" t="str">
        <f>IF(F51&lt;&gt;"",IF(Input!AH52&lt;&gt;"",Input!AH52,""),"")</f>
        <v/>
      </c>
      <c r="AA51" s="449" t="str">
        <f>IFERROR(IF($Z$5="","",IF(F51&lt;&gt;"",(Input!AH52/Input!$AH$6)*100,"")),"NA")</f>
        <v/>
      </c>
      <c r="AB51" s="310" t="str">
        <f>IF(F51&lt;&gt;"",IF(Input!AI52&lt;&gt;"",Input!AI52,""),"")</f>
        <v/>
      </c>
      <c r="AC51" s="449" t="str">
        <f>IFERROR(IF($AB$5="","",IF(F51&lt;&gt;"",(Input!AI52/Input!$AI$6)*100,"")),"NA")</f>
        <v/>
      </c>
      <c r="AD51" s="310" t="str">
        <f>IF(F51&lt;&gt;"",IF(Input!AJ52&lt;&gt;"",Input!AJ52,""),"")</f>
        <v/>
      </c>
      <c r="AE51" s="449" t="str">
        <f>IFERROR(IF($AD$5="","",IF(F51&lt;&gt;"",(Input!AJ52/Input!$AJ$6)*100,"")),"NA")</f>
        <v/>
      </c>
      <c r="AF51" s="108" t="str">
        <f>IF(Input!AK52="Error","Error",IF(F51="","",IF($X$5="",0,IF(F51&lt;&gt;"",IFERROR(AVERAGE(Y51,AA51,AC51,AE51)*$AF$4,0),""))))</f>
        <v/>
      </c>
      <c r="AG51" s="174"/>
      <c r="AH51" s="175" t="str">
        <f>IF(F51&lt;&gt;"",IF(Input!AL52&lt;&gt;"",Input!AL52,""),"")</f>
        <v/>
      </c>
      <c r="AI51" s="451" t="str">
        <f>IFERROR(IF($AH$5="","",IF(F51&lt;&gt;"",(Input!AL52/Input!$AL$6)*100,"")),"NA")</f>
        <v/>
      </c>
      <c r="AJ51" s="176" t="str">
        <f>IF(F51&lt;&gt;"",IF(Input!AM52&lt;&gt;"",Input!AM52,""),"")</f>
        <v/>
      </c>
      <c r="AK51" s="451" t="str">
        <f>IFERROR(IF($AJ$5="","",IF(F51&lt;&gt;"",(Input!AM52/Input!$AM$6)*100,"")),"NA")</f>
        <v/>
      </c>
      <c r="AL51" s="176" t="str">
        <f>IF(F51&lt;&gt;"",IF(Input!AN52&lt;&gt;"",Input!AN52,""),"")</f>
        <v/>
      </c>
      <c r="AM51" s="451" t="str">
        <f>IFERROR(IF($AL$5="","",IF(F51&lt;&gt;"",(Input!AN52/Input!$AN$6)*100,"")),"NA")</f>
        <v/>
      </c>
      <c r="AN51" s="177" t="str">
        <f>IF(F51&lt;&gt;"",IF(Input!AO52&lt;&gt;"",Input!AO52,""),"")</f>
        <v/>
      </c>
      <c r="AO51" s="451" t="str">
        <f>IFERROR(IF($AN$5="","",IF(F51&lt;&gt;"",(Input!AO52/Input!$AO$6)*100,"")),"NA")</f>
        <v/>
      </c>
      <c r="AP51" s="303" t="str">
        <f>IF(Input!AP52="Error","Error",IF(F51="","",IF($AH$5="",0,IF(F51&lt;&gt;"",IFERROR(AVERAGE(AI51,AK51,AM51,AO51)*$AP$4,0),""))))</f>
        <v/>
      </c>
      <c r="AQ51" s="174"/>
      <c r="AR51" s="178" t="str">
        <f>IF(Input!AQ52="","",IF(F51&lt;&gt;"",Input!AQ52,""))</f>
        <v/>
      </c>
      <c r="AS51" s="179" t="str">
        <f>IF(F51="","",IF(Input!AR52="Error","Error",IF(ISNUMBER(Input!AR52),(Input!AR52*$AS$4),"")))</f>
        <v/>
      </c>
      <c r="AT51" s="331" t="str">
        <f>IF(V51="D","DRP",
IF(F51&lt;&gt;"",
IF(OR(AF51="Error",AP51="Error",AS51="Error"),"Error",
IF(Input!AQ52="","-",ROUND(AF51+AP51+AS51,2))),""))</f>
        <v/>
      </c>
      <c r="AU51" s="180" t="str">
        <f>IF(F51&lt;&gt;"",VLOOKUP(AT51,TRANSMUTATION!$A$2:$B$14,2),"")</f>
        <v/>
      </c>
      <c r="AV51" s="232" t="str">
        <f t="shared" si="1"/>
        <v/>
      </c>
      <c r="BA51" s="97"/>
    </row>
    <row r="52" spans="1:53" ht="15" customHeight="1" x14ac:dyDescent="0.2">
      <c r="A52" s="97"/>
      <c r="B52" s="239"/>
      <c r="C52" s="194">
        <v>46</v>
      </c>
      <c r="D52" s="203" t="str">
        <f>IF(Input!D53&lt;&gt;"",IF(F52&lt;&gt;"",Input!D53,""),"")</f>
        <v/>
      </c>
      <c r="E52" s="297"/>
      <c r="F52" s="298" t="str">
        <f>(IF(Input!F53&lt;&gt;"",Input!F53,""))</f>
        <v/>
      </c>
      <c r="G52" s="333"/>
      <c r="H52" s="333"/>
      <c r="I52" s="333"/>
      <c r="J52" s="333"/>
      <c r="K52" s="333"/>
      <c r="L52" s="333"/>
      <c r="M52" s="333"/>
      <c r="N52" s="333"/>
      <c r="O52" s="333"/>
      <c r="P52" s="333"/>
      <c r="Q52" s="333"/>
      <c r="R52" s="333"/>
      <c r="S52" s="333"/>
      <c r="T52" s="333"/>
      <c r="U52" s="333"/>
      <c r="V52" s="336"/>
      <c r="W52" s="173"/>
      <c r="X52" s="309" t="str">
        <f>IF(F52&lt;&gt;"",IF(Input!AG53&lt;&gt;"",Input!AG53,""),"")</f>
        <v/>
      </c>
      <c r="Y52" s="449" t="str">
        <f>IFERROR(IF($X$5="","",IF(F52&lt;&gt;"",(Input!AG53/Input!$AG$6)*100,"")),"NA")</f>
        <v/>
      </c>
      <c r="Z52" s="310" t="str">
        <f>IF(F52&lt;&gt;"",IF(Input!AH53&lt;&gt;"",Input!AH53,""),"")</f>
        <v/>
      </c>
      <c r="AA52" s="449" t="str">
        <f>IFERROR(IF($Z$5="","",IF(F52&lt;&gt;"",(Input!AH53/Input!$AH$6)*100,"")),"NA")</f>
        <v/>
      </c>
      <c r="AB52" s="310" t="str">
        <f>IF(F52&lt;&gt;"",IF(Input!AI53&lt;&gt;"",Input!AI53,""),"")</f>
        <v/>
      </c>
      <c r="AC52" s="449" t="str">
        <f>IFERROR(IF($AB$5="","",IF(F52&lt;&gt;"",(Input!AI53/Input!$AI$6)*100,"")),"NA")</f>
        <v/>
      </c>
      <c r="AD52" s="310" t="str">
        <f>IF(F52&lt;&gt;"",IF(Input!AJ53&lt;&gt;"",Input!AJ53,""),"")</f>
        <v/>
      </c>
      <c r="AE52" s="449" t="str">
        <f>IFERROR(IF($AD$5="","",IF(F52&lt;&gt;"",(Input!AJ53/Input!$AJ$6)*100,"")),"NA")</f>
        <v/>
      </c>
      <c r="AF52" s="108" t="str">
        <f>IF(Input!AK53="Error","Error",IF(F52="","",IF($X$5="",0,IF(F52&lt;&gt;"",IFERROR(AVERAGE(Y52,AA52,AC52,AE52)*$AF$4,0),""))))</f>
        <v/>
      </c>
      <c r="AG52" s="174"/>
      <c r="AH52" s="175" t="str">
        <f>IF(F52&lt;&gt;"",IF(Input!AL53&lt;&gt;"",Input!AL53,""),"")</f>
        <v/>
      </c>
      <c r="AI52" s="451" t="str">
        <f>IFERROR(IF($AH$5="","",IF(F52&lt;&gt;"",(Input!AL53/Input!$AL$6)*100,"")),"NA")</f>
        <v/>
      </c>
      <c r="AJ52" s="176" t="str">
        <f>IF(F52&lt;&gt;"",IF(Input!AM53&lt;&gt;"",Input!AM53,""),"")</f>
        <v/>
      </c>
      <c r="AK52" s="451" t="str">
        <f>IFERROR(IF($AJ$5="","",IF(F52&lt;&gt;"",(Input!AM53/Input!$AM$6)*100,"")),"NA")</f>
        <v/>
      </c>
      <c r="AL52" s="176" t="str">
        <f>IF(F52&lt;&gt;"",IF(Input!AN53&lt;&gt;"",Input!AN53,""),"")</f>
        <v/>
      </c>
      <c r="AM52" s="451" t="str">
        <f>IFERROR(IF($AL$5="","",IF(F52&lt;&gt;"",(Input!AN53/Input!$AN$6)*100,"")),"NA")</f>
        <v/>
      </c>
      <c r="AN52" s="177" t="str">
        <f>IF(F52&lt;&gt;"",IF(Input!AO53&lt;&gt;"",Input!AO53,""),"")</f>
        <v/>
      </c>
      <c r="AO52" s="451" t="str">
        <f>IFERROR(IF($AN$5="","",IF(F52&lt;&gt;"",(Input!AO53/Input!$AO$6)*100,"")),"NA")</f>
        <v/>
      </c>
      <c r="AP52" s="303" t="str">
        <f>IF(Input!AP53="Error","Error",IF(F52="","",IF($AH$5="",0,IF(F52&lt;&gt;"",IFERROR(AVERAGE(AI52,AK52,AM52,AO52)*$AP$4,0),""))))</f>
        <v/>
      </c>
      <c r="AQ52" s="174"/>
      <c r="AR52" s="178" t="str">
        <f>IF(Input!AQ53="","",IF(F52&lt;&gt;"",Input!AQ53,""))</f>
        <v/>
      </c>
      <c r="AS52" s="179" t="str">
        <f>IF(F52="","",IF(Input!AR53="Error","Error",IF(ISNUMBER(Input!AR53),(Input!AR53*$AS$4),"")))</f>
        <v/>
      </c>
      <c r="AT52" s="331" t="str">
        <f>IF(V52="D","DRP",
IF(F52&lt;&gt;"",
IF(OR(AF52="Error",AP52="Error",AS52="Error"),"Error",
IF(Input!AQ53="","-",ROUND(AF52+AP52+AS52,2))),""))</f>
        <v/>
      </c>
      <c r="AU52" s="180" t="str">
        <f>IF(F52&lt;&gt;"",VLOOKUP(AT52,TRANSMUTATION!$A$2:$B$14,2),"")</f>
        <v/>
      </c>
      <c r="AV52" s="232" t="str">
        <f t="shared" si="1"/>
        <v/>
      </c>
      <c r="BA52" s="97"/>
    </row>
    <row r="53" spans="1:53" ht="15" customHeight="1" x14ac:dyDescent="0.2">
      <c r="A53" s="97"/>
      <c r="B53" s="239"/>
      <c r="C53" s="194">
        <v>47</v>
      </c>
      <c r="D53" s="203" t="str">
        <f>IF(Input!D54&lt;&gt;"",IF(F53&lt;&gt;"",Input!D54,""),"")</f>
        <v/>
      </c>
      <c r="E53" s="297"/>
      <c r="F53" s="298" t="str">
        <f>(IF(Input!F54&lt;&gt;"",Input!F54,""))</f>
        <v/>
      </c>
      <c r="G53" s="333"/>
      <c r="H53" s="333"/>
      <c r="I53" s="333"/>
      <c r="J53" s="333"/>
      <c r="K53" s="333"/>
      <c r="L53" s="333"/>
      <c r="M53" s="333"/>
      <c r="N53" s="333"/>
      <c r="O53" s="333"/>
      <c r="P53" s="333"/>
      <c r="Q53" s="333"/>
      <c r="R53" s="333"/>
      <c r="S53" s="333"/>
      <c r="T53" s="333"/>
      <c r="U53" s="333"/>
      <c r="V53" s="336"/>
      <c r="W53" s="173"/>
      <c r="X53" s="309" t="str">
        <f>IF(F53&lt;&gt;"",IF(Input!AG54&lt;&gt;"",Input!AG54,""),"")</f>
        <v/>
      </c>
      <c r="Y53" s="449" t="str">
        <f>IFERROR(IF($X$5="","",IF(F53&lt;&gt;"",(Input!AG54/Input!$AG$6)*100,"")),"NA")</f>
        <v/>
      </c>
      <c r="Z53" s="310" t="str">
        <f>IF(F53&lt;&gt;"",IF(Input!AH54&lt;&gt;"",Input!AH54,""),"")</f>
        <v/>
      </c>
      <c r="AA53" s="449" t="str">
        <f>IFERROR(IF($Z$5="","",IF(F53&lt;&gt;"",(Input!AH54/Input!$AH$6)*100,"")),"NA")</f>
        <v/>
      </c>
      <c r="AB53" s="310" t="str">
        <f>IF(F53&lt;&gt;"",IF(Input!AI54&lt;&gt;"",Input!AI54,""),"")</f>
        <v/>
      </c>
      <c r="AC53" s="449" t="str">
        <f>IFERROR(IF($AB$5="","",IF(F53&lt;&gt;"",(Input!AI54/Input!$AI$6)*100,"")),"NA")</f>
        <v/>
      </c>
      <c r="AD53" s="310" t="str">
        <f>IF(F53&lt;&gt;"",IF(Input!AJ54&lt;&gt;"",Input!AJ54,""),"")</f>
        <v/>
      </c>
      <c r="AE53" s="449" t="str">
        <f>IFERROR(IF($AD$5="","",IF(F53&lt;&gt;"",(Input!AJ54/Input!$AJ$6)*100,"")),"NA")</f>
        <v/>
      </c>
      <c r="AF53" s="108" t="str">
        <f>IF(Input!AK54="Error","Error",IF(F53="","",IF($X$5="",0,IF(F53&lt;&gt;"",IFERROR(AVERAGE(Y53,AA53,AC53,AE53)*$AF$4,0),""))))</f>
        <v/>
      </c>
      <c r="AG53" s="174"/>
      <c r="AH53" s="175" t="str">
        <f>IF(F53&lt;&gt;"",IF(Input!AL54&lt;&gt;"",Input!AL54,""),"")</f>
        <v/>
      </c>
      <c r="AI53" s="451" t="str">
        <f>IFERROR(IF($AH$5="","",IF(F53&lt;&gt;"",(Input!AL54/Input!$AL$6)*100,"")),"NA")</f>
        <v/>
      </c>
      <c r="AJ53" s="176" t="str">
        <f>IF(F53&lt;&gt;"",IF(Input!AM54&lt;&gt;"",Input!AM54,""),"")</f>
        <v/>
      </c>
      <c r="AK53" s="451" t="str">
        <f>IFERROR(IF($AJ$5="","",IF(F53&lt;&gt;"",(Input!AM54/Input!$AM$6)*100,"")),"NA")</f>
        <v/>
      </c>
      <c r="AL53" s="176" t="str">
        <f>IF(F53&lt;&gt;"",IF(Input!AN54&lt;&gt;"",Input!AN54,""),"")</f>
        <v/>
      </c>
      <c r="AM53" s="451" t="str">
        <f>IFERROR(IF($AL$5="","",IF(F53&lt;&gt;"",(Input!AN54/Input!$AN$6)*100,"")),"NA")</f>
        <v/>
      </c>
      <c r="AN53" s="177" t="str">
        <f>IF(F53&lt;&gt;"",IF(Input!AO54&lt;&gt;"",Input!AO54,""),"")</f>
        <v/>
      </c>
      <c r="AO53" s="451" t="str">
        <f>IFERROR(IF($AN$5="","",IF(F53&lt;&gt;"",(Input!AO54/Input!$AO$6)*100,"")),"NA")</f>
        <v/>
      </c>
      <c r="AP53" s="303" t="str">
        <f>IF(Input!AP54="Error","Error",IF(F53="","",IF($AH$5="",0,IF(F53&lt;&gt;"",IFERROR(AVERAGE(AI53,AK53,AM53,AO53)*$AP$4,0),""))))</f>
        <v/>
      </c>
      <c r="AQ53" s="174"/>
      <c r="AR53" s="178" t="str">
        <f>IF(Input!AQ54="","",IF(F53&lt;&gt;"",Input!AQ54,""))</f>
        <v/>
      </c>
      <c r="AS53" s="179" t="str">
        <f>IF(F53="","",IF(Input!AR54="Error","Error",IF(ISNUMBER(Input!AR54),(Input!AR54*$AS$4),"")))</f>
        <v/>
      </c>
      <c r="AT53" s="331" t="str">
        <f>IF(V53="D","DRP",
IF(F53&lt;&gt;"",
IF(OR(AF53="Error",AP53="Error",AS53="Error"),"Error",
IF(Input!AQ54="","-",ROUND(AF53+AP53+AS53,2))),""))</f>
        <v/>
      </c>
      <c r="AU53" s="180" t="str">
        <f>IF(F53&lt;&gt;"",VLOOKUP(AT53,TRANSMUTATION!$A$2:$B$14,2),"")</f>
        <v/>
      </c>
      <c r="AV53" s="232" t="str">
        <f t="shared" si="1"/>
        <v/>
      </c>
      <c r="BA53" s="97"/>
    </row>
    <row r="54" spans="1:53" ht="15" customHeight="1" x14ac:dyDescent="0.2">
      <c r="A54" s="97"/>
      <c r="B54" s="239"/>
      <c r="C54" s="194">
        <v>48</v>
      </c>
      <c r="D54" s="203" t="str">
        <f>IF(Input!D55&lt;&gt;"",IF(F54&lt;&gt;"",Input!D55,""),"")</f>
        <v/>
      </c>
      <c r="E54" s="297"/>
      <c r="F54" s="298" t="str">
        <f>(IF(Input!F55&lt;&gt;"",Input!F55,""))</f>
        <v/>
      </c>
      <c r="G54" s="333"/>
      <c r="H54" s="333"/>
      <c r="I54" s="333"/>
      <c r="J54" s="333"/>
      <c r="K54" s="333"/>
      <c r="L54" s="333"/>
      <c r="M54" s="333"/>
      <c r="N54" s="333"/>
      <c r="O54" s="333"/>
      <c r="P54" s="333"/>
      <c r="Q54" s="333"/>
      <c r="R54" s="333"/>
      <c r="S54" s="333"/>
      <c r="T54" s="333"/>
      <c r="U54" s="333"/>
      <c r="V54" s="336"/>
      <c r="W54" s="173"/>
      <c r="X54" s="309" t="str">
        <f>IF(F54&lt;&gt;"",IF(Input!AG55&lt;&gt;"",Input!AG55,""),"")</f>
        <v/>
      </c>
      <c r="Y54" s="449" t="str">
        <f>IFERROR(IF($X$5="","",IF(F54&lt;&gt;"",(Input!AG55/Input!$AG$6)*100,"")),"NA")</f>
        <v/>
      </c>
      <c r="Z54" s="310" t="str">
        <f>IF(F54&lt;&gt;"",IF(Input!AH55&lt;&gt;"",Input!AH55,""),"")</f>
        <v/>
      </c>
      <c r="AA54" s="449" t="str">
        <f>IFERROR(IF($Z$5="","",IF(F54&lt;&gt;"",(Input!AH55/Input!$AH$6)*100,"")),"NA")</f>
        <v/>
      </c>
      <c r="AB54" s="310" t="str">
        <f>IF(F54&lt;&gt;"",IF(Input!AI55&lt;&gt;"",Input!AI55,""),"")</f>
        <v/>
      </c>
      <c r="AC54" s="449" t="str">
        <f>IFERROR(IF($AB$5="","",IF(F54&lt;&gt;"",(Input!AI55/Input!$AI$6)*100,"")),"NA")</f>
        <v/>
      </c>
      <c r="AD54" s="310" t="str">
        <f>IF(F54&lt;&gt;"",IF(Input!AJ55&lt;&gt;"",Input!AJ55,""),"")</f>
        <v/>
      </c>
      <c r="AE54" s="449" t="str">
        <f>IFERROR(IF($AD$5="","",IF(F54&lt;&gt;"",(Input!AJ55/Input!$AJ$6)*100,"")),"NA")</f>
        <v/>
      </c>
      <c r="AF54" s="108" t="str">
        <f>IF(Input!AK55="Error","Error",IF(F54="","",IF($X$5="",0,IF(F54&lt;&gt;"",IFERROR(AVERAGE(Y54,AA54,AC54,AE54)*$AF$4,0),""))))</f>
        <v/>
      </c>
      <c r="AG54" s="174"/>
      <c r="AH54" s="175" t="str">
        <f>IF(F54&lt;&gt;"",IF(Input!AL55&lt;&gt;"",Input!AL55,""),"")</f>
        <v/>
      </c>
      <c r="AI54" s="451" t="str">
        <f>IFERROR(IF($AH$5="","",IF(F54&lt;&gt;"",(Input!AL55/Input!$AL$6)*100,"")),"NA")</f>
        <v/>
      </c>
      <c r="AJ54" s="176" t="str">
        <f>IF(F54&lt;&gt;"",IF(Input!AM55&lt;&gt;"",Input!AM55,""),"")</f>
        <v/>
      </c>
      <c r="AK54" s="451" t="str">
        <f>IFERROR(IF($AJ$5="","",IF(F54&lt;&gt;"",(Input!AM55/Input!$AM$6)*100,"")),"NA")</f>
        <v/>
      </c>
      <c r="AL54" s="176" t="str">
        <f>IF(F54&lt;&gt;"",IF(Input!AN55&lt;&gt;"",Input!AN55,""),"")</f>
        <v/>
      </c>
      <c r="AM54" s="451" t="str">
        <f>IFERROR(IF($AL$5="","",IF(F54&lt;&gt;"",(Input!AN55/Input!$AN$6)*100,"")),"NA")</f>
        <v/>
      </c>
      <c r="AN54" s="177" t="str">
        <f>IF(F54&lt;&gt;"",IF(Input!AO55&lt;&gt;"",Input!AO55,""),"")</f>
        <v/>
      </c>
      <c r="AO54" s="451" t="str">
        <f>IFERROR(IF($AN$5="","",IF(F54&lt;&gt;"",(Input!AO55/Input!$AO$6)*100,"")),"NA")</f>
        <v/>
      </c>
      <c r="AP54" s="303" t="str">
        <f>IF(Input!AP55="Error","Error",IF(F54="","",IF($AH$5="",0,IF(F54&lt;&gt;"",IFERROR(AVERAGE(AI54,AK54,AM54,AO54)*$AP$4,0),""))))</f>
        <v/>
      </c>
      <c r="AQ54" s="174"/>
      <c r="AR54" s="178" t="str">
        <f>IF(Input!AQ55="","",IF(F54&lt;&gt;"",Input!AQ55,""))</f>
        <v/>
      </c>
      <c r="AS54" s="179" t="str">
        <f>IF(F54="","",IF(Input!AR55="Error","Error",IF(ISNUMBER(Input!AR55),(Input!AR55*$AS$4),"")))</f>
        <v/>
      </c>
      <c r="AT54" s="331" t="str">
        <f>IF(V54="D","DRP",
IF(F54&lt;&gt;"",
IF(OR(AF54="Error",AP54="Error",AS54="Error"),"Error",
IF(Input!AQ55="","-",ROUND(AF54+AP54+AS54,2))),""))</f>
        <v/>
      </c>
      <c r="AU54" s="180" t="str">
        <f>IF(F54&lt;&gt;"",VLOOKUP(AT54,TRANSMUTATION!$A$2:$B$14,2),"")</f>
        <v/>
      </c>
      <c r="AV54" s="232" t="str">
        <f t="shared" si="1"/>
        <v/>
      </c>
      <c r="BA54" s="97"/>
    </row>
    <row r="55" spans="1:53" ht="15" customHeight="1" x14ac:dyDescent="0.2">
      <c r="A55" s="97"/>
      <c r="B55" s="239"/>
      <c r="C55" s="194">
        <v>49</v>
      </c>
      <c r="D55" s="203" t="str">
        <f>IF(Input!D56&lt;&gt;"",IF(F55&lt;&gt;"",Input!D56,""),"")</f>
        <v/>
      </c>
      <c r="E55" s="297"/>
      <c r="F55" s="298" t="str">
        <f>(IF(Input!F56&lt;&gt;"",Input!F56,""))</f>
        <v/>
      </c>
      <c r="G55" s="333"/>
      <c r="H55" s="333"/>
      <c r="I55" s="333"/>
      <c r="J55" s="333"/>
      <c r="K55" s="333"/>
      <c r="L55" s="333"/>
      <c r="M55" s="333"/>
      <c r="N55" s="333"/>
      <c r="O55" s="333"/>
      <c r="P55" s="333"/>
      <c r="Q55" s="333"/>
      <c r="R55" s="333"/>
      <c r="S55" s="333"/>
      <c r="T55" s="333"/>
      <c r="U55" s="333"/>
      <c r="V55" s="336"/>
      <c r="W55" s="173"/>
      <c r="X55" s="309" t="str">
        <f>IF(F55&lt;&gt;"",IF(Input!AG56&lt;&gt;"",Input!AG56,""),"")</f>
        <v/>
      </c>
      <c r="Y55" s="449" t="str">
        <f>IFERROR(IF($X$5="","",IF(F55&lt;&gt;"",(Input!AG56/Input!$AG$6)*100,"")),"NA")</f>
        <v/>
      </c>
      <c r="Z55" s="310" t="str">
        <f>IF(F55&lt;&gt;"",IF(Input!AH56&lt;&gt;"",Input!AH56,""),"")</f>
        <v/>
      </c>
      <c r="AA55" s="449" t="str">
        <f>IFERROR(IF($Z$5="","",IF(F55&lt;&gt;"",(Input!AH56/Input!$AH$6)*100,"")),"NA")</f>
        <v/>
      </c>
      <c r="AB55" s="310" t="str">
        <f>IF(F55&lt;&gt;"",IF(Input!AI56&lt;&gt;"",Input!AI56,""),"")</f>
        <v/>
      </c>
      <c r="AC55" s="449" t="str">
        <f>IFERROR(IF($AB$5="","",IF(F55&lt;&gt;"",(Input!AI56/Input!$AI$6)*100,"")),"NA")</f>
        <v/>
      </c>
      <c r="AD55" s="310" t="str">
        <f>IF(F55&lt;&gt;"",IF(Input!AJ56&lt;&gt;"",Input!AJ56,""),"")</f>
        <v/>
      </c>
      <c r="AE55" s="449" t="str">
        <f>IFERROR(IF($AD$5="","",IF(F55&lt;&gt;"",(Input!AJ56/Input!$AJ$6)*100,"")),"NA")</f>
        <v/>
      </c>
      <c r="AF55" s="108" t="str">
        <f>IF(Input!AK56="Error","Error",IF(F55="","",IF($X$5="",0,IF(F55&lt;&gt;"",IFERROR(AVERAGE(Y55,AA55,AC55,AE55)*$AF$4,0),""))))</f>
        <v/>
      </c>
      <c r="AG55" s="174"/>
      <c r="AH55" s="175" t="str">
        <f>IF(F55&lt;&gt;"",IF(Input!AL56&lt;&gt;"",Input!AL56,""),"")</f>
        <v/>
      </c>
      <c r="AI55" s="451" t="str">
        <f>IFERROR(IF($AH$5="","",IF(F55&lt;&gt;"",(Input!AL56/Input!$AL$6)*100,"")),"NA")</f>
        <v/>
      </c>
      <c r="AJ55" s="176" t="str">
        <f>IF(F55&lt;&gt;"",IF(Input!AM56&lt;&gt;"",Input!AM56,""),"")</f>
        <v/>
      </c>
      <c r="AK55" s="451" t="str">
        <f>IFERROR(IF($AJ$5="","",IF(F55&lt;&gt;"",(Input!AM56/Input!$AM$6)*100,"")),"NA")</f>
        <v/>
      </c>
      <c r="AL55" s="176" t="str">
        <f>IF(F55&lt;&gt;"",IF(Input!AN56&lt;&gt;"",Input!AN56,""),"")</f>
        <v/>
      </c>
      <c r="AM55" s="451" t="str">
        <f>IFERROR(IF($AL$5="","",IF(F55&lt;&gt;"",(Input!AN56/Input!$AN$6)*100,"")),"NA")</f>
        <v/>
      </c>
      <c r="AN55" s="177" t="str">
        <f>IF(F55&lt;&gt;"",IF(Input!AO56&lt;&gt;"",Input!AO56,""),"")</f>
        <v/>
      </c>
      <c r="AO55" s="451" t="str">
        <f>IFERROR(IF($AN$5="","",IF(F55&lt;&gt;"",(Input!AO56/Input!$AO$6)*100,"")),"NA")</f>
        <v/>
      </c>
      <c r="AP55" s="303" t="str">
        <f>IF(Input!AP56="Error","Error",IF(F55="","",IF($AH$5="",0,IF(F55&lt;&gt;"",IFERROR(AVERAGE(AI55,AK55,AM55,AO55)*$AP$4,0),""))))</f>
        <v/>
      </c>
      <c r="AQ55" s="174"/>
      <c r="AR55" s="178" t="str">
        <f>IF(Input!AQ56="","",IF(F55&lt;&gt;"",Input!AQ56,""))</f>
        <v/>
      </c>
      <c r="AS55" s="179" t="str">
        <f>IF(F55="","",IF(Input!AR56="Error","Error",IF(ISNUMBER(Input!AR56),(Input!AR56*$AS$4),"")))</f>
        <v/>
      </c>
      <c r="AT55" s="331" t="str">
        <f>IF(V55="D","DRP",
IF(F55&lt;&gt;"",
IF(OR(AF55="Error",AP55="Error",AS55="Error"),"Error",
IF(Input!AQ56="","-",ROUND(AF55+AP55+AS55,2))),""))</f>
        <v/>
      </c>
      <c r="AU55" s="180" t="str">
        <f>IF(F55&lt;&gt;"",VLOOKUP(AT55,TRANSMUTATION!$A$2:$B$14,2),"")</f>
        <v/>
      </c>
      <c r="AV55" s="232" t="str">
        <f t="shared" si="1"/>
        <v/>
      </c>
      <c r="BA55" s="97"/>
    </row>
    <row r="56" spans="1:53" ht="15" customHeight="1" x14ac:dyDescent="0.2">
      <c r="A56" s="97"/>
      <c r="B56" s="239"/>
      <c r="C56" s="194">
        <v>50</v>
      </c>
      <c r="D56" s="203" t="str">
        <f>IF(Input!D57&lt;&gt;"",IF(F56&lt;&gt;"",Input!D57,""),"")</f>
        <v/>
      </c>
      <c r="E56" s="297"/>
      <c r="F56" s="298" t="str">
        <f>(IF(Input!F57&lt;&gt;"",Input!F57,""))</f>
        <v/>
      </c>
      <c r="G56" s="333"/>
      <c r="H56" s="333"/>
      <c r="I56" s="333"/>
      <c r="J56" s="333"/>
      <c r="K56" s="333"/>
      <c r="L56" s="333"/>
      <c r="M56" s="333"/>
      <c r="N56" s="333"/>
      <c r="O56" s="333"/>
      <c r="P56" s="333"/>
      <c r="Q56" s="333"/>
      <c r="R56" s="333"/>
      <c r="S56" s="333"/>
      <c r="T56" s="333"/>
      <c r="U56" s="333"/>
      <c r="V56" s="337"/>
      <c r="W56" s="173"/>
      <c r="X56" s="309" t="str">
        <f>IF(F56&lt;&gt;"",IF(Input!AG57&lt;&gt;"",Input!AG57,""),"")</f>
        <v/>
      </c>
      <c r="Y56" s="449" t="str">
        <f>IFERROR(IF($X$5="","",IF(F56&lt;&gt;"",(Input!AG57/Input!$AG$6)*100,"")),"NA")</f>
        <v/>
      </c>
      <c r="Z56" s="310" t="str">
        <f>IF(F56&lt;&gt;"",IF(Input!AH57&lt;&gt;"",Input!AH57,""),"")</f>
        <v/>
      </c>
      <c r="AA56" s="449" t="str">
        <f>IFERROR(IF($Z$5="","",IF(F56&lt;&gt;"",(Input!AH57/Input!$AH$6)*100,"")),"NA")</f>
        <v/>
      </c>
      <c r="AB56" s="310" t="str">
        <f>IF(F56&lt;&gt;"",IF(Input!AI57&lt;&gt;"",Input!AI57,""),"")</f>
        <v/>
      </c>
      <c r="AC56" s="449" t="str">
        <f>IFERROR(IF($AB$5="","",IF(F56&lt;&gt;"",(Input!AI57/Input!$AI$6)*100,"")),"NA")</f>
        <v/>
      </c>
      <c r="AD56" s="310" t="str">
        <f>IF(F56&lt;&gt;"",IF(Input!AJ57&lt;&gt;"",Input!AJ57,""),"")</f>
        <v/>
      </c>
      <c r="AE56" s="449" t="str">
        <f>IFERROR(IF($AD$5="","",IF(F56&lt;&gt;"",(Input!AJ57/Input!$AJ$6)*100,"")),"NA")</f>
        <v/>
      </c>
      <c r="AF56" s="108" t="str">
        <f>IF(Input!AK57="Error","Error",IF(F56="","",IF($X$5="",0,IF(F56&lt;&gt;"",IFERROR(AVERAGE(Y56,AA56,AC56,AE56)*$AF$4,0),""))))</f>
        <v/>
      </c>
      <c r="AG56" s="174"/>
      <c r="AH56" s="175" t="str">
        <f>IF(F56&lt;&gt;"",IF(Input!AL57&lt;&gt;"",Input!AL57,""),"")</f>
        <v/>
      </c>
      <c r="AI56" s="451" t="str">
        <f>IFERROR(IF($AH$5="","",IF(F56&lt;&gt;"",(Input!AL57/Input!$AL$6)*100,"")),"NA")</f>
        <v/>
      </c>
      <c r="AJ56" s="176" t="str">
        <f>IF(F56&lt;&gt;"",IF(Input!AM57&lt;&gt;"",Input!AM57,""),"")</f>
        <v/>
      </c>
      <c r="AK56" s="451" t="str">
        <f>IFERROR(IF($AJ$5="","",IF(F56&lt;&gt;"",(Input!AM57/Input!$AM$6)*100,"")),"NA")</f>
        <v/>
      </c>
      <c r="AL56" s="176" t="str">
        <f>IF(F56&lt;&gt;"",IF(Input!AN57&lt;&gt;"",Input!AN57,""),"")</f>
        <v/>
      </c>
      <c r="AM56" s="451" t="str">
        <f>IFERROR(IF($AL$5="","",IF(F56&lt;&gt;"",(Input!AN57/Input!$AN$6)*100,"")),"NA")</f>
        <v/>
      </c>
      <c r="AN56" s="177" t="str">
        <f>IF(F56&lt;&gt;"",IF(Input!AO57&lt;&gt;"",Input!AO57,""),"")</f>
        <v/>
      </c>
      <c r="AO56" s="451" t="str">
        <f>IFERROR(IF($AN$5="","",IF(F56&lt;&gt;"",(Input!AO57/Input!$AO$6)*100,"")),"NA")</f>
        <v/>
      </c>
      <c r="AP56" s="303" t="str">
        <f>IF(Input!AP57="Error","Error",IF(F56="","",IF($AH$5="",0,IF(F56&lt;&gt;"",IFERROR(AVERAGE(AI56,AK56,AM56,AO56)*$AP$4,0),""))))</f>
        <v/>
      </c>
      <c r="AQ56" s="174"/>
      <c r="AR56" s="178" t="str">
        <f>IF(Input!AQ57="","",IF(F56&lt;&gt;"",Input!AQ57,""))</f>
        <v/>
      </c>
      <c r="AS56" s="179" t="str">
        <f>IF(F56="","",IF(Input!AR57="Error","Error",IF(ISNUMBER(Input!AR57),(Input!AR57*$AS$4),"")))</f>
        <v/>
      </c>
      <c r="AT56" s="331" t="str">
        <f>IF(V56="D","DRP",
IF(F56&lt;&gt;"",
IF(OR(AF56="Error",AP56="Error",AS56="Error"),"Error",
IF(Input!AQ57="","-",ROUND(AF56+AP56+AS56,2))),""))</f>
        <v/>
      </c>
      <c r="AU56" s="180" t="str">
        <f>IF(F56&lt;&gt;"",VLOOKUP(AT56,TRANSMUTATION!$A$2:$B$14,2),"")</f>
        <v/>
      </c>
      <c r="AV56" s="232" t="str">
        <f t="shared" si="1"/>
        <v/>
      </c>
      <c r="BA56" s="97"/>
    </row>
    <row r="57" spans="1:53" ht="15" customHeight="1" x14ac:dyDescent="0.2">
      <c r="A57" s="97"/>
      <c r="B57" s="239"/>
      <c r="C57" s="194">
        <v>51</v>
      </c>
      <c r="D57" s="203" t="str">
        <f>IF(Input!D58&lt;&gt;"",IF(F57&lt;&gt;"",Input!D58,""),"")</f>
        <v/>
      </c>
      <c r="E57" s="297"/>
      <c r="F57" s="298" t="str">
        <f>(IF(Input!F58&lt;&gt;"",Input!F58,""))</f>
        <v/>
      </c>
      <c r="G57" s="334"/>
      <c r="H57" s="334"/>
      <c r="I57" s="334"/>
      <c r="J57" s="334"/>
      <c r="K57" s="334"/>
      <c r="L57" s="334"/>
      <c r="M57" s="334"/>
      <c r="N57" s="334"/>
      <c r="O57" s="334"/>
      <c r="P57" s="334"/>
      <c r="Q57" s="334"/>
      <c r="R57" s="334"/>
      <c r="S57" s="334"/>
      <c r="T57" s="334"/>
      <c r="U57" s="334"/>
      <c r="V57" s="338"/>
      <c r="W57" s="173"/>
      <c r="X57" s="309" t="str">
        <f>IF(F57&lt;&gt;"",IF(Input!AG58&lt;&gt;"",Input!AG58,""),"")</f>
        <v/>
      </c>
      <c r="Y57" s="449" t="str">
        <f>IFERROR(IF($X$5="","",IF(F57&lt;&gt;"",(Input!AG58/Input!$AG$6)*100,"")),"NA")</f>
        <v/>
      </c>
      <c r="Z57" s="310" t="str">
        <f>IF(F57&lt;&gt;"",IF(Input!AH58&lt;&gt;"",Input!AH58,""),"")</f>
        <v/>
      </c>
      <c r="AA57" s="449" t="str">
        <f>IFERROR(IF($Z$5="","",IF(F57&lt;&gt;"",(Input!AH58/Input!$AH$6)*100,"")),"NA")</f>
        <v/>
      </c>
      <c r="AB57" s="310" t="str">
        <f>IF(F57&lt;&gt;"",IF(Input!AI58&lt;&gt;"",Input!AI58,""),"")</f>
        <v/>
      </c>
      <c r="AC57" s="449" t="str">
        <f>IFERROR(IF($AB$5="","",IF(F57&lt;&gt;"",(Input!AI58/Input!$AI$6)*100,"")),"NA")</f>
        <v/>
      </c>
      <c r="AD57" s="310" t="str">
        <f>IF(F57&lt;&gt;"",IF(Input!AJ58&lt;&gt;"",Input!AJ58,""),"")</f>
        <v/>
      </c>
      <c r="AE57" s="449" t="str">
        <f>IFERROR(IF($AD$5="","",IF(F57&lt;&gt;"",(Input!AJ58/Input!$AJ$6)*100,"")),"NA")</f>
        <v/>
      </c>
      <c r="AF57" s="108" t="str">
        <f>IF(Input!AK58="Error","Error",IF(F57="","",IF($X$5="",0,IF(F57&lt;&gt;"",IFERROR(AVERAGE(Y57,AA57,AC57,AE57)*$AF$4,0),""))))</f>
        <v/>
      </c>
      <c r="AG57" s="174"/>
      <c r="AH57" s="175" t="str">
        <f>IF(F57&lt;&gt;"",IF(Input!AL58&lt;&gt;"",Input!AL58,""),"")</f>
        <v/>
      </c>
      <c r="AI57" s="451" t="str">
        <f>IFERROR(IF($AH$5="","",IF(F57&lt;&gt;"",(Input!AL58/Input!$AL$6)*100,"")),"NA")</f>
        <v/>
      </c>
      <c r="AJ57" s="176" t="str">
        <f>IF(F57&lt;&gt;"",IF(Input!AM58&lt;&gt;"",Input!AM58,""),"")</f>
        <v/>
      </c>
      <c r="AK57" s="451" t="str">
        <f>IFERROR(IF($AJ$5="","",IF(F57&lt;&gt;"",(Input!AM58/Input!$AM$6)*100,"")),"NA")</f>
        <v/>
      </c>
      <c r="AL57" s="176" t="str">
        <f>IF(F57&lt;&gt;"",IF(Input!AN58&lt;&gt;"",Input!AN58,""),"")</f>
        <v/>
      </c>
      <c r="AM57" s="451" t="str">
        <f>IFERROR(IF($AL$5="","",IF(F57&lt;&gt;"",(Input!AN58/Input!$AN$6)*100,"")),"NA")</f>
        <v/>
      </c>
      <c r="AN57" s="177" t="str">
        <f>IF(F57&lt;&gt;"",IF(Input!AO58&lt;&gt;"",Input!AO58,""),"")</f>
        <v/>
      </c>
      <c r="AO57" s="451" t="str">
        <f>IFERROR(IF($AN$5="","",IF(F57&lt;&gt;"",(Input!AO58/Input!$AO$6)*100,"")),"NA")</f>
        <v/>
      </c>
      <c r="AP57" s="303" t="str">
        <f>IF(Input!AP58="Error","Error",IF(F57="","",IF($AH$5="",0,IF(F57&lt;&gt;"",IFERROR(AVERAGE(AI57,AK57,AM57,AO57)*$AP$4,0),""))))</f>
        <v/>
      </c>
      <c r="AQ57" s="174"/>
      <c r="AR57" s="178" t="str">
        <f>IF(Input!AQ58="","",IF(F57&lt;&gt;"",Input!AQ58,""))</f>
        <v/>
      </c>
      <c r="AS57" s="179" t="str">
        <f>IF(F57="","",IF(Input!AR58="Error","Error",IF(ISNUMBER(Input!AR58),(Input!AR58*$AS$4),"")))</f>
        <v/>
      </c>
      <c r="AT57" s="331" t="str">
        <f>IF(V57="D","DRP",
IF(F57&lt;&gt;"",
IF(OR(AF57="Error",AP57="Error",AS57="Error"),"Error",
IF(Input!AQ58="","-",ROUND(AF57+AP57+AS57,2))),""))</f>
        <v/>
      </c>
      <c r="AU57" s="180" t="str">
        <f>IF(F57&lt;&gt;"",VLOOKUP(AT57,TRANSMUTATION!$A$2:$B$14,2),"")</f>
        <v/>
      </c>
      <c r="AV57" s="232" t="str">
        <f t="shared" si="1"/>
        <v/>
      </c>
      <c r="BA57" s="97"/>
    </row>
    <row r="58" spans="1:53" ht="15" customHeight="1" x14ac:dyDescent="0.2">
      <c r="A58" s="97"/>
      <c r="B58" s="239"/>
      <c r="C58" s="194">
        <v>52</v>
      </c>
      <c r="D58" s="203" t="str">
        <f>IF(Input!D59&lt;&gt;"",IF(F58&lt;&gt;"",Input!D59,""),"")</f>
        <v/>
      </c>
      <c r="E58" s="297"/>
      <c r="F58" s="298" t="str">
        <f>(IF(Input!F59&lt;&gt;"",Input!F59,""))</f>
        <v/>
      </c>
      <c r="G58" s="333"/>
      <c r="H58" s="333"/>
      <c r="I58" s="333"/>
      <c r="J58" s="333"/>
      <c r="K58" s="333"/>
      <c r="L58" s="333"/>
      <c r="M58" s="333"/>
      <c r="N58" s="333"/>
      <c r="O58" s="333"/>
      <c r="P58" s="333"/>
      <c r="Q58" s="333"/>
      <c r="R58" s="333"/>
      <c r="S58" s="333"/>
      <c r="T58" s="333"/>
      <c r="U58" s="333"/>
      <c r="V58" s="336"/>
      <c r="W58" s="173"/>
      <c r="X58" s="309" t="str">
        <f>IF(F58&lt;&gt;"",IF(Input!AG59&lt;&gt;"",Input!AG59,""),"")</f>
        <v/>
      </c>
      <c r="Y58" s="449" t="str">
        <f>IFERROR(IF($X$5="","",IF(F58&lt;&gt;"",(Input!AG59/Input!$AG$6)*100,"")),"NA")</f>
        <v/>
      </c>
      <c r="Z58" s="310" t="str">
        <f>IF(F58&lt;&gt;"",IF(Input!AH59&lt;&gt;"",Input!AH59,""),"")</f>
        <v/>
      </c>
      <c r="AA58" s="449" t="str">
        <f>IFERROR(IF($Z$5="","",IF(F58&lt;&gt;"",(Input!AH59/Input!$AH$6)*100,"")),"NA")</f>
        <v/>
      </c>
      <c r="AB58" s="310" t="str">
        <f>IF(F58&lt;&gt;"",IF(Input!AI59&lt;&gt;"",Input!AI59,""),"")</f>
        <v/>
      </c>
      <c r="AC58" s="449" t="str">
        <f>IFERROR(IF($AB$5="","",IF(F58&lt;&gt;"",(Input!AI59/Input!$AI$6)*100,"")),"NA")</f>
        <v/>
      </c>
      <c r="AD58" s="310" t="str">
        <f>IF(F58&lt;&gt;"",IF(Input!AJ59&lt;&gt;"",Input!AJ59,""),"")</f>
        <v/>
      </c>
      <c r="AE58" s="449" t="str">
        <f>IFERROR(IF($AD$5="","",IF(F58&lt;&gt;"",(Input!AJ59/Input!$AJ$6)*100,"")),"NA")</f>
        <v/>
      </c>
      <c r="AF58" s="108" t="str">
        <f>IF(Input!AK59="Error","Error",IF(F58="","",IF($X$5="",0,IF(F58&lt;&gt;"",IFERROR(AVERAGE(Y58,AA58,AC58,AE58)*$AF$4,0),""))))</f>
        <v/>
      </c>
      <c r="AG58" s="174"/>
      <c r="AH58" s="175" t="str">
        <f>IF(F58&lt;&gt;"",IF(Input!AL59&lt;&gt;"",Input!AL59,""),"")</f>
        <v/>
      </c>
      <c r="AI58" s="451" t="str">
        <f>IFERROR(IF($AH$5="","",IF(F58&lt;&gt;"",(Input!AL59/Input!$AL$6)*100,"")),"NA")</f>
        <v/>
      </c>
      <c r="AJ58" s="176" t="str">
        <f>IF(F58&lt;&gt;"",IF(Input!AM59&lt;&gt;"",Input!AM59,""),"")</f>
        <v/>
      </c>
      <c r="AK58" s="451" t="str">
        <f>IFERROR(IF($AJ$5="","",IF(F58&lt;&gt;"",(Input!AM59/Input!$AM$6)*100,"")),"NA")</f>
        <v/>
      </c>
      <c r="AL58" s="176" t="str">
        <f>IF(F58&lt;&gt;"",IF(Input!AN59&lt;&gt;"",Input!AN59,""),"")</f>
        <v/>
      </c>
      <c r="AM58" s="451" t="str">
        <f>IFERROR(IF($AL$5="","",IF(F58&lt;&gt;"",(Input!AN59/Input!$AN$6)*100,"")),"NA")</f>
        <v/>
      </c>
      <c r="AN58" s="177" t="str">
        <f>IF(F58&lt;&gt;"",IF(Input!AO59&lt;&gt;"",Input!AO59,""),"")</f>
        <v/>
      </c>
      <c r="AO58" s="451" t="str">
        <f>IFERROR(IF($AN$5="","",IF(F58&lt;&gt;"",(Input!AO59/Input!$AO$6)*100,"")),"NA")</f>
        <v/>
      </c>
      <c r="AP58" s="303" t="str">
        <f>IF(Input!AP59="Error","Error",IF(F58="","",IF($AH$5="",0,IF(F58&lt;&gt;"",IFERROR(AVERAGE(AI58,AK58,AM58,AO58)*$AP$4,0),""))))</f>
        <v/>
      </c>
      <c r="AQ58" s="174"/>
      <c r="AR58" s="178" t="str">
        <f>IF(Input!AQ59="","",IF(F58&lt;&gt;"",Input!AQ59,""))</f>
        <v/>
      </c>
      <c r="AS58" s="179" t="str">
        <f>IF(F58="","",IF(Input!AR59="Error","Error",IF(ISNUMBER(Input!AR59),(Input!AR59*$AS$4),"")))</f>
        <v/>
      </c>
      <c r="AT58" s="331" t="str">
        <f>IF(V58="D","DRP",
IF(F58&lt;&gt;"",
IF(OR(AF58="Error",AP58="Error",AS58="Error"),"Error",
IF(Input!AQ59="","-",ROUND(AF58+AP58+AS58,2))),""))</f>
        <v/>
      </c>
      <c r="AU58" s="180" t="str">
        <f>IF(F58&lt;&gt;"",VLOOKUP(AT58,TRANSMUTATION!$A$2:$B$14,2),"")</f>
        <v/>
      </c>
      <c r="AV58" s="232" t="str">
        <f t="shared" si="1"/>
        <v/>
      </c>
      <c r="BA58" s="97"/>
    </row>
    <row r="59" spans="1:53" ht="15" customHeight="1" x14ac:dyDescent="0.2">
      <c r="A59" s="97"/>
      <c r="B59" s="239"/>
      <c r="C59" s="194">
        <v>53</v>
      </c>
      <c r="D59" s="203" t="str">
        <f>IF(Input!D60&lt;&gt;"",IF(F59&lt;&gt;"",Input!D60,""),"")</f>
        <v/>
      </c>
      <c r="E59" s="297"/>
      <c r="F59" s="298" t="str">
        <f>(IF(Input!F60&lt;&gt;"",Input!F60,""))</f>
        <v/>
      </c>
      <c r="G59" s="333"/>
      <c r="H59" s="333"/>
      <c r="I59" s="333"/>
      <c r="J59" s="333"/>
      <c r="K59" s="333"/>
      <c r="L59" s="333"/>
      <c r="M59" s="333"/>
      <c r="N59" s="333"/>
      <c r="O59" s="333"/>
      <c r="P59" s="333"/>
      <c r="Q59" s="333"/>
      <c r="R59" s="333"/>
      <c r="S59" s="333"/>
      <c r="T59" s="333"/>
      <c r="U59" s="333"/>
      <c r="V59" s="336"/>
      <c r="W59" s="173"/>
      <c r="X59" s="309" t="str">
        <f>IF(F59&lt;&gt;"",IF(Input!AG60&lt;&gt;"",Input!AG60,""),"")</f>
        <v/>
      </c>
      <c r="Y59" s="449" t="str">
        <f>IFERROR(IF($X$5="","",IF(F59&lt;&gt;"",(Input!AG60/Input!$AG$6)*100,"")),"NA")</f>
        <v/>
      </c>
      <c r="Z59" s="310" t="str">
        <f>IF(F59&lt;&gt;"",IF(Input!AH60&lt;&gt;"",Input!AH60,""),"")</f>
        <v/>
      </c>
      <c r="AA59" s="449" t="str">
        <f>IFERROR(IF($Z$5="","",IF(F59&lt;&gt;"",(Input!AH60/Input!$AH$6)*100,"")),"NA")</f>
        <v/>
      </c>
      <c r="AB59" s="310" t="str">
        <f>IF(F59&lt;&gt;"",IF(Input!AI60&lt;&gt;"",Input!AI60,""),"")</f>
        <v/>
      </c>
      <c r="AC59" s="449" t="str">
        <f>IFERROR(IF($AB$5="","",IF(F59&lt;&gt;"",(Input!AI60/Input!$AI$6)*100,"")),"NA")</f>
        <v/>
      </c>
      <c r="AD59" s="310" t="str">
        <f>IF(F59&lt;&gt;"",IF(Input!AJ60&lt;&gt;"",Input!AJ60,""),"")</f>
        <v/>
      </c>
      <c r="AE59" s="449" t="str">
        <f>IFERROR(IF($AD$5="","",IF(F59&lt;&gt;"",(Input!AJ60/Input!$AJ$6)*100,"")),"NA")</f>
        <v/>
      </c>
      <c r="AF59" s="108" t="str">
        <f>IF(Input!AK60="Error","Error",IF(F59="","",IF($X$5="",0,IF(F59&lt;&gt;"",IFERROR(AVERAGE(Y59,AA59,AC59,AE59)*$AF$4,0),""))))</f>
        <v/>
      </c>
      <c r="AG59" s="174"/>
      <c r="AH59" s="175" t="str">
        <f>IF(F59&lt;&gt;"",IF(Input!AL60&lt;&gt;"",Input!AL60,""),"")</f>
        <v/>
      </c>
      <c r="AI59" s="451" t="str">
        <f>IFERROR(IF($AH$5="","",IF(F59&lt;&gt;"",(Input!AL60/Input!$AL$6)*100,"")),"NA")</f>
        <v/>
      </c>
      <c r="AJ59" s="176" t="str">
        <f>IF(F59&lt;&gt;"",IF(Input!AM60&lt;&gt;"",Input!AM60,""),"")</f>
        <v/>
      </c>
      <c r="AK59" s="451" t="str">
        <f>IFERROR(IF($AJ$5="","",IF(F59&lt;&gt;"",(Input!AM60/Input!$AM$6)*100,"")),"NA")</f>
        <v/>
      </c>
      <c r="AL59" s="176" t="str">
        <f>IF(F59&lt;&gt;"",IF(Input!AN60&lt;&gt;"",Input!AN60,""),"")</f>
        <v/>
      </c>
      <c r="AM59" s="451" t="str">
        <f>IFERROR(IF($AL$5="","",IF(F59&lt;&gt;"",(Input!AN60/Input!$AN$6)*100,"")),"NA")</f>
        <v/>
      </c>
      <c r="AN59" s="177" t="str">
        <f>IF(F59&lt;&gt;"",IF(Input!AO60&lt;&gt;"",Input!AO60,""),"")</f>
        <v/>
      </c>
      <c r="AO59" s="451" t="str">
        <f>IFERROR(IF($AN$5="","",IF(F59&lt;&gt;"",(Input!AO60/Input!$AO$6)*100,"")),"NA")</f>
        <v/>
      </c>
      <c r="AP59" s="303" t="str">
        <f>IF(Input!AP60="Error","Error",IF(F59="","",IF($AH$5="",0,IF(F59&lt;&gt;"",IFERROR(AVERAGE(AI59,AK59,AM59,AO59)*$AP$4,0),""))))</f>
        <v/>
      </c>
      <c r="AQ59" s="174"/>
      <c r="AR59" s="178" t="str">
        <f>IF(Input!AQ60="","",IF(F59&lt;&gt;"",Input!AQ60,""))</f>
        <v/>
      </c>
      <c r="AS59" s="179" t="str">
        <f>IF(F59="","",IF(Input!AR60="Error","Error",IF(ISNUMBER(Input!AR60),(Input!AR60*$AS$4),"")))</f>
        <v/>
      </c>
      <c r="AT59" s="331" t="str">
        <f>IF(V59="D","DRP",
IF(F59&lt;&gt;"",
IF(OR(AF59="Error",AP59="Error",AS59="Error"),"Error",
IF(Input!AQ60="","-",ROUND(AF59+AP59+AS59,2))),""))</f>
        <v/>
      </c>
      <c r="AU59" s="180" t="str">
        <f>IF(F59&lt;&gt;"",VLOOKUP(AT59,TRANSMUTATION!$A$2:$B$14,2),"")</f>
        <v/>
      </c>
      <c r="AV59" s="232" t="str">
        <f t="shared" si="1"/>
        <v/>
      </c>
      <c r="BA59" s="97"/>
    </row>
    <row r="60" spans="1:53" ht="15" customHeight="1" x14ac:dyDescent="0.2">
      <c r="A60" s="97"/>
      <c r="B60" s="239"/>
      <c r="C60" s="194">
        <v>54</v>
      </c>
      <c r="D60" s="203" t="str">
        <f>IF(Input!D61&lt;&gt;"",IF(F60&lt;&gt;"",Input!D61,""),"")</f>
        <v/>
      </c>
      <c r="E60" s="297"/>
      <c r="F60" s="298" t="str">
        <f>(IF(Input!F61&lt;&gt;"",Input!F61,""))</f>
        <v/>
      </c>
      <c r="G60" s="333"/>
      <c r="H60" s="333"/>
      <c r="I60" s="333"/>
      <c r="J60" s="333"/>
      <c r="K60" s="333"/>
      <c r="L60" s="333"/>
      <c r="M60" s="333"/>
      <c r="N60" s="333"/>
      <c r="O60" s="333"/>
      <c r="P60" s="333"/>
      <c r="Q60" s="333"/>
      <c r="R60" s="333"/>
      <c r="S60" s="333"/>
      <c r="T60" s="333"/>
      <c r="U60" s="333"/>
      <c r="V60" s="336"/>
      <c r="W60" s="173"/>
      <c r="X60" s="309" t="str">
        <f>IF(F60&lt;&gt;"",IF(Input!AG61&lt;&gt;"",Input!AG61,""),"")</f>
        <v/>
      </c>
      <c r="Y60" s="449" t="str">
        <f>IFERROR(IF($X$5="","",IF(F60&lt;&gt;"",(Input!AG61/Input!$AG$6)*100,"")),"NA")</f>
        <v/>
      </c>
      <c r="Z60" s="310" t="str">
        <f>IF(F60&lt;&gt;"",IF(Input!AH61&lt;&gt;"",Input!AH61,""),"")</f>
        <v/>
      </c>
      <c r="AA60" s="449" t="str">
        <f>IFERROR(IF($Z$5="","",IF(F60&lt;&gt;"",(Input!AH61/Input!$AH$6)*100,"")),"NA")</f>
        <v/>
      </c>
      <c r="AB60" s="310" t="str">
        <f>IF(F60&lt;&gt;"",IF(Input!AI61&lt;&gt;"",Input!AI61,""),"")</f>
        <v/>
      </c>
      <c r="AC60" s="449" t="str">
        <f>IFERROR(IF($AB$5="","",IF(F60&lt;&gt;"",(Input!AI61/Input!$AI$6)*100,"")),"NA")</f>
        <v/>
      </c>
      <c r="AD60" s="310" t="str">
        <f>IF(F60&lt;&gt;"",IF(Input!AJ61&lt;&gt;"",Input!AJ61,""),"")</f>
        <v/>
      </c>
      <c r="AE60" s="449" t="str">
        <f>IFERROR(IF($AD$5="","",IF(F60&lt;&gt;"",(Input!AJ61/Input!$AJ$6)*100,"")),"NA")</f>
        <v/>
      </c>
      <c r="AF60" s="108" t="str">
        <f>IF(Input!AK61="Error","Error",IF(F60="","",IF($X$5="",0,IF(F60&lt;&gt;"",IFERROR(AVERAGE(Y60,AA60,AC60,AE60)*$AF$4,0),""))))</f>
        <v/>
      </c>
      <c r="AG60" s="174"/>
      <c r="AH60" s="175" t="str">
        <f>IF(F60&lt;&gt;"",IF(Input!AL61&lt;&gt;"",Input!AL61,""),"")</f>
        <v/>
      </c>
      <c r="AI60" s="451" t="str">
        <f>IFERROR(IF($AH$5="","",IF(F60&lt;&gt;"",(Input!AL61/Input!$AL$6)*100,"")),"NA")</f>
        <v/>
      </c>
      <c r="AJ60" s="176" t="str">
        <f>IF(F60&lt;&gt;"",IF(Input!AM61&lt;&gt;"",Input!AM61,""),"")</f>
        <v/>
      </c>
      <c r="AK60" s="451" t="str">
        <f>IFERROR(IF($AJ$5="","",IF(F60&lt;&gt;"",(Input!AM61/Input!$AM$6)*100,"")),"NA")</f>
        <v/>
      </c>
      <c r="AL60" s="176" t="str">
        <f>IF(F60&lt;&gt;"",IF(Input!AN61&lt;&gt;"",Input!AN61,""),"")</f>
        <v/>
      </c>
      <c r="AM60" s="451" t="str">
        <f>IFERROR(IF($AL$5="","",IF(F60&lt;&gt;"",(Input!AN61/Input!$AN$6)*100,"")),"NA")</f>
        <v/>
      </c>
      <c r="AN60" s="177" t="str">
        <f>IF(F60&lt;&gt;"",IF(Input!AO61&lt;&gt;"",Input!AO61,""),"")</f>
        <v/>
      </c>
      <c r="AO60" s="451" t="str">
        <f>IFERROR(IF($AN$5="","",IF(F60&lt;&gt;"",(Input!AO61/Input!$AO$6)*100,"")),"NA")</f>
        <v/>
      </c>
      <c r="AP60" s="303" t="str">
        <f>IF(Input!AP61="Error","Error",IF(F60="","",IF($AH$5="",0,IF(F60&lt;&gt;"",IFERROR(AVERAGE(AI60,AK60,AM60,AO60)*$AP$4,0),""))))</f>
        <v/>
      </c>
      <c r="AQ60" s="174"/>
      <c r="AR60" s="178" t="str">
        <f>IF(Input!AQ61="","",IF(F60&lt;&gt;"",Input!AQ61,""))</f>
        <v/>
      </c>
      <c r="AS60" s="179" t="str">
        <f>IF(F60="","",IF(Input!AR61="Error","Error",IF(ISNUMBER(Input!AR61),(Input!AR61*$AS$4),"")))</f>
        <v/>
      </c>
      <c r="AT60" s="331" t="str">
        <f>IF(V60="D","DRP",
IF(F60&lt;&gt;"",
IF(OR(AF60="Error",AP60="Error",AS60="Error"),"Error",
IF(Input!AQ61="","-",ROUND(AF60+AP60+AS60,2))),""))</f>
        <v/>
      </c>
      <c r="AU60" s="180" t="str">
        <f>IF(F60&lt;&gt;"",VLOOKUP(AT60,TRANSMUTATION!$A$2:$B$14,2),"")</f>
        <v/>
      </c>
      <c r="AV60" s="232" t="str">
        <f t="shared" si="1"/>
        <v/>
      </c>
      <c r="BA60" s="97"/>
    </row>
    <row r="61" spans="1:53" ht="15" customHeight="1" x14ac:dyDescent="0.2">
      <c r="A61" s="97"/>
      <c r="B61" s="239"/>
      <c r="C61" s="194">
        <v>55</v>
      </c>
      <c r="D61" s="203" t="str">
        <f>IF(Input!D62&lt;&gt;"",IF(F61&lt;&gt;"",Input!D62,""),"")</f>
        <v/>
      </c>
      <c r="E61" s="297"/>
      <c r="F61" s="298" t="str">
        <f>(IF(Input!F62&lt;&gt;"",Input!F62,""))</f>
        <v/>
      </c>
      <c r="G61" s="333"/>
      <c r="H61" s="333"/>
      <c r="I61" s="333"/>
      <c r="J61" s="333"/>
      <c r="K61" s="333"/>
      <c r="L61" s="333"/>
      <c r="M61" s="333"/>
      <c r="N61" s="333"/>
      <c r="O61" s="333"/>
      <c r="P61" s="333"/>
      <c r="Q61" s="333"/>
      <c r="R61" s="333"/>
      <c r="S61" s="333"/>
      <c r="T61" s="333"/>
      <c r="U61" s="333"/>
      <c r="V61" s="336"/>
      <c r="W61" s="173"/>
      <c r="X61" s="309" t="str">
        <f>IF(F61&lt;&gt;"",IF(Input!AG62&lt;&gt;"",Input!AG62,""),"")</f>
        <v/>
      </c>
      <c r="Y61" s="449" t="str">
        <f>IFERROR(IF($X$5="","",IF(F61&lt;&gt;"",(Input!AG62/Input!$AG$6)*100,"")),"NA")</f>
        <v/>
      </c>
      <c r="Z61" s="310" t="str">
        <f>IF(F61&lt;&gt;"",IF(Input!AH62&lt;&gt;"",Input!AH62,""),"")</f>
        <v/>
      </c>
      <c r="AA61" s="449" t="str">
        <f>IFERROR(IF($Z$5="","",IF(F61&lt;&gt;"",(Input!AH62/Input!$AH$6)*100,"")),"NA")</f>
        <v/>
      </c>
      <c r="AB61" s="310" t="str">
        <f>IF(F61&lt;&gt;"",IF(Input!AI62&lt;&gt;"",Input!AI62,""),"")</f>
        <v/>
      </c>
      <c r="AC61" s="449" t="str">
        <f>IFERROR(IF($AB$5="","",IF(F61&lt;&gt;"",(Input!AI62/Input!$AI$6)*100,"")),"NA")</f>
        <v/>
      </c>
      <c r="AD61" s="310" t="str">
        <f>IF(F61&lt;&gt;"",IF(Input!AJ62&lt;&gt;"",Input!AJ62,""),"")</f>
        <v/>
      </c>
      <c r="AE61" s="449" t="str">
        <f>IFERROR(IF($AD$5="","",IF(F61&lt;&gt;"",(Input!AJ62/Input!$AJ$6)*100,"")),"NA")</f>
        <v/>
      </c>
      <c r="AF61" s="108" t="str">
        <f>IF(Input!AK62="Error","Error",IF(F61="","",IF($X$5="",0,IF(F61&lt;&gt;"",IFERROR(AVERAGE(Y61,AA61,AC61,AE61)*$AF$4,0),""))))</f>
        <v/>
      </c>
      <c r="AG61" s="174"/>
      <c r="AH61" s="175" t="str">
        <f>IF(F61&lt;&gt;"",IF(Input!AL62&lt;&gt;"",Input!AL62,""),"")</f>
        <v/>
      </c>
      <c r="AI61" s="451" t="str">
        <f>IFERROR(IF($AH$5="","",IF(F61&lt;&gt;"",(Input!AL62/Input!$AL$6)*100,"")),"NA")</f>
        <v/>
      </c>
      <c r="AJ61" s="176" t="str">
        <f>IF(F61&lt;&gt;"",IF(Input!AM62&lt;&gt;"",Input!AM62,""),"")</f>
        <v/>
      </c>
      <c r="AK61" s="451" t="str">
        <f>IFERROR(IF($AJ$5="","",IF(F61&lt;&gt;"",(Input!AM62/Input!$AM$6)*100,"")),"NA")</f>
        <v/>
      </c>
      <c r="AL61" s="176" t="str">
        <f>IF(F61&lt;&gt;"",IF(Input!AN62&lt;&gt;"",Input!AN62,""),"")</f>
        <v/>
      </c>
      <c r="AM61" s="451" t="str">
        <f>IFERROR(IF($AL$5="","",IF(F61&lt;&gt;"",(Input!AN62/Input!$AN$6)*100,"")),"NA")</f>
        <v/>
      </c>
      <c r="AN61" s="177" t="str">
        <f>IF(F61&lt;&gt;"",IF(Input!AO62&lt;&gt;"",Input!AO62,""),"")</f>
        <v/>
      </c>
      <c r="AO61" s="451" t="str">
        <f>IFERROR(IF($AN$5="","",IF(F61&lt;&gt;"",(Input!AO62/Input!$AO$6)*100,"")),"NA")</f>
        <v/>
      </c>
      <c r="AP61" s="303" t="str">
        <f>IF(Input!AP62="Error","Error",IF(F61="","",IF($AH$5="",0,IF(F61&lt;&gt;"",IFERROR(AVERAGE(AI61,AK61,AM61,AO61)*$AP$4,0),""))))</f>
        <v/>
      </c>
      <c r="AQ61" s="174"/>
      <c r="AR61" s="178" t="str">
        <f>IF(Input!AQ62="","",IF(F61&lt;&gt;"",Input!AQ62,""))</f>
        <v/>
      </c>
      <c r="AS61" s="179" t="str">
        <f>IF(F61="","",IF(Input!AR62="Error","Error",IF(ISNUMBER(Input!AR62),(Input!AR62*$AS$4),"")))</f>
        <v/>
      </c>
      <c r="AT61" s="331" t="str">
        <f>IF(V61="D","DRP",
IF(F61&lt;&gt;"",
IF(OR(AF61="Error",AP61="Error",AS61="Error"),"Error",
IF(Input!AQ62="","-",ROUND(AF61+AP61+AS61,2))),""))</f>
        <v/>
      </c>
      <c r="AU61" s="180" t="str">
        <f>IF(F61&lt;&gt;"",VLOOKUP(AT61,TRANSMUTATION!$A$2:$B$14,2),"")</f>
        <v/>
      </c>
      <c r="AV61" s="232" t="str">
        <f t="shared" si="1"/>
        <v/>
      </c>
      <c r="BA61" s="97"/>
    </row>
    <row r="62" spans="1:53" ht="15" customHeight="1" x14ac:dyDescent="0.2">
      <c r="A62" s="97"/>
      <c r="B62" s="239"/>
      <c r="C62" s="194">
        <v>56</v>
      </c>
      <c r="D62" s="203" t="str">
        <f>IF(Input!D63&lt;&gt;"",IF(F62&lt;&gt;"",Input!D63,""),"")</f>
        <v/>
      </c>
      <c r="E62" s="297"/>
      <c r="F62" s="298" t="str">
        <f>(IF(Input!F63&lt;&gt;"",Input!F63,""))</f>
        <v/>
      </c>
      <c r="G62" s="333"/>
      <c r="H62" s="333"/>
      <c r="I62" s="333"/>
      <c r="J62" s="333"/>
      <c r="K62" s="333"/>
      <c r="L62" s="333"/>
      <c r="M62" s="333"/>
      <c r="N62" s="333"/>
      <c r="O62" s="333"/>
      <c r="P62" s="333"/>
      <c r="Q62" s="333"/>
      <c r="R62" s="333"/>
      <c r="S62" s="333"/>
      <c r="T62" s="333"/>
      <c r="U62" s="333"/>
      <c r="V62" s="336"/>
      <c r="W62" s="173"/>
      <c r="X62" s="309" t="str">
        <f>IF(F62&lt;&gt;"",IF(Input!AG63&lt;&gt;"",Input!AG63,""),"")</f>
        <v/>
      </c>
      <c r="Y62" s="449" t="str">
        <f>IFERROR(IF($X$5="","",IF(F62&lt;&gt;"",(Input!AG63/Input!$AG$6)*100,"")),"NA")</f>
        <v/>
      </c>
      <c r="Z62" s="310" t="str">
        <f>IF(F62&lt;&gt;"",IF(Input!AH63&lt;&gt;"",Input!AH63,""),"")</f>
        <v/>
      </c>
      <c r="AA62" s="449" t="str">
        <f>IFERROR(IF($Z$5="","",IF(F62&lt;&gt;"",(Input!AH63/Input!$AH$6)*100,"")),"NA")</f>
        <v/>
      </c>
      <c r="AB62" s="310" t="str">
        <f>IF(F62&lt;&gt;"",IF(Input!AI63&lt;&gt;"",Input!AI63,""),"")</f>
        <v/>
      </c>
      <c r="AC62" s="449" t="str">
        <f>IFERROR(IF($AB$5="","",IF(F62&lt;&gt;"",(Input!AI63/Input!$AI$6)*100,"")),"NA")</f>
        <v/>
      </c>
      <c r="AD62" s="310" t="str">
        <f>IF(F62&lt;&gt;"",IF(Input!AJ63&lt;&gt;"",Input!AJ63,""),"")</f>
        <v/>
      </c>
      <c r="AE62" s="449" t="str">
        <f>IFERROR(IF($AD$5="","",IF(F62&lt;&gt;"",(Input!AJ63/Input!$AJ$6)*100,"")),"NA")</f>
        <v/>
      </c>
      <c r="AF62" s="108" t="str">
        <f>IF(Input!AK63="Error","Error",IF(F62="","",IF($X$5="",0,IF(F62&lt;&gt;"",IFERROR(AVERAGE(Y62,AA62,AC62,AE62)*$AF$4,0),""))))</f>
        <v/>
      </c>
      <c r="AG62" s="174"/>
      <c r="AH62" s="175" t="str">
        <f>IF(F62&lt;&gt;"",IF(Input!AL63&lt;&gt;"",Input!AL63,""),"")</f>
        <v/>
      </c>
      <c r="AI62" s="451" t="str">
        <f>IFERROR(IF($AH$5="","",IF(F62&lt;&gt;"",(Input!AL63/Input!$AL$6)*100,"")),"NA")</f>
        <v/>
      </c>
      <c r="AJ62" s="176" t="str">
        <f>IF(F62&lt;&gt;"",IF(Input!AM63&lt;&gt;"",Input!AM63,""),"")</f>
        <v/>
      </c>
      <c r="AK62" s="451" t="str">
        <f>IFERROR(IF($AJ$5="","",IF(F62&lt;&gt;"",(Input!AM63/Input!$AM$6)*100,"")),"NA")</f>
        <v/>
      </c>
      <c r="AL62" s="176" t="str">
        <f>IF(F62&lt;&gt;"",IF(Input!AN63&lt;&gt;"",Input!AN63,""),"")</f>
        <v/>
      </c>
      <c r="AM62" s="451" t="str">
        <f>IFERROR(IF($AL$5="","",IF(F62&lt;&gt;"",(Input!AN63/Input!$AN$6)*100,"")),"NA")</f>
        <v/>
      </c>
      <c r="AN62" s="177" t="str">
        <f>IF(F62&lt;&gt;"",IF(Input!AO63&lt;&gt;"",Input!AO63,""),"")</f>
        <v/>
      </c>
      <c r="AO62" s="451" t="str">
        <f>IFERROR(IF($AN$5="","",IF(F62&lt;&gt;"",(Input!AO63/Input!$AO$6)*100,"")),"NA")</f>
        <v/>
      </c>
      <c r="AP62" s="303" t="str">
        <f>IF(Input!AP63="Error","Error",IF(F62="","",IF($AH$5="",0,IF(F62&lt;&gt;"",IFERROR(AVERAGE(AI62,AK62,AM62,AO62)*$AP$4,0),""))))</f>
        <v/>
      </c>
      <c r="AQ62" s="174"/>
      <c r="AR62" s="178" t="str">
        <f>IF(Input!AQ63="","",IF(F62&lt;&gt;"",Input!AQ63,""))</f>
        <v/>
      </c>
      <c r="AS62" s="179" t="str">
        <f>IF(F62="","",IF(Input!AR63="Error","Error",IF(ISNUMBER(Input!AR63),(Input!AR63*$AS$4),"")))</f>
        <v/>
      </c>
      <c r="AT62" s="331" t="str">
        <f>IF(V62="D","DRP",
IF(F62&lt;&gt;"",
IF(OR(AF62="Error",AP62="Error",AS62="Error"),"Error",
IF(Input!AQ63="","-",ROUND(AF62+AP62+AS62,2))),""))</f>
        <v/>
      </c>
      <c r="AU62" s="180" t="str">
        <f>IF(F62&lt;&gt;"",VLOOKUP(AT62,TRANSMUTATION!$A$2:$B$14,2),"")</f>
        <v/>
      </c>
      <c r="AV62" s="232" t="str">
        <f t="shared" si="1"/>
        <v/>
      </c>
      <c r="BA62" s="97"/>
    </row>
    <row r="63" spans="1:53" ht="15" customHeight="1" x14ac:dyDescent="0.2">
      <c r="A63" s="97"/>
      <c r="B63" s="239"/>
      <c r="C63" s="194">
        <v>57</v>
      </c>
      <c r="D63" s="203" t="str">
        <f>IF(Input!D64&lt;&gt;"",IF(F63&lt;&gt;"",Input!D64,""),"")</f>
        <v/>
      </c>
      <c r="E63" s="297"/>
      <c r="F63" s="298" t="str">
        <f>(IF(Input!F64&lt;&gt;"",Input!F64,""))</f>
        <v/>
      </c>
      <c r="G63" s="333"/>
      <c r="H63" s="333"/>
      <c r="I63" s="333"/>
      <c r="J63" s="333"/>
      <c r="K63" s="333"/>
      <c r="L63" s="333"/>
      <c r="M63" s="333"/>
      <c r="N63" s="333"/>
      <c r="O63" s="333"/>
      <c r="P63" s="333"/>
      <c r="Q63" s="333"/>
      <c r="R63" s="333"/>
      <c r="S63" s="333"/>
      <c r="T63" s="333"/>
      <c r="U63" s="333"/>
      <c r="V63" s="336"/>
      <c r="W63" s="173"/>
      <c r="X63" s="309" t="str">
        <f>IF(F63&lt;&gt;"",IF(Input!AG64&lt;&gt;"",Input!AG64,""),"")</f>
        <v/>
      </c>
      <c r="Y63" s="449" t="str">
        <f>IFERROR(IF($X$5="","",IF(F63&lt;&gt;"",(Input!AG64/Input!$AG$6)*100,"")),"NA")</f>
        <v/>
      </c>
      <c r="Z63" s="310" t="str">
        <f>IF(F63&lt;&gt;"",IF(Input!AH64&lt;&gt;"",Input!AH64,""),"")</f>
        <v/>
      </c>
      <c r="AA63" s="449" t="str">
        <f>IFERROR(IF($Z$5="","",IF(F63&lt;&gt;"",(Input!AH64/Input!$AH$6)*100,"")),"NA")</f>
        <v/>
      </c>
      <c r="AB63" s="310" t="str">
        <f>IF(F63&lt;&gt;"",IF(Input!AI64&lt;&gt;"",Input!AI64,""),"")</f>
        <v/>
      </c>
      <c r="AC63" s="449" t="str">
        <f>IFERROR(IF($AB$5="","",IF(F63&lt;&gt;"",(Input!AI64/Input!$AI$6)*100,"")),"NA")</f>
        <v/>
      </c>
      <c r="AD63" s="310" t="str">
        <f>IF(F63&lt;&gt;"",IF(Input!AJ64&lt;&gt;"",Input!AJ64,""),"")</f>
        <v/>
      </c>
      <c r="AE63" s="449" t="str">
        <f>IFERROR(IF($AD$5="","",IF(F63&lt;&gt;"",(Input!AJ64/Input!$AJ$6)*100,"")),"NA")</f>
        <v/>
      </c>
      <c r="AF63" s="108" t="str">
        <f>IF(Input!AK64="Error","Error",IF(F63="","",IF($X$5="",0,IF(F63&lt;&gt;"",IFERROR(AVERAGE(Y63,AA63,AC63,AE63)*$AF$4,0),""))))</f>
        <v/>
      </c>
      <c r="AG63" s="174"/>
      <c r="AH63" s="175" t="str">
        <f>IF(F63&lt;&gt;"",IF(Input!AL64&lt;&gt;"",Input!AL64,""),"")</f>
        <v/>
      </c>
      <c r="AI63" s="451" t="str">
        <f>IFERROR(IF($AH$5="","",IF(F63&lt;&gt;"",(Input!AL64/Input!$AL$6)*100,"")),"NA")</f>
        <v/>
      </c>
      <c r="AJ63" s="176" t="str">
        <f>IF(F63&lt;&gt;"",IF(Input!AM64&lt;&gt;"",Input!AM64,""),"")</f>
        <v/>
      </c>
      <c r="AK63" s="451" t="str">
        <f>IFERROR(IF($AJ$5="","",IF(F63&lt;&gt;"",(Input!AM64/Input!$AM$6)*100,"")),"NA")</f>
        <v/>
      </c>
      <c r="AL63" s="176" t="str">
        <f>IF(F63&lt;&gt;"",IF(Input!AN64&lt;&gt;"",Input!AN64,""),"")</f>
        <v/>
      </c>
      <c r="AM63" s="451" t="str">
        <f>IFERROR(IF($AL$5="","",IF(F63&lt;&gt;"",(Input!AN64/Input!$AN$6)*100,"")),"NA")</f>
        <v/>
      </c>
      <c r="AN63" s="177" t="str">
        <f>IF(F63&lt;&gt;"",IF(Input!AO64&lt;&gt;"",Input!AO64,""),"")</f>
        <v/>
      </c>
      <c r="AO63" s="451" t="str">
        <f>IFERROR(IF($AN$5="","",IF(F63&lt;&gt;"",(Input!AO64/Input!$AO$6)*100,"")),"NA")</f>
        <v/>
      </c>
      <c r="AP63" s="303" t="str">
        <f>IF(Input!AP64="Error","Error",IF(F63="","",IF($AH$5="",0,IF(F63&lt;&gt;"",IFERROR(AVERAGE(AI63,AK63,AM63,AO63)*$AP$4,0),""))))</f>
        <v/>
      </c>
      <c r="AQ63" s="174"/>
      <c r="AR63" s="178" t="str">
        <f>IF(Input!AQ64="","",IF(F63&lt;&gt;"",Input!AQ64,""))</f>
        <v/>
      </c>
      <c r="AS63" s="179" t="str">
        <f>IF(F63="","",IF(Input!AR64="Error","Error",IF(ISNUMBER(Input!AR64),(Input!AR64*$AS$4),"")))</f>
        <v/>
      </c>
      <c r="AT63" s="331" t="str">
        <f>IF(V63="D","DRP",
IF(F63&lt;&gt;"",
IF(OR(AF63="Error",AP63="Error",AS63="Error"),"Error",
IF(Input!AQ64="","-",ROUND(AF63+AP63+AS63,2))),""))</f>
        <v/>
      </c>
      <c r="AU63" s="180" t="str">
        <f>IF(F63&lt;&gt;"",VLOOKUP(AT63,TRANSMUTATION!$A$2:$B$14,2),"")</f>
        <v/>
      </c>
      <c r="AV63" s="232" t="str">
        <f t="shared" si="1"/>
        <v/>
      </c>
      <c r="BA63" s="97"/>
    </row>
    <row r="64" spans="1:53" ht="15" customHeight="1" x14ac:dyDescent="0.2">
      <c r="A64" s="97"/>
      <c r="B64" s="239"/>
      <c r="C64" s="194">
        <v>58</v>
      </c>
      <c r="D64" s="203" t="str">
        <f>IF(Input!D65&lt;&gt;"",IF(F64&lt;&gt;"",Input!D65,""),"")</f>
        <v/>
      </c>
      <c r="E64" s="297"/>
      <c r="F64" s="298" t="str">
        <f>(IF(Input!F65&lt;&gt;"",Input!F65,""))</f>
        <v/>
      </c>
      <c r="G64" s="333"/>
      <c r="H64" s="333"/>
      <c r="I64" s="333"/>
      <c r="J64" s="333"/>
      <c r="K64" s="333"/>
      <c r="L64" s="333"/>
      <c r="M64" s="333"/>
      <c r="N64" s="333"/>
      <c r="O64" s="333"/>
      <c r="P64" s="333"/>
      <c r="Q64" s="333"/>
      <c r="R64" s="333"/>
      <c r="S64" s="333"/>
      <c r="T64" s="333"/>
      <c r="U64" s="333"/>
      <c r="V64" s="336"/>
      <c r="W64" s="173"/>
      <c r="X64" s="309" t="str">
        <f>IF(F64&lt;&gt;"",IF(Input!AG65&lt;&gt;"",Input!AG65,""),"")</f>
        <v/>
      </c>
      <c r="Y64" s="449" t="str">
        <f>IFERROR(IF($X$5="","",IF(F64&lt;&gt;"",(Input!AG65/Input!$AG$6)*100,"")),"NA")</f>
        <v/>
      </c>
      <c r="Z64" s="310" t="str">
        <f>IF(F64&lt;&gt;"",IF(Input!AH65&lt;&gt;"",Input!AH65,""),"")</f>
        <v/>
      </c>
      <c r="AA64" s="449" t="str">
        <f>IFERROR(IF($Z$5="","",IF(F64&lt;&gt;"",(Input!AH65/Input!$AH$6)*100,"")),"NA")</f>
        <v/>
      </c>
      <c r="AB64" s="310" t="str">
        <f>IF(F64&lt;&gt;"",IF(Input!AI65&lt;&gt;"",Input!AI65,""),"")</f>
        <v/>
      </c>
      <c r="AC64" s="449" t="str">
        <f>IFERROR(IF($AB$5="","",IF(F64&lt;&gt;"",(Input!AI65/Input!$AI$6)*100,"")),"NA")</f>
        <v/>
      </c>
      <c r="AD64" s="310" t="str">
        <f>IF(F64&lt;&gt;"",IF(Input!AJ65&lt;&gt;"",Input!AJ65,""),"")</f>
        <v/>
      </c>
      <c r="AE64" s="449" t="str">
        <f>IFERROR(IF($AD$5="","",IF(F64&lt;&gt;"",(Input!AJ65/Input!$AJ$6)*100,"")),"NA")</f>
        <v/>
      </c>
      <c r="AF64" s="108" t="str">
        <f>IF(Input!AK65="Error","Error",IF(F64="","",IF($X$5="",0,IF(F64&lt;&gt;"",IFERROR(AVERAGE(Y64,AA64,AC64,AE64)*$AF$4,0),""))))</f>
        <v/>
      </c>
      <c r="AG64" s="174"/>
      <c r="AH64" s="175" t="str">
        <f>IF(F64&lt;&gt;"",IF(Input!AL65&lt;&gt;"",Input!AL65,""),"")</f>
        <v/>
      </c>
      <c r="AI64" s="451" t="str">
        <f>IFERROR(IF($AH$5="","",IF(F64&lt;&gt;"",(Input!AL65/Input!$AL$6)*100,"")),"NA")</f>
        <v/>
      </c>
      <c r="AJ64" s="176" t="str">
        <f>IF(F64&lt;&gt;"",IF(Input!AM65&lt;&gt;"",Input!AM65,""),"")</f>
        <v/>
      </c>
      <c r="AK64" s="451" t="str">
        <f>IFERROR(IF($AJ$5="","",IF(F64&lt;&gt;"",(Input!AM65/Input!$AM$6)*100,"")),"NA")</f>
        <v/>
      </c>
      <c r="AL64" s="176" t="str">
        <f>IF(F64&lt;&gt;"",IF(Input!AN65&lt;&gt;"",Input!AN65,""),"")</f>
        <v/>
      </c>
      <c r="AM64" s="451" t="str">
        <f>IFERROR(IF($AL$5="","",IF(F64&lt;&gt;"",(Input!AN65/Input!$AN$6)*100,"")),"NA")</f>
        <v/>
      </c>
      <c r="AN64" s="177" t="str">
        <f>IF(F64&lt;&gt;"",IF(Input!AO65&lt;&gt;"",Input!AO65,""),"")</f>
        <v/>
      </c>
      <c r="AO64" s="451" t="str">
        <f>IFERROR(IF($AN$5="","",IF(F64&lt;&gt;"",(Input!AO65/Input!$AO$6)*100,"")),"NA")</f>
        <v/>
      </c>
      <c r="AP64" s="303" t="str">
        <f>IF(Input!AP65="Error","Error",IF(F64="","",IF($AH$5="",0,IF(F64&lt;&gt;"",IFERROR(AVERAGE(AI64,AK64,AM64,AO64)*$AP$4,0),""))))</f>
        <v/>
      </c>
      <c r="AQ64" s="174"/>
      <c r="AR64" s="178" t="str">
        <f>IF(Input!AQ65="","",IF(F64&lt;&gt;"",Input!AQ65,""))</f>
        <v/>
      </c>
      <c r="AS64" s="179" t="str">
        <f>IF(F64="","",IF(Input!AR65="Error","Error",IF(ISNUMBER(Input!AR65),(Input!AR65*$AS$4),"")))</f>
        <v/>
      </c>
      <c r="AT64" s="331" t="str">
        <f>IF(V64="D","DRP",
IF(F64&lt;&gt;"",
IF(OR(AF64="Error",AP64="Error",AS64="Error"),"Error",
IF(Input!AQ65="","-",ROUND(AF64+AP64+AS64,2))),""))</f>
        <v/>
      </c>
      <c r="AU64" s="180" t="str">
        <f>IF(F64&lt;&gt;"",VLOOKUP(AT64,TRANSMUTATION!$A$2:$B$14,2),"")</f>
        <v/>
      </c>
      <c r="AV64" s="232" t="str">
        <f t="shared" si="1"/>
        <v/>
      </c>
      <c r="BA64" s="97"/>
    </row>
    <row r="65" spans="1:53" ht="15" customHeight="1" x14ac:dyDescent="0.2">
      <c r="A65" s="97"/>
      <c r="B65" s="239"/>
      <c r="C65" s="194">
        <v>59</v>
      </c>
      <c r="D65" s="203" t="str">
        <f>IF(Input!D66&lt;&gt;"",IF(F65&lt;&gt;"",Input!D66,""),"")</f>
        <v/>
      </c>
      <c r="E65" s="297"/>
      <c r="F65" s="298" t="str">
        <f>(IF(Input!F66&lt;&gt;"",Input!F66,""))</f>
        <v/>
      </c>
      <c r="G65" s="333"/>
      <c r="H65" s="333"/>
      <c r="I65" s="333"/>
      <c r="J65" s="333"/>
      <c r="K65" s="333"/>
      <c r="L65" s="333"/>
      <c r="M65" s="333"/>
      <c r="N65" s="333"/>
      <c r="O65" s="333"/>
      <c r="P65" s="333"/>
      <c r="Q65" s="333"/>
      <c r="R65" s="333"/>
      <c r="S65" s="333"/>
      <c r="T65" s="333"/>
      <c r="U65" s="333"/>
      <c r="V65" s="336"/>
      <c r="W65" s="173"/>
      <c r="X65" s="309" t="str">
        <f>IF(F65&lt;&gt;"",IF(Input!AG66&lt;&gt;"",Input!AG66,""),"")</f>
        <v/>
      </c>
      <c r="Y65" s="449" t="str">
        <f>IFERROR(IF($X$5="","",IF(F65&lt;&gt;"",(Input!AG66/Input!$AG$6)*100,"")),"NA")</f>
        <v/>
      </c>
      <c r="Z65" s="310" t="str">
        <f>IF(F65&lt;&gt;"",IF(Input!AH66&lt;&gt;"",Input!AH66,""),"")</f>
        <v/>
      </c>
      <c r="AA65" s="449" t="str">
        <f>IFERROR(IF($Z$5="","",IF(F65&lt;&gt;"",(Input!AH66/Input!$AH$6)*100,"")),"NA")</f>
        <v/>
      </c>
      <c r="AB65" s="310" t="str">
        <f>IF(F65&lt;&gt;"",IF(Input!AI66&lt;&gt;"",Input!AI66,""),"")</f>
        <v/>
      </c>
      <c r="AC65" s="449" t="str">
        <f>IFERROR(IF($AB$5="","",IF(F65&lt;&gt;"",(Input!AI66/Input!$AI$6)*100,"")),"NA")</f>
        <v/>
      </c>
      <c r="AD65" s="310" t="str">
        <f>IF(F65&lt;&gt;"",IF(Input!AJ66&lt;&gt;"",Input!AJ66,""),"")</f>
        <v/>
      </c>
      <c r="AE65" s="449" t="str">
        <f>IFERROR(IF($AD$5="","",IF(F65&lt;&gt;"",(Input!AJ66/Input!$AJ$6)*100,"")),"NA")</f>
        <v/>
      </c>
      <c r="AF65" s="108" t="str">
        <f>IF(Input!AK66="Error","Error",IF(F65="","",IF($X$5="",0,IF(F65&lt;&gt;"",IFERROR(AVERAGE(Y65,AA65,AC65,AE65)*$AF$4,0),""))))</f>
        <v/>
      </c>
      <c r="AG65" s="174"/>
      <c r="AH65" s="175" t="str">
        <f>IF(F65&lt;&gt;"",IF(Input!AL66&lt;&gt;"",Input!AL66,""),"")</f>
        <v/>
      </c>
      <c r="AI65" s="451" t="str">
        <f>IFERROR(IF($AH$5="","",IF(F65&lt;&gt;"",(Input!AL66/Input!$AL$6)*100,"")),"NA")</f>
        <v/>
      </c>
      <c r="AJ65" s="176" t="str">
        <f>IF(F65&lt;&gt;"",IF(Input!AM66&lt;&gt;"",Input!AM66,""),"")</f>
        <v/>
      </c>
      <c r="AK65" s="451" t="str">
        <f>IFERROR(IF($AJ$5="","",IF(F65&lt;&gt;"",(Input!AM66/Input!$AM$6)*100,"")),"NA")</f>
        <v/>
      </c>
      <c r="AL65" s="176" t="str">
        <f>IF(F65&lt;&gt;"",IF(Input!AN66&lt;&gt;"",Input!AN66,""),"")</f>
        <v/>
      </c>
      <c r="AM65" s="451" t="str">
        <f>IFERROR(IF($AL$5="","",IF(F65&lt;&gt;"",(Input!AN66/Input!$AN$6)*100,"")),"NA")</f>
        <v/>
      </c>
      <c r="AN65" s="177" t="str">
        <f>IF(F65&lt;&gt;"",IF(Input!AO66&lt;&gt;"",Input!AO66,""),"")</f>
        <v/>
      </c>
      <c r="AO65" s="451" t="str">
        <f>IFERROR(IF($AN$5="","",IF(F65&lt;&gt;"",(Input!AO66/Input!$AO$6)*100,"")),"NA")</f>
        <v/>
      </c>
      <c r="AP65" s="303" t="str">
        <f>IF(Input!AP66="Error","Error",IF(F65="","",IF($AH$5="",0,IF(F65&lt;&gt;"",IFERROR(AVERAGE(AI65,AK65,AM65,AO65)*$AP$4,0),""))))</f>
        <v/>
      </c>
      <c r="AQ65" s="174"/>
      <c r="AR65" s="178" t="str">
        <f>IF(Input!AQ66="","",IF(F65&lt;&gt;"",Input!AQ66,""))</f>
        <v/>
      </c>
      <c r="AS65" s="179" t="str">
        <f>IF(F65="","",IF(Input!AR66="Error","Error",IF(ISNUMBER(Input!AR66),(Input!AR66*$AS$4),"")))</f>
        <v/>
      </c>
      <c r="AT65" s="331" t="str">
        <f>IF(V65="D","DRP",
IF(F65&lt;&gt;"",
IF(OR(AF65="Error",AP65="Error",AS65="Error"),"Error",
IF(Input!AQ66="","-",ROUND(AF65+AP65+AS65,2))),""))</f>
        <v/>
      </c>
      <c r="AU65" s="180" t="str">
        <f>IF(F65&lt;&gt;"",VLOOKUP(AT65,TRANSMUTATION!$A$2:$B$14,2),"")</f>
        <v/>
      </c>
      <c r="AV65" s="232" t="str">
        <f t="shared" si="1"/>
        <v/>
      </c>
      <c r="BA65" s="97"/>
    </row>
    <row r="66" spans="1:53" ht="15" customHeight="1" thickBot="1" x14ac:dyDescent="0.25">
      <c r="A66" s="97"/>
      <c r="B66" s="239"/>
      <c r="C66" s="195">
        <v>60</v>
      </c>
      <c r="D66" s="299" t="str">
        <f>IF(Input!D67&lt;&gt;"",IF(F66&lt;&gt;"",Input!D67,""),"")</f>
        <v/>
      </c>
      <c r="E66" s="300"/>
      <c r="F66" s="301" t="str">
        <f>(IF(Input!F67&lt;&gt;"",Input!F67,""))</f>
        <v/>
      </c>
      <c r="G66" s="335"/>
      <c r="H66" s="335"/>
      <c r="I66" s="335"/>
      <c r="J66" s="335"/>
      <c r="K66" s="335"/>
      <c r="L66" s="335"/>
      <c r="M66" s="335"/>
      <c r="N66" s="335"/>
      <c r="O66" s="335"/>
      <c r="P66" s="335"/>
      <c r="Q66" s="335"/>
      <c r="R66" s="335"/>
      <c r="S66" s="335"/>
      <c r="T66" s="335"/>
      <c r="U66" s="335"/>
      <c r="V66" s="339"/>
      <c r="W66" s="173"/>
      <c r="X66" s="311" t="str">
        <f>IF(F66&lt;&gt;"",IF(Input!AG67&lt;&gt;"",Input!AG67,""),"")</f>
        <v/>
      </c>
      <c r="Y66" s="450" t="str">
        <f>IFERROR(IF($X$5="","",IF(F66&lt;&gt;"",(Input!AG67/Input!$AG$6)*100,"")),"NA")</f>
        <v/>
      </c>
      <c r="Z66" s="312" t="str">
        <f>IF(F66&lt;&gt;"",IF(Input!AH67&lt;&gt;"",Input!AH67,""),"")</f>
        <v/>
      </c>
      <c r="AA66" s="450" t="str">
        <f>IFERROR(IF($Z$5="","",IF(F66&lt;&gt;"",(Input!AH67/Input!$AH$6)*100,"")),"NA")</f>
        <v/>
      </c>
      <c r="AB66" s="312" t="str">
        <f>IF(F66&lt;&gt;"",IF(Input!AI67&lt;&gt;"",Input!AI67,""),"")</f>
        <v/>
      </c>
      <c r="AC66" s="450" t="str">
        <f>IFERROR(IF($AB$5="","",IF(F66&lt;&gt;"",(Input!AI67/Input!$AI$6)*100,"")),"NA")</f>
        <v/>
      </c>
      <c r="AD66" s="312" t="str">
        <f>IF(F66&lt;&gt;"",IF(Input!AJ67&lt;&gt;"",Input!AJ67,""),"")</f>
        <v/>
      </c>
      <c r="AE66" s="450" t="str">
        <f>IFERROR(IF($AD$5="","",IF(F66&lt;&gt;"",(Input!AJ67/Input!$AJ$6)*100,"")),"NA")</f>
        <v/>
      </c>
      <c r="AF66" s="308" t="str">
        <f>IF(Input!AK67="Error","Error",IF(F66="","",IF($X$5="",0,IF(F66&lt;&gt;"",IFERROR(AVERAGE(Y66,AA66,AC66,AE66)*$AF$4,0),""))))</f>
        <v/>
      </c>
      <c r="AG66" s="174"/>
      <c r="AH66" s="302" t="str">
        <f>IF(F66&lt;&gt;"",IF(Input!AL67&lt;&gt;"",Input!AL67,""),"")</f>
        <v/>
      </c>
      <c r="AI66" s="452" t="str">
        <f>IFERROR(IF($AH$5="","",IF(F66&lt;&gt;"",(Input!AL67/Input!$AL$6)*100,"")),"NA")</f>
        <v/>
      </c>
      <c r="AJ66" s="190" t="str">
        <f>IF(F66&lt;&gt;"",IF(Input!AM67&lt;&gt;"",Input!AM67,""),"")</f>
        <v/>
      </c>
      <c r="AK66" s="452" t="str">
        <f>IFERROR(IF($AJ$5="","",IF(F66&lt;&gt;"",(Input!AM67/Input!$AM$6)*100,"")),"NA")</f>
        <v/>
      </c>
      <c r="AL66" s="190" t="str">
        <f>IF(F66&lt;&gt;"",IF(Input!AN67&lt;&gt;"",Input!AN67,""),"")</f>
        <v/>
      </c>
      <c r="AM66" s="452" t="str">
        <f>IFERROR(IF($AL$5="","",IF(F66&lt;&gt;"",(Input!AN67/Input!$AN$6)*100,"")),"NA")</f>
        <v/>
      </c>
      <c r="AN66" s="191" t="str">
        <f>IF(F66&lt;&gt;"",IF(Input!AO67&lt;&gt;"",Input!AO67,""),"")</f>
        <v/>
      </c>
      <c r="AO66" s="452" t="str">
        <f>IFERROR(IF($AN$5="","",IF(F66&lt;&gt;"",(Input!AO67/Input!$AO$6)*100,"")),"NA")</f>
        <v/>
      </c>
      <c r="AP66" s="444" t="str">
        <f>IF(Input!AP67="Error","Error",IF(F66="","",IF($AH$5="",0,IF(F66&lt;&gt;"",IFERROR(AVERAGE(AI66,AK66,AM66,AO66)*$AP$4,0),""))))</f>
        <v/>
      </c>
      <c r="AQ66" s="174"/>
      <c r="AR66" s="233" t="str">
        <f>IF(Input!AQ67="","",IF(F66&lt;&gt;"",Input!AQ67,""))</f>
        <v/>
      </c>
      <c r="AS66" s="445" t="str">
        <f>IF(F66="","",IF(Input!AR67="Error","Error",IF(ISNUMBER(Input!AR67),(Input!AR67*$AS$4),"")))</f>
        <v/>
      </c>
      <c r="AT66" s="332" t="str">
        <f>IF(V66="D","DRP",
IF(F66&lt;&gt;"",
IF(OR(AF66="Error",AP66="Error",AS66="Error"),"Error",
IF(Input!AQ67="","-",ROUND(AF66+AP66+AS66,2))),""))</f>
        <v/>
      </c>
      <c r="AU66" s="192" t="str">
        <f>IF(F66&lt;&gt;"",VLOOKUP(AT66,TRANSMUTATION!$A$2:$B$14,2),"")</f>
        <v/>
      </c>
      <c r="AV66" s="234" t="str">
        <f t="shared" si="1"/>
        <v/>
      </c>
      <c r="BA66" s="97"/>
    </row>
    <row r="67" spans="1:53" s="99" customFormat="1" ht="21" hidden="1" customHeight="1" x14ac:dyDescent="0.2">
      <c r="A67" s="102"/>
      <c r="C67" s="131"/>
      <c r="D67" s="209"/>
      <c r="E67" s="209"/>
      <c r="F67" s="148"/>
      <c r="G67" s="210">
        <f t="shared" ref="G67:U67" si="2">COUNT(G7:G56)</f>
        <v>0</v>
      </c>
      <c r="H67" s="210">
        <f t="shared" si="2"/>
        <v>0</v>
      </c>
      <c r="I67" s="210">
        <f t="shared" si="2"/>
        <v>0</v>
      </c>
      <c r="J67" s="210">
        <f t="shared" si="2"/>
        <v>0</v>
      </c>
      <c r="K67" s="210">
        <f t="shared" si="2"/>
        <v>0</v>
      </c>
      <c r="L67" s="210">
        <f t="shared" si="2"/>
        <v>0</v>
      </c>
      <c r="M67" s="210">
        <f t="shared" si="2"/>
        <v>0</v>
      </c>
      <c r="N67" s="210">
        <f t="shared" si="2"/>
        <v>0</v>
      </c>
      <c r="O67" s="210">
        <f t="shared" si="2"/>
        <v>0</v>
      </c>
      <c r="P67" s="210">
        <f t="shared" si="2"/>
        <v>0</v>
      </c>
      <c r="Q67" s="210">
        <f t="shared" si="2"/>
        <v>0</v>
      </c>
      <c r="R67" s="210">
        <f t="shared" si="2"/>
        <v>0</v>
      </c>
      <c r="S67" s="210">
        <f t="shared" si="2"/>
        <v>0</v>
      </c>
      <c r="T67" s="210">
        <f t="shared" si="2"/>
        <v>0</v>
      </c>
      <c r="U67" s="210">
        <f t="shared" si="2"/>
        <v>0</v>
      </c>
      <c r="V67" s="211"/>
      <c r="W67" s="212"/>
      <c r="X67" s="208"/>
      <c r="AF67" s="237"/>
      <c r="AH67" s="598" t="e">
        <f>AVERAGE(AI7:AI56)</f>
        <v>#DIV/0!</v>
      </c>
      <c r="AI67" s="597"/>
      <c r="AJ67" s="596"/>
      <c r="AK67" s="597"/>
      <c r="AL67" s="214" t="str">
        <f>IF(F67&lt;&gt;"",IF(Input!AN68&lt;&gt;"",Input!AN68,""),"")</f>
        <v/>
      </c>
      <c r="AM67" s="141" t="str">
        <f>IF($AL$5="","",IF(F67&lt;&gt;"",(Input!AN68/Input!$AN$6)*100,""))</f>
        <v/>
      </c>
      <c r="AN67" s="596"/>
      <c r="AO67" s="597"/>
      <c r="AP67" s="238"/>
      <c r="AQ67" s="131"/>
      <c r="AR67" s="216"/>
      <c r="AS67" s="217"/>
      <c r="AT67" s="218"/>
      <c r="AU67" s="219"/>
      <c r="AV67" s="147"/>
      <c r="BA67" s="102"/>
    </row>
    <row r="68" spans="1:53" ht="15" customHeight="1" x14ac:dyDescent="0.2">
      <c r="A68" s="97"/>
      <c r="BA68" s="97"/>
    </row>
    <row r="69" spans="1:53" ht="9.9499999999999993" customHeight="1" x14ac:dyDescent="0.2">
      <c r="A69" s="97"/>
      <c r="B69" s="97"/>
      <c r="C69" s="102"/>
      <c r="D69" s="103"/>
      <c r="E69" s="103"/>
      <c r="F69" s="97"/>
      <c r="G69" s="161"/>
      <c r="H69" s="161"/>
      <c r="I69" s="161"/>
      <c r="J69" s="162"/>
      <c r="K69" s="162"/>
      <c r="L69" s="162"/>
      <c r="M69" s="162"/>
      <c r="N69" s="162"/>
      <c r="O69" s="162"/>
      <c r="P69" s="162"/>
      <c r="Q69" s="162"/>
      <c r="R69" s="162"/>
      <c r="S69" s="162"/>
      <c r="T69" s="162"/>
      <c r="U69" s="162"/>
      <c r="V69" s="162"/>
      <c r="W69" s="162"/>
      <c r="X69" s="102"/>
      <c r="Y69" s="102"/>
      <c r="Z69" s="102"/>
      <c r="AA69" s="102"/>
      <c r="AB69" s="102"/>
      <c r="AC69" s="102"/>
      <c r="AD69" s="102"/>
      <c r="AE69" s="102"/>
      <c r="AF69" s="102"/>
      <c r="AG69" s="102"/>
      <c r="AH69" s="102"/>
      <c r="AI69" s="102"/>
      <c r="AJ69" s="102"/>
      <c r="AK69" s="102"/>
      <c r="AL69" s="102"/>
      <c r="AM69" s="102"/>
      <c r="AN69" s="102"/>
      <c r="AO69" s="102"/>
      <c r="AP69" s="163"/>
      <c r="AQ69" s="102"/>
      <c r="AR69" s="164"/>
      <c r="AS69" s="165"/>
      <c r="AT69" s="166"/>
      <c r="AU69" s="167"/>
      <c r="AV69" s="221"/>
      <c r="AW69" s="97"/>
      <c r="AX69" s="97"/>
      <c r="AY69" s="97"/>
      <c r="AZ69" s="97"/>
      <c r="BA69" s="97"/>
    </row>
  </sheetData>
  <sheetProtection algorithmName="SHA-512" hashValue="jNtjtK8XbJpNg2wAICkLmeiw+Zuyh4CZZkfyAtB7nexMlBzPRVu0qj67cCn/MHFxwqd+jbCSQTz1RB3I3GMbzQ==" saltValue="TI7Cz9SydUy5ElnIl4e7EQ==" spinCount="100000" sheet="1" objects="1" scenarios="1"/>
  <mergeCells count="62">
    <mergeCell ref="X5:Y5"/>
    <mergeCell ref="AD4:AE4"/>
    <mergeCell ref="AB4:AC4"/>
    <mergeCell ref="Z4:AA4"/>
    <mergeCell ref="X4:Y4"/>
    <mergeCell ref="AX3:AY3"/>
    <mergeCell ref="N5:N6"/>
    <mergeCell ref="P5:P6"/>
    <mergeCell ref="C3:C6"/>
    <mergeCell ref="D4:F5"/>
    <mergeCell ref="M5:M6"/>
    <mergeCell ref="D3:F3"/>
    <mergeCell ref="G5:G6"/>
    <mergeCell ref="H5:H6"/>
    <mergeCell ref="J5:J6"/>
    <mergeCell ref="K5:K6"/>
    <mergeCell ref="I5:I6"/>
    <mergeCell ref="L5:L6"/>
    <mergeCell ref="T5:T6"/>
    <mergeCell ref="U5:U6"/>
    <mergeCell ref="S5:S6"/>
    <mergeCell ref="E1:AQ1"/>
    <mergeCell ref="E2:AQ2"/>
    <mergeCell ref="AH3:AP3"/>
    <mergeCell ref="G3:K3"/>
    <mergeCell ref="L3:P3"/>
    <mergeCell ref="Q3:U3"/>
    <mergeCell ref="X3:AF3"/>
    <mergeCell ref="AV3:AV6"/>
    <mergeCell ref="AN5:AO5"/>
    <mergeCell ref="AN6:AO6"/>
    <mergeCell ref="AN4:AO4"/>
    <mergeCell ref="AH4:AI4"/>
    <mergeCell ref="AJ5:AK5"/>
    <mergeCell ref="AH5:AI5"/>
    <mergeCell ref="AT3:AT6"/>
    <mergeCell ref="AU3:AU6"/>
    <mergeCell ref="AP4:AP5"/>
    <mergeCell ref="AJ4:AK4"/>
    <mergeCell ref="AJ6:AK6"/>
    <mergeCell ref="AH6:AI6"/>
    <mergeCell ref="AN67:AO67"/>
    <mergeCell ref="AR3:AS3"/>
    <mergeCell ref="AR4:AR5"/>
    <mergeCell ref="AS4:AS5"/>
    <mergeCell ref="O5:O6"/>
    <mergeCell ref="V4:V6"/>
    <mergeCell ref="R5:R6"/>
    <mergeCell ref="Q5:Q6"/>
    <mergeCell ref="AF4:AF5"/>
    <mergeCell ref="AD6:AE6"/>
    <mergeCell ref="AB6:AC6"/>
    <mergeCell ref="AD5:AE5"/>
    <mergeCell ref="Z6:AA6"/>
    <mergeCell ref="X6:Y6"/>
    <mergeCell ref="AB5:AC5"/>
    <mergeCell ref="Z5:AA5"/>
    <mergeCell ref="AJ67:AK67"/>
    <mergeCell ref="AH67:AI67"/>
    <mergeCell ref="AL4:AM4"/>
    <mergeCell ref="AL5:AM5"/>
    <mergeCell ref="AL6:AM6"/>
  </mergeCells>
  <phoneticPr fontId="4" type="noConversion"/>
  <conditionalFormatting sqref="V7:V66">
    <cfRule type="containsText" dxfId="53" priority="1" operator="containsText" text="D">
      <formula>NOT(ISERROR(SEARCH("D",V7)))</formula>
    </cfRule>
  </conditionalFormatting>
  <conditionalFormatting sqref="X7:X66 Z7:Z66 AB7:AB66 AD7:AD66">
    <cfRule type="expression" dxfId="52" priority="8">
      <formula>AND(ISTEXT(X7),X7&lt;&gt;"")</formula>
    </cfRule>
  </conditionalFormatting>
  <conditionalFormatting sqref="X7:X66">
    <cfRule type="expression" dxfId="51" priority="6">
      <formula>AND(X7&gt;$X$5,X7&lt;&gt;"")</formula>
    </cfRule>
  </conditionalFormatting>
  <conditionalFormatting sqref="X5:AE5">
    <cfRule type="expression" dxfId="50" priority="9">
      <formula>AND(ISTEXT(X5),X5&lt;&gt;"")</formula>
    </cfRule>
  </conditionalFormatting>
  <conditionalFormatting sqref="Z7:Z66">
    <cfRule type="expression" dxfId="49" priority="5">
      <formula>AND(Z7&gt;$Z$5,Z7&lt;&gt;"")</formula>
    </cfRule>
  </conditionalFormatting>
  <conditionalFormatting sqref="AB7:AB66">
    <cfRule type="expression" dxfId="48" priority="4">
      <formula>AND(AB7&gt;$AB$5,AB7&lt;&gt;"")</formula>
    </cfRule>
  </conditionalFormatting>
  <conditionalFormatting sqref="AD7:AD66">
    <cfRule type="expression" dxfId="47" priority="3">
      <formula>AND(AD7&gt;$AD$5,AD7&lt;&gt;"")</formula>
    </cfRule>
  </conditionalFormatting>
  <conditionalFormatting sqref="AH7:AH66 AJ7:AJ66 AL7:AL66 AN7:AN66 AR7:AR66">
    <cfRule type="expression" dxfId="46" priority="16">
      <formula>AND(ISTEXT(AH7),AH7&lt;&gt;"")</formula>
    </cfRule>
  </conditionalFormatting>
  <conditionalFormatting sqref="AH7:AH66">
    <cfRule type="expression" dxfId="45" priority="24">
      <formula>AND(AH7&gt;$AH$5,AH7&lt;&gt;"")</formula>
    </cfRule>
  </conditionalFormatting>
  <conditionalFormatting sqref="AH5:AO5">
    <cfRule type="expression" dxfId="44" priority="18">
      <formula>AND(ISTEXT(AH5),AH5&lt;&gt;"")</formula>
    </cfRule>
  </conditionalFormatting>
  <conditionalFormatting sqref="AI1:AI6 AO1:AO6 AK4:AK6 AM4:AM6 AK1:AM3 AG1:AG1048576 AK67 AI67:AI1048576 AO67:AO1048576 AK68:AM1048576">
    <cfRule type="cellIs" dxfId="43" priority="172" stopIfTrue="1" operator="lessThan">
      <formula>75</formula>
    </cfRule>
  </conditionalFormatting>
  <conditionalFormatting sqref="AJ7:AJ66">
    <cfRule type="expression" dxfId="42" priority="23">
      <formula>AND(AJ7&gt;$AJ$5,AJ7&lt;&gt;"")</formula>
    </cfRule>
  </conditionalFormatting>
  <conditionalFormatting sqref="AL7:AL66">
    <cfRule type="expression" dxfId="41" priority="22">
      <formula>AND(AL7&gt;$AL$5,AL7&lt;&gt;"")</formula>
    </cfRule>
  </conditionalFormatting>
  <conditionalFormatting sqref="AN7:AN66">
    <cfRule type="expression" dxfId="40" priority="21">
      <formula>AND(AN7&gt;$AN$5,AN7&lt;&gt;"")</formula>
    </cfRule>
  </conditionalFormatting>
  <conditionalFormatting sqref="AR4:AR5">
    <cfRule type="expression" dxfId="39" priority="17">
      <formula>AND(ISTEXT(AR4),AR4&lt;&gt;"")</formula>
    </cfRule>
  </conditionalFormatting>
  <conditionalFormatting sqref="AR7:AR66">
    <cfRule type="expression" dxfId="38" priority="20">
      <formula>AND(AR7&gt;$AR$4,AR7&lt;&gt;"")</formula>
    </cfRule>
  </conditionalFormatting>
  <conditionalFormatting sqref="AU1:AU1048576">
    <cfRule type="cellIs" dxfId="37" priority="128" stopIfTrue="1" operator="lessThanOrEqual">
      <formula>1.75</formula>
    </cfRule>
    <cfRule type="cellIs" dxfId="36" priority="129" stopIfTrue="1" operator="equal">
      <formula>5</formula>
    </cfRule>
  </conditionalFormatting>
  <dataValidations count="4">
    <dataValidation type="list" allowBlank="1" showInputMessage="1" showErrorMessage="1" sqref="G4:U4" xr:uid="{8B05F0EF-8293-49F7-87D4-B73B9A7C91CA}">
      <formula1>"1,2,3,4,5,6,7,8,9,10,11,12,13,14,15,16,17,18,19,20,21,22,23,24,25,26,27,28,29,30,31"</formula1>
    </dataValidation>
    <dataValidation type="list" allowBlank="1" showInputMessage="1" showErrorMessage="1" sqref="G5:U6" xr:uid="{4F866B6C-8953-4C66-8168-678315080103}">
      <formula1>"M,T,W,Th,F,Sat,Sun"</formula1>
    </dataValidation>
    <dataValidation type="list" allowBlank="1" showInputMessage="1" showErrorMessage="1" sqref="G3:U3" xr:uid="{E3F3B0A1-7261-4250-97E2-B30F45523FD3}">
      <formula1>"January,February,March,April,May,June,July,August,September,October,November,December"</formula1>
    </dataValidation>
    <dataValidation type="list" allowBlank="1" showInputMessage="1" showErrorMessage="1" sqref="G7:U66" xr:uid="{1B2C111C-1DEF-47FA-BAEA-D8DBAE37AEAB}">
      <formula1>"P,A,L,E,D"</formula1>
    </dataValidation>
  </dataValidations>
  <pageMargins left="0.09" right="0.08" top="0.17" bottom="0.44" header="0.15" footer="0.17"/>
  <pageSetup scale="52" orientation="landscape" horizontalDpi="300" verticalDpi="300" r:id="rId1"/>
  <headerFooter alignWithMargins="0"/>
  <extLst>
    <ext xmlns:x14="http://schemas.microsoft.com/office/spreadsheetml/2009/9/main" uri="{CCE6A557-97BC-4b89-ADB6-D9C93CAAB3DF}">
      <x14:dataValidations xmlns:xm="http://schemas.microsoft.com/office/excel/2006/main" count="1">
        <x14:dataValidation type="list" showInputMessage="1" showErrorMessage="1" xr:uid="{15EA817C-132A-41C5-9906-F6C8A3F48722}">
          <x14:formula1>
            <xm:f>'Student Helper'!$D$2:$D$3</xm:f>
          </x14:formula1>
          <xm:sqref>V7:V66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A69"/>
  <sheetViews>
    <sheetView showGridLines="0" zoomScaleNormal="100" workbookViewId="0">
      <pane xSplit="6" ySplit="6" topLeftCell="G7" activePane="bottomRight" state="frozen"/>
      <selection pane="topRight"/>
      <selection pane="bottomLeft"/>
      <selection pane="bottomRight"/>
    </sheetView>
  </sheetViews>
  <sheetFormatPr defaultColWidth="9.140625" defaultRowHeight="15.75" x14ac:dyDescent="0.2"/>
  <cols>
    <col min="1" max="1" width="1.7109375" style="98" customWidth="1"/>
    <col min="2" max="2" width="2.7109375" style="98" customWidth="1"/>
    <col min="3" max="3" width="3.7109375" style="99" customWidth="1"/>
    <col min="4" max="4" width="11.7109375" style="100" customWidth="1"/>
    <col min="5" max="5" width="2.7109375" style="100" hidden="1" customWidth="1"/>
    <col min="6" max="6" width="50.7109375" style="98" customWidth="1"/>
    <col min="7" max="9" width="3.28515625" style="168" customWidth="1"/>
    <col min="10" max="21" width="3.28515625" style="155" customWidth="1"/>
    <col min="22" max="22" width="3.7109375" style="155" customWidth="1"/>
    <col min="23" max="23" width="1.7109375" style="155" customWidth="1"/>
    <col min="24" max="31" width="4" style="99" customWidth="1"/>
    <col min="32" max="32" width="7.140625" style="99" customWidth="1"/>
    <col min="33" max="33" width="1.7109375" style="99" customWidth="1"/>
    <col min="34" max="41" width="4" style="99" customWidth="1"/>
    <col min="42" max="42" width="7.140625" style="169" customWidth="1"/>
    <col min="43" max="43" width="1.7109375" style="99" customWidth="1"/>
    <col min="44" max="44" width="4.7109375" style="170" customWidth="1"/>
    <col min="45" max="45" width="5.7109375" style="171" customWidth="1"/>
    <col min="46" max="46" width="7.7109375" style="172" customWidth="1"/>
    <col min="47" max="47" width="6.7109375" style="160" customWidth="1"/>
    <col min="48" max="48" width="6.7109375" style="220" customWidth="1"/>
    <col min="49" max="49" width="1.7109375" style="98" customWidth="1"/>
    <col min="50" max="51" width="8.7109375" style="98" customWidth="1"/>
    <col min="52" max="52" width="2.7109375" style="98" customWidth="1"/>
    <col min="53" max="53" width="1.7109375" style="98" customWidth="1"/>
    <col min="54" max="16384" width="9.140625" style="98"/>
  </cols>
  <sheetData>
    <row r="1" spans="1:53" ht="9.9499999999999993" customHeight="1" x14ac:dyDescent="0.2">
      <c r="A1" s="97"/>
      <c r="B1" s="97"/>
      <c r="C1" s="102"/>
      <c r="D1" s="103"/>
      <c r="E1" s="472"/>
      <c r="F1" s="472"/>
      <c r="G1" s="472"/>
      <c r="H1" s="472"/>
      <c r="I1" s="472"/>
      <c r="J1" s="472"/>
      <c r="K1" s="472"/>
      <c r="L1" s="472"/>
      <c r="M1" s="472"/>
      <c r="N1" s="472"/>
      <c r="O1" s="472"/>
      <c r="P1" s="472"/>
      <c r="Q1" s="472"/>
      <c r="R1" s="472"/>
      <c r="S1" s="472"/>
      <c r="T1" s="472"/>
      <c r="U1" s="472"/>
      <c r="V1" s="472"/>
      <c r="W1" s="472"/>
      <c r="X1" s="472"/>
      <c r="Y1" s="472"/>
      <c r="Z1" s="472"/>
      <c r="AA1" s="472"/>
      <c r="AB1" s="472"/>
      <c r="AC1" s="472"/>
      <c r="AD1" s="472"/>
      <c r="AE1" s="472"/>
      <c r="AF1" s="472"/>
      <c r="AG1" s="472"/>
      <c r="AH1" s="472"/>
      <c r="AI1" s="472"/>
      <c r="AJ1" s="472"/>
      <c r="AK1" s="472"/>
      <c r="AL1" s="472"/>
      <c r="AM1" s="472"/>
      <c r="AN1" s="472"/>
      <c r="AO1" s="472"/>
      <c r="AP1" s="472"/>
      <c r="AQ1" s="472"/>
      <c r="AR1" s="196"/>
      <c r="AS1" s="165"/>
      <c r="AT1" s="165"/>
      <c r="AU1" s="167"/>
      <c r="AV1" s="221"/>
      <c r="AW1" s="97"/>
      <c r="AX1" s="97"/>
      <c r="AY1" s="97"/>
      <c r="AZ1" s="97"/>
      <c r="BA1" s="97"/>
    </row>
    <row r="2" spans="1:53" ht="15" customHeight="1" thickBot="1" x14ac:dyDescent="0.25">
      <c r="A2" s="97"/>
      <c r="E2" s="473"/>
      <c r="F2" s="473"/>
      <c r="G2" s="473"/>
      <c r="H2" s="473"/>
      <c r="I2" s="473"/>
      <c r="J2" s="473"/>
      <c r="K2" s="473"/>
      <c r="L2" s="473"/>
      <c r="M2" s="473"/>
      <c r="N2" s="473"/>
      <c r="O2" s="473"/>
      <c r="P2" s="473"/>
      <c r="Q2" s="473"/>
      <c r="R2" s="473"/>
      <c r="S2" s="473"/>
      <c r="T2" s="473"/>
      <c r="U2" s="473"/>
      <c r="V2" s="473"/>
      <c r="W2" s="473"/>
      <c r="X2" s="473"/>
      <c r="Y2" s="473"/>
      <c r="Z2" s="473"/>
      <c r="AA2" s="473"/>
      <c r="AB2" s="473"/>
      <c r="AC2" s="473"/>
      <c r="AD2" s="473"/>
      <c r="AE2" s="473"/>
      <c r="AF2" s="473"/>
      <c r="AG2" s="473"/>
      <c r="AH2" s="473"/>
      <c r="AI2" s="473"/>
      <c r="AJ2" s="473"/>
      <c r="AK2" s="473"/>
      <c r="AL2" s="473"/>
      <c r="AM2" s="473"/>
      <c r="AN2" s="473"/>
      <c r="AO2" s="473"/>
      <c r="AP2" s="473"/>
      <c r="AQ2" s="473"/>
      <c r="AR2" s="197"/>
      <c r="AT2" s="171"/>
      <c r="BA2" s="97"/>
    </row>
    <row r="3" spans="1:53" ht="30" customHeight="1" thickBot="1" x14ac:dyDescent="0.25">
      <c r="A3" s="97"/>
      <c r="C3" s="557"/>
      <c r="D3" s="559" t="str">
        <f>Settings!E8&amp;" - "&amp;Settings!P5</f>
        <v>MATH IN THE MODERN WORLD - BSHM-1B</v>
      </c>
      <c r="E3" s="559"/>
      <c r="F3" s="559"/>
      <c r="G3" s="565"/>
      <c r="H3" s="565"/>
      <c r="I3" s="565"/>
      <c r="J3" s="565"/>
      <c r="K3" s="565"/>
      <c r="L3" s="565"/>
      <c r="M3" s="565"/>
      <c r="N3" s="565"/>
      <c r="O3" s="565"/>
      <c r="P3" s="565"/>
      <c r="Q3" s="565"/>
      <c r="R3" s="565"/>
      <c r="S3" s="565"/>
      <c r="T3" s="565"/>
      <c r="U3" s="565"/>
      <c r="V3" s="18"/>
      <c r="W3" s="198"/>
      <c r="X3" s="562" t="s">
        <v>109</v>
      </c>
      <c r="Y3" s="563"/>
      <c r="Z3" s="563"/>
      <c r="AA3" s="563"/>
      <c r="AB3" s="563"/>
      <c r="AC3" s="563"/>
      <c r="AD3" s="563"/>
      <c r="AE3" s="563"/>
      <c r="AF3" s="564"/>
      <c r="AG3" s="174"/>
      <c r="AH3" s="562" t="s">
        <v>89</v>
      </c>
      <c r="AI3" s="576"/>
      <c r="AJ3" s="576"/>
      <c r="AK3" s="576"/>
      <c r="AL3" s="576"/>
      <c r="AM3" s="576"/>
      <c r="AN3" s="576"/>
      <c r="AO3" s="576"/>
      <c r="AP3" s="564"/>
      <c r="AQ3" s="174"/>
      <c r="AR3" s="577" t="s">
        <v>102</v>
      </c>
      <c r="AS3" s="578"/>
      <c r="AT3" s="574" t="s">
        <v>110</v>
      </c>
      <c r="AU3" s="587" t="s">
        <v>111</v>
      </c>
      <c r="AV3" s="609" t="s">
        <v>112</v>
      </c>
      <c r="AW3" s="182"/>
      <c r="AX3" s="605" t="s">
        <v>113</v>
      </c>
      <c r="AY3" s="606"/>
      <c r="BA3" s="97"/>
    </row>
    <row r="4" spans="1:53" ht="15" customHeight="1" x14ac:dyDescent="0.2">
      <c r="A4" s="97"/>
      <c r="C4" s="558"/>
      <c r="D4" s="561" t="str">
        <f>IF(Settings!P4="","",Settings!P4)</f>
        <v>GEDC1005</v>
      </c>
      <c r="E4" s="561"/>
      <c r="F4" s="561"/>
      <c r="G4" s="22"/>
      <c r="H4" s="22"/>
      <c r="I4" s="22"/>
      <c r="J4" s="22"/>
      <c r="K4" s="22"/>
      <c r="L4" s="22"/>
      <c r="M4" s="22"/>
      <c r="N4" s="22"/>
      <c r="O4" s="22"/>
      <c r="P4" s="22"/>
      <c r="Q4" s="22"/>
      <c r="R4" s="22"/>
      <c r="S4" s="22"/>
      <c r="T4" s="22"/>
      <c r="U4" s="22"/>
      <c r="V4" s="566" t="s">
        <v>114</v>
      </c>
      <c r="W4" s="174"/>
      <c r="X4" s="617" t="s">
        <v>82</v>
      </c>
      <c r="Y4" s="616"/>
      <c r="Z4" s="615" t="s">
        <v>84</v>
      </c>
      <c r="AA4" s="616"/>
      <c r="AB4" s="615" t="s">
        <v>86</v>
      </c>
      <c r="AC4" s="616"/>
      <c r="AD4" s="615" t="s">
        <v>88</v>
      </c>
      <c r="AE4" s="616"/>
      <c r="AF4" s="594">
        <f>Input!AX4</f>
        <v>0.3</v>
      </c>
      <c r="AG4" s="174"/>
      <c r="AH4" s="579" t="s">
        <v>91</v>
      </c>
      <c r="AI4" s="573"/>
      <c r="AJ4" s="573" t="s">
        <v>93</v>
      </c>
      <c r="AK4" s="573"/>
      <c r="AL4" s="573" t="s">
        <v>95</v>
      </c>
      <c r="AM4" s="573"/>
      <c r="AN4" s="573" t="s">
        <v>97</v>
      </c>
      <c r="AO4" s="573"/>
      <c r="AP4" s="581">
        <f>Input!BC4</f>
        <v>0.2</v>
      </c>
      <c r="AQ4" s="174"/>
      <c r="AR4" s="604">
        <f>Settings!U39</f>
        <v>0</v>
      </c>
      <c r="AS4" s="589">
        <f>Input!BE4</f>
        <v>0.5</v>
      </c>
      <c r="AT4" s="575"/>
      <c r="AU4" s="588"/>
      <c r="AV4" s="610"/>
      <c r="AW4" s="182"/>
      <c r="AX4" s="240" t="s">
        <v>110</v>
      </c>
      <c r="AY4" s="241" t="s">
        <v>115</v>
      </c>
      <c r="BA4" s="97"/>
    </row>
    <row r="5" spans="1:53" ht="15" customHeight="1" x14ac:dyDescent="0.2">
      <c r="A5" s="97"/>
      <c r="C5" s="558"/>
      <c r="D5" s="561"/>
      <c r="E5" s="561"/>
      <c r="F5" s="561"/>
      <c r="G5" s="560"/>
      <c r="H5" s="560"/>
      <c r="I5" s="560"/>
      <c r="J5" s="560"/>
      <c r="K5" s="560"/>
      <c r="L5" s="560"/>
      <c r="M5" s="560"/>
      <c r="N5" s="560"/>
      <c r="O5" s="560"/>
      <c r="P5" s="560"/>
      <c r="Q5" s="560"/>
      <c r="R5" s="560"/>
      <c r="S5" s="560"/>
      <c r="T5" s="560"/>
      <c r="U5" s="560"/>
      <c r="V5" s="566"/>
      <c r="W5" s="174"/>
      <c r="X5" s="614" t="str">
        <f>IF(Input!AT6&lt;&gt;"",Input!AT6,"")</f>
        <v/>
      </c>
      <c r="Y5" s="572"/>
      <c r="Z5" s="613" t="str">
        <f>IF(Input!AU6&lt;&gt;"",Input!AU6,"")</f>
        <v/>
      </c>
      <c r="AA5" s="572"/>
      <c r="AB5" s="613" t="str">
        <f>IF(Input!AV6&lt;&gt;"",Input!AV6,"")</f>
        <v/>
      </c>
      <c r="AC5" s="572"/>
      <c r="AD5" s="613" t="str">
        <f>IF(Input!AW6&lt;&gt;"",Input!AW6,"")</f>
        <v/>
      </c>
      <c r="AE5" s="572"/>
      <c r="AF5" s="595"/>
      <c r="AG5" s="174"/>
      <c r="AH5" s="572" t="str">
        <f>IF(Input!AY6&lt;&gt;"",Input!AY6,"")</f>
        <v/>
      </c>
      <c r="AI5" s="571"/>
      <c r="AJ5" s="571" t="str">
        <f>IF(Input!AZ6&lt;&gt;"",Input!AZ6,"")</f>
        <v/>
      </c>
      <c r="AK5" s="571"/>
      <c r="AL5" s="571" t="str">
        <f>IF(Input!BA6&lt;&gt;"",Input!BA6,"")</f>
        <v/>
      </c>
      <c r="AM5" s="571"/>
      <c r="AN5" s="571" t="str">
        <f>IF(Input!BB6&lt;&gt;"",Input!BB6,"")</f>
        <v/>
      </c>
      <c r="AO5" s="571"/>
      <c r="AP5" s="581"/>
      <c r="AQ5" s="174"/>
      <c r="AR5" s="604"/>
      <c r="AS5" s="589"/>
      <c r="AT5" s="575"/>
      <c r="AU5" s="588"/>
      <c r="AV5" s="610"/>
      <c r="AW5" s="182"/>
      <c r="AX5" s="183">
        <v>1</v>
      </c>
      <c r="AY5" s="184">
        <f>COUNTIF($AU$7:$AU$66,AX5)</f>
        <v>0</v>
      </c>
      <c r="BA5" s="97"/>
    </row>
    <row r="6" spans="1:53" s="99" customFormat="1" ht="15" customHeight="1" x14ac:dyDescent="0.2">
      <c r="A6" s="102"/>
      <c r="C6" s="558"/>
      <c r="D6" s="201" t="s">
        <v>106</v>
      </c>
      <c r="E6" s="202"/>
      <c r="F6" s="203" t="s">
        <v>107</v>
      </c>
      <c r="G6" s="560"/>
      <c r="H6" s="560"/>
      <c r="I6" s="560"/>
      <c r="J6" s="560"/>
      <c r="K6" s="560"/>
      <c r="L6" s="560"/>
      <c r="M6" s="560"/>
      <c r="N6" s="560"/>
      <c r="O6" s="560"/>
      <c r="P6" s="560"/>
      <c r="Q6" s="560"/>
      <c r="R6" s="560"/>
      <c r="S6" s="560"/>
      <c r="T6" s="560"/>
      <c r="U6" s="560"/>
      <c r="V6" s="566"/>
      <c r="W6" s="174"/>
      <c r="X6" s="612" t="str">
        <f>IF(Input!AT7&lt;&gt;"",Input!AT7,"")</f>
        <v/>
      </c>
      <c r="Y6" s="580"/>
      <c r="Z6" s="611" t="str">
        <f>IF(Input!AU7&lt;&gt;"",Input!AU7,"")</f>
        <v/>
      </c>
      <c r="AA6" s="580"/>
      <c r="AB6" s="611" t="str">
        <f>IF(Input!AV7&lt;&gt;"",Input!AV7,"")</f>
        <v/>
      </c>
      <c r="AC6" s="580"/>
      <c r="AD6" s="611" t="str">
        <f>IF(Input!AW7&lt;&gt;"",Input!AW7,"")</f>
        <v/>
      </c>
      <c r="AE6" s="580"/>
      <c r="AF6" s="313" t="s">
        <v>50</v>
      </c>
      <c r="AG6" s="174"/>
      <c r="AH6" s="580" t="str">
        <f>IF(Input!AY7&lt;&gt;"",Input!AY7,"")</f>
        <v/>
      </c>
      <c r="AI6" s="569"/>
      <c r="AJ6" s="569" t="str">
        <f>IF(Input!AZ7&lt;&gt;"",Input!AZ7,"")</f>
        <v/>
      </c>
      <c r="AK6" s="569"/>
      <c r="AL6" s="569" t="str">
        <f>IF(Input!BA7&lt;&gt;"",Input!BA7,"")</f>
        <v/>
      </c>
      <c r="AM6" s="569"/>
      <c r="AN6" s="569" t="str">
        <f>IF(Input!BB7&lt;&gt;"",Input!BB7,"")</f>
        <v/>
      </c>
      <c r="AO6" s="569"/>
      <c r="AP6" s="204" t="s">
        <v>50</v>
      </c>
      <c r="AQ6" s="174"/>
      <c r="AR6" s="205" t="str">
        <f>IF(Settings!T39&lt;&gt;"",Settings!T39,"")</f>
        <v/>
      </c>
      <c r="AS6" s="206" t="s">
        <v>50</v>
      </c>
      <c r="AT6" s="575"/>
      <c r="AU6" s="588"/>
      <c r="AV6" s="610"/>
      <c r="AW6" s="207"/>
      <c r="AX6" s="183">
        <v>1.25</v>
      </c>
      <c r="AY6" s="184">
        <f t="shared" ref="AY6:AY16" si="0">COUNTIF($AU$7:$AU$66,AX6)</f>
        <v>0</v>
      </c>
      <c r="BA6" s="102"/>
    </row>
    <row r="7" spans="1:53" ht="15" customHeight="1" x14ac:dyDescent="0.2">
      <c r="A7" s="97"/>
      <c r="C7" s="194">
        <v>1</v>
      </c>
      <c r="D7" s="203" t="str">
        <f>IF(Input!D8&lt;&gt;"",IF(F7&lt;&gt;"",Input!D8,""),"")</f>
        <v>02000503790</v>
      </c>
      <c r="E7" s="297"/>
      <c r="F7" s="298" t="str">
        <f>(IF(Input!F8&lt;&gt;"",Input!F8,""))</f>
        <v>BARICAS, CASSANDRA ALAB</v>
      </c>
      <c r="G7" s="333"/>
      <c r="H7" s="333"/>
      <c r="I7" s="333"/>
      <c r="J7" s="333"/>
      <c r="K7" s="333"/>
      <c r="L7" s="333"/>
      <c r="M7" s="333"/>
      <c r="N7" s="333"/>
      <c r="O7" s="333"/>
      <c r="P7" s="333"/>
      <c r="Q7" s="333"/>
      <c r="R7" s="333"/>
      <c r="S7" s="333"/>
      <c r="T7" s="333"/>
      <c r="U7" s="333"/>
      <c r="V7" s="336"/>
      <c r="W7" s="173"/>
      <c r="X7" s="309" t="str">
        <f>IF(F7&lt;&gt;"",IF(Input!AT8&lt;&gt;"",Input!AT8,""),"")</f>
        <v/>
      </c>
      <c r="Y7" s="449" t="str">
        <f>IFERROR(IF($X$5="","",IF(F7&lt;&gt;"",(Input!AT8/Input!$AT$6)*100,"")),"NA")</f>
        <v/>
      </c>
      <c r="Z7" s="310" t="str">
        <f>IF(F7&lt;&gt;"",IF(Input!AU8&lt;&gt;"",Input!AU8,""),"")</f>
        <v/>
      </c>
      <c r="AA7" s="449" t="str">
        <f>IFERROR(IF($Z$5="","",IF(F7&lt;&gt;"",(Input!AU8/Input!$AU$6)*100,"")),"NA")</f>
        <v/>
      </c>
      <c r="AB7" s="310" t="str">
        <f>IF(F7&lt;&gt;"",IF(Input!AV8&lt;&gt;"",Input!AV8,""),"")</f>
        <v/>
      </c>
      <c r="AC7" s="449" t="str">
        <f>IFERROR(IF($AB$5="","",IF(F7&lt;&gt;"",(Input!AV8/Input!$AV$6)*100,"")),"NA")</f>
        <v/>
      </c>
      <c r="AD7" s="310" t="str">
        <f>IF(F7&lt;&gt;"",IF(Input!AW8&lt;&gt;"",Input!AW8,""),"")</f>
        <v/>
      </c>
      <c r="AE7" s="449" t="str">
        <f>IFERROR(IF($AD$5="","",IF(F7&lt;&gt;"",(Input!AW8/Input!$AW$6)*100,"")),"NA")</f>
        <v/>
      </c>
      <c r="AF7" s="108">
        <f>IF(Input!AX8="Error","Error",IF(F7="","",IF($X$5="",0,IF(F7&lt;&gt;"",IFERROR(AVERAGE(Y7,AA7,AC7,AE7)*$AF$4,0),""))))</f>
        <v>0</v>
      </c>
      <c r="AG7" s="174"/>
      <c r="AH7" s="175" t="str">
        <f>IF(F7&lt;&gt;"",IF(Input!AY8&lt;&gt;"",Input!AY8,""),"")</f>
        <v/>
      </c>
      <c r="AI7" s="451" t="str">
        <f>IFERROR(IF($AH$5="","",IF(F7&lt;&gt;"",(Input!AY8/Input!$AY$6)*100,"")),"NA")</f>
        <v/>
      </c>
      <c r="AJ7" s="176" t="str">
        <f>IF(F7&lt;&gt;"",IF(Input!AZ8&lt;&gt;"",Input!AZ8,""),"")</f>
        <v/>
      </c>
      <c r="AK7" s="451" t="str">
        <f>IFERROR(IF($AJ$5="","",IF(F7&lt;&gt;"",(Input!AZ8/Input!$AZ$6)*100,"")),"NA")</f>
        <v/>
      </c>
      <c r="AL7" s="176" t="str">
        <f>IF(F7&lt;&gt;"",IF(Input!BA8&lt;&gt;"",Input!BA8,""),"")</f>
        <v/>
      </c>
      <c r="AM7" s="451" t="str">
        <f>IFERROR(IF($AL$5="","",IF(F7&lt;&gt;"",(Input!BA8/Input!$BA$6)*100,"")),"NA")</f>
        <v/>
      </c>
      <c r="AN7" s="177" t="str">
        <f>IF(F7&lt;&gt;"",IF(Input!BB8&lt;&gt;"",Input!BB8,""),"")</f>
        <v/>
      </c>
      <c r="AO7" s="451" t="str">
        <f>IFERROR(IF($AN$5="","",IF(F7&lt;&gt;"",(Input!BB8/Input!$BB$6)*100,"")),"NA")</f>
        <v/>
      </c>
      <c r="AP7" s="303">
        <f>IF(Input!BC8="Error","Error",IF(F7="","",IF($AH$5="",0,IF(F7&lt;&gt;"",IFERROR(AVERAGE(AI7,AK7,AM7,AO7)*$AP$4,0),""))))</f>
        <v>0</v>
      </c>
      <c r="AQ7" s="174"/>
      <c r="AR7" s="178" t="str">
        <f>IF(Input!BD8="","",IF(F7&lt;&gt;"",Input!BD8,""))</f>
        <v/>
      </c>
      <c r="AS7" s="179" t="str">
        <f>IF(F7="", "",IF(Input!BE8="Error","Error",IF(ISNUMBER(Input!BE8),(Input!BE8*$AS$4),"")))</f>
        <v/>
      </c>
      <c r="AT7" s="331" t="str">
        <f>IF(V7="D","DRP",
IF(F7&lt;&gt;"",
IF(OR(AF7="Error",AP7="Error",AS7="Error"),"Error",
IF(Input!BD8="","-",ROUND(AF7+AP7+AS7,2))),""))</f>
        <v>-</v>
      </c>
      <c r="AU7" s="180" t="str">
        <f>IF(F7&lt;&gt;"",VLOOKUP(AT7,TRANSMUTATION!$A$2:$B$14,2),"")</f>
        <v>INC</v>
      </c>
      <c r="AV7" s="249" t="str">
        <f>IF(AU7="Inc","",IF(F7&lt;&gt;"",IF(OR(AU7="Drp",AU7="-"),"",RANK(AT7,$AT$7:$AT$66)),""))</f>
        <v/>
      </c>
      <c r="AW7" s="182"/>
      <c r="AX7" s="183">
        <v>1.5</v>
      </c>
      <c r="AY7" s="184">
        <f t="shared" si="0"/>
        <v>0</v>
      </c>
      <c r="BA7" s="97"/>
    </row>
    <row r="8" spans="1:53" ht="15" customHeight="1" x14ac:dyDescent="0.2">
      <c r="A8" s="97"/>
      <c r="C8" s="194">
        <v>2</v>
      </c>
      <c r="D8" s="203" t="str">
        <f>IF(Input!D9&lt;&gt;"",IF(F8&lt;&gt;"",Input!D9,""),"")</f>
        <v>02000512377</v>
      </c>
      <c r="E8" s="297"/>
      <c r="F8" s="298" t="str">
        <f>(IF(Input!F9&lt;&gt;"",Input!F9,""))</f>
        <v>BETITA, RUSSEL ANGELO ROJO</v>
      </c>
      <c r="G8" s="333"/>
      <c r="H8" s="333"/>
      <c r="I8" s="333"/>
      <c r="J8" s="333"/>
      <c r="K8" s="333"/>
      <c r="L8" s="333"/>
      <c r="M8" s="333"/>
      <c r="N8" s="333"/>
      <c r="O8" s="333"/>
      <c r="P8" s="333"/>
      <c r="Q8" s="333"/>
      <c r="R8" s="333"/>
      <c r="S8" s="333"/>
      <c r="T8" s="333"/>
      <c r="U8" s="333"/>
      <c r="V8" s="336"/>
      <c r="W8" s="173"/>
      <c r="X8" s="309" t="str">
        <f>IF(F8&lt;&gt;"",IF(Input!AT9&lt;&gt;"",Input!AT9,""),"")</f>
        <v/>
      </c>
      <c r="Y8" s="449" t="str">
        <f>IFERROR(IF($X$5="","",IF(F8&lt;&gt;"",(Input!AT9/Input!$AT$6)*100,"")),"NA")</f>
        <v/>
      </c>
      <c r="Z8" s="310" t="str">
        <f>IF(F8&lt;&gt;"",IF(Input!AU9&lt;&gt;"",Input!AU9,""),"")</f>
        <v/>
      </c>
      <c r="AA8" s="449" t="str">
        <f>IFERROR(IF($Z$5="","",IF(F8&lt;&gt;"",(Input!AU9/Input!$AU$6)*100,"")),"NA")</f>
        <v/>
      </c>
      <c r="AB8" s="310" t="str">
        <f>IF(F8&lt;&gt;"",IF(Input!AV9&lt;&gt;"",Input!AV9,""),"")</f>
        <v/>
      </c>
      <c r="AC8" s="449" t="str">
        <f>IFERROR(IF($AB$5="","",IF(F8&lt;&gt;"",(Input!AV9/Input!$AV$6)*100,"")),"NA")</f>
        <v/>
      </c>
      <c r="AD8" s="310" t="str">
        <f>IF(F8&lt;&gt;"",IF(Input!AW9&lt;&gt;"",Input!AW9,""),"")</f>
        <v/>
      </c>
      <c r="AE8" s="449" t="str">
        <f>IFERROR(IF($AD$5="","",IF(F8&lt;&gt;"",(Input!AW9/Input!$AW$6)*100,"")),"NA")</f>
        <v/>
      </c>
      <c r="AF8" s="108">
        <f>IF(Input!AX9="Error","Error",IF(F8="","",IF($X$5="",0,IF(F8&lt;&gt;"",IFERROR(AVERAGE(Y8,AA8,AC8,AE8)*$AF$4,0),""))))</f>
        <v>0</v>
      </c>
      <c r="AG8" s="174"/>
      <c r="AH8" s="175" t="str">
        <f>IF(F8&lt;&gt;"",IF(Input!AY9&lt;&gt;"",Input!AY9,""),"")</f>
        <v/>
      </c>
      <c r="AI8" s="451" t="str">
        <f>IFERROR(IF($AH$5="","",IF(F8&lt;&gt;"",(Input!AY9/Input!$AY$6)*100,"")),"NA")</f>
        <v/>
      </c>
      <c r="AJ8" s="176" t="str">
        <f>IF(F8&lt;&gt;"",IF(Input!AZ9&lt;&gt;"",Input!AZ9,""),"")</f>
        <v/>
      </c>
      <c r="AK8" s="451" t="str">
        <f>IFERROR(IF($AJ$5="","",IF(F8&lt;&gt;"",(Input!AZ9/Input!$AZ$6)*100,"")),"NA")</f>
        <v/>
      </c>
      <c r="AL8" s="176" t="str">
        <f>IF(F8&lt;&gt;"",IF(Input!BA9&lt;&gt;"",Input!BA9,""),"")</f>
        <v/>
      </c>
      <c r="AM8" s="451" t="str">
        <f>IFERROR(IF($AL$5="","",IF(F8&lt;&gt;"",(Input!BA9/Input!$BA$6)*100,"")),"NA")</f>
        <v/>
      </c>
      <c r="AN8" s="177" t="str">
        <f>IF(F8&lt;&gt;"",IF(Input!BB9&lt;&gt;"",Input!BB9,""),"")</f>
        <v/>
      </c>
      <c r="AO8" s="451" t="str">
        <f>IFERROR(IF($AN$5="","",IF(F8&lt;&gt;"",(Input!BB9/Input!$BB$6)*100,"")),"NA")</f>
        <v/>
      </c>
      <c r="AP8" s="303">
        <f>IF(Input!BC9="Error","Error",IF(F8="","",IF($AH$5="",0,IF(F8&lt;&gt;"",IFERROR(AVERAGE(AI8,AK8,AM8,AO8)*$AP$4,0),""))))</f>
        <v>0</v>
      </c>
      <c r="AQ8" s="174"/>
      <c r="AR8" s="178" t="str">
        <f>IF(Input!BD9="","",IF(F8&lt;&gt;"",Input!BD9,""))</f>
        <v/>
      </c>
      <c r="AS8" s="179" t="str">
        <f>IF(F8="", "",IF(Input!BE9="Error","Error",IF(ISNUMBER(Input!BE9),(Input!BE9*$AS$4),"")))</f>
        <v/>
      </c>
      <c r="AT8" s="331" t="str">
        <f>IF(V8="D","DRP",
IF(F8&lt;&gt;"",
IF(OR(AF8="Error",AP8="Error",AS8="Error"),"Error",
IF(Input!BD9="","-",ROUND(AF8+AP8+AS8,2))),""))</f>
        <v>-</v>
      </c>
      <c r="AU8" s="180" t="str">
        <f>IF(F8&lt;&gt;"",VLOOKUP(AT8,TRANSMUTATION!$A$2:$B$14,2),"")</f>
        <v>INC</v>
      </c>
      <c r="AV8" s="249" t="str">
        <f t="shared" ref="AV8:AV66" si="1">IF(AU8="Inc","",IF(F8&lt;&gt;"",IF(OR(AU8="Drp",AU8="-"),"",RANK(AT8,$AT$7:$AT$66)),""))</f>
        <v/>
      </c>
      <c r="AW8" s="182"/>
      <c r="AX8" s="183">
        <v>1.75</v>
      </c>
      <c r="AY8" s="184">
        <f t="shared" si="0"/>
        <v>0</v>
      </c>
      <c r="BA8" s="97"/>
    </row>
    <row r="9" spans="1:53" ht="15" customHeight="1" x14ac:dyDescent="0.2">
      <c r="A9" s="97"/>
      <c r="C9" s="194">
        <v>3</v>
      </c>
      <c r="D9" s="203" t="str">
        <f>IF(Input!D10&lt;&gt;"",IF(F9&lt;&gt;"",Input!D10,""),"")</f>
        <v>02000509818</v>
      </c>
      <c r="E9" s="297"/>
      <c r="F9" s="298" t="str">
        <f>(IF(Input!F10&lt;&gt;"",Input!F10,""))</f>
        <v>DELA CRUZ, ANGEL CANDELARIA</v>
      </c>
      <c r="G9" s="333"/>
      <c r="H9" s="333"/>
      <c r="I9" s="333"/>
      <c r="J9" s="333"/>
      <c r="K9" s="333"/>
      <c r="L9" s="333"/>
      <c r="M9" s="333"/>
      <c r="N9" s="333"/>
      <c r="O9" s="333"/>
      <c r="P9" s="333"/>
      <c r="Q9" s="333"/>
      <c r="R9" s="333"/>
      <c r="S9" s="333"/>
      <c r="T9" s="333"/>
      <c r="U9" s="333"/>
      <c r="V9" s="336"/>
      <c r="W9" s="173"/>
      <c r="X9" s="309" t="str">
        <f>IF(F9&lt;&gt;"",IF(Input!AT10&lt;&gt;"",Input!AT10,""),"")</f>
        <v/>
      </c>
      <c r="Y9" s="449" t="str">
        <f>IFERROR(IF($X$5="","",IF(F9&lt;&gt;"",(Input!AT10/Input!$AT$6)*100,"")),"NA")</f>
        <v/>
      </c>
      <c r="Z9" s="310" t="str">
        <f>IF(F9&lt;&gt;"",IF(Input!AU10&lt;&gt;"",Input!AU10,""),"")</f>
        <v/>
      </c>
      <c r="AA9" s="449" t="str">
        <f>IFERROR(IF($Z$5="","",IF(F9&lt;&gt;"",(Input!AU10/Input!$AU$6)*100,"")),"NA")</f>
        <v/>
      </c>
      <c r="AB9" s="310" t="str">
        <f>IF(F9&lt;&gt;"",IF(Input!AV10&lt;&gt;"",Input!AV10,""),"")</f>
        <v/>
      </c>
      <c r="AC9" s="449" t="str">
        <f>IFERROR(IF($AB$5="","",IF(F9&lt;&gt;"",(Input!AV10/Input!$AV$6)*100,"")),"NA")</f>
        <v/>
      </c>
      <c r="AD9" s="310" t="str">
        <f>IF(F9&lt;&gt;"",IF(Input!AW10&lt;&gt;"",Input!AW10,""),"")</f>
        <v/>
      </c>
      <c r="AE9" s="449" t="str">
        <f>IFERROR(IF($AD$5="","",IF(F9&lt;&gt;"",(Input!AW10/Input!$AW$6)*100,"")),"NA")</f>
        <v/>
      </c>
      <c r="AF9" s="108">
        <f>IF(Input!AX10="Error","Error",IF(F9="","",IF($X$5="",0,IF(F9&lt;&gt;"",IFERROR(AVERAGE(Y9,AA9,AC9,AE9)*$AF$4,0),""))))</f>
        <v>0</v>
      </c>
      <c r="AG9" s="174"/>
      <c r="AH9" s="175" t="str">
        <f>IF(F9&lt;&gt;"",IF(Input!AY10&lt;&gt;"",Input!AY10,""),"")</f>
        <v/>
      </c>
      <c r="AI9" s="451" t="str">
        <f>IFERROR(IF($AH$5="","",IF(F9&lt;&gt;"",(Input!AY10/Input!$AY$6)*100,"")),"NA")</f>
        <v/>
      </c>
      <c r="AJ9" s="176" t="str">
        <f>IF(F9&lt;&gt;"",IF(Input!AZ10&lt;&gt;"",Input!AZ10,""),"")</f>
        <v/>
      </c>
      <c r="AK9" s="451" t="str">
        <f>IFERROR(IF($AJ$5="","",IF(F9&lt;&gt;"",(Input!AZ10/Input!$AZ$6)*100,"")),"NA")</f>
        <v/>
      </c>
      <c r="AL9" s="176" t="str">
        <f>IF(F9&lt;&gt;"",IF(Input!BA10&lt;&gt;"",Input!BA10,""),"")</f>
        <v/>
      </c>
      <c r="AM9" s="451" t="str">
        <f>IFERROR(IF($AL$5="","",IF(F9&lt;&gt;"",(Input!BA10/Input!$BA$6)*100,"")),"NA")</f>
        <v/>
      </c>
      <c r="AN9" s="177" t="str">
        <f>IF(F9&lt;&gt;"",IF(Input!BB10&lt;&gt;"",Input!BB10,""),"")</f>
        <v/>
      </c>
      <c r="AO9" s="451" t="str">
        <f>IFERROR(IF($AN$5="","",IF(F9&lt;&gt;"",(Input!BB10/Input!$BB$6)*100,"")),"NA")</f>
        <v/>
      </c>
      <c r="AP9" s="303">
        <f>IF(Input!BC10="Error","Error",IF(F9="","",IF($AH$5="",0,IF(F9&lt;&gt;"",IFERROR(AVERAGE(AI9,AK9,AM9,AO9)*$AP$4,0),""))))</f>
        <v>0</v>
      </c>
      <c r="AQ9" s="174"/>
      <c r="AR9" s="178" t="str">
        <f>IF(Input!BD10="","",IF(F9&lt;&gt;"",Input!BD10,""))</f>
        <v/>
      </c>
      <c r="AS9" s="179" t="str">
        <f>IF(F9="", "",IF(Input!BE10="Error","Error",IF(ISNUMBER(Input!BE10),(Input!BE10*$AS$4),"")))</f>
        <v/>
      </c>
      <c r="AT9" s="331" t="str">
        <f>IF(V9="D","DRP",
IF(F9&lt;&gt;"",
IF(OR(AF9="Error",AP9="Error",AS9="Error"),"Error",
IF(Input!BD10="","-",ROUND(AF9+AP9+AS9,2))),""))</f>
        <v>-</v>
      </c>
      <c r="AU9" s="180" t="str">
        <f>IF(F9&lt;&gt;"",VLOOKUP(AT9,TRANSMUTATION!$A$2:$B$14,2),"")</f>
        <v>INC</v>
      </c>
      <c r="AV9" s="249" t="str">
        <f t="shared" si="1"/>
        <v/>
      </c>
      <c r="AW9" s="182"/>
      <c r="AX9" s="183">
        <v>2</v>
      </c>
      <c r="AY9" s="184">
        <f t="shared" si="0"/>
        <v>0</v>
      </c>
      <c r="BA9" s="97"/>
    </row>
    <row r="10" spans="1:53" ht="15" customHeight="1" x14ac:dyDescent="0.2">
      <c r="A10" s="97"/>
      <c r="C10" s="194">
        <v>4</v>
      </c>
      <c r="D10" s="203" t="str">
        <f>IF(Input!D11&lt;&gt;"",IF(F10&lt;&gt;"",Input!D11,""),"")</f>
        <v>02000367567</v>
      </c>
      <c r="E10" s="297"/>
      <c r="F10" s="298" t="str">
        <f>(IF(Input!F11&lt;&gt;"",Input!F11,""))</f>
        <v>DELMIGUEZ, DANIELLA CORTEZ</v>
      </c>
      <c r="G10" s="333"/>
      <c r="H10" s="333"/>
      <c r="I10" s="333"/>
      <c r="J10" s="333"/>
      <c r="K10" s="333"/>
      <c r="L10" s="333"/>
      <c r="M10" s="333"/>
      <c r="N10" s="333"/>
      <c r="O10" s="333"/>
      <c r="P10" s="333"/>
      <c r="Q10" s="333"/>
      <c r="R10" s="333"/>
      <c r="S10" s="333"/>
      <c r="T10" s="333"/>
      <c r="U10" s="333"/>
      <c r="V10" s="336"/>
      <c r="W10" s="173"/>
      <c r="X10" s="309" t="str">
        <f>IF(F10&lt;&gt;"",IF(Input!AT11&lt;&gt;"",Input!AT11,""),"")</f>
        <v/>
      </c>
      <c r="Y10" s="449" t="str">
        <f>IFERROR(IF($X$5="","",IF(F10&lt;&gt;"",(Input!AT11/Input!$AT$6)*100,"")),"NA")</f>
        <v/>
      </c>
      <c r="Z10" s="310" t="str">
        <f>IF(F10&lt;&gt;"",IF(Input!AU11&lt;&gt;"",Input!AU11,""),"")</f>
        <v/>
      </c>
      <c r="AA10" s="449" t="str">
        <f>IFERROR(IF($Z$5="","",IF(F10&lt;&gt;"",(Input!AU11/Input!$AU$6)*100,"")),"NA")</f>
        <v/>
      </c>
      <c r="AB10" s="310" t="str">
        <f>IF(F10&lt;&gt;"",IF(Input!AV11&lt;&gt;"",Input!AV11,""),"")</f>
        <v/>
      </c>
      <c r="AC10" s="449" t="str">
        <f>IFERROR(IF($AB$5="","",IF(F10&lt;&gt;"",(Input!AV11/Input!$AV$6)*100,"")),"NA")</f>
        <v/>
      </c>
      <c r="AD10" s="310" t="str">
        <f>IF(F10&lt;&gt;"",IF(Input!AW11&lt;&gt;"",Input!AW11,""),"")</f>
        <v/>
      </c>
      <c r="AE10" s="449" t="str">
        <f>IFERROR(IF($AD$5="","",IF(F10&lt;&gt;"",(Input!AW11/Input!$AW$6)*100,"")),"NA")</f>
        <v/>
      </c>
      <c r="AF10" s="108">
        <f>IF(Input!AX11="Error","Error",IF(F10="","",IF($X$5="",0,IF(F10&lt;&gt;"",IFERROR(AVERAGE(Y10,AA10,AC10,AE10)*$AF$4,0),""))))</f>
        <v>0</v>
      </c>
      <c r="AG10" s="174"/>
      <c r="AH10" s="175" t="str">
        <f>IF(F10&lt;&gt;"",IF(Input!AY11&lt;&gt;"",Input!AY11,""),"")</f>
        <v/>
      </c>
      <c r="AI10" s="451" t="str">
        <f>IFERROR(IF($AH$5="","",IF(F10&lt;&gt;"",(Input!AY11/Input!$AY$6)*100,"")),"NA")</f>
        <v/>
      </c>
      <c r="AJ10" s="176" t="str">
        <f>IF(F10&lt;&gt;"",IF(Input!AZ11&lt;&gt;"",Input!AZ11,""),"")</f>
        <v/>
      </c>
      <c r="AK10" s="451" t="str">
        <f>IFERROR(IF($AJ$5="","",IF(F10&lt;&gt;"",(Input!AZ11/Input!$AZ$6)*100,"")),"NA")</f>
        <v/>
      </c>
      <c r="AL10" s="176" t="str">
        <f>IF(F10&lt;&gt;"",IF(Input!BA11&lt;&gt;"",Input!BA11,""),"")</f>
        <v/>
      </c>
      <c r="AM10" s="451" t="str">
        <f>IFERROR(IF($AL$5="","",IF(F10&lt;&gt;"",(Input!BA11/Input!$BA$6)*100,"")),"NA")</f>
        <v/>
      </c>
      <c r="AN10" s="177" t="str">
        <f>IF(F10&lt;&gt;"",IF(Input!BB11&lt;&gt;"",Input!BB11,""),"")</f>
        <v/>
      </c>
      <c r="AO10" s="451" t="str">
        <f>IFERROR(IF($AN$5="","",IF(F10&lt;&gt;"",(Input!BB11/Input!$BB$6)*100,"")),"NA")</f>
        <v/>
      </c>
      <c r="AP10" s="303">
        <f>IF(Input!BC11="Error","Error",IF(F10="","",IF($AH$5="",0,IF(F10&lt;&gt;"",IFERROR(AVERAGE(AI10,AK10,AM10,AO10)*$AP$4,0),""))))</f>
        <v>0</v>
      </c>
      <c r="AQ10" s="174"/>
      <c r="AR10" s="178" t="str">
        <f>IF(Input!BD11="","",IF(F10&lt;&gt;"",Input!BD11,""))</f>
        <v/>
      </c>
      <c r="AS10" s="179" t="str">
        <f>IF(F10="", "",IF(Input!BE11="Error","Error",IF(ISNUMBER(Input!BE11),(Input!BE11*$AS$4),"")))</f>
        <v/>
      </c>
      <c r="AT10" s="331" t="str">
        <f>IF(V10="D","DRP",
IF(F10&lt;&gt;"",
IF(OR(AF10="Error",AP10="Error",AS10="Error"),"Error",
IF(Input!BD11="","-",ROUND(AF10+AP10+AS10,2))),""))</f>
        <v>-</v>
      </c>
      <c r="AU10" s="180" t="str">
        <f>IF(F10&lt;&gt;"",VLOOKUP(AT10,TRANSMUTATION!$A$2:$B$14,2),"")</f>
        <v>INC</v>
      </c>
      <c r="AV10" s="249" t="str">
        <f t="shared" si="1"/>
        <v/>
      </c>
      <c r="AW10" s="182"/>
      <c r="AX10" s="183">
        <v>2.25</v>
      </c>
      <c r="AY10" s="184">
        <f t="shared" si="0"/>
        <v>0</v>
      </c>
      <c r="BA10" s="97"/>
    </row>
    <row r="11" spans="1:53" ht="15" customHeight="1" x14ac:dyDescent="0.2">
      <c r="A11" s="97"/>
      <c r="C11" s="194">
        <v>5</v>
      </c>
      <c r="D11" s="203" t="str">
        <f>IF(Input!D12&lt;&gt;"",IF(F11&lt;&gt;"",Input!D12,""),"")</f>
        <v>02000490904</v>
      </c>
      <c r="E11" s="297"/>
      <c r="F11" s="298" t="str">
        <f>(IF(Input!F12&lt;&gt;"",Input!F12,""))</f>
        <v>GONZAGA, SANDY</v>
      </c>
      <c r="G11" s="333"/>
      <c r="H11" s="333"/>
      <c r="I11" s="333"/>
      <c r="J11" s="333"/>
      <c r="K11" s="333"/>
      <c r="L11" s="333"/>
      <c r="M11" s="333"/>
      <c r="N11" s="333"/>
      <c r="O11" s="333"/>
      <c r="P11" s="333"/>
      <c r="Q11" s="333"/>
      <c r="R11" s="333"/>
      <c r="S11" s="333"/>
      <c r="T11" s="333"/>
      <c r="U11" s="333"/>
      <c r="V11" s="336"/>
      <c r="W11" s="173"/>
      <c r="X11" s="309" t="str">
        <f>IF(F11&lt;&gt;"",IF(Input!AT12&lt;&gt;"",Input!AT12,""),"")</f>
        <v/>
      </c>
      <c r="Y11" s="449" t="str">
        <f>IFERROR(IF($X$5="","",IF(F11&lt;&gt;"",(Input!AT12/Input!$AT$6)*100,"")),"NA")</f>
        <v/>
      </c>
      <c r="Z11" s="310" t="str">
        <f>IF(F11&lt;&gt;"",IF(Input!AU12&lt;&gt;"",Input!AU12,""),"")</f>
        <v/>
      </c>
      <c r="AA11" s="449" t="str">
        <f>IFERROR(IF($Z$5="","",IF(F11&lt;&gt;"",(Input!AU12/Input!$AU$6)*100,"")),"NA")</f>
        <v/>
      </c>
      <c r="AB11" s="310" t="str">
        <f>IF(F11&lt;&gt;"",IF(Input!AV12&lt;&gt;"",Input!AV12,""),"")</f>
        <v/>
      </c>
      <c r="AC11" s="449" t="str">
        <f>IFERROR(IF($AB$5="","",IF(F11&lt;&gt;"",(Input!AV12/Input!$AV$6)*100,"")),"NA")</f>
        <v/>
      </c>
      <c r="AD11" s="310" t="str">
        <f>IF(F11&lt;&gt;"",IF(Input!AW12&lt;&gt;"",Input!AW12,""),"")</f>
        <v/>
      </c>
      <c r="AE11" s="449" t="str">
        <f>IFERROR(IF($AD$5="","",IF(F11&lt;&gt;"",(Input!AW12/Input!$AW$6)*100,"")),"NA")</f>
        <v/>
      </c>
      <c r="AF11" s="108">
        <f>IF(Input!AX12="Error","Error",IF(F11="","",IF($X$5="",0,IF(F11&lt;&gt;"",IFERROR(AVERAGE(Y11,AA11,AC11,AE11)*$AF$4,0),""))))</f>
        <v>0</v>
      </c>
      <c r="AG11" s="174"/>
      <c r="AH11" s="175" t="str">
        <f>IF(F11&lt;&gt;"",IF(Input!AY12&lt;&gt;"",Input!AY12,""),"")</f>
        <v/>
      </c>
      <c r="AI11" s="451" t="str">
        <f>IFERROR(IF($AH$5="","",IF(F11&lt;&gt;"",(Input!AY12/Input!$AY$6)*100,"")),"NA")</f>
        <v/>
      </c>
      <c r="AJ11" s="176" t="str">
        <f>IF(F11&lt;&gt;"",IF(Input!AZ12&lt;&gt;"",Input!AZ12,""),"")</f>
        <v/>
      </c>
      <c r="AK11" s="451" t="str">
        <f>IFERROR(IF($AJ$5="","",IF(F11&lt;&gt;"",(Input!AZ12/Input!$AZ$6)*100,"")),"NA")</f>
        <v/>
      </c>
      <c r="AL11" s="176" t="str">
        <f>IF(F11&lt;&gt;"",IF(Input!BA12&lt;&gt;"",Input!BA12,""),"")</f>
        <v/>
      </c>
      <c r="AM11" s="451" t="str">
        <f>IFERROR(IF($AL$5="","",IF(F11&lt;&gt;"",(Input!BA12/Input!$BA$6)*100,"")),"NA")</f>
        <v/>
      </c>
      <c r="AN11" s="177" t="str">
        <f>IF(F11&lt;&gt;"",IF(Input!BB12&lt;&gt;"",Input!BB12,""),"")</f>
        <v/>
      </c>
      <c r="AO11" s="451" t="str">
        <f>IFERROR(IF($AN$5="","",IF(F11&lt;&gt;"",(Input!BB12/Input!$BB$6)*100,"")),"NA")</f>
        <v/>
      </c>
      <c r="AP11" s="303">
        <f>IF(Input!BC12="Error","Error",IF(F11="","",IF($AH$5="",0,IF(F11&lt;&gt;"",IFERROR(AVERAGE(AI11,AK11,AM11,AO11)*$AP$4,0),""))))</f>
        <v>0</v>
      </c>
      <c r="AQ11" s="174"/>
      <c r="AR11" s="178" t="str">
        <f>IF(Input!BD12="","",IF(F11&lt;&gt;"",Input!BD12,""))</f>
        <v/>
      </c>
      <c r="AS11" s="179" t="str">
        <f>IF(F11="", "",IF(Input!BE12="Error","Error",IF(ISNUMBER(Input!BE12),(Input!BE12*$AS$4),"")))</f>
        <v/>
      </c>
      <c r="AT11" s="331" t="str">
        <f>IF(V11="D","DRP",
IF(F11&lt;&gt;"",
IF(OR(AF11="Error",AP11="Error",AS11="Error"),"Error",
IF(Input!BD12="","-",ROUND(AF11+AP11+AS11,2))),""))</f>
        <v>-</v>
      </c>
      <c r="AU11" s="180" t="str">
        <f>IF(F11&lt;&gt;"",VLOOKUP(AT11,TRANSMUTATION!$A$2:$B$14,2),"")</f>
        <v>INC</v>
      </c>
      <c r="AV11" s="249" t="str">
        <f t="shared" si="1"/>
        <v/>
      </c>
      <c r="AW11" s="182"/>
      <c r="AX11" s="183">
        <v>2.5</v>
      </c>
      <c r="AY11" s="184">
        <f t="shared" si="0"/>
        <v>0</v>
      </c>
      <c r="BA11" s="97"/>
    </row>
    <row r="12" spans="1:53" ht="15" customHeight="1" x14ac:dyDescent="0.2">
      <c r="A12" s="97"/>
      <c r="C12" s="194">
        <v>6</v>
      </c>
      <c r="D12" s="203" t="str">
        <f>IF(Input!D13&lt;&gt;"",IF(F12&lt;&gt;"",Input!D13,""),"")</f>
        <v>02000433161</v>
      </c>
      <c r="E12" s="297"/>
      <c r="F12" s="298" t="str">
        <f>(IF(Input!F13&lt;&gt;"",Input!F13,""))</f>
        <v>MAGADIA, LOURD GAVIN BUEZA</v>
      </c>
      <c r="G12" s="333"/>
      <c r="H12" s="333"/>
      <c r="I12" s="333"/>
      <c r="J12" s="333"/>
      <c r="K12" s="333"/>
      <c r="L12" s="333"/>
      <c r="M12" s="333"/>
      <c r="N12" s="333"/>
      <c r="O12" s="333"/>
      <c r="P12" s="333"/>
      <c r="Q12" s="333"/>
      <c r="R12" s="333"/>
      <c r="S12" s="333"/>
      <c r="T12" s="333"/>
      <c r="U12" s="333"/>
      <c r="V12" s="336"/>
      <c r="W12" s="173"/>
      <c r="X12" s="309" t="str">
        <f>IF(F12&lt;&gt;"",IF(Input!AT13&lt;&gt;"",Input!AT13,""),"")</f>
        <v/>
      </c>
      <c r="Y12" s="449" t="str">
        <f>IFERROR(IF($X$5="","",IF(F12&lt;&gt;"",(Input!AT13/Input!$AT$6)*100,"")),"NA")</f>
        <v/>
      </c>
      <c r="Z12" s="310" t="str">
        <f>IF(F12&lt;&gt;"",IF(Input!AU13&lt;&gt;"",Input!AU13,""),"")</f>
        <v/>
      </c>
      <c r="AA12" s="449" t="str">
        <f>IFERROR(IF($Z$5="","",IF(F12&lt;&gt;"",(Input!AU13/Input!$AU$6)*100,"")),"NA")</f>
        <v/>
      </c>
      <c r="AB12" s="310" t="str">
        <f>IF(F12&lt;&gt;"",IF(Input!AV13&lt;&gt;"",Input!AV13,""),"")</f>
        <v/>
      </c>
      <c r="AC12" s="449" t="str">
        <f>IFERROR(IF($AB$5="","",IF(F12&lt;&gt;"",(Input!AV13/Input!$AV$6)*100,"")),"NA")</f>
        <v/>
      </c>
      <c r="AD12" s="310" t="str">
        <f>IF(F12&lt;&gt;"",IF(Input!AW13&lt;&gt;"",Input!AW13,""),"")</f>
        <v/>
      </c>
      <c r="AE12" s="449" t="str">
        <f>IFERROR(IF($AD$5="","",IF(F12&lt;&gt;"",(Input!AW13/Input!$AW$6)*100,"")),"NA")</f>
        <v/>
      </c>
      <c r="AF12" s="108">
        <f>IF(Input!AX13="Error","Error",IF(F12="","",IF($X$5="",0,IF(F12&lt;&gt;"",IFERROR(AVERAGE(Y12,AA12,AC12,AE12)*$AF$4,0),""))))</f>
        <v>0</v>
      </c>
      <c r="AG12" s="174"/>
      <c r="AH12" s="175" t="str">
        <f>IF(F12&lt;&gt;"",IF(Input!AY13&lt;&gt;"",Input!AY13,""),"")</f>
        <v/>
      </c>
      <c r="AI12" s="451" t="str">
        <f>IFERROR(IF($AH$5="","",IF(F12&lt;&gt;"",(Input!AY13/Input!$AY$6)*100,"")),"NA")</f>
        <v/>
      </c>
      <c r="AJ12" s="176" t="str">
        <f>IF(F12&lt;&gt;"",IF(Input!AZ13&lt;&gt;"",Input!AZ13,""),"")</f>
        <v/>
      </c>
      <c r="AK12" s="451" t="str">
        <f>IFERROR(IF($AJ$5="","",IF(F12&lt;&gt;"",(Input!AZ13/Input!$AZ$6)*100,"")),"NA")</f>
        <v/>
      </c>
      <c r="AL12" s="176" t="str">
        <f>IF(F12&lt;&gt;"",IF(Input!BA13&lt;&gt;"",Input!BA13,""),"")</f>
        <v/>
      </c>
      <c r="AM12" s="451" t="str">
        <f>IFERROR(IF($AL$5="","",IF(F12&lt;&gt;"",(Input!BA13/Input!$BA$6)*100,"")),"NA")</f>
        <v/>
      </c>
      <c r="AN12" s="177" t="str">
        <f>IF(F12&lt;&gt;"",IF(Input!BB13&lt;&gt;"",Input!BB13,""),"")</f>
        <v/>
      </c>
      <c r="AO12" s="451" t="str">
        <f>IFERROR(IF($AN$5="","",IF(F12&lt;&gt;"",(Input!BB13/Input!$BB$6)*100,"")),"NA")</f>
        <v/>
      </c>
      <c r="AP12" s="303">
        <f>IF(Input!BC13="Error","Error",IF(F12="","",IF($AH$5="",0,IF(F12&lt;&gt;"",IFERROR(AVERAGE(AI12,AK12,AM12,AO12)*$AP$4,0),""))))</f>
        <v>0</v>
      </c>
      <c r="AQ12" s="174"/>
      <c r="AR12" s="178" t="str">
        <f>IF(Input!BD13="","",IF(F12&lt;&gt;"",Input!BD13,""))</f>
        <v/>
      </c>
      <c r="AS12" s="179" t="str">
        <f>IF(F12="", "",IF(Input!BE13="Error","Error",IF(ISNUMBER(Input!BE13),(Input!BE13*$AS$4),"")))</f>
        <v/>
      </c>
      <c r="AT12" s="331" t="str">
        <f>IF(V12="D","DRP",
IF(F12&lt;&gt;"",
IF(OR(AF12="Error",AP12="Error",AS12="Error"),"Error",
IF(Input!BD13="","-",ROUND(AF12+AP12+AS12,2))),""))</f>
        <v>-</v>
      </c>
      <c r="AU12" s="180" t="str">
        <f>IF(F12&lt;&gt;"",VLOOKUP(AT12,TRANSMUTATION!$A$2:$B$14,2),"")</f>
        <v>INC</v>
      </c>
      <c r="AV12" s="249" t="str">
        <f t="shared" si="1"/>
        <v/>
      </c>
      <c r="AW12" s="182"/>
      <c r="AX12" s="183">
        <v>2.75</v>
      </c>
      <c r="AY12" s="184">
        <f t="shared" si="0"/>
        <v>0</v>
      </c>
      <c r="BA12" s="97"/>
    </row>
    <row r="13" spans="1:53" ht="15" customHeight="1" x14ac:dyDescent="0.2">
      <c r="A13" s="97"/>
      <c r="C13" s="194">
        <v>7</v>
      </c>
      <c r="D13" s="203" t="str">
        <f>IF(Input!D14&lt;&gt;"",IF(F13&lt;&gt;"",Input!D14,""),"")</f>
        <v>02000511375</v>
      </c>
      <c r="E13" s="297"/>
      <c r="F13" s="298" t="str">
        <f>(IF(Input!F14&lt;&gt;"",Input!F14,""))</f>
        <v>MANZANO, JHON KENNETH</v>
      </c>
      <c r="G13" s="333"/>
      <c r="H13" s="333"/>
      <c r="I13" s="333"/>
      <c r="J13" s="333"/>
      <c r="K13" s="333"/>
      <c r="L13" s="333"/>
      <c r="M13" s="333"/>
      <c r="N13" s="333"/>
      <c r="O13" s="333"/>
      <c r="P13" s="333"/>
      <c r="Q13" s="333"/>
      <c r="R13" s="333"/>
      <c r="S13" s="333"/>
      <c r="T13" s="333"/>
      <c r="U13" s="333"/>
      <c r="V13" s="336"/>
      <c r="W13" s="173"/>
      <c r="X13" s="309" t="str">
        <f>IF(F13&lt;&gt;"",IF(Input!AT14&lt;&gt;"",Input!AT14,""),"")</f>
        <v/>
      </c>
      <c r="Y13" s="449" t="str">
        <f>IFERROR(IF($X$5="","",IF(F13&lt;&gt;"",(Input!AT14/Input!$AT$6)*100,"")),"NA")</f>
        <v/>
      </c>
      <c r="Z13" s="310" t="str">
        <f>IF(F13&lt;&gt;"",IF(Input!AU14&lt;&gt;"",Input!AU14,""),"")</f>
        <v/>
      </c>
      <c r="AA13" s="449" t="str">
        <f>IFERROR(IF($Z$5="","",IF(F13&lt;&gt;"",(Input!AU14/Input!$AU$6)*100,"")),"NA")</f>
        <v/>
      </c>
      <c r="AB13" s="310" t="str">
        <f>IF(F13&lt;&gt;"",IF(Input!AV14&lt;&gt;"",Input!AV14,""),"")</f>
        <v/>
      </c>
      <c r="AC13" s="449" t="str">
        <f>IFERROR(IF($AB$5="","",IF(F13&lt;&gt;"",(Input!AV14/Input!$AV$6)*100,"")),"NA")</f>
        <v/>
      </c>
      <c r="AD13" s="310" t="str">
        <f>IF(F13&lt;&gt;"",IF(Input!AW14&lt;&gt;"",Input!AW14,""),"")</f>
        <v/>
      </c>
      <c r="AE13" s="449" t="str">
        <f>IFERROR(IF($AD$5="","",IF(F13&lt;&gt;"",(Input!AW14/Input!$AW$6)*100,"")),"NA")</f>
        <v/>
      </c>
      <c r="AF13" s="108">
        <f>IF(Input!AX14="Error","Error",IF(F13="","",IF($X$5="",0,IF(F13&lt;&gt;"",IFERROR(AVERAGE(Y13,AA13,AC13,AE13)*$AF$4,0),""))))</f>
        <v>0</v>
      </c>
      <c r="AG13" s="174"/>
      <c r="AH13" s="175" t="str">
        <f>IF(F13&lt;&gt;"",IF(Input!AY14&lt;&gt;"",Input!AY14,""),"")</f>
        <v/>
      </c>
      <c r="AI13" s="451" t="str">
        <f>IFERROR(IF($AH$5="","",IF(F13&lt;&gt;"",(Input!AY14/Input!$AY$6)*100,"")),"NA")</f>
        <v/>
      </c>
      <c r="AJ13" s="176" t="str">
        <f>IF(F13&lt;&gt;"",IF(Input!AZ14&lt;&gt;"",Input!AZ14,""),"")</f>
        <v/>
      </c>
      <c r="AK13" s="451" t="str">
        <f>IFERROR(IF($AJ$5="","",IF(F13&lt;&gt;"",(Input!AZ14/Input!$AZ$6)*100,"")),"NA")</f>
        <v/>
      </c>
      <c r="AL13" s="176" t="str">
        <f>IF(F13&lt;&gt;"",IF(Input!BA14&lt;&gt;"",Input!BA14,""),"")</f>
        <v/>
      </c>
      <c r="AM13" s="451" t="str">
        <f>IFERROR(IF($AL$5="","",IF(F13&lt;&gt;"",(Input!BA14/Input!$BA$6)*100,"")),"NA")</f>
        <v/>
      </c>
      <c r="AN13" s="177" t="str">
        <f>IF(F13&lt;&gt;"",IF(Input!BB14&lt;&gt;"",Input!BB14,""),"")</f>
        <v/>
      </c>
      <c r="AO13" s="451" t="str">
        <f>IFERROR(IF($AN$5="","",IF(F13&lt;&gt;"",(Input!BB14/Input!$BB$6)*100,"")),"NA")</f>
        <v/>
      </c>
      <c r="AP13" s="303">
        <f>IF(Input!BC14="Error","Error",IF(F13="","",IF($AH$5="",0,IF(F13&lt;&gt;"",IFERROR(AVERAGE(AI13,AK13,AM13,AO13)*$AP$4,0),""))))</f>
        <v>0</v>
      </c>
      <c r="AQ13" s="174"/>
      <c r="AR13" s="178" t="str">
        <f>IF(Input!BD14="","",IF(F13&lt;&gt;"",Input!BD14,""))</f>
        <v/>
      </c>
      <c r="AS13" s="179" t="str">
        <f>IF(F13="", "",IF(Input!BE14="Error","Error",IF(ISNUMBER(Input!BE14),(Input!BE14*$AS$4),"")))</f>
        <v/>
      </c>
      <c r="AT13" s="331" t="str">
        <f>IF(V13="D","DRP",
IF(F13&lt;&gt;"",
IF(OR(AF13="Error",AP13="Error",AS13="Error"),"Error",
IF(Input!BD14="","-",ROUND(AF13+AP13+AS13,2))),""))</f>
        <v>-</v>
      </c>
      <c r="AU13" s="180" t="str">
        <f>IF(F13&lt;&gt;"",VLOOKUP(AT13,TRANSMUTATION!$A$2:$B$14,2),"")</f>
        <v>INC</v>
      </c>
      <c r="AV13" s="249" t="str">
        <f t="shared" si="1"/>
        <v/>
      </c>
      <c r="AW13" s="182"/>
      <c r="AX13" s="183">
        <v>3</v>
      </c>
      <c r="AY13" s="184">
        <f t="shared" si="0"/>
        <v>0</v>
      </c>
      <c r="BA13" s="97"/>
    </row>
    <row r="14" spans="1:53" ht="15" customHeight="1" x14ac:dyDescent="0.2">
      <c r="A14" s="97"/>
      <c r="C14" s="194">
        <v>8</v>
      </c>
      <c r="D14" s="203" t="str">
        <f>IF(Input!D15&lt;&gt;"",IF(F14&lt;&gt;"",Input!D15,""),"")</f>
        <v>02000511957</v>
      </c>
      <c r="E14" s="297"/>
      <c r="F14" s="298" t="str">
        <f>(IF(Input!F15&lt;&gt;"",Input!F15,""))</f>
        <v>OLAYRES, PRINCESS ENOLVA</v>
      </c>
      <c r="G14" s="333"/>
      <c r="H14" s="333"/>
      <c r="I14" s="333"/>
      <c r="J14" s="333"/>
      <c r="K14" s="333"/>
      <c r="L14" s="333"/>
      <c r="M14" s="333"/>
      <c r="N14" s="333"/>
      <c r="O14" s="333"/>
      <c r="P14" s="333"/>
      <c r="Q14" s="333"/>
      <c r="R14" s="333"/>
      <c r="S14" s="333"/>
      <c r="T14" s="333"/>
      <c r="U14" s="333"/>
      <c r="V14" s="336"/>
      <c r="W14" s="173"/>
      <c r="X14" s="309" t="str">
        <f>IF(F14&lt;&gt;"",IF(Input!AT15&lt;&gt;"",Input!AT15,""),"")</f>
        <v/>
      </c>
      <c r="Y14" s="449" t="str">
        <f>IFERROR(IF($X$5="","",IF(F14&lt;&gt;"",(Input!AT15/Input!$AT$6)*100,"")),"NA")</f>
        <v/>
      </c>
      <c r="Z14" s="310" t="str">
        <f>IF(F14&lt;&gt;"",IF(Input!AU15&lt;&gt;"",Input!AU15,""),"")</f>
        <v/>
      </c>
      <c r="AA14" s="449" t="str">
        <f>IFERROR(IF($Z$5="","",IF(F14&lt;&gt;"",(Input!AU15/Input!$AU$6)*100,"")),"NA")</f>
        <v/>
      </c>
      <c r="AB14" s="310" t="str">
        <f>IF(F14&lt;&gt;"",IF(Input!AV15&lt;&gt;"",Input!AV15,""),"")</f>
        <v/>
      </c>
      <c r="AC14" s="449" t="str">
        <f>IFERROR(IF($AB$5="","",IF(F14&lt;&gt;"",(Input!AV15/Input!$AV$6)*100,"")),"NA")</f>
        <v/>
      </c>
      <c r="AD14" s="310" t="str">
        <f>IF(F14&lt;&gt;"",IF(Input!AW15&lt;&gt;"",Input!AW15,""),"")</f>
        <v/>
      </c>
      <c r="AE14" s="449" t="str">
        <f>IFERROR(IF($AD$5="","",IF(F14&lt;&gt;"",(Input!AW15/Input!$AW$6)*100,"")),"NA")</f>
        <v/>
      </c>
      <c r="AF14" s="108">
        <f>IF(Input!AX15="Error","Error",IF(F14="","",IF($X$5="",0,IF(F14&lt;&gt;"",IFERROR(AVERAGE(Y14,AA14,AC14,AE14)*$AF$4,0),""))))</f>
        <v>0</v>
      </c>
      <c r="AG14" s="174"/>
      <c r="AH14" s="175" t="str">
        <f>IF(F14&lt;&gt;"",IF(Input!AY15&lt;&gt;"",Input!AY15,""),"")</f>
        <v/>
      </c>
      <c r="AI14" s="451" t="str">
        <f>IFERROR(IF($AH$5="","",IF(F14&lt;&gt;"",(Input!AY15/Input!$AY$6)*100,"")),"NA")</f>
        <v/>
      </c>
      <c r="AJ14" s="176" t="str">
        <f>IF(F14&lt;&gt;"",IF(Input!AZ15&lt;&gt;"",Input!AZ15,""),"")</f>
        <v/>
      </c>
      <c r="AK14" s="451" t="str">
        <f>IFERROR(IF($AJ$5="","",IF(F14&lt;&gt;"",(Input!AZ15/Input!$AZ$6)*100,"")),"NA")</f>
        <v/>
      </c>
      <c r="AL14" s="176" t="str">
        <f>IF(F14&lt;&gt;"",IF(Input!BA15&lt;&gt;"",Input!BA15,""),"")</f>
        <v/>
      </c>
      <c r="AM14" s="451" t="str">
        <f>IFERROR(IF($AL$5="","",IF(F14&lt;&gt;"",(Input!BA15/Input!$BA$6)*100,"")),"NA")</f>
        <v/>
      </c>
      <c r="AN14" s="177" t="str">
        <f>IF(F14&lt;&gt;"",IF(Input!BB15&lt;&gt;"",Input!BB15,""),"")</f>
        <v/>
      </c>
      <c r="AO14" s="451" t="str">
        <f>IFERROR(IF($AN$5="","",IF(F14&lt;&gt;"",(Input!BB15/Input!$BB$6)*100,"")),"NA")</f>
        <v/>
      </c>
      <c r="AP14" s="303">
        <f>IF(Input!BC15="Error","Error",IF(F14="","",IF($AH$5="",0,IF(F14&lt;&gt;"",IFERROR(AVERAGE(AI14,AK14,AM14,AO14)*$AP$4,0),""))))</f>
        <v>0</v>
      </c>
      <c r="AQ14" s="174"/>
      <c r="AR14" s="178" t="str">
        <f>IF(Input!BD15="","",IF(F14&lt;&gt;"",Input!BD15,""))</f>
        <v/>
      </c>
      <c r="AS14" s="179" t="str">
        <f>IF(F14="", "",IF(Input!BE15="Error","Error",IF(ISNUMBER(Input!BE15),(Input!BE15*$AS$4),"")))</f>
        <v/>
      </c>
      <c r="AT14" s="331" t="str">
        <f>IF(V14="D","DRP",
IF(F14&lt;&gt;"",
IF(OR(AF14="Error",AP14="Error",AS14="Error"),"Error",
IF(Input!BD15="","-",ROUND(AF14+AP14+AS14,2))),""))</f>
        <v>-</v>
      </c>
      <c r="AU14" s="180" t="str">
        <f>IF(F14&lt;&gt;"",VLOOKUP(AT14,TRANSMUTATION!$A$2:$B$14,2),"")</f>
        <v>INC</v>
      </c>
      <c r="AV14" s="249" t="str">
        <f t="shared" si="1"/>
        <v/>
      </c>
      <c r="AW14" s="182"/>
      <c r="AX14" s="183">
        <v>5</v>
      </c>
      <c r="AY14" s="184">
        <f t="shared" si="0"/>
        <v>0</v>
      </c>
      <c r="BA14" s="97"/>
    </row>
    <row r="15" spans="1:53" ht="15" customHeight="1" x14ac:dyDescent="0.2">
      <c r="A15" s="97"/>
      <c r="C15" s="194">
        <v>9</v>
      </c>
      <c r="D15" s="203" t="str">
        <f>IF(Input!D16&lt;&gt;"",IF(F15&lt;&gt;"",Input!D16,""),"")</f>
        <v>02000512988</v>
      </c>
      <c r="E15" s="297"/>
      <c r="F15" s="298" t="str">
        <f>(IF(Input!F16&lt;&gt;"",Input!F16,""))</f>
        <v>OSEA, SANTINO JOSHUA NUYDA</v>
      </c>
      <c r="G15" s="333"/>
      <c r="H15" s="333"/>
      <c r="I15" s="333"/>
      <c r="J15" s="333"/>
      <c r="K15" s="333"/>
      <c r="L15" s="333"/>
      <c r="M15" s="333"/>
      <c r="N15" s="333"/>
      <c r="O15" s="333"/>
      <c r="P15" s="333"/>
      <c r="Q15" s="333"/>
      <c r="R15" s="333"/>
      <c r="S15" s="333"/>
      <c r="T15" s="333"/>
      <c r="U15" s="333"/>
      <c r="V15" s="336"/>
      <c r="W15" s="173"/>
      <c r="X15" s="309" t="str">
        <f>IF(F15&lt;&gt;"",IF(Input!AT16&lt;&gt;"",Input!AT16,""),"")</f>
        <v/>
      </c>
      <c r="Y15" s="449" t="str">
        <f>IFERROR(IF($X$5="","",IF(F15&lt;&gt;"",(Input!AT16/Input!$AT$6)*100,"")),"NA")</f>
        <v/>
      </c>
      <c r="Z15" s="310" t="str">
        <f>IF(F15&lt;&gt;"",IF(Input!AU16&lt;&gt;"",Input!AU16,""),"")</f>
        <v/>
      </c>
      <c r="AA15" s="449" t="str">
        <f>IFERROR(IF($Z$5="","",IF(F15&lt;&gt;"",(Input!AU16/Input!$AU$6)*100,"")),"NA")</f>
        <v/>
      </c>
      <c r="AB15" s="310" t="str">
        <f>IF(F15&lt;&gt;"",IF(Input!AV16&lt;&gt;"",Input!AV16,""),"")</f>
        <v/>
      </c>
      <c r="AC15" s="449" t="str">
        <f>IFERROR(IF($AB$5="","",IF(F15&lt;&gt;"",(Input!AV16/Input!$AV$6)*100,"")),"NA")</f>
        <v/>
      </c>
      <c r="AD15" s="310" t="str">
        <f>IF(F15&lt;&gt;"",IF(Input!AW16&lt;&gt;"",Input!AW16,""),"")</f>
        <v/>
      </c>
      <c r="AE15" s="449" t="str">
        <f>IFERROR(IF($AD$5="","",IF(F15&lt;&gt;"",(Input!AW16/Input!$AW$6)*100,"")),"NA")</f>
        <v/>
      </c>
      <c r="AF15" s="108">
        <f>IF(Input!AX16="Error","Error",IF(F15="","",IF($X$5="",0,IF(F15&lt;&gt;"",IFERROR(AVERAGE(Y15,AA15,AC15,AE15)*$AF$4,0),""))))</f>
        <v>0</v>
      </c>
      <c r="AG15" s="174"/>
      <c r="AH15" s="175" t="str">
        <f>IF(F15&lt;&gt;"",IF(Input!AY16&lt;&gt;"",Input!AY16,""),"")</f>
        <v/>
      </c>
      <c r="AI15" s="451" t="str">
        <f>IFERROR(IF($AH$5="","",IF(F15&lt;&gt;"",(Input!AY16/Input!$AY$6)*100,"")),"NA")</f>
        <v/>
      </c>
      <c r="AJ15" s="176" t="str">
        <f>IF(F15&lt;&gt;"",IF(Input!AZ16&lt;&gt;"",Input!AZ16,""),"")</f>
        <v/>
      </c>
      <c r="AK15" s="451" t="str">
        <f>IFERROR(IF($AJ$5="","",IF(F15&lt;&gt;"",(Input!AZ16/Input!$AZ$6)*100,"")),"NA")</f>
        <v/>
      </c>
      <c r="AL15" s="176" t="str">
        <f>IF(F15&lt;&gt;"",IF(Input!BA16&lt;&gt;"",Input!BA16,""),"")</f>
        <v/>
      </c>
      <c r="AM15" s="451" t="str">
        <f>IFERROR(IF($AL$5="","",IF(F15&lt;&gt;"",(Input!BA16/Input!$BA$6)*100,"")),"NA")</f>
        <v/>
      </c>
      <c r="AN15" s="177" t="str">
        <f>IF(F15&lt;&gt;"",IF(Input!BB16&lt;&gt;"",Input!BB16,""),"")</f>
        <v/>
      </c>
      <c r="AO15" s="451" t="str">
        <f>IFERROR(IF($AN$5="","",IF(F15&lt;&gt;"",(Input!BB16/Input!$BB$6)*100,"")),"NA")</f>
        <v/>
      </c>
      <c r="AP15" s="303">
        <f>IF(Input!BC16="Error","Error",IF(F15="","",IF($AH$5="",0,IF(F15&lt;&gt;"",IFERROR(AVERAGE(AI15,AK15,AM15,AO15)*$AP$4,0),""))))</f>
        <v>0</v>
      </c>
      <c r="AQ15" s="174"/>
      <c r="AR15" s="178" t="str">
        <f>IF(Input!BD16="","",IF(F15&lt;&gt;"",Input!BD16,""))</f>
        <v/>
      </c>
      <c r="AS15" s="179" t="str">
        <f>IF(F15="", "",IF(Input!BE16="Error","Error",IF(ISNUMBER(Input!BE16),(Input!BE16*$AS$4),"")))</f>
        <v/>
      </c>
      <c r="AT15" s="331" t="str">
        <f>IF(V15="D","DRP",
IF(F15&lt;&gt;"",
IF(OR(AF15="Error",AP15="Error",AS15="Error"),"Error",
IF(Input!BD16="","-",ROUND(AF15+AP15+AS15,2))),""))</f>
        <v>-</v>
      </c>
      <c r="AU15" s="180" t="str">
        <f>IF(F15&lt;&gt;"",VLOOKUP(AT15,TRANSMUTATION!$A$2:$B$14,2),"")</f>
        <v>INC</v>
      </c>
      <c r="AV15" s="249" t="str">
        <f t="shared" si="1"/>
        <v/>
      </c>
      <c r="AW15" s="182"/>
      <c r="AX15" s="183" t="s">
        <v>116</v>
      </c>
      <c r="AY15" s="184">
        <f t="shared" si="0"/>
        <v>0</v>
      </c>
      <c r="BA15" s="97"/>
    </row>
    <row r="16" spans="1:53" ht="15" customHeight="1" x14ac:dyDescent="0.2">
      <c r="A16" s="97"/>
      <c r="C16" s="194">
        <v>10</v>
      </c>
      <c r="D16" s="203" t="str">
        <f>IF(Input!D17&lt;&gt;"",IF(F16&lt;&gt;"",Input!D17,""),"")</f>
        <v>02000509944</v>
      </c>
      <c r="E16" s="297"/>
      <c r="F16" s="298" t="str">
        <f>(IF(Input!F17&lt;&gt;"",Input!F17,""))</f>
        <v>RAMOS, RAFAH MORAL</v>
      </c>
      <c r="G16" s="333"/>
      <c r="H16" s="333"/>
      <c r="I16" s="333"/>
      <c r="J16" s="333"/>
      <c r="K16" s="333"/>
      <c r="L16" s="333"/>
      <c r="M16" s="333"/>
      <c r="N16" s="333"/>
      <c r="O16" s="333"/>
      <c r="P16" s="333"/>
      <c r="Q16" s="333"/>
      <c r="R16" s="333"/>
      <c r="S16" s="333"/>
      <c r="T16" s="333"/>
      <c r="U16" s="333"/>
      <c r="V16" s="336"/>
      <c r="W16" s="173"/>
      <c r="X16" s="309" t="str">
        <f>IF(F16&lt;&gt;"",IF(Input!AT17&lt;&gt;"",Input!AT17,""),"")</f>
        <v/>
      </c>
      <c r="Y16" s="449" t="str">
        <f>IFERROR(IF($X$5="","",IF(F16&lt;&gt;"",(Input!AT17/Input!$AT$6)*100,"")),"NA")</f>
        <v/>
      </c>
      <c r="Z16" s="310" t="str">
        <f>IF(F16&lt;&gt;"",IF(Input!AU17&lt;&gt;"",Input!AU17,""),"")</f>
        <v/>
      </c>
      <c r="AA16" s="449" t="str">
        <f>IFERROR(IF($Z$5="","",IF(F16&lt;&gt;"",(Input!AU17/Input!$AU$6)*100,"")),"NA")</f>
        <v/>
      </c>
      <c r="AB16" s="310" t="str">
        <f>IF(F16&lt;&gt;"",IF(Input!AV17&lt;&gt;"",Input!AV17,""),"")</f>
        <v/>
      </c>
      <c r="AC16" s="449" t="str">
        <f>IFERROR(IF($AB$5="","",IF(F16&lt;&gt;"",(Input!AV17/Input!$AV$6)*100,"")),"NA")</f>
        <v/>
      </c>
      <c r="AD16" s="310" t="str">
        <f>IF(F16&lt;&gt;"",IF(Input!AW17&lt;&gt;"",Input!AW17,""),"")</f>
        <v/>
      </c>
      <c r="AE16" s="449" t="str">
        <f>IFERROR(IF($AD$5="","",IF(F16&lt;&gt;"",(Input!AW17/Input!$AW$6)*100,"")),"NA")</f>
        <v/>
      </c>
      <c r="AF16" s="108">
        <f>IF(Input!AX17="Error","Error",IF(F16="","",IF($X$5="",0,IF(F16&lt;&gt;"",IFERROR(AVERAGE(Y16,AA16,AC16,AE16)*$AF$4,0),""))))</f>
        <v>0</v>
      </c>
      <c r="AG16" s="174"/>
      <c r="AH16" s="175" t="str">
        <f>IF(F16&lt;&gt;"",IF(Input!AY17&lt;&gt;"",Input!AY17,""),"")</f>
        <v/>
      </c>
      <c r="AI16" s="451" t="str">
        <f>IFERROR(IF($AH$5="","",IF(F16&lt;&gt;"",(Input!AY17/Input!$AY$6)*100,"")),"NA")</f>
        <v/>
      </c>
      <c r="AJ16" s="176" t="str">
        <f>IF(F16&lt;&gt;"",IF(Input!AZ17&lt;&gt;"",Input!AZ17,""),"")</f>
        <v/>
      </c>
      <c r="AK16" s="451" t="str">
        <f>IFERROR(IF($AJ$5="","",IF(F16&lt;&gt;"",(Input!AZ17/Input!$AZ$6)*100,"")),"NA")</f>
        <v/>
      </c>
      <c r="AL16" s="176" t="str">
        <f>IF(F16&lt;&gt;"",IF(Input!BA17&lt;&gt;"",Input!BA17,""),"")</f>
        <v/>
      </c>
      <c r="AM16" s="451" t="str">
        <f>IFERROR(IF($AL$5="","",IF(F16&lt;&gt;"",(Input!BA17/Input!$BA$6)*100,"")),"NA")</f>
        <v/>
      </c>
      <c r="AN16" s="177" t="str">
        <f>IF(F16&lt;&gt;"",IF(Input!BB17&lt;&gt;"",Input!BB17,""),"")</f>
        <v/>
      </c>
      <c r="AO16" s="451" t="str">
        <f>IFERROR(IF($AN$5="","",IF(F16&lt;&gt;"",(Input!BB17/Input!$BB$6)*100,"")),"NA")</f>
        <v/>
      </c>
      <c r="AP16" s="303">
        <f>IF(Input!BC17="Error","Error",IF(F16="","",IF($AH$5="",0,IF(F16&lt;&gt;"",IFERROR(AVERAGE(AI16,AK16,AM16,AO16)*$AP$4,0),""))))</f>
        <v>0</v>
      </c>
      <c r="AQ16" s="174"/>
      <c r="AR16" s="178" t="str">
        <f>IF(Input!BD17="","",IF(F16&lt;&gt;"",Input!BD17,""))</f>
        <v/>
      </c>
      <c r="AS16" s="179" t="str">
        <f>IF(F16="", "",IF(Input!BE17="Error","Error",IF(ISNUMBER(Input!BE17),(Input!BE17*$AS$4),"")))</f>
        <v/>
      </c>
      <c r="AT16" s="331" t="str">
        <f>IF(V16="D","DRP",
IF(F16&lt;&gt;"",
IF(OR(AF16="Error",AP16="Error",AS16="Error"),"Error",
IF(Input!BD17="","-",ROUND(AF16+AP16+AS16,2))),""))</f>
        <v>-</v>
      </c>
      <c r="AU16" s="180" t="str">
        <f>IF(F16&lt;&gt;"",VLOOKUP(AT16,TRANSMUTATION!$A$2:$B$14,2),"")</f>
        <v>INC</v>
      </c>
      <c r="AV16" s="249" t="str">
        <f t="shared" si="1"/>
        <v/>
      </c>
      <c r="AW16" s="182"/>
      <c r="AX16" s="185" t="s">
        <v>117</v>
      </c>
      <c r="AY16" s="186">
        <f t="shared" si="0"/>
        <v>17</v>
      </c>
      <c r="BA16" s="97"/>
    </row>
    <row r="17" spans="1:53" ht="15" customHeight="1" thickBot="1" x14ac:dyDescent="0.25">
      <c r="A17" s="97"/>
      <c r="C17" s="194">
        <v>11</v>
      </c>
      <c r="D17" s="203" t="str">
        <f>IF(Input!D18&lt;&gt;"",IF(F17&lt;&gt;"",Input!D18,""),"")</f>
        <v>02000492694</v>
      </c>
      <c r="E17" s="297"/>
      <c r="F17" s="298" t="str">
        <f>(IF(Input!F18&lt;&gt;"",Input!F18,""))</f>
        <v>RAYNES, RAISSEN ISAIAH NOCITO</v>
      </c>
      <c r="G17" s="333"/>
      <c r="H17" s="333"/>
      <c r="I17" s="333"/>
      <c r="J17" s="333"/>
      <c r="K17" s="333"/>
      <c r="L17" s="333"/>
      <c r="M17" s="333"/>
      <c r="N17" s="333"/>
      <c r="O17" s="333"/>
      <c r="P17" s="333"/>
      <c r="Q17" s="333"/>
      <c r="R17" s="333"/>
      <c r="S17" s="333"/>
      <c r="T17" s="333"/>
      <c r="U17" s="333"/>
      <c r="V17" s="336"/>
      <c r="W17" s="173"/>
      <c r="X17" s="309" t="str">
        <f>IF(F17&lt;&gt;"",IF(Input!AT18&lt;&gt;"",Input!AT18,""),"")</f>
        <v/>
      </c>
      <c r="Y17" s="449" t="str">
        <f>IFERROR(IF($X$5="","",IF(F17&lt;&gt;"",(Input!AT18/Input!$AT$6)*100,"")),"NA")</f>
        <v/>
      </c>
      <c r="Z17" s="310" t="str">
        <f>IF(F17&lt;&gt;"",IF(Input!AU18&lt;&gt;"",Input!AU18,""),"")</f>
        <v/>
      </c>
      <c r="AA17" s="449" t="str">
        <f>IFERROR(IF($Z$5="","",IF(F17&lt;&gt;"",(Input!AU18/Input!$AU$6)*100,"")),"NA")</f>
        <v/>
      </c>
      <c r="AB17" s="310" t="str">
        <f>IF(F17&lt;&gt;"",IF(Input!AV18&lt;&gt;"",Input!AV18,""),"")</f>
        <v/>
      </c>
      <c r="AC17" s="449" t="str">
        <f>IFERROR(IF($AB$5="","",IF(F17&lt;&gt;"",(Input!AV18/Input!$AV$6)*100,"")),"NA")</f>
        <v/>
      </c>
      <c r="AD17" s="310" t="str">
        <f>IF(F17&lt;&gt;"",IF(Input!AW18&lt;&gt;"",Input!AW18,""),"")</f>
        <v/>
      </c>
      <c r="AE17" s="449" t="str">
        <f>IFERROR(IF($AD$5="","",IF(F17&lt;&gt;"",(Input!AW18/Input!$AW$6)*100,"")),"NA")</f>
        <v/>
      </c>
      <c r="AF17" s="108">
        <f>IF(Input!AX18="Error","Error",IF(F17="","",IF($X$5="",0,IF(F17&lt;&gt;"",IFERROR(AVERAGE(Y17,AA17,AC17,AE17)*$AF$4,0),""))))</f>
        <v>0</v>
      </c>
      <c r="AG17" s="174"/>
      <c r="AH17" s="175" t="str">
        <f>IF(F17&lt;&gt;"",IF(Input!AY18&lt;&gt;"",Input!AY18,""),"")</f>
        <v/>
      </c>
      <c r="AI17" s="451" t="str">
        <f>IFERROR(IF($AH$5="","",IF(F17&lt;&gt;"",(Input!AY18/Input!$AY$6)*100,"")),"NA")</f>
        <v/>
      </c>
      <c r="AJ17" s="176" t="str">
        <f>IF(F17&lt;&gt;"",IF(Input!AZ18&lt;&gt;"",Input!AZ18,""),"")</f>
        <v/>
      </c>
      <c r="AK17" s="451" t="str">
        <f>IFERROR(IF($AJ$5="","",IF(F17&lt;&gt;"",(Input!AZ18/Input!$AZ$6)*100,"")),"NA")</f>
        <v/>
      </c>
      <c r="AL17" s="176" t="str">
        <f>IF(F17&lt;&gt;"",IF(Input!BA18&lt;&gt;"",Input!BA18,""),"")</f>
        <v/>
      </c>
      <c r="AM17" s="451" t="str">
        <f>IFERROR(IF($AL$5="","",IF(F17&lt;&gt;"",(Input!BA18/Input!$BA$6)*100,"")),"NA")</f>
        <v/>
      </c>
      <c r="AN17" s="177" t="str">
        <f>IF(F17&lt;&gt;"",IF(Input!BB18&lt;&gt;"",Input!BB18,""),"")</f>
        <v/>
      </c>
      <c r="AO17" s="451" t="str">
        <f>IFERROR(IF($AN$5="","",IF(F17&lt;&gt;"",(Input!BB18/Input!$BB$6)*100,"")),"NA")</f>
        <v/>
      </c>
      <c r="AP17" s="303">
        <f>IF(Input!BC18="Error","Error",IF(F17="","",IF($AH$5="",0,IF(F17&lt;&gt;"",IFERROR(AVERAGE(AI17,AK17,AM17,AO17)*$AP$4,0),""))))</f>
        <v>0</v>
      </c>
      <c r="AQ17" s="174"/>
      <c r="AR17" s="178" t="str">
        <f>IF(Input!BD18="","",IF(F17&lt;&gt;"",Input!BD18,""))</f>
        <v/>
      </c>
      <c r="AS17" s="179" t="str">
        <f>IF(F17="", "",IF(Input!BE18="Error","Error",IF(ISNUMBER(Input!BE18),(Input!BE18*$AS$4),"")))</f>
        <v/>
      </c>
      <c r="AT17" s="331" t="str">
        <f>IF(V17="D","DRP",
IF(F17&lt;&gt;"",
IF(OR(AF17="Error",AP17="Error",AS17="Error"),"Error",
IF(Input!BD18="","-",ROUND(AF17+AP17+AS17,2))),""))</f>
        <v>-</v>
      </c>
      <c r="AU17" s="180" t="str">
        <f>IF(F17&lt;&gt;"",VLOOKUP(AT17,TRANSMUTATION!$A$2:$B$14,2),"")</f>
        <v>INC</v>
      </c>
      <c r="AV17" s="249" t="str">
        <f t="shared" si="1"/>
        <v/>
      </c>
      <c r="AW17" s="182"/>
      <c r="AX17" s="187" t="s">
        <v>118</v>
      </c>
      <c r="AY17" s="188">
        <f>SUM(AY5:AY16)</f>
        <v>17</v>
      </c>
      <c r="BA17" s="97"/>
    </row>
    <row r="18" spans="1:53" ht="15" customHeight="1" x14ac:dyDescent="0.2">
      <c r="A18" s="97"/>
      <c r="C18" s="194">
        <v>12</v>
      </c>
      <c r="D18" s="203" t="str">
        <f>IF(Input!D19&lt;&gt;"",IF(F18&lt;&gt;"",Input!D19,""),"")</f>
        <v>02000512583</v>
      </c>
      <c r="E18" s="297"/>
      <c r="F18" s="298" t="str">
        <f>(IF(Input!F19&lt;&gt;"",Input!F19,""))</f>
        <v>SANCHEZ, CASEY FIONA NOCUS</v>
      </c>
      <c r="G18" s="333"/>
      <c r="H18" s="333"/>
      <c r="I18" s="333"/>
      <c r="J18" s="333"/>
      <c r="K18" s="333"/>
      <c r="L18" s="333"/>
      <c r="M18" s="333"/>
      <c r="N18" s="333"/>
      <c r="O18" s="333"/>
      <c r="P18" s="333"/>
      <c r="Q18" s="333"/>
      <c r="R18" s="333"/>
      <c r="S18" s="333"/>
      <c r="T18" s="333"/>
      <c r="U18" s="333"/>
      <c r="V18" s="336"/>
      <c r="W18" s="173"/>
      <c r="X18" s="309" t="str">
        <f>IF(F18&lt;&gt;"",IF(Input!AT19&lt;&gt;"",Input!AT19,""),"")</f>
        <v/>
      </c>
      <c r="Y18" s="449" t="str">
        <f>IFERROR(IF($X$5="","",IF(F18&lt;&gt;"",(Input!AT19/Input!$AT$6)*100,"")),"NA")</f>
        <v/>
      </c>
      <c r="Z18" s="310" t="str">
        <f>IF(F18&lt;&gt;"",IF(Input!AU19&lt;&gt;"",Input!AU19,""),"")</f>
        <v/>
      </c>
      <c r="AA18" s="449" t="str">
        <f>IFERROR(IF($Z$5="","",IF(F18&lt;&gt;"",(Input!AU19/Input!$AU$6)*100,"")),"NA")</f>
        <v/>
      </c>
      <c r="AB18" s="310" t="str">
        <f>IF(F18&lt;&gt;"",IF(Input!AV19&lt;&gt;"",Input!AV19,""),"")</f>
        <v/>
      </c>
      <c r="AC18" s="449" t="str">
        <f>IFERROR(IF($AB$5="","",IF(F18&lt;&gt;"",(Input!AV19/Input!$AV$6)*100,"")),"NA")</f>
        <v/>
      </c>
      <c r="AD18" s="310" t="str">
        <f>IF(F18&lt;&gt;"",IF(Input!AW19&lt;&gt;"",Input!AW19,""),"")</f>
        <v/>
      </c>
      <c r="AE18" s="449" t="str">
        <f>IFERROR(IF($AD$5="","",IF(F18&lt;&gt;"",(Input!AW19/Input!$AW$6)*100,"")),"NA")</f>
        <v/>
      </c>
      <c r="AF18" s="108">
        <f>IF(Input!AX19="Error","Error",IF(F18="","",IF($X$5="",0,IF(F18&lt;&gt;"",IFERROR(AVERAGE(Y18,AA18,AC18,AE18)*$AF$4,0),""))))</f>
        <v>0</v>
      </c>
      <c r="AG18" s="174"/>
      <c r="AH18" s="175" t="str">
        <f>IF(F18&lt;&gt;"",IF(Input!AY19&lt;&gt;"",Input!AY19,""),"")</f>
        <v/>
      </c>
      <c r="AI18" s="451" t="str">
        <f>IFERROR(IF($AH$5="","",IF(F18&lt;&gt;"",(Input!AY19/Input!$AY$6)*100,"")),"NA")</f>
        <v/>
      </c>
      <c r="AJ18" s="176" t="str">
        <f>IF(F18&lt;&gt;"",IF(Input!AZ19&lt;&gt;"",Input!AZ19,""),"")</f>
        <v/>
      </c>
      <c r="AK18" s="451" t="str">
        <f>IFERROR(IF($AJ$5="","",IF(F18&lt;&gt;"",(Input!AZ19/Input!$AZ$6)*100,"")),"NA")</f>
        <v/>
      </c>
      <c r="AL18" s="176" t="str">
        <f>IF(F18&lt;&gt;"",IF(Input!BA19&lt;&gt;"",Input!BA19,""),"")</f>
        <v/>
      </c>
      <c r="AM18" s="451" t="str">
        <f>IFERROR(IF($AL$5="","",IF(F18&lt;&gt;"",(Input!BA19/Input!$BA$6)*100,"")),"NA")</f>
        <v/>
      </c>
      <c r="AN18" s="177" t="str">
        <f>IF(F18&lt;&gt;"",IF(Input!BB19&lt;&gt;"",Input!BB19,""),"")</f>
        <v/>
      </c>
      <c r="AO18" s="451" t="str">
        <f>IFERROR(IF($AN$5="","",IF(F18&lt;&gt;"",(Input!BB19/Input!$BB$6)*100,"")),"NA")</f>
        <v/>
      </c>
      <c r="AP18" s="303">
        <f>IF(Input!BC19="Error","Error",IF(F18="","",IF($AH$5="",0,IF(F18&lt;&gt;"",IFERROR(AVERAGE(AI18,AK18,AM18,AO18)*$AP$4,0),""))))</f>
        <v>0</v>
      </c>
      <c r="AQ18" s="174"/>
      <c r="AR18" s="178" t="str">
        <f>IF(Input!BD19="","",IF(F18&lt;&gt;"",Input!BD19,""))</f>
        <v/>
      </c>
      <c r="AS18" s="179" t="str">
        <f>IF(F18="", "",IF(Input!BE19="Error","Error",IF(ISNUMBER(Input!BE19),(Input!BE19*$AS$4),"")))</f>
        <v/>
      </c>
      <c r="AT18" s="331" t="str">
        <f>IF(V18="D","DRP",
IF(F18&lt;&gt;"",
IF(OR(AF18="Error",AP18="Error",AS18="Error"),"Error",
IF(Input!BD19="","-",ROUND(AF18+AP18+AS18,2))),""))</f>
        <v>-</v>
      </c>
      <c r="AU18" s="180" t="str">
        <f>IF(F18&lt;&gt;"",VLOOKUP(AT18,TRANSMUTATION!$A$2:$B$14,2),"")</f>
        <v>INC</v>
      </c>
      <c r="AV18" s="249" t="str">
        <f t="shared" si="1"/>
        <v/>
      </c>
      <c r="AW18" s="182"/>
      <c r="BA18" s="97"/>
    </row>
    <row r="19" spans="1:53" ht="15" customHeight="1" x14ac:dyDescent="0.2">
      <c r="A19" s="97"/>
      <c r="C19" s="194">
        <v>13</v>
      </c>
      <c r="D19" s="203" t="str">
        <f>IF(Input!D20&lt;&gt;"",IF(F19&lt;&gt;"",Input!D20,""),"")</f>
        <v>02000510067</v>
      </c>
      <c r="E19" s="297"/>
      <c r="F19" s="298" t="str">
        <f>(IF(Input!F20&lt;&gt;"",Input!F20,""))</f>
        <v>SANOY, KARL ASHER MEDINA</v>
      </c>
      <c r="G19" s="333"/>
      <c r="H19" s="333"/>
      <c r="I19" s="333"/>
      <c r="J19" s="333"/>
      <c r="K19" s="333"/>
      <c r="L19" s="333"/>
      <c r="M19" s="333"/>
      <c r="N19" s="333"/>
      <c r="O19" s="333"/>
      <c r="P19" s="333"/>
      <c r="Q19" s="333"/>
      <c r="R19" s="333"/>
      <c r="S19" s="333"/>
      <c r="T19" s="333"/>
      <c r="U19" s="333"/>
      <c r="V19" s="336"/>
      <c r="W19" s="173"/>
      <c r="X19" s="309" t="str">
        <f>IF(F19&lt;&gt;"",IF(Input!AT20&lt;&gt;"",Input!AT20,""),"")</f>
        <v/>
      </c>
      <c r="Y19" s="449" t="str">
        <f>IFERROR(IF($X$5="","",IF(F19&lt;&gt;"",(Input!AT20/Input!$AT$6)*100,"")),"NA")</f>
        <v/>
      </c>
      <c r="Z19" s="310" t="str">
        <f>IF(F19&lt;&gt;"",IF(Input!AU20&lt;&gt;"",Input!AU20,""),"")</f>
        <v/>
      </c>
      <c r="AA19" s="449" t="str">
        <f>IFERROR(IF($Z$5="","",IF(F19&lt;&gt;"",(Input!AU20/Input!$AU$6)*100,"")),"NA")</f>
        <v/>
      </c>
      <c r="AB19" s="310" t="str">
        <f>IF(F19&lt;&gt;"",IF(Input!AV20&lt;&gt;"",Input!AV20,""),"")</f>
        <v/>
      </c>
      <c r="AC19" s="449" t="str">
        <f>IFERROR(IF($AB$5="","",IF(F19&lt;&gt;"",(Input!AV20/Input!$AV$6)*100,"")),"NA")</f>
        <v/>
      </c>
      <c r="AD19" s="310" t="str">
        <f>IF(F19&lt;&gt;"",IF(Input!AW20&lt;&gt;"",Input!AW20,""),"")</f>
        <v/>
      </c>
      <c r="AE19" s="449" t="str">
        <f>IFERROR(IF($AD$5="","",IF(F19&lt;&gt;"",(Input!AW20/Input!$AW$6)*100,"")),"NA")</f>
        <v/>
      </c>
      <c r="AF19" s="108">
        <f>IF(Input!AX20="Error","Error",IF(F19="","",IF($X$5="",0,IF(F19&lt;&gt;"",IFERROR(AVERAGE(Y19,AA19,AC19,AE19)*$AF$4,0),""))))</f>
        <v>0</v>
      </c>
      <c r="AG19" s="174"/>
      <c r="AH19" s="175" t="str">
        <f>IF(F19&lt;&gt;"",IF(Input!AY20&lt;&gt;"",Input!AY20,""),"")</f>
        <v/>
      </c>
      <c r="AI19" s="451" t="str">
        <f>IFERROR(IF($AH$5="","",IF(F19&lt;&gt;"",(Input!AY20/Input!$AY$6)*100,"")),"NA")</f>
        <v/>
      </c>
      <c r="AJ19" s="176" t="str">
        <f>IF(F19&lt;&gt;"",IF(Input!AZ20&lt;&gt;"",Input!AZ20,""),"")</f>
        <v/>
      </c>
      <c r="AK19" s="451" t="str">
        <f>IFERROR(IF($AJ$5="","",IF(F19&lt;&gt;"",(Input!AZ20/Input!$AZ$6)*100,"")),"NA")</f>
        <v/>
      </c>
      <c r="AL19" s="176" t="str">
        <f>IF(F19&lt;&gt;"",IF(Input!BA20&lt;&gt;"",Input!BA20,""),"")</f>
        <v/>
      </c>
      <c r="AM19" s="451" t="str">
        <f>IFERROR(IF($AL$5="","",IF(F19&lt;&gt;"",(Input!BA20/Input!$BA$6)*100,"")),"NA")</f>
        <v/>
      </c>
      <c r="AN19" s="177" t="str">
        <f>IF(F19&lt;&gt;"",IF(Input!BB20&lt;&gt;"",Input!BB20,""),"")</f>
        <v/>
      </c>
      <c r="AO19" s="451" t="str">
        <f>IFERROR(IF($AN$5="","",IF(F19&lt;&gt;"",(Input!BB20/Input!$BB$6)*100,"")),"NA")</f>
        <v/>
      </c>
      <c r="AP19" s="303">
        <f>IF(Input!BC20="Error","Error",IF(F19="","",IF($AH$5="",0,IF(F19&lt;&gt;"",IFERROR(AVERAGE(AI19,AK19,AM19,AO19)*$AP$4,0),""))))</f>
        <v>0</v>
      </c>
      <c r="AQ19" s="174"/>
      <c r="AR19" s="178" t="str">
        <f>IF(Input!BD20="","",IF(F19&lt;&gt;"",Input!BD20,""))</f>
        <v/>
      </c>
      <c r="AS19" s="179" t="str">
        <f>IF(F19="", "",IF(Input!BE20="Error","Error",IF(ISNUMBER(Input!BE20),(Input!BE20*$AS$4),"")))</f>
        <v/>
      </c>
      <c r="AT19" s="331" t="str">
        <f>IF(V19="D","DRP",
IF(F19&lt;&gt;"",
IF(OR(AF19="Error",AP19="Error",AS19="Error"),"Error",
IF(Input!BD20="","-",ROUND(AF19+AP19+AS19,2))),""))</f>
        <v>-</v>
      </c>
      <c r="AU19" s="180" t="str">
        <f>IF(F19&lt;&gt;"",VLOOKUP(AT19,TRANSMUTATION!$A$2:$B$14,2),"")</f>
        <v>INC</v>
      </c>
      <c r="AV19" s="249" t="str">
        <f t="shared" si="1"/>
        <v/>
      </c>
      <c r="AW19" s="182"/>
      <c r="BA19" s="97"/>
    </row>
    <row r="20" spans="1:53" ht="15" customHeight="1" x14ac:dyDescent="0.2">
      <c r="A20" s="97"/>
      <c r="C20" s="194">
        <v>14</v>
      </c>
      <c r="D20" s="203" t="str">
        <f>IF(Input!D21&lt;&gt;"",IF(F20&lt;&gt;"",Input!D21,""),"")</f>
        <v>02000511216</v>
      </c>
      <c r="E20" s="297"/>
      <c r="F20" s="298" t="str">
        <f>(IF(Input!F21&lt;&gt;"",Input!F21,""))</f>
        <v>TENORIO, JENINA ROSE TIBATIB</v>
      </c>
      <c r="G20" s="333"/>
      <c r="H20" s="333"/>
      <c r="I20" s="333"/>
      <c r="J20" s="333"/>
      <c r="K20" s="333"/>
      <c r="L20" s="333"/>
      <c r="M20" s="333"/>
      <c r="N20" s="333"/>
      <c r="O20" s="333"/>
      <c r="P20" s="333"/>
      <c r="Q20" s="333"/>
      <c r="R20" s="333"/>
      <c r="S20" s="333"/>
      <c r="T20" s="333"/>
      <c r="U20" s="333"/>
      <c r="V20" s="336"/>
      <c r="W20" s="173"/>
      <c r="X20" s="309" t="str">
        <f>IF(F20&lt;&gt;"",IF(Input!AT21&lt;&gt;"",Input!AT21,""),"")</f>
        <v/>
      </c>
      <c r="Y20" s="449" t="str">
        <f>IFERROR(IF($X$5="","",IF(F20&lt;&gt;"",(Input!AT21/Input!$AT$6)*100,"")),"NA")</f>
        <v/>
      </c>
      <c r="Z20" s="310" t="str">
        <f>IF(F20&lt;&gt;"",IF(Input!AU21&lt;&gt;"",Input!AU21,""),"")</f>
        <v/>
      </c>
      <c r="AA20" s="449" t="str">
        <f>IFERROR(IF($Z$5="","",IF(F20&lt;&gt;"",(Input!AU21/Input!$AU$6)*100,"")),"NA")</f>
        <v/>
      </c>
      <c r="AB20" s="310" t="str">
        <f>IF(F20&lt;&gt;"",IF(Input!AV21&lt;&gt;"",Input!AV21,""),"")</f>
        <v/>
      </c>
      <c r="AC20" s="449" t="str">
        <f>IFERROR(IF($AB$5="","",IF(F20&lt;&gt;"",(Input!AV21/Input!$AV$6)*100,"")),"NA")</f>
        <v/>
      </c>
      <c r="AD20" s="310" t="str">
        <f>IF(F20&lt;&gt;"",IF(Input!AW21&lt;&gt;"",Input!AW21,""),"")</f>
        <v/>
      </c>
      <c r="AE20" s="449" t="str">
        <f>IFERROR(IF($AD$5="","",IF(F20&lt;&gt;"",(Input!AW21/Input!$AW$6)*100,"")),"NA")</f>
        <v/>
      </c>
      <c r="AF20" s="108">
        <f>IF(Input!AX21="Error","Error",IF(F20="","",IF($X$5="",0,IF(F20&lt;&gt;"",IFERROR(AVERAGE(Y20,AA20,AC20,AE20)*$AF$4,0),""))))</f>
        <v>0</v>
      </c>
      <c r="AG20" s="174"/>
      <c r="AH20" s="175" t="str">
        <f>IF(F20&lt;&gt;"",IF(Input!AY21&lt;&gt;"",Input!AY21,""),"")</f>
        <v/>
      </c>
      <c r="AI20" s="451" t="str">
        <f>IFERROR(IF($AH$5="","",IF(F20&lt;&gt;"",(Input!AY21/Input!$AY$6)*100,"")),"NA")</f>
        <v/>
      </c>
      <c r="AJ20" s="176" t="str">
        <f>IF(F20&lt;&gt;"",IF(Input!AZ21&lt;&gt;"",Input!AZ21,""),"")</f>
        <v/>
      </c>
      <c r="AK20" s="451" t="str">
        <f>IFERROR(IF($AJ$5="","",IF(F20&lt;&gt;"",(Input!AZ21/Input!$AZ$6)*100,"")),"NA")</f>
        <v/>
      </c>
      <c r="AL20" s="176" t="str">
        <f>IF(F20&lt;&gt;"",IF(Input!BA21&lt;&gt;"",Input!BA21,""),"")</f>
        <v/>
      </c>
      <c r="AM20" s="451" t="str">
        <f>IFERROR(IF($AL$5="","",IF(F20&lt;&gt;"",(Input!BA21/Input!$BA$6)*100,"")),"NA")</f>
        <v/>
      </c>
      <c r="AN20" s="177" t="str">
        <f>IF(F20&lt;&gt;"",IF(Input!BB21&lt;&gt;"",Input!BB21,""),"")</f>
        <v/>
      </c>
      <c r="AO20" s="451" t="str">
        <f>IFERROR(IF($AN$5="","",IF(F20&lt;&gt;"",(Input!BB21/Input!$BB$6)*100,"")),"NA")</f>
        <v/>
      </c>
      <c r="AP20" s="303">
        <f>IF(Input!BC21="Error","Error",IF(F20="","",IF($AH$5="",0,IF(F20&lt;&gt;"",IFERROR(AVERAGE(AI20,AK20,AM20,AO20)*$AP$4,0),""))))</f>
        <v>0</v>
      </c>
      <c r="AQ20" s="174"/>
      <c r="AR20" s="178" t="str">
        <f>IF(Input!BD21="","",IF(F20&lt;&gt;"",Input!BD21,""))</f>
        <v/>
      </c>
      <c r="AS20" s="179" t="str">
        <f>IF(F20="", "",IF(Input!BE21="Error","Error",IF(ISNUMBER(Input!BE21),(Input!BE21*$AS$4),"")))</f>
        <v/>
      </c>
      <c r="AT20" s="331" t="str">
        <f>IF(V20="D","DRP",
IF(F20&lt;&gt;"",
IF(OR(AF20="Error",AP20="Error",AS20="Error"),"Error",
IF(Input!BD21="","-",ROUND(AF20+AP20+AS20,2))),""))</f>
        <v>-</v>
      </c>
      <c r="AU20" s="180" t="str">
        <f>IF(F20&lt;&gt;"",VLOOKUP(AT20,TRANSMUTATION!$A$2:$B$14,2),"")</f>
        <v>INC</v>
      </c>
      <c r="AV20" s="249" t="str">
        <f t="shared" si="1"/>
        <v/>
      </c>
      <c r="AW20" s="182"/>
      <c r="BA20" s="97"/>
    </row>
    <row r="21" spans="1:53" ht="15" customHeight="1" x14ac:dyDescent="0.2">
      <c r="A21" s="97"/>
      <c r="C21" s="194">
        <v>15</v>
      </c>
      <c r="D21" s="203" t="str">
        <f>IF(Input!D22&lt;&gt;"",IF(F21&lt;&gt;"",Input!D22,""),"")</f>
        <v>02000402782</v>
      </c>
      <c r="E21" s="297"/>
      <c r="F21" s="298" t="str">
        <f>(IF(Input!F22&lt;&gt;"",Input!F22,""))</f>
        <v>TUAZON, PHOEBE RONTAS</v>
      </c>
      <c r="G21" s="333"/>
      <c r="H21" s="333"/>
      <c r="I21" s="333"/>
      <c r="J21" s="333"/>
      <c r="K21" s="333"/>
      <c r="L21" s="333"/>
      <c r="M21" s="333"/>
      <c r="N21" s="333"/>
      <c r="O21" s="333"/>
      <c r="P21" s="333"/>
      <c r="Q21" s="333"/>
      <c r="R21" s="333"/>
      <c r="S21" s="333"/>
      <c r="T21" s="333"/>
      <c r="U21" s="333"/>
      <c r="V21" s="336"/>
      <c r="W21" s="173"/>
      <c r="X21" s="309" t="str">
        <f>IF(F21&lt;&gt;"",IF(Input!AT22&lt;&gt;"",Input!AT22,""),"")</f>
        <v/>
      </c>
      <c r="Y21" s="449" t="str">
        <f>IFERROR(IF($X$5="","",IF(F21&lt;&gt;"",(Input!AT22/Input!$AT$6)*100,"")),"NA")</f>
        <v/>
      </c>
      <c r="Z21" s="310" t="str">
        <f>IF(F21&lt;&gt;"",IF(Input!AU22&lt;&gt;"",Input!AU22,""),"")</f>
        <v/>
      </c>
      <c r="AA21" s="449" t="str">
        <f>IFERROR(IF($Z$5="","",IF(F21&lt;&gt;"",(Input!AU22/Input!$AU$6)*100,"")),"NA")</f>
        <v/>
      </c>
      <c r="AB21" s="310" t="str">
        <f>IF(F21&lt;&gt;"",IF(Input!AV22&lt;&gt;"",Input!AV22,""),"")</f>
        <v/>
      </c>
      <c r="AC21" s="449" t="str">
        <f>IFERROR(IF($AB$5="","",IF(F21&lt;&gt;"",(Input!AV22/Input!$AV$6)*100,"")),"NA")</f>
        <v/>
      </c>
      <c r="AD21" s="310" t="str">
        <f>IF(F21&lt;&gt;"",IF(Input!AW22&lt;&gt;"",Input!AW22,""),"")</f>
        <v/>
      </c>
      <c r="AE21" s="449" t="str">
        <f>IFERROR(IF($AD$5="","",IF(F21&lt;&gt;"",(Input!AW22/Input!$AW$6)*100,"")),"NA")</f>
        <v/>
      </c>
      <c r="AF21" s="108">
        <f>IF(Input!AX22="Error","Error",IF(F21="","",IF($X$5="",0,IF(F21&lt;&gt;"",IFERROR(AVERAGE(Y21,AA21,AC21,AE21)*$AF$4,0),""))))</f>
        <v>0</v>
      </c>
      <c r="AG21" s="174"/>
      <c r="AH21" s="175" t="str">
        <f>IF(F21&lt;&gt;"",IF(Input!AY22&lt;&gt;"",Input!AY22,""),"")</f>
        <v/>
      </c>
      <c r="AI21" s="451" t="str">
        <f>IFERROR(IF($AH$5="","",IF(F21&lt;&gt;"",(Input!AY22/Input!$AY$6)*100,"")),"NA")</f>
        <v/>
      </c>
      <c r="AJ21" s="176" t="str">
        <f>IF(F21&lt;&gt;"",IF(Input!AZ22&lt;&gt;"",Input!AZ22,""),"")</f>
        <v/>
      </c>
      <c r="AK21" s="451" t="str">
        <f>IFERROR(IF($AJ$5="","",IF(F21&lt;&gt;"",(Input!AZ22/Input!$AZ$6)*100,"")),"NA")</f>
        <v/>
      </c>
      <c r="AL21" s="176" t="str">
        <f>IF(F21&lt;&gt;"",IF(Input!BA22&lt;&gt;"",Input!BA22,""),"")</f>
        <v/>
      </c>
      <c r="AM21" s="451" t="str">
        <f>IFERROR(IF($AL$5="","",IF(F21&lt;&gt;"",(Input!BA22/Input!$BA$6)*100,"")),"NA")</f>
        <v/>
      </c>
      <c r="AN21" s="177" t="str">
        <f>IF(F21&lt;&gt;"",IF(Input!BB22&lt;&gt;"",Input!BB22,""),"")</f>
        <v/>
      </c>
      <c r="AO21" s="451" t="str">
        <f>IFERROR(IF($AN$5="","",IF(F21&lt;&gt;"",(Input!BB22/Input!$BB$6)*100,"")),"NA")</f>
        <v/>
      </c>
      <c r="AP21" s="303">
        <f>IF(Input!BC22="Error","Error",IF(F21="","",IF($AH$5="",0,IF(F21&lt;&gt;"",IFERROR(AVERAGE(AI21,AK21,AM21,AO21)*$AP$4,0),""))))</f>
        <v>0</v>
      </c>
      <c r="AQ21" s="174"/>
      <c r="AR21" s="178" t="str">
        <f>IF(Input!BD22="","",IF(F21&lt;&gt;"",Input!BD22,""))</f>
        <v/>
      </c>
      <c r="AS21" s="179" t="str">
        <f>IF(F21="", "",IF(Input!BE22="Error","Error",IF(ISNUMBER(Input!BE22),(Input!BE22*$AS$4),"")))</f>
        <v/>
      </c>
      <c r="AT21" s="331" t="str">
        <f>IF(V21="D","DRP",
IF(F21&lt;&gt;"",
IF(OR(AF21="Error",AP21="Error",AS21="Error"),"Error",
IF(Input!BD22="","-",ROUND(AF21+AP21+AS21,2))),""))</f>
        <v>-</v>
      </c>
      <c r="AU21" s="180" t="str">
        <f>IF(F21&lt;&gt;"",VLOOKUP(AT21,TRANSMUTATION!$A$2:$B$14,2),"")</f>
        <v>INC</v>
      </c>
      <c r="AV21" s="249" t="str">
        <f t="shared" si="1"/>
        <v/>
      </c>
      <c r="AW21" s="182"/>
      <c r="BA21" s="97"/>
    </row>
    <row r="22" spans="1:53" ht="15" customHeight="1" x14ac:dyDescent="0.2">
      <c r="A22" s="97"/>
      <c r="C22" s="194">
        <v>16</v>
      </c>
      <c r="D22" s="203" t="str">
        <f>IF(Input!D23&lt;&gt;"",IF(F22&lt;&gt;"",Input!D23,""),"")</f>
        <v>02000511382</v>
      </c>
      <c r="E22" s="297"/>
      <c r="F22" s="298" t="str">
        <f>(IF(Input!F23&lt;&gt;"",Input!F23,""))</f>
        <v>TUMACAG, JOHN RAVE VALERA</v>
      </c>
      <c r="G22" s="333"/>
      <c r="H22" s="333"/>
      <c r="I22" s="333"/>
      <c r="J22" s="333"/>
      <c r="K22" s="333"/>
      <c r="L22" s="333"/>
      <c r="M22" s="333"/>
      <c r="N22" s="333"/>
      <c r="O22" s="333"/>
      <c r="P22" s="333"/>
      <c r="Q22" s="333"/>
      <c r="R22" s="333"/>
      <c r="S22" s="333"/>
      <c r="T22" s="333"/>
      <c r="U22" s="333"/>
      <c r="V22" s="336"/>
      <c r="W22" s="173"/>
      <c r="X22" s="309" t="str">
        <f>IF(F22&lt;&gt;"",IF(Input!AT23&lt;&gt;"",Input!AT23,""),"")</f>
        <v/>
      </c>
      <c r="Y22" s="449" t="str">
        <f>IFERROR(IF($X$5="","",IF(F22&lt;&gt;"",(Input!AT23/Input!$AT$6)*100,"")),"NA")</f>
        <v/>
      </c>
      <c r="Z22" s="310" t="str">
        <f>IF(F22&lt;&gt;"",IF(Input!AU23&lt;&gt;"",Input!AU23,""),"")</f>
        <v/>
      </c>
      <c r="AA22" s="449" t="str">
        <f>IFERROR(IF($Z$5="","",IF(F22&lt;&gt;"",(Input!AU23/Input!$AU$6)*100,"")),"NA")</f>
        <v/>
      </c>
      <c r="AB22" s="310" t="str">
        <f>IF(F22&lt;&gt;"",IF(Input!AV23&lt;&gt;"",Input!AV23,""),"")</f>
        <v/>
      </c>
      <c r="AC22" s="449" t="str">
        <f>IFERROR(IF($AB$5="","",IF(F22&lt;&gt;"",(Input!AV23/Input!$AV$6)*100,"")),"NA")</f>
        <v/>
      </c>
      <c r="AD22" s="310" t="str">
        <f>IF(F22&lt;&gt;"",IF(Input!AW23&lt;&gt;"",Input!AW23,""),"")</f>
        <v/>
      </c>
      <c r="AE22" s="449" t="str">
        <f>IFERROR(IF($AD$5="","",IF(F22&lt;&gt;"",(Input!AW23/Input!$AW$6)*100,"")),"NA")</f>
        <v/>
      </c>
      <c r="AF22" s="108">
        <f>IF(Input!AX23="Error","Error",IF(F22="","",IF($X$5="",0,IF(F22&lt;&gt;"",IFERROR(AVERAGE(Y22,AA22,AC22,AE22)*$AF$4,0),""))))</f>
        <v>0</v>
      </c>
      <c r="AG22" s="174"/>
      <c r="AH22" s="175" t="str">
        <f>IF(F22&lt;&gt;"",IF(Input!AY23&lt;&gt;"",Input!AY23,""),"")</f>
        <v/>
      </c>
      <c r="AI22" s="451" t="str">
        <f>IFERROR(IF($AH$5="","",IF(F22&lt;&gt;"",(Input!AY23/Input!$AY$6)*100,"")),"NA")</f>
        <v/>
      </c>
      <c r="AJ22" s="176" t="str">
        <f>IF(F22&lt;&gt;"",IF(Input!AZ23&lt;&gt;"",Input!AZ23,""),"")</f>
        <v/>
      </c>
      <c r="AK22" s="451" t="str">
        <f>IFERROR(IF($AJ$5="","",IF(F22&lt;&gt;"",(Input!AZ23/Input!$AZ$6)*100,"")),"NA")</f>
        <v/>
      </c>
      <c r="AL22" s="176" t="str">
        <f>IF(F22&lt;&gt;"",IF(Input!BA23&lt;&gt;"",Input!BA23,""),"")</f>
        <v/>
      </c>
      <c r="AM22" s="451" t="str">
        <f>IFERROR(IF($AL$5="","",IF(F22&lt;&gt;"",(Input!BA23/Input!$BA$6)*100,"")),"NA")</f>
        <v/>
      </c>
      <c r="AN22" s="177" t="str">
        <f>IF(F22&lt;&gt;"",IF(Input!BB23&lt;&gt;"",Input!BB23,""),"")</f>
        <v/>
      </c>
      <c r="AO22" s="451" t="str">
        <f>IFERROR(IF($AN$5="","",IF(F22&lt;&gt;"",(Input!BB23/Input!$BB$6)*100,"")),"NA")</f>
        <v/>
      </c>
      <c r="AP22" s="303">
        <f>IF(Input!BC23="Error","Error",IF(F22="","",IF($AH$5="",0,IF(F22&lt;&gt;"",IFERROR(AVERAGE(AI22,AK22,AM22,AO22)*$AP$4,0),""))))</f>
        <v>0</v>
      </c>
      <c r="AQ22" s="174"/>
      <c r="AR22" s="178" t="str">
        <f>IF(Input!BD23="","",IF(F22&lt;&gt;"",Input!BD23,""))</f>
        <v/>
      </c>
      <c r="AS22" s="179" t="str">
        <f>IF(F22="", "",IF(Input!BE23="Error","Error",IF(ISNUMBER(Input!BE23),(Input!BE23*$AS$4),"")))</f>
        <v/>
      </c>
      <c r="AT22" s="331" t="str">
        <f>IF(V22="D","DRP",
IF(F22&lt;&gt;"",
IF(OR(AF22="Error",AP22="Error",AS22="Error"),"Error",
IF(Input!BD23="","-",ROUND(AF22+AP22+AS22,2))),""))</f>
        <v>-</v>
      </c>
      <c r="AU22" s="180" t="str">
        <f>IF(F22&lt;&gt;"",VLOOKUP(AT22,TRANSMUTATION!$A$2:$B$14,2),"")</f>
        <v>INC</v>
      </c>
      <c r="AV22" s="249" t="str">
        <f t="shared" si="1"/>
        <v/>
      </c>
      <c r="AW22" s="182"/>
      <c r="BA22" s="97"/>
    </row>
    <row r="23" spans="1:53" ht="15" customHeight="1" x14ac:dyDescent="0.2">
      <c r="A23" s="97"/>
      <c r="C23" s="194">
        <v>17</v>
      </c>
      <c r="D23" s="203" t="str">
        <f>IF(Input!D24&lt;&gt;"",IF(F23&lt;&gt;"",Input!D24,""),"")</f>
        <v>02000301305</v>
      </c>
      <c r="E23" s="297"/>
      <c r="F23" s="298" t="str">
        <f>(IF(Input!F24&lt;&gt;"",Input!F24,""))</f>
        <v>UMALI, RINZO CAMU</v>
      </c>
      <c r="G23" s="333"/>
      <c r="H23" s="333"/>
      <c r="I23" s="333"/>
      <c r="J23" s="333"/>
      <c r="K23" s="333"/>
      <c r="L23" s="333"/>
      <c r="M23" s="333"/>
      <c r="N23" s="333"/>
      <c r="O23" s="333"/>
      <c r="P23" s="333"/>
      <c r="Q23" s="333"/>
      <c r="R23" s="333"/>
      <c r="S23" s="333"/>
      <c r="T23" s="333"/>
      <c r="U23" s="333"/>
      <c r="V23" s="336"/>
      <c r="W23" s="173"/>
      <c r="X23" s="309" t="str">
        <f>IF(F23&lt;&gt;"",IF(Input!AT24&lt;&gt;"",Input!AT24,""),"")</f>
        <v/>
      </c>
      <c r="Y23" s="449" t="str">
        <f>IFERROR(IF($X$5="","",IF(F23&lt;&gt;"",(Input!AT24/Input!$AT$6)*100,"")),"NA")</f>
        <v/>
      </c>
      <c r="Z23" s="310" t="str">
        <f>IF(F23&lt;&gt;"",IF(Input!AU24&lt;&gt;"",Input!AU24,""),"")</f>
        <v/>
      </c>
      <c r="AA23" s="449" t="str">
        <f>IFERROR(IF($Z$5="","",IF(F23&lt;&gt;"",(Input!AU24/Input!$AU$6)*100,"")),"NA")</f>
        <v/>
      </c>
      <c r="AB23" s="310" t="str">
        <f>IF(F23&lt;&gt;"",IF(Input!AV24&lt;&gt;"",Input!AV24,""),"")</f>
        <v/>
      </c>
      <c r="AC23" s="449" t="str">
        <f>IFERROR(IF($AB$5="","",IF(F23&lt;&gt;"",(Input!AV24/Input!$AV$6)*100,"")),"NA")</f>
        <v/>
      </c>
      <c r="AD23" s="310" t="str">
        <f>IF(F23&lt;&gt;"",IF(Input!AW24&lt;&gt;"",Input!AW24,""),"")</f>
        <v/>
      </c>
      <c r="AE23" s="449" t="str">
        <f>IFERROR(IF($AD$5="","",IF(F23&lt;&gt;"",(Input!AW24/Input!$AW$6)*100,"")),"NA")</f>
        <v/>
      </c>
      <c r="AF23" s="108">
        <f>IF(Input!AX24="Error","Error",IF(F23="","",IF($X$5="",0,IF(F23&lt;&gt;"",IFERROR(AVERAGE(Y23,AA23,AC23,AE23)*$AF$4,0),""))))</f>
        <v>0</v>
      </c>
      <c r="AG23" s="174"/>
      <c r="AH23" s="175" t="str">
        <f>IF(F23&lt;&gt;"",IF(Input!AY24&lt;&gt;"",Input!AY24,""),"")</f>
        <v/>
      </c>
      <c r="AI23" s="451" t="str">
        <f>IFERROR(IF($AH$5="","",IF(F23&lt;&gt;"",(Input!AY24/Input!$AY$6)*100,"")),"NA")</f>
        <v/>
      </c>
      <c r="AJ23" s="176" t="str">
        <f>IF(F23&lt;&gt;"",IF(Input!AZ24&lt;&gt;"",Input!AZ24,""),"")</f>
        <v/>
      </c>
      <c r="AK23" s="451" t="str">
        <f>IFERROR(IF($AJ$5="","",IF(F23&lt;&gt;"",(Input!AZ24/Input!$AZ$6)*100,"")),"NA")</f>
        <v/>
      </c>
      <c r="AL23" s="176" t="str">
        <f>IF(F23&lt;&gt;"",IF(Input!BA24&lt;&gt;"",Input!BA24,""),"")</f>
        <v/>
      </c>
      <c r="AM23" s="451" t="str">
        <f>IFERROR(IF($AL$5="","",IF(F23&lt;&gt;"",(Input!BA24/Input!$BA$6)*100,"")),"NA")</f>
        <v/>
      </c>
      <c r="AN23" s="177" t="str">
        <f>IF(F23&lt;&gt;"",IF(Input!BB24&lt;&gt;"",Input!BB24,""),"")</f>
        <v/>
      </c>
      <c r="AO23" s="451" t="str">
        <f>IFERROR(IF($AN$5="","",IF(F23&lt;&gt;"",(Input!BB24/Input!$BB$6)*100,"")),"NA")</f>
        <v/>
      </c>
      <c r="AP23" s="303">
        <f>IF(Input!BC24="Error","Error",IF(F23="","",IF($AH$5="",0,IF(F23&lt;&gt;"",IFERROR(AVERAGE(AI23,AK23,AM23,AO23)*$AP$4,0),""))))</f>
        <v>0</v>
      </c>
      <c r="AQ23" s="174"/>
      <c r="AR23" s="178" t="str">
        <f>IF(Input!BD24="","",IF(F23&lt;&gt;"",Input!BD24,""))</f>
        <v/>
      </c>
      <c r="AS23" s="179" t="str">
        <f>IF(F23="", "",IF(Input!BE24="Error","Error",IF(ISNUMBER(Input!BE24),(Input!BE24*$AS$4),"")))</f>
        <v/>
      </c>
      <c r="AT23" s="331" t="str">
        <f>IF(V23="D","DRP",
IF(F23&lt;&gt;"",
IF(OR(AF23="Error",AP23="Error",AS23="Error"),"Error",
IF(Input!BD24="","-",ROUND(AF23+AP23+AS23,2))),""))</f>
        <v>-</v>
      </c>
      <c r="AU23" s="180" t="str">
        <f>IF(F23&lt;&gt;"",VLOOKUP(AT23,TRANSMUTATION!$A$2:$B$14,2),"")</f>
        <v>INC</v>
      </c>
      <c r="AV23" s="249" t="str">
        <f t="shared" si="1"/>
        <v/>
      </c>
      <c r="AW23" s="182"/>
      <c r="BA23" s="97"/>
    </row>
    <row r="24" spans="1:53" ht="15" customHeight="1" x14ac:dyDescent="0.2">
      <c r="A24" s="97"/>
      <c r="C24" s="194">
        <v>18</v>
      </c>
      <c r="D24" s="203" t="str">
        <f>IF(Input!D25&lt;&gt;"",IF(F24&lt;&gt;"",Input!D25,""),"")</f>
        <v/>
      </c>
      <c r="E24" s="297"/>
      <c r="F24" s="298" t="str">
        <f>(IF(Input!F25&lt;&gt;"",Input!F25,""))</f>
        <v/>
      </c>
      <c r="G24" s="333"/>
      <c r="H24" s="333"/>
      <c r="I24" s="333"/>
      <c r="J24" s="333"/>
      <c r="K24" s="333"/>
      <c r="L24" s="333"/>
      <c r="M24" s="333"/>
      <c r="N24" s="333"/>
      <c r="O24" s="333"/>
      <c r="P24" s="333"/>
      <c r="Q24" s="333"/>
      <c r="R24" s="333"/>
      <c r="S24" s="333"/>
      <c r="T24" s="333"/>
      <c r="U24" s="333"/>
      <c r="V24" s="336"/>
      <c r="W24" s="173"/>
      <c r="X24" s="309" t="str">
        <f>IF(F24&lt;&gt;"",IF(Input!AT25&lt;&gt;"",Input!AT25,""),"")</f>
        <v/>
      </c>
      <c r="Y24" s="449" t="str">
        <f>IFERROR(IF($X$5="","",IF(F24&lt;&gt;"",(Input!AT25/Input!$AT$6)*100,"")),"NA")</f>
        <v/>
      </c>
      <c r="Z24" s="310" t="str">
        <f>IF(F24&lt;&gt;"",IF(Input!AU25&lt;&gt;"",Input!AU25,""),"")</f>
        <v/>
      </c>
      <c r="AA24" s="449" t="str">
        <f>IFERROR(IF($Z$5="","",IF(F24&lt;&gt;"",(Input!AU25/Input!$AU$6)*100,"")),"NA")</f>
        <v/>
      </c>
      <c r="AB24" s="310" t="str">
        <f>IF(F24&lt;&gt;"",IF(Input!AV25&lt;&gt;"",Input!AV25,""),"")</f>
        <v/>
      </c>
      <c r="AC24" s="449" t="str">
        <f>IFERROR(IF($AB$5="","",IF(F24&lt;&gt;"",(Input!AV25/Input!$AV$6)*100,"")),"NA")</f>
        <v/>
      </c>
      <c r="AD24" s="310" t="str">
        <f>IF(F24&lt;&gt;"",IF(Input!AW25&lt;&gt;"",Input!AW25,""),"")</f>
        <v/>
      </c>
      <c r="AE24" s="449" t="str">
        <f>IFERROR(IF($AD$5="","",IF(F24&lt;&gt;"",(Input!AW25/Input!$AW$6)*100,"")),"NA")</f>
        <v/>
      </c>
      <c r="AF24" s="108" t="str">
        <f>IF(Input!AX25="Error","Error",IF(F24="","",IF($X$5="",0,IF(F24&lt;&gt;"",IFERROR(AVERAGE(Y24,AA24,AC24,AE24)*$AF$4,0),""))))</f>
        <v/>
      </c>
      <c r="AG24" s="174"/>
      <c r="AH24" s="175" t="str">
        <f>IF(F24&lt;&gt;"",IF(Input!AY25&lt;&gt;"",Input!AY25,""),"")</f>
        <v/>
      </c>
      <c r="AI24" s="451" t="str">
        <f>IFERROR(IF($AH$5="","",IF(F24&lt;&gt;"",(Input!AY25/Input!$AY$6)*100,"")),"NA")</f>
        <v/>
      </c>
      <c r="AJ24" s="176" t="str">
        <f>IF(F24&lt;&gt;"",IF(Input!AZ25&lt;&gt;"",Input!AZ25,""),"")</f>
        <v/>
      </c>
      <c r="AK24" s="451" t="str">
        <f>IFERROR(IF($AJ$5="","",IF(F24&lt;&gt;"",(Input!AZ25/Input!$AZ$6)*100,"")),"NA")</f>
        <v/>
      </c>
      <c r="AL24" s="176" t="str">
        <f>IF(F24&lt;&gt;"",IF(Input!BA25&lt;&gt;"",Input!BA25,""),"")</f>
        <v/>
      </c>
      <c r="AM24" s="451" t="str">
        <f>IFERROR(IF($AL$5="","",IF(F24&lt;&gt;"",(Input!BA25/Input!$BA$6)*100,"")),"NA")</f>
        <v/>
      </c>
      <c r="AN24" s="177" t="str">
        <f>IF(F24&lt;&gt;"",IF(Input!BB25&lt;&gt;"",Input!BB25,""),"")</f>
        <v/>
      </c>
      <c r="AO24" s="451" t="str">
        <f>IFERROR(IF($AN$5="","",IF(F24&lt;&gt;"",(Input!BB25/Input!$BB$6)*100,"")),"NA")</f>
        <v/>
      </c>
      <c r="AP24" s="303" t="str">
        <f>IF(Input!BC25="Error","Error",IF(F24="","",IF($AH$5="",0,IF(F24&lt;&gt;"",IFERROR(AVERAGE(AI24,AK24,AM24,AO24)*$AP$4,0),""))))</f>
        <v/>
      </c>
      <c r="AQ24" s="174"/>
      <c r="AR24" s="178" t="str">
        <f>IF(Input!BD25="","",IF(F24&lt;&gt;"",Input!BD25,""))</f>
        <v/>
      </c>
      <c r="AS24" s="179" t="str">
        <f>IF(F24="", "",IF(Input!BE25="Error","Error",IF(ISNUMBER(Input!BE25),(Input!BE25*$AS$4),"")))</f>
        <v/>
      </c>
      <c r="AT24" s="331" t="str">
        <f>IF(V24="D","DRP",
IF(F24&lt;&gt;"",
IF(OR(AF24="Error",AP24="Error",AS24="Error"),"Error",
IF(Input!BD25="","-",ROUND(AF24+AP24+AS24,2))),""))</f>
        <v/>
      </c>
      <c r="AU24" s="180" t="str">
        <f>IF(F24&lt;&gt;"",VLOOKUP(AT24,TRANSMUTATION!$A$2:$B$14,2),"")</f>
        <v/>
      </c>
      <c r="AV24" s="249" t="str">
        <f t="shared" si="1"/>
        <v/>
      </c>
      <c r="AW24" s="182"/>
      <c r="BA24" s="97"/>
    </row>
    <row r="25" spans="1:53" ht="15" customHeight="1" x14ac:dyDescent="0.2">
      <c r="A25" s="97"/>
      <c r="C25" s="194">
        <v>19</v>
      </c>
      <c r="D25" s="203" t="str">
        <f>IF(Input!D26&lt;&gt;"",IF(F25&lt;&gt;"",Input!D26,""),"")</f>
        <v/>
      </c>
      <c r="E25" s="297"/>
      <c r="F25" s="298" t="str">
        <f>(IF(Input!F26&lt;&gt;"",Input!F26,""))</f>
        <v/>
      </c>
      <c r="G25" s="333"/>
      <c r="H25" s="333"/>
      <c r="I25" s="333"/>
      <c r="J25" s="333"/>
      <c r="K25" s="333"/>
      <c r="L25" s="333"/>
      <c r="M25" s="333"/>
      <c r="N25" s="333"/>
      <c r="O25" s="333"/>
      <c r="P25" s="333"/>
      <c r="Q25" s="333"/>
      <c r="R25" s="333"/>
      <c r="S25" s="333"/>
      <c r="T25" s="333"/>
      <c r="U25" s="333"/>
      <c r="V25" s="336"/>
      <c r="W25" s="173"/>
      <c r="X25" s="309" t="str">
        <f>IF(F25&lt;&gt;"",IF(Input!AT26&lt;&gt;"",Input!AT26,""),"")</f>
        <v/>
      </c>
      <c r="Y25" s="449" t="str">
        <f>IFERROR(IF($X$5="","",IF(F25&lt;&gt;"",(Input!AT26/Input!$AT$6)*100,"")),"NA")</f>
        <v/>
      </c>
      <c r="Z25" s="310" t="str">
        <f>IF(F25&lt;&gt;"",IF(Input!AU26&lt;&gt;"",Input!AU26,""),"")</f>
        <v/>
      </c>
      <c r="AA25" s="449" t="str">
        <f>IFERROR(IF($Z$5="","",IF(F25&lt;&gt;"",(Input!AU26/Input!$AU$6)*100,"")),"NA")</f>
        <v/>
      </c>
      <c r="AB25" s="310" t="str">
        <f>IF(F25&lt;&gt;"",IF(Input!AV26&lt;&gt;"",Input!AV26,""),"")</f>
        <v/>
      </c>
      <c r="AC25" s="449" t="str">
        <f>IFERROR(IF($AB$5="","",IF(F25&lt;&gt;"",(Input!AV26/Input!$AV$6)*100,"")),"NA")</f>
        <v/>
      </c>
      <c r="AD25" s="310" t="str">
        <f>IF(F25&lt;&gt;"",IF(Input!AW26&lt;&gt;"",Input!AW26,""),"")</f>
        <v/>
      </c>
      <c r="AE25" s="449" t="str">
        <f>IFERROR(IF($AD$5="","",IF(F25&lt;&gt;"",(Input!AW26/Input!$AW$6)*100,"")),"NA")</f>
        <v/>
      </c>
      <c r="AF25" s="108" t="str">
        <f>IF(Input!AX26="Error","Error",IF(F25="","",IF($X$5="",0,IF(F25&lt;&gt;"",IFERROR(AVERAGE(Y25,AA25,AC25,AE25)*$AF$4,0),""))))</f>
        <v/>
      </c>
      <c r="AG25" s="174"/>
      <c r="AH25" s="175" t="str">
        <f>IF(F25&lt;&gt;"",IF(Input!AY26&lt;&gt;"",Input!AY26,""),"")</f>
        <v/>
      </c>
      <c r="AI25" s="451" t="str">
        <f>IFERROR(IF($AH$5="","",IF(F25&lt;&gt;"",(Input!AY26/Input!$AY$6)*100,"")),"NA")</f>
        <v/>
      </c>
      <c r="AJ25" s="176" t="str">
        <f>IF(F25&lt;&gt;"",IF(Input!AZ26&lt;&gt;"",Input!AZ26,""),"")</f>
        <v/>
      </c>
      <c r="AK25" s="451" t="str">
        <f>IFERROR(IF($AJ$5="","",IF(F25&lt;&gt;"",(Input!AZ26/Input!$AZ$6)*100,"")),"NA")</f>
        <v/>
      </c>
      <c r="AL25" s="176" t="str">
        <f>IF(F25&lt;&gt;"",IF(Input!BA26&lt;&gt;"",Input!BA26,""),"")</f>
        <v/>
      </c>
      <c r="AM25" s="451" t="str">
        <f>IFERROR(IF($AL$5="","",IF(F25&lt;&gt;"",(Input!BA26/Input!$BA$6)*100,"")),"NA")</f>
        <v/>
      </c>
      <c r="AN25" s="177" t="str">
        <f>IF(F25&lt;&gt;"",IF(Input!BB26&lt;&gt;"",Input!BB26,""),"")</f>
        <v/>
      </c>
      <c r="AO25" s="451" t="str">
        <f>IFERROR(IF($AN$5="","",IF(F25&lt;&gt;"",(Input!BB26/Input!$BB$6)*100,"")),"NA")</f>
        <v/>
      </c>
      <c r="AP25" s="303" t="str">
        <f>IF(Input!BC26="Error","Error",IF(F25="","",IF($AH$5="",0,IF(F25&lt;&gt;"",IFERROR(AVERAGE(AI25,AK25,AM25,AO25)*$AP$4,0),""))))</f>
        <v/>
      </c>
      <c r="AQ25" s="174"/>
      <c r="AR25" s="178" t="str">
        <f>IF(Input!BD26="","",IF(F25&lt;&gt;"",Input!BD26,""))</f>
        <v/>
      </c>
      <c r="AS25" s="179" t="str">
        <f>IF(F25="", "",IF(Input!BE26="Error","Error",IF(ISNUMBER(Input!BE26),(Input!BE26*$AS$4),"")))</f>
        <v/>
      </c>
      <c r="AT25" s="331" t="str">
        <f>IF(V25="D","DRP",
IF(F25&lt;&gt;"",
IF(OR(AF25="Error",AP25="Error",AS25="Error"),"Error",
IF(Input!BD26="","-",ROUND(AF25+AP25+AS25,2))),""))</f>
        <v/>
      </c>
      <c r="AU25" s="180" t="str">
        <f>IF(F25&lt;&gt;"",VLOOKUP(AT25,TRANSMUTATION!$A$2:$B$14,2),"")</f>
        <v/>
      </c>
      <c r="AV25" s="249" t="str">
        <f t="shared" si="1"/>
        <v/>
      </c>
      <c r="AW25" s="182"/>
      <c r="BA25" s="97"/>
    </row>
    <row r="26" spans="1:53" ht="15" customHeight="1" x14ac:dyDescent="0.2">
      <c r="A26" s="97"/>
      <c r="C26" s="194">
        <v>20</v>
      </c>
      <c r="D26" s="203" t="str">
        <f>IF(Input!D27&lt;&gt;"",IF(F26&lt;&gt;"",Input!D27,""),"")</f>
        <v/>
      </c>
      <c r="E26" s="297"/>
      <c r="F26" s="298" t="str">
        <f>(IF(Input!F27&lt;&gt;"",Input!F27,""))</f>
        <v/>
      </c>
      <c r="G26" s="333"/>
      <c r="H26" s="333"/>
      <c r="I26" s="333"/>
      <c r="J26" s="333"/>
      <c r="K26" s="333"/>
      <c r="L26" s="333"/>
      <c r="M26" s="333"/>
      <c r="N26" s="333"/>
      <c r="O26" s="333"/>
      <c r="P26" s="333"/>
      <c r="Q26" s="333"/>
      <c r="R26" s="333"/>
      <c r="S26" s="333"/>
      <c r="T26" s="333"/>
      <c r="U26" s="333"/>
      <c r="V26" s="336"/>
      <c r="W26" s="173"/>
      <c r="X26" s="309" t="str">
        <f>IF(F26&lt;&gt;"",IF(Input!AT27&lt;&gt;"",Input!AT27,""),"")</f>
        <v/>
      </c>
      <c r="Y26" s="449" t="str">
        <f>IFERROR(IF($X$5="","",IF(F26&lt;&gt;"",(Input!AT27/Input!$AT$6)*100,"")),"NA")</f>
        <v/>
      </c>
      <c r="Z26" s="310" t="str">
        <f>IF(F26&lt;&gt;"",IF(Input!AU27&lt;&gt;"",Input!AU27,""),"")</f>
        <v/>
      </c>
      <c r="AA26" s="449" t="str">
        <f>IFERROR(IF($Z$5="","",IF(F26&lt;&gt;"",(Input!AU27/Input!$AU$6)*100,"")),"NA")</f>
        <v/>
      </c>
      <c r="AB26" s="310" t="str">
        <f>IF(F26&lt;&gt;"",IF(Input!AV27&lt;&gt;"",Input!AV27,""),"")</f>
        <v/>
      </c>
      <c r="AC26" s="449" t="str">
        <f>IFERROR(IF($AB$5="","",IF(F26&lt;&gt;"",(Input!AV27/Input!$AV$6)*100,"")),"NA")</f>
        <v/>
      </c>
      <c r="AD26" s="310" t="str">
        <f>IF(F26&lt;&gt;"",IF(Input!AW27&lt;&gt;"",Input!AW27,""),"")</f>
        <v/>
      </c>
      <c r="AE26" s="449" t="str">
        <f>IFERROR(IF($AD$5="","",IF(F26&lt;&gt;"",(Input!AW27/Input!$AW$6)*100,"")),"NA")</f>
        <v/>
      </c>
      <c r="AF26" s="108" t="str">
        <f>IF(Input!AX27="Error","Error",IF(F26="","",IF($X$5="",0,IF(F26&lt;&gt;"",IFERROR(AVERAGE(Y26,AA26,AC26,AE26)*$AF$4,0),""))))</f>
        <v/>
      </c>
      <c r="AG26" s="174"/>
      <c r="AH26" s="175" t="str">
        <f>IF(F26&lt;&gt;"",IF(Input!AY27&lt;&gt;"",Input!AY27,""),"")</f>
        <v/>
      </c>
      <c r="AI26" s="451" t="str">
        <f>IFERROR(IF($AH$5="","",IF(F26&lt;&gt;"",(Input!AY27/Input!$AY$6)*100,"")),"NA")</f>
        <v/>
      </c>
      <c r="AJ26" s="176" t="str">
        <f>IF(F26&lt;&gt;"",IF(Input!AZ27&lt;&gt;"",Input!AZ27,""),"")</f>
        <v/>
      </c>
      <c r="AK26" s="451" t="str">
        <f>IFERROR(IF($AJ$5="","",IF(F26&lt;&gt;"",(Input!AZ27/Input!$AZ$6)*100,"")),"NA")</f>
        <v/>
      </c>
      <c r="AL26" s="176" t="str">
        <f>IF(F26&lt;&gt;"",IF(Input!BA27&lt;&gt;"",Input!BA27,""),"")</f>
        <v/>
      </c>
      <c r="AM26" s="451" t="str">
        <f>IFERROR(IF($AL$5="","",IF(F26&lt;&gt;"",(Input!BA27/Input!$BA$6)*100,"")),"NA")</f>
        <v/>
      </c>
      <c r="AN26" s="177" t="str">
        <f>IF(F26&lt;&gt;"",IF(Input!BB27&lt;&gt;"",Input!BB27,""),"")</f>
        <v/>
      </c>
      <c r="AO26" s="451" t="str">
        <f>IFERROR(IF($AN$5="","",IF(F26&lt;&gt;"",(Input!BB27/Input!$BB$6)*100,"")),"NA")</f>
        <v/>
      </c>
      <c r="AP26" s="303" t="str">
        <f>IF(Input!BC27="Error","Error",IF(F26="","",IF($AH$5="",0,IF(F26&lt;&gt;"",IFERROR(AVERAGE(AI26,AK26,AM26,AO26)*$AP$4,0),""))))</f>
        <v/>
      </c>
      <c r="AQ26" s="174"/>
      <c r="AR26" s="178" t="str">
        <f>IF(Input!BD27="","",IF(F26&lt;&gt;"",Input!BD27,""))</f>
        <v/>
      </c>
      <c r="AS26" s="179" t="str">
        <f>IF(F26="", "",IF(Input!BE27="Error","Error",IF(ISNUMBER(Input!BE27),(Input!BE27*$AS$4),"")))</f>
        <v/>
      </c>
      <c r="AT26" s="331" t="str">
        <f>IF(V26="D","DRP",
IF(F26&lt;&gt;"",
IF(OR(AF26="Error",AP26="Error",AS26="Error"),"Error",
IF(Input!BD27="","-",ROUND(AF26+AP26+AS26,2))),""))</f>
        <v/>
      </c>
      <c r="AU26" s="180" t="str">
        <f>IF(F26&lt;&gt;"",VLOOKUP(AT26,TRANSMUTATION!$A$2:$B$14,2),"")</f>
        <v/>
      </c>
      <c r="AV26" s="249" t="str">
        <f t="shared" si="1"/>
        <v/>
      </c>
      <c r="AW26" s="182"/>
      <c r="BA26" s="97"/>
    </row>
    <row r="27" spans="1:53" ht="15" customHeight="1" x14ac:dyDescent="0.2">
      <c r="A27" s="97"/>
      <c r="C27" s="194">
        <v>21</v>
      </c>
      <c r="D27" s="203" t="str">
        <f>IF(Input!D28&lt;&gt;"",IF(F27&lt;&gt;"",Input!D28,""),"")</f>
        <v/>
      </c>
      <c r="E27" s="297"/>
      <c r="F27" s="298" t="str">
        <f>(IF(Input!F28&lt;&gt;"",Input!F28,""))</f>
        <v/>
      </c>
      <c r="G27" s="333"/>
      <c r="H27" s="333"/>
      <c r="I27" s="333"/>
      <c r="J27" s="333"/>
      <c r="K27" s="333"/>
      <c r="L27" s="333"/>
      <c r="M27" s="333"/>
      <c r="N27" s="333"/>
      <c r="O27" s="333"/>
      <c r="P27" s="333"/>
      <c r="Q27" s="333"/>
      <c r="R27" s="333"/>
      <c r="S27" s="333"/>
      <c r="T27" s="333"/>
      <c r="U27" s="333"/>
      <c r="V27" s="336"/>
      <c r="W27" s="173"/>
      <c r="X27" s="309" t="str">
        <f>IF(F27&lt;&gt;"",IF(Input!AT28&lt;&gt;"",Input!AT28,""),"")</f>
        <v/>
      </c>
      <c r="Y27" s="449" t="str">
        <f>IFERROR(IF($X$5="","",IF(F27&lt;&gt;"",(Input!AT28/Input!$AT$6)*100,"")),"NA")</f>
        <v/>
      </c>
      <c r="Z27" s="310" t="str">
        <f>IF(F27&lt;&gt;"",IF(Input!AU28&lt;&gt;"",Input!AU28,""),"")</f>
        <v/>
      </c>
      <c r="AA27" s="449" t="str">
        <f>IFERROR(IF($Z$5="","",IF(F27&lt;&gt;"",(Input!AU28/Input!$AU$6)*100,"")),"NA")</f>
        <v/>
      </c>
      <c r="AB27" s="310" t="str">
        <f>IF(F27&lt;&gt;"",IF(Input!AV28&lt;&gt;"",Input!AV28,""),"")</f>
        <v/>
      </c>
      <c r="AC27" s="449" t="str">
        <f>IFERROR(IF($AB$5="","",IF(F27&lt;&gt;"",(Input!AV28/Input!$AV$6)*100,"")),"NA")</f>
        <v/>
      </c>
      <c r="AD27" s="310" t="str">
        <f>IF(F27&lt;&gt;"",IF(Input!AW28&lt;&gt;"",Input!AW28,""),"")</f>
        <v/>
      </c>
      <c r="AE27" s="449" t="str">
        <f>IFERROR(IF($AD$5="","",IF(F27&lt;&gt;"",(Input!AW28/Input!$AW$6)*100,"")),"NA")</f>
        <v/>
      </c>
      <c r="AF27" s="108" t="str">
        <f>IF(Input!AX28="Error","Error",IF(F27="","",IF($X$5="",0,IF(F27&lt;&gt;"",IFERROR(AVERAGE(Y27,AA27,AC27,AE27)*$AF$4,0),""))))</f>
        <v/>
      </c>
      <c r="AG27" s="174"/>
      <c r="AH27" s="175" t="str">
        <f>IF(F27&lt;&gt;"",IF(Input!AY28&lt;&gt;"",Input!AY28,""),"")</f>
        <v/>
      </c>
      <c r="AI27" s="451" t="str">
        <f>IFERROR(IF($AH$5="","",IF(F27&lt;&gt;"",(Input!AY28/Input!$AY$6)*100,"")),"NA")</f>
        <v/>
      </c>
      <c r="AJ27" s="176" t="str">
        <f>IF(F27&lt;&gt;"",IF(Input!AZ28&lt;&gt;"",Input!AZ28,""),"")</f>
        <v/>
      </c>
      <c r="AK27" s="451" t="str">
        <f>IFERROR(IF($AJ$5="","",IF(F27&lt;&gt;"",(Input!AZ28/Input!$AZ$6)*100,"")),"NA")</f>
        <v/>
      </c>
      <c r="AL27" s="176" t="str">
        <f>IF(F27&lt;&gt;"",IF(Input!BA28&lt;&gt;"",Input!BA28,""),"")</f>
        <v/>
      </c>
      <c r="AM27" s="451" t="str">
        <f>IFERROR(IF($AL$5="","",IF(F27&lt;&gt;"",(Input!BA28/Input!$BA$6)*100,"")),"NA")</f>
        <v/>
      </c>
      <c r="AN27" s="177" t="str">
        <f>IF(F27&lt;&gt;"",IF(Input!BB28&lt;&gt;"",Input!BB28,""),"")</f>
        <v/>
      </c>
      <c r="AO27" s="451" t="str">
        <f>IFERROR(IF($AN$5="","",IF(F27&lt;&gt;"",(Input!BB28/Input!$BB$6)*100,"")),"NA")</f>
        <v/>
      </c>
      <c r="AP27" s="303" t="str">
        <f>IF(Input!BC28="Error","Error",IF(F27="","",IF($AH$5="",0,IF(F27&lt;&gt;"",IFERROR(AVERAGE(AI27,AK27,AM27,AO27)*$AP$4,0),""))))</f>
        <v/>
      </c>
      <c r="AQ27" s="174"/>
      <c r="AR27" s="178" t="str">
        <f>IF(Input!BD28="","",IF(F27&lt;&gt;"",Input!BD28,""))</f>
        <v/>
      </c>
      <c r="AS27" s="179" t="str">
        <f>IF(F27="", "",IF(Input!BE28="Error","Error",IF(ISNUMBER(Input!BE28),(Input!BE28*$AS$4),"")))</f>
        <v/>
      </c>
      <c r="AT27" s="331" t="str">
        <f>IF(V27="D","DRP",
IF(F27&lt;&gt;"",
IF(OR(AF27="Error",AP27="Error",AS27="Error"),"Error",
IF(Input!BD28="","-",ROUND(AF27+AP27+AS27,2))),""))</f>
        <v/>
      </c>
      <c r="AU27" s="180" t="str">
        <f>IF(F27&lt;&gt;"",VLOOKUP(AT27,TRANSMUTATION!$A$2:$B$14,2),"")</f>
        <v/>
      </c>
      <c r="AV27" s="249" t="str">
        <f t="shared" si="1"/>
        <v/>
      </c>
      <c r="AW27" s="182"/>
      <c r="BA27" s="97"/>
    </row>
    <row r="28" spans="1:53" ht="15" customHeight="1" x14ac:dyDescent="0.2">
      <c r="A28" s="97"/>
      <c r="C28" s="194">
        <v>22</v>
      </c>
      <c r="D28" s="203" t="str">
        <f>IF(Input!D29&lt;&gt;"",IF(F28&lt;&gt;"",Input!D29,""),"")</f>
        <v/>
      </c>
      <c r="E28" s="297"/>
      <c r="F28" s="298" t="str">
        <f>(IF(Input!F29&lt;&gt;"",Input!F29,""))</f>
        <v/>
      </c>
      <c r="G28" s="333"/>
      <c r="H28" s="333"/>
      <c r="I28" s="333"/>
      <c r="J28" s="333"/>
      <c r="K28" s="333"/>
      <c r="L28" s="333"/>
      <c r="M28" s="333"/>
      <c r="N28" s="333"/>
      <c r="O28" s="333"/>
      <c r="P28" s="333"/>
      <c r="Q28" s="333"/>
      <c r="R28" s="333"/>
      <c r="S28" s="333"/>
      <c r="T28" s="333"/>
      <c r="U28" s="333"/>
      <c r="V28" s="336"/>
      <c r="W28" s="173"/>
      <c r="X28" s="309" t="str">
        <f>IF(F28&lt;&gt;"",IF(Input!AT29&lt;&gt;"",Input!AT29,""),"")</f>
        <v/>
      </c>
      <c r="Y28" s="449" t="str">
        <f>IFERROR(IF($X$5="","",IF(F28&lt;&gt;"",(Input!AT29/Input!$AT$6)*100,"")),"NA")</f>
        <v/>
      </c>
      <c r="Z28" s="310" t="str">
        <f>IF(F28&lt;&gt;"",IF(Input!AU29&lt;&gt;"",Input!AU29,""),"")</f>
        <v/>
      </c>
      <c r="AA28" s="449" t="str">
        <f>IFERROR(IF($Z$5="","",IF(F28&lt;&gt;"",(Input!AU29/Input!$AU$6)*100,"")),"NA")</f>
        <v/>
      </c>
      <c r="AB28" s="310" t="str">
        <f>IF(F28&lt;&gt;"",IF(Input!AV29&lt;&gt;"",Input!AV29,""),"")</f>
        <v/>
      </c>
      <c r="AC28" s="449" t="str">
        <f>IFERROR(IF($AB$5="","",IF(F28&lt;&gt;"",(Input!AV29/Input!$AV$6)*100,"")),"NA")</f>
        <v/>
      </c>
      <c r="AD28" s="310" t="str">
        <f>IF(F28&lt;&gt;"",IF(Input!AW29&lt;&gt;"",Input!AW29,""),"")</f>
        <v/>
      </c>
      <c r="AE28" s="449" t="str">
        <f>IFERROR(IF($AD$5="","",IF(F28&lt;&gt;"",(Input!AW29/Input!$AW$6)*100,"")),"NA")</f>
        <v/>
      </c>
      <c r="AF28" s="108" t="str">
        <f>IF(Input!AX29="Error","Error",IF(F28="","",IF($X$5="",0,IF(F28&lt;&gt;"",IFERROR(AVERAGE(Y28,AA28,AC28,AE28)*$AF$4,0),""))))</f>
        <v/>
      </c>
      <c r="AG28" s="174"/>
      <c r="AH28" s="175" t="str">
        <f>IF(F28&lt;&gt;"",IF(Input!AY29&lt;&gt;"",Input!AY29,""),"")</f>
        <v/>
      </c>
      <c r="AI28" s="451" t="str">
        <f>IFERROR(IF($AH$5="","",IF(F28&lt;&gt;"",(Input!AY29/Input!$AY$6)*100,"")),"NA")</f>
        <v/>
      </c>
      <c r="AJ28" s="176" t="str">
        <f>IF(F28&lt;&gt;"",IF(Input!AZ29&lt;&gt;"",Input!AZ29,""),"")</f>
        <v/>
      </c>
      <c r="AK28" s="451" t="str">
        <f>IFERROR(IF($AJ$5="","",IF(F28&lt;&gt;"",(Input!AZ29/Input!$AZ$6)*100,"")),"NA")</f>
        <v/>
      </c>
      <c r="AL28" s="176" t="str">
        <f>IF(F28&lt;&gt;"",IF(Input!BA29&lt;&gt;"",Input!BA29,""),"")</f>
        <v/>
      </c>
      <c r="AM28" s="451" t="str">
        <f>IFERROR(IF($AL$5="","",IF(F28&lt;&gt;"",(Input!BA29/Input!$BA$6)*100,"")),"NA")</f>
        <v/>
      </c>
      <c r="AN28" s="177" t="str">
        <f>IF(F28&lt;&gt;"",IF(Input!BB29&lt;&gt;"",Input!BB29,""),"")</f>
        <v/>
      </c>
      <c r="AO28" s="451" t="str">
        <f>IFERROR(IF($AN$5="","",IF(F28&lt;&gt;"",(Input!BB29/Input!$BB$6)*100,"")),"NA")</f>
        <v/>
      </c>
      <c r="AP28" s="303" t="str">
        <f>IF(Input!BC29="Error","Error",IF(F28="","",IF($AH$5="",0,IF(F28&lt;&gt;"",IFERROR(AVERAGE(AI28,AK28,AM28,AO28)*$AP$4,0),""))))</f>
        <v/>
      </c>
      <c r="AQ28" s="174"/>
      <c r="AR28" s="178" t="str">
        <f>IF(Input!BD29="","",IF(F28&lt;&gt;"",Input!BD29,""))</f>
        <v/>
      </c>
      <c r="AS28" s="179" t="str">
        <f>IF(F28="", "",IF(Input!BE29="Error","Error",IF(ISNUMBER(Input!BE29),(Input!BE29*$AS$4),"")))</f>
        <v/>
      </c>
      <c r="AT28" s="331" t="str">
        <f>IF(V28="D","DRP",
IF(F28&lt;&gt;"",
IF(OR(AF28="Error",AP28="Error",AS28="Error"),"Error",
IF(Input!BD29="","-",ROUND(AF28+AP28+AS28,2))),""))</f>
        <v/>
      </c>
      <c r="AU28" s="180" t="str">
        <f>IF(F28&lt;&gt;"",VLOOKUP(AT28,TRANSMUTATION!$A$2:$B$14,2),"")</f>
        <v/>
      </c>
      <c r="AV28" s="249" t="str">
        <f t="shared" si="1"/>
        <v/>
      </c>
      <c r="AW28" s="182"/>
      <c r="BA28" s="97"/>
    </row>
    <row r="29" spans="1:53" ht="15" customHeight="1" x14ac:dyDescent="0.2">
      <c r="A29" s="97"/>
      <c r="C29" s="194">
        <v>23</v>
      </c>
      <c r="D29" s="203" t="str">
        <f>IF(Input!D30&lt;&gt;"",IF(F29&lt;&gt;"",Input!D30,""),"")</f>
        <v/>
      </c>
      <c r="E29" s="297"/>
      <c r="F29" s="298" t="str">
        <f>(IF(Input!F30&lt;&gt;"",Input!F30,""))</f>
        <v/>
      </c>
      <c r="G29" s="333"/>
      <c r="H29" s="333"/>
      <c r="I29" s="333"/>
      <c r="J29" s="333"/>
      <c r="K29" s="333"/>
      <c r="L29" s="333"/>
      <c r="M29" s="333"/>
      <c r="N29" s="333"/>
      <c r="O29" s="333"/>
      <c r="P29" s="333"/>
      <c r="Q29" s="333"/>
      <c r="R29" s="333"/>
      <c r="S29" s="333"/>
      <c r="T29" s="333"/>
      <c r="U29" s="333"/>
      <c r="V29" s="336"/>
      <c r="W29" s="173"/>
      <c r="X29" s="309" t="str">
        <f>IF(F29&lt;&gt;"",IF(Input!AT30&lt;&gt;"",Input!AT30,""),"")</f>
        <v/>
      </c>
      <c r="Y29" s="449" t="str">
        <f>IFERROR(IF($X$5="","",IF(F29&lt;&gt;"",(Input!AT30/Input!$AT$6)*100,"")),"NA")</f>
        <v/>
      </c>
      <c r="Z29" s="310" t="str">
        <f>IF(F29&lt;&gt;"",IF(Input!AU30&lt;&gt;"",Input!AU30,""),"")</f>
        <v/>
      </c>
      <c r="AA29" s="449" t="str">
        <f>IFERROR(IF($Z$5="","",IF(F29&lt;&gt;"",(Input!AU30/Input!$AU$6)*100,"")),"NA")</f>
        <v/>
      </c>
      <c r="AB29" s="310" t="str">
        <f>IF(F29&lt;&gt;"",IF(Input!AV30&lt;&gt;"",Input!AV30,""),"")</f>
        <v/>
      </c>
      <c r="AC29" s="449" t="str">
        <f>IFERROR(IF($AB$5="","",IF(F29&lt;&gt;"",(Input!AV30/Input!$AV$6)*100,"")),"NA")</f>
        <v/>
      </c>
      <c r="AD29" s="310" t="str">
        <f>IF(F29&lt;&gt;"",IF(Input!AW30&lt;&gt;"",Input!AW30,""),"")</f>
        <v/>
      </c>
      <c r="AE29" s="449" t="str">
        <f>IFERROR(IF($AD$5="","",IF(F29&lt;&gt;"",(Input!AW30/Input!$AW$6)*100,"")),"NA")</f>
        <v/>
      </c>
      <c r="AF29" s="108" t="str">
        <f>IF(Input!AX30="Error","Error",IF(F29="","",IF($X$5="",0,IF(F29&lt;&gt;"",IFERROR(AVERAGE(Y29,AA29,AC29,AE29)*$AF$4,0),""))))</f>
        <v/>
      </c>
      <c r="AG29" s="174"/>
      <c r="AH29" s="175" t="str">
        <f>IF(F29&lt;&gt;"",IF(Input!AY30&lt;&gt;"",Input!AY30,""),"")</f>
        <v/>
      </c>
      <c r="AI29" s="451" t="str">
        <f>IFERROR(IF($AH$5="","",IF(F29&lt;&gt;"",(Input!AY30/Input!$AY$6)*100,"")),"NA")</f>
        <v/>
      </c>
      <c r="AJ29" s="176" t="str">
        <f>IF(F29&lt;&gt;"",IF(Input!AZ30&lt;&gt;"",Input!AZ30,""),"")</f>
        <v/>
      </c>
      <c r="AK29" s="451" t="str">
        <f>IFERROR(IF($AJ$5="","",IF(F29&lt;&gt;"",(Input!AZ30/Input!$AZ$6)*100,"")),"NA")</f>
        <v/>
      </c>
      <c r="AL29" s="176" t="str">
        <f>IF(F29&lt;&gt;"",IF(Input!BA30&lt;&gt;"",Input!BA30,""),"")</f>
        <v/>
      </c>
      <c r="AM29" s="451" t="str">
        <f>IFERROR(IF($AL$5="","",IF(F29&lt;&gt;"",(Input!BA30/Input!$BA$6)*100,"")),"NA")</f>
        <v/>
      </c>
      <c r="AN29" s="177" t="str">
        <f>IF(F29&lt;&gt;"",IF(Input!BB30&lt;&gt;"",Input!BB30,""),"")</f>
        <v/>
      </c>
      <c r="AO29" s="451" t="str">
        <f>IFERROR(IF($AN$5="","",IF(F29&lt;&gt;"",(Input!BB30/Input!$BB$6)*100,"")),"NA")</f>
        <v/>
      </c>
      <c r="AP29" s="303" t="str">
        <f>IF(Input!BC30="Error","Error",IF(F29="","",IF($AH$5="",0,IF(F29&lt;&gt;"",IFERROR(AVERAGE(AI29,AK29,AM29,AO29)*$AP$4,0),""))))</f>
        <v/>
      </c>
      <c r="AQ29" s="174"/>
      <c r="AR29" s="178" t="str">
        <f>IF(Input!BD30="","",IF(F29&lt;&gt;"",Input!BD30,""))</f>
        <v/>
      </c>
      <c r="AS29" s="179" t="str">
        <f>IF(F29="", "",IF(Input!BE30="Error","Error",IF(ISNUMBER(Input!BE30),(Input!BE30*$AS$4),"")))</f>
        <v/>
      </c>
      <c r="AT29" s="331" t="str">
        <f>IF(V29="D","DRP",
IF(F29&lt;&gt;"",
IF(OR(AF29="Error",AP29="Error",AS29="Error"),"Error",
IF(Input!BD30="","-",ROUND(AF29+AP29+AS29,2))),""))</f>
        <v/>
      </c>
      <c r="AU29" s="180" t="str">
        <f>IF(F29&lt;&gt;"",VLOOKUP(AT29,TRANSMUTATION!$A$2:$B$14,2),"")</f>
        <v/>
      </c>
      <c r="AV29" s="249" t="str">
        <f t="shared" si="1"/>
        <v/>
      </c>
      <c r="AW29" s="182"/>
      <c r="BA29" s="97"/>
    </row>
    <row r="30" spans="1:53" ht="15" customHeight="1" x14ac:dyDescent="0.2">
      <c r="A30" s="97"/>
      <c r="C30" s="194">
        <v>24</v>
      </c>
      <c r="D30" s="203" t="str">
        <f>IF(Input!D31&lt;&gt;"",IF(F30&lt;&gt;"",Input!D31,""),"")</f>
        <v/>
      </c>
      <c r="E30" s="297"/>
      <c r="F30" s="298" t="str">
        <f>(IF(Input!F31&lt;&gt;"",Input!F31,""))</f>
        <v/>
      </c>
      <c r="G30" s="333"/>
      <c r="H30" s="333"/>
      <c r="I30" s="333"/>
      <c r="J30" s="333"/>
      <c r="K30" s="333"/>
      <c r="L30" s="333"/>
      <c r="M30" s="333"/>
      <c r="N30" s="333"/>
      <c r="O30" s="333"/>
      <c r="P30" s="333"/>
      <c r="Q30" s="333"/>
      <c r="R30" s="333"/>
      <c r="S30" s="333"/>
      <c r="T30" s="333"/>
      <c r="U30" s="333"/>
      <c r="V30" s="336"/>
      <c r="W30" s="173"/>
      <c r="X30" s="309" t="str">
        <f>IF(F30&lt;&gt;"",IF(Input!AT31&lt;&gt;"",Input!AT31,""),"")</f>
        <v/>
      </c>
      <c r="Y30" s="449" t="str">
        <f>IFERROR(IF($X$5="","",IF(F30&lt;&gt;"",(Input!AT31/Input!$AT$6)*100,"")),"NA")</f>
        <v/>
      </c>
      <c r="Z30" s="310" t="str">
        <f>IF(F30&lt;&gt;"",IF(Input!AU31&lt;&gt;"",Input!AU31,""),"")</f>
        <v/>
      </c>
      <c r="AA30" s="449" t="str">
        <f>IFERROR(IF($Z$5="","",IF(F30&lt;&gt;"",(Input!AU31/Input!$AU$6)*100,"")),"NA")</f>
        <v/>
      </c>
      <c r="AB30" s="310" t="str">
        <f>IF(F30&lt;&gt;"",IF(Input!AV31&lt;&gt;"",Input!AV31,""),"")</f>
        <v/>
      </c>
      <c r="AC30" s="449" t="str">
        <f>IFERROR(IF($AB$5="","",IF(F30&lt;&gt;"",(Input!AV31/Input!$AV$6)*100,"")),"NA")</f>
        <v/>
      </c>
      <c r="AD30" s="310" t="str">
        <f>IF(F30&lt;&gt;"",IF(Input!AW31&lt;&gt;"",Input!AW31,""),"")</f>
        <v/>
      </c>
      <c r="AE30" s="449" t="str">
        <f>IFERROR(IF($AD$5="","",IF(F30&lt;&gt;"",(Input!AW31/Input!$AW$6)*100,"")),"NA")</f>
        <v/>
      </c>
      <c r="AF30" s="108" t="str">
        <f>IF(Input!AX31="Error","Error",IF(F30="","",IF($X$5="",0,IF(F30&lt;&gt;"",IFERROR(AVERAGE(Y30,AA30,AC30,AE30)*$AF$4,0),""))))</f>
        <v/>
      </c>
      <c r="AG30" s="174"/>
      <c r="AH30" s="175" t="str">
        <f>IF(F30&lt;&gt;"",IF(Input!AY31&lt;&gt;"",Input!AY31,""),"")</f>
        <v/>
      </c>
      <c r="AI30" s="451" t="str">
        <f>IFERROR(IF($AH$5="","",IF(F30&lt;&gt;"",(Input!AY31/Input!$AY$6)*100,"")),"NA")</f>
        <v/>
      </c>
      <c r="AJ30" s="176" t="str">
        <f>IF(F30&lt;&gt;"",IF(Input!AZ31&lt;&gt;"",Input!AZ31,""),"")</f>
        <v/>
      </c>
      <c r="AK30" s="451" t="str">
        <f>IFERROR(IF($AJ$5="","",IF(F30&lt;&gt;"",(Input!AZ31/Input!$AZ$6)*100,"")),"NA")</f>
        <v/>
      </c>
      <c r="AL30" s="176" t="str">
        <f>IF(F30&lt;&gt;"",IF(Input!BA31&lt;&gt;"",Input!BA31,""),"")</f>
        <v/>
      </c>
      <c r="AM30" s="451" t="str">
        <f>IFERROR(IF($AL$5="","",IF(F30&lt;&gt;"",(Input!BA31/Input!$BA$6)*100,"")),"NA")</f>
        <v/>
      </c>
      <c r="AN30" s="177" t="str">
        <f>IF(F30&lt;&gt;"",IF(Input!BB31&lt;&gt;"",Input!BB31,""),"")</f>
        <v/>
      </c>
      <c r="AO30" s="451" t="str">
        <f>IFERROR(IF($AN$5="","",IF(F30&lt;&gt;"",(Input!BB31/Input!$BB$6)*100,"")),"NA")</f>
        <v/>
      </c>
      <c r="AP30" s="303" t="str">
        <f>IF(Input!BC31="Error","Error",IF(F30="","",IF($AH$5="",0,IF(F30&lt;&gt;"",IFERROR(AVERAGE(AI30,AK30,AM30,AO30)*$AP$4,0),""))))</f>
        <v/>
      </c>
      <c r="AQ30" s="174"/>
      <c r="AR30" s="178" t="str">
        <f>IF(Input!BD31="","",IF(F30&lt;&gt;"",Input!BD31,""))</f>
        <v/>
      </c>
      <c r="AS30" s="179" t="str">
        <f>IF(F30="", "",IF(Input!BE31="Error","Error",IF(ISNUMBER(Input!BE31),(Input!BE31*$AS$4),"")))</f>
        <v/>
      </c>
      <c r="AT30" s="331" t="str">
        <f>IF(V30="D","DRP",
IF(F30&lt;&gt;"",
IF(OR(AF30="Error",AP30="Error",AS30="Error"),"Error",
IF(Input!BD31="","-",ROUND(AF30+AP30+AS30,2))),""))</f>
        <v/>
      </c>
      <c r="AU30" s="180" t="str">
        <f>IF(F30&lt;&gt;"",VLOOKUP(AT30,TRANSMUTATION!$A$2:$B$14,2),"")</f>
        <v/>
      </c>
      <c r="AV30" s="249" t="str">
        <f t="shared" si="1"/>
        <v/>
      </c>
      <c r="AW30" s="182"/>
      <c r="BA30" s="97"/>
    </row>
    <row r="31" spans="1:53" ht="15" customHeight="1" x14ac:dyDescent="0.2">
      <c r="A31" s="97"/>
      <c r="C31" s="194">
        <v>25</v>
      </c>
      <c r="D31" s="203" t="str">
        <f>IF(Input!D32&lt;&gt;"",IF(F31&lt;&gt;"",Input!D32,""),"")</f>
        <v/>
      </c>
      <c r="E31" s="297"/>
      <c r="F31" s="298" t="str">
        <f>(IF(Input!F32&lt;&gt;"",Input!F32,""))</f>
        <v/>
      </c>
      <c r="G31" s="333"/>
      <c r="H31" s="333"/>
      <c r="I31" s="333"/>
      <c r="J31" s="333"/>
      <c r="K31" s="333"/>
      <c r="L31" s="333"/>
      <c r="M31" s="333"/>
      <c r="N31" s="333"/>
      <c r="O31" s="333"/>
      <c r="P31" s="333"/>
      <c r="Q31" s="333"/>
      <c r="R31" s="333"/>
      <c r="S31" s="333"/>
      <c r="T31" s="333"/>
      <c r="U31" s="333"/>
      <c r="V31" s="336"/>
      <c r="W31" s="173"/>
      <c r="X31" s="309" t="str">
        <f>IF(F31&lt;&gt;"",IF(Input!AT32&lt;&gt;"",Input!AT32,""),"")</f>
        <v/>
      </c>
      <c r="Y31" s="449" t="str">
        <f>IFERROR(IF($X$5="","",IF(F31&lt;&gt;"",(Input!AT32/Input!$AT$6)*100,"")),"NA")</f>
        <v/>
      </c>
      <c r="Z31" s="310" t="str">
        <f>IF(F31&lt;&gt;"",IF(Input!AU32&lt;&gt;"",Input!AU32,""),"")</f>
        <v/>
      </c>
      <c r="AA31" s="449" t="str">
        <f>IFERROR(IF($Z$5="","",IF(F31&lt;&gt;"",(Input!AU32/Input!$AU$6)*100,"")),"NA")</f>
        <v/>
      </c>
      <c r="AB31" s="310" t="str">
        <f>IF(F31&lt;&gt;"",IF(Input!AV32&lt;&gt;"",Input!AV32,""),"")</f>
        <v/>
      </c>
      <c r="AC31" s="449" t="str">
        <f>IFERROR(IF($AB$5="","",IF(F31&lt;&gt;"",(Input!AV32/Input!$AV$6)*100,"")),"NA")</f>
        <v/>
      </c>
      <c r="AD31" s="310" t="str">
        <f>IF(F31&lt;&gt;"",IF(Input!AW32&lt;&gt;"",Input!AW32,""),"")</f>
        <v/>
      </c>
      <c r="AE31" s="449" t="str">
        <f>IFERROR(IF($AD$5="","",IF(F31&lt;&gt;"",(Input!AW32/Input!$AW$6)*100,"")),"NA")</f>
        <v/>
      </c>
      <c r="AF31" s="108" t="str">
        <f>IF(Input!AX32="Error","Error",IF(F31="","",IF($X$5="",0,IF(F31&lt;&gt;"",IFERROR(AVERAGE(Y31,AA31,AC31,AE31)*$AF$4,0),""))))</f>
        <v/>
      </c>
      <c r="AG31" s="174"/>
      <c r="AH31" s="175" t="str">
        <f>IF(F31&lt;&gt;"",IF(Input!AY32&lt;&gt;"",Input!AY32,""),"")</f>
        <v/>
      </c>
      <c r="AI31" s="451" t="str">
        <f>IFERROR(IF($AH$5="","",IF(F31&lt;&gt;"",(Input!AY32/Input!$AY$6)*100,"")),"NA")</f>
        <v/>
      </c>
      <c r="AJ31" s="176" t="str">
        <f>IF(F31&lt;&gt;"",IF(Input!AZ32&lt;&gt;"",Input!AZ32,""),"")</f>
        <v/>
      </c>
      <c r="AK31" s="451" t="str">
        <f>IFERROR(IF($AJ$5="","",IF(F31&lt;&gt;"",(Input!AZ32/Input!$AZ$6)*100,"")),"NA")</f>
        <v/>
      </c>
      <c r="AL31" s="176" t="str">
        <f>IF(F31&lt;&gt;"",IF(Input!BA32&lt;&gt;"",Input!BA32,""),"")</f>
        <v/>
      </c>
      <c r="AM31" s="451" t="str">
        <f>IFERROR(IF($AL$5="","",IF(F31&lt;&gt;"",(Input!BA32/Input!$BA$6)*100,"")),"NA")</f>
        <v/>
      </c>
      <c r="AN31" s="177" t="str">
        <f>IF(F31&lt;&gt;"",IF(Input!BB32&lt;&gt;"",Input!BB32,""),"")</f>
        <v/>
      </c>
      <c r="AO31" s="451" t="str">
        <f>IFERROR(IF($AN$5="","",IF(F31&lt;&gt;"",(Input!BB32/Input!$BB$6)*100,"")),"NA")</f>
        <v/>
      </c>
      <c r="AP31" s="303" t="str">
        <f>IF(Input!BC32="Error","Error",IF(F31="","",IF($AH$5="",0,IF(F31&lt;&gt;"",IFERROR(AVERAGE(AI31,AK31,AM31,AO31)*$AP$4,0),""))))</f>
        <v/>
      </c>
      <c r="AQ31" s="174"/>
      <c r="AR31" s="178" t="str">
        <f>IF(Input!BD32="","",IF(F31&lt;&gt;"",Input!BD32,""))</f>
        <v/>
      </c>
      <c r="AS31" s="179" t="str">
        <f>IF(F31="", "",IF(Input!BE32="Error","Error",IF(ISNUMBER(Input!BE32),(Input!BE32*$AS$4),"")))</f>
        <v/>
      </c>
      <c r="AT31" s="331" t="str">
        <f>IF(V31="D","DRP",
IF(F31&lt;&gt;"",
IF(OR(AF31="Error",AP31="Error",AS31="Error"),"Error",
IF(Input!BD32="","-",ROUND(AF31+AP31+AS31,2))),""))</f>
        <v/>
      </c>
      <c r="AU31" s="180" t="str">
        <f>IF(F31&lt;&gt;"",VLOOKUP(AT31,TRANSMUTATION!$A$2:$B$14,2),"")</f>
        <v/>
      </c>
      <c r="AV31" s="249" t="str">
        <f t="shared" si="1"/>
        <v/>
      </c>
      <c r="AW31" s="182"/>
      <c r="BA31" s="97"/>
    </row>
    <row r="32" spans="1:53" ht="15" customHeight="1" x14ac:dyDescent="0.2">
      <c r="A32" s="97"/>
      <c r="C32" s="194">
        <v>26</v>
      </c>
      <c r="D32" s="203" t="str">
        <f>IF(Input!D33&lt;&gt;"",IF(F32&lt;&gt;"",Input!D33,""),"")</f>
        <v/>
      </c>
      <c r="E32" s="297"/>
      <c r="F32" s="298" t="str">
        <f>(IF(Input!F33&lt;&gt;"",Input!F33,""))</f>
        <v/>
      </c>
      <c r="G32" s="333"/>
      <c r="H32" s="333"/>
      <c r="I32" s="333"/>
      <c r="J32" s="333"/>
      <c r="K32" s="333"/>
      <c r="L32" s="333"/>
      <c r="M32" s="333"/>
      <c r="N32" s="333"/>
      <c r="O32" s="333"/>
      <c r="P32" s="333"/>
      <c r="Q32" s="333"/>
      <c r="R32" s="333"/>
      <c r="S32" s="333"/>
      <c r="T32" s="333"/>
      <c r="U32" s="333"/>
      <c r="V32" s="336"/>
      <c r="W32" s="173"/>
      <c r="X32" s="309" t="str">
        <f>IF(F32&lt;&gt;"",IF(Input!AT33&lt;&gt;"",Input!AT33,""),"")</f>
        <v/>
      </c>
      <c r="Y32" s="449" t="str">
        <f>IFERROR(IF($X$5="","",IF(F32&lt;&gt;"",(Input!AT33/Input!$AT$6)*100,"")),"NA")</f>
        <v/>
      </c>
      <c r="Z32" s="310" t="str">
        <f>IF(F32&lt;&gt;"",IF(Input!AU33&lt;&gt;"",Input!AU33,""),"")</f>
        <v/>
      </c>
      <c r="AA32" s="449" t="str">
        <f>IFERROR(IF($Z$5="","",IF(F32&lt;&gt;"",(Input!AU33/Input!$AU$6)*100,"")),"NA")</f>
        <v/>
      </c>
      <c r="AB32" s="310" t="str">
        <f>IF(F32&lt;&gt;"",IF(Input!AV33&lt;&gt;"",Input!AV33,""),"")</f>
        <v/>
      </c>
      <c r="AC32" s="449" t="str">
        <f>IFERROR(IF($AB$5="","",IF(F32&lt;&gt;"",(Input!AV33/Input!$AV$6)*100,"")),"NA")</f>
        <v/>
      </c>
      <c r="AD32" s="310" t="str">
        <f>IF(F32&lt;&gt;"",IF(Input!AW33&lt;&gt;"",Input!AW33,""),"")</f>
        <v/>
      </c>
      <c r="AE32" s="449" t="str">
        <f>IFERROR(IF($AD$5="","",IF(F32&lt;&gt;"",(Input!AW33/Input!$AW$6)*100,"")),"NA")</f>
        <v/>
      </c>
      <c r="AF32" s="108" t="str">
        <f>IF(Input!AX33="Error","Error",IF(F32="","",IF($X$5="",0,IF(F32&lt;&gt;"",IFERROR(AVERAGE(Y32,AA32,AC32,AE32)*$AF$4,0),""))))</f>
        <v/>
      </c>
      <c r="AG32" s="174"/>
      <c r="AH32" s="175" t="str">
        <f>IF(F32&lt;&gt;"",IF(Input!AY33&lt;&gt;"",Input!AY33,""),"")</f>
        <v/>
      </c>
      <c r="AI32" s="451" t="str">
        <f>IFERROR(IF($AH$5="","",IF(F32&lt;&gt;"",(Input!AY33/Input!$AY$6)*100,"")),"NA")</f>
        <v/>
      </c>
      <c r="AJ32" s="176" t="str">
        <f>IF(F32&lt;&gt;"",IF(Input!AZ33&lt;&gt;"",Input!AZ33,""),"")</f>
        <v/>
      </c>
      <c r="AK32" s="451" t="str">
        <f>IFERROR(IF($AJ$5="","",IF(F32&lt;&gt;"",(Input!AZ33/Input!$AZ$6)*100,"")),"NA")</f>
        <v/>
      </c>
      <c r="AL32" s="176" t="str">
        <f>IF(F32&lt;&gt;"",IF(Input!BA33&lt;&gt;"",Input!BA33,""),"")</f>
        <v/>
      </c>
      <c r="AM32" s="451" t="str">
        <f>IFERROR(IF($AL$5="","",IF(F32&lt;&gt;"",(Input!BA33/Input!$BA$6)*100,"")),"NA")</f>
        <v/>
      </c>
      <c r="AN32" s="177" t="str">
        <f>IF(F32&lt;&gt;"",IF(Input!BB33&lt;&gt;"",Input!BB33,""),"")</f>
        <v/>
      </c>
      <c r="AO32" s="451" t="str">
        <f>IFERROR(IF($AN$5="","",IF(F32&lt;&gt;"",(Input!BB33/Input!$BB$6)*100,"")),"NA")</f>
        <v/>
      </c>
      <c r="AP32" s="303" t="str">
        <f>IF(Input!BC33="Error","Error",IF(F32="","",IF($AH$5="",0,IF(F32&lt;&gt;"",IFERROR(AVERAGE(AI32,AK32,AM32,AO32)*$AP$4,0),""))))</f>
        <v/>
      </c>
      <c r="AQ32" s="174"/>
      <c r="AR32" s="178" t="str">
        <f>IF(Input!BD33="","",IF(F32&lt;&gt;"",Input!BD33,""))</f>
        <v/>
      </c>
      <c r="AS32" s="179" t="str">
        <f>IF(F32="", "",IF(Input!BE33="Error","Error",IF(ISNUMBER(Input!BE33),(Input!BE33*$AS$4),"")))</f>
        <v/>
      </c>
      <c r="AT32" s="331" t="str">
        <f>IF(V32="D","DRP",
IF(F32&lt;&gt;"",
IF(OR(AF32="Error",AP32="Error",AS32="Error"),"Error",
IF(Input!BD33="","-",ROUND(AF32+AP32+AS32,2))),""))</f>
        <v/>
      </c>
      <c r="AU32" s="180" t="str">
        <f>IF(F32&lt;&gt;"",VLOOKUP(AT32,TRANSMUTATION!$A$2:$B$14,2),"")</f>
        <v/>
      </c>
      <c r="AV32" s="249" t="str">
        <f t="shared" si="1"/>
        <v/>
      </c>
      <c r="AW32" s="182"/>
      <c r="BA32" s="97"/>
    </row>
    <row r="33" spans="1:53" ht="15" customHeight="1" x14ac:dyDescent="0.2">
      <c r="A33" s="97"/>
      <c r="C33" s="194">
        <v>27</v>
      </c>
      <c r="D33" s="203" t="str">
        <f>IF(Input!D34&lt;&gt;"",IF(F33&lt;&gt;"",Input!D34,""),"")</f>
        <v/>
      </c>
      <c r="E33" s="297"/>
      <c r="F33" s="298" t="str">
        <f>(IF(Input!F34&lt;&gt;"",Input!F34,""))</f>
        <v/>
      </c>
      <c r="G33" s="333"/>
      <c r="H33" s="333"/>
      <c r="I33" s="333"/>
      <c r="J33" s="333"/>
      <c r="K33" s="333"/>
      <c r="L33" s="333"/>
      <c r="M33" s="333"/>
      <c r="N33" s="333"/>
      <c r="O33" s="333"/>
      <c r="P33" s="333"/>
      <c r="Q33" s="333"/>
      <c r="R33" s="333"/>
      <c r="S33" s="333"/>
      <c r="T33" s="333"/>
      <c r="U33" s="333"/>
      <c r="V33" s="336"/>
      <c r="W33" s="173"/>
      <c r="X33" s="309" t="str">
        <f>IF(F33&lt;&gt;"",IF(Input!AT34&lt;&gt;"",Input!AT34,""),"")</f>
        <v/>
      </c>
      <c r="Y33" s="449" t="str">
        <f>IFERROR(IF($X$5="","",IF(F33&lt;&gt;"",(Input!AT34/Input!$AT$6)*100,"")),"NA")</f>
        <v/>
      </c>
      <c r="Z33" s="310" t="str">
        <f>IF(F33&lt;&gt;"",IF(Input!AU34&lt;&gt;"",Input!AU34,""),"")</f>
        <v/>
      </c>
      <c r="AA33" s="449" t="str">
        <f>IFERROR(IF($Z$5="","",IF(F33&lt;&gt;"",(Input!AU34/Input!$AU$6)*100,"")),"NA")</f>
        <v/>
      </c>
      <c r="AB33" s="310" t="str">
        <f>IF(F33&lt;&gt;"",IF(Input!AV34&lt;&gt;"",Input!AV34,""),"")</f>
        <v/>
      </c>
      <c r="AC33" s="449" t="str">
        <f>IFERROR(IF($AB$5="","",IF(F33&lt;&gt;"",(Input!AV34/Input!$AV$6)*100,"")),"NA")</f>
        <v/>
      </c>
      <c r="AD33" s="310" t="str">
        <f>IF(F33&lt;&gt;"",IF(Input!AW34&lt;&gt;"",Input!AW34,""),"")</f>
        <v/>
      </c>
      <c r="AE33" s="449" t="str">
        <f>IFERROR(IF($AD$5="","",IF(F33&lt;&gt;"",(Input!AW34/Input!$AW$6)*100,"")),"NA")</f>
        <v/>
      </c>
      <c r="AF33" s="108" t="str">
        <f>IF(Input!AX34="Error","Error",IF(F33="","",IF($X$5="",0,IF(F33&lt;&gt;"",IFERROR(AVERAGE(Y33,AA33,AC33,AE33)*$AF$4,0),""))))</f>
        <v/>
      </c>
      <c r="AG33" s="174"/>
      <c r="AH33" s="175" t="str">
        <f>IF(F33&lt;&gt;"",IF(Input!AY34&lt;&gt;"",Input!AY34,""),"")</f>
        <v/>
      </c>
      <c r="AI33" s="451" t="str">
        <f>IFERROR(IF($AH$5="","",IF(F33&lt;&gt;"",(Input!AY34/Input!$AY$6)*100,"")),"NA")</f>
        <v/>
      </c>
      <c r="AJ33" s="176" t="str">
        <f>IF(F33&lt;&gt;"",IF(Input!AZ34&lt;&gt;"",Input!AZ34,""),"")</f>
        <v/>
      </c>
      <c r="AK33" s="451" t="str">
        <f>IFERROR(IF($AJ$5="","",IF(F33&lt;&gt;"",(Input!AZ34/Input!$AZ$6)*100,"")),"NA")</f>
        <v/>
      </c>
      <c r="AL33" s="176" t="str">
        <f>IF(F33&lt;&gt;"",IF(Input!BA34&lt;&gt;"",Input!BA34,""),"")</f>
        <v/>
      </c>
      <c r="AM33" s="451" t="str">
        <f>IFERROR(IF($AL$5="","",IF(F33&lt;&gt;"",(Input!BA34/Input!$BA$6)*100,"")),"NA")</f>
        <v/>
      </c>
      <c r="AN33" s="177" t="str">
        <f>IF(F33&lt;&gt;"",IF(Input!BB34&lt;&gt;"",Input!BB34,""),"")</f>
        <v/>
      </c>
      <c r="AO33" s="451" t="str">
        <f>IFERROR(IF($AN$5="","",IF(F33&lt;&gt;"",(Input!BB34/Input!$BB$6)*100,"")),"NA")</f>
        <v/>
      </c>
      <c r="AP33" s="303" t="str">
        <f>IF(Input!BC34="Error","Error",IF(F33="","",IF($AH$5="",0,IF(F33&lt;&gt;"",IFERROR(AVERAGE(AI33,AK33,AM33,AO33)*$AP$4,0),""))))</f>
        <v/>
      </c>
      <c r="AQ33" s="174"/>
      <c r="AR33" s="178" t="str">
        <f>IF(Input!BD34="","",IF(F33&lt;&gt;"",Input!BD34,""))</f>
        <v/>
      </c>
      <c r="AS33" s="179" t="str">
        <f>IF(F33="", "",IF(Input!BE34="Error","Error",IF(ISNUMBER(Input!BE34),(Input!BE34*$AS$4),"")))</f>
        <v/>
      </c>
      <c r="AT33" s="331" t="str">
        <f>IF(V33="D","DRP",
IF(F33&lt;&gt;"",
IF(OR(AF33="Error",AP33="Error",AS33="Error"),"Error",
IF(Input!BD34="","-",ROUND(AF33+AP33+AS33,2))),""))</f>
        <v/>
      </c>
      <c r="AU33" s="180" t="str">
        <f>IF(F33&lt;&gt;"",VLOOKUP(AT33,TRANSMUTATION!$A$2:$B$14,2),"")</f>
        <v/>
      </c>
      <c r="AV33" s="249" t="str">
        <f t="shared" si="1"/>
        <v/>
      </c>
      <c r="AW33" s="182"/>
      <c r="BA33" s="97"/>
    </row>
    <row r="34" spans="1:53" ht="15" customHeight="1" x14ac:dyDescent="0.2">
      <c r="A34" s="97"/>
      <c r="C34" s="194">
        <v>28</v>
      </c>
      <c r="D34" s="203" t="str">
        <f>IF(Input!D35&lt;&gt;"",IF(F34&lt;&gt;"",Input!D35,""),"")</f>
        <v/>
      </c>
      <c r="E34" s="297"/>
      <c r="F34" s="298" t="str">
        <f>(IF(Input!F35&lt;&gt;"",Input!F35,""))</f>
        <v/>
      </c>
      <c r="G34" s="333"/>
      <c r="H34" s="333"/>
      <c r="I34" s="333"/>
      <c r="J34" s="333"/>
      <c r="K34" s="333"/>
      <c r="L34" s="333"/>
      <c r="M34" s="333"/>
      <c r="N34" s="333"/>
      <c r="O34" s="333"/>
      <c r="P34" s="333"/>
      <c r="Q34" s="333"/>
      <c r="R34" s="333"/>
      <c r="S34" s="333"/>
      <c r="T34" s="333"/>
      <c r="U34" s="333"/>
      <c r="V34" s="336"/>
      <c r="W34" s="173"/>
      <c r="X34" s="309" t="str">
        <f>IF(F34&lt;&gt;"",IF(Input!AT35&lt;&gt;"",Input!AT35,""),"")</f>
        <v/>
      </c>
      <c r="Y34" s="449" t="str">
        <f>IFERROR(IF($X$5="","",IF(F34&lt;&gt;"",(Input!AT35/Input!$AT$6)*100,"")),"NA")</f>
        <v/>
      </c>
      <c r="Z34" s="310" t="str">
        <f>IF(F34&lt;&gt;"",IF(Input!AU35&lt;&gt;"",Input!AU35,""),"")</f>
        <v/>
      </c>
      <c r="AA34" s="449" t="str">
        <f>IFERROR(IF($Z$5="","",IF(F34&lt;&gt;"",(Input!AU35/Input!$AU$6)*100,"")),"NA")</f>
        <v/>
      </c>
      <c r="AB34" s="310" t="str">
        <f>IF(F34&lt;&gt;"",IF(Input!AV35&lt;&gt;"",Input!AV35,""),"")</f>
        <v/>
      </c>
      <c r="AC34" s="449" t="str">
        <f>IFERROR(IF($AB$5="","",IF(F34&lt;&gt;"",(Input!AV35/Input!$AV$6)*100,"")),"NA")</f>
        <v/>
      </c>
      <c r="AD34" s="310" t="str">
        <f>IF(F34&lt;&gt;"",IF(Input!AW35&lt;&gt;"",Input!AW35,""),"")</f>
        <v/>
      </c>
      <c r="AE34" s="449" t="str">
        <f>IFERROR(IF($AD$5="","",IF(F34&lt;&gt;"",(Input!AW35/Input!$AW$6)*100,"")),"NA")</f>
        <v/>
      </c>
      <c r="AF34" s="108" t="str">
        <f>IF(Input!AX35="Error","Error",IF(F34="","",IF($X$5="",0,IF(F34&lt;&gt;"",IFERROR(AVERAGE(Y34,AA34,AC34,AE34)*$AF$4,0),""))))</f>
        <v/>
      </c>
      <c r="AG34" s="174"/>
      <c r="AH34" s="175" t="str">
        <f>IF(F34&lt;&gt;"",IF(Input!AY35&lt;&gt;"",Input!AY35,""),"")</f>
        <v/>
      </c>
      <c r="AI34" s="451" t="str">
        <f>IFERROR(IF($AH$5="","",IF(F34&lt;&gt;"",(Input!AY35/Input!$AY$6)*100,"")),"NA")</f>
        <v/>
      </c>
      <c r="AJ34" s="176" t="str">
        <f>IF(F34&lt;&gt;"",IF(Input!AZ35&lt;&gt;"",Input!AZ35,""),"")</f>
        <v/>
      </c>
      <c r="AK34" s="451" t="str">
        <f>IFERROR(IF($AJ$5="","",IF(F34&lt;&gt;"",(Input!AZ35/Input!$AZ$6)*100,"")),"NA")</f>
        <v/>
      </c>
      <c r="AL34" s="176" t="str">
        <f>IF(F34&lt;&gt;"",IF(Input!BA35&lt;&gt;"",Input!BA35,""),"")</f>
        <v/>
      </c>
      <c r="AM34" s="451" t="str">
        <f>IFERROR(IF($AL$5="","",IF(F34&lt;&gt;"",(Input!BA35/Input!$BA$6)*100,"")),"NA")</f>
        <v/>
      </c>
      <c r="AN34" s="177" t="str">
        <f>IF(F34&lt;&gt;"",IF(Input!BB35&lt;&gt;"",Input!BB35,""),"")</f>
        <v/>
      </c>
      <c r="AO34" s="451" t="str">
        <f>IFERROR(IF($AN$5="","",IF(F34&lt;&gt;"",(Input!BB35/Input!$BB$6)*100,"")),"NA")</f>
        <v/>
      </c>
      <c r="AP34" s="303" t="str">
        <f>IF(Input!BC35="Error","Error",IF(F34="","",IF($AH$5="",0,IF(F34&lt;&gt;"",IFERROR(AVERAGE(AI34,AK34,AM34,AO34)*$AP$4,0),""))))</f>
        <v/>
      </c>
      <c r="AQ34" s="174"/>
      <c r="AR34" s="178" t="str">
        <f>IF(Input!BD35="","",IF(F34&lt;&gt;"",Input!BD35,""))</f>
        <v/>
      </c>
      <c r="AS34" s="179" t="str">
        <f>IF(F34="", "",IF(Input!BE35="Error","Error",IF(ISNUMBER(Input!BE35),(Input!BE35*$AS$4),"")))</f>
        <v/>
      </c>
      <c r="AT34" s="331" t="str">
        <f>IF(V34="D","DRP",
IF(F34&lt;&gt;"",
IF(OR(AF34="Error",AP34="Error",AS34="Error"),"Error",
IF(Input!BD35="","-",ROUND(AF34+AP34+AS34,2))),""))</f>
        <v/>
      </c>
      <c r="AU34" s="180" t="str">
        <f>IF(F34&lt;&gt;"",VLOOKUP(AT34,TRANSMUTATION!$A$2:$B$14,2),"")</f>
        <v/>
      </c>
      <c r="AV34" s="249" t="str">
        <f t="shared" si="1"/>
        <v/>
      </c>
      <c r="AW34" s="182"/>
      <c r="BA34" s="97"/>
    </row>
    <row r="35" spans="1:53" ht="15" customHeight="1" x14ac:dyDescent="0.2">
      <c r="A35" s="97"/>
      <c r="C35" s="194">
        <v>29</v>
      </c>
      <c r="D35" s="203" t="str">
        <f>IF(Input!D36&lt;&gt;"",IF(F35&lt;&gt;"",Input!D36,""),"")</f>
        <v/>
      </c>
      <c r="E35" s="297"/>
      <c r="F35" s="298" t="str">
        <f>(IF(Input!F36&lt;&gt;"",Input!F36,""))</f>
        <v/>
      </c>
      <c r="G35" s="333"/>
      <c r="H35" s="333"/>
      <c r="I35" s="333"/>
      <c r="J35" s="333"/>
      <c r="K35" s="333"/>
      <c r="L35" s="333"/>
      <c r="M35" s="333"/>
      <c r="N35" s="333"/>
      <c r="O35" s="333"/>
      <c r="P35" s="333"/>
      <c r="Q35" s="333"/>
      <c r="R35" s="333"/>
      <c r="S35" s="333"/>
      <c r="T35" s="333"/>
      <c r="U35" s="333"/>
      <c r="V35" s="336"/>
      <c r="W35" s="173"/>
      <c r="X35" s="309" t="str">
        <f>IF(F35&lt;&gt;"",IF(Input!AT36&lt;&gt;"",Input!AT36,""),"")</f>
        <v/>
      </c>
      <c r="Y35" s="449" t="str">
        <f>IFERROR(IF($X$5="","",IF(F35&lt;&gt;"",(Input!AT36/Input!$AT$6)*100,"")),"NA")</f>
        <v/>
      </c>
      <c r="Z35" s="310" t="str">
        <f>IF(F35&lt;&gt;"",IF(Input!AU36&lt;&gt;"",Input!AU36,""),"")</f>
        <v/>
      </c>
      <c r="AA35" s="449" t="str">
        <f>IFERROR(IF($Z$5="","",IF(F35&lt;&gt;"",(Input!AU36/Input!$AU$6)*100,"")),"NA")</f>
        <v/>
      </c>
      <c r="AB35" s="310" t="str">
        <f>IF(F35&lt;&gt;"",IF(Input!AV36&lt;&gt;"",Input!AV36,""),"")</f>
        <v/>
      </c>
      <c r="AC35" s="449" t="str">
        <f>IFERROR(IF($AB$5="","",IF(F35&lt;&gt;"",(Input!AV36/Input!$AV$6)*100,"")),"NA")</f>
        <v/>
      </c>
      <c r="AD35" s="310" t="str">
        <f>IF(F35&lt;&gt;"",IF(Input!AW36&lt;&gt;"",Input!AW36,""),"")</f>
        <v/>
      </c>
      <c r="AE35" s="449" t="str">
        <f>IFERROR(IF($AD$5="","",IF(F35&lt;&gt;"",(Input!AW36/Input!$AW$6)*100,"")),"NA")</f>
        <v/>
      </c>
      <c r="AF35" s="108" t="str">
        <f>IF(Input!AX36="Error","Error",IF(F35="","",IF($X$5="",0,IF(F35&lt;&gt;"",IFERROR(AVERAGE(Y35,AA35,AC35,AE35)*$AF$4,0),""))))</f>
        <v/>
      </c>
      <c r="AG35" s="174"/>
      <c r="AH35" s="175" t="str">
        <f>IF(F35&lt;&gt;"",IF(Input!AY36&lt;&gt;"",Input!AY36,""),"")</f>
        <v/>
      </c>
      <c r="AI35" s="451" t="str">
        <f>IFERROR(IF($AH$5="","",IF(F35&lt;&gt;"",(Input!AY36/Input!$AY$6)*100,"")),"NA")</f>
        <v/>
      </c>
      <c r="AJ35" s="176" t="str">
        <f>IF(F35&lt;&gt;"",IF(Input!AZ36&lt;&gt;"",Input!AZ36,""),"")</f>
        <v/>
      </c>
      <c r="AK35" s="451" t="str">
        <f>IFERROR(IF($AJ$5="","",IF(F35&lt;&gt;"",(Input!AZ36/Input!$AZ$6)*100,"")),"NA")</f>
        <v/>
      </c>
      <c r="AL35" s="176" t="str">
        <f>IF(F35&lt;&gt;"",IF(Input!BA36&lt;&gt;"",Input!BA36,""),"")</f>
        <v/>
      </c>
      <c r="AM35" s="451" t="str">
        <f>IFERROR(IF($AL$5="","",IF(F35&lt;&gt;"",(Input!BA36/Input!$BA$6)*100,"")),"NA")</f>
        <v/>
      </c>
      <c r="AN35" s="177" t="str">
        <f>IF(F35&lt;&gt;"",IF(Input!BB36&lt;&gt;"",Input!BB36,""),"")</f>
        <v/>
      </c>
      <c r="AO35" s="451" t="str">
        <f>IFERROR(IF($AN$5="","",IF(F35&lt;&gt;"",(Input!BB36/Input!$BB$6)*100,"")),"NA")</f>
        <v/>
      </c>
      <c r="AP35" s="303" t="str">
        <f>IF(Input!BC36="Error","Error",IF(F35="","",IF($AH$5="",0,IF(F35&lt;&gt;"",IFERROR(AVERAGE(AI35,AK35,AM35,AO35)*$AP$4,0),""))))</f>
        <v/>
      </c>
      <c r="AQ35" s="174"/>
      <c r="AR35" s="178" t="str">
        <f>IF(Input!BD36="","",IF(F35&lt;&gt;"",Input!BD36,""))</f>
        <v/>
      </c>
      <c r="AS35" s="179" t="str">
        <f>IF(F35="", "",IF(Input!BE36="Error","Error",IF(ISNUMBER(Input!BE36),(Input!BE36*$AS$4),"")))</f>
        <v/>
      </c>
      <c r="AT35" s="331" t="str">
        <f>IF(V35="D","DRP",
IF(F35&lt;&gt;"",
IF(OR(AF35="Error",AP35="Error",AS35="Error"),"Error",
IF(Input!BD36="","-",ROUND(AF35+AP35+AS35,2))),""))</f>
        <v/>
      </c>
      <c r="AU35" s="180" t="str">
        <f>IF(F35&lt;&gt;"",VLOOKUP(AT35,TRANSMUTATION!$A$2:$B$14,2),"")</f>
        <v/>
      </c>
      <c r="AV35" s="249" t="str">
        <f t="shared" si="1"/>
        <v/>
      </c>
      <c r="AW35" s="182"/>
      <c r="BA35" s="97"/>
    </row>
    <row r="36" spans="1:53" ht="15" customHeight="1" x14ac:dyDescent="0.2">
      <c r="A36" s="97"/>
      <c r="C36" s="194">
        <v>30</v>
      </c>
      <c r="D36" s="203" t="str">
        <f>IF(Input!D37&lt;&gt;"",IF(F36&lt;&gt;"",Input!D37,""),"")</f>
        <v/>
      </c>
      <c r="E36" s="297"/>
      <c r="F36" s="298" t="str">
        <f>(IF(Input!F37&lt;&gt;"",Input!F37,""))</f>
        <v/>
      </c>
      <c r="G36" s="333"/>
      <c r="H36" s="333"/>
      <c r="I36" s="333"/>
      <c r="J36" s="333"/>
      <c r="K36" s="333"/>
      <c r="L36" s="333"/>
      <c r="M36" s="333"/>
      <c r="N36" s="333"/>
      <c r="O36" s="333"/>
      <c r="P36" s="333"/>
      <c r="Q36" s="333"/>
      <c r="R36" s="333"/>
      <c r="S36" s="333"/>
      <c r="T36" s="333"/>
      <c r="U36" s="333"/>
      <c r="V36" s="336"/>
      <c r="W36" s="173"/>
      <c r="X36" s="309" t="str">
        <f>IF(F36&lt;&gt;"",IF(Input!AT37&lt;&gt;"",Input!AT37,""),"")</f>
        <v/>
      </c>
      <c r="Y36" s="449" t="str">
        <f>IFERROR(IF($X$5="","",IF(F36&lt;&gt;"",(Input!AT37/Input!$AT$6)*100,"")),"NA")</f>
        <v/>
      </c>
      <c r="Z36" s="310" t="str">
        <f>IF(F36&lt;&gt;"",IF(Input!AU37&lt;&gt;"",Input!AU37,""),"")</f>
        <v/>
      </c>
      <c r="AA36" s="449" t="str">
        <f>IFERROR(IF($Z$5="","",IF(F36&lt;&gt;"",(Input!AU37/Input!$AU$6)*100,"")),"NA")</f>
        <v/>
      </c>
      <c r="AB36" s="310" t="str">
        <f>IF(F36&lt;&gt;"",IF(Input!AV37&lt;&gt;"",Input!AV37,""),"")</f>
        <v/>
      </c>
      <c r="AC36" s="449" t="str">
        <f>IFERROR(IF($AB$5="","",IF(F36&lt;&gt;"",(Input!AV37/Input!$AV$6)*100,"")),"NA")</f>
        <v/>
      </c>
      <c r="AD36" s="310" t="str">
        <f>IF(F36&lt;&gt;"",IF(Input!AW37&lt;&gt;"",Input!AW37,""),"")</f>
        <v/>
      </c>
      <c r="AE36" s="449" t="str">
        <f>IFERROR(IF($AD$5="","",IF(F36&lt;&gt;"",(Input!AW37/Input!$AW$6)*100,"")),"NA")</f>
        <v/>
      </c>
      <c r="AF36" s="108" t="str">
        <f>IF(Input!AX37="Error","Error",IF(F36="","",IF($X$5="",0,IF(F36&lt;&gt;"",IFERROR(AVERAGE(Y36,AA36,AC36,AE36)*$AF$4,0),""))))</f>
        <v/>
      </c>
      <c r="AG36" s="174"/>
      <c r="AH36" s="175" t="str">
        <f>IF(F36&lt;&gt;"",IF(Input!AY37&lt;&gt;"",Input!AY37,""),"")</f>
        <v/>
      </c>
      <c r="AI36" s="451" t="str">
        <f>IFERROR(IF($AH$5="","",IF(F36&lt;&gt;"",(Input!AY37/Input!$AY$6)*100,"")),"NA")</f>
        <v/>
      </c>
      <c r="AJ36" s="176" t="str">
        <f>IF(F36&lt;&gt;"",IF(Input!AZ37&lt;&gt;"",Input!AZ37,""),"")</f>
        <v/>
      </c>
      <c r="AK36" s="451" t="str">
        <f>IFERROR(IF($AJ$5="","",IF(F36&lt;&gt;"",(Input!AZ37/Input!$AZ$6)*100,"")),"NA")</f>
        <v/>
      </c>
      <c r="AL36" s="176" t="str">
        <f>IF(F36&lt;&gt;"",IF(Input!BA37&lt;&gt;"",Input!BA37,""),"")</f>
        <v/>
      </c>
      <c r="AM36" s="451" t="str">
        <f>IFERROR(IF($AL$5="","",IF(F36&lt;&gt;"",(Input!BA37/Input!$BA$6)*100,"")),"NA")</f>
        <v/>
      </c>
      <c r="AN36" s="177" t="str">
        <f>IF(F36&lt;&gt;"",IF(Input!BB37&lt;&gt;"",Input!BB37,""),"")</f>
        <v/>
      </c>
      <c r="AO36" s="451" t="str">
        <f>IFERROR(IF($AN$5="","",IF(F36&lt;&gt;"",(Input!BB37/Input!$BB$6)*100,"")),"NA")</f>
        <v/>
      </c>
      <c r="AP36" s="303" t="str">
        <f>IF(Input!BC37="Error","Error",IF(F36="","",IF($AH$5="",0,IF(F36&lt;&gt;"",IFERROR(AVERAGE(AI36,AK36,AM36,AO36)*$AP$4,0),""))))</f>
        <v/>
      </c>
      <c r="AQ36" s="174"/>
      <c r="AR36" s="178" t="str">
        <f>IF(Input!BD37="","",IF(F36&lt;&gt;"",Input!BD37,""))</f>
        <v/>
      </c>
      <c r="AS36" s="179" t="str">
        <f>IF(F36="", "",IF(Input!BE37="Error","Error",IF(ISNUMBER(Input!BE37),(Input!BE37*$AS$4),"")))</f>
        <v/>
      </c>
      <c r="AT36" s="331" t="str">
        <f>IF(V36="D","DRP",
IF(F36&lt;&gt;"",
IF(OR(AF36="Error",AP36="Error",AS36="Error"),"Error",
IF(Input!BD37="","-",ROUND(AF36+AP36+AS36,2))),""))</f>
        <v/>
      </c>
      <c r="AU36" s="180" t="str">
        <f>IF(F36&lt;&gt;"",VLOOKUP(AT36,TRANSMUTATION!$A$2:$B$14,2),"")</f>
        <v/>
      </c>
      <c r="AV36" s="249" t="str">
        <f t="shared" si="1"/>
        <v/>
      </c>
      <c r="AW36" s="182"/>
      <c r="BA36" s="97"/>
    </row>
    <row r="37" spans="1:53" ht="15" customHeight="1" x14ac:dyDescent="0.2">
      <c r="A37" s="97"/>
      <c r="C37" s="194">
        <v>31</v>
      </c>
      <c r="D37" s="203" t="str">
        <f>IF(Input!D38&lt;&gt;"",IF(F37&lt;&gt;"",Input!D38,""),"")</f>
        <v/>
      </c>
      <c r="E37" s="297"/>
      <c r="F37" s="298" t="str">
        <f>(IF(Input!F38&lt;&gt;"",Input!F38,""))</f>
        <v/>
      </c>
      <c r="G37" s="333"/>
      <c r="H37" s="333"/>
      <c r="I37" s="333"/>
      <c r="J37" s="333"/>
      <c r="K37" s="333"/>
      <c r="L37" s="333"/>
      <c r="M37" s="333"/>
      <c r="N37" s="333"/>
      <c r="O37" s="333"/>
      <c r="P37" s="333"/>
      <c r="Q37" s="333"/>
      <c r="R37" s="333"/>
      <c r="S37" s="333"/>
      <c r="T37" s="333"/>
      <c r="U37" s="333"/>
      <c r="V37" s="336"/>
      <c r="W37" s="173"/>
      <c r="X37" s="309" t="str">
        <f>IF(F37&lt;&gt;"",IF(Input!AT38&lt;&gt;"",Input!AT38,""),"")</f>
        <v/>
      </c>
      <c r="Y37" s="449" t="str">
        <f>IFERROR(IF($X$5="","",IF(F37&lt;&gt;"",(Input!AT38/Input!$AT$6)*100,"")),"NA")</f>
        <v/>
      </c>
      <c r="Z37" s="310" t="str">
        <f>IF(F37&lt;&gt;"",IF(Input!AU38&lt;&gt;"",Input!AU38,""),"")</f>
        <v/>
      </c>
      <c r="AA37" s="449" t="str">
        <f>IFERROR(IF($Z$5="","",IF(F37&lt;&gt;"",(Input!AU38/Input!$AU$6)*100,"")),"NA")</f>
        <v/>
      </c>
      <c r="AB37" s="310" t="str">
        <f>IF(F37&lt;&gt;"",IF(Input!AV38&lt;&gt;"",Input!AV38,""),"")</f>
        <v/>
      </c>
      <c r="AC37" s="449" t="str">
        <f>IFERROR(IF($AB$5="","",IF(F37&lt;&gt;"",(Input!AV38/Input!$AV$6)*100,"")),"NA")</f>
        <v/>
      </c>
      <c r="AD37" s="310" t="str">
        <f>IF(F37&lt;&gt;"",IF(Input!AW38&lt;&gt;"",Input!AW38,""),"")</f>
        <v/>
      </c>
      <c r="AE37" s="449" t="str">
        <f>IFERROR(IF($AD$5="","",IF(F37&lt;&gt;"",(Input!AW38/Input!$AW$6)*100,"")),"NA")</f>
        <v/>
      </c>
      <c r="AF37" s="108" t="str">
        <f>IF(Input!AX38="Error","Error",IF(F37="","",IF($X$5="",0,IF(F37&lt;&gt;"",IFERROR(AVERAGE(Y37,AA37,AC37,AE37)*$AF$4,0),""))))</f>
        <v/>
      </c>
      <c r="AG37" s="174"/>
      <c r="AH37" s="175" t="str">
        <f>IF(F37&lt;&gt;"",IF(Input!AY38&lt;&gt;"",Input!AY38,""),"")</f>
        <v/>
      </c>
      <c r="AI37" s="451" t="str">
        <f>IFERROR(IF($AH$5="","",IF(F37&lt;&gt;"",(Input!AY38/Input!$AY$6)*100,"")),"NA")</f>
        <v/>
      </c>
      <c r="AJ37" s="176" t="str">
        <f>IF(F37&lt;&gt;"",IF(Input!AZ38&lt;&gt;"",Input!AZ38,""),"")</f>
        <v/>
      </c>
      <c r="AK37" s="451" t="str">
        <f>IFERROR(IF($AJ$5="","",IF(F37&lt;&gt;"",(Input!AZ38/Input!$AZ$6)*100,"")),"NA")</f>
        <v/>
      </c>
      <c r="AL37" s="176" t="str">
        <f>IF(F37&lt;&gt;"",IF(Input!BA38&lt;&gt;"",Input!BA38,""),"")</f>
        <v/>
      </c>
      <c r="AM37" s="451" t="str">
        <f>IFERROR(IF($AL$5="","",IF(F37&lt;&gt;"",(Input!BA38/Input!$BA$6)*100,"")),"NA")</f>
        <v/>
      </c>
      <c r="AN37" s="177" t="str">
        <f>IF(F37&lt;&gt;"",IF(Input!BB38&lt;&gt;"",Input!BB38,""),"")</f>
        <v/>
      </c>
      <c r="AO37" s="451" t="str">
        <f>IFERROR(IF($AN$5="","",IF(F37&lt;&gt;"",(Input!BB38/Input!$BB$6)*100,"")),"NA")</f>
        <v/>
      </c>
      <c r="AP37" s="303" t="str">
        <f>IF(Input!BC38="Error","Error",IF(F37="","",IF($AH$5="",0,IF(F37&lt;&gt;"",IFERROR(AVERAGE(AI37,AK37,AM37,AO37)*$AP$4,0),""))))</f>
        <v/>
      </c>
      <c r="AQ37" s="174"/>
      <c r="AR37" s="178" t="str">
        <f>IF(Input!BD38="","",IF(F37&lt;&gt;"",Input!BD38,""))</f>
        <v/>
      </c>
      <c r="AS37" s="179" t="str">
        <f>IF(F37="", "",IF(Input!BE38="Error","Error",IF(ISNUMBER(Input!BE38),(Input!BE38*$AS$4),"")))</f>
        <v/>
      </c>
      <c r="AT37" s="331" t="str">
        <f>IF(V37="D","DRP",
IF(F37&lt;&gt;"",
IF(OR(AF37="Error",AP37="Error",AS37="Error"),"Error",
IF(Input!BD38="","-",ROUND(AF37+AP37+AS37,2))),""))</f>
        <v/>
      </c>
      <c r="AU37" s="180" t="str">
        <f>IF(F37&lt;&gt;"",VLOOKUP(AT37,TRANSMUTATION!$A$2:$B$14,2),"")</f>
        <v/>
      </c>
      <c r="AV37" s="249" t="str">
        <f t="shared" si="1"/>
        <v/>
      </c>
      <c r="AW37" s="182"/>
      <c r="BA37" s="97"/>
    </row>
    <row r="38" spans="1:53" ht="15" customHeight="1" x14ac:dyDescent="0.2">
      <c r="A38" s="97"/>
      <c r="C38" s="194">
        <v>32</v>
      </c>
      <c r="D38" s="203" t="str">
        <f>IF(Input!D39&lt;&gt;"",IF(F38&lt;&gt;"",Input!D39,""),"")</f>
        <v/>
      </c>
      <c r="E38" s="297"/>
      <c r="F38" s="298" t="str">
        <f>(IF(Input!F39&lt;&gt;"",Input!F39,""))</f>
        <v/>
      </c>
      <c r="G38" s="333"/>
      <c r="H38" s="333"/>
      <c r="I38" s="333"/>
      <c r="J38" s="333"/>
      <c r="K38" s="333"/>
      <c r="L38" s="333"/>
      <c r="M38" s="333"/>
      <c r="N38" s="333"/>
      <c r="O38" s="333"/>
      <c r="P38" s="333"/>
      <c r="Q38" s="333"/>
      <c r="R38" s="333"/>
      <c r="S38" s="333"/>
      <c r="T38" s="333"/>
      <c r="U38" s="333"/>
      <c r="V38" s="336"/>
      <c r="W38" s="173"/>
      <c r="X38" s="309" t="str">
        <f>IF(F38&lt;&gt;"",IF(Input!AT39&lt;&gt;"",Input!AT39,""),"")</f>
        <v/>
      </c>
      <c r="Y38" s="449" t="str">
        <f>IFERROR(IF($X$5="","",IF(F38&lt;&gt;"",(Input!AT39/Input!$AT$6)*100,"")),"NA")</f>
        <v/>
      </c>
      <c r="Z38" s="310" t="str">
        <f>IF(F38&lt;&gt;"",IF(Input!AU39&lt;&gt;"",Input!AU39,""),"")</f>
        <v/>
      </c>
      <c r="AA38" s="449" t="str">
        <f>IFERROR(IF($Z$5="","",IF(F38&lt;&gt;"",(Input!AU39/Input!$AU$6)*100,"")),"NA")</f>
        <v/>
      </c>
      <c r="AB38" s="310" t="str">
        <f>IF(F38&lt;&gt;"",IF(Input!AV39&lt;&gt;"",Input!AV39,""),"")</f>
        <v/>
      </c>
      <c r="AC38" s="449" t="str">
        <f>IFERROR(IF($AB$5="","",IF(F38&lt;&gt;"",(Input!AV39/Input!$AV$6)*100,"")),"NA")</f>
        <v/>
      </c>
      <c r="AD38" s="310" t="str">
        <f>IF(F38&lt;&gt;"",IF(Input!AW39&lt;&gt;"",Input!AW39,""),"")</f>
        <v/>
      </c>
      <c r="AE38" s="449" t="str">
        <f>IFERROR(IF($AD$5="","",IF(F38&lt;&gt;"",(Input!AW39/Input!$AW$6)*100,"")),"NA")</f>
        <v/>
      </c>
      <c r="AF38" s="108" t="str">
        <f>IF(Input!AX39="Error","Error",IF(F38="","",IF($X$5="",0,IF(F38&lt;&gt;"",IFERROR(AVERAGE(Y38,AA38,AC38,AE38)*$AF$4,0),""))))</f>
        <v/>
      </c>
      <c r="AG38" s="174"/>
      <c r="AH38" s="175" t="str">
        <f>IF(F38&lt;&gt;"",IF(Input!AY39&lt;&gt;"",Input!AY39,""),"")</f>
        <v/>
      </c>
      <c r="AI38" s="451" t="str">
        <f>IFERROR(IF($AH$5="","",IF(F38&lt;&gt;"",(Input!AY39/Input!$AY$6)*100,"")),"NA")</f>
        <v/>
      </c>
      <c r="AJ38" s="176" t="str">
        <f>IF(F38&lt;&gt;"",IF(Input!AZ39&lt;&gt;"",Input!AZ39,""),"")</f>
        <v/>
      </c>
      <c r="AK38" s="451" t="str">
        <f>IFERROR(IF($AJ$5="","",IF(F38&lt;&gt;"",(Input!AZ39/Input!$AZ$6)*100,"")),"NA")</f>
        <v/>
      </c>
      <c r="AL38" s="176" t="str">
        <f>IF(F38&lt;&gt;"",IF(Input!BA39&lt;&gt;"",Input!BA39,""),"")</f>
        <v/>
      </c>
      <c r="AM38" s="451" t="str">
        <f>IFERROR(IF($AL$5="","",IF(F38&lt;&gt;"",(Input!BA39/Input!$BA$6)*100,"")),"NA")</f>
        <v/>
      </c>
      <c r="AN38" s="177" t="str">
        <f>IF(F38&lt;&gt;"",IF(Input!BB39&lt;&gt;"",Input!BB39,""),"")</f>
        <v/>
      </c>
      <c r="AO38" s="451" t="str">
        <f>IFERROR(IF($AN$5="","",IF(F38&lt;&gt;"",(Input!BB39/Input!$BB$6)*100,"")),"NA")</f>
        <v/>
      </c>
      <c r="AP38" s="303" t="str">
        <f>IF(Input!BC39="Error","Error",IF(F38="","",IF($AH$5="",0,IF(F38&lt;&gt;"",IFERROR(AVERAGE(AI38,AK38,AM38,AO38)*$AP$4,0),""))))</f>
        <v/>
      </c>
      <c r="AQ38" s="174"/>
      <c r="AR38" s="178" t="str">
        <f>IF(Input!BD39="","",IF(F38&lt;&gt;"",Input!BD39,""))</f>
        <v/>
      </c>
      <c r="AS38" s="179" t="str">
        <f>IF(F38="", "",IF(Input!BE39="Error","Error",IF(ISNUMBER(Input!BE39),(Input!BE39*$AS$4),"")))</f>
        <v/>
      </c>
      <c r="AT38" s="331" t="str">
        <f>IF(V38="D","DRP",
IF(F38&lt;&gt;"",
IF(OR(AF38="Error",AP38="Error",AS38="Error"),"Error",
IF(Input!BD39="","-",ROUND(AF38+AP38+AS38,2))),""))</f>
        <v/>
      </c>
      <c r="AU38" s="180" t="str">
        <f>IF(F38&lt;&gt;"",VLOOKUP(AT38,TRANSMUTATION!$A$2:$B$14,2),"")</f>
        <v/>
      </c>
      <c r="AV38" s="249" t="str">
        <f t="shared" si="1"/>
        <v/>
      </c>
      <c r="AW38" s="182"/>
      <c r="BA38" s="97"/>
    </row>
    <row r="39" spans="1:53" ht="15" customHeight="1" x14ac:dyDescent="0.2">
      <c r="A39" s="97"/>
      <c r="C39" s="194">
        <v>33</v>
      </c>
      <c r="D39" s="203" t="str">
        <f>IF(Input!D40&lt;&gt;"",IF(F39&lt;&gt;"",Input!D40,""),"")</f>
        <v/>
      </c>
      <c r="E39" s="297"/>
      <c r="F39" s="298" t="str">
        <f>(IF(Input!F40&lt;&gt;"",Input!F40,""))</f>
        <v/>
      </c>
      <c r="G39" s="333"/>
      <c r="H39" s="333"/>
      <c r="I39" s="333"/>
      <c r="J39" s="333"/>
      <c r="K39" s="333"/>
      <c r="L39" s="333"/>
      <c r="M39" s="333"/>
      <c r="N39" s="333"/>
      <c r="O39" s="333"/>
      <c r="P39" s="333"/>
      <c r="Q39" s="333"/>
      <c r="R39" s="333"/>
      <c r="S39" s="333"/>
      <c r="T39" s="333"/>
      <c r="U39" s="333"/>
      <c r="V39" s="336"/>
      <c r="W39" s="173"/>
      <c r="X39" s="309" t="str">
        <f>IF(F39&lt;&gt;"",IF(Input!AT40&lt;&gt;"",Input!AT40,""),"")</f>
        <v/>
      </c>
      <c r="Y39" s="449" t="str">
        <f>IFERROR(IF($X$5="","",IF(F39&lt;&gt;"",(Input!AT40/Input!$AT$6)*100,"")),"NA")</f>
        <v/>
      </c>
      <c r="Z39" s="310" t="str">
        <f>IF(F39&lt;&gt;"",IF(Input!AU40&lt;&gt;"",Input!AU40,""),"")</f>
        <v/>
      </c>
      <c r="AA39" s="449" t="str">
        <f>IFERROR(IF($Z$5="","",IF(F39&lt;&gt;"",(Input!AU40/Input!$AU$6)*100,"")),"NA")</f>
        <v/>
      </c>
      <c r="AB39" s="310" t="str">
        <f>IF(F39&lt;&gt;"",IF(Input!AV40&lt;&gt;"",Input!AV40,""),"")</f>
        <v/>
      </c>
      <c r="AC39" s="449" t="str">
        <f>IFERROR(IF($AB$5="","",IF(F39&lt;&gt;"",(Input!AV40/Input!$AV$6)*100,"")),"NA")</f>
        <v/>
      </c>
      <c r="AD39" s="310" t="str">
        <f>IF(F39&lt;&gt;"",IF(Input!AW40&lt;&gt;"",Input!AW40,""),"")</f>
        <v/>
      </c>
      <c r="AE39" s="449" t="str">
        <f>IFERROR(IF($AD$5="","",IF(F39&lt;&gt;"",(Input!AW40/Input!$AW$6)*100,"")),"NA")</f>
        <v/>
      </c>
      <c r="AF39" s="108" t="str">
        <f>IF(Input!AX40="Error","Error",IF(F39="","",IF($X$5="",0,IF(F39&lt;&gt;"",IFERROR(AVERAGE(Y39,AA39,AC39,AE39)*$AF$4,0),""))))</f>
        <v/>
      </c>
      <c r="AG39" s="174"/>
      <c r="AH39" s="175" t="str">
        <f>IF(F39&lt;&gt;"",IF(Input!AY40&lt;&gt;"",Input!AY40,""),"")</f>
        <v/>
      </c>
      <c r="AI39" s="451" t="str">
        <f>IFERROR(IF($AH$5="","",IF(F39&lt;&gt;"",(Input!AY40/Input!$AY$6)*100,"")),"NA")</f>
        <v/>
      </c>
      <c r="AJ39" s="176" t="str">
        <f>IF(F39&lt;&gt;"",IF(Input!AZ40&lt;&gt;"",Input!AZ40,""),"")</f>
        <v/>
      </c>
      <c r="AK39" s="451" t="str">
        <f>IFERROR(IF($AJ$5="","",IF(F39&lt;&gt;"",(Input!AZ40/Input!$AZ$6)*100,"")),"NA")</f>
        <v/>
      </c>
      <c r="AL39" s="176" t="str">
        <f>IF(F39&lt;&gt;"",IF(Input!BA40&lt;&gt;"",Input!BA40,""),"")</f>
        <v/>
      </c>
      <c r="AM39" s="451" t="str">
        <f>IFERROR(IF($AL$5="","",IF(F39&lt;&gt;"",(Input!BA40/Input!$BA$6)*100,"")),"NA")</f>
        <v/>
      </c>
      <c r="AN39" s="177" t="str">
        <f>IF(F39&lt;&gt;"",IF(Input!BB40&lt;&gt;"",Input!BB40,""),"")</f>
        <v/>
      </c>
      <c r="AO39" s="451" t="str">
        <f>IFERROR(IF($AN$5="","",IF(F39&lt;&gt;"",(Input!BB40/Input!$BB$6)*100,"")),"NA")</f>
        <v/>
      </c>
      <c r="AP39" s="303" t="str">
        <f>IF(Input!BC40="Error","Error",IF(F39="","",IF($AH$5="",0,IF(F39&lt;&gt;"",IFERROR(AVERAGE(AI39,AK39,AM39,AO39)*$AP$4,0),""))))</f>
        <v/>
      </c>
      <c r="AQ39" s="174"/>
      <c r="AR39" s="178" t="str">
        <f>IF(Input!BD40="","",IF(F39&lt;&gt;"",Input!BD40,""))</f>
        <v/>
      </c>
      <c r="AS39" s="179" t="str">
        <f>IF(F39="", "",IF(Input!BE40="Error","Error",IF(ISNUMBER(Input!BE40),(Input!BE40*$AS$4),"")))</f>
        <v/>
      </c>
      <c r="AT39" s="331" t="str">
        <f>IF(V39="D","DRP",
IF(F39&lt;&gt;"",
IF(OR(AF39="Error",AP39="Error",AS39="Error"),"Error",
IF(Input!BD40="","-",ROUND(AF39+AP39+AS39,2))),""))</f>
        <v/>
      </c>
      <c r="AU39" s="180" t="str">
        <f>IF(F39&lt;&gt;"",VLOOKUP(AT39,TRANSMUTATION!$A$2:$B$14,2),"")</f>
        <v/>
      </c>
      <c r="AV39" s="249" t="str">
        <f t="shared" si="1"/>
        <v/>
      </c>
      <c r="AW39" s="182"/>
      <c r="BA39" s="97"/>
    </row>
    <row r="40" spans="1:53" ht="15" customHeight="1" x14ac:dyDescent="0.2">
      <c r="A40" s="97"/>
      <c r="C40" s="194">
        <v>34</v>
      </c>
      <c r="D40" s="203" t="str">
        <f>IF(Input!D41&lt;&gt;"",IF(F40&lt;&gt;"",Input!D41,""),"")</f>
        <v/>
      </c>
      <c r="E40" s="297"/>
      <c r="F40" s="298" t="str">
        <f>(IF(Input!F41&lt;&gt;"",Input!F41,""))</f>
        <v/>
      </c>
      <c r="G40" s="333"/>
      <c r="H40" s="333"/>
      <c r="I40" s="333"/>
      <c r="J40" s="333"/>
      <c r="K40" s="333"/>
      <c r="L40" s="333"/>
      <c r="M40" s="333"/>
      <c r="N40" s="333"/>
      <c r="O40" s="333"/>
      <c r="P40" s="333"/>
      <c r="Q40" s="333"/>
      <c r="R40" s="333"/>
      <c r="S40" s="333"/>
      <c r="T40" s="333"/>
      <c r="U40" s="333"/>
      <c r="V40" s="336"/>
      <c r="W40" s="173"/>
      <c r="X40" s="309" t="str">
        <f>IF(F40&lt;&gt;"",IF(Input!AT41&lt;&gt;"",Input!AT41,""),"")</f>
        <v/>
      </c>
      <c r="Y40" s="449" t="str">
        <f>IFERROR(IF($X$5="","",IF(F40&lt;&gt;"",(Input!AT41/Input!$AT$6)*100,"")),"NA")</f>
        <v/>
      </c>
      <c r="Z40" s="310" t="str">
        <f>IF(F40&lt;&gt;"",IF(Input!AU41&lt;&gt;"",Input!AU41,""),"")</f>
        <v/>
      </c>
      <c r="AA40" s="449" t="str">
        <f>IFERROR(IF($Z$5="","",IF(F40&lt;&gt;"",(Input!AU41/Input!$AU$6)*100,"")),"NA")</f>
        <v/>
      </c>
      <c r="AB40" s="310" t="str">
        <f>IF(F40&lt;&gt;"",IF(Input!AV41&lt;&gt;"",Input!AV41,""),"")</f>
        <v/>
      </c>
      <c r="AC40" s="449" t="str">
        <f>IFERROR(IF($AB$5="","",IF(F40&lt;&gt;"",(Input!AV41/Input!$AV$6)*100,"")),"NA")</f>
        <v/>
      </c>
      <c r="AD40" s="310" t="str">
        <f>IF(F40&lt;&gt;"",IF(Input!AW41&lt;&gt;"",Input!AW41,""),"")</f>
        <v/>
      </c>
      <c r="AE40" s="449" t="str">
        <f>IFERROR(IF($AD$5="","",IF(F40&lt;&gt;"",(Input!AW41/Input!$AW$6)*100,"")),"NA")</f>
        <v/>
      </c>
      <c r="AF40" s="108" t="str">
        <f>IF(Input!AX41="Error","Error",IF(F40="","",IF($X$5="",0,IF(F40&lt;&gt;"",IFERROR(AVERAGE(Y40,AA40,AC40,AE40)*$AF$4,0),""))))</f>
        <v/>
      </c>
      <c r="AG40" s="174"/>
      <c r="AH40" s="175" t="str">
        <f>IF(F40&lt;&gt;"",IF(Input!AY41&lt;&gt;"",Input!AY41,""),"")</f>
        <v/>
      </c>
      <c r="AI40" s="451" t="str">
        <f>IFERROR(IF($AH$5="","",IF(F40&lt;&gt;"",(Input!AY41/Input!$AY$6)*100,"")),"NA")</f>
        <v/>
      </c>
      <c r="AJ40" s="176" t="str">
        <f>IF(F40&lt;&gt;"",IF(Input!AZ41&lt;&gt;"",Input!AZ41,""),"")</f>
        <v/>
      </c>
      <c r="AK40" s="451" t="str">
        <f>IFERROR(IF($AJ$5="","",IF(F40&lt;&gt;"",(Input!AZ41/Input!$AZ$6)*100,"")),"NA")</f>
        <v/>
      </c>
      <c r="AL40" s="176" t="str">
        <f>IF(F40&lt;&gt;"",IF(Input!BA41&lt;&gt;"",Input!BA41,""),"")</f>
        <v/>
      </c>
      <c r="AM40" s="451" t="str">
        <f>IFERROR(IF($AL$5="","",IF(F40&lt;&gt;"",(Input!BA41/Input!$BA$6)*100,"")),"NA")</f>
        <v/>
      </c>
      <c r="AN40" s="177" t="str">
        <f>IF(F40&lt;&gt;"",IF(Input!BB41&lt;&gt;"",Input!BB41,""),"")</f>
        <v/>
      </c>
      <c r="AO40" s="451" t="str">
        <f>IFERROR(IF($AN$5="","",IF(F40&lt;&gt;"",(Input!BB41/Input!$BB$6)*100,"")),"NA")</f>
        <v/>
      </c>
      <c r="AP40" s="303" t="str">
        <f>IF(Input!BC41="Error","Error",IF(F40="","",IF($AH$5="",0,IF(F40&lt;&gt;"",IFERROR(AVERAGE(AI40,AK40,AM40,AO40)*$AP$4,0),""))))</f>
        <v/>
      </c>
      <c r="AQ40" s="174"/>
      <c r="AR40" s="178" t="str">
        <f>IF(Input!BD41="","",IF(F40&lt;&gt;"",Input!BD41,""))</f>
        <v/>
      </c>
      <c r="AS40" s="179" t="str">
        <f>IF(F40="", "",IF(Input!BE41="Error","Error",IF(ISNUMBER(Input!BE41),(Input!BE41*$AS$4),"")))</f>
        <v/>
      </c>
      <c r="AT40" s="331" t="str">
        <f>IF(V40="D","DRP",
IF(F40&lt;&gt;"",
IF(OR(AF40="Error",AP40="Error",AS40="Error"),"Error",
IF(Input!BD41="","-",ROUND(AF40+AP40+AS40,2))),""))</f>
        <v/>
      </c>
      <c r="AU40" s="180" t="str">
        <f>IF(F40&lt;&gt;"",VLOOKUP(AT40,TRANSMUTATION!$A$2:$B$14,2),"")</f>
        <v/>
      </c>
      <c r="AV40" s="249" t="str">
        <f t="shared" si="1"/>
        <v/>
      </c>
      <c r="AW40" s="182"/>
      <c r="BA40" s="97"/>
    </row>
    <row r="41" spans="1:53" ht="15" customHeight="1" x14ac:dyDescent="0.2">
      <c r="A41" s="97"/>
      <c r="C41" s="194">
        <v>35</v>
      </c>
      <c r="D41" s="203" t="str">
        <f>IF(Input!D42&lt;&gt;"",IF(F41&lt;&gt;"",Input!D42,""),"")</f>
        <v/>
      </c>
      <c r="E41" s="297"/>
      <c r="F41" s="298" t="str">
        <f>(IF(Input!F42&lt;&gt;"",Input!F42,""))</f>
        <v/>
      </c>
      <c r="G41" s="333"/>
      <c r="H41" s="333"/>
      <c r="I41" s="333"/>
      <c r="J41" s="333"/>
      <c r="K41" s="333"/>
      <c r="L41" s="333"/>
      <c r="M41" s="333"/>
      <c r="N41" s="333"/>
      <c r="O41" s="333"/>
      <c r="P41" s="333"/>
      <c r="Q41" s="333"/>
      <c r="R41" s="333"/>
      <c r="S41" s="333"/>
      <c r="T41" s="333"/>
      <c r="U41" s="333"/>
      <c r="V41" s="336"/>
      <c r="W41" s="173"/>
      <c r="X41" s="309" t="str">
        <f>IF(F41&lt;&gt;"",IF(Input!AT42&lt;&gt;"",Input!AT42,""),"")</f>
        <v/>
      </c>
      <c r="Y41" s="449" t="str">
        <f>IFERROR(IF($X$5="","",IF(F41&lt;&gt;"",(Input!AT42/Input!$AT$6)*100,"")),"NA")</f>
        <v/>
      </c>
      <c r="Z41" s="310" t="str">
        <f>IF(F41&lt;&gt;"",IF(Input!AU42&lt;&gt;"",Input!AU42,""),"")</f>
        <v/>
      </c>
      <c r="AA41" s="449" t="str">
        <f>IFERROR(IF($Z$5="","",IF(F41&lt;&gt;"",(Input!AU42/Input!$AU$6)*100,"")),"NA")</f>
        <v/>
      </c>
      <c r="AB41" s="310" t="str">
        <f>IF(F41&lt;&gt;"",IF(Input!AV42&lt;&gt;"",Input!AV42,""),"")</f>
        <v/>
      </c>
      <c r="AC41" s="449" t="str">
        <f>IFERROR(IF($AB$5="","",IF(F41&lt;&gt;"",(Input!AV42/Input!$AV$6)*100,"")),"NA")</f>
        <v/>
      </c>
      <c r="AD41" s="310" t="str">
        <f>IF(F41&lt;&gt;"",IF(Input!AW42&lt;&gt;"",Input!AW42,""),"")</f>
        <v/>
      </c>
      <c r="AE41" s="449" t="str">
        <f>IFERROR(IF($AD$5="","",IF(F41&lt;&gt;"",(Input!AW42/Input!$AW$6)*100,"")),"NA")</f>
        <v/>
      </c>
      <c r="AF41" s="108" t="str">
        <f>IF(Input!AX42="Error","Error",IF(F41="","",IF($X$5="",0,IF(F41&lt;&gt;"",IFERROR(AVERAGE(Y41,AA41,AC41,AE41)*$AF$4,0),""))))</f>
        <v/>
      </c>
      <c r="AG41" s="174"/>
      <c r="AH41" s="175" t="str">
        <f>IF(F41&lt;&gt;"",IF(Input!AY42&lt;&gt;"",Input!AY42,""),"")</f>
        <v/>
      </c>
      <c r="AI41" s="451" t="str">
        <f>IFERROR(IF($AH$5="","",IF(F41&lt;&gt;"",(Input!AY42/Input!$AY$6)*100,"")),"NA")</f>
        <v/>
      </c>
      <c r="AJ41" s="176" t="str">
        <f>IF(F41&lt;&gt;"",IF(Input!AZ42&lt;&gt;"",Input!AZ42,""),"")</f>
        <v/>
      </c>
      <c r="AK41" s="451" t="str">
        <f>IFERROR(IF($AJ$5="","",IF(F41&lt;&gt;"",(Input!AZ42/Input!$AZ$6)*100,"")),"NA")</f>
        <v/>
      </c>
      <c r="AL41" s="176" t="str">
        <f>IF(F41&lt;&gt;"",IF(Input!BA42&lt;&gt;"",Input!BA42,""),"")</f>
        <v/>
      </c>
      <c r="AM41" s="451" t="str">
        <f>IFERROR(IF($AL$5="","",IF(F41&lt;&gt;"",(Input!BA42/Input!$BA$6)*100,"")),"NA")</f>
        <v/>
      </c>
      <c r="AN41" s="177" t="str">
        <f>IF(F41&lt;&gt;"",IF(Input!BB42&lt;&gt;"",Input!BB42,""),"")</f>
        <v/>
      </c>
      <c r="AO41" s="451" t="str">
        <f>IFERROR(IF($AN$5="","",IF(F41&lt;&gt;"",(Input!BB42/Input!$BB$6)*100,"")),"NA")</f>
        <v/>
      </c>
      <c r="AP41" s="303" t="str">
        <f>IF(Input!BC42="Error","Error",IF(F41="","",IF($AH$5="",0,IF(F41&lt;&gt;"",IFERROR(AVERAGE(AI41,AK41,AM41,AO41)*$AP$4,0),""))))</f>
        <v/>
      </c>
      <c r="AQ41" s="174"/>
      <c r="AR41" s="178" t="str">
        <f>IF(Input!BD42="","",IF(F41&lt;&gt;"",Input!BD42,""))</f>
        <v/>
      </c>
      <c r="AS41" s="179" t="str">
        <f>IF(F41="", "",IF(Input!BE42="Error","Error",IF(ISNUMBER(Input!BE42),(Input!BE42*$AS$4),"")))</f>
        <v/>
      </c>
      <c r="AT41" s="331" t="str">
        <f>IF(V41="D","DRP",
IF(F41&lt;&gt;"",
IF(OR(AF41="Error",AP41="Error",AS41="Error"),"Error",
IF(Input!BD42="","-",ROUND(AF41+AP41+AS41,2))),""))</f>
        <v/>
      </c>
      <c r="AU41" s="180" t="str">
        <f>IF(F41&lt;&gt;"",VLOOKUP(AT41,TRANSMUTATION!$A$2:$B$14,2),"")</f>
        <v/>
      </c>
      <c r="AV41" s="249" t="str">
        <f t="shared" si="1"/>
        <v/>
      </c>
      <c r="AW41" s="182"/>
      <c r="BA41" s="97"/>
    </row>
    <row r="42" spans="1:53" ht="15" customHeight="1" x14ac:dyDescent="0.2">
      <c r="A42" s="97"/>
      <c r="C42" s="194">
        <v>36</v>
      </c>
      <c r="D42" s="203" t="str">
        <f>IF(Input!D43&lt;&gt;"",IF(F42&lt;&gt;"",Input!D43,""),"")</f>
        <v/>
      </c>
      <c r="E42" s="297"/>
      <c r="F42" s="298" t="str">
        <f>(IF(Input!F43&lt;&gt;"",Input!F43,""))</f>
        <v/>
      </c>
      <c r="G42" s="333"/>
      <c r="H42" s="333"/>
      <c r="I42" s="333"/>
      <c r="J42" s="333"/>
      <c r="K42" s="333"/>
      <c r="L42" s="333"/>
      <c r="M42" s="333"/>
      <c r="N42" s="333"/>
      <c r="O42" s="333"/>
      <c r="P42" s="333"/>
      <c r="Q42" s="333"/>
      <c r="R42" s="333"/>
      <c r="S42" s="333"/>
      <c r="T42" s="333"/>
      <c r="U42" s="333"/>
      <c r="V42" s="336"/>
      <c r="W42" s="173"/>
      <c r="X42" s="309" t="str">
        <f>IF(F42&lt;&gt;"",IF(Input!AT43&lt;&gt;"",Input!AT43,""),"")</f>
        <v/>
      </c>
      <c r="Y42" s="449" t="str">
        <f>IFERROR(IF($X$5="","",IF(F42&lt;&gt;"",(Input!AT43/Input!$AT$6)*100,"")),"NA")</f>
        <v/>
      </c>
      <c r="Z42" s="310" t="str">
        <f>IF(F42&lt;&gt;"",IF(Input!AU43&lt;&gt;"",Input!AU43,""),"")</f>
        <v/>
      </c>
      <c r="AA42" s="449" t="str">
        <f>IFERROR(IF($Z$5="","",IF(F42&lt;&gt;"",(Input!AU43/Input!$AU$6)*100,"")),"NA")</f>
        <v/>
      </c>
      <c r="AB42" s="310" t="str">
        <f>IF(F42&lt;&gt;"",IF(Input!AV43&lt;&gt;"",Input!AV43,""),"")</f>
        <v/>
      </c>
      <c r="AC42" s="449" t="str">
        <f>IFERROR(IF($AB$5="","",IF(F42&lt;&gt;"",(Input!AV43/Input!$AV$6)*100,"")),"NA")</f>
        <v/>
      </c>
      <c r="AD42" s="310" t="str">
        <f>IF(F42&lt;&gt;"",IF(Input!AW43&lt;&gt;"",Input!AW43,""),"")</f>
        <v/>
      </c>
      <c r="AE42" s="449" t="str">
        <f>IFERROR(IF($AD$5="","",IF(F42&lt;&gt;"",(Input!AW43/Input!$AW$6)*100,"")),"NA")</f>
        <v/>
      </c>
      <c r="AF42" s="108" t="str">
        <f>IF(Input!AX43="Error","Error",IF(F42="","",IF($X$5="",0,IF(F42&lt;&gt;"",IFERROR(AVERAGE(Y42,AA42,AC42,AE42)*$AF$4,0),""))))</f>
        <v/>
      </c>
      <c r="AG42" s="174"/>
      <c r="AH42" s="175" t="str">
        <f>IF(F42&lt;&gt;"",IF(Input!AY43&lt;&gt;"",Input!AY43,""),"")</f>
        <v/>
      </c>
      <c r="AI42" s="451" t="str">
        <f>IFERROR(IF($AH$5="","",IF(F42&lt;&gt;"",(Input!AY43/Input!$AY$6)*100,"")),"NA")</f>
        <v/>
      </c>
      <c r="AJ42" s="176" t="str">
        <f>IF(F42&lt;&gt;"",IF(Input!AZ43&lt;&gt;"",Input!AZ43,""),"")</f>
        <v/>
      </c>
      <c r="AK42" s="451" t="str">
        <f>IFERROR(IF($AJ$5="","",IF(F42&lt;&gt;"",(Input!AZ43/Input!$AZ$6)*100,"")),"NA")</f>
        <v/>
      </c>
      <c r="AL42" s="176" t="str">
        <f>IF(F42&lt;&gt;"",IF(Input!BA43&lt;&gt;"",Input!BA43,""),"")</f>
        <v/>
      </c>
      <c r="AM42" s="451" t="str">
        <f>IFERROR(IF($AL$5="","",IF(F42&lt;&gt;"",(Input!BA43/Input!$BA$6)*100,"")),"NA")</f>
        <v/>
      </c>
      <c r="AN42" s="177" t="str">
        <f>IF(F42&lt;&gt;"",IF(Input!BB43&lt;&gt;"",Input!BB43,""),"")</f>
        <v/>
      </c>
      <c r="AO42" s="451" t="str">
        <f>IFERROR(IF($AN$5="","",IF(F42&lt;&gt;"",(Input!BB43/Input!$BB$6)*100,"")),"NA")</f>
        <v/>
      </c>
      <c r="AP42" s="303" t="str">
        <f>IF(Input!BC43="Error","Error",IF(F42="","",IF($AH$5="",0,IF(F42&lt;&gt;"",IFERROR(AVERAGE(AI42,AK42,AM42,AO42)*$AP$4,0),""))))</f>
        <v/>
      </c>
      <c r="AQ42" s="174"/>
      <c r="AR42" s="178" t="str">
        <f>IF(Input!BD43="","",IF(F42&lt;&gt;"",Input!BD43,""))</f>
        <v/>
      </c>
      <c r="AS42" s="179" t="str">
        <f>IF(F42="", "",IF(Input!BE43="Error","Error",IF(ISNUMBER(Input!BE43),(Input!BE43*$AS$4),"")))</f>
        <v/>
      </c>
      <c r="AT42" s="331" t="str">
        <f>IF(V42="D","DRP",
IF(F42&lt;&gt;"",
IF(OR(AF42="Error",AP42="Error",AS42="Error"),"Error",
IF(Input!BD43="","-",ROUND(AF42+AP42+AS42,2))),""))</f>
        <v/>
      </c>
      <c r="AU42" s="180" t="str">
        <f>IF(F42&lt;&gt;"",VLOOKUP(AT42,TRANSMUTATION!$A$2:$B$14,2),"")</f>
        <v/>
      </c>
      <c r="AV42" s="249" t="str">
        <f t="shared" si="1"/>
        <v/>
      </c>
      <c r="AW42" s="182"/>
      <c r="BA42" s="97"/>
    </row>
    <row r="43" spans="1:53" ht="15" customHeight="1" x14ac:dyDescent="0.2">
      <c r="A43" s="97"/>
      <c r="C43" s="194">
        <v>37</v>
      </c>
      <c r="D43" s="203" t="str">
        <f>IF(Input!D44&lt;&gt;"",IF(F43&lt;&gt;"",Input!D44,""),"")</f>
        <v/>
      </c>
      <c r="E43" s="297"/>
      <c r="F43" s="298" t="str">
        <f>(IF(Input!F44&lt;&gt;"",Input!F44,""))</f>
        <v/>
      </c>
      <c r="G43" s="333"/>
      <c r="H43" s="333"/>
      <c r="I43" s="333"/>
      <c r="J43" s="333"/>
      <c r="K43" s="333"/>
      <c r="L43" s="333"/>
      <c r="M43" s="333"/>
      <c r="N43" s="333"/>
      <c r="O43" s="333"/>
      <c r="P43" s="333"/>
      <c r="Q43" s="333"/>
      <c r="R43" s="333"/>
      <c r="S43" s="333"/>
      <c r="T43" s="333"/>
      <c r="U43" s="333"/>
      <c r="V43" s="336"/>
      <c r="W43" s="173"/>
      <c r="X43" s="309" t="str">
        <f>IF(F43&lt;&gt;"",IF(Input!AT44&lt;&gt;"",Input!AT44,""),"")</f>
        <v/>
      </c>
      <c r="Y43" s="449" t="str">
        <f>IFERROR(IF($X$5="","",IF(F43&lt;&gt;"",(Input!AT44/Input!$AT$6)*100,"")),"NA")</f>
        <v/>
      </c>
      <c r="Z43" s="310" t="str">
        <f>IF(F43&lt;&gt;"",IF(Input!AU44&lt;&gt;"",Input!AU44,""),"")</f>
        <v/>
      </c>
      <c r="AA43" s="449" t="str">
        <f>IFERROR(IF($Z$5="","",IF(F43&lt;&gt;"",(Input!AU44/Input!$AU$6)*100,"")),"NA")</f>
        <v/>
      </c>
      <c r="AB43" s="310" t="str">
        <f>IF(F43&lt;&gt;"",IF(Input!AV44&lt;&gt;"",Input!AV44,""),"")</f>
        <v/>
      </c>
      <c r="AC43" s="449" t="str">
        <f>IFERROR(IF($AB$5="","",IF(F43&lt;&gt;"",(Input!AV44/Input!$AV$6)*100,"")),"NA")</f>
        <v/>
      </c>
      <c r="AD43" s="310" t="str">
        <f>IF(F43&lt;&gt;"",IF(Input!AW44&lt;&gt;"",Input!AW44,""),"")</f>
        <v/>
      </c>
      <c r="AE43" s="449" t="str">
        <f>IFERROR(IF($AD$5="","",IF(F43&lt;&gt;"",(Input!AW44/Input!$AW$6)*100,"")),"NA")</f>
        <v/>
      </c>
      <c r="AF43" s="108" t="str">
        <f>IF(Input!AX44="Error","Error",IF(F43="","",IF($X$5="",0,IF(F43&lt;&gt;"",IFERROR(AVERAGE(Y43,AA43,AC43,AE43)*$AF$4,0),""))))</f>
        <v/>
      </c>
      <c r="AG43" s="174"/>
      <c r="AH43" s="175" t="str">
        <f>IF(F43&lt;&gt;"",IF(Input!AY44&lt;&gt;"",Input!AY44,""),"")</f>
        <v/>
      </c>
      <c r="AI43" s="451" t="str">
        <f>IFERROR(IF($AH$5="","",IF(F43&lt;&gt;"",(Input!AY44/Input!$AY$6)*100,"")),"NA")</f>
        <v/>
      </c>
      <c r="AJ43" s="176" t="str">
        <f>IF(F43&lt;&gt;"",IF(Input!AZ44&lt;&gt;"",Input!AZ44,""),"")</f>
        <v/>
      </c>
      <c r="AK43" s="451" t="str">
        <f>IFERROR(IF($AJ$5="","",IF(F43&lt;&gt;"",(Input!AZ44/Input!$AZ$6)*100,"")),"NA")</f>
        <v/>
      </c>
      <c r="AL43" s="176" t="str">
        <f>IF(F43&lt;&gt;"",IF(Input!BA44&lt;&gt;"",Input!BA44,""),"")</f>
        <v/>
      </c>
      <c r="AM43" s="451" t="str">
        <f>IFERROR(IF($AL$5="","",IF(F43&lt;&gt;"",(Input!BA44/Input!$BA$6)*100,"")),"NA")</f>
        <v/>
      </c>
      <c r="AN43" s="177" t="str">
        <f>IF(F43&lt;&gt;"",IF(Input!BB44&lt;&gt;"",Input!BB44,""),"")</f>
        <v/>
      </c>
      <c r="AO43" s="451" t="str">
        <f>IFERROR(IF($AN$5="","",IF(F43&lt;&gt;"",(Input!BB44/Input!$BB$6)*100,"")),"NA")</f>
        <v/>
      </c>
      <c r="AP43" s="303" t="str">
        <f>IF(Input!BC44="Error","Error",IF(F43="","",IF($AH$5="",0,IF(F43&lt;&gt;"",IFERROR(AVERAGE(AI43,AK43,AM43,AO43)*$AP$4,0),""))))</f>
        <v/>
      </c>
      <c r="AQ43" s="174"/>
      <c r="AR43" s="178" t="str">
        <f>IF(Input!BD44="","",IF(F43&lt;&gt;"",Input!BD44,""))</f>
        <v/>
      </c>
      <c r="AS43" s="179" t="str">
        <f>IF(F43="", "",IF(Input!BE44="Error","Error",IF(ISNUMBER(Input!BE44),(Input!BE44*$AS$4),"")))</f>
        <v/>
      </c>
      <c r="AT43" s="331" t="str">
        <f>IF(V43="D","DRP",
IF(F43&lt;&gt;"",
IF(OR(AF43="Error",AP43="Error",AS43="Error"),"Error",
IF(Input!BD44="","-",ROUND(AF43+AP43+AS43,2))),""))</f>
        <v/>
      </c>
      <c r="AU43" s="180" t="str">
        <f>IF(F43&lt;&gt;"",VLOOKUP(AT43,TRANSMUTATION!$A$2:$B$14,2),"")</f>
        <v/>
      </c>
      <c r="AV43" s="249" t="str">
        <f t="shared" si="1"/>
        <v/>
      </c>
      <c r="AW43" s="182"/>
      <c r="BA43" s="97"/>
    </row>
    <row r="44" spans="1:53" ht="15" customHeight="1" x14ac:dyDescent="0.2">
      <c r="A44" s="97"/>
      <c r="C44" s="194">
        <v>38</v>
      </c>
      <c r="D44" s="203" t="str">
        <f>IF(Input!D45&lt;&gt;"",IF(F44&lt;&gt;"",Input!D45,""),"")</f>
        <v/>
      </c>
      <c r="E44" s="297"/>
      <c r="F44" s="298" t="str">
        <f>(IF(Input!F45&lt;&gt;"",Input!F45,""))</f>
        <v/>
      </c>
      <c r="G44" s="333"/>
      <c r="H44" s="333"/>
      <c r="I44" s="333"/>
      <c r="J44" s="333"/>
      <c r="K44" s="333"/>
      <c r="L44" s="333"/>
      <c r="M44" s="333"/>
      <c r="N44" s="333"/>
      <c r="O44" s="333"/>
      <c r="P44" s="333"/>
      <c r="Q44" s="333"/>
      <c r="R44" s="333"/>
      <c r="S44" s="333"/>
      <c r="T44" s="333"/>
      <c r="U44" s="333"/>
      <c r="V44" s="336"/>
      <c r="W44" s="173"/>
      <c r="X44" s="309" t="str">
        <f>IF(F44&lt;&gt;"",IF(Input!AT45&lt;&gt;"",Input!AT45,""),"")</f>
        <v/>
      </c>
      <c r="Y44" s="449" t="str">
        <f>IFERROR(IF($X$5="","",IF(F44&lt;&gt;"",(Input!AT45/Input!$AT$6)*100,"")),"NA")</f>
        <v/>
      </c>
      <c r="Z44" s="310" t="str">
        <f>IF(F44&lt;&gt;"",IF(Input!AU45&lt;&gt;"",Input!AU45,""),"")</f>
        <v/>
      </c>
      <c r="AA44" s="449" t="str">
        <f>IFERROR(IF($Z$5="","",IF(F44&lt;&gt;"",(Input!AU45/Input!$AU$6)*100,"")),"NA")</f>
        <v/>
      </c>
      <c r="AB44" s="310" t="str">
        <f>IF(F44&lt;&gt;"",IF(Input!AV45&lt;&gt;"",Input!AV45,""),"")</f>
        <v/>
      </c>
      <c r="AC44" s="449" t="str">
        <f>IFERROR(IF($AB$5="","",IF(F44&lt;&gt;"",(Input!AV45/Input!$AV$6)*100,"")),"NA")</f>
        <v/>
      </c>
      <c r="AD44" s="310" t="str">
        <f>IF(F44&lt;&gt;"",IF(Input!AW45&lt;&gt;"",Input!AW45,""),"")</f>
        <v/>
      </c>
      <c r="AE44" s="449" t="str">
        <f>IFERROR(IF($AD$5="","",IF(F44&lt;&gt;"",(Input!AW45/Input!$AW$6)*100,"")),"NA")</f>
        <v/>
      </c>
      <c r="AF44" s="108" t="str">
        <f>IF(Input!AX45="Error","Error",IF(F44="","",IF($X$5="",0,IF(F44&lt;&gt;"",IFERROR(AVERAGE(Y44,AA44,AC44,AE44)*$AF$4,0),""))))</f>
        <v/>
      </c>
      <c r="AG44" s="174"/>
      <c r="AH44" s="175" t="str">
        <f>IF(F44&lt;&gt;"",IF(Input!AY45&lt;&gt;"",Input!AY45,""),"")</f>
        <v/>
      </c>
      <c r="AI44" s="451" t="str">
        <f>IFERROR(IF($AH$5="","",IF(F44&lt;&gt;"",(Input!AY45/Input!$AY$6)*100,"")),"NA")</f>
        <v/>
      </c>
      <c r="AJ44" s="176" t="str">
        <f>IF(F44&lt;&gt;"",IF(Input!AZ45&lt;&gt;"",Input!AZ45,""),"")</f>
        <v/>
      </c>
      <c r="AK44" s="451" t="str">
        <f>IFERROR(IF($AJ$5="","",IF(F44&lt;&gt;"",(Input!AZ45/Input!$AZ$6)*100,"")),"NA")</f>
        <v/>
      </c>
      <c r="AL44" s="176" t="str">
        <f>IF(F44&lt;&gt;"",IF(Input!BA45&lt;&gt;"",Input!BA45,""),"")</f>
        <v/>
      </c>
      <c r="AM44" s="451" t="str">
        <f>IFERROR(IF($AL$5="","",IF(F44&lt;&gt;"",(Input!BA45/Input!$BA$6)*100,"")),"NA")</f>
        <v/>
      </c>
      <c r="AN44" s="177" t="str">
        <f>IF(F44&lt;&gt;"",IF(Input!BB45&lt;&gt;"",Input!BB45,""),"")</f>
        <v/>
      </c>
      <c r="AO44" s="451" t="str">
        <f>IFERROR(IF($AN$5="","",IF(F44&lt;&gt;"",(Input!BB45/Input!$BB$6)*100,"")),"NA")</f>
        <v/>
      </c>
      <c r="AP44" s="303" t="str">
        <f>IF(Input!BC45="Error","Error",IF(F44="","",IF($AH$5="",0,IF(F44&lt;&gt;"",IFERROR(AVERAGE(AI44,AK44,AM44,AO44)*$AP$4,0),""))))</f>
        <v/>
      </c>
      <c r="AQ44" s="174"/>
      <c r="AR44" s="178" t="str">
        <f>IF(Input!BD45="","",IF(F44&lt;&gt;"",Input!BD45,""))</f>
        <v/>
      </c>
      <c r="AS44" s="179" t="str">
        <f>IF(F44="", "",IF(Input!BE45="Error","Error",IF(ISNUMBER(Input!BE45),(Input!BE45*$AS$4),"")))</f>
        <v/>
      </c>
      <c r="AT44" s="331" t="str">
        <f>IF(V44="D","DRP",
IF(F44&lt;&gt;"",
IF(OR(AF44="Error",AP44="Error",AS44="Error"),"Error",
IF(Input!BD45="","-",ROUND(AF44+AP44+AS44,2))),""))</f>
        <v/>
      </c>
      <c r="AU44" s="180" t="str">
        <f>IF(F44&lt;&gt;"",VLOOKUP(AT44,TRANSMUTATION!$A$2:$B$14,2),"")</f>
        <v/>
      </c>
      <c r="AV44" s="249" t="str">
        <f t="shared" si="1"/>
        <v/>
      </c>
      <c r="AW44" s="182"/>
      <c r="BA44" s="97"/>
    </row>
    <row r="45" spans="1:53" ht="15" customHeight="1" x14ac:dyDescent="0.2">
      <c r="A45" s="97"/>
      <c r="C45" s="194">
        <v>39</v>
      </c>
      <c r="D45" s="203" t="str">
        <f>IF(Input!D46&lt;&gt;"",IF(F45&lt;&gt;"",Input!D46,""),"")</f>
        <v/>
      </c>
      <c r="E45" s="297"/>
      <c r="F45" s="298" t="str">
        <f>(IF(Input!F46&lt;&gt;"",Input!F46,""))</f>
        <v/>
      </c>
      <c r="G45" s="333"/>
      <c r="H45" s="333"/>
      <c r="I45" s="333"/>
      <c r="J45" s="333"/>
      <c r="K45" s="333"/>
      <c r="L45" s="333"/>
      <c r="M45" s="333"/>
      <c r="N45" s="333"/>
      <c r="O45" s="333"/>
      <c r="P45" s="333"/>
      <c r="Q45" s="333"/>
      <c r="R45" s="333"/>
      <c r="S45" s="333"/>
      <c r="T45" s="333"/>
      <c r="U45" s="333"/>
      <c r="V45" s="336"/>
      <c r="W45" s="173"/>
      <c r="X45" s="309" t="str">
        <f>IF(F45&lt;&gt;"",IF(Input!AT46&lt;&gt;"",Input!AT46,""),"")</f>
        <v/>
      </c>
      <c r="Y45" s="449" t="str">
        <f>IFERROR(IF($X$5="","",IF(F45&lt;&gt;"",(Input!AT46/Input!$AT$6)*100,"")),"NA")</f>
        <v/>
      </c>
      <c r="Z45" s="310" t="str">
        <f>IF(F45&lt;&gt;"",IF(Input!AU46&lt;&gt;"",Input!AU46,""),"")</f>
        <v/>
      </c>
      <c r="AA45" s="449" t="str">
        <f>IFERROR(IF($Z$5="","",IF(F45&lt;&gt;"",(Input!AU46/Input!$AU$6)*100,"")),"NA")</f>
        <v/>
      </c>
      <c r="AB45" s="310" t="str">
        <f>IF(F45&lt;&gt;"",IF(Input!AV46&lt;&gt;"",Input!AV46,""),"")</f>
        <v/>
      </c>
      <c r="AC45" s="449" t="str">
        <f>IFERROR(IF($AB$5="","",IF(F45&lt;&gt;"",(Input!AV46/Input!$AV$6)*100,"")),"NA")</f>
        <v/>
      </c>
      <c r="AD45" s="310" t="str">
        <f>IF(F45&lt;&gt;"",IF(Input!AW46&lt;&gt;"",Input!AW46,""),"")</f>
        <v/>
      </c>
      <c r="AE45" s="449" t="str">
        <f>IFERROR(IF($AD$5="","",IF(F45&lt;&gt;"",(Input!AW46/Input!$AW$6)*100,"")),"NA")</f>
        <v/>
      </c>
      <c r="AF45" s="108" t="str">
        <f>IF(Input!AX46="Error","Error",IF(F45="","",IF($X$5="",0,IF(F45&lt;&gt;"",IFERROR(AVERAGE(Y45,AA45,AC45,AE45)*$AF$4,0),""))))</f>
        <v/>
      </c>
      <c r="AG45" s="174"/>
      <c r="AH45" s="175" t="str">
        <f>IF(F45&lt;&gt;"",IF(Input!AY46&lt;&gt;"",Input!AY46,""),"")</f>
        <v/>
      </c>
      <c r="AI45" s="451" t="str">
        <f>IFERROR(IF($AH$5="","",IF(F45&lt;&gt;"",(Input!AY46/Input!$AY$6)*100,"")),"NA")</f>
        <v/>
      </c>
      <c r="AJ45" s="176" t="str">
        <f>IF(F45&lt;&gt;"",IF(Input!AZ46&lt;&gt;"",Input!AZ46,""),"")</f>
        <v/>
      </c>
      <c r="AK45" s="451" t="str">
        <f>IFERROR(IF($AJ$5="","",IF(F45&lt;&gt;"",(Input!AZ46/Input!$AZ$6)*100,"")),"NA")</f>
        <v/>
      </c>
      <c r="AL45" s="176" t="str">
        <f>IF(F45&lt;&gt;"",IF(Input!BA46&lt;&gt;"",Input!BA46,""),"")</f>
        <v/>
      </c>
      <c r="AM45" s="451" t="str">
        <f>IFERROR(IF($AL$5="","",IF(F45&lt;&gt;"",(Input!BA46/Input!$BA$6)*100,"")),"NA")</f>
        <v/>
      </c>
      <c r="AN45" s="177" t="str">
        <f>IF(F45&lt;&gt;"",IF(Input!BB46&lt;&gt;"",Input!BB46,""),"")</f>
        <v/>
      </c>
      <c r="AO45" s="451" t="str">
        <f>IFERROR(IF($AN$5="","",IF(F45&lt;&gt;"",(Input!BB46/Input!$BB$6)*100,"")),"NA")</f>
        <v/>
      </c>
      <c r="AP45" s="303" t="str">
        <f>IF(Input!BC46="Error","Error",IF(F45="","",IF($AH$5="",0,IF(F45&lt;&gt;"",IFERROR(AVERAGE(AI45,AK45,AM45,AO45)*$AP$4,0),""))))</f>
        <v/>
      </c>
      <c r="AQ45" s="174"/>
      <c r="AR45" s="178" t="str">
        <f>IF(Input!BD46="","",IF(F45&lt;&gt;"",Input!BD46,""))</f>
        <v/>
      </c>
      <c r="AS45" s="179" t="str">
        <f>IF(F45="", "",IF(Input!BE46="Error","Error",IF(ISNUMBER(Input!BE46),(Input!BE46*$AS$4),"")))</f>
        <v/>
      </c>
      <c r="AT45" s="331" t="str">
        <f>IF(V45="D","DRP",
IF(F45&lt;&gt;"",
IF(OR(AF45="Error",AP45="Error",AS45="Error"),"Error",
IF(Input!BD46="","-",ROUND(AF45+AP45+AS45,2))),""))</f>
        <v/>
      </c>
      <c r="AU45" s="180" t="str">
        <f>IF(F45&lt;&gt;"",VLOOKUP(AT45,TRANSMUTATION!$A$2:$B$14,2),"")</f>
        <v/>
      </c>
      <c r="AV45" s="249" t="str">
        <f t="shared" si="1"/>
        <v/>
      </c>
      <c r="AW45" s="182"/>
      <c r="BA45" s="97"/>
    </row>
    <row r="46" spans="1:53" ht="15" customHeight="1" x14ac:dyDescent="0.2">
      <c r="A46" s="97"/>
      <c r="C46" s="194">
        <v>40</v>
      </c>
      <c r="D46" s="203" t="str">
        <f>IF(Input!D47&lt;&gt;"",IF(F46&lt;&gt;"",Input!D47,""),"")</f>
        <v/>
      </c>
      <c r="E46" s="297"/>
      <c r="F46" s="298" t="str">
        <f>(IF(Input!F47&lt;&gt;"",Input!F47,""))</f>
        <v/>
      </c>
      <c r="G46" s="333"/>
      <c r="H46" s="333"/>
      <c r="I46" s="333"/>
      <c r="J46" s="333"/>
      <c r="K46" s="333"/>
      <c r="L46" s="333"/>
      <c r="M46" s="333"/>
      <c r="N46" s="333"/>
      <c r="O46" s="333"/>
      <c r="P46" s="333"/>
      <c r="Q46" s="333"/>
      <c r="R46" s="333"/>
      <c r="S46" s="333"/>
      <c r="T46" s="333"/>
      <c r="U46" s="333"/>
      <c r="V46" s="336"/>
      <c r="W46" s="173"/>
      <c r="X46" s="309" t="str">
        <f>IF(F46&lt;&gt;"",IF(Input!AT47&lt;&gt;"",Input!AT47,""),"")</f>
        <v/>
      </c>
      <c r="Y46" s="449" t="str">
        <f>IFERROR(IF($X$5="","",IF(F46&lt;&gt;"",(Input!AT47/Input!$AT$6)*100,"")),"NA")</f>
        <v/>
      </c>
      <c r="Z46" s="310" t="str">
        <f>IF(F46&lt;&gt;"",IF(Input!AU47&lt;&gt;"",Input!AU47,""),"")</f>
        <v/>
      </c>
      <c r="AA46" s="449" t="str">
        <f>IFERROR(IF($Z$5="","",IF(F46&lt;&gt;"",(Input!AU47/Input!$AU$6)*100,"")),"NA")</f>
        <v/>
      </c>
      <c r="AB46" s="310" t="str">
        <f>IF(F46&lt;&gt;"",IF(Input!AV47&lt;&gt;"",Input!AV47,""),"")</f>
        <v/>
      </c>
      <c r="AC46" s="449" t="str">
        <f>IFERROR(IF($AB$5="","",IF(F46&lt;&gt;"",(Input!AV47/Input!$AV$6)*100,"")),"NA")</f>
        <v/>
      </c>
      <c r="AD46" s="310" t="str">
        <f>IF(F46&lt;&gt;"",IF(Input!AW47&lt;&gt;"",Input!AW47,""),"")</f>
        <v/>
      </c>
      <c r="AE46" s="449" t="str">
        <f>IFERROR(IF($AD$5="","",IF(F46&lt;&gt;"",(Input!AW47/Input!$AW$6)*100,"")),"NA")</f>
        <v/>
      </c>
      <c r="AF46" s="108" t="str">
        <f>IF(Input!AX47="Error","Error",IF(F46="","",IF($X$5="",0,IF(F46&lt;&gt;"",IFERROR(AVERAGE(Y46,AA46,AC46,AE46)*$AF$4,0),""))))</f>
        <v/>
      </c>
      <c r="AG46" s="174"/>
      <c r="AH46" s="175" t="str">
        <f>IF(F46&lt;&gt;"",IF(Input!AY47&lt;&gt;"",Input!AY47,""),"")</f>
        <v/>
      </c>
      <c r="AI46" s="451" t="str">
        <f>IFERROR(IF($AH$5="","",IF(F46&lt;&gt;"",(Input!AY47/Input!$AY$6)*100,"")),"NA")</f>
        <v/>
      </c>
      <c r="AJ46" s="176" t="str">
        <f>IF(F46&lt;&gt;"",IF(Input!AZ47&lt;&gt;"",Input!AZ47,""),"")</f>
        <v/>
      </c>
      <c r="AK46" s="451" t="str">
        <f>IFERROR(IF($AJ$5="","",IF(F46&lt;&gt;"",(Input!AZ47/Input!$AZ$6)*100,"")),"NA")</f>
        <v/>
      </c>
      <c r="AL46" s="176" t="str">
        <f>IF(F46&lt;&gt;"",IF(Input!BA47&lt;&gt;"",Input!BA47,""),"")</f>
        <v/>
      </c>
      <c r="AM46" s="451" t="str">
        <f>IFERROR(IF($AL$5="","",IF(F46&lt;&gt;"",(Input!BA47/Input!$BA$6)*100,"")),"NA")</f>
        <v/>
      </c>
      <c r="AN46" s="177" t="str">
        <f>IF(F46&lt;&gt;"",IF(Input!BB47&lt;&gt;"",Input!BB47,""),"")</f>
        <v/>
      </c>
      <c r="AO46" s="451" t="str">
        <f>IFERROR(IF($AN$5="","",IF(F46&lt;&gt;"",(Input!BB47/Input!$BB$6)*100,"")),"NA")</f>
        <v/>
      </c>
      <c r="AP46" s="303" t="str">
        <f>IF(Input!BC47="Error","Error",IF(F46="","",IF($AH$5="",0,IF(F46&lt;&gt;"",IFERROR(AVERAGE(AI46,AK46,AM46,AO46)*$AP$4,0),""))))</f>
        <v/>
      </c>
      <c r="AQ46" s="174"/>
      <c r="AR46" s="178" t="str">
        <f>IF(Input!BD47="","",IF(F46&lt;&gt;"",Input!BD47,""))</f>
        <v/>
      </c>
      <c r="AS46" s="179" t="str">
        <f>IF(F46="", "",IF(Input!BE47="Error","Error",IF(ISNUMBER(Input!BE47),(Input!BE47*$AS$4),"")))</f>
        <v/>
      </c>
      <c r="AT46" s="331" t="str">
        <f>IF(V46="D","DRP",
IF(F46&lt;&gt;"",
IF(OR(AF46="Error",AP46="Error",AS46="Error"),"Error",
IF(Input!BD47="","-",ROUND(AF46+AP46+AS46,2))),""))</f>
        <v/>
      </c>
      <c r="AU46" s="180" t="str">
        <f>IF(F46&lt;&gt;"",VLOOKUP(AT46,TRANSMUTATION!$A$2:$B$14,2),"")</f>
        <v/>
      </c>
      <c r="AV46" s="249" t="str">
        <f t="shared" si="1"/>
        <v/>
      </c>
      <c r="AW46" s="182"/>
      <c r="BA46" s="97"/>
    </row>
    <row r="47" spans="1:53" ht="15" customHeight="1" x14ac:dyDescent="0.2">
      <c r="A47" s="97"/>
      <c r="C47" s="194">
        <v>41</v>
      </c>
      <c r="D47" s="203" t="str">
        <f>IF(Input!D48&lt;&gt;"",IF(F47&lt;&gt;"",Input!D48,""),"")</f>
        <v/>
      </c>
      <c r="E47" s="297"/>
      <c r="F47" s="298" t="str">
        <f>(IF(Input!F48&lt;&gt;"",Input!F48,""))</f>
        <v/>
      </c>
      <c r="G47" s="333"/>
      <c r="H47" s="333"/>
      <c r="I47" s="333"/>
      <c r="J47" s="333"/>
      <c r="K47" s="333"/>
      <c r="L47" s="333"/>
      <c r="M47" s="333"/>
      <c r="N47" s="333"/>
      <c r="O47" s="333"/>
      <c r="P47" s="333"/>
      <c r="Q47" s="333"/>
      <c r="R47" s="333"/>
      <c r="S47" s="333"/>
      <c r="T47" s="333"/>
      <c r="U47" s="333"/>
      <c r="V47" s="336"/>
      <c r="W47" s="173"/>
      <c r="X47" s="309" t="str">
        <f>IF(F47&lt;&gt;"",IF(Input!AT48&lt;&gt;"",Input!AT48,""),"")</f>
        <v/>
      </c>
      <c r="Y47" s="449" t="str">
        <f>IFERROR(IF($X$5="","",IF(F47&lt;&gt;"",(Input!AT48/Input!$AT$6)*100,"")),"NA")</f>
        <v/>
      </c>
      <c r="Z47" s="310" t="str">
        <f>IF(F47&lt;&gt;"",IF(Input!AU48&lt;&gt;"",Input!AU48,""),"")</f>
        <v/>
      </c>
      <c r="AA47" s="449" t="str">
        <f>IFERROR(IF($Z$5="","",IF(F47&lt;&gt;"",(Input!AU48/Input!$AU$6)*100,"")),"NA")</f>
        <v/>
      </c>
      <c r="AB47" s="310" t="str">
        <f>IF(F47&lt;&gt;"",IF(Input!AV48&lt;&gt;"",Input!AV48,""),"")</f>
        <v/>
      </c>
      <c r="AC47" s="449" t="str">
        <f>IFERROR(IF($AB$5="","",IF(F47&lt;&gt;"",(Input!AV48/Input!$AV$6)*100,"")),"NA")</f>
        <v/>
      </c>
      <c r="AD47" s="310" t="str">
        <f>IF(F47&lt;&gt;"",IF(Input!AW48&lt;&gt;"",Input!AW48,""),"")</f>
        <v/>
      </c>
      <c r="AE47" s="449" t="str">
        <f>IFERROR(IF($AD$5="","",IF(F47&lt;&gt;"",(Input!AW48/Input!$AW$6)*100,"")),"NA")</f>
        <v/>
      </c>
      <c r="AF47" s="108" t="str">
        <f>IF(Input!AX48="Error","Error",IF(F47="","",IF($X$5="",0,IF(F47&lt;&gt;"",IFERROR(AVERAGE(Y47,AA47,AC47,AE47)*$AF$4,0),""))))</f>
        <v/>
      </c>
      <c r="AG47" s="174"/>
      <c r="AH47" s="175" t="str">
        <f>IF(F47&lt;&gt;"",IF(Input!AY48&lt;&gt;"",Input!AY48,""),"")</f>
        <v/>
      </c>
      <c r="AI47" s="451" t="str">
        <f>IFERROR(IF($AH$5="","",IF(F47&lt;&gt;"",(Input!AY48/Input!$AY$6)*100,"")),"NA")</f>
        <v/>
      </c>
      <c r="AJ47" s="176" t="str">
        <f>IF(F47&lt;&gt;"",IF(Input!AZ48&lt;&gt;"",Input!AZ48,""),"")</f>
        <v/>
      </c>
      <c r="AK47" s="451" t="str">
        <f>IFERROR(IF($AJ$5="","",IF(F47&lt;&gt;"",(Input!AZ48/Input!$AZ$6)*100,"")),"NA")</f>
        <v/>
      </c>
      <c r="AL47" s="176" t="str">
        <f>IF(F47&lt;&gt;"",IF(Input!BA48&lt;&gt;"",Input!BA48,""),"")</f>
        <v/>
      </c>
      <c r="AM47" s="451" t="str">
        <f>IFERROR(IF($AL$5="","",IF(F47&lt;&gt;"",(Input!BA48/Input!$BA$6)*100,"")),"NA")</f>
        <v/>
      </c>
      <c r="AN47" s="177" t="str">
        <f>IF(F47&lt;&gt;"",IF(Input!BB48&lt;&gt;"",Input!BB48,""),"")</f>
        <v/>
      </c>
      <c r="AO47" s="451" t="str">
        <f>IFERROR(IF($AN$5="","",IF(F47&lt;&gt;"",(Input!BB48/Input!$BB$6)*100,"")),"NA")</f>
        <v/>
      </c>
      <c r="AP47" s="303" t="str">
        <f>IF(Input!BC48="Error","Error",IF(F47="","",IF($AH$5="",0,IF(F47&lt;&gt;"",IFERROR(AVERAGE(AI47,AK47,AM47,AO47)*$AP$4,0),""))))</f>
        <v/>
      </c>
      <c r="AQ47" s="174"/>
      <c r="AR47" s="178" t="str">
        <f>IF(Input!BD48="","",IF(F47&lt;&gt;"",Input!BD48,""))</f>
        <v/>
      </c>
      <c r="AS47" s="179" t="str">
        <f>IF(F47="", "",IF(Input!BE48="Error","Error",IF(ISNUMBER(Input!BE48),(Input!BE48*$AS$4),"")))</f>
        <v/>
      </c>
      <c r="AT47" s="331" t="str">
        <f>IF(V47="D","DRP",
IF(F47&lt;&gt;"",
IF(OR(AF47="Error",AP47="Error",AS47="Error"),"Error",
IF(Input!BD48="","-",ROUND(AF47+AP47+AS47,2))),""))</f>
        <v/>
      </c>
      <c r="AU47" s="180" t="str">
        <f>IF(F47&lt;&gt;"",VLOOKUP(AT47,TRANSMUTATION!$A$2:$B$14,2),"")</f>
        <v/>
      </c>
      <c r="AV47" s="249" t="str">
        <f t="shared" si="1"/>
        <v/>
      </c>
      <c r="AW47" s="182"/>
      <c r="BA47" s="97"/>
    </row>
    <row r="48" spans="1:53" ht="15" customHeight="1" x14ac:dyDescent="0.2">
      <c r="A48" s="97"/>
      <c r="C48" s="194">
        <v>42</v>
      </c>
      <c r="D48" s="203" t="str">
        <f>IF(Input!D49&lt;&gt;"",IF(F48&lt;&gt;"",Input!D49,""),"")</f>
        <v/>
      </c>
      <c r="E48" s="297"/>
      <c r="F48" s="298" t="str">
        <f>(IF(Input!F49&lt;&gt;"",Input!F49,""))</f>
        <v/>
      </c>
      <c r="G48" s="333"/>
      <c r="H48" s="333"/>
      <c r="I48" s="333"/>
      <c r="J48" s="333"/>
      <c r="K48" s="333"/>
      <c r="L48" s="333"/>
      <c r="M48" s="333"/>
      <c r="N48" s="333"/>
      <c r="O48" s="333"/>
      <c r="P48" s="333"/>
      <c r="Q48" s="333"/>
      <c r="R48" s="333"/>
      <c r="S48" s="333"/>
      <c r="T48" s="333"/>
      <c r="U48" s="333"/>
      <c r="V48" s="336"/>
      <c r="W48" s="173"/>
      <c r="X48" s="309" t="str">
        <f>IF(F48&lt;&gt;"",IF(Input!AT49&lt;&gt;"",Input!AT49,""),"")</f>
        <v/>
      </c>
      <c r="Y48" s="449" t="str">
        <f>IFERROR(IF($X$5="","",IF(F48&lt;&gt;"",(Input!AT49/Input!$AT$6)*100,"")),"NA")</f>
        <v/>
      </c>
      <c r="Z48" s="310" t="str">
        <f>IF(F48&lt;&gt;"",IF(Input!AU49&lt;&gt;"",Input!AU49,""),"")</f>
        <v/>
      </c>
      <c r="AA48" s="449" t="str">
        <f>IFERROR(IF($Z$5="","",IF(F48&lt;&gt;"",(Input!AU49/Input!$AU$6)*100,"")),"NA")</f>
        <v/>
      </c>
      <c r="AB48" s="310" t="str">
        <f>IF(F48&lt;&gt;"",IF(Input!AV49&lt;&gt;"",Input!AV49,""),"")</f>
        <v/>
      </c>
      <c r="AC48" s="449" t="str">
        <f>IFERROR(IF($AB$5="","",IF(F48&lt;&gt;"",(Input!AV49/Input!$AV$6)*100,"")),"NA")</f>
        <v/>
      </c>
      <c r="AD48" s="310" t="str">
        <f>IF(F48&lt;&gt;"",IF(Input!AW49&lt;&gt;"",Input!AW49,""),"")</f>
        <v/>
      </c>
      <c r="AE48" s="449" t="str">
        <f>IFERROR(IF($AD$5="","",IF(F48&lt;&gt;"",(Input!AW49/Input!$AW$6)*100,"")),"NA")</f>
        <v/>
      </c>
      <c r="AF48" s="108" t="str">
        <f>IF(Input!AX49="Error","Error",IF(F48="","",IF($X$5="",0,IF(F48&lt;&gt;"",IFERROR(AVERAGE(Y48,AA48,AC48,AE48)*$AF$4,0),""))))</f>
        <v/>
      </c>
      <c r="AG48" s="174"/>
      <c r="AH48" s="175" t="str">
        <f>IF(F48&lt;&gt;"",IF(Input!AY49&lt;&gt;"",Input!AY49,""),"")</f>
        <v/>
      </c>
      <c r="AI48" s="451" t="str">
        <f>IFERROR(IF($AH$5="","",IF(F48&lt;&gt;"",(Input!AY49/Input!$AY$6)*100,"")),"NA")</f>
        <v/>
      </c>
      <c r="AJ48" s="176" t="str">
        <f>IF(F48&lt;&gt;"",IF(Input!AZ49&lt;&gt;"",Input!AZ49,""),"")</f>
        <v/>
      </c>
      <c r="AK48" s="451" t="str">
        <f>IFERROR(IF($AJ$5="","",IF(F48&lt;&gt;"",(Input!AZ49/Input!$AZ$6)*100,"")),"NA")</f>
        <v/>
      </c>
      <c r="AL48" s="176" t="str">
        <f>IF(F48&lt;&gt;"",IF(Input!BA49&lt;&gt;"",Input!BA49,""),"")</f>
        <v/>
      </c>
      <c r="AM48" s="451" t="str">
        <f>IFERROR(IF($AL$5="","",IF(F48&lt;&gt;"",(Input!BA49/Input!$BA$6)*100,"")),"NA")</f>
        <v/>
      </c>
      <c r="AN48" s="177" t="str">
        <f>IF(F48&lt;&gt;"",IF(Input!BB49&lt;&gt;"",Input!BB49,""),"")</f>
        <v/>
      </c>
      <c r="AO48" s="451" t="str">
        <f>IFERROR(IF($AN$5="","",IF(F48&lt;&gt;"",(Input!BB49/Input!$BB$6)*100,"")),"NA")</f>
        <v/>
      </c>
      <c r="AP48" s="303" t="str">
        <f>IF(Input!BC49="Error","Error",IF(F48="","",IF($AH$5="",0,IF(F48&lt;&gt;"",IFERROR(AVERAGE(AI48,AK48,AM48,AO48)*$AP$4,0),""))))</f>
        <v/>
      </c>
      <c r="AQ48" s="174"/>
      <c r="AR48" s="178" t="str">
        <f>IF(Input!BD49="","",IF(F48&lt;&gt;"",Input!BD49,""))</f>
        <v/>
      </c>
      <c r="AS48" s="179" t="str">
        <f>IF(F48="", "",IF(Input!BE49="Error","Error",IF(ISNUMBER(Input!BE49),(Input!BE49*$AS$4),"")))</f>
        <v/>
      </c>
      <c r="AT48" s="331" t="str">
        <f>IF(V48="D","DRP",
IF(F48&lt;&gt;"",
IF(OR(AF48="Error",AP48="Error",AS48="Error"),"Error",
IF(Input!BD49="","-",ROUND(AF48+AP48+AS48,2))),""))</f>
        <v/>
      </c>
      <c r="AU48" s="180" t="str">
        <f>IF(F48&lt;&gt;"",VLOOKUP(AT48,TRANSMUTATION!$A$2:$B$14,2),"")</f>
        <v/>
      </c>
      <c r="AV48" s="249" t="str">
        <f t="shared" si="1"/>
        <v/>
      </c>
      <c r="AW48" s="182"/>
      <c r="BA48" s="97"/>
    </row>
    <row r="49" spans="1:53" ht="15" customHeight="1" x14ac:dyDescent="0.2">
      <c r="A49" s="97"/>
      <c r="C49" s="194">
        <v>43</v>
      </c>
      <c r="D49" s="203" t="str">
        <f>IF(Input!D50&lt;&gt;"",IF(F49&lt;&gt;"",Input!D50,""),"")</f>
        <v/>
      </c>
      <c r="E49" s="297"/>
      <c r="F49" s="298" t="str">
        <f>(IF(Input!F50&lt;&gt;"",Input!F50,""))</f>
        <v/>
      </c>
      <c r="G49" s="333"/>
      <c r="H49" s="333"/>
      <c r="I49" s="333"/>
      <c r="J49" s="333"/>
      <c r="K49" s="333"/>
      <c r="L49" s="333"/>
      <c r="M49" s="333"/>
      <c r="N49" s="333"/>
      <c r="O49" s="333"/>
      <c r="P49" s="333"/>
      <c r="Q49" s="333"/>
      <c r="R49" s="333"/>
      <c r="S49" s="333"/>
      <c r="T49" s="333"/>
      <c r="U49" s="333"/>
      <c r="V49" s="336"/>
      <c r="W49" s="173"/>
      <c r="X49" s="309" t="str">
        <f>IF(F49&lt;&gt;"",IF(Input!AT50&lt;&gt;"",Input!AT50,""),"")</f>
        <v/>
      </c>
      <c r="Y49" s="449" t="str">
        <f>IFERROR(IF($X$5="","",IF(F49&lt;&gt;"",(Input!AT50/Input!$AT$6)*100,"")),"NA")</f>
        <v/>
      </c>
      <c r="Z49" s="310" t="str">
        <f>IF(F49&lt;&gt;"",IF(Input!AU50&lt;&gt;"",Input!AU50,""),"")</f>
        <v/>
      </c>
      <c r="AA49" s="449" t="str">
        <f>IFERROR(IF($Z$5="","",IF(F49&lt;&gt;"",(Input!AU50/Input!$AU$6)*100,"")),"NA")</f>
        <v/>
      </c>
      <c r="AB49" s="310" t="str">
        <f>IF(F49&lt;&gt;"",IF(Input!AV50&lt;&gt;"",Input!AV50,""),"")</f>
        <v/>
      </c>
      <c r="AC49" s="449" t="str">
        <f>IFERROR(IF($AB$5="","",IF(F49&lt;&gt;"",(Input!AV50/Input!$AV$6)*100,"")),"NA")</f>
        <v/>
      </c>
      <c r="AD49" s="310" t="str">
        <f>IF(F49&lt;&gt;"",IF(Input!AW50&lt;&gt;"",Input!AW50,""),"")</f>
        <v/>
      </c>
      <c r="AE49" s="449" t="str">
        <f>IFERROR(IF($AD$5="","",IF(F49&lt;&gt;"",(Input!AW50/Input!$AW$6)*100,"")),"NA")</f>
        <v/>
      </c>
      <c r="AF49" s="108" t="str">
        <f>IF(Input!AX50="Error","Error",IF(F49="","",IF($X$5="",0,IF(F49&lt;&gt;"",IFERROR(AVERAGE(Y49,AA49,AC49,AE49)*$AF$4,0),""))))</f>
        <v/>
      </c>
      <c r="AG49" s="174"/>
      <c r="AH49" s="175" t="str">
        <f>IF(F49&lt;&gt;"",IF(Input!AY50&lt;&gt;"",Input!AY50,""),"")</f>
        <v/>
      </c>
      <c r="AI49" s="451" t="str">
        <f>IFERROR(IF($AH$5="","",IF(F49&lt;&gt;"",(Input!AY50/Input!$AY$6)*100,"")),"NA")</f>
        <v/>
      </c>
      <c r="AJ49" s="176" t="str">
        <f>IF(F49&lt;&gt;"",IF(Input!AZ50&lt;&gt;"",Input!AZ50,""),"")</f>
        <v/>
      </c>
      <c r="AK49" s="451" t="str">
        <f>IFERROR(IF($AJ$5="","",IF(F49&lt;&gt;"",(Input!AZ50/Input!$AZ$6)*100,"")),"NA")</f>
        <v/>
      </c>
      <c r="AL49" s="176" t="str">
        <f>IF(F49&lt;&gt;"",IF(Input!BA50&lt;&gt;"",Input!BA50,""),"")</f>
        <v/>
      </c>
      <c r="AM49" s="451" t="str">
        <f>IFERROR(IF($AL$5="","",IF(F49&lt;&gt;"",(Input!BA50/Input!$BA$6)*100,"")),"NA")</f>
        <v/>
      </c>
      <c r="AN49" s="177" t="str">
        <f>IF(F49&lt;&gt;"",IF(Input!BB50&lt;&gt;"",Input!BB50,""),"")</f>
        <v/>
      </c>
      <c r="AO49" s="451" t="str">
        <f>IFERROR(IF($AN$5="","",IF(F49&lt;&gt;"",(Input!BB50/Input!$BB$6)*100,"")),"NA")</f>
        <v/>
      </c>
      <c r="AP49" s="303" t="str">
        <f>IF(Input!BC50="Error","Error",IF(F49="","",IF($AH$5="",0,IF(F49&lt;&gt;"",IFERROR(AVERAGE(AI49,AK49,AM49,AO49)*$AP$4,0),""))))</f>
        <v/>
      </c>
      <c r="AQ49" s="174"/>
      <c r="AR49" s="178" t="str">
        <f>IF(Input!BD50="","",IF(F49&lt;&gt;"",Input!BD50,""))</f>
        <v/>
      </c>
      <c r="AS49" s="179" t="str">
        <f>IF(F49="", "",IF(Input!BE50="Error","Error",IF(ISNUMBER(Input!BE50),(Input!BE50*$AS$4),"")))</f>
        <v/>
      </c>
      <c r="AT49" s="331" t="str">
        <f>IF(V49="D","DRP",
IF(F49&lt;&gt;"",
IF(OR(AF49="Error",AP49="Error",AS49="Error"),"Error",
IF(Input!BD50="","-",ROUND(AF49+AP49+AS49,2))),""))</f>
        <v/>
      </c>
      <c r="AU49" s="180" t="str">
        <f>IF(F49&lt;&gt;"",VLOOKUP(AT49,TRANSMUTATION!$A$2:$B$14,2),"")</f>
        <v/>
      </c>
      <c r="AV49" s="249" t="str">
        <f t="shared" si="1"/>
        <v/>
      </c>
      <c r="AW49" s="182"/>
      <c r="BA49" s="97"/>
    </row>
    <row r="50" spans="1:53" ht="15" customHeight="1" x14ac:dyDescent="0.2">
      <c r="A50" s="97"/>
      <c r="C50" s="194">
        <v>44</v>
      </c>
      <c r="D50" s="203" t="str">
        <f>IF(Input!D51&lt;&gt;"",IF(F50&lt;&gt;"",Input!D51,""),"")</f>
        <v/>
      </c>
      <c r="E50" s="297"/>
      <c r="F50" s="298" t="str">
        <f>(IF(Input!F51&lt;&gt;"",Input!F51,""))</f>
        <v/>
      </c>
      <c r="G50" s="333"/>
      <c r="H50" s="333"/>
      <c r="I50" s="333"/>
      <c r="J50" s="333"/>
      <c r="K50" s="333"/>
      <c r="L50" s="333"/>
      <c r="M50" s="333"/>
      <c r="N50" s="333"/>
      <c r="O50" s="333"/>
      <c r="P50" s="333"/>
      <c r="Q50" s="333"/>
      <c r="R50" s="333"/>
      <c r="S50" s="333"/>
      <c r="T50" s="333"/>
      <c r="U50" s="333"/>
      <c r="V50" s="336"/>
      <c r="W50" s="173"/>
      <c r="X50" s="309" t="str">
        <f>IF(F50&lt;&gt;"",IF(Input!AT51&lt;&gt;"",Input!AT51,""),"")</f>
        <v/>
      </c>
      <c r="Y50" s="449" t="str">
        <f>IFERROR(IF($X$5="","",IF(F50&lt;&gt;"",(Input!AT51/Input!$AT$6)*100,"")),"NA")</f>
        <v/>
      </c>
      <c r="Z50" s="310" t="str">
        <f>IF(F50&lt;&gt;"",IF(Input!AU51&lt;&gt;"",Input!AU51,""),"")</f>
        <v/>
      </c>
      <c r="AA50" s="449" t="str">
        <f>IFERROR(IF($Z$5="","",IF(F50&lt;&gt;"",(Input!AU51/Input!$AU$6)*100,"")),"NA")</f>
        <v/>
      </c>
      <c r="AB50" s="310" t="str">
        <f>IF(F50&lt;&gt;"",IF(Input!AV51&lt;&gt;"",Input!AV51,""),"")</f>
        <v/>
      </c>
      <c r="AC50" s="449" t="str">
        <f>IFERROR(IF($AB$5="","",IF(F50&lt;&gt;"",(Input!AV51/Input!$AV$6)*100,"")),"NA")</f>
        <v/>
      </c>
      <c r="AD50" s="310" t="str">
        <f>IF(F50&lt;&gt;"",IF(Input!AW51&lt;&gt;"",Input!AW51,""),"")</f>
        <v/>
      </c>
      <c r="AE50" s="449" t="str">
        <f>IFERROR(IF($AD$5="","",IF(F50&lt;&gt;"",(Input!AW51/Input!$AW$6)*100,"")),"NA")</f>
        <v/>
      </c>
      <c r="AF50" s="108" t="str">
        <f>IF(Input!AX51="Error","Error",IF(F50="","",IF($X$5="",0,IF(F50&lt;&gt;"",IFERROR(AVERAGE(Y50,AA50,AC50,AE50)*$AF$4,0),""))))</f>
        <v/>
      </c>
      <c r="AG50" s="174"/>
      <c r="AH50" s="175" t="str">
        <f>IF(F50&lt;&gt;"",IF(Input!AY51&lt;&gt;"",Input!AY51,""),"")</f>
        <v/>
      </c>
      <c r="AI50" s="451" t="str">
        <f>IFERROR(IF($AH$5="","",IF(F50&lt;&gt;"",(Input!AY51/Input!$AY$6)*100,"")),"NA")</f>
        <v/>
      </c>
      <c r="AJ50" s="176" t="str">
        <f>IF(F50&lt;&gt;"",IF(Input!AZ51&lt;&gt;"",Input!AZ51,""),"")</f>
        <v/>
      </c>
      <c r="AK50" s="451" t="str">
        <f>IFERROR(IF($AJ$5="","",IF(F50&lt;&gt;"",(Input!AZ51/Input!$AZ$6)*100,"")),"NA")</f>
        <v/>
      </c>
      <c r="AL50" s="176" t="str">
        <f>IF(F50&lt;&gt;"",IF(Input!BA51&lt;&gt;"",Input!BA51,""),"")</f>
        <v/>
      </c>
      <c r="AM50" s="451" t="str">
        <f>IFERROR(IF($AL$5="","",IF(F50&lt;&gt;"",(Input!BA51/Input!$BA$6)*100,"")),"NA")</f>
        <v/>
      </c>
      <c r="AN50" s="177" t="str">
        <f>IF(F50&lt;&gt;"",IF(Input!BB51&lt;&gt;"",Input!BB51,""),"")</f>
        <v/>
      </c>
      <c r="AO50" s="451" t="str">
        <f>IFERROR(IF($AN$5="","",IF(F50&lt;&gt;"",(Input!BB51/Input!$BB$6)*100,"")),"NA")</f>
        <v/>
      </c>
      <c r="AP50" s="303" t="str">
        <f>IF(Input!BC51="Error","Error",IF(F50="","",IF($AH$5="",0,IF(F50&lt;&gt;"",IFERROR(AVERAGE(AI50,AK50,AM50,AO50)*$AP$4,0),""))))</f>
        <v/>
      </c>
      <c r="AQ50" s="174"/>
      <c r="AR50" s="178" t="str">
        <f>IF(Input!BD51="","",IF(F50&lt;&gt;"",Input!BD51,""))</f>
        <v/>
      </c>
      <c r="AS50" s="179" t="str">
        <f>IF(F50="", "",IF(Input!BE51="Error","Error",IF(ISNUMBER(Input!BE51),(Input!BE51*$AS$4),"")))</f>
        <v/>
      </c>
      <c r="AT50" s="331" t="str">
        <f>IF(V50="D","DRP",
IF(F50&lt;&gt;"",
IF(OR(AF50="Error",AP50="Error",AS50="Error"),"Error",
IF(Input!BD51="","-",ROUND(AF50+AP50+AS50,2))),""))</f>
        <v/>
      </c>
      <c r="AU50" s="180" t="str">
        <f>IF(F50&lt;&gt;"",VLOOKUP(AT50,TRANSMUTATION!$A$2:$B$14,2),"")</f>
        <v/>
      </c>
      <c r="AV50" s="249" t="str">
        <f t="shared" si="1"/>
        <v/>
      </c>
      <c r="AW50" s="182"/>
      <c r="BA50" s="97"/>
    </row>
    <row r="51" spans="1:53" ht="15" customHeight="1" x14ac:dyDescent="0.2">
      <c r="A51" s="97"/>
      <c r="C51" s="194">
        <v>45</v>
      </c>
      <c r="D51" s="203" t="str">
        <f>IF(Input!D52&lt;&gt;"",IF(F51&lt;&gt;"",Input!D52,""),"")</f>
        <v/>
      </c>
      <c r="E51" s="297"/>
      <c r="F51" s="298" t="str">
        <f>(IF(Input!F52&lt;&gt;"",Input!F52,""))</f>
        <v/>
      </c>
      <c r="G51" s="333"/>
      <c r="H51" s="333"/>
      <c r="I51" s="333"/>
      <c r="J51" s="333"/>
      <c r="K51" s="333"/>
      <c r="L51" s="333"/>
      <c r="M51" s="333"/>
      <c r="N51" s="333"/>
      <c r="O51" s="333"/>
      <c r="P51" s="333"/>
      <c r="Q51" s="333"/>
      <c r="R51" s="333"/>
      <c r="S51" s="333"/>
      <c r="T51" s="333"/>
      <c r="U51" s="333"/>
      <c r="V51" s="336"/>
      <c r="W51" s="173"/>
      <c r="X51" s="309" t="str">
        <f>IF(F51&lt;&gt;"",IF(Input!AT52&lt;&gt;"",Input!AT52,""),"")</f>
        <v/>
      </c>
      <c r="Y51" s="449" t="str">
        <f>IFERROR(IF($X$5="","",IF(F51&lt;&gt;"",(Input!AT52/Input!$AT$6)*100,"")),"NA")</f>
        <v/>
      </c>
      <c r="Z51" s="310" t="str">
        <f>IF(F51&lt;&gt;"",IF(Input!AU52&lt;&gt;"",Input!AU52,""),"")</f>
        <v/>
      </c>
      <c r="AA51" s="449" t="str">
        <f>IFERROR(IF($Z$5="","",IF(F51&lt;&gt;"",(Input!AU52/Input!$AU$6)*100,"")),"NA")</f>
        <v/>
      </c>
      <c r="AB51" s="310" t="str">
        <f>IF(F51&lt;&gt;"",IF(Input!AV52&lt;&gt;"",Input!AV52,""),"")</f>
        <v/>
      </c>
      <c r="AC51" s="449" t="str">
        <f>IFERROR(IF($AB$5="","",IF(F51&lt;&gt;"",(Input!AV52/Input!$AV$6)*100,"")),"NA")</f>
        <v/>
      </c>
      <c r="AD51" s="310" t="str">
        <f>IF(F51&lt;&gt;"",IF(Input!AW52&lt;&gt;"",Input!AW52,""),"")</f>
        <v/>
      </c>
      <c r="AE51" s="449" t="str">
        <f>IFERROR(IF($AD$5="","",IF(F51&lt;&gt;"",(Input!AW52/Input!$AW$6)*100,"")),"NA")</f>
        <v/>
      </c>
      <c r="AF51" s="108" t="str">
        <f>IF(Input!AX52="Error","Error",IF(F51="","",IF($X$5="",0,IF(F51&lt;&gt;"",IFERROR(AVERAGE(Y51,AA51,AC51,AE51)*$AF$4,0),""))))</f>
        <v/>
      </c>
      <c r="AG51" s="174"/>
      <c r="AH51" s="175" t="str">
        <f>IF(F51&lt;&gt;"",IF(Input!AY52&lt;&gt;"",Input!AY52,""),"")</f>
        <v/>
      </c>
      <c r="AI51" s="451" t="str">
        <f>IFERROR(IF($AH$5="","",IF(F51&lt;&gt;"",(Input!AY52/Input!$AY$6)*100,"")),"NA")</f>
        <v/>
      </c>
      <c r="AJ51" s="176" t="str">
        <f>IF(F51&lt;&gt;"",IF(Input!AZ52&lt;&gt;"",Input!AZ52,""),"")</f>
        <v/>
      </c>
      <c r="AK51" s="451" t="str">
        <f>IFERROR(IF($AJ$5="","",IF(F51&lt;&gt;"",(Input!AZ52/Input!$AZ$6)*100,"")),"NA")</f>
        <v/>
      </c>
      <c r="AL51" s="176" t="str">
        <f>IF(F51&lt;&gt;"",IF(Input!BA52&lt;&gt;"",Input!BA52,""),"")</f>
        <v/>
      </c>
      <c r="AM51" s="451" t="str">
        <f>IFERROR(IF($AL$5="","",IF(F51&lt;&gt;"",(Input!BA52/Input!$BA$6)*100,"")),"NA")</f>
        <v/>
      </c>
      <c r="AN51" s="177" t="str">
        <f>IF(F51&lt;&gt;"",IF(Input!BB52&lt;&gt;"",Input!BB52,""),"")</f>
        <v/>
      </c>
      <c r="AO51" s="451" t="str">
        <f>IFERROR(IF($AN$5="","",IF(F51&lt;&gt;"",(Input!BB52/Input!$BB$6)*100,"")),"NA")</f>
        <v/>
      </c>
      <c r="AP51" s="303" t="str">
        <f>IF(Input!BC52="Error","Error",IF(F51="","",IF($AH$5="",0,IF(F51&lt;&gt;"",IFERROR(AVERAGE(AI51,AK51,AM51,AO51)*$AP$4,0),""))))</f>
        <v/>
      </c>
      <c r="AQ51" s="174"/>
      <c r="AR51" s="178" t="str">
        <f>IF(Input!BD52="","",IF(F51&lt;&gt;"",Input!BD52,""))</f>
        <v/>
      </c>
      <c r="AS51" s="179" t="str">
        <f>IF(F51="", "",IF(Input!BE52="Error","Error",IF(ISNUMBER(Input!BE52),(Input!BE52*$AS$4),"")))</f>
        <v/>
      </c>
      <c r="AT51" s="331" t="str">
        <f>IF(V51="D","DRP",
IF(F51&lt;&gt;"",
IF(OR(AF51="Error",AP51="Error",AS51="Error"),"Error",
IF(Input!BD52="","-",ROUND(AF51+AP51+AS51,2))),""))</f>
        <v/>
      </c>
      <c r="AU51" s="180" t="str">
        <f>IF(F51&lt;&gt;"",VLOOKUP(AT51,TRANSMUTATION!$A$2:$B$14,2),"")</f>
        <v/>
      </c>
      <c r="AV51" s="249" t="str">
        <f t="shared" si="1"/>
        <v/>
      </c>
      <c r="AW51" s="182"/>
      <c r="BA51" s="97"/>
    </row>
    <row r="52" spans="1:53" ht="15" customHeight="1" x14ac:dyDescent="0.2">
      <c r="A52" s="97"/>
      <c r="C52" s="194">
        <v>46</v>
      </c>
      <c r="D52" s="203" t="str">
        <f>IF(Input!D53&lt;&gt;"",IF(F52&lt;&gt;"",Input!D53,""),"")</f>
        <v/>
      </c>
      <c r="E52" s="297"/>
      <c r="F52" s="298" t="str">
        <f>(IF(Input!F53&lt;&gt;"",Input!F53,""))</f>
        <v/>
      </c>
      <c r="G52" s="333"/>
      <c r="H52" s="333"/>
      <c r="I52" s="333"/>
      <c r="J52" s="333"/>
      <c r="K52" s="333"/>
      <c r="L52" s="333"/>
      <c r="M52" s="333"/>
      <c r="N52" s="333"/>
      <c r="O52" s="333"/>
      <c r="P52" s="333"/>
      <c r="Q52" s="333"/>
      <c r="R52" s="333"/>
      <c r="S52" s="333"/>
      <c r="T52" s="333"/>
      <c r="U52" s="333"/>
      <c r="V52" s="336"/>
      <c r="W52" s="173"/>
      <c r="X52" s="309" t="str">
        <f>IF(F52&lt;&gt;"",IF(Input!AT53&lt;&gt;"",Input!AT53,""),"")</f>
        <v/>
      </c>
      <c r="Y52" s="449" t="str">
        <f>IFERROR(IF($X$5="","",IF(F52&lt;&gt;"",(Input!AT53/Input!$AT$6)*100,"")),"NA")</f>
        <v/>
      </c>
      <c r="Z52" s="310" t="str">
        <f>IF(F52&lt;&gt;"",IF(Input!AU53&lt;&gt;"",Input!AU53,""),"")</f>
        <v/>
      </c>
      <c r="AA52" s="449" t="str">
        <f>IFERROR(IF($Z$5="","",IF(F52&lt;&gt;"",(Input!AU53/Input!$AU$6)*100,"")),"NA")</f>
        <v/>
      </c>
      <c r="AB52" s="310" t="str">
        <f>IF(F52&lt;&gt;"",IF(Input!AV53&lt;&gt;"",Input!AV53,""),"")</f>
        <v/>
      </c>
      <c r="AC52" s="449" t="str">
        <f>IFERROR(IF($AB$5="","",IF(F52&lt;&gt;"",(Input!AV53/Input!$AV$6)*100,"")),"NA")</f>
        <v/>
      </c>
      <c r="AD52" s="310" t="str">
        <f>IF(F52&lt;&gt;"",IF(Input!AW53&lt;&gt;"",Input!AW53,""),"")</f>
        <v/>
      </c>
      <c r="AE52" s="449" t="str">
        <f>IFERROR(IF($AD$5="","",IF(F52&lt;&gt;"",(Input!AW53/Input!$AW$6)*100,"")),"NA")</f>
        <v/>
      </c>
      <c r="AF52" s="108" t="str">
        <f>IF(Input!AX53="Error","Error",IF(F52="","",IF($X$5="",0,IF(F52&lt;&gt;"",IFERROR(AVERAGE(Y52,AA52,AC52,AE52)*$AF$4,0),""))))</f>
        <v/>
      </c>
      <c r="AG52" s="174"/>
      <c r="AH52" s="175" t="str">
        <f>IF(F52&lt;&gt;"",IF(Input!AY53&lt;&gt;"",Input!AY53,""),"")</f>
        <v/>
      </c>
      <c r="AI52" s="451" t="str">
        <f>IFERROR(IF($AH$5="","",IF(F52&lt;&gt;"",(Input!AY53/Input!$AY$6)*100,"")),"NA")</f>
        <v/>
      </c>
      <c r="AJ52" s="176" t="str">
        <f>IF(F52&lt;&gt;"",IF(Input!AZ53&lt;&gt;"",Input!AZ53,""),"")</f>
        <v/>
      </c>
      <c r="AK52" s="451" t="str">
        <f>IFERROR(IF($AJ$5="","",IF(F52&lt;&gt;"",(Input!AZ53/Input!$AZ$6)*100,"")),"NA")</f>
        <v/>
      </c>
      <c r="AL52" s="176" t="str">
        <f>IF(F52&lt;&gt;"",IF(Input!BA53&lt;&gt;"",Input!BA53,""),"")</f>
        <v/>
      </c>
      <c r="AM52" s="451" t="str">
        <f>IFERROR(IF($AL$5="","",IF(F52&lt;&gt;"",(Input!BA53/Input!$BA$6)*100,"")),"NA")</f>
        <v/>
      </c>
      <c r="AN52" s="177" t="str">
        <f>IF(F52&lt;&gt;"",IF(Input!BB53&lt;&gt;"",Input!BB53,""),"")</f>
        <v/>
      </c>
      <c r="AO52" s="451" t="str">
        <f>IFERROR(IF($AN$5="","",IF(F52&lt;&gt;"",(Input!BB53/Input!$BB$6)*100,"")),"NA")</f>
        <v/>
      </c>
      <c r="AP52" s="303" t="str">
        <f>IF(Input!BC53="Error","Error",IF(F52="","",IF($AH$5="",0,IF(F52&lt;&gt;"",IFERROR(AVERAGE(AI52,AK52,AM52,AO52)*$AP$4,0),""))))</f>
        <v/>
      </c>
      <c r="AQ52" s="174"/>
      <c r="AR52" s="178" t="str">
        <f>IF(Input!BD53="","",IF(F52&lt;&gt;"",Input!BD53,""))</f>
        <v/>
      </c>
      <c r="AS52" s="179" t="str">
        <f>IF(F52="", "",IF(Input!BE53="Error","Error",IF(ISNUMBER(Input!BE53),(Input!BE53*$AS$4),"")))</f>
        <v/>
      </c>
      <c r="AT52" s="331" t="str">
        <f>IF(V52="D","DRP",
IF(F52&lt;&gt;"",
IF(OR(AF52="Error",AP52="Error",AS52="Error"),"Error",
IF(Input!BD53="","-",ROUND(AF52+AP52+AS52,2))),""))</f>
        <v/>
      </c>
      <c r="AU52" s="180" t="str">
        <f>IF(F52&lt;&gt;"",VLOOKUP(AT52,TRANSMUTATION!$A$2:$B$14,2),"")</f>
        <v/>
      </c>
      <c r="AV52" s="249" t="str">
        <f t="shared" si="1"/>
        <v/>
      </c>
      <c r="AW52" s="182"/>
      <c r="BA52" s="97"/>
    </row>
    <row r="53" spans="1:53" ht="15" customHeight="1" x14ac:dyDescent="0.2">
      <c r="A53" s="97"/>
      <c r="C53" s="194">
        <v>47</v>
      </c>
      <c r="D53" s="203" t="str">
        <f>IF(Input!D54&lt;&gt;"",IF(F53&lt;&gt;"",Input!D54,""),"")</f>
        <v/>
      </c>
      <c r="E53" s="297"/>
      <c r="F53" s="298" t="str">
        <f>(IF(Input!F54&lt;&gt;"",Input!F54,""))</f>
        <v/>
      </c>
      <c r="G53" s="333"/>
      <c r="H53" s="333"/>
      <c r="I53" s="333"/>
      <c r="J53" s="333"/>
      <c r="K53" s="333"/>
      <c r="L53" s="333"/>
      <c r="M53" s="333"/>
      <c r="N53" s="333"/>
      <c r="O53" s="333"/>
      <c r="P53" s="333"/>
      <c r="Q53" s="333"/>
      <c r="R53" s="333"/>
      <c r="S53" s="333"/>
      <c r="T53" s="333"/>
      <c r="U53" s="333"/>
      <c r="V53" s="336"/>
      <c r="W53" s="173"/>
      <c r="X53" s="309" t="str">
        <f>IF(F53&lt;&gt;"",IF(Input!AT54&lt;&gt;"",Input!AT54,""),"")</f>
        <v/>
      </c>
      <c r="Y53" s="449" t="str">
        <f>IFERROR(IF($X$5="","",IF(F53&lt;&gt;"",(Input!AT54/Input!$AT$6)*100,"")),"NA")</f>
        <v/>
      </c>
      <c r="Z53" s="310" t="str">
        <f>IF(F53&lt;&gt;"",IF(Input!AU54&lt;&gt;"",Input!AU54,""),"")</f>
        <v/>
      </c>
      <c r="AA53" s="449" t="str">
        <f>IFERROR(IF($Z$5="","",IF(F53&lt;&gt;"",(Input!AU54/Input!$AU$6)*100,"")),"NA")</f>
        <v/>
      </c>
      <c r="AB53" s="310" t="str">
        <f>IF(F53&lt;&gt;"",IF(Input!AV54&lt;&gt;"",Input!AV54,""),"")</f>
        <v/>
      </c>
      <c r="AC53" s="449" t="str">
        <f>IFERROR(IF($AB$5="","",IF(F53&lt;&gt;"",(Input!AV54/Input!$AV$6)*100,"")),"NA")</f>
        <v/>
      </c>
      <c r="AD53" s="310" t="str">
        <f>IF(F53&lt;&gt;"",IF(Input!AW54&lt;&gt;"",Input!AW54,""),"")</f>
        <v/>
      </c>
      <c r="AE53" s="449" t="str">
        <f>IFERROR(IF($AD$5="","",IF(F53&lt;&gt;"",(Input!AW54/Input!$AW$6)*100,"")),"NA")</f>
        <v/>
      </c>
      <c r="AF53" s="108" t="str">
        <f>IF(Input!AX54="Error","Error",IF(F53="","",IF($X$5="",0,IF(F53&lt;&gt;"",IFERROR(AVERAGE(Y53,AA53,AC53,AE53)*$AF$4,0),""))))</f>
        <v/>
      </c>
      <c r="AG53" s="174"/>
      <c r="AH53" s="175" t="str">
        <f>IF(F53&lt;&gt;"",IF(Input!AY54&lt;&gt;"",Input!AY54,""),"")</f>
        <v/>
      </c>
      <c r="AI53" s="451" t="str">
        <f>IFERROR(IF($AH$5="","",IF(F53&lt;&gt;"",(Input!AY54/Input!$AY$6)*100,"")),"NA")</f>
        <v/>
      </c>
      <c r="AJ53" s="176" t="str">
        <f>IF(F53&lt;&gt;"",IF(Input!AZ54&lt;&gt;"",Input!AZ54,""),"")</f>
        <v/>
      </c>
      <c r="AK53" s="451" t="str">
        <f>IFERROR(IF($AJ$5="","",IF(F53&lt;&gt;"",(Input!AZ54/Input!$AZ$6)*100,"")),"NA")</f>
        <v/>
      </c>
      <c r="AL53" s="176" t="str">
        <f>IF(F53&lt;&gt;"",IF(Input!BA54&lt;&gt;"",Input!BA54,""),"")</f>
        <v/>
      </c>
      <c r="AM53" s="451" t="str">
        <f>IFERROR(IF($AL$5="","",IF(F53&lt;&gt;"",(Input!BA54/Input!$BA$6)*100,"")),"NA")</f>
        <v/>
      </c>
      <c r="AN53" s="177" t="str">
        <f>IF(F53&lt;&gt;"",IF(Input!BB54&lt;&gt;"",Input!BB54,""),"")</f>
        <v/>
      </c>
      <c r="AO53" s="451" t="str">
        <f>IFERROR(IF($AN$5="","",IF(F53&lt;&gt;"",(Input!BB54/Input!$BB$6)*100,"")),"NA")</f>
        <v/>
      </c>
      <c r="AP53" s="303" t="str">
        <f>IF(Input!BC54="Error","Error",IF(F53="","",IF($AH$5="",0,IF(F53&lt;&gt;"",IFERROR(AVERAGE(AI53,AK53,AM53,AO53)*$AP$4,0),""))))</f>
        <v/>
      </c>
      <c r="AQ53" s="174"/>
      <c r="AR53" s="178" t="str">
        <f>IF(Input!BD54="","",IF(F53&lt;&gt;"",Input!BD54,""))</f>
        <v/>
      </c>
      <c r="AS53" s="179" t="str">
        <f>IF(F53="", "",IF(Input!BE54="Error","Error",IF(ISNUMBER(Input!BE54),(Input!BE54*$AS$4),"")))</f>
        <v/>
      </c>
      <c r="AT53" s="331" t="str">
        <f>IF(V53="D","DRP",
IF(F53&lt;&gt;"",
IF(OR(AF53="Error",AP53="Error",AS53="Error"),"Error",
IF(Input!BD54="","-",ROUND(AF53+AP53+AS53,2))),""))</f>
        <v/>
      </c>
      <c r="AU53" s="180" t="str">
        <f>IF(F53&lt;&gt;"",VLOOKUP(AT53,TRANSMUTATION!$A$2:$B$14,2),"")</f>
        <v/>
      </c>
      <c r="AV53" s="249" t="str">
        <f t="shared" si="1"/>
        <v/>
      </c>
      <c r="AW53" s="182"/>
      <c r="BA53" s="97"/>
    </row>
    <row r="54" spans="1:53" ht="15" customHeight="1" x14ac:dyDescent="0.2">
      <c r="A54" s="97"/>
      <c r="C54" s="194">
        <v>48</v>
      </c>
      <c r="D54" s="203" t="str">
        <f>IF(Input!D55&lt;&gt;"",IF(F54&lt;&gt;"",Input!D55,""),"")</f>
        <v/>
      </c>
      <c r="E54" s="297"/>
      <c r="F54" s="298" t="str">
        <f>(IF(Input!F55&lt;&gt;"",Input!F55,""))</f>
        <v/>
      </c>
      <c r="G54" s="333"/>
      <c r="H54" s="333"/>
      <c r="I54" s="333"/>
      <c r="J54" s="333"/>
      <c r="K54" s="333"/>
      <c r="L54" s="333"/>
      <c r="M54" s="333"/>
      <c r="N54" s="333"/>
      <c r="O54" s="333"/>
      <c r="P54" s="333"/>
      <c r="Q54" s="333"/>
      <c r="R54" s="333"/>
      <c r="S54" s="333"/>
      <c r="T54" s="333"/>
      <c r="U54" s="333"/>
      <c r="V54" s="336"/>
      <c r="W54" s="173"/>
      <c r="X54" s="309" t="str">
        <f>IF(F54&lt;&gt;"",IF(Input!AT55&lt;&gt;"",Input!AT55,""),"")</f>
        <v/>
      </c>
      <c r="Y54" s="449" t="str">
        <f>IFERROR(IF($X$5="","",IF(F54&lt;&gt;"",(Input!AT55/Input!$AT$6)*100,"")),"NA")</f>
        <v/>
      </c>
      <c r="Z54" s="310" t="str">
        <f>IF(F54&lt;&gt;"",IF(Input!AU55&lt;&gt;"",Input!AU55,""),"")</f>
        <v/>
      </c>
      <c r="AA54" s="449" t="str">
        <f>IFERROR(IF($Z$5="","",IF(F54&lt;&gt;"",(Input!AU55/Input!$AU$6)*100,"")),"NA")</f>
        <v/>
      </c>
      <c r="AB54" s="310" t="str">
        <f>IF(F54&lt;&gt;"",IF(Input!AV55&lt;&gt;"",Input!AV55,""),"")</f>
        <v/>
      </c>
      <c r="AC54" s="449" t="str">
        <f>IFERROR(IF($AB$5="","",IF(F54&lt;&gt;"",(Input!AV55/Input!$AV$6)*100,"")),"NA")</f>
        <v/>
      </c>
      <c r="AD54" s="310" t="str">
        <f>IF(F54&lt;&gt;"",IF(Input!AW55&lt;&gt;"",Input!AW55,""),"")</f>
        <v/>
      </c>
      <c r="AE54" s="449" t="str">
        <f>IFERROR(IF($AD$5="","",IF(F54&lt;&gt;"",(Input!AW55/Input!$AW$6)*100,"")),"NA")</f>
        <v/>
      </c>
      <c r="AF54" s="108" t="str">
        <f>IF(Input!AX55="Error","Error",IF(F54="","",IF($X$5="",0,IF(F54&lt;&gt;"",IFERROR(AVERAGE(Y54,AA54,AC54,AE54)*$AF$4,0),""))))</f>
        <v/>
      </c>
      <c r="AG54" s="174"/>
      <c r="AH54" s="175" t="str">
        <f>IF(F54&lt;&gt;"",IF(Input!AY55&lt;&gt;"",Input!AY55,""),"")</f>
        <v/>
      </c>
      <c r="AI54" s="451" t="str">
        <f>IFERROR(IF($AH$5="","",IF(F54&lt;&gt;"",(Input!AY55/Input!$AY$6)*100,"")),"NA")</f>
        <v/>
      </c>
      <c r="AJ54" s="176" t="str">
        <f>IF(F54&lt;&gt;"",IF(Input!AZ55&lt;&gt;"",Input!AZ55,""),"")</f>
        <v/>
      </c>
      <c r="AK54" s="451" t="str">
        <f>IFERROR(IF($AJ$5="","",IF(F54&lt;&gt;"",(Input!AZ55/Input!$AZ$6)*100,"")),"NA")</f>
        <v/>
      </c>
      <c r="AL54" s="176" t="str">
        <f>IF(F54&lt;&gt;"",IF(Input!BA55&lt;&gt;"",Input!BA55,""),"")</f>
        <v/>
      </c>
      <c r="AM54" s="451" t="str">
        <f>IFERROR(IF($AL$5="","",IF(F54&lt;&gt;"",(Input!BA55/Input!$BA$6)*100,"")),"NA")</f>
        <v/>
      </c>
      <c r="AN54" s="177" t="str">
        <f>IF(F54&lt;&gt;"",IF(Input!BB55&lt;&gt;"",Input!BB55,""),"")</f>
        <v/>
      </c>
      <c r="AO54" s="451" t="str">
        <f>IFERROR(IF($AN$5="","",IF(F54&lt;&gt;"",(Input!BB55/Input!$BB$6)*100,"")),"NA")</f>
        <v/>
      </c>
      <c r="AP54" s="303" t="str">
        <f>IF(Input!BC55="Error","Error",IF(F54="","",IF($AH$5="",0,IF(F54&lt;&gt;"",IFERROR(AVERAGE(AI54,AK54,AM54,AO54)*$AP$4,0),""))))</f>
        <v/>
      </c>
      <c r="AQ54" s="174"/>
      <c r="AR54" s="178" t="str">
        <f>IF(Input!BD55="","",IF(F54&lt;&gt;"",Input!BD55,""))</f>
        <v/>
      </c>
      <c r="AS54" s="179" t="str">
        <f>IF(F54="", "",IF(Input!BE55="Error","Error",IF(ISNUMBER(Input!BE55),(Input!BE55*$AS$4),"")))</f>
        <v/>
      </c>
      <c r="AT54" s="331" t="str">
        <f>IF(V54="D","DRP",
IF(F54&lt;&gt;"",
IF(OR(AF54="Error",AP54="Error",AS54="Error"),"Error",
IF(Input!BD55="","-",ROUND(AF54+AP54+AS54,2))),""))</f>
        <v/>
      </c>
      <c r="AU54" s="180" t="str">
        <f>IF(F54&lt;&gt;"",VLOOKUP(AT54,TRANSMUTATION!$A$2:$B$14,2),"")</f>
        <v/>
      </c>
      <c r="AV54" s="249" t="str">
        <f t="shared" si="1"/>
        <v/>
      </c>
      <c r="AW54" s="182"/>
      <c r="BA54" s="97"/>
    </row>
    <row r="55" spans="1:53" ht="15" customHeight="1" x14ac:dyDescent="0.2">
      <c r="A55" s="97"/>
      <c r="C55" s="194">
        <v>49</v>
      </c>
      <c r="D55" s="203" t="str">
        <f>IF(Input!D56&lt;&gt;"",IF(F55&lt;&gt;"",Input!D56,""),"")</f>
        <v/>
      </c>
      <c r="E55" s="297"/>
      <c r="F55" s="298" t="str">
        <f>(IF(Input!F56&lt;&gt;"",Input!F56,""))</f>
        <v/>
      </c>
      <c r="G55" s="333"/>
      <c r="H55" s="333"/>
      <c r="I55" s="333"/>
      <c r="J55" s="333"/>
      <c r="K55" s="333"/>
      <c r="L55" s="333"/>
      <c r="M55" s="333"/>
      <c r="N55" s="333"/>
      <c r="O55" s="333"/>
      <c r="P55" s="333"/>
      <c r="Q55" s="333"/>
      <c r="R55" s="333"/>
      <c r="S55" s="333"/>
      <c r="T55" s="333"/>
      <c r="U55" s="333"/>
      <c r="V55" s="336"/>
      <c r="W55" s="173"/>
      <c r="X55" s="309" t="str">
        <f>IF(F55&lt;&gt;"",IF(Input!AT56&lt;&gt;"",Input!AT56,""),"")</f>
        <v/>
      </c>
      <c r="Y55" s="449" t="str">
        <f>IFERROR(IF($X$5="","",IF(F55&lt;&gt;"",(Input!AT56/Input!$AT$6)*100,"")),"NA")</f>
        <v/>
      </c>
      <c r="Z55" s="310" t="str">
        <f>IF(F55&lt;&gt;"",IF(Input!AU56&lt;&gt;"",Input!AU56,""),"")</f>
        <v/>
      </c>
      <c r="AA55" s="449" t="str">
        <f>IFERROR(IF($Z$5="","",IF(F55&lt;&gt;"",(Input!AU56/Input!$AU$6)*100,"")),"NA")</f>
        <v/>
      </c>
      <c r="AB55" s="310" t="str">
        <f>IF(F55&lt;&gt;"",IF(Input!AV56&lt;&gt;"",Input!AV56,""),"")</f>
        <v/>
      </c>
      <c r="AC55" s="449" t="str">
        <f>IFERROR(IF($AB$5="","",IF(F55&lt;&gt;"",(Input!AV56/Input!$AV$6)*100,"")),"NA")</f>
        <v/>
      </c>
      <c r="AD55" s="310" t="str">
        <f>IF(F55&lt;&gt;"",IF(Input!AW56&lt;&gt;"",Input!AW56,""),"")</f>
        <v/>
      </c>
      <c r="AE55" s="449" t="str">
        <f>IFERROR(IF($AD$5="","",IF(F55&lt;&gt;"",(Input!AW56/Input!$AW$6)*100,"")),"NA")</f>
        <v/>
      </c>
      <c r="AF55" s="108" t="str">
        <f>IF(Input!AX56="Error","Error",IF(F55="","",IF($X$5="",0,IF(F55&lt;&gt;"",IFERROR(AVERAGE(Y55,AA55,AC55,AE55)*$AF$4,0),""))))</f>
        <v/>
      </c>
      <c r="AG55" s="174"/>
      <c r="AH55" s="175" t="str">
        <f>IF(F55&lt;&gt;"",IF(Input!AY56&lt;&gt;"",Input!AY56,""),"")</f>
        <v/>
      </c>
      <c r="AI55" s="451" t="str">
        <f>IFERROR(IF($AH$5="","",IF(F55&lt;&gt;"",(Input!AY56/Input!$AY$6)*100,"")),"NA")</f>
        <v/>
      </c>
      <c r="AJ55" s="176" t="str">
        <f>IF(F55&lt;&gt;"",IF(Input!AZ56&lt;&gt;"",Input!AZ56,""),"")</f>
        <v/>
      </c>
      <c r="AK55" s="451" t="str">
        <f>IFERROR(IF($AJ$5="","",IF(F55&lt;&gt;"",(Input!AZ56/Input!$AZ$6)*100,"")),"NA")</f>
        <v/>
      </c>
      <c r="AL55" s="176" t="str">
        <f>IF(F55&lt;&gt;"",IF(Input!BA56&lt;&gt;"",Input!BA56,""),"")</f>
        <v/>
      </c>
      <c r="AM55" s="451" t="str">
        <f>IFERROR(IF($AL$5="","",IF(F55&lt;&gt;"",(Input!BA56/Input!$BA$6)*100,"")),"NA")</f>
        <v/>
      </c>
      <c r="AN55" s="177" t="str">
        <f>IF(F55&lt;&gt;"",IF(Input!BB56&lt;&gt;"",Input!BB56,""),"")</f>
        <v/>
      </c>
      <c r="AO55" s="451" t="str">
        <f>IFERROR(IF($AN$5="","",IF(F55&lt;&gt;"",(Input!BB56/Input!$BB$6)*100,"")),"NA")</f>
        <v/>
      </c>
      <c r="AP55" s="303" t="str">
        <f>IF(Input!BC56="Error","Error",IF(F55="","",IF($AH$5="",0,IF(F55&lt;&gt;"",IFERROR(AVERAGE(AI55,AK55,AM55,AO55)*$AP$4,0),""))))</f>
        <v/>
      </c>
      <c r="AQ55" s="174"/>
      <c r="AR55" s="178" t="str">
        <f>IF(Input!BD56="","",IF(F55&lt;&gt;"",Input!BD56,""))</f>
        <v/>
      </c>
      <c r="AS55" s="179" t="str">
        <f>IF(F55="", "",IF(Input!BE56="Error","Error",IF(ISNUMBER(Input!BE56),(Input!BE56*$AS$4),"")))</f>
        <v/>
      </c>
      <c r="AT55" s="331" t="str">
        <f>IF(V55="D","DRP",
IF(F55&lt;&gt;"",
IF(OR(AF55="Error",AP55="Error",AS55="Error"),"Error",
IF(Input!BD56="","-",ROUND(AF55+AP55+AS55,2))),""))</f>
        <v/>
      </c>
      <c r="AU55" s="180" t="str">
        <f>IF(F55&lt;&gt;"",VLOOKUP(AT55,TRANSMUTATION!$A$2:$B$14,2),"")</f>
        <v/>
      </c>
      <c r="AV55" s="249" t="str">
        <f t="shared" si="1"/>
        <v/>
      </c>
      <c r="AW55" s="182"/>
      <c r="BA55" s="97"/>
    </row>
    <row r="56" spans="1:53" ht="15" customHeight="1" x14ac:dyDescent="0.2">
      <c r="A56" s="97"/>
      <c r="C56" s="194">
        <v>50</v>
      </c>
      <c r="D56" s="203" t="str">
        <f>IF(Input!D57&lt;&gt;"",IF(F56&lt;&gt;"",Input!D57,""),"")</f>
        <v/>
      </c>
      <c r="E56" s="297"/>
      <c r="F56" s="298" t="str">
        <f>(IF(Input!F57&lt;&gt;"",Input!F57,""))</f>
        <v/>
      </c>
      <c r="G56" s="333"/>
      <c r="H56" s="333"/>
      <c r="I56" s="333"/>
      <c r="J56" s="333"/>
      <c r="K56" s="333"/>
      <c r="L56" s="333"/>
      <c r="M56" s="333"/>
      <c r="N56" s="333"/>
      <c r="O56" s="333"/>
      <c r="P56" s="333"/>
      <c r="Q56" s="333"/>
      <c r="R56" s="333"/>
      <c r="S56" s="333"/>
      <c r="T56" s="333"/>
      <c r="U56" s="333"/>
      <c r="V56" s="337"/>
      <c r="W56" s="173"/>
      <c r="X56" s="309" t="str">
        <f>IF(F56&lt;&gt;"",IF(Input!AT57&lt;&gt;"",Input!AT57,""),"")</f>
        <v/>
      </c>
      <c r="Y56" s="449" t="str">
        <f>IFERROR(IF($X$5="","",IF(F56&lt;&gt;"",(Input!AT57/Input!$AT$6)*100,"")),"NA")</f>
        <v/>
      </c>
      <c r="Z56" s="310" t="str">
        <f>IF(F56&lt;&gt;"",IF(Input!AU57&lt;&gt;"",Input!AU57,""),"")</f>
        <v/>
      </c>
      <c r="AA56" s="449" t="str">
        <f>IFERROR(IF($Z$5="","",IF(F56&lt;&gt;"",(Input!AU57/Input!$AU$6)*100,"")),"NA")</f>
        <v/>
      </c>
      <c r="AB56" s="310" t="str">
        <f>IF(F56&lt;&gt;"",IF(Input!AV57&lt;&gt;"",Input!AV57,""),"")</f>
        <v/>
      </c>
      <c r="AC56" s="449" t="str">
        <f>IFERROR(IF($AB$5="","",IF(F56&lt;&gt;"",(Input!AV57/Input!$AV$6)*100,"")),"NA")</f>
        <v/>
      </c>
      <c r="AD56" s="310" t="str">
        <f>IF(F56&lt;&gt;"",IF(Input!AW57&lt;&gt;"",Input!AW57,""),"")</f>
        <v/>
      </c>
      <c r="AE56" s="449" t="str">
        <f>IFERROR(IF($AD$5="","",IF(F56&lt;&gt;"",(Input!AW57/Input!$AW$6)*100,"")),"NA")</f>
        <v/>
      </c>
      <c r="AF56" s="108" t="str">
        <f>IF(Input!AX57="Error","Error",IF(F56="","",IF($X$5="",0,IF(F56&lt;&gt;"",IFERROR(AVERAGE(Y56,AA56,AC56,AE56)*$AF$4,0),""))))</f>
        <v/>
      </c>
      <c r="AG56" s="174"/>
      <c r="AH56" s="175" t="str">
        <f>IF(F56&lt;&gt;"",IF(Input!AY57&lt;&gt;"",Input!AY57,""),"")</f>
        <v/>
      </c>
      <c r="AI56" s="451" t="str">
        <f>IFERROR(IF($AH$5="","",IF(F56&lt;&gt;"",(Input!AY57/Input!$AY$6)*100,"")),"NA")</f>
        <v/>
      </c>
      <c r="AJ56" s="176" t="str">
        <f>IF(F56&lt;&gt;"",IF(Input!AZ57&lt;&gt;"",Input!AZ57,""),"")</f>
        <v/>
      </c>
      <c r="AK56" s="451" t="str">
        <f>IFERROR(IF($AJ$5="","",IF(F56&lt;&gt;"",(Input!AZ57/Input!$AZ$6)*100,"")),"NA")</f>
        <v/>
      </c>
      <c r="AL56" s="176" t="str">
        <f>IF(F56&lt;&gt;"",IF(Input!BA57&lt;&gt;"",Input!BA57,""),"")</f>
        <v/>
      </c>
      <c r="AM56" s="451" t="str">
        <f>IFERROR(IF($AL$5="","",IF(F56&lt;&gt;"",(Input!BA57/Input!$BA$6)*100,"")),"NA")</f>
        <v/>
      </c>
      <c r="AN56" s="177" t="str">
        <f>IF(F56&lt;&gt;"",IF(Input!BB57&lt;&gt;"",Input!BB57,""),"")</f>
        <v/>
      </c>
      <c r="AO56" s="451" t="str">
        <f>IFERROR(IF($AN$5="","",IF(F56&lt;&gt;"",(Input!BB57/Input!$BB$6)*100,"")),"NA")</f>
        <v/>
      </c>
      <c r="AP56" s="303" t="str">
        <f>IF(Input!BC57="Error","Error",IF(F56="","",IF($AH$5="",0,IF(F56&lt;&gt;"",IFERROR(AVERAGE(AI56,AK56,AM56,AO56)*$AP$4,0),""))))</f>
        <v/>
      </c>
      <c r="AQ56" s="174"/>
      <c r="AR56" s="178" t="str">
        <f>IF(Input!BD57="","",IF(F56&lt;&gt;"",Input!BD57,""))</f>
        <v/>
      </c>
      <c r="AS56" s="179" t="str">
        <f>IF(F56="", "",IF(Input!BE57="Error","Error",IF(ISNUMBER(Input!BE57),(Input!BE57*$AS$4),"")))</f>
        <v/>
      </c>
      <c r="AT56" s="331" t="str">
        <f>IF(V56="D","DRP",
IF(F56&lt;&gt;"",
IF(OR(AF56="Error",AP56="Error",AS56="Error"),"Error",
IF(Input!BD57="","-",ROUND(AF56+AP56+AS56,2))),""))</f>
        <v/>
      </c>
      <c r="AU56" s="180" t="str">
        <f>IF(F56&lt;&gt;"",VLOOKUP(AT56,TRANSMUTATION!$A$2:$B$14,2),"")</f>
        <v/>
      </c>
      <c r="AV56" s="249" t="str">
        <f t="shared" si="1"/>
        <v/>
      </c>
      <c r="AW56" s="182"/>
      <c r="BA56" s="97"/>
    </row>
    <row r="57" spans="1:53" ht="15" customHeight="1" x14ac:dyDescent="0.2">
      <c r="A57" s="97"/>
      <c r="C57" s="194">
        <v>51</v>
      </c>
      <c r="D57" s="203" t="str">
        <f>IF(Input!D58&lt;&gt;"",IF(F57&lt;&gt;"",Input!D58,""),"")</f>
        <v/>
      </c>
      <c r="E57" s="297"/>
      <c r="F57" s="298" t="str">
        <f>(IF(Input!F58&lt;&gt;"",Input!F58,""))</f>
        <v/>
      </c>
      <c r="G57" s="334"/>
      <c r="H57" s="334"/>
      <c r="I57" s="334"/>
      <c r="J57" s="334"/>
      <c r="K57" s="334"/>
      <c r="L57" s="334"/>
      <c r="M57" s="334"/>
      <c r="N57" s="334"/>
      <c r="O57" s="334"/>
      <c r="P57" s="334"/>
      <c r="Q57" s="334"/>
      <c r="R57" s="334"/>
      <c r="S57" s="334"/>
      <c r="T57" s="334"/>
      <c r="U57" s="334"/>
      <c r="V57" s="338"/>
      <c r="W57" s="173"/>
      <c r="X57" s="309" t="str">
        <f>IF(F57&lt;&gt;"",IF(Input!AT58&lt;&gt;"",Input!AT58,""),"")</f>
        <v/>
      </c>
      <c r="Y57" s="449" t="str">
        <f>IFERROR(IF($X$5="","",IF(F57&lt;&gt;"",(Input!AT58/Input!$AT$6)*100,"")),"NA")</f>
        <v/>
      </c>
      <c r="Z57" s="310" t="str">
        <f>IF(F57&lt;&gt;"",IF(Input!AU58&lt;&gt;"",Input!AU58,""),"")</f>
        <v/>
      </c>
      <c r="AA57" s="449" t="str">
        <f>IFERROR(IF($Z$5="","",IF(F57&lt;&gt;"",(Input!AU58/Input!$AU$6)*100,"")),"NA")</f>
        <v/>
      </c>
      <c r="AB57" s="310" t="str">
        <f>IF(F57&lt;&gt;"",IF(Input!AV58&lt;&gt;"",Input!AV58,""),"")</f>
        <v/>
      </c>
      <c r="AC57" s="449" t="str">
        <f>IFERROR(IF($AB$5="","",IF(F57&lt;&gt;"",(Input!AV58/Input!$AV$6)*100,"")),"NA")</f>
        <v/>
      </c>
      <c r="AD57" s="310" t="str">
        <f>IF(F57&lt;&gt;"",IF(Input!AW58&lt;&gt;"",Input!AW58,""),"")</f>
        <v/>
      </c>
      <c r="AE57" s="449" t="str">
        <f>IFERROR(IF($AD$5="","",IF(F57&lt;&gt;"",(Input!AW58/Input!$AW$6)*100,"")),"NA")</f>
        <v/>
      </c>
      <c r="AF57" s="108" t="str">
        <f>IF(Input!AX58="Error","Error",IF(F57="","",IF($X$5="",0,IF(F57&lt;&gt;"",IFERROR(AVERAGE(Y57,AA57,AC57,AE57)*$AF$4,0),""))))</f>
        <v/>
      </c>
      <c r="AG57" s="174"/>
      <c r="AH57" s="175" t="str">
        <f>IF(F57&lt;&gt;"",IF(Input!AY58&lt;&gt;"",Input!AY58,""),"")</f>
        <v/>
      </c>
      <c r="AI57" s="451" t="str">
        <f>IFERROR(IF($AH$5="","",IF(F57&lt;&gt;"",(Input!AY58/Input!$AY$6)*100,"")),"NA")</f>
        <v/>
      </c>
      <c r="AJ57" s="176" t="str">
        <f>IF(F57&lt;&gt;"",IF(Input!AZ58&lt;&gt;"",Input!AZ58,""),"")</f>
        <v/>
      </c>
      <c r="AK57" s="451" t="str">
        <f>IFERROR(IF($AJ$5="","",IF(F57&lt;&gt;"",(Input!AZ58/Input!$AZ$6)*100,"")),"NA")</f>
        <v/>
      </c>
      <c r="AL57" s="176" t="str">
        <f>IF(F57&lt;&gt;"",IF(Input!BA58&lt;&gt;"",Input!BA58,""),"")</f>
        <v/>
      </c>
      <c r="AM57" s="451" t="str">
        <f>IFERROR(IF($AL$5="","",IF(F57&lt;&gt;"",(Input!BA58/Input!$BA$6)*100,"")),"NA")</f>
        <v/>
      </c>
      <c r="AN57" s="177" t="str">
        <f>IF(F57&lt;&gt;"",IF(Input!BB58&lt;&gt;"",Input!BB58,""),"")</f>
        <v/>
      </c>
      <c r="AO57" s="451" t="str">
        <f>IFERROR(IF($AN$5="","",IF(F57&lt;&gt;"",(Input!BB58/Input!$BB$6)*100,"")),"NA")</f>
        <v/>
      </c>
      <c r="AP57" s="303" t="str">
        <f>IF(Input!BC58="Error","Error",IF(F57="","",IF($AH$5="",0,IF(F57&lt;&gt;"",IFERROR(AVERAGE(AI57,AK57,AM57,AO57)*$AP$4,0),""))))</f>
        <v/>
      </c>
      <c r="AQ57" s="174"/>
      <c r="AR57" s="178" t="str">
        <f>IF(Input!BD58="","",IF(F57&lt;&gt;"",Input!BD58,""))</f>
        <v/>
      </c>
      <c r="AS57" s="179" t="str">
        <f>IF(F57="", "",IF(Input!BE58="Error","Error",IF(ISNUMBER(Input!BE58),(Input!BE58*$AS$4),"")))</f>
        <v/>
      </c>
      <c r="AT57" s="331" t="str">
        <f>IF(V57="D","DRP",
IF(F57&lt;&gt;"",
IF(OR(AF57="Error",AP57="Error",AS57="Error"),"Error",
IF(Input!BD58="","-",ROUND(AF57+AP57+AS57,2))),""))</f>
        <v/>
      </c>
      <c r="AU57" s="180" t="str">
        <f>IF(F57&lt;&gt;"",VLOOKUP(AT57,TRANSMUTATION!$A$2:$B$14,2),"")</f>
        <v/>
      </c>
      <c r="AV57" s="249" t="str">
        <f t="shared" si="1"/>
        <v/>
      </c>
      <c r="AW57" s="182"/>
      <c r="BA57" s="97"/>
    </row>
    <row r="58" spans="1:53" ht="15" customHeight="1" x14ac:dyDescent="0.2">
      <c r="A58" s="97"/>
      <c r="C58" s="194">
        <v>52</v>
      </c>
      <c r="D58" s="203" t="str">
        <f>IF(Input!D59&lt;&gt;"",IF(F58&lt;&gt;"",Input!D59,""),"")</f>
        <v/>
      </c>
      <c r="E58" s="297"/>
      <c r="F58" s="298" t="str">
        <f>(IF(Input!F59&lt;&gt;"",Input!F59,""))</f>
        <v/>
      </c>
      <c r="G58" s="333"/>
      <c r="H58" s="333"/>
      <c r="I58" s="333"/>
      <c r="J58" s="333"/>
      <c r="K58" s="333"/>
      <c r="L58" s="333"/>
      <c r="M58" s="333"/>
      <c r="N58" s="333"/>
      <c r="O58" s="333"/>
      <c r="P58" s="333"/>
      <c r="Q58" s="333"/>
      <c r="R58" s="333"/>
      <c r="S58" s="333"/>
      <c r="T58" s="333"/>
      <c r="U58" s="333"/>
      <c r="V58" s="336"/>
      <c r="W58" s="173"/>
      <c r="X58" s="309" t="str">
        <f>IF(F58&lt;&gt;"",IF(Input!AT59&lt;&gt;"",Input!AT59,""),"")</f>
        <v/>
      </c>
      <c r="Y58" s="449" t="str">
        <f>IFERROR(IF($X$5="","",IF(F58&lt;&gt;"",(Input!AT59/Input!$AT$6)*100,"")),"NA")</f>
        <v/>
      </c>
      <c r="Z58" s="310" t="str">
        <f>IF(F58&lt;&gt;"",IF(Input!AU59&lt;&gt;"",Input!AU59,""),"")</f>
        <v/>
      </c>
      <c r="AA58" s="449" t="str">
        <f>IFERROR(IF($Z$5="","",IF(F58&lt;&gt;"",(Input!AU59/Input!$AU$6)*100,"")),"NA")</f>
        <v/>
      </c>
      <c r="AB58" s="310" t="str">
        <f>IF(F58&lt;&gt;"",IF(Input!AV59&lt;&gt;"",Input!AV59,""),"")</f>
        <v/>
      </c>
      <c r="AC58" s="449" t="str">
        <f>IFERROR(IF($AB$5="","",IF(F58&lt;&gt;"",(Input!AV59/Input!$AV$6)*100,"")),"NA")</f>
        <v/>
      </c>
      <c r="AD58" s="310" t="str">
        <f>IF(F58&lt;&gt;"",IF(Input!AW59&lt;&gt;"",Input!AW59,""),"")</f>
        <v/>
      </c>
      <c r="AE58" s="449" t="str">
        <f>IFERROR(IF($AD$5="","",IF(F58&lt;&gt;"",(Input!AW59/Input!$AW$6)*100,"")),"NA")</f>
        <v/>
      </c>
      <c r="AF58" s="108" t="str">
        <f>IF(Input!AX59="Error","Error",IF(F58="","",IF($X$5="",0,IF(F58&lt;&gt;"",IFERROR(AVERAGE(Y58,AA58,AC58,AE58)*$AF$4,0),""))))</f>
        <v/>
      </c>
      <c r="AG58" s="174"/>
      <c r="AH58" s="175" t="str">
        <f>IF(F58&lt;&gt;"",IF(Input!AY59&lt;&gt;"",Input!AY59,""),"")</f>
        <v/>
      </c>
      <c r="AI58" s="451" t="str">
        <f>IFERROR(IF($AH$5="","",IF(F58&lt;&gt;"",(Input!AY59/Input!$AY$6)*100,"")),"NA")</f>
        <v/>
      </c>
      <c r="AJ58" s="176" t="str">
        <f>IF(F58&lt;&gt;"",IF(Input!AZ59&lt;&gt;"",Input!AZ59,""),"")</f>
        <v/>
      </c>
      <c r="AK58" s="451" t="str">
        <f>IFERROR(IF($AJ$5="","",IF(F58&lt;&gt;"",(Input!AZ59/Input!$AZ$6)*100,"")),"NA")</f>
        <v/>
      </c>
      <c r="AL58" s="176" t="str">
        <f>IF(F58&lt;&gt;"",IF(Input!BA59&lt;&gt;"",Input!BA59,""),"")</f>
        <v/>
      </c>
      <c r="AM58" s="451" t="str">
        <f>IFERROR(IF($AL$5="","",IF(F58&lt;&gt;"",(Input!BA59/Input!$BA$6)*100,"")),"NA")</f>
        <v/>
      </c>
      <c r="AN58" s="177" t="str">
        <f>IF(F58&lt;&gt;"",IF(Input!BB59&lt;&gt;"",Input!BB59,""),"")</f>
        <v/>
      </c>
      <c r="AO58" s="451" t="str">
        <f>IFERROR(IF($AN$5="","",IF(F58&lt;&gt;"",(Input!BB59/Input!$BB$6)*100,"")),"NA")</f>
        <v/>
      </c>
      <c r="AP58" s="303" t="str">
        <f>IF(Input!BC59="Error","Error",IF(F58="","",IF($AH$5="",0,IF(F58&lt;&gt;"",IFERROR(AVERAGE(AI58,AK58,AM58,AO58)*$AP$4,0),""))))</f>
        <v/>
      </c>
      <c r="AQ58" s="174"/>
      <c r="AR58" s="178" t="str">
        <f>IF(Input!BD59="","",IF(F58&lt;&gt;"",Input!BD59,""))</f>
        <v/>
      </c>
      <c r="AS58" s="179" t="str">
        <f>IF(F58="", "",IF(Input!BE59="Error","Error",IF(ISNUMBER(Input!BE59),(Input!BE59*$AS$4),"")))</f>
        <v/>
      </c>
      <c r="AT58" s="331" t="str">
        <f>IF(V58="D","DRP",
IF(F58&lt;&gt;"",
IF(OR(AF58="Error",AP58="Error",AS58="Error"),"Error",
IF(Input!BD59="","-",ROUND(AF58+AP58+AS58,2))),""))</f>
        <v/>
      </c>
      <c r="AU58" s="180" t="str">
        <f>IF(F58&lt;&gt;"",VLOOKUP(AT58,TRANSMUTATION!$A$2:$B$14,2),"")</f>
        <v/>
      </c>
      <c r="AV58" s="249" t="str">
        <f t="shared" si="1"/>
        <v/>
      </c>
      <c r="AW58" s="182"/>
      <c r="BA58" s="97"/>
    </row>
    <row r="59" spans="1:53" ht="15" customHeight="1" x14ac:dyDescent="0.2">
      <c r="A59" s="97"/>
      <c r="C59" s="194">
        <v>53</v>
      </c>
      <c r="D59" s="203" t="str">
        <f>IF(Input!D60&lt;&gt;"",IF(F59&lt;&gt;"",Input!D60,""),"")</f>
        <v/>
      </c>
      <c r="E59" s="297"/>
      <c r="F59" s="298" t="str">
        <f>(IF(Input!F60&lt;&gt;"",Input!F60,""))</f>
        <v/>
      </c>
      <c r="G59" s="333"/>
      <c r="H59" s="333"/>
      <c r="I59" s="333"/>
      <c r="J59" s="333"/>
      <c r="K59" s="333"/>
      <c r="L59" s="333"/>
      <c r="M59" s="333"/>
      <c r="N59" s="333"/>
      <c r="O59" s="333"/>
      <c r="P59" s="333"/>
      <c r="Q59" s="333"/>
      <c r="R59" s="333"/>
      <c r="S59" s="333"/>
      <c r="T59" s="333"/>
      <c r="U59" s="333"/>
      <c r="V59" s="336"/>
      <c r="W59" s="173"/>
      <c r="X59" s="309" t="str">
        <f>IF(F59&lt;&gt;"",IF(Input!AT60&lt;&gt;"",Input!AT60,""),"")</f>
        <v/>
      </c>
      <c r="Y59" s="449" t="str">
        <f>IFERROR(IF($X$5="","",IF(F59&lt;&gt;"",(Input!AT60/Input!$AT$6)*100,"")),"NA")</f>
        <v/>
      </c>
      <c r="Z59" s="310" t="str">
        <f>IF(F59&lt;&gt;"",IF(Input!AU60&lt;&gt;"",Input!AU60,""),"")</f>
        <v/>
      </c>
      <c r="AA59" s="449" t="str">
        <f>IFERROR(IF($Z$5="","",IF(F59&lt;&gt;"",(Input!AU60/Input!$AU$6)*100,"")),"NA")</f>
        <v/>
      </c>
      <c r="AB59" s="310" t="str">
        <f>IF(F59&lt;&gt;"",IF(Input!AV60&lt;&gt;"",Input!AV60,""),"")</f>
        <v/>
      </c>
      <c r="AC59" s="449" t="str">
        <f>IFERROR(IF($AB$5="","",IF(F59&lt;&gt;"",(Input!AV60/Input!$AV$6)*100,"")),"NA")</f>
        <v/>
      </c>
      <c r="AD59" s="310" t="str">
        <f>IF(F59&lt;&gt;"",IF(Input!AW60&lt;&gt;"",Input!AW60,""),"")</f>
        <v/>
      </c>
      <c r="AE59" s="449" t="str">
        <f>IFERROR(IF($AD$5="","",IF(F59&lt;&gt;"",(Input!AW60/Input!$AW$6)*100,"")),"NA")</f>
        <v/>
      </c>
      <c r="AF59" s="108" t="str">
        <f>IF(Input!AX60="Error","Error",IF(F59="","",IF($X$5="",0,IF(F59&lt;&gt;"",IFERROR(AVERAGE(Y59,AA59,AC59,AE59)*$AF$4,0),""))))</f>
        <v/>
      </c>
      <c r="AG59" s="174"/>
      <c r="AH59" s="175" t="str">
        <f>IF(F59&lt;&gt;"",IF(Input!AY60&lt;&gt;"",Input!AY60,""),"")</f>
        <v/>
      </c>
      <c r="AI59" s="451" t="str">
        <f>IFERROR(IF($AH$5="","",IF(F59&lt;&gt;"",(Input!AY60/Input!$AY$6)*100,"")),"NA")</f>
        <v/>
      </c>
      <c r="AJ59" s="176" t="str">
        <f>IF(F59&lt;&gt;"",IF(Input!AZ60&lt;&gt;"",Input!AZ60,""),"")</f>
        <v/>
      </c>
      <c r="AK59" s="451" t="str">
        <f>IFERROR(IF($AJ$5="","",IF(F59&lt;&gt;"",(Input!AZ60/Input!$AZ$6)*100,"")),"NA")</f>
        <v/>
      </c>
      <c r="AL59" s="176" t="str">
        <f>IF(F59&lt;&gt;"",IF(Input!BA60&lt;&gt;"",Input!BA60,""),"")</f>
        <v/>
      </c>
      <c r="AM59" s="451" t="str">
        <f>IFERROR(IF($AL$5="","",IF(F59&lt;&gt;"",(Input!BA60/Input!$BA$6)*100,"")),"NA")</f>
        <v/>
      </c>
      <c r="AN59" s="177" t="str">
        <f>IF(F59&lt;&gt;"",IF(Input!BB60&lt;&gt;"",Input!BB60,""),"")</f>
        <v/>
      </c>
      <c r="AO59" s="451" t="str">
        <f>IFERROR(IF($AN$5="","",IF(F59&lt;&gt;"",(Input!BB60/Input!$BB$6)*100,"")),"NA")</f>
        <v/>
      </c>
      <c r="AP59" s="303" t="str">
        <f>IF(Input!BC60="Error","Error",IF(F59="","",IF($AH$5="",0,IF(F59&lt;&gt;"",IFERROR(AVERAGE(AI59,AK59,AM59,AO59)*$AP$4,0),""))))</f>
        <v/>
      </c>
      <c r="AQ59" s="174"/>
      <c r="AR59" s="178" t="str">
        <f>IF(Input!BD60="","",IF(F59&lt;&gt;"",Input!BD60,""))</f>
        <v/>
      </c>
      <c r="AS59" s="179" t="str">
        <f>IF(F59="", "",IF(Input!BE60="Error","Error",IF(ISNUMBER(Input!BE60),(Input!BE60*$AS$4),"")))</f>
        <v/>
      </c>
      <c r="AT59" s="331" t="str">
        <f>IF(V59="D","DRP",
IF(F59&lt;&gt;"",
IF(OR(AF59="Error",AP59="Error",AS59="Error"),"Error",
IF(Input!BD60="","-",ROUND(AF59+AP59+AS59,2))),""))</f>
        <v/>
      </c>
      <c r="AU59" s="180" t="str">
        <f>IF(F59&lt;&gt;"",VLOOKUP(AT59,TRANSMUTATION!$A$2:$B$14,2),"")</f>
        <v/>
      </c>
      <c r="AV59" s="249" t="str">
        <f t="shared" si="1"/>
        <v/>
      </c>
      <c r="AW59" s="182"/>
      <c r="BA59" s="97"/>
    </row>
    <row r="60" spans="1:53" ht="15" customHeight="1" x14ac:dyDescent="0.2">
      <c r="A60" s="97"/>
      <c r="C60" s="194">
        <v>54</v>
      </c>
      <c r="D60" s="203" t="str">
        <f>IF(Input!D61&lt;&gt;"",IF(F60&lt;&gt;"",Input!D61,""),"")</f>
        <v/>
      </c>
      <c r="E60" s="297"/>
      <c r="F60" s="298" t="str">
        <f>(IF(Input!F61&lt;&gt;"",Input!F61,""))</f>
        <v/>
      </c>
      <c r="G60" s="333"/>
      <c r="H60" s="333"/>
      <c r="I60" s="333"/>
      <c r="J60" s="333"/>
      <c r="K60" s="333"/>
      <c r="L60" s="333"/>
      <c r="M60" s="333"/>
      <c r="N60" s="333"/>
      <c r="O60" s="333"/>
      <c r="P60" s="333"/>
      <c r="Q60" s="333"/>
      <c r="R60" s="333"/>
      <c r="S60" s="333"/>
      <c r="T60" s="333"/>
      <c r="U60" s="333"/>
      <c r="V60" s="336"/>
      <c r="W60" s="173"/>
      <c r="X60" s="309" t="str">
        <f>IF(F60&lt;&gt;"",IF(Input!AT61&lt;&gt;"",Input!AT61,""),"")</f>
        <v/>
      </c>
      <c r="Y60" s="449" t="str">
        <f>IFERROR(IF($X$5="","",IF(F60&lt;&gt;"",(Input!AT61/Input!$AT$6)*100,"")),"NA")</f>
        <v/>
      </c>
      <c r="Z60" s="310" t="str">
        <f>IF(F60&lt;&gt;"",IF(Input!AU61&lt;&gt;"",Input!AU61,""),"")</f>
        <v/>
      </c>
      <c r="AA60" s="449" t="str">
        <f>IFERROR(IF($Z$5="","",IF(F60&lt;&gt;"",(Input!AU61/Input!$AU$6)*100,"")),"NA")</f>
        <v/>
      </c>
      <c r="AB60" s="310" t="str">
        <f>IF(F60&lt;&gt;"",IF(Input!AV61&lt;&gt;"",Input!AV61,""),"")</f>
        <v/>
      </c>
      <c r="AC60" s="449" t="str">
        <f>IFERROR(IF($AB$5="","",IF(F60&lt;&gt;"",(Input!AV61/Input!$AV$6)*100,"")),"NA")</f>
        <v/>
      </c>
      <c r="AD60" s="310" t="str">
        <f>IF(F60&lt;&gt;"",IF(Input!AW61&lt;&gt;"",Input!AW61,""),"")</f>
        <v/>
      </c>
      <c r="AE60" s="449" t="str">
        <f>IFERROR(IF($AD$5="","",IF(F60&lt;&gt;"",(Input!AW61/Input!$AW$6)*100,"")),"NA")</f>
        <v/>
      </c>
      <c r="AF60" s="108" t="str">
        <f>IF(Input!AX61="Error","Error",IF(F60="","",IF($X$5="",0,IF(F60&lt;&gt;"",IFERROR(AVERAGE(Y60,AA60,AC60,AE60)*$AF$4,0),""))))</f>
        <v/>
      </c>
      <c r="AG60" s="174"/>
      <c r="AH60" s="175" t="str">
        <f>IF(F60&lt;&gt;"",IF(Input!AY61&lt;&gt;"",Input!AY61,""),"")</f>
        <v/>
      </c>
      <c r="AI60" s="451" t="str">
        <f>IFERROR(IF($AH$5="","",IF(F60&lt;&gt;"",(Input!AY61/Input!$AY$6)*100,"")),"NA")</f>
        <v/>
      </c>
      <c r="AJ60" s="176" t="str">
        <f>IF(F60&lt;&gt;"",IF(Input!AZ61&lt;&gt;"",Input!AZ61,""),"")</f>
        <v/>
      </c>
      <c r="AK60" s="451" t="str">
        <f>IFERROR(IF($AJ$5="","",IF(F60&lt;&gt;"",(Input!AZ61/Input!$AZ$6)*100,"")),"NA")</f>
        <v/>
      </c>
      <c r="AL60" s="176" t="str">
        <f>IF(F60&lt;&gt;"",IF(Input!BA61&lt;&gt;"",Input!BA61,""),"")</f>
        <v/>
      </c>
      <c r="AM60" s="451" t="str">
        <f>IFERROR(IF($AL$5="","",IF(F60&lt;&gt;"",(Input!BA61/Input!$BA$6)*100,"")),"NA")</f>
        <v/>
      </c>
      <c r="AN60" s="177" t="str">
        <f>IF(F60&lt;&gt;"",IF(Input!BB61&lt;&gt;"",Input!BB61,""),"")</f>
        <v/>
      </c>
      <c r="AO60" s="451" t="str">
        <f>IFERROR(IF($AN$5="","",IF(F60&lt;&gt;"",(Input!BB61/Input!$BB$6)*100,"")),"NA")</f>
        <v/>
      </c>
      <c r="AP60" s="303" t="str">
        <f>IF(Input!BC61="Error","Error",IF(F60="","",IF($AH$5="",0,IF(F60&lt;&gt;"",IFERROR(AVERAGE(AI60,AK60,AM60,AO60)*$AP$4,0),""))))</f>
        <v/>
      </c>
      <c r="AQ60" s="174"/>
      <c r="AR60" s="178" t="str">
        <f>IF(Input!BD61="","",IF(F60&lt;&gt;"",Input!BD61,""))</f>
        <v/>
      </c>
      <c r="AS60" s="179" t="str">
        <f>IF(F60="", "",IF(Input!BE61="Error","Error",IF(ISNUMBER(Input!BE61),(Input!BE61*$AS$4),"")))</f>
        <v/>
      </c>
      <c r="AT60" s="331" t="str">
        <f>IF(V60="D","DRP",
IF(F60&lt;&gt;"",
IF(OR(AF60="Error",AP60="Error",AS60="Error"),"Error",
IF(Input!BD61="","-",ROUND(AF60+AP60+AS60,2))),""))</f>
        <v/>
      </c>
      <c r="AU60" s="180" t="str">
        <f>IF(F60&lt;&gt;"",VLOOKUP(AT60,TRANSMUTATION!$A$2:$B$14,2),"")</f>
        <v/>
      </c>
      <c r="AV60" s="249" t="str">
        <f t="shared" si="1"/>
        <v/>
      </c>
      <c r="AW60" s="182"/>
      <c r="BA60" s="97"/>
    </row>
    <row r="61" spans="1:53" ht="15" customHeight="1" x14ac:dyDescent="0.2">
      <c r="A61" s="97"/>
      <c r="C61" s="194">
        <v>55</v>
      </c>
      <c r="D61" s="203" t="str">
        <f>IF(Input!D62&lt;&gt;"",IF(F61&lt;&gt;"",Input!D62,""),"")</f>
        <v/>
      </c>
      <c r="E61" s="297"/>
      <c r="F61" s="298" t="str">
        <f>(IF(Input!F62&lt;&gt;"",Input!F62,""))</f>
        <v/>
      </c>
      <c r="G61" s="333"/>
      <c r="H61" s="333"/>
      <c r="I61" s="333"/>
      <c r="J61" s="333"/>
      <c r="K61" s="333"/>
      <c r="L61" s="333"/>
      <c r="M61" s="333"/>
      <c r="N61" s="333"/>
      <c r="O61" s="333"/>
      <c r="P61" s="333"/>
      <c r="Q61" s="333"/>
      <c r="R61" s="333"/>
      <c r="S61" s="333"/>
      <c r="T61" s="333"/>
      <c r="U61" s="333"/>
      <c r="V61" s="336"/>
      <c r="W61" s="173"/>
      <c r="X61" s="309" t="str">
        <f>IF(F61&lt;&gt;"",IF(Input!AT62&lt;&gt;"",Input!AT62,""),"")</f>
        <v/>
      </c>
      <c r="Y61" s="449" t="str">
        <f>IFERROR(IF($X$5="","",IF(F61&lt;&gt;"",(Input!AT62/Input!$AT$6)*100,"")),"NA")</f>
        <v/>
      </c>
      <c r="Z61" s="310" t="str">
        <f>IF(F61&lt;&gt;"",IF(Input!AU62&lt;&gt;"",Input!AU62,""),"")</f>
        <v/>
      </c>
      <c r="AA61" s="449" t="str">
        <f>IFERROR(IF($Z$5="","",IF(F61&lt;&gt;"",(Input!AU62/Input!$AU$6)*100,"")),"NA")</f>
        <v/>
      </c>
      <c r="AB61" s="310" t="str">
        <f>IF(F61&lt;&gt;"",IF(Input!AV62&lt;&gt;"",Input!AV62,""),"")</f>
        <v/>
      </c>
      <c r="AC61" s="449" t="str">
        <f>IFERROR(IF($AB$5="","",IF(F61&lt;&gt;"",(Input!AV62/Input!$AV$6)*100,"")),"NA")</f>
        <v/>
      </c>
      <c r="AD61" s="310" t="str">
        <f>IF(F61&lt;&gt;"",IF(Input!AW62&lt;&gt;"",Input!AW62,""),"")</f>
        <v/>
      </c>
      <c r="AE61" s="449" t="str">
        <f>IFERROR(IF($AD$5="","",IF(F61&lt;&gt;"",(Input!AW62/Input!$AW$6)*100,"")),"NA")</f>
        <v/>
      </c>
      <c r="AF61" s="108" t="str">
        <f>IF(Input!AX62="Error","Error",IF(F61="","",IF($X$5="",0,IF(F61&lt;&gt;"",IFERROR(AVERAGE(Y61,AA61,AC61,AE61)*$AF$4,0),""))))</f>
        <v/>
      </c>
      <c r="AG61" s="174"/>
      <c r="AH61" s="175" t="str">
        <f>IF(F61&lt;&gt;"",IF(Input!AY62&lt;&gt;"",Input!AY62,""),"")</f>
        <v/>
      </c>
      <c r="AI61" s="451" t="str">
        <f>IFERROR(IF($AH$5="","",IF(F61&lt;&gt;"",(Input!AY62/Input!$AY$6)*100,"")),"NA")</f>
        <v/>
      </c>
      <c r="AJ61" s="176" t="str">
        <f>IF(F61&lt;&gt;"",IF(Input!AZ62&lt;&gt;"",Input!AZ62,""),"")</f>
        <v/>
      </c>
      <c r="AK61" s="451" t="str">
        <f>IFERROR(IF($AJ$5="","",IF(F61&lt;&gt;"",(Input!AZ62/Input!$AZ$6)*100,"")),"NA")</f>
        <v/>
      </c>
      <c r="AL61" s="176" t="str">
        <f>IF(F61&lt;&gt;"",IF(Input!BA62&lt;&gt;"",Input!BA62,""),"")</f>
        <v/>
      </c>
      <c r="AM61" s="451" t="str">
        <f>IFERROR(IF($AL$5="","",IF(F61&lt;&gt;"",(Input!BA62/Input!$BA$6)*100,"")),"NA")</f>
        <v/>
      </c>
      <c r="AN61" s="177" t="str">
        <f>IF(F61&lt;&gt;"",IF(Input!BB62&lt;&gt;"",Input!BB62,""),"")</f>
        <v/>
      </c>
      <c r="AO61" s="451" t="str">
        <f>IFERROR(IF($AN$5="","",IF(F61&lt;&gt;"",(Input!BB62/Input!$BB$6)*100,"")),"NA")</f>
        <v/>
      </c>
      <c r="AP61" s="303" t="str">
        <f>IF(Input!BC62="Error","Error",IF(F61="","",IF($AH$5="",0,IF(F61&lt;&gt;"",IFERROR(AVERAGE(AI61,AK61,AM61,AO61)*$AP$4,0),""))))</f>
        <v/>
      </c>
      <c r="AQ61" s="174"/>
      <c r="AR61" s="178" t="str">
        <f>IF(Input!BD62="","",IF(F61&lt;&gt;"",Input!BD62,""))</f>
        <v/>
      </c>
      <c r="AS61" s="179" t="str">
        <f>IF(F61="", "",IF(Input!BE62="Error","Error",IF(ISNUMBER(Input!BE62),(Input!BE62*$AS$4),"")))</f>
        <v/>
      </c>
      <c r="AT61" s="331" t="str">
        <f>IF(V61="D","DRP",
IF(F61&lt;&gt;"",
IF(OR(AF61="Error",AP61="Error",AS61="Error"),"Error",
IF(Input!BD62="","-",ROUND(AF61+AP61+AS61,2))),""))</f>
        <v/>
      </c>
      <c r="AU61" s="180" t="str">
        <f>IF(F61&lt;&gt;"",VLOOKUP(AT61,TRANSMUTATION!$A$2:$B$14,2),"")</f>
        <v/>
      </c>
      <c r="AV61" s="249" t="str">
        <f t="shared" si="1"/>
        <v/>
      </c>
      <c r="AW61" s="182"/>
      <c r="BA61" s="97"/>
    </row>
    <row r="62" spans="1:53" ht="15" customHeight="1" x14ac:dyDescent="0.2">
      <c r="A62" s="97"/>
      <c r="C62" s="194">
        <v>56</v>
      </c>
      <c r="D62" s="203" t="str">
        <f>IF(Input!D63&lt;&gt;"",IF(F62&lt;&gt;"",Input!D63,""),"")</f>
        <v/>
      </c>
      <c r="E62" s="297"/>
      <c r="F62" s="298" t="str">
        <f>(IF(Input!F63&lt;&gt;"",Input!F63,""))</f>
        <v/>
      </c>
      <c r="G62" s="333"/>
      <c r="H62" s="333"/>
      <c r="I62" s="333"/>
      <c r="J62" s="333"/>
      <c r="K62" s="333"/>
      <c r="L62" s="333"/>
      <c r="M62" s="333"/>
      <c r="N62" s="333"/>
      <c r="O62" s="333"/>
      <c r="P62" s="333"/>
      <c r="Q62" s="333"/>
      <c r="R62" s="333"/>
      <c r="S62" s="333"/>
      <c r="T62" s="333"/>
      <c r="U62" s="333"/>
      <c r="V62" s="336"/>
      <c r="W62" s="173"/>
      <c r="X62" s="309" t="str">
        <f>IF(F62&lt;&gt;"",IF(Input!AT63&lt;&gt;"",Input!AT63,""),"")</f>
        <v/>
      </c>
      <c r="Y62" s="449" t="str">
        <f>IFERROR(IF($X$5="","",IF(F62&lt;&gt;"",(Input!AT63/Input!$AT$6)*100,"")),"NA")</f>
        <v/>
      </c>
      <c r="Z62" s="310" t="str">
        <f>IF(F62&lt;&gt;"",IF(Input!AU63&lt;&gt;"",Input!AU63,""),"")</f>
        <v/>
      </c>
      <c r="AA62" s="449" t="str">
        <f>IFERROR(IF($Z$5="","",IF(F62&lt;&gt;"",(Input!AU63/Input!$AU$6)*100,"")),"NA")</f>
        <v/>
      </c>
      <c r="AB62" s="310" t="str">
        <f>IF(F62&lt;&gt;"",IF(Input!AV63&lt;&gt;"",Input!AV63,""),"")</f>
        <v/>
      </c>
      <c r="AC62" s="449" t="str">
        <f>IFERROR(IF($AB$5="","",IF(F62&lt;&gt;"",(Input!AV63/Input!$AV$6)*100,"")),"NA")</f>
        <v/>
      </c>
      <c r="AD62" s="310" t="str">
        <f>IF(F62&lt;&gt;"",IF(Input!AW63&lt;&gt;"",Input!AW63,""),"")</f>
        <v/>
      </c>
      <c r="AE62" s="449" t="str">
        <f>IFERROR(IF($AD$5="","",IF(F62&lt;&gt;"",(Input!AW63/Input!$AW$6)*100,"")),"NA")</f>
        <v/>
      </c>
      <c r="AF62" s="108" t="str">
        <f>IF(Input!AX63="Error","Error",IF(F62="","",IF($X$5="",0,IF(F62&lt;&gt;"",IFERROR(AVERAGE(Y62,AA62,AC62,AE62)*$AF$4,0),""))))</f>
        <v/>
      </c>
      <c r="AG62" s="174"/>
      <c r="AH62" s="175" t="str">
        <f>IF(F62&lt;&gt;"",IF(Input!AY63&lt;&gt;"",Input!AY63,""),"")</f>
        <v/>
      </c>
      <c r="AI62" s="451" t="str">
        <f>IFERROR(IF($AH$5="","",IF(F62&lt;&gt;"",(Input!AY63/Input!$AY$6)*100,"")),"NA")</f>
        <v/>
      </c>
      <c r="AJ62" s="176" t="str">
        <f>IF(F62&lt;&gt;"",IF(Input!AZ63&lt;&gt;"",Input!AZ63,""),"")</f>
        <v/>
      </c>
      <c r="AK62" s="451" t="str">
        <f>IFERROR(IF($AJ$5="","",IF(F62&lt;&gt;"",(Input!AZ63/Input!$AZ$6)*100,"")),"NA")</f>
        <v/>
      </c>
      <c r="AL62" s="176" t="str">
        <f>IF(F62&lt;&gt;"",IF(Input!BA63&lt;&gt;"",Input!BA63,""),"")</f>
        <v/>
      </c>
      <c r="AM62" s="451" t="str">
        <f>IFERROR(IF($AL$5="","",IF(F62&lt;&gt;"",(Input!BA63/Input!$BA$6)*100,"")),"NA")</f>
        <v/>
      </c>
      <c r="AN62" s="177" t="str">
        <f>IF(F62&lt;&gt;"",IF(Input!BB63&lt;&gt;"",Input!BB63,""),"")</f>
        <v/>
      </c>
      <c r="AO62" s="451" t="str">
        <f>IFERROR(IF($AN$5="","",IF(F62&lt;&gt;"",(Input!BB63/Input!$BB$6)*100,"")),"NA")</f>
        <v/>
      </c>
      <c r="AP62" s="303" t="str">
        <f>IF(Input!BC63="Error","Error",IF(F62="","",IF($AH$5="",0,IF(F62&lt;&gt;"",IFERROR(AVERAGE(AI62,AK62,AM62,AO62)*$AP$4,0),""))))</f>
        <v/>
      </c>
      <c r="AQ62" s="174"/>
      <c r="AR62" s="178" t="str">
        <f>IF(Input!BD63="","",IF(F62&lt;&gt;"",Input!BD63,""))</f>
        <v/>
      </c>
      <c r="AS62" s="179" t="str">
        <f>IF(F62="", "",IF(Input!BE63="Error","Error",IF(ISNUMBER(Input!BE63),(Input!BE63*$AS$4),"")))</f>
        <v/>
      </c>
      <c r="AT62" s="331" t="str">
        <f>IF(V62="D","DRP",
IF(F62&lt;&gt;"",
IF(OR(AF62="Error",AP62="Error",AS62="Error"),"Error",
IF(Input!BD63="","-",ROUND(AF62+AP62+AS62,2))),""))</f>
        <v/>
      </c>
      <c r="AU62" s="180" t="str">
        <f>IF(F62&lt;&gt;"",VLOOKUP(AT62,TRANSMUTATION!$A$2:$B$14,2),"")</f>
        <v/>
      </c>
      <c r="AV62" s="249" t="str">
        <f t="shared" si="1"/>
        <v/>
      </c>
      <c r="AW62" s="182"/>
      <c r="BA62" s="97"/>
    </row>
    <row r="63" spans="1:53" ht="15" customHeight="1" x14ac:dyDescent="0.2">
      <c r="A63" s="97"/>
      <c r="C63" s="194">
        <v>57</v>
      </c>
      <c r="D63" s="203" t="str">
        <f>IF(Input!D64&lt;&gt;"",IF(F63&lt;&gt;"",Input!D64,""),"")</f>
        <v/>
      </c>
      <c r="E63" s="297"/>
      <c r="F63" s="298" t="str">
        <f>(IF(Input!F64&lt;&gt;"",Input!F64,""))</f>
        <v/>
      </c>
      <c r="G63" s="333"/>
      <c r="H63" s="333"/>
      <c r="I63" s="333"/>
      <c r="J63" s="333"/>
      <c r="K63" s="333"/>
      <c r="L63" s="333"/>
      <c r="M63" s="333"/>
      <c r="N63" s="333"/>
      <c r="O63" s="333"/>
      <c r="P63" s="333"/>
      <c r="Q63" s="333"/>
      <c r="R63" s="333"/>
      <c r="S63" s="333"/>
      <c r="T63" s="333"/>
      <c r="U63" s="333"/>
      <c r="V63" s="336"/>
      <c r="W63" s="173"/>
      <c r="X63" s="309" t="str">
        <f>IF(F63&lt;&gt;"",IF(Input!AT64&lt;&gt;"",Input!AT64,""),"")</f>
        <v/>
      </c>
      <c r="Y63" s="449" t="str">
        <f>IFERROR(IF($X$5="","",IF(F63&lt;&gt;"",(Input!AT64/Input!$AT$6)*100,"")),"NA")</f>
        <v/>
      </c>
      <c r="Z63" s="310" t="str">
        <f>IF(F63&lt;&gt;"",IF(Input!AU64&lt;&gt;"",Input!AU64,""),"")</f>
        <v/>
      </c>
      <c r="AA63" s="449" t="str">
        <f>IFERROR(IF($Z$5="","",IF(F63&lt;&gt;"",(Input!AU64/Input!$AU$6)*100,"")),"NA")</f>
        <v/>
      </c>
      <c r="AB63" s="310" t="str">
        <f>IF(F63&lt;&gt;"",IF(Input!AV64&lt;&gt;"",Input!AV64,""),"")</f>
        <v/>
      </c>
      <c r="AC63" s="449" t="str">
        <f>IFERROR(IF($AB$5="","",IF(F63&lt;&gt;"",(Input!AV64/Input!$AV$6)*100,"")),"NA")</f>
        <v/>
      </c>
      <c r="AD63" s="310" t="str">
        <f>IF(F63&lt;&gt;"",IF(Input!AW64&lt;&gt;"",Input!AW64,""),"")</f>
        <v/>
      </c>
      <c r="AE63" s="449" t="str">
        <f>IFERROR(IF($AD$5="","",IF(F63&lt;&gt;"",(Input!AW64/Input!$AW$6)*100,"")),"NA")</f>
        <v/>
      </c>
      <c r="AF63" s="108" t="str">
        <f>IF(Input!AX64="Error","Error",IF(F63="","",IF($X$5="",0,IF(F63&lt;&gt;"",IFERROR(AVERAGE(Y63,AA63,AC63,AE63)*$AF$4,0),""))))</f>
        <v/>
      </c>
      <c r="AG63" s="174"/>
      <c r="AH63" s="175" t="str">
        <f>IF(F63&lt;&gt;"",IF(Input!AY64&lt;&gt;"",Input!AY64,""),"")</f>
        <v/>
      </c>
      <c r="AI63" s="451" t="str">
        <f>IFERROR(IF($AH$5="","",IF(F63&lt;&gt;"",(Input!AY64/Input!$AY$6)*100,"")),"NA")</f>
        <v/>
      </c>
      <c r="AJ63" s="176" t="str">
        <f>IF(F63&lt;&gt;"",IF(Input!AZ64&lt;&gt;"",Input!AZ64,""),"")</f>
        <v/>
      </c>
      <c r="AK63" s="451" t="str">
        <f>IFERROR(IF($AJ$5="","",IF(F63&lt;&gt;"",(Input!AZ64/Input!$AZ$6)*100,"")),"NA")</f>
        <v/>
      </c>
      <c r="AL63" s="176" t="str">
        <f>IF(F63&lt;&gt;"",IF(Input!BA64&lt;&gt;"",Input!BA64,""),"")</f>
        <v/>
      </c>
      <c r="AM63" s="451" t="str">
        <f>IFERROR(IF($AL$5="","",IF(F63&lt;&gt;"",(Input!BA64/Input!$BA$6)*100,"")),"NA")</f>
        <v/>
      </c>
      <c r="AN63" s="177" t="str">
        <f>IF(F63&lt;&gt;"",IF(Input!BB64&lt;&gt;"",Input!BB64,""),"")</f>
        <v/>
      </c>
      <c r="AO63" s="451" t="str">
        <f>IFERROR(IF($AN$5="","",IF(F63&lt;&gt;"",(Input!BB64/Input!$BB$6)*100,"")),"NA")</f>
        <v/>
      </c>
      <c r="AP63" s="303" t="str">
        <f>IF(Input!BC64="Error","Error",IF(F63="","",IF($AH$5="",0,IF(F63&lt;&gt;"",IFERROR(AVERAGE(AI63,AK63,AM63,AO63)*$AP$4,0),""))))</f>
        <v/>
      </c>
      <c r="AQ63" s="174"/>
      <c r="AR63" s="178" t="str">
        <f>IF(Input!BD64="","",IF(F63&lt;&gt;"",Input!BD64,""))</f>
        <v/>
      </c>
      <c r="AS63" s="179" t="str">
        <f>IF(F63="", "",IF(Input!BE64="Error","Error",IF(ISNUMBER(Input!BE64),(Input!BE64*$AS$4),"")))</f>
        <v/>
      </c>
      <c r="AT63" s="331" t="str">
        <f>IF(V63="D","DRP",
IF(F63&lt;&gt;"",
IF(OR(AF63="Error",AP63="Error",AS63="Error"),"Error",
IF(Input!BD64="","-",ROUND(AF63+AP63+AS63,2))),""))</f>
        <v/>
      </c>
      <c r="AU63" s="180" t="str">
        <f>IF(F63&lt;&gt;"",VLOOKUP(AT63,TRANSMUTATION!$A$2:$B$14,2),"")</f>
        <v/>
      </c>
      <c r="AV63" s="249" t="str">
        <f t="shared" si="1"/>
        <v/>
      </c>
      <c r="AW63" s="182"/>
      <c r="BA63" s="97"/>
    </row>
    <row r="64" spans="1:53" ht="15" customHeight="1" x14ac:dyDescent="0.2">
      <c r="A64" s="97"/>
      <c r="C64" s="194">
        <v>58</v>
      </c>
      <c r="D64" s="203" t="str">
        <f>IF(Input!D65&lt;&gt;"",IF(F64&lt;&gt;"",Input!D65,""),"")</f>
        <v/>
      </c>
      <c r="E64" s="297"/>
      <c r="F64" s="298" t="str">
        <f>(IF(Input!F65&lt;&gt;"",Input!F65,""))</f>
        <v/>
      </c>
      <c r="G64" s="333"/>
      <c r="H64" s="333"/>
      <c r="I64" s="333"/>
      <c r="J64" s="333"/>
      <c r="K64" s="333"/>
      <c r="L64" s="333"/>
      <c r="M64" s="333"/>
      <c r="N64" s="333"/>
      <c r="O64" s="333"/>
      <c r="P64" s="333"/>
      <c r="Q64" s="333"/>
      <c r="R64" s="333"/>
      <c r="S64" s="333"/>
      <c r="T64" s="333"/>
      <c r="U64" s="333"/>
      <c r="V64" s="336"/>
      <c r="W64" s="173"/>
      <c r="X64" s="309" t="str">
        <f>IF(F64&lt;&gt;"",IF(Input!AT65&lt;&gt;"",Input!AT65,""),"")</f>
        <v/>
      </c>
      <c r="Y64" s="449" t="str">
        <f>IFERROR(IF($X$5="","",IF(F64&lt;&gt;"",(Input!AT65/Input!$AT$6)*100,"")),"NA")</f>
        <v/>
      </c>
      <c r="Z64" s="310" t="str">
        <f>IF(F64&lt;&gt;"",IF(Input!AU65&lt;&gt;"",Input!AU65,""),"")</f>
        <v/>
      </c>
      <c r="AA64" s="449" t="str">
        <f>IFERROR(IF($Z$5="","",IF(F64&lt;&gt;"",(Input!AU65/Input!$AU$6)*100,"")),"NA")</f>
        <v/>
      </c>
      <c r="AB64" s="310" t="str">
        <f>IF(F64&lt;&gt;"",IF(Input!AV65&lt;&gt;"",Input!AV65,""),"")</f>
        <v/>
      </c>
      <c r="AC64" s="449" t="str">
        <f>IFERROR(IF($AB$5="","",IF(F64&lt;&gt;"",(Input!AV65/Input!$AV$6)*100,"")),"NA")</f>
        <v/>
      </c>
      <c r="AD64" s="310" t="str">
        <f>IF(F64&lt;&gt;"",IF(Input!AW65&lt;&gt;"",Input!AW65,""),"")</f>
        <v/>
      </c>
      <c r="AE64" s="449" t="str">
        <f>IFERROR(IF($AD$5="","",IF(F64&lt;&gt;"",(Input!AW65/Input!$AW$6)*100,"")),"NA")</f>
        <v/>
      </c>
      <c r="AF64" s="108" t="str">
        <f>IF(Input!AX65="Error","Error",IF(F64="","",IF($X$5="",0,IF(F64&lt;&gt;"",IFERROR(AVERAGE(Y64,AA64,AC64,AE64)*$AF$4,0),""))))</f>
        <v/>
      </c>
      <c r="AG64" s="174"/>
      <c r="AH64" s="175" t="str">
        <f>IF(F64&lt;&gt;"",IF(Input!AY65&lt;&gt;"",Input!AY65,""),"")</f>
        <v/>
      </c>
      <c r="AI64" s="451" t="str">
        <f>IFERROR(IF($AH$5="","",IF(F64&lt;&gt;"",(Input!AY65/Input!$AY$6)*100,"")),"NA")</f>
        <v/>
      </c>
      <c r="AJ64" s="176" t="str">
        <f>IF(F64&lt;&gt;"",IF(Input!AZ65&lt;&gt;"",Input!AZ65,""),"")</f>
        <v/>
      </c>
      <c r="AK64" s="451" t="str">
        <f>IFERROR(IF($AJ$5="","",IF(F64&lt;&gt;"",(Input!AZ65/Input!$AZ$6)*100,"")),"NA")</f>
        <v/>
      </c>
      <c r="AL64" s="176" t="str">
        <f>IF(F64&lt;&gt;"",IF(Input!BA65&lt;&gt;"",Input!BA65,""),"")</f>
        <v/>
      </c>
      <c r="AM64" s="451" t="str">
        <f>IFERROR(IF($AL$5="","",IF(F64&lt;&gt;"",(Input!BA65/Input!$BA$6)*100,"")),"NA")</f>
        <v/>
      </c>
      <c r="AN64" s="177" t="str">
        <f>IF(F64&lt;&gt;"",IF(Input!BB65&lt;&gt;"",Input!BB65,""),"")</f>
        <v/>
      </c>
      <c r="AO64" s="451" t="str">
        <f>IFERROR(IF($AN$5="","",IF(F64&lt;&gt;"",(Input!BB65/Input!$BB$6)*100,"")),"NA")</f>
        <v/>
      </c>
      <c r="AP64" s="303" t="str">
        <f>IF(Input!BC65="Error","Error",IF(F64="","",IF($AH$5="",0,IF(F64&lt;&gt;"",IFERROR(AVERAGE(AI64,AK64,AM64,AO64)*$AP$4,0),""))))</f>
        <v/>
      </c>
      <c r="AQ64" s="174"/>
      <c r="AR64" s="178" t="str">
        <f>IF(Input!BD65="","",IF(F64&lt;&gt;"",Input!BD65,""))</f>
        <v/>
      </c>
      <c r="AS64" s="179" t="str">
        <f>IF(F64="", "",IF(Input!BE65="Error","Error",IF(ISNUMBER(Input!BE65),(Input!BE65*$AS$4),"")))</f>
        <v/>
      </c>
      <c r="AT64" s="331" t="str">
        <f>IF(V64="D","DRP",
IF(F64&lt;&gt;"",
IF(OR(AF64="Error",AP64="Error",AS64="Error"),"Error",
IF(Input!BD65="","-",ROUND(AF64+AP64+AS64,2))),""))</f>
        <v/>
      </c>
      <c r="AU64" s="180" t="str">
        <f>IF(F64&lt;&gt;"",VLOOKUP(AT64,TRANSMUTATION!$A$2:$B$14,2),"")</f>
        <v/>
      </c>
      <c r="AV64" s="249" t="str">
        <f t="shared" si="1"/>
        <v/>
      </c>
      <c r="AW64" s="182"/>
      <c r="BA64" s="97"/>
    </row>
    <row r="65" spans="1:53" ht="15" customHeight="1" x14ac:dyDescent="0.2">
      <c r="A65" s="97"/>
      <c r="C65" s="194">
        <v>59</v>
      </c>
      <c r="D65" s="203" t="str">
        <f>IF(Input!D66&lt;&gt;"",IF(F65&lt;&gt;"",Input!D66,""),"")</f>
        <v/>
      </c>
      <c r="E65" s="297"/>
      <c r="F65" s="298" t="str">
        <f>(IF(Input!F66&lt;&gt;"",Input!F66,""))</f>
        <v/>
      </c>
      <c r="G65" s="333"/>
      <c r="H65" s="333"/>
      <c r="I65" s="333"/>
      <c r="J65" s="333"/>
      <c r="K65" s="333"/>
      <c r="L65" s="333"/>
      <c r="M65" s="333"/>
      <c r="N65" s="333"/>
      <c r="O65" s="333"/>
      <c r="P65" s="333"/>
      <c r="Q65" s="333"/>
      <c r="R65" s="333"/>
      <c r="S65" s="333"/>
      <c r="T65" s="333"/>
      <c r="U65" s="333"/>
      <c r="V65" s="336"/>
      <c r="W65" s="173"/>
      <c r="X65" s="309" t="str">
        <f>IF(F65&lt;&gt;"",IF(Input!AT66&lt;&gt;"",Input!AT66,""),"")</f>
        <v/>
      </c>
      <c r="Y65" s="449" t="str">
        <f>IFERROR(IF($X$5="","",IF(F65&lt;&gt;"",(Input!AT66/Input!$AT$6)*100,"")),"NA")</f>
        <v/>
      </c>
      <c r="Z65" s="310" t="str">
        <f>IF(F65&lt;&gt;"",IF(Input!AU66&lt;&gt;"",Input!AU66,""),"")</f>
        <v/>
      </c>
      <c r="AA65" s="449" t="str">
        <f>IFERROR(IF($Z$5="","",IF(F65&lt;&gt;"",(Input!AU66/Input!$AU$6)*100,"")),"NA")</f>
        <v/>
      </c>
      <c r="AB65" s="310" t="str">
        <f>IF(F65&lt;&gt;"",IF(Input!AV66&lt;&gt;"",Input!AV66,""),"")</f>
        <v/>
      </c>
      <c r="AC65" s="449" t="str">
        <f>IFERROR(IF($AB$5="","",IF(F65&lt;&gt;"",(Input!AV66/Input!$AV$6)*100,"")),"NA")</f>
        <v/>
      </c>
      <c r="AD65" s="310" t="str">
        <f>IF(F65&lt;&gt;"",IF(Input!AW66&lt;&gt;"",Input!AW66,""),"")</f>
        <v/>
      </c>
      <c r="AE65" s="449" t="str">
        <f>IFERROR(IF($AD$5="","",IF(F65&lt;&gt;"",(Input!AW66/Input!$AW$6)*100,"")),"NA")</f>
        <v/>
      </c>
      <c r="AF65" s="108" t="str">
        <f>IF(Input!AX66="Error","Error",IF(F65="","",IF($X$5="",0,IF(F65&lt;&gt;"",IFERROR(AVERAGE(Y65,AA65,AC65,AE65)*$AF$4,0),""))))</f>
        <v/>
      </c>
      <c r="AG65" s="174"/>
      <c r="AH65" s="175" t="str">
        <f>IF(F65&lt;&gt;"",IF(Input!AY66&lt;&gt;"",Input!AY66,""),"")</f>
        <v/>
      </c>
      <c r="AI65" s="451" t="str">
        <f>IFERROR(IF($AH$5="","",IF(F65&lt;&gt;"",(Input!AY66/Input!$AY$6)*100,"")),"NA")</f>
        <v/>
      </c>
      <c r="AJ65" s="176" t="str">
        <f>IF(F65&lt;&gt;"",IF(Input!AZ66&lt;&gt;"",Input!AZ66,""),"")</f>
        <v/>
      </c>
      <c r="AK65" s="451" t="str">
        <f>IFERROR(IF($AJ$5="","",IF(F65&lt;&gt;"",(Input!AZ66/Input!$AZ$6)*100,"")),"NA")</f>
        <v/>
      </c>
      <c r="AL65" s="176" t="str">
        <f>IF(F65&lt;&gt;"",IF(Input!BA66&lt;&gt;"",Input!BA66,""),"")</f>
        <v/>
      </c>
      <c r="AM65" s="451" t="str">
        <f>IFERROR(IF($AL$5="","",IF(F65&lt;&gt;"",(Input!BA66/Input!$BA$6)*100,"")),"NA")</f>
        <v/>
      </c>
      <c r="AN65" s="177" t="str">
        <f>IF(F65&lt;&gt;"",IF(Input!BB66&lt;&gt;"",Input!BB66,""),"")</f>
        <v/>
      </c>
      <c r="AO65" s="451" t="str">
        <f>IFERROR(IF($AN$5="","",IF(F65&lt;&gt;"",(Input!BB66/Input!$BB$6)*100,"")),"NA")</f>
        <v/>
      </c>
      <c r="AP65" s="303" t="str">
        <f>IF(Input!BC66="Error","Error",IF(F65="","",IF($AH$5="",0,IF(F65&lt;&gt;"",IFERROR(AVERAGE(AI65,AK65,AM65,AO65)*$AP$4,0),""))))</f>
        <v/>
      </c>
      <c r="AQ65" s="174"/>
      <c r="AR65" s="178" t="str">
        <f>IF(Input!BD66="","",IF(F65&lt;&gt;"",Input!BD66,""))</f>
        <v/>
      </c>
      <c r="AS65" s="179" t="str">
        <f>IF(F65="", "",IF(Input!BE66="Error","Error",IF(ISNUMBER(Input!BE66),(Input!BE66*$AS$4),"")))</f>
        <v/>
      </c>
      <c r="AT65" s="331" t="str">
        <f>IF(V65="D","DRP",
IF(F65&lt;&gt;"",
IF(OR(AF65="Error",AP65="Error",AS65="Error"),"Error",
IF(Input!BD66="","-",ROUND(AF65+AP65+AS65,2))),""))</f>
        <v/>
      </c>
      <c r="AU65" s="180" t="str">
        <f>IF(F65&lt;&gt;"",VLOOKUP(AT65,TRANSMUTATION!$A$2:$B$14,2),"")</f>
        <v/>
      </c>
      <c r="AV65" s="249" t="str">
        <f t="shared" si="1"/>
        <v/>
      </c>
      <c r="AW65" s="182"/>
      <c r="BA65" s="97"/>
    </row>
    <row r="66" spans="1:53" ht="15" customHeight="1" thickBot="1" x14ac:dyDescent="0.25">
      <c r="A66" s="97"/>
      <c r="C66" s="195">
        <v>60</v>
      </c>
      <c r="D66" s="299" t="str">
        <f>IF(Input!D67&lt;&gt;"",IF(F66&lt;&gt;"",Input!D67,""),"")</f>
        <v/>
      </c>
      <c r="E66" s="300"/>
      <c r="F66" s="301" t="str">
        <f>(IF(Input!F67&lt;&gt;"",Input!F67,""))</f>
        <v/>
      </c>
      <c r="G66" s="335"/>
      <c r="H66" s="335"/>
      <c r="I66" s="335"/>
      <c r="J66" s="335"/>
      <c r="K66" s="335"/>
      <c r="L66" s="335"/>
      <c r="M66" s="335"/>
      <c r="N66" s="335"/>
      <c r="O66" s="335"/>
      <c r="P66" s="335"/>
      <c r="Q66" s="335"/>
      <c r="R66" s="335"/>
      <c r="S66" s="335"/>
      <c r="T66" s="335"/>
      <c r="U66" s="335"/>
      <c r="V66" s="339"/>
      <c r="W66" s="173"/>
      <c r="X66" s="311" t="str">
        <f>IF(F66&lt;&gt;"",IF(Input!AT67&lt;&gt;"",Input!AT67,""),"")</f>
        <v/>
      </c>
      <c r="Y66" s="450" t="str">
        <f>IFERROR(IF($X$5="","",IF(F66&lt;&gt;"",(Input!AT67/Input!$AT$6)*100,"")),"NA")</f>
        <v/>
      </c>
      <c r="Z66" s="312" t="str">
        <f>IF(F66&lt;&gt;"",IF(Input!AU67&lt;&gt;"",Input!AU67,""),"")</f>
        <v/>
      </c>
      <c r="AA66" s="450" t="str">
        <f>IFERROR(IF($Z$5="","",IF(F66&lt;&gt;"",(Input!AU67/Input!$AU$6)*100,"")),"NA")</f>
        <v/>
      </c>
      <c r="AB66" s="312" t="str">
        <f>IF(F66&lt;&gt;"",IF(Input!AV67&lt;&gt;"",Input!AV67,""),"")</f>
        <v/>
      </c>
      <c r="AC66" s="450" t="str">
        <f>IFERROR(IF($AB$5="","",IF(F66&lt;&gt;"",(Input!AV67/Input!$AV$6)*100,"")),"NA")</f>
        <v/>
      </c>
      <c r="AD66" s="312" t="str">
        <f>IF(F66&lt;&gt;"",IF(Input!AW67&lt;&gt;"",Input!AW67,""),"")</f>
        <v/>
      </c>
      <c r="AE66" s="450" t="str">
        <f>IFERROR(IF($AD$5="","",IF(F66&lt;&gt;"",(Input!AW67/Input!$AW$6)*100,"")),"NA")</f>
        <v/>
      </c>
      <c r="AF66" s="308" t="str">
        <f>IF(Input!AX67="Error","Error",IF(F66="","",IF($X$5="",0,IF(F66&lt;&gt;"",IFERROR(AVERAGE(Y66,AA66,AC66,AE66)*$AF$4,0),""))))</f>
        <v/>
      </c>
      <c r="AG66" s="174"/>
      <c r="AH66" s="302" t="str">
        <f>IF(F66&lt;&gt;"",IF(Input!AY67&lt;&gt;"",Input!AY67,""),"")</f>
        <v/>
      </c>
      <c r="AI66" s="452" t="str">
        <f>IFERROR(IF($AH$5="","",IF(F66&lt;&gt;"",(Input!AY67/Input!$AY$6)*100,"")),"NA")</f>
        <v/>
      </c>
      <c r="AJ66" s="190" t="str">
        <f>IF(F66&lt;&gt;"",IF(Input!AZ67&lt;&gt;"",Input!AZ67,""),"")</f>
        <v/>
      </c>
      <c r="AK66" s="452" t="str">
        <f>IFERROR(IF($AJ$5="","",IF(F66&lt;&gt;"",(Input!AZ67/Input!$AZ$6)*100,"")),"NA")</f>
        <v/>
      </c>
      <c r="AL66" s="190" t="str">
        <f>IF(F66&lt;&gt;"",IF(Input!BA67&lt;&gt;"",Input!BA67,""),"")</f>
        <v/>
      </c>
      <c r="AM66" s="452" t="str">
        <f>IFERROR(IF($AL$5="","",IF(F66&lt;&gt;"",(Input!BA67/Input!$BA$6)*100,"")),"NA")</f>
        <v/>
      </c>
      <c r="AN66" s="191" t="str">
        <f>IF(F66&lt;&gt;"",IF(Input!BB67&lt;&gt;"",Input!BB67,""),"")</f>
        <v/>
      </c>
      <c r="AO66" s="452" t="str">
        <f>IFERROR(IF($AN$5="","",IF(F66&lt;&gt;"",(Input!BB67/Input!$BB$6)*100,"")),"NA")</f>
        <v/>
      </c>
      <c r="AP66" s="444" t="str">
        <f>IF(Input!BC67="Error","Error",IF(F66="","",IF($AH$5="",0,IF(F66&lt;&gt;"",IFERROR(AVERAGE(AI66,AK66,AM66,AO66)*$AP$4,0),""))))</f>
        <v/>
      </c>
      <c r="AQ66" s="174"/>
      <c r="AR66" s="233" t="str">
        <f>IF(Input!BD67="","",IF(F66&lt;&gt;"",Input!BD67,""))</f>
        <v/>
      </c>
      <c r="AS66" s="445" t="str">
        <f>IF(F66="", "",IF(Input!BE67="Error","Error",IF(ISNUMBER(Input!BE67),(Input!BE67*$AS$4),"")))</f>
        <v/>
      </c>
      <c r="AT66" s="332" t="str">
        <f>IF(V66="D","DRP",
IF(F66&lt;&gt;"",
IF(OR(AF66="Error",AP66="Error",AS66="Error"),"Error",
IF(Input!BD67="","-",ROUND(AF66+AP66+AS66,2))),""))</f>
        <v/>
      </c>
      <c r="AU66" s="192" t="str">
        <f>IF(F66&lt;&gt;"",VLOOKUP(AT66,TRANSMUTATION!$A$2:$B$14,2),"")</f>
        <v/>
      </c>
      <c r="AV66" s="234" t="str">
        <f t="shared" si="1"/>
        <v/>
      </c>
      <c r="AW66" s="182"/>
      <c r="BA66" s="97"/>
    </row>
    <row r="67" spans="1:53" s="99" customFormat="1" ht="15" hidden="1" customHeight="1" thickBot="1" x14ac:dyDescent="0.25">
      <c r="A67" s="243"/>
      <c r="B67" s="131"/>
      <c r="C67" s="132"/>
      <c r="D67" s="133"/>
      <c r="E67" s="133"/>
      <c r="F67" s="134"/>
      <c r="G67" s="135">
        <f t="shared" ref="G67:U67" si="2">COUNT(G7:G56)</f>
        <v>0</v>
      </c>
      <c r="H67" s="135">
        <f t="shared" si="2"/>
        <v>0</v>
      </c>
      <c r="I67" s="135">
        <f t="shared" si="2"/>
        <v>0</v>
      </c>
      <c r="J67" s="135">
        <f t="shared" si="2"/>
        <v>0</v>
      </c>
      <c r="K67" s="135">
        <f t="shared" si="2"/>
        <v>0</v>
      </c>
      <c r="L67" s="135">
        <f t="shared" si="2"/>
        <v>0</v>
      </c>
      <c r="M67" s="135">
        <f t="shared" si="2"/>
        <v>0</v>
      </c>
      <c r="N67" s="135">
        <f t="shared" si="2"/>
        <v>0</v>
      </c>
      <c r="O67" s="135">
        <f t="shared" si="2"/>
        <v>0</v>
      </c>
      <c r="P67" s="135">
        <f t="shared" si="2"/>
        <v>0</v>
      </c>
      <c r="Q67" s="135">
        <f t="shared" si="2"/>
        <v>0</v>
      </c>
      <c r="R67" s="135">
        <f t="shared" si="2"/>
        <v>0</v>
      </c>
      <c r="S67" s="135">
        <f t="shared" si="2"/>
        <v>0</v>
      </c>
      <c r="T67" s="135">
        <f t="shared" si="2"/>
        <v>0</v>
      </c>
      <c r="U67" s="136">
        <f t="shared" si="2"/>
        <v>0</v>
      </c>
      <c r="V67" s="137"/>
      <c r="W67" s="244"/>
      <c r="X67" s="132"/>
      <c r="Y67" s="245"/>
      <c r="Z67" s="245"/>
      <c r="AA67" s="245"/>
      <c r="AB67" s="245"/>
      <c r="AC67" s="245"/>
      <c r="AD67" s="245"/>
      <c r="AE67" s="245"/>
      <c r="AF67" s="139"/>
      <c r="AG67" s="245"/>
      <c r="AH67" s="570" t="e">
        <f>AVERAGE(AI7:AI56)</f>
        <v>#DIV/0!</v>
      </c>
      <c r="AI67" s="568"/>
      <c r="AJ67" s="567"/>
      <c r="AK67" s="568"/>
      <c r="AL67" s="214" t="str">
        <f>IF(F67&lt;&gt;"",IF(Input!BA68&lt;&gt;"",Input!BA68,""),"")</f>
        <v/>
      </c>
      <c r="AM67" s="141" t="str">
        <f>IF($AL$5="","",IF(F67&lt;&gt;"",(Input!BA68/Input!$BA$6)*100,""))</f>
        <v/>
      </c>
      <c r="AN67" s="567"/>
      <c r="AO67" s="568"/>
      <c r="AP67" s="142"/>
      <c r="AQ67" s="246"/>
      <c r="AR67" s="143"/>
      <c r="AS67" s="247" t="str">
        <f>IF(F67&lt;&gt;"", IF(Input!BE68="Error", "Error", Input!BE68*$AS$4), "")</f>
        <v/>
      </c>
      <c r="AT67" s="145" t="str">
        <f>IF(V67="D", "Drp", IF(F67&lt;&gt;"", IF(Input!BD68="", "-", IF(OR(AF67="Error", AP67="Error", AS67="Error"), "Error", AF67+AP67+AS67)), ""))</f>
        <v/>
      </c>
      <c r="AU67" s="146"/>
      <c r="AV67" s="248"/>
      <c r="BA67" s="102"/>
    </row>
    <row r="68" spans="1:53" ht="15" customHeight="1" x14ac:dyDescent="0.2">
      <c r="A68" s="97"/>
      <c r="BA68" s="97"/>
    </row>
    <row r="69" spans="1:53" ht="9.9499999999999993" customHeight="1" x14ac:dyDescent="0.2">
      <c r="A69" s="97"/>
      <c r="B69" s="97"/>
      <c r="C69" s="102"/>
      <c r="D69" s="103"/>
      <c r="E69" s="103"/>
      <c r="F69" s="97"/>
      <c r="G69" s="161"/>
      <c r="H69" s="161"/>
      <c r="I69" s="161"/>
      <c r="J69" s="162"/>
      <c r="K69" s="162"/>
      <c r="L69" s="162"/>
      <c r="M69" s="162"/>
      <c r="N69" s="162"/>
      <c r="O69" s="162"/>
      <c r="P69" s="162"/>
      <c r="Q69" s="162"/>
      <c r="R69" s="162"/>
      <c r="S69" s="162"/>
      <c r="T69" s="162"/>
      <c r="U69" s="162"/>
      <c r="V69" s="162"/>
      <c r="W69" s="162"/>
      <c r="X69" s="102"/>
      <c r="Y69" s="102"/>
      <c r="Z69" s="102"/>
      <c r="AA69" s="102"/>
      <c r="AB69" s="102"/>
      <c r="AC69" s="102"/>
      <c r="AD69" s="102"/>
      <c r="AE69" s="102"/>
      <c r="AF69" s="102"/>
      <c r="AG69" s="102"/>
      <c r="AH69" s="102"/>
      <c r="AI69" s="102"/>
      <c r="AJ69" s="102"/>
      <c r="AK69" s="102"/>
      <c r="AL69" s="102"/>
      <c r="AM69" s="102"/>
      <c r="AN69" s="102"/>
      <c r="AO69" s="102"/>
      <c r="AP69" s="163"/>
      <c r="AQ69" s="102"/>
      <c r="AR69" s="164"/>
      <c r="AS69" s="165"/>
      <c r="AT69" s="166"/>
      <c r="AU69" s="167"/>
      <c r="AV69" s="221"/>
      <c r="AW69" s="97"/>
      <c r="AX69" s="97"/>
      <c r="AY69" s="97"/>
      <c r="AZ69" s="97"/>
      <c r="BA69" s="97"/>
    </row>
  </sheetData>
  <sheetProtection algorithmName="SHA-512" hashValue="pbdx03Fz4ESU4M+1ZoKG71YSs9rrf8J6UiTtGG2TFk4y6qSRELdCA0TJPMLpHarHynS0FxlSWeVy8It3kBcqVw==" saltValue="fXdL2WwvWjDTLArMIZ4jhw==" spinCount="100000" sheet="1" objects="1" scenarios="1"/>
  <mergeCells count="62">
    <mergeCell ref="Z5:AA5"/>
    <mergeCell ref="X5:Y5"/>
    <mergeCell ref="AD4:AE4"/>
    <mergeCell ref="AB4:AC4"/>
    <mergeCell ref="Z4:AA4"/>
    <mergeCell ref="X4:Y4"/>
    <mergeCell ref="AX3:AY3"/>
    <mergeCell ref="AN67:AO67"/>
    <mergeCell ref="C3:C6"/>
    <mergeCell ref="D3:F3"/>
    <mergeCell ref="D4:F5"/>
    <mergeCell ref="G5:G6"/>
    <mergeCell ref="H5:H6"/>
    <mergeCell ref="Q5:Q6"/>
    <mergeCell ref="M5:M6"/>
    <mergeCell ref="N5:N6"/>
    <mergeCell ref="I5:I6"/>
    <mergeCell ref="L5:L6"/>
    <mergeCell ref="O5:O6"/>
    <mergeCell ref="S5:S6"/>
    <mergeCell ref="T5:T6"/>
    <mergeCell ref="AH67:AI67"/>
    <mergeCell ref="AJ67:AK67"/>
    <mergeCell ref="E1:AQ1"/>
    <mergeCell ref="E2:AQ2"/>
    <mergeCell ref="AH3:AP3"/>
    <mergeCell ref="G3:K3"/>
    <mergeCell ref="L3:P3"/>
    <mergeCell ref="Q3:U3"/>
    <mergeCell ref="X3:AF3"/>
    <mergeCell ref="V4:V6"/>
    <mergeCell ref="AF4:AF5"/>
    <mergeCell ref="AB6:AC6"/>
    <mergeCell ref="X6:Y6"/>
    <mergeCell ref="AD6:AE6"/>
    <mergeCell ref="Z6:AA6"/>
    <mergeCell ref="AD5:AE5"/>
    <mergeCell ref="AB5:AC5"/>
    <mergeCell ref="AT3:AT6"/>
    <mergeCell ref="AU3:AU6"/>
    <mergeCell ref="AV3:AV6"/>
    <mergeCell ref="AP4:AP5"/>
    <mergeCell ref="J5:J6"/>
    <mergeCell ref="K5:K6"/>
    <mergeCell ref="AN4:AO4"/>
    <mergeCell ref="AN5:AO5"/>
    <mergeCell ref="P5:P6"/>
    <mergeCell ref="U5:U6"/>
    <mergeCell ref="R5:R6"/>
    <mergeCell ref="AR3:AS3"/>
    <mergeCell ref="AH5:AI5"/>
    <mergeCell ref="AR4:AR5"/>
    <mergeCell ref="AS4:AS5"/>
    <mergeCell ref="AJ6:AK6"/>
    <mergeCell ref="AH4:AI4"/>
    <mergeCell ref="AJ4:AK4"/>
    <mergeCell ref="AN6:AO6"/>
    <mergeCell ref="AH6:AI6"/>
    <mergeCell ref="AJ5:AK5"/>
    <mergeCell ref="AL4:AM4"/>
    <mergeCell ref="AL5:AM5"/>
    <mergeCell ref="AL6:AM6"/>
  </mergeCells>
  <phoneticPr fontId="4" type="noConversion"/>
  <conditionalFormatting sqref="I46:I66">
    <cfRule type="cellIs" dxfId="35" priority="70" stopIfTrue="1" operator="lessThan">
      <formula>1</formula>
    </cfRule>
  </conditionalFormatting>
  <conditionalFormatting sqref="L46:L66">
    <cfRule type="cellIs" dxfId="34" priority="69" stopIfTrue="1" operator="lessThan">
      <formula>1</formula>
    </cfRule>
  </conditionalFormatting>
  <conditionalFormatting sqref="V7:V66">
    <cfRule type="containsText" dxfId="33" priority="1" operator="containsText" text="D">
      <formula>NOT(ISERROR(SEARCH("D",V7)))</formula>
    </cfRule>
  </conditionalFormatting>
  <conditionalFormatting sqref="X7:X66 Z7:Z66 AB7:AB66 AD7:AD66">
    <cfRule type="expression" dxfId="32" priority="9">
      <formula>AND(ISTEXT(X7),X7&lt;&gt;"")</formula>
    </cfRule>
  </conditionalFormatting>
  <conditionalFormatting sqref="X7:X66">
    <cfRule type="expression" dxfId="31" priority="8">
      <formula>AND(X7&gt;$X$5,X7&lt;&gt;"")</formula>
    </cfRule>
  </conditionalFormatting>
  <conditionalFormatting sqref="X5:AE5">
    <cfRule type="expression" dxfId="30" priority="3">
      <formula>AND(ISTEXT(X5),X5&lt;&gt;"")</formula>
    </cfRule>
  </conditionalFormatting>
  <conditionalFormatting sqref="Z7:Z66">
    <cfRule type="expression" dxfId="29" priority="7">
      <formula>AND(Z7&gt;$Z$5,Z7&lt;&gt;"")</formula>
    </cfRule>
  </conditionalFormatting>
  <conditionalFormatting sqref="AB7:AB66">
    <cfRule type="expression" dxfId="28" priority="6">
      <formula>AND(AB7&gt;$AB$5,AB7&lt;&gt;"")</formula>
    </cfRule>
  </conditionalFormatting>
  <conditionalFormatting sqref="AD7:AD66">
    <cfRule type="expression" dxfId="27" priority="5">
      <formula>AND(AD7&gt;$AD$5,AD7&lt;&gt;"")</formula>
    </cfRule>
  </conditionalFormatting>
  <conditionalFormatting sqref="AH7:AH66 AJ7:AJ66 AL7:AL66 AN7:AN66 AR7:AR66">
    <cfRule type="expression" dxfId="26" priority="11">
      <formula>AND(ISTEXT(AH7),AH7&lt;&gt;"")</formula>
    </cfRule>
  </conditionalFormatting>
  <conditionalFormatting sqref="AH7:AH66">
    <cfRule type="expression" dxfId="25" priority="19">
      <formula>AND(AH7&gt;$AH$5,AH7&lt;&gt;"")</formula>
    </cfRule>
  </conditionalFormatting>
  <conditionalFormatting sqref="AH5:AO5">
    <cfRule type="expression" dxfId="24" priority="13">
      <formula>AND(ISTEXT(AH5),AH5&lt;&gt;"")</formula>
    </cfRule>
  </conditionalFormatting>
  <conditionalFormatting sqref="AI1:AI6 AO1:AO6 AK1:AM3 AG1:AG66 AI67:AI1048576 AO67:AO1048576 AG68:AG1048576">
    <cfRule type="cellIs" dxfId="23" priority="74" stopIfTrue="1" operator="lessThan">
      <formula>75</formula>
    </cfRule>
  </conditionalFormatting>
  <conditionalFormatting sqref="AJ7:AJ66">
    <cfRule type="expression" dxfId="22" priority="18">
      <formula>AND(AJ7&gt;$AJ$5,AJ7&lt;&gt;"")</formula>
    </cfRule>
  </conditionalFormatting>
  <conditionalFormatting sqref="AK4:AK6 AM4:AM6 AK67 AM67 AK68:AM1048576">
    <cfRule type="cellIs" dxfId="21" priority="23" stopIfTrue="1" operator="lessThan">
      <formula>75</formula>
    </cfRule>
  </conditionalFormatting>
  <conditionalFormatting sqref="AL7:AL66">
    <cfRule type="expression" dxfId="20" priority="17">
      <formula>AND(AL7&gt;$AL$5,AL7&lt;&gt;"")</formula>
    </cfRule>
  </conditionalFormatting>
  <conditionalFormatting sqref="AN7:AN66">
    <cfRule type="expression" dxfId="19" priority="16">
      <formula>AND(AN7&gt;$AN$5,AN7&lt;&gt;"")</formula>
    </cfRule>
  </conditionalFormatting>
  <conditionalFormatting sqref="AR4:AR5">
    <cfRule type="expression" dxfId="18" priority="12">
      <formula>AND(ISTEXT(AR4),AR4&lt;&gt;"")</formula>
    </cfRule>
  </conditionalFormatting>
  <conditionalFormatting sqref="AR7:AR66">
    <cfRule type="expression" dxfId="17" priority="15">
      <formula>AND(AR7&gt;$AR$4,AR7&lt;&gt;"")</formula>
    </cfRule>
  </conditionalFormatting>
  <conditionalFormatting sqref="AU1:AU1048576">
    <cfRule type="cellIs" dxfId="16" priority="21" stopIfTrue="1" operator="lessThanOrEqual">
      <formula>1.75</formula>
    </cfRule>
    <cfRule type="cellIs" dxfId="15" priority="22" stopIfTrue="1" operator="equal">
      <formula>5</formula>
    </cfRule>
  </conditionalFormatting>
  <dataValidations count="4">
    <dataValidation type="list" allowBlank="1" showInputMessage="1" showErrorMessage="1" sqref="G4:U4" xr:uid="{22C1F174-87FD-4A40-93F7-23CB55F288A5}">
      <formula1>"1,2,3,4,5,6,7,8,9,10,11,12,13,14,15,16,17,18,19,20,21,22,23,24,25,26,27,28,29,30,31"</formula1>
    </dataValidation>
    <dataValidation type="list" allowBlank="1" showInputMessage="1" showErrorMessage="1" sqref="G5:U6" xr:uid="{D931BA1A-F2F2-48DD-9F70-4B11E517A432}">
      <formula1>"M,T,W,Th,F,Sat,Sun"</formula1>
    </dataValidation>
    <dataValidation type="list" allowBlank="1" showInputMessage="1" showErrorMessage="1" sqref="G3:U3" xr:uid="{91A7F854-73C3-4AF5-82BC-566DCE94200B}">
      <formula1>"January,February,March,April,May,June,July,August,September,October,November,December"</formula1>
    </dataValidation>
    <dataValidation type="list" allowBlank="1" showInputMessage="1" showErrorMessage="1" sqref="G7:U66" xr:uid="{BA36F496-389E-4DA7-9EBA-BF33C3592B15}">
      <formula1>"P,A,L,E,D"</formula1>
    </dataValidation>
  </dataValidations>
  <pageMargins left="0.09" right="0.13" top="0.16" bottom="0.38" header="0.14000000000000001" footer="0.14000000000000001"/>
  <pageSetup scale="52" orientation="landscape" horizontalDpi="300" verticalDpi="300" r:id="rId1"/>
  <headerFooter alignWithMargins="0">
    <oddFooter>&amp;C&amp;F
&amp;D &amp;T&amp;R&amp;P/&amp;N</oddFooter>
  </headerFooter>
  <extLst>
    <ext xmlns:x14="http://schemas.microsoft.com/office/spreadsheetml/2009/9/main" uri="{CCE6A557-97BC-4b89-ADB6-D9C93CAAB3DF}">
      <x14:dataValidations xmlns:xm="http://schemas.microsoft.com/office/excel/2006/main" count="1">
        <x14:dataValidation type="list" showInputMessage="1" showErrorMessage="1" xr:uid="{F3C489F8-E9EF-48EC-90C1-8A1421F8B207}">
          <x14:formula1>
            <xm:f>'Student Helper'!$D$2:$D$3</xm:f>
          </x14:formula1>
          <xm:sqref>V7:V66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39997558519241921"/>
  </sheetPr>
  <dimension ref="A1:AO68"/>
  <sheetViews>
    <sheetView showGridLines="0" zoomScaleNormal="100" workbookViewId="0">
      <pane xSplit="7" ySplit="6" topLeftCell="H7" activePane="bottomRight" state="frozen"/>
      <selection pane="topRight" activeCell="H1" sqref="H1"/>
      <selection pane="bottomLeft" activeCell="A7" sqref="A7"/>
      <selection pane="bottomRight" activeCell="H7" sqref="H7:H23"/>
    </sheetView>
  </sheetViews>
  <sheetFormatPr defaultColWidth="0" defaultRowHeight="15.75" x14ac:dyDescent="0.2"/>
  <cols>
    <col min="1" max="1" width="1.7109375" style="98" customWidth="1"/>
    <col min="2" max="2" width="2.7109375" style="98" customWidth="1"/>
    <col min="3" max="3" width="3.7109375" style="99" customWidth="1"/>
    <col min="4" max="4" width="4.5703125" style="294" customWidth="1"/>
    <col min="5" max="5" width="12.28515625" style="100" customWidth="1"/>
    <col min="6" max="6" width="2.7109375" style="100" hidden="1" customWidth="1"/>
    <col min="7" max="7" width="49.7109375" style="98" customWidth="1"/>
    <col min="8" max="8" width="10.7109375" style="295" customWidth="1"/>
    <col min="9" max="9" width="6.7109375" style="99" customWidth="1"/>
    <col min="10" max="10" width="10.7109375" style="295" customWidth="1"/>
    <col min="11" max="11" width="6.7109375" style="172" customWidth="1"/>
    <col min="12" max="12" width="10.7109375" style="292" customWidth="1"/>
    <col min="13" max="13" width="6.7109375" style="292" customWidth="1"/>
    <col min="14" max="14" width="10.7109375" style="172" customWidth="1"/>
    <col min="15" max="15" width="6.7109375" style="172" customWidth="1"/>
    <col min="16" max="16" width="1.7109375" style="172" customWidth="1"/>
    <col min="17" max="18" width="8.7109375" style="296" customWidth="1"/>
    <col min="19" max="19" width="10.7109375" style="172" customWidth="1"/>
    <col min="20" max="20" width="2.7109375" style="98" customWidth="1"/>
    <col min="21" max="21" width="1.7109375" style="98" customWidth="1"/>
    <col min="22" max="22" width="9.140625" style="98" hidden="1" customWidth="1"/>
    <col min="23" max="34" width="9.140625" style="448" hidden="1" customWidth="1"/>
    <col min="35" max="16384" width="9.140625" style="98" hidden="1"/>
  </cols>
  <sheetData>
    <row r="1" spans="2:41" ht="9.75" customHeight="1" thickBot="1" x14ac:dyDescent="0.25">
      <c r="D1" s="250"/>
      <c r="E1" s="251"/>
      <c r="F1" s="252"/>
      <c r="G1" s="252"/>
      <c r="H1" s="252"/>
      <c r="I1" s="252"/>
      <c r="J1" s="252"/>
      <c r="K1" s="252"/>
      <c r="L1" s="252"/>
      <c r="M1" s="252"/>
      <c r="N1" s="252"/>
      <c r="O1" s="252"/>
      <c r="P1" s="252"/>
      <c r="Q1" s="252"/>
      <c r="R1" s="252"/>
      <c r="S1" s="252"/>
      <c r="T1" s="252"/>
      <c r="U1" s="252"/>
      <c r="V1" s="252"/>
      <c r="W1" s="252"/>
      <c r="X1" s="252"/>
      <c r="Y1" s="252"/>
      <c r="Z1" s="252"/>
      <c r="AA1" s="252"/>
      <c r="AB1" s="252"/>
      <c r="AC1" s="252"/>
      <c r="AD1" s="252"/>
      <c r="AE1" s="252"/>
      <c r="AF1" s="252"/>
      <c r="AG1" s="252"/>
      <c r="AH1" s="252"/>
      <c r="AI1" s="252"/>
      <c r="AJ1" s="252"/>
      <c r="AK1" s="252"/>
      <c r="AL1" s="252"/>
      <c r="AM1" s="252"/>
      <c r="AN1" s="252"/>
      <c r="AO1" s="252"/>
    </row>
    <row r="2" spans="2:41" ht="15" customHeight="1" thickTop="1" thickBot="1" x14ac:dyDescent="0.25">
      <c r="B2" s="253"/>
      <c r="C2" s="254"/>
      <c r="D2" s="255"/>
      <c r="E2" s="256"/>
      <c r="F2" s="257"/>
      <c r="G2" s="257"/>
      <c r="H2" s="257"/>
      <c r="I2" s="257"/>
      <c r="J2" s="257"/>
      <c r="K2" s="257"/>
      <c r="L2" s="257"/>
      <c r="M2" s="257"/>
      <c r="N2" s="257"/>
      <c r="O2" s="257"/>
      <c r="P2" s="257"/>
      <c r="Q2" s="257"/>
      <c r="R2" s="257"/>
      <c r="S2" s="257"/>
      <c r="T2" s="258"/>
      <c r="U2" s="114"/>
      <c r="V2" s="114"/>
      <c r="W2" s="114"/>
      <c r="X2" s="114"/>
      <c r="Y2" s="114"/>
      <c r="Z2" s="114"/>
      <c r="AA2" s="114"/>
      <c r="AB2" s="114"/>
      <c r="AC2" s="114"/>
      <c r="AD2" s="114"/>
      <c r="AE2" s="114"/>
      <c r="AF2" s="114"/>
      <c r="AG2" s="114"/>
      <c r="AH2" s="114"/>
      <c r="AI2" s="114"/>
      <c r="AJ2" s="114"/>
      <c r="AK2" s="114"/>
      <c r="AL2" s="114"/>
      <c r="AM2" s="114"/>
      <c r="AN2" s="114"/>
      <c r="AO2" s="114"/>
    </row>
    <row r="3" spans="2:41" ht="30" customHeight="1" x14ac:dyDescent="0.2">
      <c r="B3" s="259"/>
      <c r="C3" s="626"/>
      <c r="D3" s="631" t="s">
        <v>112</v>
      </c>
      <c r="E3" s="475" t="str">
        <f>Settings!E8&amp;" - "&amp;Settings!P5</f>
        <v>MATH IN THE MODERN WORLD - BSHM-1B</v>
      </c>
      <c r="F3" s="475"/>
      <c r="G3" s="475"/>
      <c r="H3" s="621" t="s">
        <v>46</v>
      </c>
      <c r="I3" s="618" t="s">
        <v>105</v>
      </c>
      <c r="J3" s="621" t="s">
        <v>47</v>
      </c>
      <c r="K3" s="618" t="s">
        <v>105</v>
      </c>
      <c r="L3" s="618" t="s">
        <v>48</v>
      </c>
      <c r="M3" s="618" t="s">
        <v>105</v>
      </c>
      <c r="N3" s="618" t="s">
        <v>49</v>
      </c>
      <c r="O3" s="618" t="s">
        <v>105</v>
      </c>
      <c r="P3" s="633"/>
      <c r="Q3" s="628" t="s">
        <v>119</v>
      </c>
      <c r="R3" s="628" t="s">
        <v>105</v>
      </c>
      <c r="S3" s="623" t="s">
        <v>120</v>
      </c>
      <c r="T3" s="260"/>
      <c r="W3" s="98"/>
      <c r="X3" s="98"/>
      <c r="Y3" s="98"/>
      <c r="Z3" s="98"/>
      <c r="AA3" s="98"/>
      <c r="AB3" s="98"/>
      <c r="AC3" s="98"/>
      <c r="AD3" s="98"/>
      <c r="AE3" s="98"/>
      <c r="AF3" s="98"/>
      <c r="AG3" s="98"/>
      <c r="AH3" s="98"/>
    </row>
    <row r="4" spans="2:41" ht="15" customHeight="1" x14ac:dyDescent="0.2">
      <c r="B4" s="259"/>
      <c r="C4" s="627"/>
      <c r="D4" s="632"/>
      <c r="E4" s="635" t="str">
        <f>IF(Settings!P4="","",Settings!P4)</f>
        <v>GEDC1005</v>
      </c>
      <c r="F4" s="635"/>
      <c r="G4" s="635"/>
      <c r="H4" s="622"/>
      <c r="I4" s="619"/>
      <c r="J4" s="622"/>
      <c r="K4" s="619"/>
      <c r="L4" s="619"/>
      <c r="M4" s="619"/>
      <c r="N4" s="619"/>
      <c r="O4" s="619"/>
      <c r="P4" s="634"/>
      <c r="Q4" s="629"/>
      <c r="R4" s="629"/>
      <c r="S4" s="624"/>
      <c r="T4" s="260"/>
      <c r="W4" s="98"/>
      <c r="X4" s="98"/>
      <c r="Y4" s="98"/>
      <c r="Z4" s="98"/>
      <c r="AA4" s="98"/>
      <c r="AB4" s="98"/>
      <c r="AC4" s="98"/>
      <c r="AD4" s="98"/>
      <c r="AE4" s="98"/>
      <c r="AF4" s="98"/>
      <c r="AG4" s="98"/>
      <c r="AH4" s="98"/>
    </row>
    <row r="5" spans="2:41" s="99" customFormat="1" ht="15" customHeight="1" x14ac:dyDescent="0.2">
      <c r="B5" s="261"/>
      <c r="C5" s="627"/>
      <c r="D5" s="632"/>
      <c r="E5" s="635"/>
      <c r="F5" s="635"/>
      <c r="G5" s="635"/>
      <c r="H5" s="622"/>
      <c r="I5" s="619"/>
      <c r="J5" s="622"/>
      <c r="K5" s="619"/>
      <c r="L5" s="619"/>
      <c r="M5" s="619"/>
      <c r="N5" s="619"/>
      <c r="O5" s="619"/>
      <c r="P5" s="634"/>
      <c r="Q5" s="629"/>
      <c r="R5" s="629"/>
      <c r="S5" s="624"/>
      <c r="T5" s="262"/>
    </row>
    <row r="6" spans="2:41" ht="15.75" customHeight="1" x14ac:dyDescent="0.2">
      <c r="B6" s="259"/>
      <c r="C6" s="627"/>
      <c r="D6" s="632" t="str">
        <f>IF(R6&lt;74.5,"Failed","Passed")</f>
        <v>Failed</v>
      </c>
      <c r="E6" s="263" t="s">
        <v>106</v>
      </c>
      <c r="F6" s="124"/>
      <c r="G6" s="264" t="s">
        <v>107</v>
      </c>
      <c r="H6" s="620">
        <v>0.2</v>
      </c>
      <c r="I6" s="620"/>
      <c r="J6" s="620">
        <v>0.2</v>
      </c>
      <c r="K6" s="620"/>
      <c r="L6" s="620">
        <v>0.2</v>
      </c>
      <c r="M6" s="620"/>
      <c r="N6" s="620">
        <v>0.4</v>
      </c>
      <c r="O6" s="620"/>
      <c r="P6" s="634"/>
      <c r="Q6" s="630"/>
      <c r="R6" s="630"/>
      <c r="S6" s="625"/>
      <c r="T6" s="260"/>
      <c r="W6" s="98"/>
      <c r="X6" s="98"/>
      <c r="Y6" s="98"/>
      <c r="Z6" s="98"/>
      <c r="AA6" s="98"/>
      <c r="AB6" s="98"/>
      <c r="AC6" s="98"/>
      <c r="AD6" s="98"/>
      <c r="AE6" s="98"/>
      <c r="AF6" s="98"/>
      <c r="AG6" s="98"/>
      <c r="AH6" s="98"/>
    </row>
    <row r="7" spans="2:41" s="99" customFormat="1" ht="17.100000000000001" customHeight="1" x14ac:dyDescent="0.2">
      <c r="B7" s="261"/>
      <c r="C7" s="340">
        <f>+C5+1</f>
        <v>1</v>
      </c>
      <c r="D7" s="265" t="str">
        <f>IFERROR(IF(OR(Q7="",Q7="Drp"),"",RANK(Q7,$Q$7:$Q$66,0)),"")</f>
        <v/>
      </c>
      <c r="E7" s="264" t="str">
        <f>(IF(Input!D8&lt;&gt;"",Input!D8,""))</f>
        <v>02000503790</v>
      </c>
      <c r="F7" s="266"/>
      <c r="G7" s="267" t="str">
        <f>(IF(Input!F8&lt;&gt;"",Input!F8,""))</f>
        <v>BARICAS, CASSANDRA ALAB</v>
      </c>
      <c r="H7" s="268">
        <f>IF(G7&lt;&gt;"",PRELIMS!AT7,"")</f>
        <v>89.35</v>
      </c>
      <c r="I7" s="269">
        <f>IF(G7&lt;&gt;"",VLOOKUP(H7,TRANSMUTATION!$A$2:$B$14,2),"")</f>
        <v>1.75</v>
      </c>
      <c r="J7" s="268">
        <f>IF(G7&lt;&gt;"",MIDTERM!AT7,"")</f>
        <v>46.76</v>
      </c>
      <c r="K7" s="269">
        <f>IF(G7&lt;&gt;"",VLOOKUP(J7,TRANSMUTATION!$A$2:$B$14,2),"")</f>
        <v>5</v>
      </c>
      <c r="L7" s="268" t="str">
        <f>IF(G7&lt;&gt;"",'PRE-FINALS'!AT7,"")</f>
        <v>-</v>
      </c>
      <c r="M7" s="269" t="str">
        <f>IF(G7&lt;&gt;"",VLOOKUP(L7,TRANSMUTATION!$A$2:$B$14,2),"")</f>
        <v>INC</v>
      </c>
      <c r="N7" s="268" t="str">
        <f>IF(G7&lt;&gt;"",FINALS!AT7,"")</f>
        <v>-</v>
      </c>
      <c r="O7" s="269" t="str">
        <f>IF(G7&lt;&gt;"",VLOOKUP(N7,TRANSMUTATION!$A$2:$B$14,2),"")</f>
        <v>INC</v>
      </c>
      <c r="P7" s="270"/>
      <c r="Q7" s="268" t="str">
        <f t="shared" ref="Q7:Q38" si="0">IF(G7="","",
IF(G7&lt;&gt;"",
IF(OR(H7="DRP",J7="DRP",L7="DRP",N7="DRP"),"DRP",
IF(OR(H7="Error",J7="Error",L7="Error",N7="Error"),"Error",
IF(OR(O7="Inc",I7="Inc",K7="Inc",M7="Inc"),"",
ROUND((H7*$H$6)+(J7*$J$6)+(L7*$L$6)+(N7*$N$6),2)))),""))</f>
        <v/>
      </c>
      <c r="R7" s="268" t="str">
        <f>IF(G7&lt;&gt;"",IF(Q7="","",VLOOKUP(Q7,TRANSMUTATION!$A$2:$B$14,2)),"")</f>
        <v/>
      </c>
      <c r="S7" s="271" t="str">
        <f>IF(G7="","",
IF(AND(H7="-",J7="-",L7="-",N7="-"),"",
IF(Q7="",
IF(_xlfn.LET(
_xlpm.h,IF(H7="-","",H7+0),
_xlpm.j,IF(J7="-","",IFERROR(J7+0,"")),
_xlpm.l,IF(L7="-","",IFERROR(L7+0,"")),
_xlpm.n,IF(N7="-","",N7),
_xlpm.q,IF(Q7="-","",Q7),
_xlpm.countInputs,(IF(_xlpm.h&lt;&gt;"",1,0)+IF(_xlpm.j&lt;&gt;"",1,0)+IF(_xlpm.l&lt;&gt;"",1,0)),
_xlpm.sumInputs,(IF(_xlpm.h="",0,_xlpm.h)+IF(_xlpm.j="",0,_xlpm.j)+IF(_xlpm.l="",0,_xlpm.l)),
IF(G7="","",IF(AND(_xlpm.q&lt;&gt;"",_xlpm.countInputs=0),"",IF(_xlpm.n&lt;&gt;"","--",IF(_xlpm.countInputs=0,"",(60-_xlpm.sumInputs*0.2)/(1-0.2*_xlpm.countInputs))))))
&gt;60,"At risk",""),
IF(Q7="Error","Error",IF(Q7="Drp","Dropped",IF(Q7&lt;59.5,"Failed","Passed"))))))</f>
        <v/>
      </c>
      <c r="T7" s="262"/>
      <c r="V7" s="443"/>
      <c r="W7" s="446"/>
      <c r="X7" s="447"/>
      <c r="Y7" s="447"/>
      <c r="Z7" s="447"/>
      <c r="AA7" s="447"/>
      <c r="AB7" s="447"/>
      <c r="AC7" s="447"/>
      <c r="AD7" s="447"/>
      <c r="AE7" s="447"/>
      <c r="AF7" s="447"/>
      <c r="AG7" s="447"/>
      <c r="AH7" s="447"/>
    </row>
    <row r="8" spans="2:41" s="99" customFormat="1" ht="17.100000000000001" customHeight="1" x14ac:dyDescent="0.2">
      <c r="B8" s="261"/>
      <c r="C8" s="340">
        <f>C7+1</f>
        <v>2</v>
      </c>
      <c r="D8" s="265" t="str">
        <f t="shared" ref="D8:D66" si="1">IFERROR(IF(OR(Q8="",Q8="Drp"),"",RANK(Q8,$Q$7:$Q$66,0)),"")</f>
        <v/>
      </c>
      <c r="E8" s="264" t="str">
        <f>(IF(Input!D9&lt;&gt;"",Input!D9,""))</f>
        <v>02000512377</v>
      </c>
      <c r="F8" s="266"/>
      <c r="G8" s="267" t="str">
        <f>(IF(Input!F9&lt;&gt;"",Input!F9,""))</f>
        <v>BETITA, RUSSEL ANGELO ROJO</v>
      </c>
      <c r="H8" s="268">
        <f>IF(G8&lt;&gt;"",PRELIMS!AT8,"")</f>
        <v>81.63</v>
      </c>
      <c r="I8" s="269">
        <f>IF(G8&lt;&gt;"",VLOOKUP(H8,TRANSMUTATION!$A$2:$B$14,2),"")</f>
        <v>2</v>
      </c>
      <c r="J8" s="268" t="str">
        <f>IF(G8&lt;&gt;"",MIDTERM!AT8,"")</f>
        <v>-</v>
      </c>
      <c r="K8" s="269" t="str">
        <f>IF(G8&lt;&gt;"",VLOOKUP(J8,TRANSMUTATION!$A$2:$B$14,2),"")</f>
        <v>INC</v>
      </c>
      <c r="L8" s="268" t="str">
        <f>IF(G8&lt;&gt;"",'PRE-FINALS'!AT8,"")</f>
        <v>-</v>
      </c>
      <c r="M8" s="269" t="str">
        <f>IF(G8&lt;&gt;"",VLOOKUP(L8,TRANSMUTATION!$A$2:$B$14,2),"")</f>
        <v>INC</v>
      </c>
      <c r="N8" s="268" t="str">
        <f>IF(G8&lt;&gt;"",FINALS!AT8,"")</f>
        <v>-</v>
      </c>
      <c r="O8" s="269" t="str">
        <f>IF(G8&lt;&gt;"",VLOOKUP(N8,TRANSMUTATION!$A$2:$B$14,2),"")</f>
        <v>INC</v>
      </c>
      <c r="P8" s="270"/>
      <c r="Q8" s="268" t="str">
        <f t="shared" si="0"/>
        <v/>
      </c>
      <c r="R8" s="268" t="str">
        <f>IF(G8&lt;&gt;"",IF(Q8="","",VLOOKUP(Q8,TRANSMUTATION!$A$2:$B$14,2)),"")</f>
        <v/>
      </c>
      <c r="S8" s="271" t="str">
        <f t="shared" ref="S8:S66" si="2">IF(G8="","",
IF(AND(H8="-",J8="-",L8="-",N8="-"),"",
IF(Q8="",
IF(_xlfn.LET(
_xlpm.h,IF(H8="-","",H8+0),
_xlpm.j,IF(J8="-","",IFERROR(J8+0,"")),
_xlpm.l,IF(L8="-","",IFERROR(L8+0,"")),
_xlpm.n,IF(N8="-","",N8),
_xlpm.q,IF(Q8="-","",Q8),
_xlpm.countInputs,(IF(_xlpm.h&lt;&gt;"",1,0)+IF(_xlpm.j&lt;&gt;"",1,0)+IF(_xlpm.l&lt;&gt;"",1,0)),
_xlpm.sumInputs,(IF(_xlpm.h="",0,_xlpm.h)+IF(_xlpm.j="",0,_xlpm.j)+IF(_xlpm.l="",0,_xlpm.l)),
IF(G8="","",IF(AND(_xlpm.q&lt;&gt;"",_xlpm.countInputs=0),"",IF(_xlpm.n&lt;&gt;"","--",IF(_xlpm.countInputs=0,"",(60-_xlpm.sumInputs*0.2)/(1-0.2*_xlpm.countInputs))))))
&gt;60,"At risk",""),
IF(Q8="Error","Error",IF(Q8="Drp","Dropped",IF(Q8&lt;59.5,"Failed","Passed"))))))</f>
        <v/>
      </c>
      <c r="T8" s="262"/>
      <c r="V8" s="443"/>
      <c r="W8" s="446"/>
      <c r="X8" s="447"/>
      <c r="Y8" s="447"/>
      <c r="Z8" s="447"/>
      <c r="AA8" s="447"/>
      <c r="AB8" s="447"/>
      <c r="AC8" s="447"/>
      <c r="AD8" s="447"/>
      <c r="AE8" s="447"/>
      <c r="AF8" s="447"/>
      <c r="AG8" s="447"/>
      <c r="AH8" s="447"/>
    </row>
    <row r="9" spans="2:41" s="99" customFormat="1" ht="17.100000000000001" customHeight="1" x14ac:dyDescent="0.2">
      <c r="B9" s="261"/>
      <c r="C9" s="340">
        <f t="shared" ref="C9:C66" si="3">C8+1</f>
        <v>3</v>
      </c>
      <c r="D9" s="265" t="str">
        <f t="shared" si="1"/>
        <v/>
      </c>
      <c r="E9" s="264" t="str">
        <f>(IF(Input!D10&lt;&gt;"",Input!D10,""))</f>
        <v>02000509818</v>
      </c>
      <c r="F9" s="266"/>
      <c r="G9" s="267" t="str">
        <f>(IF(Input!F10&lt;&gt;"",Input!F10,""))</f>
        <v>DELA CRUZ, ANGEL CANDELARIA</v>
      </c>
      <c r="H9" s="268">
        <f>IF(G9&lt;&gt;"",PRELIMS!AT9,"")</f>
        <v>47.17</v>
      </c>
      <c r="I9" s="269">
        <f>IF(G9&lt;&gt;"",VLOOKUP(H9,TRANSMUTATION!$A$2:$B$14,2),"")</f>
        <v>5</v>
      </c>
      <c r="J9" s="268">
        <f>IF(G9&lt;&gt;"",MIDTERM!AT9,"")</f>
        <v>16.29</v>
      </c>
      <c r="K9" s="269">
        <f>IF(G9&lt;&gt;"",VLOOKUP(J9,TRANSMUTATION!$A$2:$B$14,2),"")</f>
        <v>5</v>
      </c>
      <c r="L9" s="268" t="str">
        <f>IF(G9&lt;&gt;"",'PRE-FINALS'!AT9,"")</f>
        <v>-</v>
      </c>
      <c r="M9" s="269" t="str">
        <f>IF(G9&lt;&gt;"",VLOOKUP(L9,TRANSMUTATION!$A$2:$B$14,2),"")</f>
        <v>INC</v>
      </c>
      <c r="N9" s="268" t="str">
        <f>IF(G9&lt;&gt;"",FINALS!AT9,"")</f>
        <v>-</v>
      </c>
      <c r="O9" s="269" t="str">
        <f>IF(G9&lt;&gt;"",VLOOKUP(N9,TRANSMUTATION!$A$2:$B$14,2),"")</f>
        <v>INC</v>
      </c>
      <c r="P9" s="270"/>
      <c r="Q9" s="268" t="str">
        <f t="shared" si="0"/>
        <v/>
      </c>
      <c r="R9" s="268" t="str">
        <f>IF(G9&lt;&gt;"",IF(Q9="","",VLOOKUP(Q9,TRANSMUTATION!$A$2:$B$14,2)),"")</f>
        <v/>
      </c>
      <c r="S9" s="271" t="str">
        <f t="shared" si="2"/>
        <v>At risk</v>
      </c>
      <c r="T9" s="262"/>
      <c r="V9" s="443"/>
      <c r="W9" s="446"/>
      <c r="X9" s="447"/>
      <c r="Y9" s="447"/>
      <c r="Z9" s="447"/>
      <c r="AA9" s="447"/>
      <c r="AB9" s="447"/>
      <c r="AC9" s="447"/>
      <c r="AD9" s="447"/>
      <c r="AE9" s="447"/>
      <c r="AF9" s="447"/>
      <c r="AG9" s="447"/>
      <c r="AH9" s="447"/>
    </row>
    <row r="10" spans="2:41" s="99" customFormat="1" ht="17.100000000000001" customHeight="1" x14ac:dyDescent="0.2">
      <c r="B10" s="261"/>
      <c r="C10" s="340">
        <f t="shared" si="3"/>
        <v>4</v>
      </c>
      <c r="D10" s="265" t="str">
        <f t="shared" si="1"/>
        <v/>
      </c>
      <c r="E10" s="264" t="str">
        <f>(IF(Input!D11&lt;&gt;"",Input!D11,""))</f>
        <v>02000367567</v>
      </c>
      <c r="F10" s="266"/>
      <c r="G10" s="267" t="str">
        <f>(IF(Input!F11&lt;&gt;"",Input!F11,""))</f>
        <v>DELMIGUEZ, DANIELLA CORTEZ</v>
      </c>
      <c r="H10" s="268">
        <f>IF(G10&lt;&gt;"",PRELIMS!AT10,"")</f>
        <v>88.68</v>
      </c>
      <c r="I10" s="269">
        <f>IF(G10&lt;&gt;"",VLOOKUP(H10,TRANSMUTATION!$A$2:$B$14,2),"")</f>
        <v>1.75</v>
      </c>
      <c r="J10" s="268">
        <f>IF(G10&lt;&gt;"",MIDTERM!AT10,"")</f>
        <v>63.9</v>
      </c>
      <c r="K10" s="269">
        <f>IF(G10&lt;&gt;"",VLOOKUP(J10,TRANSMUTATION!$A$2:$B$14,2),"")</f>
        <v>3</v>
      </c>
      <c r="L10" s="268" t="str">
        <f>IF(G10&lt;&gt;"",'PRE-FINALS'!AT10,"")</f>
        <v>-</v>
      </c>
      <c r="M10" s="269" t="str">
        <f>IF(G10&lt;&gt;"",VLOOKUP(L10,TRANSMUTATION!$A$2:$B$14,2),"")</f>
        <v>INC</v>
      </c>
      <c r="N10" s="268" t="str">
        <f>IF(G10&lt;&gt;"",FINALS!AT10,"")</f>
        <v>-</v>
      </c>
      <c r="O10" s="269" t="str">
        <f>IF(G10&lt;&gt;"",VLOOKUP(N10,TRANSMUTATION!$A$2:$B$14,2),"")</f>
        <v>INC</v>
      </c>
      <c r="P10" s="270"/>
      <c r="Q10" s="268" t="str">
        <f t="shared" si="0"/>
        <v/>
      </c>
      <c r="R10" s="268" t="str">
        <f>IF(G10&lt;&gt;"",IF(Q10="","",VLOOKUP(Q10,TRANSMUTATION!$A$2:$B$14,2)),"")</f>
        <v/>
      </c>
      <c r="S10" s="271" t="str">
        <f t="shared" si="2"/>
        <v/>
      </c>
      <c r="T10" s="262"/>
      <c r="V10" s="443"/>
      <c r="W10" s="446"/>
      <c r="X10" s="447"/>
      <c r="Y10" s="447"/>
      <c r="Z10" s="447"/>
      <c r="AA10" s="447"/>
      <c r="AB10" s="447"/>
      <c r="AC10" s="447"/>
      <c r="AD10" s="447"/>
      <c r="AE10" s="447"/>
      <c r="AF10" s="447"/>
      <c r="AG10" s="447"/>
      <c r="AH10" s="447"/>
    </row>
    <row r="11" spans="2:41" s="99" customFormat="1" ht="17.100000000000001" customHeight="1" x14ac:dyDescent="0.2">
      <c r="B11" s="261"/>
      <c r="C11" s="340">
        <f t="shared" si="3"/>
        <v>5</v>
      </c>
      <c r="D11" s="265" t="str">
        <f t="shared" si="1"/>
        <v/>
      </c>
      <c r="E11" s="264" t="str">
        <f>(IF(Input!D12&lt;&gt;"",Input!D12,""))</f>
        <v>02000490904</v>
      </c>
      <c r="F11" s="266"/>
      <c r="G11" s="267" t="str">
        <f>(IF(Input!F12&lt;&gt;"",Input!F12,""))</f>
        <v>GONZAGA, SANDY</v>
      </c>
      <c r="H11" s="268">
        <f>IF(G11&lt;&gt;"",PRELIMS!AT11,"")</f>
        <v>85.71</v>
      </c>
      <c r="I11" s="269">
        <f>IF(G11&lt;&gt;"",VLOOKUP(H11,TRANSMUTATION!$A$2:$B$14,2),"")</f>
        <v>2</v>
      </c>
      <c r="J11" s="268">
        <f>IF(G11&lt;&gt;"",MIDTERM!AT11,"")</f>
        <v>27.43</v>
      </c>
      <c r="K11" s="269">
        <f>IF(G11&lt;&gt;"",VLOOKUP(J11,TRANSMUTATION!$A$2:$B$14,2),"")</f>
        <v>5</v>
      </c>
      <c r="L11" s="268" t="str">
        <f>IF(G11&lt;&gt;"",'PRE-FINALS'!AT11,"")</f>
        <v>-</v>
      </c>
      <c r="M11" s="269" t="str">
        <f>IF(G11&lt;&gt;"",VLOOKUP(L11,TRANSMUTATION!$A$2:$B$14,2),"")</f>
        <v>INC</v>
      </c>
      <c r="N11" s="268" t="str">
        <f>IF(G11&lt;&gt;"",FINALS!AT11,"")</f>
        <v>-</v>
      </c>
      <c r="O11" s="269" t="str">
        <f>IF(G11&lt;&gt;"",VLOOKUP(N11,TRANSMUTATION!$A$2:$B$14,2),"")</f>
        <v>INC</v>
      </c>
      <c r="P11" s="270"/>
      <c r="Q11" s="268" t="str">
        <f t="shared" si="0"/>
        <v/>
      </c>
      <c r="R11" s="268" t="str">
        <f>IF(G11&lt;&gt;"",IF(Q11="","",VLOOKUP(Q11,TRANSMUTATION!$A$2:$B$14,2)),"")</f>
        <v/>
      </c>
      <c r="S11" s="271" t="str">
        <f t="shared" si="2"/>
        <v>At risk</v>
      </c>
      <c r="T11" s="262"/>
      <c r="V11" s="443"/>
      <c r="W11" s="446"/>
      <c r="X11" s="447"/>
      <c r="Y11" s="447"/>
      <c r="Z11" s="447"/>
      <c r="AA11" s="447"/>
      <c r="AB11" s="447"/>
      <c r="AC11" s="447"/>
      <c r="AD11" s="447"/>
      <c r="AE11" s="447"/>
      <c r="AF11" s="447"/>
      <c r="AG11" s="447"/>
      <c r="AH11" s="447"/>
    </row>
    <row r="12" spans="2:41" s="99" customFormat="1" ht="17.100000000000001" customHeight="1" x14ac:dyDescent="0.2">
      <c r="B12" s="261"/>
      <c r="C12" s="340">
        <f t="shared" si="3"/>
        <v>6</v>
      </c>
      <c r="D12" s="265" t="str">
        <f t="shared" si="1"/>
        <v/>
      </c>
      <c r="E12" s="264" t="str">
        <f>(IF(Input!D13&lt;&gt;"",Input!D13,""))</f>
        <v>02000433161</v>
      </c>
      <c r="F12" s="266"/>
      <c r="G12" s="267" t="str">
        <f>(IF(Input!F13&lt;&gt;"",Input!F13,""))</f>
        <v>MAGADIA, LOURD GAVIN BUEZA</v>
      </c>
      <c r="H12" s="268">
        <f>IF(G12&lt;&gt;"",PRELIMS!AT12,"")</f>
        <v>84.29</v>
      </c>
      <c r="I12" s="269">
        <f>IF(G12&lt;&gt;"",VLOOKUP(H12,TRANSMUTATION!$A$2:$B$14,2),"")</f>
        <v>2</v>
      </c>
      <c r="J12" s="268">
        <f>IF(G12&lt;&gt;"",MIDTERM!AT12,"")</f>
        <v>21.43</v>
      </c>
      <c r="K12" s="269">
        <f>IF(G12&lt;&gt;"",VLOOKUP(J12,TRANSMUTATION!$A$2:$B$14,2),"")</f>
        <v>5</v>
      </c>
      <c r="L12" s="268" t="str">
        <f>IF(G12&lt;&gt;"",'PRE-FINALS'!AT12,"")</f>
        <v>-</v>
      </c>
      <c r="M12" s="269" t="str">
        <f>IF(G12&lt;&gt;"",VLOOKUP(L12,TRANSMUTATION!$A$2:$B$14,2),"")</f>
        <v>INC</v>
      </c>
      <c r="N12" s="268" t="str">
        <f>IF(G12&lt;&gt;"",FINALS!AT12,"")</f>
        <v>-</v>
      </c>
      <c r="O12" s="269" t="str">
        <f>IF(G12&lt;&gt;"",VLOOKUP(N12,TRANSMUTATION!$A$2:$B$14,2),"")</f>
        <v>INC</v>
      </c>
      <c r="P12" s="270"/>
      <c r="Q12" s="268" t="str">
        <f t="shared" si="0"/>
        <v/>
      </c>
      <c r="R12" s="268" t="str">
        <f>IF(G12&lt;&gt;"",IF(Q12="","",VLOOKUP(Q12,TRANSMUTATION!$A$2:$B$14,2)),"")</f>
        <v/>
      </c>
      <c r="S12" s="271" t="str">
        <f t="shared" si="2"/>
        <v>At risk</v>
      </c>
      <c r="T12" s="262"/>
      <c r="V12" s="443"/>
      <c r="W12" s="446"/>
      <c r="X12" s="447"/>
      <c r="Y12" s="447"/>
      <c r="Z12" s="447"/>
      <c r="AA12" s="447"/>
      <c r="AB12" s="447"/>
      <c r="AC12" s="447"/>
      <c r="AD12" s="447"/>
      <c r="AE12" s="447"/>
      <c r="AF12" s="447"/>
      <c r="AG12" s="447"/>
      <c r="AH12" s="447"/>
    </row>
    <row r="13" spans="2:41" s="99" customFormat="1" ht="17.100000000000001" customHeight="1" x14ac:dyDescent="0.2">
      <c r="B13" s="261"/>
      <c r="C13" s="340">
        <f t="shared" si="3"/>
        <v>7</v>
      </c>
      <c r="D13" s="265" t="str">
        <f t="shared" si="1"/>
        <v/>
      </c>
      <c r="E13" s="264" t="str">
        <f>(IF(Input!D14&lt;&gt;"",Input!D14,""))</f>
        <v>02000511375</v>
      </c>
      <c r="F13" s="266"/>
      <c r="G13" s="267" t="str">
        <f>(IF(Input!F14&lt;&gt;"",Input!F14,""))</f>
        <v>MANZANO, JHON KENNETH</v>
      </c>
      <c r="H13" s="268">
        <f>IF(G13&lt;&gt;"",PRELIMS!AT13,"")</f>
        <v>71.430000000000007</v>
      </c>
      <c r="I13" s="269">
        <f>IF(G13&lt;&gt;"",VLOOKUP(H13,TRANSMUTATION!$A$2:$B$14,2),"")</f>
        <v>2.5</v>
      </c>
      <c r="J13" s="268" t="str">
        <f>IF(G13&lt;&gt;"",MIDTERM!AT13,"")</f>
        <v>-</v>
      </c>
      <c r="K13" s="269" t="str">
        <f>IF(G13&lt;&gt;"",VLOOKUP(J13,TRANSMUTATION!$A$2:$B$14,2),"")</f>
        <v>INC</v>
      </c>
      <c r="L13" s="268" t="str">
        <f>IF(G13&lt;&gt;"",'PRE-FINALS'!AT13,"")</f>
        <v>-</v>
      </c>
      <c r="M13" s="269" t="str">
        <f>IF(G13&lt;&gt;"",VLOOKUP(L13,TRANSMUTATION!$A$2:$B$14,2),"")</f>
        <v>INC</v>
      </c>
      <c r="N13" s="268" t="str">
        <f>IF(G13&lt;&gt;"",FINALS!AT13,"")</f>
        <v>-</v>
      </c>
      <c r="O13" s="269" t="str">
        <f>IF(G13&lt;&gt;"",VLOOKUP(N13,TRANSMUTATION!$A$2:$B$14,2),"")</f>
        <v>INC</v>
      </c>
      <c r="P13" s="270"/>
      <c r="Q13" s="268" t="str">
        <f t="shared" si="0"/>
        <v/>
      </c>
      <c r="R13" s="268" t="str">
        <f>IF(G13&lt;&gt;"",IF(Q13="","",VLOOKUP(Q13,TRANSMUTATION!$A$2:$B$14,2)),"")</f>
        <v/>
      </c>
      <c r="S13" s="271" t="str">
        <f t="shared" si="2"/>
        <v/>
      </c>
      <c r="T13" s="262"/>
      <c r="V13" s="443"/>
      <c r="W13" s="446"/>
      <c r="X13" s="447"/>
      <c r="Y13" s="447"/>
      <c r="Z13" s="447"/>
      <c r="AA13" s="447"/>
      <c r="AB13" s="447"/>
      <c r="AC13" s="447"/>
      <c r="AD13" s="447"/>
      <c r="AE13" s="447"/>
      <c r="AF13" s="447"/>
      <c r="AG13" s="447"/>
      <c r="AH13" s="447"/>
    </row>
    <row r="14" spans="2:41" s="99" customFormat="1" ht="17.100000000000001" customHeight="1" x14ac:dyDescent="0.2">
      <c r="B14" s="261"/>
      <c r="C14" s="340">
        <f t="shared" si="3"/>
        <v>8</v>
      </c>
      <c r="D14" s="265" t="str">
        <f t="shared" si="1"/>
        <v/>
      </c>
      <c r="E14" s="264" t="str">
        <f>(IF(Input!D15&lt;&gt;"",Input!D15,""))</f>
        <v>02000511957</v>
      </c>
      <c r="F14" s="266"/>
      <c r="G14" s="267" t="str">
        <f>(IF(Input!F15&lt;&gt;"",Input!F15,""))</f>
        <v>OLAYRES, PRINCESS ENOLVA</v>
      </c>
      <c r="H14" s="268">
        <f>IF(G14&lt;&gt;"",PRELIMS!AT14,"")</f>
        <v>72.88</v>
      </c>
      <c r="I14" s="269">
        <f>IF(G14&lt;&gt;"",VLOOKUP(H14,TRANSMUTATION!$A$2:$B$14,2),"")</f>
        <v>2.5</v>
      </c>
      <c r="J14" s="268">
        <f>IF(G14&lt;&gt;"",MIDTERM!AT14,"")</f>
        <v>37.5</v>
      </c>
      <c r="K14" s="269">
        <f>IF(G14&lt;&gt;"",VLOOKUP(J14,TRANSMUTATION!$A$2:$B$14,2),"")</f>
        <v>5</v>
      </c>
      <c r="L14" s="268" t="str">
        <f>IF(G14&lt;&gt;"",'PRE-FINALS'!AT14,"")</f>
        <v>-</v>
      </c>
      <c r="M14" s="269" t="str">
        <f>IF(G14&lt;&gt;"",VLOOKUP(L14,TRANSMUTATION!$A$2:$B$14,2),"")</f>
        <v>INC</v>
      </c>
      <c r="N14" s="268" t="str">
        <f>IF(G14&lt;&gt;"",FINALS!AT14,"")</f>
        <v>-</v>
      </c>
      <c r="O14" s="269" t="str">
        <f>IF(G14&lt;&gt;"",VLOOKUP(N14,TRANSMUTATION!$A$2:$B$14,2),"")</f>
        <v>INC</v>
      </c>
      <c r="P14" s="270"/>
      <c r="Q14" s="268" t="str">
        <f t="shared" si="0"/>
        <v/>
      </c>
      <c r="R14" s="268" t="str">
        <f>IF(G14&lt;&gt;"",IF(Q14="","",VLOOKUP(Q14,TRANSMUTATION!$A$2:$B$14,2)),"")</f>
        <v/>
      </c>
      <c r="S14" s="271" t="str">
        <f t="shared" si="2"/>
        <v>At risk</v>
      </c>
      <c r="T14" s="262"/>
      <c r="V14" s="443"/>
      <c r="W14" s="446"/>
      <c r="X14" s="447"/>
      <c r="Y14" s="447"/>
      <c r="Z14" s="447"/>
      <c r="AA14" s="447"/>
      <c r="AB14" s="447"/>
      <c r="AC14" s="447"/>
      <c r="AD14" s="447"/>
      <c r="AE14" s="447"/>
      <c r="AF14" s="447"/>
      <c r="AG14" s="447"/>
      <c r="AH14" s="447"/>
    </row>
    <row r="15" spans="2:41" s="99" customFormat="1" ht="17.100000000000001" customHeight="1" x14ac:dyDescent="0.2">
      <c r="B15" s="261"/>
      <c r="C15" s="340">
        <f t="shared" si="3"/>
        <v>9</v>
      </c>
      <c r="D15" s="265" t="str">
        <f t="shared" si="1"/>
        <v/>
      </c>
      <c r="E15" s="264" t="str">
        <f>(IF(Input!D16&lt;&gt;"",Input!D16,""))</f>
        <v>02000512988</v>
      </c>
      <c r="F15" s="266"/>
      <c r="G15" s="267" t="str">
        <f>(IF(Input!F16&lt;&gt;"",Input!F16,""))</f>
        <v>OSEA, SANTINO JOSHUA NUYDA</v>
      </c>
      <c r="H15" s="268">
        <f>IF(G15&lt;&gt;"",PRELIMS!AT15,"")</f>
        <v>90.76</v>
      </c>
      <c r="I15" s="269">
        <f>IF(G15&lt;&gt;"",VLOOKUP(H15,TRANSMUTATION!$A$2:$B$14,2),"")</f>
        <v>1.75</v>
      </c>
      <c r="J15" s="268">
        <f>IF(G15&lt;&gt;"",MIDTERM!AT15,"")</f>
        <v>37.619999999999997</v>
      </c>
      <c r="K15" s="269">
        <f>IF(G15&lt;&gt;"",VLOOKUP(J15,TRANSMUTATION!$A$2:$B$14,2),"")</f>
        <v>5</v>
      </c>
      <c r="L15" s="268" t="str">
        <f>IF(G15&lt;&gt;"",'PRE-FINALS'!AT15,"")</f>
        <v>-</v>
      </c>
      <c r="M15" s="269" t="str">
        <f>IF(G15&lt;&gt;"",VLOOKUP(L15,TRANSMUTATION!$A$2:$B$14,2),"")</f>
        <v>INC</v>
      </c>
      <c r="N15" s="268" t="str">
        <f>IF(G15&lt;&gt;"",FINALS!AT15,"")</f>
        <v>-</v>
      </c>
      <c r="O15" s="269" t="str">
        <f>IF(G15&lt;&gt;"",VLOOKUP(N15,TRANSMUTATION!$A$2:$B$14,2),"")</f>
        <v>INC</v>
      </c>
      <c r="P15" s="270"/>
      <c r="Q15" s="268" t="str">
        <f t="shared" si="0"/>
        <v/>
      </c>
      <c r="R15" s="268" t="str">
        <f>IF(G15&lt;&gt;"",IF(Q15="","",VLOOKUP(Q15,TRANSMUTATION!$A$2:$B$14,2)),"")</f>
        <v/>
      </c>
      <c r="S15" s="271" t="str">
        <f t="shared" si="2"/>
        <v/>
      </c>
      <c r="T15" s="262"/>
      <c r="V15" s="443"/>
      <c r="W15" s="446"/>
      <c r="X15" s="447"/>
      <c r="Y15" s="447"/>
      <c r="Z15" s="447"/>
      <c r="AA15" s="447"/>
      <c r="AB15" s="447"/>
      <c r="AC15" s="447"/>
      <c r="AD15" s="447"/>
      <c r="AE15" s="447"/>
      <c r="AF15" s="447"/>
      <c r="AG15" s="447"/>
      <c r="AH15" s="447"/>
    </row>
    <row r="16" spans="2:41" s="99" customFormat="1" ht="17.100000000000001" customHeight="1" x14ac:dyDescent="0.2">
      <c r="B16" s="261"/>
      <c r="C16" s="340">
        <f t="shared" si="3"/>
        <v>10</v>
      </c>
      <c r="D16" s="265" t="str">
        <f t="shared" si="1"/>
        <v/>
      </c>
      <c r="E16" s="264" t="str">
        <f>(IF(Input!D17&lt;&gt;"",Input!D17,""))</f>
        <v>02000509944</v>
      </c>
      <c r="F16" s="266"/>
      <c r="G16" s="267" t="str">
        <f>(IF(Input!F17&lt;&gt;"",Input!F17,""))</f>
        <v>RAMOS, RAFAH MORAL</v>
      </c>
      <c r="H16" s="268">
        <f>IF(G16&lt;&gt;"",PRELIMS!AT16,"")</f>
        <v>60.95</v>
      </c>
      <c r="I16" s="269">
        <f>IF(G16&lt;&gt;"",VLOOKUP(H16,TRANSMUTATION!$A$2:$B$14,2),"")</f>
        <v>3</v>
      </c>
      <c r="J16" s="268">
        <f>IF(G16&lt;&gt;"",MIDTERM!AT16,"")</f>
        <v>12.86</v>
      </c>
      <c r="K16" s="269">
        <f>IF(G16&lt;&gt;"",VLOOKUP(J16,TRANSMUTATION!$A$2:$B$14,2),"")</f>
        <v>5</v>
      </c>
      <c r="L16" s="268" t="str">
        <f>IF(G16&lt;&gt;"",'PRE-FINALS'!AT16,"")</f>
        <v>-</v>
      </c>
      <c r="M16" s="269" t="str">
        <f>IF(G16&lt;&gt;"",VLOOKUP(L16,TRANSMUTATION!$A$2:$B$14,2),"")</f>
        <v>INC</v>
      </c>
      <c r="N16" s="268" t="str">
        <f>IF(G16&lt;&gt;"",FINALS!AT16,"")</f>
        <v>-</v>
      </c>
      <c r="O16" s="269" t="str">
        <f>IF(G16&lt;&gt;"",VLOOKUP(N16,TRANSMUTATION!$A$2:$B$14,2),"")</f>
        <v>INC</v>
      </c>
      <c r="P16" s="270"/>
      <c r="Q16" s="268" t="str">
        <f t="shared" si="0"/>
        <v/>
      </c>
      <c r="R16" s="268" t="str">
        <f>IF(G16&lt;&gt;"",IF(Q16="","",VLOOKUP(Q16,TRANSMUTATION!$A$2:$B$14,2)),"")</f>
        <v/>
      </c>
      <c r="S16" s="271" t="str">
        <f t="shared" si="2"/>
        <v>At risk</v>
      </c>
      <c r="T16" s="262"/>
      <c r="V16" s="443"/>
      <c r="W16" s="446"/>
      <c r="X16" s="447"/>
      <c r="Y16" s="447"/>
      <c r="Z16" s="447"/>
      <c r="AA16" s="447"/>
      <c r="AB16" s="447"/>
      <c r="AC16" s="447"/>
      <c r="AD16" s="447"/>
      <c r="AE16" s="447"/>
      <c r="AF16" s="447"/>
      <c r="AG16" s="447"/>
      <c r="AH16" s="447"/>
    </row>
    <row r="17" spans="2:34" s="99" customFormat="1" ht="17.100000000000001" customHeight="1" x14ac:dyDescent="0.2">
      <c r="B17" s="261"/>
      <c r="C17" s="340">
        <f t="shared" si="3"/>
        <v>11</v>
      </c>
      <c r="D17" s="265" t="str">
        <f t="shared" si="1"/>
        <v/>
      </c>
      <c r="E17" s="264" t="str">
        <f>(IF(Input!D18&lt;&gt;"",Input!D18,""))</f>
        <v>02000492694</v>
      </c>
      <c r="F17" s="266"/>
      <c r="G17" s="267" t="str">
        <f>(IF(Input!F18&lt;&gt;"",Input!F18,""))</f>
        <v>RAYNES, RAISSEN ISAIAH NOCITO</v>
      </c>
      <c r="H17" s="268">
        <f>IF(G17&lt;&gt;"",PRELIMS!AT17,"")</f>
        <v>84.4</v>
      </c>
      <c r="I17" s="269">
        <f>IF(G17&lt;&gt;"",VLOOKUP(H17,TRANSMUTATION!$A$2:$B$14,2),"")</f>
        <v>2</v>
      </c>
      <c r="J17" s="268">
        <f>IF(G17&lt;&gt;"",MIDTERM!AT17,"")</f>
        <v>40.29</v>
      </c>
      <c r="K17" s="269">
        <f>IF(G17&lt;&gt;"",VLOOKUP(J17,TRANSMUTATION!$A$2:$B$14,2),"")</f>
        <v>5</v>
      </c>
      <c r="L17" s="268" t="str">
        <f>IF(G17&lt;&gt;"",'PRE-FINALS'!AT17,"")</f>
        <v>-</v>
      </c>
      <c r="M17" s="269" t="str">
        <f>IF(G17&lt;&gt;"",VLOOKUP(L17,TRANSMUTATION!$A$2:$B$14,2),"")</f>
        <v>INC</v>
      </c>
      <c r="N17" s="268" t="str">
        <f>IF(G17&lt;&gt;"",FINALS!AT17,"")</f>
        <v>-</v>
      </c>
      <c r="O17" s="269" t="str">
        <f>IF(G17&lt;&gt;"",VLOOKUP(N17,TRANSMUTATION!$A$2:$B$14,2),"")</f>
        <v>INC</v>
      </c>
      <c r="P17" s="270"/>
      <c r="Q17" s="268" t="str">
        <f t="shared" si="0"/>
        <v/>
      </c>
      <c r="R17" s="268" t="str">
        <f>IF(G17&lt;&gt;"",IF(Q17="","",VLOOKUP(Q17,TRANSMUTATION!$A$2:$B$14,2)),"")</f>
        <v/>
      </c>
      <c r="S17" s="271" t="str">
        <f t="shared" si="2"/>
        <v/>
      </c>
      <c r="T17" s="262"/>
      <c r="V17" s="443"/>
      <c r="W17" s="446"/>
      <c r="X17" s="447"/>
      <c r="Y17" s="447"/>
      <c r="Z17" s="447"/>
      <c r="AA17" s="447"/>
      <c r="AB17" s="447"/>
      <c r="AC17" s="447"/>
      <c r="AD17" s="447"/>
      <c r="AE17" s="447"/>
      <c r="AF17" s="447"/>
      <c r="AG17" s="447"/>
      <c r="AH17" s="447"/>
    </row>
    <row r="18" spans="2:34" s="99" customFormat="1" ht="17.100000000000001" customHeight="1" x14ac:dyDescent="0.2">
      <c r="B18" s="261"/>
      <c r="C18" s="340">
        <f t="shared" si="3"/>
        <v>12</v>
      </c>
      <c r="D18" s="265" t="str">
        <f t="shared" si="1"/>
        <v/>
      </c>
      <c r="E18" s="264" t="str">
        <f>(IF(Input!D19&lt;&gt;"",Input!D19,""))</f>
        <v>02000512583</v>
      </c>
      <c r="F18" s="266"/>
      <c r="G18" s="267" t="str">
        <f>(IF(Input!F19&lt;&gt;"",Input!F19,""))</f>
        <v>SANCHEZ, CASEY FIONA NOCUS</v>
      </c>
      <c r="H18" s="268">
        <f>IF(G18&lt;&gt;"",PRELIMS!AT18,"")</f>
        <v>81.56</v>
      </c>
      <c r="I18" s="269">
        <f>IF(G18&lt;&gt;"",VLOOKUP(H18,TRANSMUTATION!$A$2:$B$14,2),"")</f>
        <v>2</v>
      </c>
      <c r="J18" s="268">
        <f>IF(G18&lt;&gt;"",MIDTERM!AT18,"")</f>
        <v>54.25</v>
      </c>
      <c r="K18" s="269">
        <f>IF(G18&lt;&gt;"",VLOOKUP(J18,TRANSMUTATION!$A$2:$B$14,2),"")</f>
        <v>5</v>
      </c>
      <c r="L18" s="268" t="str">
        <f>IF(G18&lt;&gt;"",'PRE-FINALS'!AT18,"")</f>
        <v>-</v>
      </c>
      <c r="M18" s="269" t="str">
        <f>IF(G18&lt;&gt;"",VLOOKUP(L18,TRANSMUTATION!$A$2:$B$14,2),"")</f>
        <v>INC</v>
      </c>
      <c r="N18" s="268" t="str">
        <f>IF(G18&lt;&gt;"",FINALS!AT18,"")</f>
        <v>-</v>
      </c>
      <c r="O18" s="269" t="str">
        <f>IF(G18&lt;&gt;"",VLOOKUP(N18,TRANSMUTATION!$A$2:$B$14,2),"")</f>
        <v>INC</v>
      </c>
      <c r="P18" s="270"/>
      <c r="Q18" s="268" t="str">
        <f t="shared" si="0"/>
        <v/>
      </c>
      <c r="R18" s="268" t="str">
        <f>IF(G18&lt;&gt;"",IF(Q18="","",VLOOKUP(Q18,TRANSMUTATION!$A$2:$B$14,2)),"")</f>
        <v/>
      </c>
      <c r="S18" s="271" t="str">
        <f t="shared" si="2"/>
        <v/>
      </c>
      <c r="T18" s="262"/>
      <c r="V18" s="443"/>
      <c r="W18" s="446"/>
      <c r="X18" s="447"/>
      <c r="Y18" s="447"/>
      <c r="Z18" s="447"/>
      <c r="AA18" s="447"/>
      <c r="AB18" s="447"/>
      <c r="AC18" s="447"/>
      <c r="AD18" s="447"/>
      <c r="AE18" s="447"/>
      <c r="AF18" s="447"/>
      <c r="AG18" s="447"/>
      <c r="AH18" s="447"/>
    </row>
    <row r="19" spans="2:34" s="99" customFormat="1" ht="17.100000000000001" customHeight="1" x14ac:dyDescent="0.2">
      <c r="B19" s="261"/>
      <c r="C19" s="340">
        <f t="shared" si="3"/>
        <v>13</v>
      </c>
      <c r="D19" s="265" t="str">
        <f t="shared" si="1"/>
        <v/>
      </c>
      <c r="E19" s="264" t="str">
        <f>(IF(Input!D20&lt;&gt;"",Input!D20,""))</f>
        <v>02000510067</v>
      </c>
      <c r="F19" s="266"/>
      <c r="G19" s="267" t="str">
        <f>(IF(Input!F20&lt;&gt;"",Input!F20,""))</f>
        <v>SANOY, KARL ASHER MEDINA</v>
      </c>
      <c r="H19" s="268">
        <f>IF(G19&lt;&gt;"",PRELIMS!AT19,"")</f>
        <v>0</v>
      </c>
      <c r="I19" s="269">
        <f>IF(G19&lt;&gt;"",VLOOKUP(H19,TRANSMUTATION!$A$2:$B$14,2),"")</f>
        <v>5</v>
      </c>
      <c r="J19" s="268" t="str">
        <f>IF(G19&lt;&gt;"",MIDTERM!AT19,"")</f>
        <v>-</v>
      </c>
      <c r="K19" s="269" t="str">
        <f>IF(G19&lt;&gt;"",VLOOKUP(J19,TRANSMUTATION!$A$2:$B$14,2),"")</f>
        <v>INC</v>
      </c>
      <c r="L19" s="268" t="str">
        <f>IF(G19&lt;&gt;"",'PRE-FINALS'!AT19,"")</f>
        <v>-</v>
      </c>
      <c r="M19" s="269" t="str">
        <f>IF(G19&lt;&gt;"",VLOOKUP(L19,TRANSMUTATION!$A$2:$B$14,2),"")</f>
        <v>INC</v>
      </c>
      <c r="N19" s="268" t="str">
        <f>IF(G19&lt;&gt;"",FINALS!AT19,"")</f>
        <v>-</v>
      </c>
      <c r="O19" s="269" t="str">
        <f>IF(G19&lt;&gt;"",VLOOKUP(N19,TRANSMUTATION!$A$2:$B$14,2),"")</f>
        <v>INC</v>
      </c>
      <c r="P19" s="270"/>
      <c r="Q19" s="268" t="str">
        <f t="shared" si="0"/>
        <v/>
      </c>
      <c r="R19" s="268" t="str">
        <f>IF(G19&lt;&gt;"",IF(Q19="","",VLOOKUP(Q19,TRANSMUTATION!$A$2:$B$14,2)),"")</f>
        <v/>
      </c>
      <c r="S19" s="271" t="str">
        <f t="shared" si="2"/>
        <v>At risk</v>
      </c>
      <c r="T19" s="262"/>
      <c r="V19" s="443"/>
      <c r="W19" s="446"/>
      <c r="X19" s="447"/>
      <c r="Y19" s="447"/>
      <c r="Z19" s="447"/>
      <c r="AA19" s="447"/>
      <c r="AB19" s="447"/>
      <c r="AC19" s="447"/>
      <c r="AD19" s="447"/>
      <c r="AE19" s="447"/>
      <c r="AF19" s="447"/>
      <c r="AG19" s="447"/>
      <c r="AH19" s="447"/>
    </row>
    <row r="20" spans="2:34" s="99" customFormat="1" ht="17.100000000000001" customHeight="1" x14ac:dyDescent="0.2">
      <c r="B20" s="261"/>
      <c r="C20" s="340">
        <f t="shared" si="3"/>
        <v>14</v>
      </c>
      <c r="D20" s="265" t="str">
        <f t="shared" si="1"/>
        <v/>
      </c>
      <c r="E20" s="264" t="str">
        <f>(IF(Input!D21&lt;&gt;"",Input!D21,""))</f>
        <v>02000511216</v>
      </c>
      <c r="F20" s="266"/>
      <c r="G20" s="267" t="str">
        <f>(IF(Input!F21&lt;&gt;"",Input!F21,""))</f>
        <v>TENORIO, JENINA ROSE TIBATIB</v>
      </c>
      <c r="H20" s="268">
        <f>IF(G20&lt;&gt;"",PRELIMS!AT20,"")</f>
        <v>74.290000000000006</v>
      </c>
      <c r="I20" s="269">
        <f>IF(G20&lt;&gt;"",VLOOKUP(H20,TRANSMUTATION!$A$2:$B$14,2),"")</f>
        <v>2.5</v>
      </c>
      <c r="J20" s="268">
        <f>IF(G20&lt;&gt;"",MIDTERM!AT20,"")</f>
        <v>15.71</v>
      </c>
      <c r="K20" s="269">
        <f>IF(G20&lt;&gt;"",VLOOKUP(J20,TRANSMUTATION!$A$2:$B$14,2),"")</f>
        <v>5</v>
      </c>
      <c r="L20" s="268" t="str">
        <f>IF(G20&lt;&gt;"",'PRE-FINALS'!AT20,"")</f>
        <v>-</v>
      </c>
      <c r="M20" s="269" t="str">
        <f>IF(G20&lt;&gt;"",VLOOKUP(L20,TRANSMUTATION!$A$2:$B$14,2),"")</f>
        <v>INC</v>
      </c>
      <c r="N20" s="268" t="str">
        <f>IF(G20&lt;&gt;"",FINALS!AT20,"")</f>
        <v>-</v>
      </c>
      <c r="O20" s="269" t="str">
        <f>IF(G20&lt;&gt;"",VLOOKUP(N20,TRANSMUTATION!$A$2:$B$14,2),"")</f>
        <v>INC</v>
      </c>
      <c r="P20" s="270"/>
      <c r="Q20" s="268" t="str">
        <f t="shared" si="0"/>
        <v/>
      </c>
      <c r="R20" s="268" t="str">
        <f>IF(G20&lt;&gt;"",IF(Q20="","",VLOOKUP(Q20,TRANSMUTATION!$A$2:$B$14,2)),"")</f>
        <v/>
      </c>
      <c r="S20" s="271" t="str">
        <f t="shared" si="2"/>
        <v>At risk</v>
      </c>
      <c r="T20" s="262"/>
      <c r="V20" s="443"/>
      <c r="W20" s="446"/>
      <c r="X20" s="447"/>
      <c r="Y20" s="447"/>
      <c r="Z20" s="447"/>
      <c r="AA20" s="447"/>
      <c r="AB20" s="447"/>
      <c r="AC20" s="447"/>
      <c r="AD20" s="447"/>
      <c r="AE20" s="447"/>
      <c r="AF20" s="447"/>
      <c r="AG20" s="447"/>
      <c r="AH20" s="447"/>
    </row>
    <row r="21" spans="2:34" s="99" customFormat="1" ht="17.100000000000001" customHeight="1" x14ac:dyDescent="0.2">
      <c r="B21" s="261"/>
      <c r="C21" s="340">
        <f t="shared" si="3"/>
        <v>15</v>
      </c>
      <c r="D21" s="265" t="str">
        <f t="shared" si="1"/>
        <v/>
      </c>
      <c r="E21" s="264" t="str">
        <f>(IF(Input!D22&lt;&gt;"",Input!D22,""))</f>
        <v>02000402782</v>
      </c>
      <c r="F21" s="266"/>
      <c r="G21" s="267" t="str">
        <f>(IF(Input!F22&lt;&gt;"",Input!F22,""))</f>
        <v>TUAZON, PHOEBE RONTAS</v>
      </c>
      <c r="H21" s="268">
        <f>IF(G21&lt;&gt;"",PRELIMS!AT21,"")</f>
        <v>94.31</v>
      </c>
      <c r="I21" s="269">
        <f>IF(G21&lt;&gt;"",VLOOKUP(H21,TRANSMUTATION!$A$2:$B$14,2),"")</f>
        <v>1.5</v>
      </c>
      <c r="J21" s="268">
        <f>IF(G21&lt;&gt;"",MIDTERM!AT21,"")</f>
        <v>54.77</v>
      </c>
      <c r="K21" s="269">
        <f>IF(G21&lt;&gt;"",VLOOKUP(J21,TRANSMUTATION!$A$2:$B$14,2),"")</f>
        <v>5</v>
      </c>
      <c r="L21" s="268" t="str">
        <f>IF(G21&lt;&gt;"",'PRE-FINALS'!AT21,"")</f>
        <v>-</v>
      </c>
      <c r="M21" s="269" t="str">
        <f>IF(G21&lt;&gt;"",VLOOKUP(L21,TRANSMUTATION!$A$2:$B$14,2),"")</f>
        <v>INC</v>
      </c>
      <c r="N21" s="268" t="str">
        <f>IF(G21&lt;&gt;"",FINALS!AT21,"")</f>
        <v>-</v>
      </c>
      <c r="O21" s="269" t="str">
        <f>IF(G21&lt;&gt;"",VLOOKUP(N21,TRANSMUTATION!$A$2:$B$14,2),"")</f>
        <v>INC</v>
      </c>
      <c r="P21" s="270"/>
      <c r="Q21" s="268" t="str">
        <f t="shared" si="0"/>
        <v/>
      </c>
      <c r="R21" s="268" t="str">
        <f>IF(G21&lt;&gt;"",IF(Q21="","",VLOOKUP(Q21,TRANSMUTATION!$A$2:$B$14,2)),"")</f>
        <v/>
      </c>
      <c r="S21" s="271" t="str">
        <f t="shared" si="2"/>
        <v/>
      </c>
      <c r="T21" s="262"/>
      <c r="V21" s="443"/>
      <c r="W21" s="446"/>
      <c r="X21" s="447"/>
      <c r="Y21" s="447"/>
      <c r="Z21" s="447"/>
      <c r="AA21" s="447"/>
      <c r="AB21" s="447"/>
      <c r="AC21" s="447"/>
      <c r="AD21" s="447"/>
      <c r="AE21" s="447"/>
      <c r="AF21" s="447"/>
      <c r="AG21" s="447"/>
      <c r="AH21" s="447"/>
    </row>
    <row r="22" spans="2:34" s="99" customFormat="1" ht="17.100000000000001" customHeight="1" x14ac:dyDescent="0.2">
      <c r="B22" s="261"/>
      <c r="C22" s="340">
        <f t="shared" si="3"/>
        <v>16</v>
      </c>
      <c r="D22" s="265" t="str">
        <f t="shared" si="1"/>
        <v/>
      </c>
      <c r="E22" s="264" t="str">
        <f>(IF(Input!D23&lt;&gt;"",Input!D23,""))</f>
        <v>02000511382</v>
      </c>
      <c r="F22" s="266"/>
      <c r="G22" s="267" t="str">
        <f>(IF(Input!F23&lt;&gt;"",Input!F23,""))</f>
        <v>TUMACAG, JOHN RAVE VALERA</v>
      </c>
      <c r="H22" s="268">
        <f>IF(G22&lt;&gt;"",PRELIMS!AT22,"")</f>
        <v>70.77</v>
      </c>
      <c r="I22" s="269">
        <f>IF(G22&lt;&gt;"",VLOOKUP(H22,TRANSMUTATION!$A$2:$B$14,2),"")</f>
        <v>2.5</v>
      </c>
      <c r="J22" s="268">
        <f>IF(G22&lt;&gt;"",MIDTERM!AT22,"")</f>
        <v>52.3</v>
      </c>
      <c r="K22" s="269">
        <f>IF(G22&lt;&gt;"",VLOOKUP(J22,TRANSMUTATION!$A$2:$B$14,2),"")</f>
        <v>5</v>
      </c>
      <c r="L22" s="268" t="str">
        <f>IF(G22&lt;&gt;"",'PRE-FINALS'!AT22,"")</f>
        <v>-</v>
      </c>
      <c r="M22" s="269" t="str">
        <f>IF(G22&lt;&gt;"",VLOOKUP(L22,TRANSMUTATION!$A$2:$B$14,2),"")</f>
        <v>INC</v>
      </c>
      <c r="N22" s="268" t="str">
        <f>IF(G22&lt;&gt;"",FINALS!AT22,"")</f>
        <v>-</v>
      </c>
      <c r="O22" s="269" t="str">
        <f>IF(G22&lt;&gt;"",VLOOKUP(N22,TRANSMUTATION!$A$2:$B$14,2),"")</f>
        <v>INC</v>
      </c>
      <c r="P22" s="270"/>
      <c r="Q22" s="268" t="str">
        <f t="shared" si="0"/>
        <v/>
      </c>
      <c r="R22" s="268" t="str">
        <f>IF(G22&lt;&gt;"",IF(Q22="","",VLOOKUP(Q22,TRANSMUTATION!$A$2:$B$14,2)),"")</f>
        <v/>
      </c>
      <c r="S22" s="271" t="str">
        <f t="shared" si="2"/>
        <v/>
      </c>
      <c r="T22" s="262"/>
      <c r="V22" s="443"/>
      <c r="W22" s="446"/>
      <c r="X22" s="447"/>
      <c r="Y22" s="447"/>
      <c r="Z22" s="447"/>
      <c r="AA22" s="447"/>
      <c r="AB22" s="447"/>
      <c r="AC22" s="447"/>
      <c r="AD22" s="447"/>
      <c r="AE22" s="447"/>
      <c r="AF22" s="447"/>
      <c r="AG22" s="447"/>
      <c r="AH22" s="447"/>
    </row>
    <row r="23" spans="2:34" s="99" customFormat="1" ht="17.100000000000001" customHeight="1" x14ac:dyDescent="0.2">
      <c r="B23" s="261"/>
      <c r="C23" s="340">
        <f t="shared" si="3"/>
        <v>17</v>
      </c>
      <c r="D23" s="265" t="str">
        <f t="shared" si="1"/>
        <v/>
      </c>
      <c r="E23" s="264" t="str">
        <f>(IF(Input!D24&lt;&gt;"",Input!D24,""))</f>
        <v>02000301305</v>
      </c>
      <c r="F23" s="266"/>
      <c r="G23" s="267" t="str">
        <f>(IF(Input!F24&lt;&gt;"",Input!F24,""))</f>
        <v>UMALI, RINZO CAMU</v>
      </c>
      <c r="H23" s="268">
        <f>IF(G23&lt;&gt;"",PRELIMS!AT23,"")</f>
        <v>60.06</v>
      </c>
      <c r="I23" s="269">
        <f>IF(G23&lt;&gt;"",VLOOKUP(H23,TRANSMUTATION!$A$2:$B$14,2),"")</f>
        <v>3</v>
      </c>
      <c r="J23" s="268" t="str">
        <f>IF(G23&lt;&gt;"",MIDTERM!AT23,"")</f>
        <v>-</v>
      </c>
      <c r="K23" s="269" t="str">
        <f>IF(G23&lt;&gt;"",VLOOKUP(J23,TRANSMUTATION!$A$2:$B$14,2),"")</f>
        <v>INC</v>
      </c>
      <c r="L23" s="268" t="str">
        <f>IF(G23&lt;&gt;"",'PRE-FINALS'!AT23,"")</f>
        <v>-</v>
      </c>
      <c r="M23" s="269" t="str">
        <f>IF(G23&lt;&gt;"",VLOOKUP(L23,TRANSMUTATION!$A$2:$B$14,2),"")</f>
        <v>INC</v>
      </c>
      <c r="N23" s="268" t="str">
        <f>IF(G23&lt;&gt;"",FINALS!AT23,"")</f>
        <v>-</v>
      </c>
      <c r="O23" s="269" t="str">
        <f>IF(G23&lt;&gt;"",VLOOKUP(N23,TRANSMUTATION!$A$2:$B$14,2),"")</f>
        <v>INC</v>
      </c>
      <c r="P23" s="270"/>
      <c r="Q23" s="268" t="str">
        <f t="shared" si="0"/>
        <v/>
      </c>
      <c r="R23" s="268" t="str">
        <f>IF(G23&lt;&gt;"",IF(Q23="","",VLOOKUP(Q23,TRANSMUTATION!$A$2:$B$14,2)),"")</f>
        <v/>
      </c>
      <c r="S23" s="271" t="str">
        <f t="shared" si="2"/>
        <v/>
      </c>
      <c r="T23" s="262"/>
      <c r="V23" s="443"/>
      <c r="W23" s="446"/>
      <c r="X23" s="447"/>
      <c r="Y23" s="447"/>
      <c r="Z23" s="447"/>
      <c r="AA23" s="447"/>
      <c r="AB23" s="447"/>
      <c r="AC23" s="447"/>
      <c r="AD23" s="447"/>
      <c r="AE23" s="447"/>
      <c r="AF23" s="447"/>
      <c r="AG23" s="447"/>
      <c r="AH23" s="447"/>
    </row>
    <row r="24" spans="2:34" s="99" customFormat="1" ht="17.100000000000001" customHeight="1" x14ac:dyDescent="0.2">
      <c r="B24" s="261"/>
      <c r="C24" s="340">
        <f t="shared" si="3"/>
        <v>18</v>
      </c>
      <c r="D24" s="265" t="str">
        <f t="shared" si="1"/>
        <v/>
      </c>
      <c r="E24" s="264" t="str">
        <f>(IF(Input!D25&lt;&gt;"",Input!D25,""))</f>
        <v/>
      </c>
      <c r="F24" s="266"/>
      <c r="G24" s="267" t="str">
        <f>(IF(Input!F25&lt;&gt;"",Input!F25,""))</f>
        <v/>
      </c>
      <c r="H24" s="268" t="str">
        <f>IF(G24&lt;&gt;"",PRELIMS!AT24,"")</f>
        <v/>
      </c>
      <c r="I24" s="269" t="str">
        <f>IF(G24&lt;&gt;"",VLOOKUP(H24,TRANSMUTATION!$A$2:$B$14,2),"")</f>
        <v/>
      </c>
      <c r="J24" s="268" t="str">
        <f>IF(G24&lt;&gt;"",MIDTERM!AT24,"")</f>
        <v/>
      </c>
      <c r="K24" s="269" t="str">
        <f>IF(G24&lt;&gt;"",VLOOKUP(J24,TRANSMUTATION!$A$2:$B$14,2),"")</f>
        <v/>
      </c>
      <c r="L24" s="268" t="str">
        <f>IF(G24&lt;&gt;"",'PRE-FINALS'!AT24,"")</f>
        <v/>
      </c>
      <c r="M24" s="269" t="str">
        <f>IF(G24&lt;&gt;"",VLOOKUP(L24,TRANSMUTATION!$A$2:$B$14,2),"")</f>
        <v/>
      </c>
      <c r="N24" s="268" t="str">
        <f>IF(G24&lt;&gt;"",FINALS!AT24,"")</f>
        <v/>
      </c>
      <c r="O24" s="269" t="str">
        <f>IF(G24&lt;&gt;"",VLOOKUP(N24,TRANSMUTATION!$A$2:$B$14,2),"")</f>
        <v/>
      </c>
      <c r="P24" s="270"/>
      <c r="Q24" s="268" t="str">
        <f t="shared" si="0"/>
        <v/>
      </c>
      <c r="R24" s="268" t="str">
        <f>IF(G24&lt;&gt;"",IF(Q24="","",VLOOKUP(Q24,TRANSMUTATION!$A$2:$B$14,2)),"")</f>
        <v/>
      </c>
      <c r="S24" s="271" t="str">
        <f t="shared" si="2"/>
        <v/>
      </c>
      <c r="T24" s="262"/>
      <c r="V24" s="443"/>
      <c r="W24" s="446"/>
      <c r="X24" s="447"/>
      <c r="Y24" s="447"/>
      <c r="Z24" s="447"/>
      <c r="AA24" s="447"/>
      <c r="AB24" s="447"/>
      <c r="AC24" s="447"/>
      <c r="AD24" s="447"/>
      <c r="AE24" s="447"/>
      <c r="AF24" s="447"/>
      <c r="AG24" s="447"/>
      <c r="AH24" s="447"/>
    </row>
    <row r="25" spans="2:34" s="99" customFormat="1" ht="17.100000000000001" customHeight="1" x14ac:dyDescent="0.2">
      <c r="B25" s="261"/>
      <c r="C25" s="340">
        <f t="shared" si="3"/>
        <v>19</v>
      </c>
      <c r="D25" s="265" t="str">
        <f t="shared" si="1"/>
        <v/>
      </c>
      <c r="E25" s="264" t="str">
        <f>(IF(Input!D26&lt;&gt;"",Input!D26,""))</f>
        <v/>
      </c>
      <c r="F25" s="266"/>
      <c r="G25" s="267" t="str">
        <f>(IF(Input!F26&lt;&gt;"",Input!F26,""))</f>
        <v/>
      </c>
      <c r="H25" s="268" t="str">
        <f>IF(G25&lt;&gt;"",PRELIMS!AT25,"")</f>
        <v/>
      </c>
      <c r="I25" s="269" t="str">
        <f>IF(G25&lt;&gt;"",VLOOKUP(H25,TRANSMUTATION!$A$2:$B$14,2),"")</f>
        <v/>
      </c>
      <c r="J25" s="268" t="str">
        <f>IF(G25&lt;&gt;"",MIDTERM!AT25,"")</f>
        <v/>
      </c>
      <c r="K25" s="269" t="str">
        <f>IF(G25&lt;&gt;"",VLOOKUP(J25,TRANSMUTATION!$A$2:$B$14,2),"")</f>
        <v/>
      </c>
      <c r="L25" s="268" t="str">
        <f>IF(G25&lt;&gt;"",'PRE-FINALS'!AT25,"")</f>
        <v/>
      </c>
      <c r="M25" s="269" t="str">
        <f>IF(G25&lt;&gt;"",VLOOKUP(L25,TRANSMUTATION!$A$2:$B$14,2),"")</f>
        <v/>
      </c>
      <c r="N25" s="268" t="str">
        <f>IF(G25&lt;&gt;"",FINALS!AT25,"")</f>
        <v/>
      </c>
      <c r="O25" s="269" t="str">
        <f>IF(G25&lt;&gt;"",VLOOKUP(N25,TRANSMUTATION!$A$2:$B$14,2),"")</f>
        <v/>
      </c>
      <c r="P25" s="270"/>
      <c r="Q25" s="268" t="str">
        <f t="shared" si="0"/>
        <v/>
      </c>
      <c r="R25" s="268" t="str">
        <f>IF(G25&lt;&gt;"",IF(Q25="","",VLOOKUP(Q25,TRANSMUTATION!$A$2:$B$14,2)),"")</f>
        <v/>
      </c>
      <c r="S25" s="271" t="str">
        <f t="shared" si="2"/>
        <v/>
      </c>
      <c r="T25" s="262"/>
      <c r="V25" s="443"/>
      <c r="W25" s="446"/>
      <c r="X25" s="447"/>
      <c r="Y25" s="447"/>
      <c r="Z25" s="447"/>
      <c r="AA25" s="447"/>
      <c r="AB25" s="447"/>
      <c r="AC25" s="447"/>
      <c r="AD25" s="447"/>
      <c r="AE25" s="447"/>
      <c r="AF25" s="447"/>
      <c r="AG25" s="447"/>
      <c r="AH25" s="447"/>
    </row>
    <row r="26" spans="2:34" s="99" customFormat="1" ht="17.100000000000001" customHeight="1" x14ac:dyDescent="0.2">
      <c r="B26" s="261"/>
      <c r="C26" s="340">
        <f t="shared" si="3"/>
        <v>20</v>
      </c>
      <c r="D26" s="265" t="str">
        <f t="shared" si="1"/>
        <v/>
      </c>
      <c r="E26" s="264" t="str">
        <f>(IF(Input!D27&lt;&gt;"",Input!D27,""))</f>
        <v/>
      </c>
      <c r="F26" s="266"/>
      <c r="G26" s="267" t="str">
        <f>(IF(Input!F27&lt;&gt;"",Input!F27,""))</f>
        <v/>
      </c>
      <c r="H26" s="268" t="str">
        <f>IF(G26&lt;&gt;"",PRELIMS!AT26,"")</f>
        <v/>
      </c>
      <c r="I26" s="269" t="str">
        <f>IF(G26&lt;&gt;"",VLOOKUP(H26,TRANSMUTATION!$A$2:$B$14,2),"")</f>
        <v/>
      </c>
      <c r="J26" s="268" t="str">
        <f>IF(G26&lt;&gt;"",MIDTERM!AT26,"")</f>
        <v/>
      </c>
      <c r="K26" s="269" t="str">
        <f>IF(G26&lt;&gt;"",VLOOKUP(J26,TRANSMUTATION!$A$2:$B$14,2),"")</f>
        <v/>
      </c>
      <c r="L26" s="268" t="str">
        <f>IF(G26&lt;&gt;"",'PRE-FINALS'!AT26,"")</f>
        <v/>
      </c>
      <c r="M26" s="269" t="str">
        <f>IF(G26&lt;&gt;"",VLOOKUP(L26,TRANSMUTATION!$A$2:$B$14,2),"")</f>
        <v/>
      </c>
      <c r="N26" s="268" t="str">
        <f>IF(G26&lt;&gt;"",FINALS!AT26,"")</f>
        <v/>
      </c>
      <c r="O26" s="269" t="str">
        <f>IF(G26&lt;&gt;"",VLOOKUP(N26,TRANSMUTATION!$A$2:$B$14,2),"")</f>
        <v/>
      </c>
      <c r="P26" s="270"/>
      <c r="Q26" s="268" t="str">
        <f t="shared" si="0"/>
        <v/>
      </c>
      <c r="R26" s="268" t="str">
        <f>IF(G26&lt;&gt;"",IF(Q26="","",VLOOKUP(Q26,TRANSMUTATION!$A$2:$B$14,2)),"")</f>
        <v/>
      </c>
      <c r="S26" s="271" t="str">
        <f t="shared" si="2"/>
        <v/>
      </c>
      <c r="T26" s="262"/>
      <c r="V26" s="443"/>
      <c r="W26" s="446"/>
      <c r="X26" s="447"/>
      <c r="Y26" s="447"/>
      <c r="Z26" s="447"/>
      <c r="AA26" s="447"/>
      <c r="AB26" s="447"/>
      <c r="AC26" s="447"/>
      <c r="AD26" s="447"/>
      <c r="AE26" s="447"/>
      <c r="AF26" s="447"/>
      <c r="AG26" s="447"/>
      <c r="AH26" s="447"/>
    </row>
    <row r="27" spans="2:34" s="99" customFormat="1" ht="17.100000000000001" customHeight="1" x14ac:dyDescent="0.2">
      <c r="B27" s="261"/>
      <c r="C27" s="340">
        <f t="shared" si="3"/>
        <v>21</v>
      </c>
      <c r="D27" s="265" t="str">
        <f t="shared" si="1"/>
        <v/>
      </c>
      <c r="E27" s="264" t="str">
        <f>(IF(Input!D28&lt;&gt;"",Input!D28,""))</f>
        <v/>
      </c>
      <c r="F27" s="266"/>
      <c r="G27" s="267" t="str">
        <f>(IF(Input!F28&lt;&gt;"",Input!F28,""))</f>
        <v/>
      </c>
      <c r="H27" s="268" t="str">
        <f>IF(G27&lt;&gt;"",PRELIMS!AT27,"")</f>
        <v/>
      </c>
      <c r="I27" s="269" t="str">
        <f>IF(G27&lt;&gt;"",VLOOKUP(H27,TRANSMUTATION!$A$2:$B$14,2),"")</f>
        <v/>
      </c>
      <c r="J27" s="268" t="str">
        <f>IF(G27&lt;&gt;"",MIDTERM!AT27,"")</f>
        <v/>
      </c>
      <c r="K27" s="269" t="str">
        <f>IF(G27&lt;&gt;"",VLOOKUP(J27,TRANSMUTATION!$A$2:$B$14,2),"")</f>
        <v/>
      </c>
      <c r="L27" s="268" t="str">
        <f>IF(G27&lt;&gt;"",'PRE-FINALS'!AT27,"")</f>
        <v/>
      </c>
      <c r="M27" s="269" t="str">
        <f>IF(G27&lt;&gt;"",VLOOKUP(L27,TRANSMUTATION!$A$2:$B$14,2),"")</f>
        <v/>
      </c>
      <c r="N27" s="268" t="str">
        <f>IF(G27&lt;&gt;"",FINALS!AT27,"")</f>
        <v/>
      </c>
      <c r="O27" s="269" t="str">
        <f>IF(G27&lt;&gt;"",VLOOKUP(N27,TRANSMUTATION!$A$2:$B$14,2),"")</f>
        <v/>
      </c>
      <c r="P27" s="270"/>
      <c r="Q27" s="268" t="str">
        <f t="shared" si="0"/>
        <v/>
      </c>
      <c r="R27" s="268" t="str">
        <f>IF(G27&lt;&gt;"",IF(Q27="","",VLOOKUP(Q27,TRANSMUTATION!$A$2:$B$14,2)),"")</f>
        <v/>
      </c>
      <c r="S27" s="271" t="str">
        <f t="shared" si="2"/>
        <v/>
      </c>
      <c r="T27" s="262"/>
      <c r="V27" s="443"/>
      <c r="W27" s="446"/>
      <c r="X27" s="447"/>
      <c r="Y27" s="447"/>
      <c r="Z27" s="447"/>
      <c r="AA27" s="447"/>
      <c r="AB27" s="447"/>
      <c r="AC27" s="447"/>
      <c r="AD27" s="447"/>
      <c r="AE27" s="447"/>
      <c r="AF27" s="447"/>
      <c r="AG27" s="447"/>
      <c r="AH27" s="447"/>
    </row>
    <row r="28" spans="2:34" s="99" customFormat="1" ht="17.100000000000001" customHeight="1" x14ac:dyDescent="0.2">
      <c r="B28" s="261"/>
      <c r="C28" s="340">
        <f t="shared" si="3"/>
        <v>22</v>
      </c>
      <c r="D28" s="265" t="str">
        <f t="shared" si="1"/>
        <v/>
      </c>
      <c r="E28" s="264" t="str">
        <f>(IF(Input!D29&lt;&gt;"",Input!D29,""))</f>
        <v/>
      </c>
      <c r="F28" s="266"/>
      <c r="G28" s="267" t="str">
        <f>(IF(Input!F29&lt;&gt;"",Input!F29,""))</f>
        <v/>
      </c>
      <c r="H28" s="268" t="str">
        <f>IF(G28&lt;&gt;"",PRELIMS!AT28,"")</f>
        <v/>
      </c>
      <c r="I28" s="269" t="str">
        <f>IF(G28&lt;&gt;"",VLOOKUP(H28,TRANSMUTATION!$A$2:$B$14,2),"")</f>
        <v/>
      </c>
      <c r="J28" s="268" t="str">
        <f>IF(G28&lt;&gt;"",MIDTERM!AT28,"")</f>
        <v/>
      </c>
      <c r="K28" s="269" t="str">
        <f>IF(G28&lt;&gt;"",VLOOKUP(J28,TRANSMUTATION!$A$2:$B$14,2),"")</f>
        <v/>
      </c>
      <c r="L28" s="268" t="str">
        <f>IF(G28&lt;&gt;"",'PRE-FINALS'!AT28,"")</f>
        <v/>
      </c>
      <c r="M28" s="269" t="str">
        <f>IF(G28&lt;&gt;"",VLOOKUP(L28,TRANSMUTATION!$A$2:$B$14,2),"")</f>
        <v/>
      </c>
      <c r="N28" s="268" t="str">
        <f>IF(G28&lt;&gt;"",FINALS!AT28,"")</f>
        <v/>
      </c>
      <c r="O28" s="269" t="str">
        <f>IF(G28&lt;&gt;"",VLOOKUP(N28,TRANSMUTATION!$A$2:$B$14,2),"")</f>
        <v/>
      </c>
      <c r="P28" s="270"/>
      <c r="Q28" s="268" t="str">
        <f t="shared" si="0"/>
        <v/>
      </c>
      <c r="R28" s="268" t="str">
        <f>IF(G28&lt;&gt;"",IF(Q28="","",VLOOKUP(Q28,TRANSMUTATION!$A$2:$B$14,2)),"")</f>
        <v/>
      </c>
      <c r="S28" s="271" t="str">
        <f t="shared" si="2"/>
        <v/>
      </c>
      <c r="T28" s="262"/>
      <c r="V28" s="443"/>
      <c r="W28" s="446"/>
      <c r="X28" s="447"/>
      <c r="Y28" s="447"/>
      <c r="Z28" s="447"/>
      <c r="AA28" s="447"/>
      <c r="AB28" s="447"/>
      <c r="AC28" s="447"/>
      <c r="AD28" s="447"/>
      <c r="AE28" s="447"/>
      <c r="AF28" s="447"/>
      <c r="AG28" s="447"/>
      <c r="AH28" s="447"/>
    </row>
    <row r="29" spans="2:34" s="99" customFormat="1" ht="17.100000000000001" customHeight="1" x14ac:dyDescent="0.2">
      <c r="B29" s="261"/>
      <c r="C29" s="340">
        <f t="shared" si="3"/>
        <v>23</v>
      </c>
      <c r="D29" s="265" t="str">
        <f t="shared" si="1"/>
        <v/>
      </c>
      <c r="E29" s="264" t="str">
        <f>(IF(Input!D30&lt;&gt;"",Input!D30,""))</f>
        <v/>
      </c>
      <c r="F29" s="266"/>
      <c r="G29" s="267" t="str">
        <f>(IF(Input!F30&lt;&gt;"",Input!F30,""))</f>
        <v/>
      </c>
      <c r="H29" s="268" t="str">
        <f>IF(G29&lt;&gt;"",PRELIMS!AT29,"")</f>
        <v/>
      </c>
      <c r="I29" s="269" t="str">
        <f>IF(G29&lt;&gt;"",VLOOKUP(H29,TRANSMUTATION!$A$2:$B$14,2),"")</f>
        <v/>
      </c>
      <c r="J29" s="268" t="str">
        <f>IF(G29&lt;&gt;"",MIDTERM!AT29,"")</f>
        <v/>
      </c>
      <c r="K29" s="269" t="str">
        <f>IF(G29&lt;&gt;"",VLOOKUP(J29,TRANSMUTATION!$A$2:$B$14,2),"")</f>
        <v/>
      </c>
      <c r="L29" s="268" t="str">
        <f>IF(G29&lt;&gt;"",'PRE-FINALS'!AT29,"")</f>
        <v/>
      </c>
      <c r="M29" s="269" t="str">
        <f>IF(G29&lt;&gt;"",VLOOKUP(L29,TRANSMUTATION!$A$2:$B$14,2),"")</f>
        <v/>
      </c>
      <c r="N29" s="268" t="str">
        <f>IF(G29&lt;&gt;"",FINALS!AT29,"")</f>
        <v/>
      </c>
      <c r="O29" s="269" t="str">
        <f>IF(G29&lt;&gt;"",VLOOKUP(N29,TRANSMUTATION!$A$2:$B$14,2),"")</f>
        <v/>
      </c>
      <c r="P29" s="270"/>
      <c r="Q29" s="268" t="str">
        <f t="shared" si="0"/>
        <v/>
      </c>
      <c r="R29" s="268" t="str">
        <f>IF(G29&lt;&gt;"",IF(Q29="","",VLOOKUP(Q29,TRANSMUTATION!$A$2:$B$14,2)),"")</f>
        <v/>
      </c>
      <c r="S29" s="271" t="str">
        <f t="shared" si="2"/>
        <v/>
      </c>
      <c r="T29" s="262"/>
      <c r="V29" s="443"/>
      <c r="W29" s="446"/>
      <c r="X29" s="447"/>
      <c r="Y29" s="447"/>
      <c r="Z29" s="447"/>
      <c r="AA29" s="447"/>
      <c r="AB29" s="447"/>
      <c r="AC29" s="447"/>
      <c r="AD29" s="447"/>
      <c r="AE29" s="447"/>
      <c r="AF29" s="447"/>
      <c r="AG29" s="447"/>
      <c r="AH29" s="447"/>
    </row>
    <row r="30" spans="2:34" s="99" customFormat="1" ht="17.100000000000001" customHeight="1" x14ac:dyDescent="0.2">
      <c r="B30" s="261"/>
      <c r="C30" s="340">
        <f t="shared" si="3"/>
        <v>24</v>
      </c>
      <c r="D30" s="265" t="str">
        <f t="shared" si="1"/>
        <v/>
      </c>
      <c r="E30" s="264" t="str">
        <f>(IF(Input!D31&lt;&gt;"",Input!D31,""))</f>
        <v/>
      </c>
      <c r="F30" s="266"/>
      <c r="G30" s="267" t="str">
        <f>(IF(Input!F31&lt;&gt;"",Input!F31,""))</f>
        <v/>
      </c>
      <c r="H30" s="268" t="str">
        <f>IF(G30&lt;&gt;"",PRELIMS!AT30,"")</f>
        <v/>
      </c>
      <c r="I30" s="269" t="str">
        <f>IF(G30&lt;&gt;"",VLOOKUP(H30,TRANSMUTATION!$A$2:$B$14,2),"")</f>
        <v/>
      </c>
      <c r="J30" s="268" t="str">
        <f>IF(G30&lt;&gt;"",MIDTERM!AT30,"")</f>
        <v/>
      </c>
      <c r="K30" s="269" t="str">
        <f>IF(G30&lt;&gt;"",VLOOKUP(J30,TRANSMUTATION!$A$2:$B$14,2),"")</f>
        <v/>
      </c>
      <c r="L30" s="268" t="str">
        <f>IF(G30&lt;&gt;"",'PRE-FINALS'!AT30,"")</f>
        <v/>
      </c>
      <c r="M30" s="269" t="str">
        <f>IF(G30&lt;&gt;"",VLOOKUP(L30,TRANSMUTATION!$A$2:$B$14,2),"")</f>
        <v/>
      </c>
      <c r="N30" s="268" t="str">
        <f>IF(G30&lt;&gt;"",FINALS!AT30,"")</f>
        <v/>
      </c>
      <c r="O30" s="269" t="str">
        <f>IF(G30&lt;&gt;"",VLOOKUP(N30,TRANSMUTATION!$A$2:$B$14,2),"")</f>
        <v/>
      </c>
      <c r="P30" s="270"/>
      <c r="Q30" s="268" t="str">
        <f t="shared" si="0"/>
        <v/>
      </c>
      <c r="R30" s="268" t="str">
        <f>IF(G30&lt;&gt;"",IF(Q30="","",VLOOKUP(Q30,TRANSMUTATION!$A$2:$B$14,2)),"")</f>
        <v/>
      </c>
      <c r="S30" s="271" t="str">
        <f t="shared" si="2"/>
        <v/>
      </c>
      <c r="T30" s="262"/>
      <c r="V30" s="443"/>
      <c r="W30" s="446"/>
      <c r="X30" s="447"/>
      <c r="Y30" s="447"/>
      <c r="Z30" s="447"/>
      <c r="AA30" s="447"/>
      <c r="AB30" s="447"/>
      <c r="AC30" s="447"/>
      <c r="AD30" s="447"/>
      <c r="AE30" s="447"/>
      <c r="AF30" s="447"/>
      <c r="AG30" s="447"/>
      <c r="AH30" s="447"/>
    </row>
    <row r="31" spans="2:34" s="99" customFormat="1" ht="17.100000000000001" customHeight="1" x14ac:dyDescent="0.2">
      <c r="B31" s="261"/>
      <c r="C31" s="340">
        <f t="shared" si="3"/>
        <v>25</v>
      </c>
      <c r="D31" s="265" t="str">
        <f t="shared" si="1"/>
        <v/>
      </c>
      <c r="E31" s="264" t="str">
        <f>(IF(Input!D32&lt;&gt;"",Input!D32,""))</f>
        <v/>
      </c>
      <c r="F31" s="266"/>
      <c r="G31" s="267" t="str">
        <f>(IF(Input!F32&lt;&gt;"",Input!F32,""))</f>
        <v/>
      </c>
      <c r="H31" s="268" t="str">
        <f>IF(G31&lt;&gt;"",PRELIMS!AT31,"")</f>
        <v/>
      </c>
      <c r="I31" s="269" t="str">
        <f>IF(G31&lt;&gt;"",VLOOKUP(H31,TRANSMUTATION!$A$2:$B$14,2),"")</f>
        <v/>
      </c>
      <c r="J31" s="268" t="str">
        <f>IF(G31&lt;&gt;"",MIDTERM!AT31,"")</f>
        <v/>
      </c>
      <c r="K31" s="269" t="str">
        <f>IF(G31&lt;&gt;"",VLOOKUP(J31,TRANSMUTATION!$A$2:$B$14,2),"")</f>
        <v/>
      </c>
      <c r="L31" s="268" t="str">
        <f>IF(G31&lt;&gt;"",'PRE-FINALS'!AT31,"")</f>
        <v/>
      </c>
      <c r="M31" s="269" t="str">
        <f>IF(G31&lt;&gt;"",VLOOKUP(L31,TRANSMUTATION!$A$2:$B$14,2),"")</f>
        <v/>
      </c>
      <c r="N31" s="268" t="str">
        <f>IF(G31&lt;&gt;"",FINALS!AT31,"")</f>
        <v/>
      </c>
      <c r="O31" s="269" t="str">
        <f>IF(G31&lt;&gt;"",VLOOKUP(N31,TRANSMUTATION!$A$2:$B$14,2),"")</f>
        <v/>
      </c>
      <c r="P31" s="270"/>
      <c r="Q31" s="268" t="str">
        <f t="shared" si="0"/>
        <v/>
      </c>
      <c r="R31" s="268" t="str">
        <f>IF(G31&lt;&gt;"",IF(Q31="","",VLOOKUP(Q31,TRANSMUTATION!$A$2:$B$14,2)),"")</f>
        <v/>
      </c>
      <c r="S31" s="271" t="str">
        <f t="shared" si="2"/>
        <v/>
      </c>
      <c r="T31" s="262"/>
      <c r="V31" s="443"/>
      <c r="W31" s="446"/>
      <c r="X31" s="447"/>
      <c r="Y31" s="447"/>
      <c r="Z31" s="447"/>
      <c r="AA31" s="447"/>
      <c r="AB31" s="447"/>
      <c r="AC31" s="447"/>
      <c r="AD31" s="447"/>
      <c r="AE31" s="447"/>
      <c r="AF31" s="447"/>
      <c r="AG31" s="447"/>
      <c r="AH31" s="447"/>
    </row>
    <row r="32" spans="2:34" s="99" customFormat="1" ht="17.100000000000001" customHeight="1" x14ac:dyDescent="0.2">
      <c r="B32" s="261"/>
      <c r="C32" s="340">
        <f t="shared" si="3"/>
        <v>26</v>
      </c>
      <c r="D32" s="265" t="str">
        <f t="shared" si="1"/>
        <v/>
      </c>
      <c r="E32" s="264" t="str">
        <f>(IF(Input!D33&lt;&gt;"",Input!D33,""))</f>
        <v/>
      </c>
      <c r="F32" s="266"/>
      <c r="G32" s="267" t="str">
        <f>(IF(Input!F33&lt;&gt;"",Input!F33,""))</f>
        <v/>
      </c>
      <c r="H32" s="268" t="str">
        <f>IF(G32&lt;&gt;"",PRELIMS!AT32,"")</f>
        <v/>
      </c>
      <c r="I32" s="269" t="str">
        <f>IF(G32&lt;&gt;"",VLOOKUP(H32,TRANSMUTATION!$A$2:$B$14,2),"")</f>
        <v/>
      </c>
      <c r="J32" s="268" t="str">
        <f>IF(G32&lt;&gt;"",MIDTERM!AT32,"")</f>
        <v/>
      </c>
      <c r="K32" s="269" t="str">
        <f>IF(G32&lt;&gt;"",VLOOKUP(J32,TRANSMUTATION!$A$2:$B$14,2),"")</f>
        <v/>
      </c>
      <c r="L32" s="268" t="str">
        <f>IF(G32&lt;&gt;"",'PRE-FINALS'!AT32,"")</f>
        <v/>
      </c>
      <c r="M32" s="269" t="str">
        <f>IF(G32&lt;&gt;"",VLOOKUP(L32,TRANSMUTATION!$A$2:$B$14,2),"")</f>
        <v/>
      </c>
      <c r="N32" s="268" t="str">
        <f>IF(G32&lt;&gt;"",FINALS!AT32,"")</f>
        <v/>
      </c>
      <c r="O32" s="269" t="str">
        <f>IF(G32&lt;&gt;"",VLOOKUP(N32,TRANSMUTATION!$A$2:$B$14,2),"")</f>
        <v/>
      </c>
      <c r="P32" s="270"/>
      <c r="Q32" s="268" t="str">
        <f t="shared" si="0"/>
        <v/>
      </c>
      <c r="R32" s="268" t="str">
        <f>IF(G32&lt;&gt;"",IF(Q32="","",VLOOKUP(Q32,TRANSMUTATION!$A$2:$B$14,2)),"")</f>
        <v/>
      </c>
      <c r="S32" s="271" t="str">
        <f t="shared" si="2"/>
        <v/>
      </c>
      <c r="T32" s="262"/>
      <c r="V32" s="443"/>
      <c r="W32" s="446"/>
      <c r="X32" s="447"/>
      <c r="Y32" s="447"/>
      <c r="Z32" s="447"/>
      <c r="AA32" s="447"/>
      <c r="AB32" s="447"/>
      <c r="AC32" s="447"/>
      <c r="AD32" s="447"/>
      <c r="AE32" s="447"/>
      <c r="AF32" s="447"/>
      <c r="AG32" s="447"/>
      <c r="AH32" s="447"/>
    </row>
    <row r="33" spans="2:34" s="99" customFormat="1" ht="17.100000000000001" customHeight="1" x14ac:dyDescent="0.2">
      <c r="B33" s="261"/>
      <c r="C33" s="340">
        <f t="shared" si="3"/>
        <v>27</v>
      </c>
      <c r="D33" s="265" t="str">
        <f t="shared" si="1"/>
        <v/>
      </c>
      <c r="E33" s="264" t="str">
        <f>(IF(Input!D34&lt;&gt;"",Input!D34,""))</f>
        <v/>
      </c>
      <c r="F33" s="266"/>
      <c r="G33" s="267" t="str">
        <f>(IF(Input!F34&lt;&gt;"",Input!F34,""))</f>
        <v/>
      </c>
      <c r="H33" s="268" t="str">
        <f>IF(G33&lt;&gt;"",PRELIMS!AT33,"")</f>
        <v/>
      </c>
      <c r="I33" s="269" t="str">
        <f>IF(G33&lt;&gt;"",VLOOKUP(H33,TRANSMUTATION!$A$2:$B$14,2),"")</f>
        <v/>
      </c>
      <c r="J33" s="268" t="str">
        <f>IF(G33&lt;&gt;"",MIDTERM!AT33,"")</f>
        <v/>
      </c>
      <c r="K33" s="269" t="str">
        <f>IF(G33&lt;&gt;"",VLOOKUP(J33,TRANSMUTATION!$A$2:$B$14,2),"")</f>
        <v/>
      </c>
      <c r="L33" s="268" t="str">
        <f>IF(G33&lt;&gt;"",'PRE-FINALS'!AT33,"")</f>
        <v/>
      </c>
      <c r="M33" s="269" t="str">
        <f>IF(G33&lt;&gt;"",VLOOKUP(L33,TRANSMUTATION!$A$2:$B$14,2),"")</f>
        <v/>
      </c>
      <c r="N33" s="268" t="str">
        <f>IF(G33&lt;&gt;"",FINALS!AT33,"")</f>
        <v/>
      </c>
      <c r="O33" s="269" t="str">
        <f>IF(G33&lt;&gt;"",VLOOKUP(N33,TRANSMUTATION!$A$2:$B$14,2),"")</f>
        <v/>
      </c>
      <c r="P33" s="270"/>
      <c r="Q33" s="268" t="str">
        <f t="shared" si="0"/>
        <v/>
      </c>
      <c r="R33" s="268" t="str">
        <f>IF(G33&lt;&gt;"",IF(Q33="","",VLOOKUP(Q33,TRANSMUTATION!$A$2:$B$14,2)),"")</f>
        <v/>
      </c>
      <c r="S33" s="271" t="str">
        <f t="shared" si="2"/>
        <v/>
      </c>
      <c r="T33" s="262"/>
      <c r="V33" s="443"/>
      <c r="W33" s="446"/>
      <c r="X33" s="447"/>
      <c r="Y33" s="447"/>
      <c r="Z33" s="447"/>
      <c r="AA33" s="447"/>
      <c r="AB33" s="447"/>
      <c r="AC33" s="447"/>
      <c r="AD33" s="447"/>
      <c r="AE33" s="447"/>
      <c r="AF33" s="447"/>
      <c r="AG33" s="447"/>
      <c r="AH33" s="447"/>
    </row>
    <row r="34" spans="2:34" s="99" customFormat="1" ht="17.100000000000001" customHeight="1" x14ac:dyDescent="0.2">
      <c r="B34" s="261"/>
      <c r="C34" s="340">
        <f t="shared" si="3"/>
        <v>28</v>
      </c>
      <c r="D34" s="265" t="str">
        <f t="shared" si="1"/>
        <v/>
      </c>
      <c r="E34" s="264" t="str">
        <f>(IF(Input!D35&lt;&gt;"",Input!D35,""))</f>
        <v/>
      </c>
      <c r="F34" s="266"/>
      <c r="G34" s="267" t="str">
        <f>(IF(Input!F35&lt;&gt;"",Input!F35,""))</f>
        <v/>
      </c>
      <c r="H34" s="268" t="str">
        <f>IF(G34&lt;&gt;"",PRELIMS!AT34,"")</f>
        <v/>
      </c>
      <c r="I34" s="269" t="str">
        <f>IF(G34&lt;&gt;"",VLOOKUP(H34,TRANSMUTATION!$A$2:$B$14,2),"")</f>
        <v/>
      </c>
      <c r="J34" s="268" t="str">
        <f>IF(G34&lt;&gt;"",MIDTERM!AT34,"")</f>
        <v/>
      </c>
      <c r="K34" s="269" t="str">
        <f>IF(G34&lt;&gt;"",VLOOKUP(J34,TRANSMUTATION!$A$2:$B$14,2),"")</f>
        <v/>
      </c>
      <c r="L34" s="268" t="str">
        <f>IF(G34&lt;&gt;"",'PRE-FINALS'!AT34,"")</f>
        <v/>
      </c>
      <c r="M34" s="269" t="str">
        <f>IF(G34&lt;&gt;"",VLOOKUP(L34,TRANSMUTATION!$A$2:$B$14,2),"")</f>
        <v/>
      </c>
      <c r="N34" s="268" t="str">
        <f>IF(G34&lt;&gt;"",FINALS!AT34,"")</f>
        <v/>
      </c>
      <c r="O34" s="269" t="str">
        <f>IF(G34&lt;&gt;"",VLOOKUP(N34,TRANSMUTATION!$A$2:$B$14,2),"")</f>
        <v/>
      </c>
      <c r="P34" s="270"/>
      <c r="Q34" s="268" t="str">
        <f t="shared" si="0"/>
        <v/>
      </c>
      <c r="R34" s="268" t="str">
        <f>IF(G34&lt;&gt;"",IF(Q34="","",VLOOKUP(Q34,TRANSMUTATION!$A$2:$B$14,2)),"")</f>
        <v/>
      </c>
      <c r="S34" s="271" t="str">
        <f t="shared" si="2"/>
        <v/>
      </c>
      <c r="T34" s="262"/>
      <c r="V34" s="443"/>
      <c r="W34" s="446"/>
      <c r="X34" s="447"/>
      <c r="Y34" s="447"/>
      <c r="Z34" s="447"/>
      <c r="AA34" s="447"/>
      <c r="AB34" s="447"/>
      <c r="AC34" s="447"/>
      <c r="AD34" s="447"/>
      <c r="AE34" s="447"/>
      <c r="AF34" s="447"/>
      <c r="AG34" s="447"/>
      <c r="AH34" s="447"/>
    </row>
    <row r="35" spans="2:34" s="99" customFormat="1" ht="17.100000000000001" customHeight="1" x14ac:dyDescent="0.2">
      <c r="B35" s="261"/>
      <c r="C35" s="340">
        <f t="shared" si="3"/>
        <v>29</v>
      </c>
      <c r="D35" s="265" t="str">
        <f t="shared" si="1"/>
        <v/>
      </c>
      <c r="E35" s="264" t="str">
        <f>(IF(Input!D36&lt;&gt;"",Input!D36,""))</f>
        <v/>
      </c>
      <c r="F35" s="266"/>
      <c r="G35" s="267" t="str">
        <f>(IF(Input!F36&lt;&gt;"",Input!F36,""))</f>
        <v/>
      </c>
      <c r="H35" s="268" t="str">
        <f>IF(G35&lt;&gt;"",PRELIMS!AT35,"")</f>
        <v/>
      </c>
      <c r="I35" s="269" t="str">
        <f>IF(G35&lt;&gt;"",VLOOKUP(H35,TRANSMUTATION!$A$2:$B$14,2),"")</f>
        <v/>
      </c>
      <c r="J35" s="268" t="str">
        <f>IF(G35&lt;&gt;"",MIDTERM!AT35,"")</f>
        <v/>
      </c>
      <c r="K35" s="269" t="str">
        <f>IF(G35&lt;&gt;"",VLOOKUP(J35,TRANSMUTATION!$A$2:$B$14,2),"")</f>
        <v/>
      </c>
      <c r="L35" s="268" t="str">
        <f>IF(G35&lt;&gt;"",'PRE-FINALS'!AT35,"")</f>
        <v/>
      </c>
      <c r="M35" s="269" t="str">
        <f>IF(G35&lt;&gt;"",VLOOKUP(L35,TRANSMUTATION!$A$2:$B$14,2),"")</f>
        <v/>
      </c>
      <c r="N35" s="268" t="str">
        <f>IF(G35&lt;&gt;"",FINALS!AT35,"")</f>
        <v/>
      </c>
      <c r="O35" s="269" t="str">
        <f>IF(G35&lt;&gt;"",VLOOKUP(N35,TRANSMUTATION!$A$2:$B$14,2),"")</f>
        <v/>
      </c>
      <c r="P35" s="270"/>
      <c r="Q35" s="268" t="str">
        <f t="shared" si="0"/>
        <v/>
      </c>
      <c r="R35" s="268" t="str">
        <f>IF(G35&lt;&gt;"",IF(Q35="","",VLOOKUP(Q35,TRANSMUTATION!$A$2:$B$14,2)),"")</f>
        <v/>
      </c>
      <c r="S35" s="271" t="str">
        <f t="shared" si="2"/>
        <v/>
      </c>
      <c r="T35" s="262"/>
      <c r="V35" s="443"/>
      <c r="W35" s="446"/>
      <c r="X35" s="447"/>
      <c r="Y35" s="447"/>
      <c r="Z35" s="447"/>
      <c r="AA35" s="447"/>
      <c r="AB35" s="447"/>
      <c r="AC35" s="447"/>
      <c r="AD35" s="447"/>
      <c r="AE35" s="447"/>
      <c r="AF35" s="447"/>
      <c r="AG35" s="447"/>
      <c r="AH35" s="447"/>
    </row>
    <row r="36" spans="2:34" s="99" customFormat="1" ht="17.100000000000001" customHeight="1" x14ac:dyDescent="0.2">
      <c r="B36" s="261"/>
      <c r="C36" s="340">
        <f t="shared" si="3"/>
        <v>30</v>
      </c>
      <c r="D36" s="265" t="str">
        <f t="shared" si="1"/>
        <v/>
      </c>
      <c r="E36" s="264" t="str">
        <f>(IF(Input!D37&lt;&gt;"",Input!D37,""))</f>
        <v/>
      </c>
      <c r="F36" s="266"/>
      <c r="G36" s="267" t="str">
        <f>(IF(Input!F37&lt;&gt;"",Input!F37,""))</f>
        <v/>
      </c>
      <c r="H36" s="268" t="str">
        <f>IF(G36&lt;&gt;"",PRELIMS!AT36,"")</f>
        <v/>
      </c>
      <c r="I36" s="269" t="str">
        <f>IF(G36&lt;&gt;"",VLOOKUP(H36,TRANSMUTATION!$A$2:$B$14,2),"")</f>
        <v/>
      </c>
      <c r="J36" s="268" t="str">
        <f>IF(G36&lt;&gt;"",MIDTERM!AT36,"")</f>
        <v/>
      </c>
      <c r="K36" s="269" t="str">
        <f>IF(G36&lt;&gt;"",VLOOKUP(J36,TRANSMUTATION!$A$2:$B$14,2),"")</f>
        <v/>
      </c>
      <c r="L36" s="268" t="str">
        <f>IF(G36&lt;&gt;"",'PRE-FINALS'!AT36,"")</f>
        <v/>
      </c>
      <c r="M36" s="269" t="str">
        <f>IF(G36&lt;&gt;"",VLOOKUP(L36,TRANSMUTATION!$A$2:$B$14,2),"")</f>
        <v/>
      </c>
      <c r="N36" s="268" t="str">
        <f>IF(G36&lt;&gt;"",FINALS!AT36,"")</f>
        <v/>
      </c>
      <c r="O36" s="269" t="str">
        <f>IF(G36&lt;&gt;"",VLOOKUP(N36,TRANSMUTATION!$A$2:$B$14,2),"")</f>
        <v/>
      </c>
      <c r="P36" s="270"/>
      <c r="Q36" s="268" t="str">
        <f t="shared" si="0"/>
        <v/>
      </c>
      <c r="R36" s="268" t="str">
        <f>IF(G36&lt;&gt;"",IF(Q36="","",VLOOKUP(Q36,TRANSMUTATION!$A$2:$B$14,2)),"")</f>
        <v/>
      </c>
      <c r="S36" s="271" t="str">
        <f t="shared" si="2"/>
        <v/>
      </c>
      <c r="T36" s="262"/>
      <c r="V36" s="443"/>
      <c r="W36" s="446"/>
      <c r="X36" s="447"/>
      <c r="Y36" s="447"/>
      <c r="Z36" s="447"/>
      <c r="AA36" s="447"/>
      <c r="AB36" s="447"/>
      <c r="AC36" s="447"/>
      <c r="AD36" s="447"/>
      <c r="AE36" s="447"/>
      <c r="AF36" s="447"/>
      <c r="AG36" s="447"/>
      <c r="AH36" s="447"/>
    </row>
    <row r="37" spans="2:34" s="99" customFormat="1" ht="17.100000000000001" customHeight="1" x14ac:dyDescent="0.2">
      <c r="B37" s="261"/>
      <c r="C37" s="340">
        <f t="shared" si="3"/>
        <v>31</v>
      </c>
      <c r="D37" s="265" t="str">
        <f t="shared" si="1"/>
        <v/>
      </c>
      <c r="E37" s="264" t="str">
        <f>(IF(Input!D38&lt;&gt;"",Input!D38,""))</f>
        <v/>
      </c>
      <c r="F37" s="266"/>
      <c r="G37" s="267" t="str">
        <f>(IF(Input!F38&lt;&gt;"",Input!F38,""))</f>
        <v/>
      </c>
      <c r="H37" s="268" t="str">
        <f>IF(G37&lt;&gt;"",PRELIMS!AT37,"")</f>
        <v/>
      </c>
      <c r="I37" s="269" t="str">
        <f>IF(G37&lt;&gt;"",VLOOKUP(H37,TRANSMUTATION!$A$2:$B$14,2),"")</f>
        <v/>
      </c>
      <c r="J37" s="268" t="str">
        <f>IF(G37&lt;&gt;"",MIDTERM!AT37,"")</f>
        <v/>
      </c>
      <c r="K37" s="269" t="str">
        <f>IF(G37&lt;&gt;"",VLOOKUP(J37,TRANSMUTATION!$A$2:$B$14,2),"")</f>
        <v/>
      </c>
      <c r="L37" s="268" t="str">
        <f>IF(G37&lt;&gt;"",'PRE-FINALS'!AT37,"")</f>
        <v/>
      </c>
      <c r="M37" s="269" t="str">
        <f>IF(G37&lt;&gt;"",VLOOKUP(L37,TRANSMUTATION!$A$2:$B$14,2),"")</f>
        <v/>
      </c>
      <c r="N37" s="268" t="str">
        <f>IF(G37&lt;&gt;"",FINALS!AT37,"")</f>
        <v/>
      </c>
      <c r="O37" s="269" t="str">
        <f>IF(G37&lt;&gt;"",VLOOKUP(N37,TRANSMUTATION!$A$2:$B$14,2),"")</f>
        <v/>
      </c>
      <c r="P37" s="270"/>
      <c r="Q37" s="268" t="str">
        <f t="shared" si="0"/>
        <v/>
      </c>
      <c r="R37" s="268" t="str">
        <f>IF(G37&lt;&gt;"",IF(Q37="","",VLOOKUP(Q37,TRANSMUTATION!$A$2:$B$14,2)),"")</f>
        <v/>
      </c>
      <c r="S37" s="271" t="str">
        <f t="shared" si="2"/>
        <v/>
      </c>
      <c r="T37" s="262"/>
      <c r="V37" s="443"/>
      <c r="W37" s="446"/>
      <c r="X37" s="447"/>
      <c r="Y37" s="447"/>
      <c r="Z37" s="447"/>
      <c r="AA37" s="447"/>
      <c r="AB37" s="447"/>
      <c r="AC37" s="447"/>
      <c r="AD37" s="447"/>
      <c r="AE37" s="447"/>
      <c r="AF37" s="447"/>
      <c r="AG37" s="447"/>
      <c r="AH37" s="447"/>
    </row>
    <row r="38" spans="2:34" s="99" customFormat="1" ht="17.100000000000001" customHeight="1" x14ac:dyDescent="0.2">
      <c r="B38" s="261"/>
      <c r="C38" s="340">
        <f t="shared" si="3"/>
        <v>32</v>
      </c>
      <c r="D38" s="265" t="str">
        <f t="shared" si="1"/>
        <v/>
      </c>
      <c r="E38" s="264" t="str">
        <f>(IF(Input!D39&lt;&gt;"",Input!D39,""))</f>
        <v/>
      </c>
      <c r="F38" s="266"/>
      <c r="G38" s="267" t="str">
        <f>(IF(Input!F39&lt;&gt;"",Input!F39,""))</f>
        <v/>
      </c>
      <c r="H38" s="268" t="str">
        <f>IF(G38&lt;&gt;"",PRELIMS!AT38,"")</f>
        <v/>
      </c>
      <c r="I38" s="269" t="str">
        <f>IF(G38&lt;&gt;"",VLOOKUP(H38,TRANSMUTATION!$A$2:$B$14,2),"")</f>
        <v/>
      </c>
      <c r="J38" s="268" t="str">
        <f>IF(G38&lt;&gt;"",MIDTERM!AT38,"")</f>
        <v/>
      </c>
      <c r="K38" s="269" t="str">
        <f>IF(G38&lt;&gt;"",VLOOKUP(J38,TRANSMUTATION!$A$2:$B$14,2),"")</f>
        <v/>
      </c>
      <c r="L38" s="268" t="str">
        <f>IF(G38&lt;&gt;"",'PRE-FINALS'!AT38,"")</f>
        <v/>
      </c>
      <c r="M38" s="269" t="str">
        <f>IF(G38&lt;&gt;"",VLOOKUP(L38,TRANSMUTATION!$A$2:$B$14,2),"")</f>
        <v/>
      </c>
      <c r="N38" s="268" t="str">
        <f>IF(G38&lt;&gt;"",FINALS!AT38,"")</f>
        <v/>
      </c>
      <c r="O38" s="269" t="str">
        <f>IF(G38&lt;&gt;"",VLOOKUP(N38,TRANSMUTATION!$A$2:$B$14,2),"")</f>
        <v/>
      </c>
      <c r="P38" s="270"/>
      <c r="Q38" s="268" t="str">
        <f t="shared" si="0"/>
        <v/>
      </c>
      <c r="R38" s="268" t="str">
        <f>IF(G38&lt;&gt;"",IF(Q38="","",VLOOKUP(Q38,TRANSMUTATION!$A$2:$B$14,2)),"")</f>
        <v/>
      </c>
      <c r="S38" s="271" t="str">
        <f t="shared" si="2"/>
        <v/>
      </c>
      <c r="T38" s="262"/>
      <c r="V38" s="443"/>
      <c r="W38" s="446"/>
      <c r="X38" s="447"/>
      <c r="Y38" s="447"/>
      <c r="Z38" s="447"/>
      <c r="AA38" s="447"/>
      <c r="AB38" s="447"/>
      <c r="AC38" s="447"/>
      <c r="AD38" s="447"/>
      <c r="AE38" s="447"/>
      <c r="AF38" s="447"/>
      <c r="AG38" s="447"/>
      <c r="AH38" s="447"/>
    </row>
    <row r="39" spans="2:34" s="99" customFormat="1" ht="17.100000000000001" customHeight="1" x14ac:dyDescent="0.2">
      <c r="B39" s="261"/>
      <c r="C39" s="340">
        <f t="shared" si="3"/>
        <v>33</v>
      </c>
      <c r="D39" s="265" t="str">
        <f t="shared" si="1"/>
        <v/>
      </c>
      <c r="E39" s="264" t="str">
        <f>(IF(Input!D40&lt;&gt;"",Input!D40,""))</f>
        <v/>
      </c>
      <c r="F39" s="266"/>
      <c r="G39" s="267" t="str">
        <f>(IF(Input!F40&lt;&gt;"",Input!F40,""))</f>
        <v/>
      </c>
      <c r="H39" s="268" t="str">
        <f>IF(G39&lt;&gt;"",PRELIMS!AT39,"")</f>
        <v/>
      </c>
      <c r="I39" s="269" t="str">
        <f>IF(G39&lt;&gt;"",VLOOKUP(H39,TRANSMUTATION!$A$2:$B$14,2),"")</f>
        <v/>
      </c>
      <c r="J39" s="268" t="str">
        <f>IF(G39&lt;&gt;"",MIDTERM!AT39,"")</f>
        <v/>
      </c>
      <c r="K39" s="269" t="str">
        <f>IF(G39&lt;&gt;"",VLOOKUP(J39,TRANSMUTATION!$A$2:$B$14,2),"")</f>
        <v/>
      </c>
      <c r="L39" s="268" t="str">
        <f>IF(G39&lt;&gt;"",'PRE-FINALS'!AT39,"")</f>
        <v/>
      </c>
      <c r="M39" s="269" t="str">
        <f>IF(G39&lt;&gt;"",VLOOKUP(L39,TRANSMUTATION!$A$2:$B$14,2),"")</f>
        <v/>
      </c>
      <c r="N39" s="268" t="str">
        <f>IF(G39&lt;&gt;"",FINALS!AT39,"")</f>
        <v/>
      </c>
      <c r="O39" s="269" t="str">
        <f>IF(G39&lt;&gt;"",VLOOKUP(N39,TRANSMUTATION!$A$2:$B$14,2),"")</f>
        <v/>
      </c>
      <c r="P39" s="270"/>
      <c r="Q39" s="268" t="str">
        <f t="shared" ref="Q39:Q66" si="4">IF(G39="","",
IF(G39&lt;&gt;"",
IF(OR(H39="DRP",J39="DRP",L39="DRP",N39="DRP"),"DRP",
IF(OR(H39="Error",J39="Error",L39="Error",N39="Error"),"Error",
IF(OR(O39="Inc",I39="Inc",K39="Inc",M39="Inc"),"",
ROUND((H39*$H$6)+(J39*$J$6)+(L39*$L$6)+(N39*$N$6),2)))),""))</f>
        <v/>
      </c>
      <c r="R39" s="268" t="str">
        <f>IF(G39&lt;&gt;"",IF(Q39="","",VLOOKUP(Q39,TRANSMUTATION!$A$2:$B$14,2)),"")</f>
        <v/>
      </c>
      <c r="S39" s="271" t="str">
        <f t="shared" si="2"/>
        <v/>
      </c>
      <c r="T39" s="262"/>
      <c r="V39" s="443"/>
      <c r="W39" s="446"/>
      <c r="X39" s="447"/>
      <c r="Y39" s="447"/>
      <c r="Z39" s="447"/>
      <c r="AA39" s="447"/>
      <c r="AB39" s="447"/>
      <c r="AC39" s="447"/>
      <c r="AD39" s="447"/>
      <c r="AE39" s="447"/>
      <c r="AF39" s="447"/>
      <c r="AG39" s="447"/>
      <c r="AH39" s="447"/>
    </row>
    <row r="40" spans="2:34" s="99" customFormat="1" ht="17.100000000000001" customHeight="1" x14ac:dyDescent="0.2">
      <c r="B40" s="261"/>
      <c r="C40" s="340">
        <f t="shared" si="3"/>
        <v>34</v>
      </c>
      <c r="D40" s="265" t="str">
        <f t="shared" si="1"/>
        <v/>
      </c>
      <c r="E40" s="264" t="str">
        <f>(IF(Input!D41&lt;&gt;"",Input!D41,""))</f>
        <v/>
      </c>
      <c r="F40" s="266"/>
      <c r="G40" s="267" t="str">
        <f>(IF(Input!F41&lt;&gt;"",Input!F41,""))</f>
        <v/>
      </c>
      <c r="H40" s="268" t="str">
        <f>IF(G40&lt;&gt;"",PRELIMS!AT40,"")</f>
        <v/>
      </c>
      <c r="I40" s="269" t="str">
        <f>IF(G40&lt;&gt;"",VLOOKUP(H40,TRANSMUTATION!$A$2:$B$14,2),"")</f>
        <v/>
      </c>
      <c r="J40" s="268" t="str">
        <f>IF(G40&lt;&gt;"",MIDTERM!AT40,"")</f>
        <v/>
      </c>
      <c r="K40" s="269" t="str">
        <f>IF(G40&lt;&gt;"",VLOOKUP(J40,TRANSMUTATION!$A$2:$B$14,2),"")</f>
        <v/>
      </c>
      <c r="L40" s="268" t="str">
        <f>IF(G40&lt;&gt;"",'PRE-FINALS'!AT40,"")</f>
        <v/>
      </c>
      <c r="M40" s="269" t="str">
        <f>IF(G40&lt;&gt;"",VLOOKUP(L40,TRANSMUTATION!$A$2:$B$14,2),"")</f>
        <v/>
      </c>
      <c r="N40" s="268" t="str">
        <f>IF(G40&lt;&gt;"",FINALS!AT40,"")</f>
        <v/>
      </c>
      <c r="O40" s="269" t="str">
        <f>IF(G40&lt;&gt;"",VLOOKUP(N40,TRANSMUTATION!$A$2:$B$14,2),"")</f>
        <v/>
      </c>
      <c r="P40" s="270"/>
      <c r="Q40" s="268" t="str">
        <f t="shared" si="4"/>
        <v/>
      </c>
      <c r="R40" s="268" t="str">
        <f>IF(G40&lt;&gt;"",IF(Q40="","",VLOOKUP(Q40,TRANSMUTATION!$A$2:$B$14,2)),"")</f>
        <v/>
      </c>
      <c r="S40" s="271" t="str">
        <f t="shared" si="2"/>
        <v/>
      </c>
      <c r="T40" s="262"/>
      <c r="V40" s="443"/>
      <c r="W40" s="446"/>
      <c r="X40" s="447"/>
      <c r="Y40" s="447"/>
      <c r="Z40" s="447"/>
      <c r="AA40" s="447"/>
      <c r="AB40" s="447"/>
      <c r="AC40" s="447"/>
      <c r="AD40" s="447"/>
      <c r="AE40" s="447"/>
      <c r="AF40" s="447"/>
      <c r="AG40" s="447"/>
      <c r="AH40" s="447"/>
    </row>
    <row r="41" spans="2:34" s="99" customFormat="1" ht="17.100000000000001" customHeight="1" x14ac:dyDescent="0.2">
      <c r="B41" s="261"/>
      <c r="C41" s="340">
        <f t="shared" si="3"/>
        <v>35</v>
      </c>
      <c r="D41" s="265" t="str">
        <f t="shared" si="1"/>
        <v/>
      </c>
      <c r="E41" s="264" t="str">
        <f>(IF(Input!D42&lt;&gt;"",Input!D42,""))</f>
        <v/>
      </c>
      <c r="F41" s="266"/>
      <c r="G41" s="267" t="str">
        <f>(IF(Input!F42&lt;&gt;"",Input!F42,""))</f>
        <v/>
      </c>
      <c r="H41" s="268" t="str">
        <f>IF(G41&lt;&gt;"",PRELIMS!AT41,"")</f>
        <v/>
      </c>
      <c r="I41" s="269" t="str">
        <f>IF(G41&lt;&gt;"",VLOOKUP(H41,TRANSMUTATION!$A$2:$B$14,2),"")</f>
        <v/>
      </c>
      <c r="J41" s="268" t="str">
        <f>IF(G41&lt;&gt;"",MIDTERM!AT41,"")</f>
        <v/>
      </c>
      <c r="K41" s="269" t="str">
        <f>IF(G41&lt;&gt;"",VLOOKUP(J41,TRANSMUTATION!$A$2:$B$14,2),"")</f>
        <v/>
      </c>
      <c r="L41" s="268" t="str">
        <f>IF(G41&lt;&gt;"",'PRE-FINALS'!AT41,"")</f>
        <v/>
      </c>
      <c r="M41" s="269" t="str">
        <f>IF(G41&lt;&gt;"",VLOOKUP(L41,TRANSMUTATION!$A$2:$B$14,2),"")</f>
        <v/>
      </c>
      <c r="N41" s="268" t="str">
        <f>IF(G41&lt;&gt;"",FINALS!AT41,"")</f>
        <v/>
      </c>
      <c r="O41" s="269" t="str">
        <f>IF(G41&lt;&gt;"",VLOOKUP(N41,TRANSMUTATION!$A$2:$B$14,2),"")</f>
        <v/>
      </c>
      <c r="P41" s="270"/>
      <c r="Q41" s="268" t="str">
        <f t="shared" si="4"/>
        <v/>
      </c>
      <c r="R41" s="268" t="str">
        <f>IF(G41&lt;&gt;"",IF(Q41="","",VLOOKUP(Q41,TRANSMUTATION!$A$2:$B$14,2)),"")</f>
        <v/>
      </c>
      <c r="S41" s="271" t="str">
        <f t="shared" si="2"/>
        <v/>
      </c>
      <c r="T41" s="262"/>
      <c r="V41" s="443"/>
      <c r="W41" s="446"/>
      <c r="X41" s="447"/>
      <c r="Y41" s="447"/>
      <c r="Z41" s="447"/>
      <c r="AA41" s="447"/>
      <c r="AB41" s="447"/>
      <c r="AC41" s="447"/>
      <c r="AD41" s="447"/>
      <c r="AE41" s="447"/>
      <c r="AF41" s="447"/>
      <c r="AG41" s="447"/>
      <c r="AH41" s="447"/>
    </row>
    <row r="42" spans="2:34" s="99" customFormat="1" ht="17.100000000000001" customHeight="1" x14ac:dyDescent="0.2">
      <c r="B42" s="261"/>
      <c r="C42" s="340">
        <f t="shared" si="3"/>
        <v>36</v>
      </c>
      <c r="D42" s="265" t="str">
        <f t="shared" si="1"/>
        <v/>
      </c>
      <c r="E42" s="264" t="str">
        <f>(IF(Input!D43&lt;&gt;"",Input!D43,""))</f>
        <v/>
      </c>
      <c r="F42" s="266"/>
      <c r="G42" s="267" t="str">
        <f>(IF(Input!F43&lt;&gt;"",Input!F43,""))</f>
        <v/>
      </c>
      <c r="H42" s="268" t="str">
        <f>IF(G42&lt;&gt;"",PRELIMS!AT42,"")</f>
        <v/>
      </c>
      <c r="I42" s="269" t="str">
        <f>IF(G42&lt;&gt;"",VLOOKUP(H42,TRANSMUTATION!$A$2:$B$14,2),"")</f>
        <v/>
      </c>
      <c r="J42" s="268" t="str">
        <f>IF(G42&lt;&gt;"",MIDTERM!AT42,"")</f>
        <v/>
      </c>
      <c r="K42" s="269" t="str">
        <f>IF(G42&lt;&gt;"",VLOOKUP(J42,TRANSMUTATION!$A$2:$B$14,2),"")</f>
        <v/>
      </c>
      <c r="L42" s="268" t="str">
        <f>IF(G42&lt;&gt;"",'PRE-FINALS'!AT42,"")</f>
        <v/>
      </c>
      <c r="M42" s="269" t="str">
        <f>IF(G42&lt;&gt;"",VLOOKUP(L42,TRANSMUTATION!$A$2:$B$14,2),"")</f>
        <v/>
      </c>
      <c r="N42" s="268" t="str">
        <f>IF(G42&lt;&gt;"",FINALS!AT42,"")</f>
        <v/>
      </c>
      <c r="O42" s="269" t="str">
        <f>IF(G42&lt;&gt;"",VLOOKUP(N42,TRANSMUTATION!$A$2:$B$14,2),"")</f>
        <v/>
      </c>
      <c r="P42" s="270"/>
      <c r="Q42" s="268" t="str">
        <f t="shared" si="4"/>
        <v/>
      </c>
      <c r="R42" s="268" t="str">
        <f>IF(G42&lt;&gt;"",IF(Q42="","",VLOOKUP(Q42,TRANSMUTATION!$A$2:$B$14,2)),"")</f>
        <v/>
      </c>
      <c r="S42" s="271" t="str">
        <f t="shared" si="2"/>
        <v/>
      </c>
      <c r="T42" s="262"/>
      <c r="V42" s="443"/>
      <c r="W42" s="446"/>
      <c r="X42" s="447"/>
      <c r="Y42" s="447"/>
      <c r="Z42" s="447"/>
      <c r="AA42" s="447"/>
      <c r="AB42" s="447"/>
      <c r="AC42" s="447"/>
      <c r="AD42" s="447"/>
      <c r="AE42" s="447"/>
      <c r="AF42" s="447"/>
      <c r="AG42" s="447"/>
      <c r="AH42" s="447"/>
    </row>
    <row r="43" spans="2:34" s="99" customFormat="1" ht="17.100000000000001" customHeight="1" x14ac:dyDescent="0.2">
      <c r="B43" s="261"/>
      <c r="C43" s="340">
        <f t="shared" si="3"/>
        <v>37</v>
      </c>
      <c r="D43" s="265" t="str">
        <f t="shared" si="1"/>
        <v/>
      </c>
      <c r="E43" s="264" t="str">
        <f>(IF(Input!D44&lt;&gt;"",Input!D44,""))</f>
        <v/>
      </c>
      <c r="F43" s="266"/>
      <c r="G43" s="267" t="str">
        <f>(IF(Input!F44&lt;&gt;"",Input!F44,""))</f>
        <v/>
      </c>
      <c r="H43" s="268" t="str">
        <f>IF(G43&lt;&gt;"",PRELIMS!AT43,"")</f>
        <v/>
      </c>
      <c r="I43" s="269" t="str">
        <f>IF(G43&lt;&gt;"",VLOOKUP(H43,TRANSMUTATION!$A$2:$B$14,2),"")</f>
        <v/>
      </c>
      <c r="J43" s="268" t="str">
        <f>IF(G43&lt;&gt;"",MIDTERM!AT43,"")</f>
        <v/>
      </c>
      <c r="K43" s="269" t="str">
        <f>IF(G43&lt;&gt;"",VLOOKUP(J43,TRANSMUTATION!$A$2:$B$14,2),"")</f>
        <v/>
      </c>
      <c r="L43" s="268" t="str">
        <f>IF(G43&lt;&gt;"",'PRE-FINALS'!AT43,"")</f>
        <v/>
      </c>
      <c r="M43" s="269" t="str">
        <f>IF(G43&lt;&gt;"",VLOOKUP(L43,TRANSMUTATION!$A$2:$B$14,2),"")</f>
        <v/>
      </c>
      <c r="N43" s="268" t="str">
        <f>IF(G43&lt;&gt;"",FINALS!AT43,"")</f>
        <v/>
      </c>
      <c r="O43" s="269" t="str">
        <f>IF(G43&lt;&gt;"",VLOOKUP(N43,TRANSMUTATION!$A$2:$B$14,2),"")</f>
        <v/>
      </c>
      <c r="P43" s="270"/>
      <c r="Q43" s="268" t="str">
        <f t="shared" si="4"/>
        <v/>
      </c>
      <c r="R43" s="268" t="str">
        <f>IF(G43&lt;&gt;"",IF(Q43="","",VLOOKUP(Q43,TRANSMUTATION!$A$2:$B$14,2)),"")</f>
        <v/>
      </c>
      <c r="S43" s="271" t="str">
        <f t="shared" si="2"/>
        <v/>
      </c>
      <c r="T43" s="262"/>
      <c r="V43" s="443"/>
      <c r="W43" s="446"/>
      <c r="X43" s="447"/>
      <c r="Y43" s="447"/>
      <c r="Z43" s="447"/>
      <c r="AA43" s="447"/>
      <c r="AB43" s="447"/>
      <c r="AC43" s="447"/>
      <c r="AD43" s="447"/>
      <c r="AE43" s="447"/>
      <c r="AF43" s="447"/>
      <c r="AG43" s="447"/>
      <c r="AH43" s="447"/>
    </row>
    <row r="44" spans="2:34" s="99" customFormat="1" ht="17.100000000000001" customHeight="1" x14ac:dyDescent="0.2">
      <c r="B44" s="261"/>
      <c r="C44" s="340">
        <f t="shared" si="3"/>
        <v>38</v>
      </c>
      <c r="D44" s="265" t="str">
        <f t="shared" si="1"/>
        <v/>
      </c>
      <c r="E44" s="264" t="str">
        <f>(IF(Input!D45&lt;&gt;"",Input!D45,""))</f>
        <v/>
      </c>
      <c r="F44" s="266"/>
      <c r="G44" s="267" t="str">
        <f>(IF(Input!F45&lt;&gt;"",Input!F45,""))</f>
        <v/>
      </c>
      <c r="H44" s="268" t="str">
        <f>IF(G44&lt;&gt;"",PRELIMS!AT44,"")</f>
        <v/>
      </c>
      <c r="I44" s="269" t="str">
        <f>IF(G44&lt;&gt;"",VLOOKUP(H44,TRANSMUTATION!$A$2:$B$14,2),"")</f>
        <v/>
      </c>
      <c r="J44" s="268" t="str">
        <f>IF(G44&lt;&gt;"",MIDTERM!AT44,"")</f>
        <v/>
      </c>
      <c r="K44" s="269" t="str">
        <f>IF(G44&lt;&gt;"",VLOOKUP(J44,TRANSMUTATION!$A$2:$B$14,2),"")</f>
        <v/>
      </c>
      <c r="L44" s="268" t="str">
        <f>IF(G44&lt;&gt;"",'PRE-FINALS'!AT44,"")</f>
        <v/>
      </c>
      <c r="M44" s="269" t="str">
        <f>IF(G44&lt;&gt;"",VLOOKUP(L44,TRANSMUTATION!$A$2:$B$14,2),"")</f>
        <v/>
      </c>
      <c r="N44" s="268" t="str">
        <f>IF(G44&lt;&gt;"",FINALS!AT44,"")</f>
        <v/>
      </c>
      <c r="O44" s="269" t="str">
        <f>IF(G44&lt;&gt;"",VLOOKUP(N44,TRANSMUTATION!$A$2:$B$14,2),"")</f>
        <v/>
      </c>
      <c r="P44" s="270"/>
      <c r="Q44" s="268" t="str">
        <f t="shared" si="4"/>
        <v/>
      </c>
      <c r="R44" s="268" t="str">
        <f>IF(G44&lt;&gt;"",IF(Q44="","",VLOOKUP(Q44,TRANSMUTATION!$A$2:$B$14,2)),"")</f>
        <v/>
      </c>
      <c r="S44" s="271" t="str">
        <f t="shared" si="2"/>
        <v/>
      </c>
      <c r="T44" s="262"/>
      <c r="V44" s="443"/>
      <c r="W44" s="446"/>
      <c r="X44" s="447"/>
      <c r="Y44" s="447"/>
      <c r="Z44" s="447"/>
      <c r="AA44" s="447"/>
      <c r="AB44" s="447"/>
      <c r="AC44" s="447"/>
      <c r="AD44" s="447"/>
      <c r="AE44" s="447"/>
      <c r="AF44" s="447"/>
      <c r="AG44" s="447"/>
      <c r="AH44" s="447"/>
    </row>
    <row r="45" spans="2:34" s="99" customFormat="1" ht="17.100000000000001" customHeight="1" x14ac:dyDescent="0.2">
      <c r="B45" s="261"/>
      <c r="C45" s="340">
        <f t="shared" si="3"/>
        <v>39</v>
      </c>
      <c r="D45" s="265" t="str">
        <f t="shared" si="1"/>
        <v/>
      </c>
      <c r="E45" s="264" t="str">
        <f>(IF(Input!D46&lt;&gt;"",Input!D46,""))</f>
        <v/>
      </c>
      <c r="F45" s="266"/>
      <c r="G45" s="267" t="str">
        <f>(IF(Input!F46&lt;&gt;"",Input!F46,""))</f>
        <v/>
      </c>
      <c r="H45" s="268" t="str">
        <f>IF(G45&lt;&gt;"",PRELIMS!AT45,"")</f>
        <v/>
      </c>
      <c r="I45" s="269" t="str">
        <f>IF(G45&lt;&gt;"",VLOOKUP(H45,TRANSMUTATION!$A$2:$B$14,2),"")</f>
        <v/>
      </c>
      <c r="J45" s="268" t="str">
        <f>IF(G45&lt;&gt;"",MIDTERM!AT45,"")</f>
        <v/>
      </c>
      <c r="K45" s="269" t="str">
        <f>IF(G45&lt;&gt;"",VLOOKUP(J45,TRANSMUTATION!$A$2:$B$14,2),"")</f>
        <v/>
      </c>
      <c r="L45" s="268" t="str">
        <f>IF(G45&lt;&gt;"",'PRE-FINALS'!AT45,"")</f>
        <v/>
      </c>
      <c r="M45" s="269" t="str">
        <f>IF(G45&lt;&gt;"",VLOOKUP(L45,TRANSMUTATION!$A$2:$B$14,2),"")</f>
        <v/>
      </c>
      <c r="N45" s="268" t="str">
        <f>IF(G45&lt;&gt;"",FINALS!AT45,"")</f>
        <v/>
      </c>
      <c r="O45" s="269" t="str">
        <f>IF(G45&lt;&gt;"",VLOOKUP(N45,TRANSMUTATION!$A$2:$B$14,2),"")</f>
        <v/>
      </c>
      <c r="P45" s="270"/>
      <c r="Q45" s="268" t="str">
        <f t="shared" si="4"/>
        <v/>
      </c>
      <c r="R45" s="268" t="str">
        <f>IF(G45&lt;&gt;"",IF(Q45="","",VLOOKUP(Q45,TRANSMUTATION!$A$2:$B$14,2)),"")</f>
        <v/>
      </c>
      <c r="S45" s="271" t="str">
        <f t="shared" si="2"/>
        <v/>
      </c>
      <c r="T45" s="262"/>
      <c r="V45" s="443"/>
      <c r="W45" s="446"/>
      <c r="X45" s="447"/>
      <c r="Y45" s="447"/>
      <c r="Z45" s="447"/>
      <c r="AA45" s="447"/>
      <c r="AB45" s="447"/>
      <c r="AC45" s="447"/>
      <c r="AD45" s="447"/>
      <c r="AE45" s="447"/>
      <c r="AF45" s="447"/>
      <c r="AG45" s="447"/>
      <c r="AH45" s="447"/>
    </row>
    <row r="46" spans="2:34" s="99" customFormat="1" ht="17.100000000000001" customHeight="1" x14ac:dyDescent="0.2">
      <c r="B46" s="261"/>
      <c r="C46" s="340">
        <f t="shared" si="3"/>
        <v>40</v>
      </c>
      <c r="D46" s="265" t="str">
        <f t="shared" si="1"/>
        <v/>
      </c>
      <c r="E46" s="264" t="str">
        <f>(IF(Input!D47&lt;&gt;"",Input!D47,""))</f>
        <v/>
      </c>
      <c r="F46" s="266"/>
      <c r="G46" s="267" t="str">
        <f>(IF(Input!F47&lt;&gt;"",Input!F47,""))</f>
        <v/>
      </c>
      <c r="H46" s="268" t="str">
        <f>IF(G46&lt;&gt;"",PRELIMS!AT46,"")</f>
        <v/>
      </c>
      <c r="I46" s="269" t="str">
        <f>IF(G46&lt;&gt;"",VLOOKUP(H46,TRANSMUTATION!$A$2:$B$14,2),"")</f>
        <v/>
      </c>
      <c r="J46" s="268" t="str">
        <f>IF(G46&lt;&gt;"",MIDTERM!AT46,"")</f>
        <v/>
      </c>
      <c r="K46" s="269" t="str">
        <f>IF(G46&lt;&gt;"",VLOOKUP(J46,TRANSMUTATION!$A$2:$B$14,2),"")</f>
        <v/>
      </c>
      <c r="L46" s="268" t="str">
        <f>IF(G46&lt;&gt;"",'PRE-FINALS'!AT46,"")</f>
        <v/>
      </c>
      <c r="M46" s="269" t="str">
        <f>IF(G46&lt;&gt;"",VLOOKUP(L46,TRANSMUTATION!$A$2:$B$14,2),"")</f>
        <v/>
      </c>
      <c r="N46" s="268" t="str">
        <f>IF(G46&lt;&gt;"",FINALS!AT46,"")</f>
        <v/>
      </c>
      <c r="O46" s="269" t="str">
        <f>IF(G46&lt;&gt;"",VLOOKUP(N46,TRANSMUTATION!$A$2:$B$14,2),"")</f>
        <v/>
      </c>
      <c r="P46" s="270"/>
      <c r="Q46" s="268" t="str">
        <f t="shared" si="4"/>
        <v/>
      </c>
      <c r="R46" s="268" t="str">
        <f>IF(G46&lt;&gt;"",IF(Q46="","",VLOOKUP(Q46,TRANSMUTATION!$A$2:$B$14,2)),"")</f>
        <v/>
      </c>
      <c r="S46" s="271" t="str">
        <f t="shared" si="2"/>
        <v/>
      </c>
      <c r="T46" s="262"/>
      <c r="V46" s="443"/>
      <c r="W46" s="446"/>
      <c r="X46" s="447"/>
      <c r="Y46" s="447"/>
      <c r="Z46" s="447"/>
      <c r="AA46" s="447"/>
      <c r="AB46" s="447"/>
      <c r="AC46" s="447"/>
      <c r="AD46" s="447"/>
      <c r="AE46" s="447"/>
      <c r="AF46" s="447"/>
      <c r="AG46" s="447"/>
      <c r="AH46" s="447"/>
    </row>
    <row r="47" spans="2:34" s="99" customFormat="1" ht="17.100000000000001" customHeight="1" x14ac:dyDescent="0.2">
      <c r="B47" s="261"/>
      <c r="C47" s="340">
        <f t="shared" si="3"/>
        <v>41</v>
      </c>
      <c r="D47" s="265" t="str">
        <f t="shared" si="1"/>
        <v/>
      </c>
      <c r="E47" s="264" t="str">
        <f>(IF(Input!D48&lt;&gt;"",Input!D48,""))</f>
        <v/>
      </c>
      <c r="F47" s="266"/>
      <c r="G47" s="267" t="str">
        <f>(IF(Input!F48&lt;&gt;"",Input!F48,""))</f>
        <v/>
      </c>
      <c r="H47" s="268" t="str">
        <f>IF(G47&lt;&gt;"",PRELIMS!AT47,"")</f>
        <v/>
      </c>
      <c r="I47" s="269" t="str">
        <f>IF(G47&lt;&gt;"",VLOOKUP(H47,TRANSMUTATION!$A$2:$B$14,2),"")</f>
        <v/>
      </c>
      <c r="J47" s="268" t="str">
        <f>IF(G47&lt;&gt;"",MIDTERM!AT47,"")</f>
        <v/>
      </c>
      <c r="K47" s="269" t="str">
        <f>IF(G47&lt;&gt;"",VLOOKUP(J47,TRANSMUTATION!$A$2:$B$14,2),"")</f>
        <v/>
      </c>
      <c r="L47" s="268" t="str">
        <f>IF(G47&lt;&gt;"",'PRE-FINALS'!AT47,"")</f>
        <v/>
      </c>
      <c r="M47" s="269" t="str">
        <f>IF(G47&lt;&gt;"",VLOOKUP(L47,TRANSMUTATION!$A$2:$B$14,2),"")</f>
        <v/>
      </c>
      <c r="N47" s="268" t="str">
        <f>IF(G47&lt;&gt;"",FINALS!AT47,"")</f>
        <v/>
      </c>
      <c r="O47" s="269" t="str">
        <f>IF(G47&lt;&gt;"",VLOOKUP(N47,TRANSMUTATION!$A$2:$B$14,2),"")</f>
        <v/>
      </c>
      <c r="P47" s="270"/>
      <c r="Q47" s="268" t="str">
        <f t="shared" si="4"/>
        <v/>
      </c>
      <c r="R47" s="268" t="str">
        <f>IF(G47&lt;&gt;"",IF(Q47="","",VLOOKUP(Q47,TRANSMUTATION!$A$2:$B$14,2)),"")</f>
        <v/>
      </c>
      <c r="S47" s="271" t="str">
        <f t="shared" si="2"/>
        <v/>
      </c>
      <c r="T47" s="262"/>
      <c r="V47" s="443"/>
      <c r="W47" s="446"/>
      <c r="X47" s="447"/>
      <c r="Y47" s="447"/>
      <c r="Z47" s="447"/>
      <c r="AA47" s="447"/>
      <c r="AB47" s="447"/>
      <c r="AC47" s="447"/>
      <c r="AD47" s="447"/>
      <c r="AE47" s="447"/>
      <c r="AF47" s="447"/>
      <c r="AG47" s="447"/>
      <c r="AH47" s="447"/>
    </row>
    <row r="48" spans="2:34" s="99" customFormat="1" ht="17.100000000000001" customHeight="1" x14ac:dyDescent="0.2">
      <c r="B48" s="261"/>
      <c r="C48" s="340">
        <f t="shared" si="3"/>
        <v>42</v>
      </c>
      <c r="D48" s="265" t="str">
        <f t="shared" si="1"/>
        <v/>
      </c>
      <c r="E48" s="264" t="str">
        <f>(IF(Input!D49&lt;&gt;"",Input!D49,""))</f>
        <v/>
      </c>
      <c r="F48" s="266"/>
      <c r="G48" s="267" t="str">
        <f>(IF(Input!F49&lt;&gt;"",Input!F49,""))</f>
        <v/>
      </c>
      <c r="H48" s="268" t="str">
        <f>IF(G48&lt;&gt;"",PRELIMS!AT48,"")</f>
        <v/>
      </c>
      <c r="I48" s="269" t="str">
        <f>IF(G48&lt;&gt;"",VLOOKUP(H48,TRANSMUTATION!$A$2:$B$14,2),"")</f>
        <v/>
      </c>
      <c r="J48" s="268" t="str">
        <f>IF(G48&lt;&gt;"",MIDTERM!AT48,"")</f>
        <v/>
      </c>
      <c r="K48" s="269" t="str">
        <f>IF(G48&lt;&gt;"",VLOOKUP(J48,TRANSMUTATION!$A$2:$B$14,2),"")</f>
        <v/>
      </c>
      <c r="L48" s="268" t="str">
        <f>IF(G48&lt;&gt;"",'PRE-FINALS'!AT48,"")</f>
        <v/>
      </c>
      <c r="M48" s="269" t="str">
        <f>IF(G48&lt;&gt;"",VLOOKUP(L48,TRANSMUTATION!$A$2:$B$14,2),"")</f>
        <v/>
      </c>
      <c r="N48" s="268" t="str">
        <f>IF(G48&lt;&gt;"",FINALS!AT48,"")</f>
        <v/>
      </c>
      <c r="O48" s="269" t="str">
        <f>IF(G48&lt;&gt;"",VLOOKUP(N48,TRANSMUTATION!$A$2:$B$14,2),"")</f>
        <v/>
      </c>
      <c r="P48" s="270"/>
      <c r="Q48" s="268" t="str">
        <f t="shared" si="4"/>
        <v/>
      </c>
      <c r="R48" s="268" t="str">
        <f>IF(G48&lt;&gt;"",IF(Q48="","",VLOOKUP(Q48,TRANSMUTATION!$A$2:$B$14,2)),"")</f>
        <v/>
      </c>
      <c r="S48" s="271" t="str">
        <f t="shared" si="2"/>
        <v/>
      </c>
      <c r="T48" s="262"/>
      <c r="V48" s="443"/>
      <c r="W48" s="446"/>
      <c r="X48" s="447"/>
      <c r="Y48" s="447"/>
      <c r="Z48" s="447"/>
      <c r="AA48" s="447"/>
      <c r="AB48" s="447"/>
      <c r="AC48" s="447"/>
      <c r="AD48" s="447"/>
      <c r="AE48" s="447"/>
      <c r="AF48" s="447"/>
      <c r="AG48" s="447"/>
      <c r="AH48" s="447"/>
    </row>
    <row r="49" spans="2:34" s="99" customFormat="1" ht="17.100000000000001" customHeight="1" x14ac:dyDescent="0.2">
      <c r="B49" s="261"/>
      <c r="C49" s="340">
        <f t="shared" si="3"/>
        <v>43</v>
      </c>
      <c r="D49" s="265" t="str">
        <f t="shared" si="1"/>
        <v/>
      </c>
      <c r="E49" s="264" t="str">
        <f>(IF(Input!D50&lt;&gt;"",Input!D50,""))</f>
        <v/>
      </c>
      <c r="F49" s="266"/>
      <c r="G49" s="267" t="str">
        <f>(IF(Input!F50&lt;&gt;"",Input!F50,""))</f>
        <v/>
      </c>
      <c r="H49" s="268" t="str">
        <f>IF(G49&lt;&gt;"",PRELIMS!AT49,"")</f>
        <v/>
      </c>
      <c r="I49" s="269" t="str">
        <f>IF(G49&lt;&gt;"",VLOOKUP(H49,TRANSMUTATION!$A$2:$B$14,2),"")</f>
        <v/>
      </c>
      <c r="J49" s="268" t="str">
        <f>IF(G49&lt;&gt;"",MIDTERM!AT49,"")</f>
        <v/>
      </c>
      <c r="K49" s="269" t="str">
        <f>IF(G49&lt;&gt;"",VLOOKUP(J49,TRANSMUTATION!$A$2:$B$14,2),"")</f>
        <v/>
      </c>
      <c r="L49" s="268" t="str">
        <f>IF(G49&lt;&gt;"",'PRE-FINALS'!AT49,"")</f>
        <v/>
      </c>
      <c r="M49" s="269" t="str">
        <f>IF(G49&lt;&gt;"",VLOOKUP(L49,TRANSMUTATION!$A$2:$B$14,2),"")</f>
        <v/>
      </c>
      <c r="N49" s="268" t="str">
        <f>IF(G49&lt;&gt;"",FINALS!AT49,"")</f>
        <v/>
      </c>
      <c r="O49" s="269" t="str">
        <f>IF(G49&lt;&gt;"",VLOOKUP(N49,TRANSMUTATION!$A$2:$B$14,2),"")</f>
        <v/>
      </c>
      <c r="P49" s="270"/>
      <c r="Q49" s="268" t="str">
        <f t="shared" si="4"/>
        <v/>
      </c>
      <c r="R49" s="268" t="str">
        <f>IF(G49&lt;&gt;"",IF(Q49="","",VLOOKUP(Q49,TRANSMUTATION!$A$2:$B$14,2)),"")</f>
        <v/>
      </c>
      <c r="S49" s="271" t="str">
        <f t="shared" si="2"/>
        <v/>
      </c>
      <c r="T49" s="262"/>
      <c r="V49" s="443"/>
      <c r="W49" s="446"/>
      <c r="X49" s="447"/>
      <c r="Y49" s="447"/>
      <c r="Z49" s="447"/>
      <c r="AA49" s="447"/>
      <c r="AB49" s="447"/>
      <c r="AC49" s="447"/>
      <c r="AD49" s="447"/>
      <c r="AE49" s="447"/>
      <c r="AF49" s="447"/>
      <c r="AG49" s="447"/>
      <c r="AH49" s="447"/>
    </row>
    <row r="50" spans="2:34" s="99" customFormat="1" ht="17.100000000000001" customHeight="1" x14ac:dyDescent="0.2">
      <c r="B50" s="261"/>
      <c r="C50" s="340">
        <f t="shared" si="3"/>
        <v>44</v>
      </c>
      <c r="D50" s="265" t="str">
        <f t="shared" si="1"/>
        <v/>
      </c>
      <c r="E50" s="264" t="str">
        <f>(IF(Input!D51&lt;&gt;"",Input!D51,""))</f>
        <v/>
      </c>
      <c r="F50" s="266"/>
      <c r="G50" s="267" t="str">
        <f>(IF(Input!F51&lt;&gt;"",Input!F51,""))</f>
        <v/>
      </c>
      <c r="H50" s="268" t="str">
        <f>IF(G50&lt;&gt;"",PRELIMS!AT50,"")</f>
        <v/>
      </c>
      <c r="I50" s="269" t="str">
        <f>IF(G50&lt;&gt;"",VLOOKUP(H50,TRANSMUTATION!$A$2:$B$14,2),"")</f>
        <v/>
      </c>
      <c r="J50" s="268" t="str">
        <f>IF(G50&lt;&gt;"",MIDTERM!AT50,"")</f>
        <v/>
      </c>
      <c r="K50" s="269" t="str">
        <f>IF(G50&lt;&gt;"",VLOOKUP(J50,TRANSMUTATION!$A$2:$B$14,2),"")</f>
        <v/>
      </c>
      <c r="L50" s="268" t="str">
        <f>IF(G50&lt;&gt;"",'PRE-FINALS'!AT50,"")</f>
        <v/>
      </c>
      <c r="M50" s="269" t="str">
        <f>IF(G50&lt;&gt;"",VLOOKUP(L50,TRANSMUTATION!$A$2:$B$14,2),"")</f>
        <v/>
      </c>
      <c r="N50" s="268" t="str">
        <f>IF(G50&lt;&gt;"",FINALS!AT50,"")</f>
        <v/>
      </c>
      <c r="O50" s="269" t="str">
        <f>IF(G50&lt;&gt;"",VLOOKUP(N50,TRANSMUTATION!$A$2:$B$14,2),"")</f>
        <v/>
      </c>
      <c r="P50" s="270"/>
      <c r="Q50" s="268" t="str">
        <f t="shared" si="4"/>
        <v/>
      </c>
      <c r="R50" s="268" t="str">
        <f>IF(G50&lt;&gt;"",IF(Q50="","",VLOOKUP(Q50,TRANSMUTATION!$A$2:$B$14,2)),"")</f>
        <v/>
      </c>
      <c r="S50" s="271" t="str">
        <f t="shared" si="2"/>
        <v/>
      </c>
      <c r="T50" s="262"/>
      <c r="V50" s="443"/>
      <c r="W50" s="446"/>
      <c r="X50" s="447"/>
      <c r="Y50" s="447"/>
      <c r="Z50" s="447"/>
      <c r="AA50" s="447"/>
      <c r="AB50" s="447"/>
      <c r="AC50" s="447"/>
      <c r="AD50" s="447"/>
      <c r="AE50" s="447"/>
      <c r="AF50" s="447"/>
      <c r="AG50" s="447"/>
      <c r="AH50" s="447"/>
    </row>
    <row r="51" spans="2:34" s="99" customFormat="1" ht="17.100000000000001" customHeight="1" x14ac:dyDescent="0.2">
      <c r="B51" s="261"/>
      <c r="C51" s="340">
        <f t="shared" si="3"/>
        <v>45</v>
      </c>
      <c r="D51" s="265" t="str">
        <f t="shared" si="1"/>
        <v/>
      </c>
      <c r="E51" s="264" t="str">
        <f>(IF(Input!D52&lt;&gt;"",Input!D52,""))</f>
        <v/>
      </c>
      <c r="F51" s="266"/>
      <c r="G51" s="267" t="str">
        <f>(IF(Input!F52&lt;&gt;"",Input!F52,""))</f>
        <v/>
      </c>
      <c r="H51" s="268" t="str">
        <f>IF(G51&lt;&gt;"",PRELIMS!AT51,"")</f>
        <v/>
      </c>
      <c r="I51" s="269" t="str">
        <f>IF(G51&lt;&gt;"",VLOOKUP(H51,TRANSMUTATION!$A$2:$B$14,2),"")</f>
        <v/>
      </c>
      <c r="J51" s="268" t="str">
        <f>IF(G51&lt;&gt;"",MIDTERM!AT51,"")</f>
        <v/>
      </c>
      <c r="K51" s="269" t="str">
        <f>IF(G51&lt;&gt;"",VLOOKUP(J51,TRANSMUTATION!$A$2:$B$14,2),"")</f>
        <v/>
      </c>
      <c r="L51" s="268" t="str">
        <f>IF(G51&lt;&gt;"",'PRE-FINALS'!AT51,"")</f>
        <v/>
      </c>
      <c r="M51" s="269" t="str">
        <f>IF(G51&lt;&gt;"",VLOOKUP(L51,TRANSMUTATION!$A$2:$B$14,2),"")</f>
        <v/>
      </c>
      <c r="N51" s="268" t="str">
        <f>IF(G51&lt;&gt;"",FINALS!AT51,"")</f>
        <v/>
      </c>
      <c r="O51" s="269" t="str">
        <f>IF(G51&lt;&gt;"",VLOOKUP(N51,TRANSMUTATION!$A$2:$B$14,2),"")</f>
        <v/>
      </c>
      <c r="P51" s="270"/>
      <c r="Q51" s="268" t="str">
        <f t="shared" si="4"/>
        <v/>
      </c>
      <c r="R51" s="268" t="str">
        <f>IF(G51&lt;&gt;"",IF(Q51="","",VLOOKUP(Q51,TRANSMUTATION!$A$2:$B$14,2)),"")</f>
        <v/>
      </c>
      <c r="S51" s="271" t="str">
        <f t="shared" si="2"/>
        <v/>
      </c>
      <c r="T51" s="262"/>
      <c r="V51" s="443"/>
      <c r="W51" s="446"/>
      <c r="X51" s="447"/>
      <c r="Y51" s="447"/>
      <c r="Z51" s="447"/>
      <c r="AA51" s="447"/>
      <c r="AB51" s="447"/>
      <c r="AC51" s="447"/>
      <c r="AD51" s="447"/>
      <c r="AE51" s="447"/>
      <c r="AF51" s="447"/>
      <c r="AG51" s="447"/>
      <c r="AH51" s="447"/>
    </row>
    <row r="52" spans="2:34" s="99" customFormat="1" ht="17.100000000000001" customHeight="1" x14ac:dyDescent="0.2">
      <c r="B52" s="261"/>
      <c r="C52" s="340">
        <f t="shared" si="3"/>
        <v>46</v>
      </c>
      <c r="D52" s="265" t="str">
        <f t="shared" si="1"/>
        <v/>
      </c>
      <c r="E52" s="264" t="str">
        <f>(IF(Input!D53&lt;&gt;"",Input!D53,""))</f>
        <v/>
      </c>
      <c r="F52" s="266"/>
      <c r="G52" s="267" t="str">
        <f>(IF(Input!F53&lt;&gt;"",Input!F53,""))</f>
        <v/>
      </c>
      <c r="H52" s="268" t="str">
        <f>IF(G52&lt;&gt;"",PRELIMS!AT52,"")</f>
        <v/>
      </c>
      <c r="I52" s="269" t="str">
        <f>IF(G52&lt;&gt;"",VLOOKUP(H52,TRANSMUTATION!$A$2:$B$14,2),"")</f>
        <v/>
      </c>
      <c r="J52" s="268" t="str">
        <f>IF(G52&lt;&gt;"",MIDTERM!AT52,"")</f>
        <v/>
      </c>
      <c r="K52" s="269" t="str">
        <f>IF(G52&lt;&gt;"",VLOOKUP(J52,TRANSMUTATION!$A$2:$B$14,2),"")</f>
        <v/>
      </c>
      <c r="L52" s="268" t="str">
        <f>IF(G52&lt;&gt;"",'PRE-FINALS'!AT52,"")</f>
        <v/>
      </c>
      <c r="M52" s="269" t="str">
        <f>IF(G52&lt;&gt;"",VLOOKUP(L52,TRANSMUTATION!$A$2:$B$14,2),"")</f>
        <v/>
      </c>
      <c r="N52" s="268" t="str">
        <f>IF(G52&lt;&gt;"",FINALS!AT52,"")</f>
        <v/>
      </c>
      <c r="O52" s="269" t="str">
        <f>IF(G52&lt;&gt;"",VLOOKUP(N52,TRANSMUTATION!$A$2:$B$14,2),"")</f>
        <v/>
      </c>
      <c r="P52" s="270"/>
      <c r="Q52" s="268" t="str">
        <f t="shared" si="4"/>
        <v/>
      </c>
      <c r="R52" s="268" t="str">
        <f>IF(G52&lt;&gt;"",IF(Q52="","",VLOOKUP(Q52,TRANSMUTATION!$A$2:$B$14,2)),"")</f>
        <v/>
      </c>
      <c r="S52" s="271" t="str">
        <f t="shared" si="2"/>
        <v/>
      </c>
      <c r="T52" s="262"/>
      <c r="W52" s="447"/>
      <c r="X52" s="447"/>
      <c r="Y52" s="447"/>
      <c r="Z52" s="447"/>
      <c r="AA52" s="447"/>
      <c r="AB52" s="447"/>
      <c r="AC52" s="447"/>
      <c r="AD52" s="447"/>
      <c r="AE52" s="447"/>
      <c r="AF52" s="447"/>
      <c r="AG52" s="447"/>
      <c r="AH52" s="447"/>
    </row>
    <row r="53" spans="2:34" s="99" customFormat="1" ht="17.100000000000001" customHeight="1" x14ac:dyDescent="0.2">
      <c r="B53" s="261"/>
      <c r="C53" s="340">
        <f t="shared" si="3"/>
        <v>47</v>
      </c>
      <c r="D53" s="265" t="str">
        <f t="shared" si="1"/>
        <v/>
      </c>
      <c r="E53" s="264" t="str">
        <f>(IF(Input!D54&lt;&gt;"",Input!D54,""))</f>
        <v/>
      </c>
      <c r="F53" s="266"/>
      <c r="G53" s="267" t="str">
        <f>(IF(Input!F54&lt;&gt;"",Input!F54,""))</f>
        <v/>
      </c>
      <c r="H53" s="268" t="str">
        <f>IF(G53&lt;&gt;"",PRELIMS!AT53,"")</f>
        <v/>
      </c>
      <c r="I53" s="269" t="str">
        <f>IF(G53&lt;&gt;"",VLOOKUP(H53,TRANSMUTATION!$A$2:$B$14,2),"")</f>
        <v/>
      </c>
      <c r="J53" s="268" t="str">
        <f>IF(G53&lt;&gt;"",MIDTERM!AT53,"")</f>
        <v/>
      </c>
      <c r="K53" s="269" t="str">
        <f>IF(G53&lt;&gt;"",VLOOKUP(J53,TRANSMUTATION!$A$2:$B$14,2),"")</f>
        <v/>
      </c>
      <c r="L53" s="268" t="str">
        <f>IF(G53&lt;&gt;"",'PRE-FINALS'!AT53,"")</f>
        <v/>
      </c>
      <c r="M53" s="269" t="str">
        <f>IF(G53&lt;&gt;"",VLOOKUP(L53,TRANSMUTATION!$A$2:$B$14,2),"")</f>
        <v/>
      </c>
      <c r="N53" s="268" t="str">
        <f>IF(G53&lt;&gt;"",FINALS!AT53,"")</f>
        <v/>
      </c>
      <c r="O53" s="269" t="str">
        <f>IF(G53&lt;&gt;"",VLOOKUP(N53,TRANSMUTATION!$A$2:$B$14,2),"")</f>
        <v/>
      </c>
      <c r="P53" s="270"/>
      <c r="Q53" s="268" t="str">
        <f t="shared" si="4"/>
        <v/>
      </c>
      <c r="R53" s="268" t="str">
        <f>IF(G53&lt;&gt;"",IF(Q53="","",VLOOKUP(Q53,TRANSMUTATION!$A$2:$B$14,2)),"")</f>
        <v/>
      </c>
      <c r="S53" s="271" t="str">
        <f t="shared" si="2"/>
        <v/>
      </c>
      <c r="T53" s="262"/>
      <c r="W53" s="447"/>
      <c r="X53" s="447"/>
      <c r="Y53" s="447"/>
      <c r="Z53" s="447"/>
      <c r="AA53" s="447"/>
      <c r="AB53" s="447"/>
      <c r="AC53" s="447"/>
      <c r="AD53" s="447"/>
      <c r="AE53" s="447"/>
      <c r="AF53" s="447"/>
      <c r="AG53" s="447"/>
      <c r="AH53" s="447"/>
    </row>
    <row r="54" spans="2:34" s="99" customFormat="1" ht="17.100000000000001" customHeight="1" x14ac:dyDescent="0.2">
      <c r="B54" s="261"/>
      <c r="C54" s="340">
        <f t="shared" si="3"/>
        <v>48</v>
      </c>
      <c r="D54" s="265" t="str">
        <f t="shared" si="1"/>
        <v/>
      </c>
      <c r="E54" s="264" t="str">
        <f>(IF(Input!D55&lt;&gt;"",Input!D55,""))</f>
        <v/>
      </c>
      <c r="F54" s="266"/>
      <c r="G54" s="267" t="str">
        <f>(IF(Input!F55&lt;&gt;"",Input!F55,""))</f>
        <v/>
      </c>
      <c r="H54" s="268" t="str">
        <f>IF(G54&lt;&gt;"",PRELIMS!AT54,"")</f>
        <v/>
      </c>
      <c r="I54" s="269" t="str">
        <f>IF(G54&lt;&gt;"",VLOOKUP(H54,TRANSMUTATION!$A$2:$B$14,2),"")</f>
        <v/>
      </c>
      <c r="J54" s="268" t="str">
        <f>IF(G54&lt;&gt;"",MIDTERM!AT54,"")</f>
        <v/>
      </c>
      <c r="K54" s="269" t="str">
        <f>IF(G54&lt;&gt;"",VLOOKUP(J54,TRANSMUTATION!$A$2:$B$14,2),"")</f>
        <v/>
      </c>
      <c r="L54" s="268" t="str">
        <f>IF(G54&lt;&gt;"",'PRE-FINALS'!AT54,"")</f>
        <v/>
      </c>
      <c r="M54" s="269" t="str">
        <f>IF(G54&lt;&gt;"",VLOOKUP(L54,TRANSMUTATION!$A$2:$B$14,2),"")</f>
        <v/>
      </c>
      <c r="N54" s="268" t="str">
        <f>IF(G54&lt;&gt;"",FINALS!AT54,"")</f>
        <v/>
      </c>
      <c r="O54" s="269" t="str">
        <f>IF(G54&lt;&gt;"",VLOOKUP(N54,TRANSMUTATION!$A$2:$B$14,2),"")</f>
        <v/>
      </c>
      <c r="P54" s="270"/>
      <c r="Q54" s="268" t="str">
        <f t="shared" si="4"/>
        <v/>
      </c>
      <c r="R54" s="268" t="str">
        <f>IF(G54&lt;&gt;"",IF(Q54="","",VLOOKUP(Q54,TRANSMUTATION!$A$2:$B$14,2)),"")</f>
        <v/>
      </c>
      <c r="S54" s="271" t="str">
        <f t="shared" si="2"/>
        <v/>
      </c>
      <c r="T54" s="262"/>
      <c r="W54" s="447"/>
      <c r="X54" s="447"/>
      <c r="Y54" s="447"/>
      <c r="Z54" s="447"/>
      <c r="AA54" s="447"/>
      <c r="AB54" s="447"/>
      <c r="AC54" s="447"/>
      <c r="AD54" s="447"/>
      <c r="AE54" s="447"/>
      <c r="AF54" s="447"/>
      <c r="AG54" s="447"/>
      <c r="AH54" s="447"/>
    </row>
    <row r="55" spans="2:34" s="99" customFormat="1" ht="17.100000000000001" customHeight="1" x14ac:dyDescent="0.2">
      <c r="B55" s="261"/>
      <c r="C55" s="340">
        <f t="shared" si="3"/>
        <v>49</v>
      </c>
      <c r="D55" s="265" t="str">
        <f t="shared" si="1"/>
        <v/>
      </c>
      <c r="E55" s="264" t="str">
        <f>(IF(Input!D56&lt;&gt;"",Input!D56,""))</f>
        <v/>
      </c>
      <c r="F55" s="266"/>
      <c r="G55" s="267" t="str">
        <f>(IF(Input!F56&lt;&gt;"",Input!F56,""))</f>
        <v/>
      </c>
      <c r="H55" s="268" t="str">
        <f>IF(G55&lt;&gt;"",PRELIMS!AT55,"")</f>
        <v/>
      </c>
      <c r="I55" s="269" t="str">
        <f>IF(G55&lt;&gt;"",VLOOKUP(H55,TRANSMUTATION!$A$2:$B$14,2),"")</f>
        <v/>
      </c>
      <c r="J55" s="268" t="str">
        <f>IF(G55&lt;&gt;"",MIDTERM!AT55,"")</f>
        <v/>
      </c>
      <c r="K55" s="269" t="str">
        <f>IF(G55&lt;&gt;"",VLOOKUP(J55,TRANSMUTATION!$A$2:$B$14,2),"")</f>
        <v/>
      </c>
      <c r="L55" s="268" t="str">
        <f>IF(G55&lt;&gt;"",'PRE-FINALS'!AT55,"")</f>
        <v/>
      </c>
      <c r="M55" s="269" t="str">
        <f>IF(G55&lt;&gt;"",VLOOKUP(L55,TRANSMUTATION!$A$2:$B$14,2),"")</f>
        <v/>
      </c>
      <c r="N55" s="268" t="str">
        <f>IF(G55&lt;&gt;"",FINALS!AT55,"")</f>
        <v/>
      </c>
      <c r="O55" s="269" t="str">
        <f>IF(G55&lt;&gt;"",VLOOKUP(N55,TRANSMUTATION!$A$2:$B$14,2),"")</f>
        <v/>
      </c>
      <c r="P55" s="270"/>
      <c r="Q55" s="268" t="str">
        <f t="shared" si="4"/>
        <v/>
      </c>
      <c r="R55" s="268" t="str">
        <f>IF(G55&lt;&gt;"",IF(Q55="","",VLOOKUP(Q55,TRANSMUTATION!$A$2:$B$14,2)),"")</f>
        <v/>
      </c>
      <c r="S55" s="271" t="str">
        <f t="shared" si="2"/>
        <v/>
      </c>
      <c r="T55" s="262"/>
      <c r="W55" s="447"/>
      <c r="X55" s="447"/>
      <c r="Y55" s="447"/>
      <c r="Z55" s="447"/>
      <c r="AA55" s="447"/>
      <c r="AB55" s="447"/>
      <c r="AC55" s="447"/>
      <c r="AD55" s="447"/>
      <c r="AE55" s="447"/>
      <c r="AF55" s="447"/>
      <c r="AG55" s="447"/>
      <c r="AH55" s="447"/>
    </row>
    <row r="56" spans="2:34" s="99" customFormat="1" ht="17.100000000000001" customHeight="1" x14ac:dyDescent="0.2">
      <c r="B56" s="261"/>
      <c r="C56" s="340">
        <f t="shared" si="3"/>
        <v>50</v>
      </c>
      <c r="D56" s="265" t="str">
        <f t="shared" si="1"/>
        <v/>
      </c>
      <c r="E56" s="264" t="str">
        <f>(IF(Input!D57&lt;&gt;"",Input!D57,""))</f>
        <v/>
      </c>
      <c r="F56" s="266"/>
      <c r="G56" s="267" t="str">
        <f>(IF(Input!F57&lt;&gt;"",Input!F57,""))</f>
        <v/>
      </c>
      <c r="H56" s="268" t="str">
        <f>IF(G56&lt;&gt;"",PRELIMS!AT56,"")</f>
        <v/>
      </c>
      <c r="I56" s="269" t="str">
        <f>IF(G56&lt;&gt;"",VLOOKUP(H56,TRANSMUTATION!$A$2:$B$14,2),"")</f>
        <v/>
      </c>
      <c r="J56" s="268" t="str">
        <f>IF(G56&lt;&gt;"",MIDTERM!AT56,"")</f>
        <v/>
      </c>
      <c r="K56" s="269" t="str">
        <f>IF(G56&lt;&gt;"",VLOOKUP(J56,TRANSMUTATION!$A$2:$B$14,2),"")</f>
        <v/>
      </c>
      <c r="L56" s="268" t="str">
        <f>IF(G56&lt;&gt;"",'PRE-FINALS'!AT56,"")</f>
        <v/>
      </c>
      <c r="M56" s="269" t="str">
        <f>IF(G56&lt;&gt;"",VLOOKUP(L56,TRANSMUTATION!$A$2:$B$14,2),"")</f>
        <v/>
      </c>
      <c r="N56" s="268" t="str">
        <f>IF(G56&lt;&gt;"",FINALS!AT56,"")</f>
        <v/>
      </c>
      <c r="O56" s="269" t="str">
        <f>IF(G56&lt;&gt;"",VLOOKUP(N56,TRANSMUTATION!$A$2:$B$14,2),"")</f>
        <v/>
      </c>
      <c r="P56" s="270"/>
      <c r="Q56" s="268" t="str">
        <f t="shared" si="4"/>
        <v/>
      </c>
      <c r="R56" s="268" t="str">
        <f>IF(G56&lt;&gt;"",IF(Q56="","",VLOOKUP(Q56,TRANSMUTATION!$A$2:$B$14,2)),"")</f>
        <v/>
      </c>
      <c r="S56" s="271" t="str">
        <f t="shared" si="2"/>
        <v/>
      </c>
      <c r="T56" s="262"/>
      <c r="W56" s="447"/>
      <c r="X56" s="447"/>
      <c r="Y56" s="447"/>
      <c r="Z56" s="447"/>
      <c r="AA56" s="447"/>
      <c r="AB56" s="447"/>
      <c r="AC56" s="447"/>
      <c r="AD56" s="447"/>
      <c r="AE56" s="447"/>
      <c r="AF56" s="447"/>
      <c r="AG56" s="447"/>
      <c r="AH56" s="447"/>
    </row>
    <row r="57" spans="2:34" s="99" customFormat="1" ht="17.100000000000001" customHeight="1" x14ac:dyDescent="0.2">
      <c r="B57" s="261"/>
      <c r="C57" s="341">
        <f t="shared" si="3"/>
        <v>51</v>
      </c>
      <c r="D57" s="265" t="str">
        <f t="shared" si="1"/>
        <v/>
      </c>
      <c r="E57" s="325" t="str">
        <f>(IF(Input!D58&lt;&gt;"",Input!D58,""))</f>
        <v/>
      </c>
      <c r="F57" s="326"/>
      <c r="G57" s="327" t="str">
        <f>(IF(Input!F58&lt;&gt;"",Input!F58,""))</f>
        <v/>
      </c>
      <c r="H57" s="328" t="str">
        <f>IF(G57&lt;&gt;"",PRELIMS!AT57,"")</f>
        <v/>
      </c>
      <c r="I57" s="329" t="str">
        <f>IF(G57&lt;&gt;"",VLOOKUP(H57,TRANSMUTATION!$A$2:$B$14,2),"")</f>
        <v/>
      </c>
      <c r="J57" s="328" t="str">
        <f>IF(G57&lt;&gt;"",MIDTERM!AT57,"")</f>
        <v/>
      </c>
      <c r="K57" s="329" t="str">
        <f>IF(G57&lt;&gt;"",VLOOKUP(J57,TRANSMUTATION!$A$2:$B$14,2),"")</f>
        <v/>
      </c>
      <c r="L57" s="328" t="str">
        <f>IF(G57&lt;&gt;"",'PRE-FINALS'!AT57,"")</f>
        <v/>
      </c>
      <c r="M57" s="329" t="str">
        <f>IF(G57&lt;&gt;"",VLOOKUP(L57,TRANSMUTATION!$A$2:$B$14,2),"")</f>
        <v/>
      </c>
      <c r="N57" s="328" t="str">
        <f>IF(G57&lt;&gt;"",FINALS!AT57,"")</f>
        <v/>
      </c>
      <c r="O57" s="329" t="str">
        <f>IF(G57&lt;&gt;"",VLOOKUP(N57,TRANSMUTATION!$A$2:$B$14,2),"")</f>
        <v/>
      </c>
      <c r="P57" s="270"/>
      <c r="Q57" s="268" t="str">
        <f t="shared" si="4"/>
        <v/>
      </c>
      <c r="R57" s="328" t="str">
        <f>IF(G57&lt;&gt;"",IF(Q57="","",VLOOKUP(Q57,TRANSMUTATION!$A$2:$B$14,2)),"")</f>
        <v/>
      </c>
      <c r="S57" s="271" t="str">
        <f t="shared" si="2"/>
        <v/>
      </c>
      <c r="T57" s="262"/>
      <c r="W57" s="447"/>
      <c r="X57" s="447"/>
      <c r="Y57" s="447"/>
      <c r="Z57" s="447"/>
      <c r="AA57" s="447"/>
      <c r="AB57" s="447"/>
      <c r="AC57" s="447"/>
      <c r="AD57" s="447"/>
      <c r="AE57" s="447"/>
      <c r="AF57" s="447"/>
      <c r="AG57" s="447"/>
      <c r="AH57" s="447"/>
    </row>
    <row r="58" spans="2:34" s="99" customFormat="1" ht="17.100000000000001" customHeight="1" x14ac:dyDescent="0.2">
      <c r="B58" s="261"/>
      <c r="C58" s="340">
        <f t="shared" si="3"/>
        <v>52</v>
      </c>
      <c r="D58" s="265" t="str">
        <f t="shared" si="1"/>
        <v/>
      </c>
      <c r="E58" s="264" t="str">
        <f>(IF(Input!D59&lt;&gt;"",Input!D59,""))</f>
        <v/>
      </c>
      <c r="F58" s="266"/>
      <c r="G58" s="267" t="str">
        <f>(IF(Input!F59&lt;&gt;"",Input!F59,""))</f>
        <v/>
      </c>
      <c r="H58" s="268" t="str">
        <f>IF(G58&lt;&gt;"",PRELIMS!AT58,"")</f>
        <v/>
      </c>
      <c r="I58" s="269" t="str">
        <f>IF(G58&lt;&gt;"",VLOOKUP(H58,TRANSMUTATION!$A$2:$B$14,2),"")</f>
        <v/>
      </c>
      <c r="J58" s="268" t="str">
        <f>IF(G58&lt;&gt;"",MIDTERM!AT58,"")</f>
        <v/>
      </c>
      <c r="K58" s="269" t="str">
        <f>IF(G58&lt;&gt;"",VLOOKUP(J58,TRANSMUTATION!$A$2:$B$14,2),"")</f>
        <v/>
      </c>
      <c r="L58" s="268" t="str">
        <f>IF(G58&lt;&gt;"",'PRE-FINALS'!AT58,"")</f>
        <v/>
      </c>
      <c r="M58" s="269" t="str">
        <f>IF(G58&lt;&gt;"",VLOOKUP(L58,TRANSMUTATION!$A$2:$B$14,2),"")</f>
        <v/>
      </c>
      <c r="N58" s="268" t="str">
        <f>IF(G58&lt;&gt;"",FINALS!AT58,"")</f>
        <v/>
      </c>
      <c r="O58" s="269" t="str">
        <f>IF(G58&lt;&gt;"",VLOOKUP(N58,TRANSMUTATION!$A$2:$B$14,2),"")</f>
        <v/>
      </c>
      <c r="P58" s="270"/>
      <c r="Q58" s="268" t="str">
        <f t="shared" si="4"/>
        <v/>
      </c>
      <c r="R58" s="268" t="str">
        <f>IF(G58&lt;&gt;"",IF(Q58="","",VLOOKUP(Q58,TRANSMUTATION!$A$2:$B$14,2)),"")</f>
        <v/>
      </c>
      <c r="S58" s="271" t="str">
        <f t="shared" si="2"/>
        <v/>
      </c>
      <c r="T58" s="262"/>
      <c r="W58" s="447"/>
      <c r="X58" s="447"/>
      <c r="Y58" s="447"/>
      <c r="Z58" s="447"/>
      <c r="AA58" s="447"/>
      <c r="AB58" s="447"/>
      <c r="AC58" s="447"/>
      <c r="AD58" s="447"/>
      <c r="AE58" s="447"/>
      <c r="AF58" s="447"/>
      <c r="AG58" s="447"/>
      <c r="AH58" s="447"/>
    </row>
    <row r="59" spans="2:34" s="99" customFormat="1" ht="17.100000000000001" customHeight="1" x14ac:dyDescent="0.2">
      <c r="B59" s="261"/>
      <c r="C59" s="340">
        <f t="shared" si="3"/>
        <v>53</v>
      </c>
      <c r="D59" s="265" t="str">
        <f t="shared" si="1"/>
        <v/>
      </c>
      <c r="E59" s="264" t="str">
        <f>(IF(Input!D60&lt;&gt;"",Input!D60,""))</f>
        <v/>
      </c>
      <c r="F59" s="266"/>
      <c r="G59" s="267" t="str">
        <f>(IF(Input!F60&lt;&gt;"",Input!F60,""))</f>
        <v/>
      </c>
      <c r="H59" s="268" t="str">
        <f>IF(G59&lt;&gt;"",PRELIMS!AT59,"")</f>
        <v/>
      </c>
      <c r="I59" s="269" t="str">
        <f>IF(G59&lt;&gt;"",VLOOKUP(H59,TRANSMUTATION!$A$2:$B$14,2),"")</f>
        <v/>
      </c>
      <c r="J59" s="268" t="str">
        <f>IF(G59&lt;&gt;"",MIDTERM!AT59,"")</f>
        <v/>
      </c>
      <c r="K59" s="269" t="str">
        <f>IF(G59&lt;&gt;"",VLOOKUP(J59,TRANSMUTATION!$A$2:$B$14,2),"")</f>
        <v/>
      </c>
      <c r="L59" s="268" t="str">
        <f>IF(G59&lt;&gt;"",'PRE-FINALS'!AT59,"")</f>
        <v/>
      </c>
      <c r="M59" s="269" t="str">
        <f>IF(G59&lt;&gt;"",VLOOKUP(L59,TRANSMUTATION!$A$2:$B$14,2),"")</f>
        <v/>
      </c>
      <c r="N59" s="268" t="str">
        <f>IF(G59&lt;&gt;"",FINALS!AT59,"")</f>
        <v/>
      </c>
      <c r="O59" s="269" t="str">
        <f>IF(G59&lt;&gt;"",VLOOKUP(N59,TRANSMUTATION!$A$2:$B$14,2),"")</f>
        <v/>
      </c>
      <c r="P59" s="270"/>
      <c r="Q59" s="268" t="str">
        <f t="shared" si="4"/>
        <v/>
      </c>
      <c r="R59" s="268" t="str">
        <f>IF(G59&lt;&gt;"",IF(Q59="","",VLOOKUP(Q59,TRANSMUTATION!$A$2:$B$14,2)),"")</f>
        <v/>
      </c>
      <c r="S59" s="271" t="str">
        <f t="shared" si="2"/>
        <v/>
      </c>
      <c r="T59" s="262"/>
      <c r="W59" s="447"/>
      <c r="X59" s="447"/>
      <c r="Y59" s="447"/>
      <c r="Z59" s="447"/>
      <c r="AA59" s="447"/>
      <c r="AB59" s="447"/>
      <c r="AC59" s="447"/>
      <c r="AD59" s="447"/>
      <c r="AE59" s="447"/>
      <c r="AF59" s="447"/>
      <c r="AG59" s="447"/>
      <c r="AH59" s="447"/>
    </row>
    <row r="60" spans="2:34" s="99" customFormat="1" ht="17.100000000000001" customHeight="1" x14ac:dyDescent="0.2">
      <c r="B60" s="261"/>
      <c r="C60" s="340">
        <f t="shared" si="3"/>
        <v>54</v>
      </c>
      <c r="D60" s="265" t="str">
        <f t="shared" si="1"/>
        <v/>
      </c>
      <c r="E60" s="264" t="str">
        <f>(IF(Input!D61&lt;&gt;"",Input!D61,""))</f>
        <v/>
      </c>
      <c r="F60" s="266"/>
      <c r="G60" s="267" t="str">
        <f>(IF(Input!F61&lt;&gt;"",Input!F61,""))</f>
        <v/>
      </c>
      <c r="H60" s="268" t="str">
        <f>IF(G60&lt;&gt;"",PRELIMS!AT60,"")</f>
        <v/>
      </c>
      <c r="I60" s="269" t="str">
        <f>IF(G60&lt;&gt;"",VLOOKUP(H60,TRANSMUTATION!$A$2:$B$14,2),"")</f>
        <v/>
      </c>
      <c r="J60" s="268" t="str">
        <f>IF(G60&lt;&gt;"",MIDTERM!AT60,"")</f>
        <v/>
      </c>
      <c r="K60" s="269" t="str">
        <f>IF(G60&lt;&gt;"",VLOOKUP(J60,TRANSMUTATION!$A$2:$B$14,2),"")</f>
        <v/>
      </c>
      <c r="L60" s="268" t="str">
        <f>IF(G60&lt;&gt;"",'PRE-FINALS'!AT60,"")</f>
        <v/>
      </c>
      <c r="M60" s="269" t="str">
        <f>IF(G60&lt;&gt;"",VLOOKUP(L60,TRANSMUTATION!$A$2:$B$14,2),"")</f>
        <v/>
      </c>
      <c r="N60" s="268" t="str">
        <f>IF(G60&lt;&gt;"",FINALS!AT60,"")</f>
        <v/>
      </c>
      <c r="O60" s="269" t="str">
        <f>IF(G60&lt;&gt;"",VLOOKUP(N60,TRANSMUTATION!$A$2:$B$14,2),"")</f>
        <v/>
      </c>
      <c r="P60" s="270"/>
      <c r="Q60" s="268" t="str">
        <f t="shared" si="4"/>
        <v/>
      </c>
      <c r="R60" s="268" t="str">
        <f>IF(G60&lt;&gt;"",IF(Q60="","",VLOOKUP(Q60,TRANSMUTATION!$A$2:$B$14,2)),"")</f>
        <v/>
      </c>
      <c r="S60" s="271" t="str">
        <f t="shared" si="2"/>
        <v/>
      </c>
      <c r="T60" s="262"/>
      <c r="W60" s="447"/>
      <c r="X60" s="447"/>
      <c r="Y60" s="447"/>
      <c r="Z60" s="447"/>
      <c r="AA60" s="447"/>
      <c r="AB60" s="447"/>
      <c r="AC60" s="447"/>
      <c r="AD60" s="447"/>
      <c r="AE60" s="447"/>
      <c r="AF60" s="447"/>
      <c r="AG60" s="447"/>
      <c r="AH60" s="447"/>
    </row>
    <row r="61" spans="2:34" s="99" customFormat="1" ht="17.100000000000001" customHeight="1" x14ac:dyDescent="0.2">
      <c r="B61" s="261"/>
      <c r="C61" s="340">
        <f t="shared" si="3"/>
        <v>55</v>
      </c>
      <c r="D61" s="265" t="str">
        <f t="shared" si="1"/>
        <v/>
      </c>
      <c r="E61" s="264" t="str">
        <f>(IF(Input!D62&lt;&gt;"",Input!D62,""))</f>
        <v/>
      </c>
      <c r="F61" s="266"/>
      <c r="G61" s="267" t="str">
        <f>(IF(Input!F62&lt;&gt;"",Input!F62,""))</f>
        <v/>
      </c>
      <c r="H61" s="268" t="str">
        <f>IF(G61&lt;&gt;"",PRELIMS!AT61,"")</f>
        <v/>
      </c>
      <c r="I61" s="269" t="str">
        <f>IF(G61&lt;&gt;"",VLOOKUP(H61,TRANSMUTATION!$A$2:$B$14,2),"")</f>
        <v/>
      </c>
      <c r="J61" s="268" t="str">
        <f>IF(G61&lt;&gt;"",MIDTERM!AT61,"")</f>
        <v/>
      </c>
      <c r="K61" s="269" t="str">
        <f>IF(G61&lt;&gt;"",VLOOKUP(J61,TRANSMUTATION!$A$2:$B$14,2),"")</f>
        <v/>
      </c>
      <c r="L61" s="268" t="str">
        <f>IF(G61&lt;&gt;"",'PRE-FINALS'!AT61,"")</f>
        <v/>
      </c>
      <c r="M61" s="269" t="str">
        <f>IF(G61&lt;&gt;"",VLOOKUP(L61,TRANSMUTATION!$A$2:$B$14,2),"")</f>
        <v/>
      </c>
      <c r="N61" s="268" t="str">
        <f>IF(G61&lt;&gt;"",FINALS!AT61,"")</f>
        <v/>
      </c>
      <c r="O61" s="269" t="str">
        <f>IF(G61&lt;&gt;"",VLOOKUP(N61,TRANSMUTATION!$A$2:$B$14,2),"")</f>
        <v/>
      </c>
      <c r="P61" s="270"/>
      <c r="Q61" s="268" t="str">
        <f t="shared" si="4"/>
        <v/>
      </c>
      <c r="R61" s="268" t="str">
        <f>IF(G61&lt;&gt;"",IF(Q61="","",VLOOKUP(Q61,TRANSMUTATION!$A$2:$B$14,2)),"")</f>
        <v/>
      </c>
      <c r="S61" s="271" t="str">
        <f t="shared" si="2"/>
        <v/>
      </c>
      <c r="T61" s="262"/>
      <c r="W61" s="447"/>
      <c r="X61" s="447"/>
      <c r="Y61" s="447"/>
      <c r="Z61" s="447"/>
      <c r="AA61" s="447"/>
      <c r="AB61" s="447"/>
      <c r="AC61" s="447"/>
      <c r="AD61" s="447"/>
      <c r="AE61" s="447"/>
      <c r="AF61" s="447"/>
      <c r="AG61" s="447"/>
      <c r="AH61" s="447"/>
    </row>
    <row r="62" spans="2:34" s="99" customFormat="1" ht="17.100000000000001" customHeight="1" x14ac:dyDescent="0.2">
      <c r="B62" s="261"/>
      <c r="C62" s="340">
        <f t="shared" si="3"/>
        <v>56</v>
      </c>
      <c r="D62" s="265" t="str">
        <f t="shared" si="1"/>
        <v/>
      </c>
      <c r="E62" s="264" t="str">
        <f>(IF(Input!D63&lt;&gt;"",Input!D63,""))</f>
        <v/>
      </c>
      <c r="F62" s="266"/>
      <c r="G62" s="267" t="str">
        <f>(IF(Input!F63&lt;&gt;"",Input!F63,""))</f>
        <v/>
      </c>
      <c r="H62" s="268" t="str">
        <f>IF(G62&lt;&gt;"",PRELIMS!AT62,"")</f>
        <v/>
      </c>
      <c r="I62" s="269" t="str">
        <f>IF(G62&lt;&gt;"",VLOOKUP(H62,TRANSMUTATION!$A$2:$B$14,2),"")</f>
        <v/>
      </c>
      <c r="J62" s="268" t="str">
        <f>IF(G62&lt;&gt;"",MIDTERM!AT62,"")</f>
        <v/>
      </c>
      <c r="K62" s="269" t="str">
        <f>IF(G62&lt;&gt;"",VLOOKUP(J62,TRANSMUTATION!$A$2:$B$14,2),"")</f>
        <v/>
      </c>
      <c r="L62" s="268" t="str">
        <f>IF(G62&lt;&gt;"",'PRE-FINALS'!AT62,"")</f>
        <v/>
      </c>
      <c r="M62" s="269" t="str">
        <f>IF(G62&lt;&gt;"",VLOOKUP(L62,TRANSMUTATION!$A$2:$B$14,2),"")</f>
        <v/>
      </c>
      <c r="N62" s="268" t="str">
        <f>IF(G62&lt;&gt;"",FINALS!AT62,"")</f>
        <v/>
      </c>
      <c r="O62" s="269" t="str">
        <f>IF(G62&lt;&gt;"",VLOOKUP(N62,TRANSMUTATION!$A$2:$B$14,2),"")</f>
        <v/>
      </c>
      <c r="P62" s="270"/>
      <c r="Q62" s="268" t="str">
        <f t="shared" si="4"/>
        <v/>
      </c>
      <c r="R62" s="268" t="str">
        <f>IF(G62&lt;&gt;"",IF(Q62="","",VLOOKUP(Q62,TRANSMUTATION!$A$2:$B$14,2)),"")</f>
        <v/>
      </c>
      <c r="S62" s="271" t="str">
        <f t="shared" si="2"/>
        <v/>
      </c>
      <c r="T62" s="262"/>
      <c r="W62" s="447"/>
      <c r="X62" s="447"/>
      <c r="Y62" s="447"/>
      <c r="Z62" s="447"/>
      <c r="AA62" s="447"/>
      <c r="AB62" s="447"/>
      <c r="AC62" s="447"/>
      <c r="AD62" s="447"/>
      <c r="AE62" s="447"/>
      <c r="AF62" s="447"/>
      <c r="AG62" s="447"/>
      <c r="AH62" s="447"/>
    </row>
    <row r="63" spans="2:34" s="99" customFormat="1" ht="17.100000000000001" customHeight="1" x14ac:dyDescent="0.2">
      <c r="B63" s="261"/>
      <c r="C63" s="340">
        <f t="shared" si="3"/>
        <v>57</v>
      </c>
      <c r="D63" s="265" t="str">
        <f t="shared" si="1"/>
        <v/>
      </c>
      <c r="E63" s="264" t="str">
        <f>(IF(Input!D64&lt;&gt;"",Input!D64,""))</f>
        <v/>
      </c>
      <c r="F63" s="266"/>
      <c r="G63" s="267" t="str">
        <f>(IF(Input!F64&lt;&gt;"",Input!F64,""))</f>
        <v/>
      </c>
      <c r="H63" s="268" t="str">
        <f>IF(G63&lt;&gt;"",PRELIMS!AT63,"")</f>
        <v/>
      </c>
      <c r="I63" s="269" t="str">
        <f>IF(G63&lt;&gt;"",VLOOKUP(H63,TRANSMUTATION!$A$2:$B$14,2),"")</f>
        <v/>
      </c>
      <c r="J63" s="268" t="str">
        <f>IF(G63&lt;&gt;"",MIDTERM!AT63,"")</f>
        <v/>
      </c>
      <c r="K63" s="269" t="str">
        <f>IF(G63&lt;&gt;"",VLOOKUP(J63,TRANSMUTATION!$A$2:$B$14,2),"")</f>
        <v/>
      </c>
      <c r="L63" s="268" t="str">
        <f>IF(G63&lt;&gt;"",'PRE-FINALS'!AT63,"")</f>
        <v/>
      </c>
      <c r="M63" s="269" t="str">
        <f>IF(G63&lt;&gt;"",VLOOKUP(L63,TRANSMUTATION!$A$2:$B$14,2),"")</f>
        <v/>
      </c>
      <c r="N63" s="268" t="str">
        <f>IF(G63&lt;&gt;"",FINALS!AT63,"")</f>
        <v/>
      </c>
      <c r="O63" s="269" t="str">
        <f>IF(G63&lt;&gt;"",VLOOKUP(N63,TRANSMUTATION!$A$2:$B$14,2),"")</f>
        <v/>
      </c>
      <c r="P63" s="270"/>
      <c r="Q63" s="268" t="str">
        <f t="shared" si="4"/>
        <v/>
      </c>
      <c r="R63" s="268" t="str">
        <f>IF(G63&lt;&gt;"",IF(Q63="","",VLOOKUP(Q63,TRANSMUTATION!$A$2:$B$14,2)),"")</f>
        <v/>
      </c>
      <c r="S63" s="271" t="str">
        <f t="shared" si="2"/>
        <v/>
      </c>
      <c r="T63" s="262"/>
      <c r="W63" s="447"/>
      <c r="X63" s="447"/>
      <c r="Y63" s="447"/>
      <c r="Z63" s="447"/>
      <c r="AA63" s="447"/>
      <c r="AB63" s="447"/>
      <c r="AC63" s="447"/>
      <c r="AD63" s="447"/>
      <c r="AE63" s="447"/>
      <c r="AF63" s="447"/>
      <c r="AG63" s="447"/>
      <c r="AH63" s="447"/>
    </row>
    <row r="64" spans="2:34" s="99" customFormat="1" ht="17.100000000000001" customHeight="1" x14ac:dyDescent="0.2">
      <c r="B64" s="261"/>
      <c r="C64" s="340">
        <f t="shared" si="3"/>
        <v>58</v>
      </c>
      <c r="D64" s="265" t="str">
        <f t="shared" si="1"/>
        <v/>
      </c>
      <c r="E64" s="264" t="str">
        <f>(IF(Input!D65&lt;&gt;"",Input!D65,""))</f>
        <v/>
      </c>
      <c r="F64" s="266"/>
      <c r="G64" s="267" t="str">
        <f>(IF(Input!F65&lt;&gt;"",Input!F65,""))</f>
        <v/>
      </c>
      <c r="H64" s="268" t="str">
        <f>IF(G64&lt;&gt;"",PRELIMS!AT64,"")</f>
        <v/>
      </c>
      <c r="I64" s="269" t="str">
        <f>IF(G64&lt;&gt;"",VLOOKUP(H64,TRANSMUTATION!$A$2:$B$14,2),"")</f>
        <v/>
      </c>
      <c r="J64" s="268" t="str">
        <f>IF(G64&lt;&gt;"",MIDTERM!AT64,"")</f>
        <v/>
      </c>
      <c r="K64" s="269" t="str">
        <f>IF(G64&lt;&gt;"",VLOOKUP(J64,TRANSMUTATION!$A$2:$B$14,2),"")</f>
        <v/>
      </c>
      <c r="L64" s="268" t="str">
        <f>IF(G64&lt;&gt;"",'PRE-FINALS'!AT64,"")</f>
        <v/>
      </c>
      <c r="M64" s="269" t="str">
        <f>IF(G64&lt;&gt;"",VLOOKUP(L64,TRANSMUTATION!$A$2:$B$14,2),"")</f>
        <v/>
      </c>
      <c r="N64" s="268" t="str">
        <f>IF(G64&lt;&gt;"",FINALS!AT64,"")</f>
        <v/>
      </c>
      <c r="O64" s="269" t="str">
        <f>IF(G64&lt;&gt;"",VLOOKUP(N64,TRANSMUTATION!$A$2:$B$14,2),"")</f>
        <v/>
      </c>
      <c r="P64" s="270"/>
      <c r="Q64" s="268" t="str">
        <f t="shared" si="4"/>
        <v/>
      </c>
      <c r="R64" s="268" t="str">
        <f>IF(G64&lt;&gt;"",IF(Q64="","",VLOOKUP(Q64,TRANSMUTATION!$A$2:$B$14,2)),"")</f>
        <v/>
      </c>
      <c r="S64" s="271" t="str">
        <f t="shared" si="2"/>
        <v/>
      </c>
      <c r="T64" s="262"/>
      <c r="W64" s="447"/>
      <c r="X64" s="447"/>
      <c r="Y64" s="447"/>
      <c r="Z64" s="447"/>
      <c r="AA64" s="447"/>
      <c r="AB64" s="447"/>
      <c r="AC64" s="447"/>
      <c r="AD64" s="447"/>
      <c r="AE64" s="447"/>
      <c r="AF64" s="447"/>
      <c r="AG64" s="447"/>
      <c r="AH64" s="447"/>
    </row>
    <row r="65" spans="2:34" s="99" customFormat="1" ht="17.100000000000001" customHeight="1" x14ac:dyDescent="0.2">
      <c r="B65" s="261"/>
      <c r="C65" s="340">
        <f t="shared" si="3"/>
        <v>59</v>
      </c>
      <c r="D65" s="265" t="str">
        <f t="shared" si="1"/>
        <v/>
      </c>
      <c r="E65" s="264" t="str">
        <f>(IF(Input!D66&lt;&gt;"",Input!D66,""))</f>
        <v/>
      </c>
      <c r="F65" s="266"/>
      <c r="G65" s="267" t="str">
        <f>(IF(Input!F66&lt;&gt;"",Input!F66,""))</f>
        <v/>
      </c>
      <c r="H65" s="268" t="str">
        <f>IF(G65&lt;&gt;"",PRELIMS!AT65,"")</f>
        <v/>
      </c>
      <c r="I65" s="269" t="str">
        <f>IF(G65&lt;&gt;"",VLOOKUP(H65,TRANSMUTATION!$A$2:$B$14,2),"")</f>
        <v/>
      </c>
      <c r="J65" s="268" t="str">
        <f>IF(G65&lt;&gt;"",MIDTERM!AT65,"")</f>
        <v/>
      </c>
      <c r="K65" s="269" t="str">
        <f>IF(G65&lt;&gt;"",VLOOKUP(J65,TRANSMUTATION!$A$2:$B$14,2),"")</f>
        <v/>
      </c>
      <c r="L65" s="268" t="str">
        <f>IF(G65&lt;&gt;"",'PRE-FINALS'!AT65,"")</f>
        <v/>
      </c>
      <c r="M65" s="269" t="str">
        <f>IF(G65&lt;&gt;"",VLOOKUP(L65,TRANSMUTATION!$A$2:$B$14,2),"")</f>
        <v/>
      </c>
      <c r="N65" s="268" t="str">
        <f>IF(G65&lt;&gt;"",FINALS!AT65,"")</f>
        <v/>
      </c>
      <c r="O65" s="269" t="str">
        <f>IF(G65&lt;&gt;"",VLOOKUP(N65,TRANSMUTATION!$A$2:$B$14,2),"")</f>
        <v/>
      </c>
      <c r="P65" s="270"/>
      <c r="Q65" s="268" t="str">
        <f t="shared" si="4"/>
        <v/>
      </c>
      <c r="R65" s="268" t="str">
        <f>IF(G65&lt;&gt;"",IF(Q65="","",VLOOKUP(Q65,TRANSMUTATION!$A$2:$B$14,2)),"")</f>
        <v/>
      </c>
      <c r="S65" s="271" t="str">
        <f t="shared" si="2"/>
        <v/>
      </c>
      <c r="T65" s="262"/>
      <c r="W65" s="447"/>
      <c r="X65" s="447"/>
      <c r="Y65" s="447"/>
      <c r="Z65" s="447"/>
      <c r="AA65" s="447"/>
      <c r="AB65" s="447"/>
      <c r="AC65" s="447"/>
      <c r="AD65" s="447"/>
      <c r="AE65" s="447"/>
      <c r="AF65" s="447"/>
      <c r="AG65" s="447"/>
      <c r="AH65" s="447"/>
    </row>
    <row r="66" spans="2:34" s="99" customFormat="1" ht="17.100000000000001" customHeight="1" thickBot="1" x14ac:dyDescent="0.25">
      <c r="B66" s="261"/>
      <c r="C66" s="342">
        <f t="shared" si="3"/>
        <v>60</v>
      </c>
      <c r="D66" s="272" t="str">
        <f t="shared" si="1"/>
        <v/>
      </c>
      <c r="E66" s="273" t="str">
        <f>(IF(Input!D67&lt;&gt;"",Input!D67,""))</f>
        <v/>
      </c>
      <c r="F66" s="274"/>
      <c r="G66" s="275" t="str">
        <f>(IF(Input!F67&lt;&gt;"",Input!F67,""))</f>
        <v/>
      </c>
      <c r="H66" s="276" t="str">
        <f>IF(G66&lt;&gt;"",PRELIMS!AT66,"")</f>
        <v/>
      </c>
      <c r="I66" s="277" t="str">
        <f>IF(G66&lt;&gt;"",VLOOKUP(H66,TRANSMUTATION!$A$2:$B$14,2),"")</f>
        <v/>
      </c>
      <c r="J66" s="276" t="str">
        <f>IF(G66&lt;&gt;"",MIDTERM!AT66,"")</f>
        <v/>
      </c>
      <c r="K66" s="277" t="str">
        <f>IF(G66&lt;&gt;"",VLOOKUP(J66,TRANSMUTATION!$A$2:$B$14,2),"")</f>
        <v/>
      </c>
      <c r="L66" s="276" t="str">
        <f>IF(G66&lt;&gt;"",'PRE-FINALS'!AT66,"")</f>
        <v/>
      </c>
      <c r="M66" s="277" t="str">
        <f>IF(G66&lt;&gt;"",VLOOKUP(L66,TRANSMUTATION!$A$2:$B$14,2),"")</f>
        <v/>
      </c>
      <c r="N66" s="276" t="str">
        <f>IF(G66&lt;&gt;"",FINALS!AT66,"")</f>
        <v/>
      </c>
      <c r="O66" s="277" t="str">
        <f>IF(G66&lt;&gt;"",VLOOKUP(N66,TRANSMUTATION!$A$2:$B$14,2),"")</f>
        <v/>
      </c>
      <c r="P66" s="278"/>
      <c r="Q66" s="276" t="str">
        <f t="shared" si="4"/>
        <v/>
      </c>
      <c r="R66" s="276" t="str">
        <f>IF(G66&lt;&gt;"",IF(Q66="","",VLOOKUP(Q66,TRANSMUTATION!$A$2:$B$14,2)),"")</f>
        <v/>
      </c>
      <c r="S66" s="279" t="str">
        <f t="shared" si="2"/>
        <v/>
      </c>
      <c r="T66" s="262"/>
      <c r="W66" s="447"/>
      <c r="X66" s="447"/>
      <c r="Y66" s="447"/>
      <c r="Z66" s="447"/>
      <c r="AA66" s="447"/>
      <c r="AB66" s="447"/>
      <c r="AC66" s="447"/>
      <c r="AD66" s="447"/>
      <c r="AE66" s="447"/>
      <c r="AF66" s="447"/>
      <c r="AG66" s="447"/>
      <c r="AH66" s="447"/>
    </row>
    <row r="67" spans="2:34" ht="15" customHeight="1" thickBot="1" x14ac:dyDescent="0.25">
      <c r="B67" s="280"/>
      <c r="C67" s="281"/>
      <c r="D67" s="282"/>
      <c r="E67" s="283"/>
      <c r="F67" s="283"/>
      <c r="G67" s="284"/>
      <c r="H67" s="285"/>
      <c r="I67" s="281"/>
      <c r="J67" s="285"/>
      <c r="K67" s="286"/>
      <c r="L67" s="287"/>
      <c r="M67" s="287"/>
      <c r="N67" s="286"/>
      <c r="O67" s="286"/>
      <c r="P67" s="286"/>
      <c r="Q67" s="288"/>
      <c r="R67" s="288"/>
      <c r="S67" s="286"/>
      <c r="T67" s="289"/>
    </row>
    <row r="68" spans="2:34" ht="9.9499999999999993" customHeight="1" thickTop="1" x14ac:dyDescent="0.2">
      <c r="D68" s="290"/>
      <c r="H68" s="291"/>
      <c r="J68" s="291"/>
      <c r="K68" s="292"/>
      <c r="N68" s="292"/>
      <c r="O68" s="292"/>
      <c r="P68" s="292"/>
      <c r="Q68" s="293"/>
      <c r="R68" s="293"/>
      <c r="S68" s="292"/>
    </row>
  </sheetData>
  <sheetProtection algorithmName="SHA-512" hashValue="kOxfwR3UZ/Hr7vtNdGWxrM1lKmYMU5uqCaxO+JKA/jhg36LI85utXkf/PSmRxCJrE+nifeC1dN8L4CF0FhBASA==" saltValue="ExQ4wEqxygSsc+0jSkF2CA==" spinCount="100000" sheet="1" objects="1" scenarios="1"/>
  <mergeCells count="20">
    <mergeCell ref="C3:C6"/>
    <mergeCell ref="R3:R6"/>
    <mergeCell ref="M3:M5"/>
    <mergeCell ref="J3:J5"/>
    <mergeCell ref="L3:L5"/>
    <mergeCell ref="N3:N5"/>
    <mergeCell ref="D3:D6"/>
    <mergeCell ref="P3:P6"/>
    <mergeCell ref="E3:G3"/>
    <mergeCell ref="E4:G5"/>
    <mergeCell ref="Q3:Q6"/>
    <mergeCell ref="L6:M6"/>
    <mergeCell ref="O3:O5"/>
    <mergeCell ref="N6:O6"/>
    <mergeCell ref="H6:I6"/>
    <mergeCell ref="I3:I5"/>
    <mergeCell ref="J6:K6"/>
    <mergeCell ref="K3:K5"/>
    <mergeCell ref="H3:H5"/>
    <mergeCell ref="S3:S6"/>
  </mergeCells>
  <phoneticPr fontId="4" type="noConversion"/>
  <conditionalFormatting sqref="D7:D66 S7:S66">
    <cfRule type="cellIs" dxfId="14" priority="4649" stopIfTrue="1" operator="equal">
      <formula>"No Exam"</formula>
    </cfRule>
  </conditionalFormatting>
  <conditionalFormatting sqref="R1:R2 I7:I66 K7:K66 M7:M66 O7:O66 R7:R66">
    <cfRule type="cellIs" dxfId="13" priority="4660" stopIfTrue="1" operator="greaterThan">
      <formula>3</formula>
    </cfRule>
    <cfRule type="cellIs" dxfId="12" priority="4661" stopIfTrue="1" operator="lessThan">
      <formula>2</formula>
    </cfRule>
  </conditionalFormatting>
  <conditionalFormatting sqref="S7:S66 D7:D66">
    <cfRule type="cellIs" dxfId="11" priority="4648" stopIfTrue="1" operator="equal">
      <formula>"Failed"</formula>
    </cfRule>
  </conditionalFormatting>
  <conditionalFormatting sqref="S7:S66">
    <cfRule type="containsText" dxfId="10" priority="1" operator="containsText" text="At risk">
      <formula>NOT(ISERROR(SEARCH("At risk",S7)))</formula>
    </cfRule>
  </conditionalFormatting>
  <conditionalFormatting sqref="T1:T2 W1:W2 Y1:AC2 AE1:AE2 AH1:AH2">
    <cfRule type="cellIs" dxfId="8" priority="4652" stopIfTrue="1" operator="lessThan">
      <formula>75</formula>
    </cfRule>
  </conditionalFormatting>
  <conditionalFormatting sqref="AI1:AI2 AK1:AK2 AM1:AM2">
    <cfRule type="cellIs" dxfId="7" priority="12" stopIfTrue="1" operator="lessThan">
      <formula>75</formula>
    </cfRule>
  </conditionalFormatting>
  <conditionalFormatting sqref="AI1:AJ2">
    <cfRule type="cellIs" dxfId="6" priority="4653" stopIfTrue="1" operator="lessThan">
      <formula>74.5</formula>
    </cfRule>
  </conditionalFormatting>
  <printOptions horizontalCentered="1"/>
  <pageMargins left="0.39" right="0.28999999999999998" top="0.22" bottom="0.17" header="0.18" footer="0.17"/>
  <pageSetup scale="57" orientation="portrait" horizontalDpi="300" verticalDpi="204" r:id="rId1"/>
  <headerFooter alignWithMargins="0">
    <oddFooter>&amp;C&amp;F
&amp;D &amp;T&amp;R&amp;P/&amp;N</oddFooter>
  </headerFooter>
  <extLst>
    <ext xmlns:x14="http://schemas.microsoft.com/office/spreadsheetml/2009/9/main" uri="{78C0D931-6437-407d-A8EE-F0AAD7539E65}">
      <x14:conditionalFormattings>
        <x14:conditionalFormatting xmlns:xm="http://schemas.microsoft.com/office/excel/2006/main">
          <x14:cfRule type="containsText" priority="2" operator="containsText" id="{F64CC85E-EF97-4C0F-A2D3-EFAF1BDC18BD}">
            <xm:f>NOT(ISERROR(SEARCH("Error",S7)))</xm:f>
            <xm:f>"Error"</xm:f>
            <x14:dxf>
              <font>
                <b/>
                <i val="0"/>
                <color theme="0"/>
              </font>
              <fill>
                <patternFill>
                  <bgColor rgb="FFFF0000"/>
                </patternFill>
              </fill>
            </x14:dxf>
          </x14:cfRule>
          <xm:sqref>S7:S66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C3775-CCD0-4938-B79B-23278F72C5E0}">
  <sheetPr>
    <pageSetUpPr fitToPage="1"/>
  </sheetPr>
  <dimension ref="A1:AE92"/>
  <sheetViews>
    <sheetView showGridLines="0" topLeftCell="A10" workbookViewId="0"/>
  </sheetViews>
  <sheetFormatPr defaultColWidth="0" defaultRowHeight="15" customHeight="1" zeroHeight="1" x14ac:dyDescent="0.2"/>
  <cols>
    <col min="1" max="1" width="1.7109375" style="396" customWidth="1"/>
    <col min="2" max="2" width="3.7109375" style="396" customWidth="1"/>
    <col min="3" max="3" width="15.7109375" style="396" customWidth="1"/>
    <col min="4" max="4" width="9.7109375" style="396" customWidth="1"/>
    <col min="5" max="5" width="8.7109375" style="396" customWidth="1"/>
    <col min="6" max="6" width="6.28515625" style="396" customWidth="1"/>
    <col min="7" max="10" width="9.28515625" style="396" customWidth="1"/>
    <col min="11" max="11" width="6.28515625" style="396" customWidth="1"/>
    <col min="12" max="15" width="9.28515625" style="396" customWidth="1"/>
    <col min="16" max="16" width="6.28515625" style="396" customWidth="1"/>
    <col min="17" max="20" width="9.28515625" style="396" customWidth="1"/>
    <col min="21" max="21" width="6.28515625" style="396" customWidth="1"/>
    <col min="22" max="25" width="9.28515625" style="396" customWidth="1"/>
    <col min="26" max="26" width="3.7109375" style="396" customWidth="1"/>
    <col min="27" max="27" width="1.7109375" style="396" customWidth="1"/>
    <col min="28" max="31" width="0" style="396" hidden="1" customWidth="1"/>
    <col min="32" max="16384" width="7.28515625" style="396" hidden="1"/>
  </cols>
  <sheetData>
    <row r="1" spans="2:29" ht="9.9499999999999993" customHeight="1" thickBot="1" x14ac:dyDescent="0.25"/>
    <row r="2" spans="2:29" ht="20.100000000000001" customHeight="1" x14ac:dyDescent="0.2">
      <c r="B2" s="391"/>
      <c r="C2" s="392"/>
      <c r="D2" s="392"/>
      <c r="E2" s="392"/>
      <c r="F2" s="392"/>
      <c r="G2" s="392"/>
      <c r="H2" s="392"/>
      <c r="I2" s="392"/>
      <c r="J2" s="392"/>
      <c r="K2" s="392"/>
      <c r="L2" s="392"/>
      <c r="M2" s="392"/>
      <c r="N2" s="392"/>
      <c r="O2" s="392"/>
      <c r="P2" s="392"/>
      <c r="Q2" s="392"/>
      <c r="R2" s="392"/>
      <c r="S2" s="392"/>
      <c r="T2" s="392"/>
      <c r="U2" s="392"/>
      <c r="V2" s="392"/>
      <c r="W2" s="392"/>
      <c r="X2" s="392"/>
      <c r="Y2" s="392"/>
      <c r="Z2" s="393"/>
    </row>
    <row r="3" spans="2:29" ht="39.950000000000003" customHeight="1" thickBot="1" x14ac:dyDescent="0.25">
      <c r="B3" s="394"/>
      <c r="C3" s="413"/>
      <c r="D3" s="413"/>
      <c r="E3" s="413"/>
      <c r="F3" s="413"/>
      <c r="G3" s="413"/>
      <c r="H3" s="413"/>
      <c r="I3" s="413"/>
      <c r="J3" s="645" t="s">
        <v>121</v>
      </c>
      <c r="K3" s="645"/>
      <c r="L3" s="645"/>
      <c r="M3" s="645"/>
      <c r="N3" s="645"/>
      <c r="O3" s="645"/>
      <c r="P3" s="645"/>
      <c r="Q3" s="645"/>
      <c r="R3" s="413"/>
      <c r="S3" s="413"/>
      <c r="T3" s="413"/>
      <c r="U3" s="413"/>
      <c r="V3" s="413"/>
      <c r="W3" s="413"/>
      <c r="X3" s="413"/>
      <c r="Y3" s="413"/>
      <c r="Z3" s="395"/>
    </row>
    <row r="4" spans="2:29" ht="15" customHeight="1" thickTop="1" x14ac:dyDescent="0.2">
      <c r="B4" s="394"/>
      <c r="Z4" s="395"/>
    </row>
    <row r="5" spans="2:29" ht="18" customHeight="1" x14ac:dyDescent="0.2">
      <c r="B5" s="394"/>
      <c r="C5" s="350" t="s">
        <v>122</v>
      </c>
      <c r="D5" s="682" t="s">
        <v>108</v>
      </c>
      <c r="E5" s="683"/>
      <c r="F5" s="683"/>
      <c r="G5" s="683"/>
      <c r="H5" s="683"/>
      <c r="I5" s="684"/>
      <c r="K5" s="678" t="s">
        <v>123</v>
      </c>
      <c r="L5" s="679"/>
      <c r="M5" s="676" t="str">
        <f>IF(Settings!$E$8="","",Settings!$E$8)</f>
        <v>MATH IN THE MODERN WORLD</v>
      </c>
      <c r="N5" s="680"/>
      <c r="O5" s="680"/>
      <c r="P5" s="680"/>
      <c r="Q5" s="680"/>
      <c r="R5" s="680"/>
      <c r="S5" s="680"/>
      <c r="T5" s="680"/>
      <c r="U5" s="680"/>
      <c r="V5" s="680"/>
      <c r="W5" s="680"/>
      <c r="X5" s="680"/>
      <c r="Y5" s="681"/>
      <c r="Z5" s="395"/>
    </row>
    <row r="6" spans="2:29" ht="18" customHeight="1" x14ac:dyDescent="0.2">
      <c r="B6" s="394"/>
      <c r="C6" s="350" t="s">
        <v>124</v>
      </c>
      <c r="D6" s="676" t="str">
        <f>IFERROR(INDEX('Student Helper'!$B$2:$B$61,MATCH(D5,'Student Helper'!$C$2:$C$61,0)),"")</f>
        <v/>
      </c>
      <c r="E6" s="677"/>
      <c r="F6" s="678" t="s">
        <v>125</v>
      </c>
      <c r="G6" s="679"/>
      <c r="H6" s="676" t="str">
        <f>IF(Settings!$P$5="","",Settings!$P$5)</f>
        <v>BSHM-1B</v>
      </c>
      <c r="I6" s="677"/>
      <c r="K6" s="678" t="s">
        <v>126</v>
      </c>
      <c r="L6" s="679"/>
      <c r="M6" s="676" t="str">
        <f>IF(Settings!$P$4="","",Settings!$P$4)</f>
        <v>GEDC1005</v>
      </c>
      <c r="N6" s="677"/>
      <c r="O6" s="348" t="s">
        <v>35</v>
      </c>
      <c r="P6" s="347">
        <f>IF(Settings!$P$3="","",Settings!$P$3)</f>
        <v>31463</v>
      </c>
      <c r="Q6" s="345" t="s">
        <v>127</v>
      </c>
      <c r="R6" s="346" t="str">
        <f>IF(Settings!$P$6="","",Settings!$P$6)</f>
        <v>RM307</v>
      </c>
      <c r="S6" s="349" t="s">
        <v>128</v>
      </c>
      <c r="T6" s="691" t="str">
        <f>IF(Settings!$P$7="","",Settings!$P$7)</f>
        <v>TF</v>
      </c>
      <c r="U6" s="681"/>
      <c r="V6" s="349" t="s">
        <v>129</v>
      </c>
      <c r="W6" s="691" t="str">
        <f>IF(Settings!$P$8="","",Settings!$P$8)</f>
        <v>1:00 PM - 2:30 PM</v>
      </c>
      <c r="X6" s="680"/>
      <c r="Y6" s="677"/>
      <c r="Z6" s="395"/>
    </row>
    <row r="7" spans="2:29" ht="15" customHeight="1" thickBot="1" x14ac:dyDescent="0.25">
      <c r="B7" s="394"/>
      <c r="C7" s="397"/>
      <c r="D7" s="397"/>
      <c r="E7" s="398"/>
      <c r="F7" s="398"/>
      <c r="G7" s="398"/>
      <c r="H7" s="398"/>
      <c r="I7" s="398"/>
      <c r="K7" s="397"/>
      <c r="L7" s="397"/>
      <c r="M7" s="399"/>
      <c r="N7" s="399"/>
      <c r="O7" s="399"/>
      <c r="P7" s="399"/>
      <c r="Q7" s="399"/>
      <c r="R7" s="399"/>
      <c r="T7" s="397"/>
      <c r="U7" s="397"/>
      <c r="V7" s="398"/>
      <c r="W7" s="398"/>
      <c r="X7" s="398"/>
      <c r="Y7" s="398"/>
      <c r="Z7" s="395"/>
    </row>
    <row r="8" spans="2:29" ht="15" customHeight="1" thickTop="1" thickBot="1" x14ac:dyDescent="0.25">
      <c r="B8" s="394"/>
      <c r="C8" s="343"/>
      <c r="D8" s="343"/>
      <c r="E8" s="343"/>
      <c r="F8" s="343"/>
      <c r="G8" s="343"/>
      <c r="H8" s="343"/>
      <c r="I8" s="343"/>
      <c r="J8" s="343"/>
      <c r="K8" s="343"/>
      <c r="L8" s="343"/>
      <c r="M8" s="343"/>
      <c r="N8" s="343"/>
      <c r="O8" s="343"/>
      <c r="P8" s="343"/>
      <c r="Q8" s="343"/>
      <c r="R8" s="343"/>
      <c r="S8" s="343"/>
      <c r="T8" s="343"/>
      <c r="U8" s="343"/>
      <c r="V8" s="343"/>
      <c r="W8" s="343"/>
      <c r="X8" s="343"/>
      <c r="Y8" s="343"/>
      <c r="Z8" s="395"/>
    </row>
    <row r="9" spans="2:29" ht="24.95" customHeight="1" x14ac:dyDescent="0.2">
      <c r="B9" s="394"/>
      <c r="C9" s="405" t="s">
        <v>119</v>
      </c>
      <c r="D9" s="406" t="s">
        <v>105</v>
      </c>
      <c r="E9" s="407" t="s">
        <v>112</v>
      </c>
      <c r="F9" s="398"/>
      <c r="G9" s="667" t="s">
        <v>46</v>
      </c>
      <c r="H9" s="668"/>
      <c r="I9" s="668"/>
      <c r="J9" s="669"/>
      <c r="K9" s="353"/>
      <c r="L9" s="670" t="s">
        <v>47</v>
      </c>
      <c r="M9" s="668"/>
      <c r="N9" s="668"/>
      <c r="O9" s="669"/>
      <c r="P9" s="353"/>
      <c r="Q9" s="670" t="s">
        <v>48</v>
      </c>
      <c r="R9" s="668"/>
      <c r="S9" s="668"/>
      <c r="T9" s="669"/>
      <c r="U9" s="353"/>
      <c r="V9" s="670" t="s">
        <v>49</v>
      </c>
      <c r="W9" s="668"/>
      <c r="X9" s="668"/>
      <c r="Y9" s="674"/>
      <c r="Z9" s="395"/>
    </row>
    <row r="10" spans="2:29" ht="24.95" customHeight="1" thickBot="1" x14ac:dyDescent="0.25">
      <c r="B10" s="394"/>
      <c r="C10" s="408" t="str">
        <f>IFERROR(IF(VLOOKUP($D$5,Summary!$G$7:$R$66,11,0)="","--",VLOOKUP($D$5,Summary!$G$7:$R$66,11,0)),"")</f>
        <v/>
      </c>
      <c r="D10" s="409" t="str">
        <f>IFERROR(IF(VLOOKUP($D$5,Summary!$G$7:$R$66,12,0)="","--",VLOOKUP($D$5,Summary!$G$7:$R$66,12,0)),"")</f>
        <v/>
      </c>
      <c r="E10" s="410" t="str">
        <f>IFERROR(IF(INDEX(Summary!$D$7:$D$66,MATCH($D$5,Summary!$G$7:$G$66,0))="","--",INDEX(Summary!$D$7:$D$66,MATCH($D$5,Summary!$G$7:$G$66,0))),"")</f>
        <v/>
      </c>
      <c r="F10" s="398"/>
      <c r="G10" s="685" t="s">
        <v>130</v>
      </c>
      <c r="H10" s="687" t="s">
        <v>131</v>
      </c>
      <c r="I10" s="687" t="s">
        <v>132</v>
      </c>
      <c r="J10" s="689" t="s">
        <v>50</v>
      </c>
      <c r="K10" s="353"/>
      <c r="L10" s="685" t="s">
        <v>130</v>
      </c>
      <c r="M10" s="687" t="s">
        <v>131</v>
      </c>
      <c r="N10" s="687" t="s">
        <v>132</v>
      </c>
      <c r="O10" s="689" t="s">
        <v>50</v>
      </c>
      <c r="P10" s="353"/>
      <c r="Q10" s="685" t="s">
        <v>130</v>
      </c>
      <c r="R10" s="687" t="s">
        <v>131</v>
      </c>
      <c r="S10" s="687" t="s">
        <v>132</v>
      </c>
      <c r="T10" s="689" t="s">
        <v>50</v>
      </c>
      <c r="U10" s="353"/>
      <c r="V10" s="685" t="s">
        <v>130</v>
      </c>
      <c r="W10" s="687" t="s">
        <v>131</v>
      </c>
      <c r="X10" s="687" t="s">
        <v>132</v>
      </c>
      <c r="Y10" s="689" t="s">
        <v>50</v>
      </c>
      <c r="Z10" s="395"/>
    </row>
    <row r="11" spans="2:29" ht="9.9499999999999993" customHeight="1" x14ac:dyDescent="0.2">
      <c r="B11" s="394"/>
      <c r="C11" s="403"/>
      <c r="D11" s="403"/>
      <c r="E11" s="404"/>
      <c r="F11" s="398"/>
      <c r="G11" s="686"/>
      <c r="H11" s="688"/>
      <c r="I11" s="688"/>
      <c r="J11" s="690"/>
      <c r="K11" s="353"/>
      <c r="L11" s="686"/>
      <c r="M11" s="688"/>
      <c r="N11" s="688"/>
      <c r="O11" s="690"/>
      <c r="P11" s="353"/>
      <c r="Q11" s="686"/>
      <c r="R11" s="688"/>
      <c r="S11" s="688"/>
      <c r="T11" s="690"/>
      <c r="U11" s="353"/>
      <c r="V11" s="686"/>
      <c r="W11" s="688"/>
      <c r="X11" s="688"/>
      <c r="Y11" s="690"/>
      <c r="Z11" s="395"/>
      <c r="AC11" s="424"/>
    </row>
    <row r="12" spans="2:29" ht="21.95" customHeight="1" x14ac:dyDescent="0.2">
      <c r="B12" s="394"/>
      <c r="C12" s="692" t="s">
        <v>133</v>
      </c>
      <c r="D12" s="693"/>
      <c r="E12" s="694"/>
      <c r="F12" s="398"/>
      <c r="G12" s="695">
        <f>Settings!$G$29</f>
        <v>0.3</v>
      </c>
      <c r="H12" s="696"/>
      <c r="I12" s="696"/>
      <c r="J12" s="697"/>
      <c r="K12" s="353"/>
      <c r="L12" s="698">
        <f>Settings!$K$29</f>
        <v>0.3</v>
      </c>
      <c r="M12" s="696"/>
      <c r="N12" s="696"/>
      <c r="O12" s="697"/>
      <c r="P12" s="353"/>
      <c r="Q12" s="698">
        <f>Settings!$O$29</f>
        <v>0.3</v>
      </c>
      <c r="R12" s="696"/>
      <c r="S12" s="696"/>
      <c r="T12" s="697"/>
      <c r="U12" s="353"/>
      <c r="V12" s="698">
        <f>Settings!$S$29</f>
        <v>0.3</v>
      </c>
      <c r="W12" s="696"/>
      <c r="X12" s="696"/>
      <c r="Y12" s="699"/>
      <c r="Z12" s="395"/>
    </row>
    <row r="13" spans="2:29" ht="15" customHeight="1" x14ac:dyDescent="0.2">
      <c r="B13" s="394"/>
      <c r="C13" s="665" t="s">
        <v>134</v>
      </c>
      <c r="D13" s="666"/>
      <c r="E13" s="388" t="s">
        <v>82</v>
      </c>
      <c r="F13" s="700"/>
      <c r="G13" s="360">
        <f>IF(Input!G7="","",Input!G7)</f>
        <v>46269</v>
      </c>
      <c r="H13" s="383">
        <f>IF(Input!G6="","",Input!G6)</f>
        <v>40</v>
      </c>
      <c r="I13" s="377" t="str">
        <f>IFERROR(IF(
VLOOKUP($D$5,Input!$F$8:$R$67,2,0)="","",
VLOOKUP($D$5,Input!$F$8:$R$67,2,0)),"")</f>
        <v/>
      </c>
      <c r="J13" s="701" t="str">
        <f>IFERROR(VLOOKUP($D$5,PRELIMS!$F$7:$AS$66,27,0),"")</f>
        <v/>
      </c>
      <c r="K13" s="702"/>
      <c r="L13" s="360" t="str">
        <f>IF(Input!T7="","",Input!T7)</f>
        <v/>
      </c>
      <c r="M13" s="368">
        <f>IF(Input!T6="","",Input!T6)</f>
        <v>50</v>
      </c>
      <c r="N13" s="377" t="str">
        <f>IFERROR(IF(
VLOOKUP($D$5,Input!$F$8:$BE$67,15,0)="","",
VLOOKUP($D$5,Input!$F$8:$BE$67,15,0)),"")</f>
        <v/>
      </c>
      <c r="O13" s="701" t="str">
        <f>IFERROR(VLOOKUP($D$5,MIDTERM!$F$7:$AS$66,27,0),"")</f>
        <v/>
      </c>
      <c r="P13" s="702"/>
      <c r="Q13" s="360" t="str">
        <f>IF(Input!AG7="","",Input!AG7)</f>
        <v/>
      </c>
      <c r="R13" s="368" t="str">
        <f>IF(Input!AG6="","",Input!AG6)</f>
        <v/>
      </c>
      <c r="S13" s="377" t="str">
        <f>IFERROR(IF(
VLOOKUP($D$5,Input!$F$8:$BE$67,28,0)="","",
VLOOKUP($D$5,Input!$F$8:$BE$67,28,0)),"")</f>
        <v/>
      </c>
      <c r="T13" s="701" t="str">
        <f>IFERROR(VLOOKUP($D$5,'PRE-FINALS'!$F$7:$AS$66,27,0),"")</f>
        <v/>
      </c>
      <c r="U13" s="702"/>
      <c r="V13" s="360" t="str">
        <f>IF(Input!AT7="","",Input!AT7)</f>
        <v/>
      </c>
      <c r="W13" s="368" t="str">
        <f>IF(Input!AT6="","",Input!AT6)</f>
        <v/>
      </c>
      <c r="X13" s="377" t="str">
        <f>IFERROR(IF(
VLOOKUP($D$5,Input!$F$8:$BE$67,41,0)="","",
VLOOKUP($D$5,Input!$F$8:$BE$67,41,0)),"")</f>
        <v/>
      </c>
      <c r="Y13" s="705" t="str">
        <f>IFERROR(VLOOKUP($D$5,FINALS!$F$7:$AS$66,27,0),"")</f>
        <v/>
      </c>
      <c r="Z13" s="395"/>
    </row>
    <row r="14" spans="2:29" ht="15" customHeight="1" x14ac:dyDescent="0.2">
      <c r="B14" s="394"/>
      <c r="C14" s="663" t="s">
        <v>135</v>
      </c>
      <c r="D14" s="664"/>
      <c r="E14" s="389" t="s">
        <v>84</v>
      </c>
      <c r="F14" s="700"/>
      <c r="G14" s="361" t="str">
        <f>IF(Input!H7="","",Input!H7)</f>
        <v/>
      </c>
      <c r="H14" s="384" t="str">
        <f>IF(Input!H6="","",Input!H6)</f>
        <v/>
      </c>
      <c r="I14" s="378" t="str">
        <f>IFERROR(IF(
VLOOKUP($D$5,Input!$F$8:$R$67,3,0)="","",
VLOOKUP($D$5,Input!$F$8:$R$67,3,0)),"")</f>
        <v/>
      </c>
      <c r="J14" s="701"/>
      <c r="K14" s="703"/>
      <c r="L14" s="361" t="str">
        <f>IF(Input!U7="","",Input!U7)</f>
        <v/>
      </c>
      <c r="M14" s="369">
        <f>IF(Input!U6="","",Input!U6)</f>
        <v>50</v>
      </c>
      <c r="N14" s="378" t="str">
        <f>IFERROR(IF(
VLOOKUP($D$5,Input!$F$8:$BE$67,16,0)="","",
VLOOKUP($D$5,Input!$F$8:$BE$67,16,0)),"")</f>
        <v/>
      </c>
      <c r="O14" s="701"/>
      <c r="P14" s="703"/>
      <c r="Q14" s="361" t="str">
        <f>IF(Input!AH7="","",Input!AH7)</f>
        <v/>
      </c>
      <c r="R14" s="369" t="str">
        <f>IF(Input!AH6="","",Input!AH6)</f>
        <v/>
      </c>
      <c r="S14" s="378" t="str">
        <f>IFERROR(IF(
VLOOKUP($D$5,Input!$F$8:$BE$67,29,0)="","",
VLOOKUP($D$5,Input!$F$8:$BE$67,29,0)),"")</f>
        <v/>
      </c>
      <c r="T14" s="701"/>
      <c r="U14" s="703"/>
      <c r="V14" s="361" t="str">
        <f>IF(Input!AU7="","",Input!AU7)</f>
        <v/>
      </c>
      <c r="W14" s="369" t="str">
        <f>IF(Input!AU6="","",Input!AU6)</f>
        <v/>
      </c>
      <c r="X14" s="378" t="str">
        <f>IFERROR(IF(
VLOOKUP($D$5,Input!$F$8:$BE$67,42,0)="","",
VLOOKUP($D$5,Input!$F$8:$BE$67,42,0)),"")</f>
        <v/>
      </c>
      <c r="Y14" s="705"/>
      <c r="Z14" s="395"/>
    </row>
    <row r="15" spans="2:29" ht="15" customHeight="1" x14ac:dyDescent="0.2">
      <c r="B15" s="394"/>
      <c r="C15" s="663" t="s">
        <v>136</v>
      </c>
      <c r="D15" s="664"/>
      <c r="E15" s="389" t="s">
        <v>86</v>
      </c>
      <c r="F15" s="700"/>
      <c r="G15" s="361" t="str">
        <f>IF(Input!I7="","",Input!I7)</f>
        <v/>
      </c>
      <c r="H15" s="384" t="str">
        <f>IF(Input!I6="","",Input!I6)</f>
        <v/>
      </c>
      <c r="I15" s="378" t="str">
        <f>IFERROR(IF(
VLOOKUP($D$5,Input!$F$8:$R$67,4,0)="","",
VLOOKUP($D$5,Input!$F$8:$R$67,4,0)),"")</f>
        <v/>
      </c>
      <c r="J15" s="701"/>
      <c r="K15" s="703"/>
      <c r="L15" s="361" t="str">
        <f>IF(Input!V7="","",Input!V7)</f>
        <v/>
      </c>
      <c r="M15" s="369" t="str">
        <f>IF(Input!V6="","",Input!V6)</f>
        <v/>
      </c>
      <c r="N15" s="378" t="str">
        <f>IFERROR(IF(
VLOOKUP($D$5,Input!$F$8:$BE$67,17,0)="","",
VLOOKUP($D$5,Input!$F$8:$BE$67,17,0)),"")</f>
        <v/>
      </c>
      <c r="O15" s="701"/>
      <c r="P15" s="703"/>
      <c r="Q15" s="361" t="str">
        <f>IF(Input!AI7="","",Input!AI7)</f>
        <v/>
      </c>
      <c r="R15" s="369" t="str">
        <f>IF(Input!AI6="","",Input!AI6)</f>
        <v/>
      </c>
      <c r="S15" s="378" t="str">
        <f>IFERROR(IF(
VLOOKUP($D$5,Input!$F$8:$BE$67,30,0)="","",
VLOOKUP($D$5,Input!$F$8:$BE$67,30,0)),"")</f>
        <v/>
      </c>
      <c r="T15" s="701"/>
      <c r="U15" s="703"/>
      <c r="V15" s="361" t="str">
        <f>IF(Input!AV7="","",Input!AV7)</f>
        <v/>
      </c>
      <c r="W15" s="369" t="str">
        <f>IF(Input!AV6="","",Input!AV6)</f>
        <v/>
      </c>
      <c r="X15" s="378" t="str">
        <f>IFERROR(IF(
VLOOKUP($D$5,Input!$F$8:$BE$67,43,0)="","",
VLOOKUP($D$5,Input!$F$8:$BE$67,43,0)),"")</f>
        <v/>
      </c>
      <c r="Y15" s="705"/>
      <c r="Z15" s="395"/>
    </row>
    <row r="16" spans="2:29" ht="15" customHeight="1" thickBot="1" x14ac:dyDescent="0.25">
      <c r="B16" s="394"/>
      <c r="C16" s="706" t="s">
        <v>137</v>
      </c>
      <c r="D16" s="707"/>
      <c r="E16" s="390" t="s">
        <v>88</v>
      </c>
      <c r="F16" s="700"/>
      <c r="G16" s="362" t="str">
        <f>IF(Input!J7="","",Input!J7)</f>
        <v/>
      </c>
      <c r="H16" s="385" t="str">
        <f>IF(Input!J6="","",Input!J6)</f>
        <v/>
      </c>
      <c r="I16" s="379" t="str">
        <f>IFERROR(IF(
VLOOKUP($D$5,Input!$F$8:$R$67,5,0)="","",
VLOOKUP($D$5,Input!$F$8:$R$67,5,0)),"")</f>
        <v/>
      </c>
      <c r="J16" s="701"/>
      <c r="K16" s="703"/>
      <c r="L16" s="362" t="str">
        <f>IF(Input!W7="","",Input!W7)</f>
        <v/>
      </c>
      <c r="M16" s="370" t="str">
        <f>IF(Input!W6="","",Input!W6)</f>
        <v/>
      </c>
      <c r="N16" s="379" t="str">
        <f>IFERROR(IF(
VLOOKUP($D$5,Input!$F$8:$BE$67,18,0)="","",
VLOOKUP($D$5,Input!$F$8:$BE$67,18,0)),"")</f>
        <v/>
      </c>
      <c r="O16" s="701"/>
      <c r="P16" s="703"/>
      <c r="Q16" s="362" t="str">
        <f>IF(Input!AJ7="","",Input!AJ7)</f>
        <v/>
      </c>
      <c r="R16" s="370" t="str">
        <f>IF(Input!AJ6="","",Input!AJ6)</f>
        <v/>
      </c>
      <c r="S16" s="379" t="str">
        <f>IFERROR(IF(
VLOOKUP($D$5,Input!$F$8:$BE$67,31,0)="","",
VLOOKUP($D$5,Input!$F$8:$BE$67,31,0)),"")</f>
        <v/>
      </c>
      <c r="T16" s="701"/>
      <c r="U16" s="703"/>
      <c r="V16" s="362" t="str">
        <f>IF(Input!AW7="","",Input!AW7)</f>
        <v/>
      </c>
      <c r="W16" s="370" t="str">
        <f>IF(Input!AW6="","",Input!AW6)</f>
        <v/>
      </c>
      <c r="X16" s="379" t="str">
        <f>IFERROR(IF(
VLOOKUP($D$5,Input!$F$8:$BE$67,44,0)="","",
VLOOKUP($D$5,Input!$F$8:$BE$67,44,0)),"")</f>
        <v/>
      </c>
      <c r="Y16" s="705"/>
      <c r="Z16" s="395"/>
    </row>
    <row r="17" spans="2:31" ht="15" customHeight="1" thickTop="1" x14ac:dyDescent="0.2">
      <c r="B17" s="394"/>
      <c r="C17" s="351"/>
      <c r="D17" s="344"/>
      <c r="E17" s="352"/>
      <c r="F17" s="398"/>
      <c r="G17" s="386" t="s">
        <v>138</v>
      </c>
      <c r="H17" s="414">
        <f>SUM(H13:H16)</f>
        <v>40</v>
      </c>
      <c r="I17" s="415">
        <f>SUM(I13:I16)</f>
        <v>0</v>
      </c>
      <c r="J17" s="701"/>
      <c r="K17" s="353"/>
      <c r="L17" s="387" t="s">
        <v>138</v>
      </c>
      <c r="M17" s="414">
        <f>SUM(M13:M16)</f>
        <v>100</v>
      </c>
      <c r="N17" s="415">
        <f>SUM(N13:N16)</f>
        <v>0</v>
      </c>
      <c r="O17" s="701"/>
      <c r="P17" s="353"/>
      <c r="Q17" s="387" t="s">
        <v>138</v>
      </c>
      <c r="R17" s="414">
        <f>SUM(R13:R16)</f>
        <v>0</v>
      </c>
      <c r="S17" s="415">
        <f>SUM(S13:S16)</f>
        <v>0</v>
      </c>
      <c r="T17" s="701"/>
      <c r="U17" s="353"/>
      <c r="V17" s="387" t="s">
        <v>138</v>
      </c>
      <c r="W17" s="414">
        <f>SUM(W13:W16)</f>
        <v>0</v>
      </c>
      <c r="X17" s="415">
        <f>SUM(X13:X16)</f>
        <v>0</v>
      </c>
      <c r="Y17" s="705"/>
      <c r="Z17" s="395"/>
    </row>
    <row r="18" spans="2:31" ht="21.95" customHeight="1" x14ac:dyDescent="0.2">
      <c r="B18" s="394"/>
      <c r="C18" s="671" t="s">
        <v>89</v>
      </c>
      <c r="D18" s="672"/>
      <c r="E18" s="673"/>
      <c r="F18" s="398"/>
      <c r="G18" s="695">
        <f>Settings!$G$34</f>
        <v>0.2</v>
      </c>
      <c r="H18" s="696"/>
      <c r="I18" s="696"/>
      <c r="J18" s="697"/>
      <c r="K18" s="353"/>
      <c r="L18" s="698">
        <f>Settings!$K$34</f>
        <v>0.2</v>
      </c>
      <c r="M18" s="696"/>
      <c r="N18" s="696"/>
      <c r="O18" s="697"/>
      <c r="P18" s="353"/>
      <c r="Q18" s="698">
        <f>Settings!$O$34</f>
        <v>0.2</v>
      </c>
      <c r="R18" s="696"/>
      <c r="S18" s="696"/>
      <c r="T18" s="697"/>
      <c r="U18" s="353"/>
      <c r="V18" s="698">
        <f>Settings!$S$34</f>
        <v>0.2</v>
      </c>
      <c r="W18" s="696"/>
      <c r="X18" s="696"/>
      <c r="Y18" s="699"/>
      <c r="Z18" s="395"/>
    </row>
    <row r="19" spans="2:31" ht="15" customHeight="1" x14ac:dyDescent="0.2">
      <c r="B19" s="394"/>
      <c r="C19" s="665" t="s">
        <v>90</v>
      </c>
      <c r="D19" s="666"/>
      <c r="E19" s="388" t="s">
        <v>91</v>
      </c>
      <c r="F19" s="700"/>
      <c r="G19" s="360">
        <f>IF(Input!L7="","",Input!L7)</f>
        <v>46241</v>
      </c>
      <c r="H19" s="372">
        <f>IF(Input!L6="","",Input!L6)</f>
        <v>30</v>
      </c>
      <c r="I19" s="380" t="str">
        <f>IFERROR(IF(
VLOOKUP($D$5,Input!$F$8:$R$67,7,0)="","",
VLOOKUP($D$5,Input!$F$8:$R$67,7,0)),"")</f>
        <v/>
      </c>
      <c r="J19" s="701" t="str">
        <f>IFERROR(VLOOKUP($D$5,PRELIMS!$F$7:$AS$66,37,0),"")</f>
        <v/>
      </c>
      <c r="K19" s="702"/>
      <c r="L19" s="360" t="str">
        <f>IF(Input!Y7="","",Input!Y7)</f>
        <v/>
      </c>
      <c r="M19" s="372">
        <f>IF(Input!Y6="","",Input!Y6)</f>
        <v>10</v>
      </c>
      <c r="N19" s="380" t="str">
        <f>IFERROR(IF(
VLOOKUP($D$5,Input!$F$8:$BE$67,20,0)="","",
VLOOKUP($D$5,Input!$F$8:$BE$67,20,0)),"")</f>
        <v/>
      </c>
      <c r="O19" s="701" t="str">
        <f>IFERROR(VLOOKUP($D$5,MIDTERM!$F$7:$AS$66,37,0),"")</f>
        <v/>
      </c>
      <c r="P19" s="702"/>
      <c r="Q19" s="360" t="str">
        <f>IF(Input!AL7="","",Input!AL7)</f>
        <v/>
      </c>
      <c r="R19" s="372" t="str">
        <f>IF(Input!AL6="","",Input!AL6)</f>
        <v/>
      </c>
      <c r="S19" s="380" t="str">
        <f>IFERROR(IF(
VLOOKUP($D$5,Input!$F$8:$BE$67,33,0)="","",
VLOOKUP($D$5,Input!$F$8:$BE$67,33,0)),"")</f>
        <v/>
      </c>
      <c r="T19" s="701" t="str">
        <f>IFERROR(VLOOKUP($D$5,'PRE-FINALS'!$F$7:$AS$66,37,0),"")</f>
        <v/>
      </c>
      <c r="U19" s="702"/>
      <c r="V19" s="360" t="str">
        <f>IF(Input!AY7="","",Input!AY7)</f>
        <v/>
      </c>
      <c r="W19" s="372" t="str">
        <f>IF(Input!AY6="","",Input!AY6)</f>
        <v/>
      </c>
      <c r="X19" s="380" t="str">
        <f>IFERROR(IF(
VLOOKUP($D$5,Input!$F$8:$BE$67,46,0)="","",
VLOOKUP($D$5,Input!$F$8:$BE$67,46,0)),"")</f>
        <v/>
      </c>
      <c r="Y19" s="705" t="str">
        <f>IFERROR(VLOOKUP($D$5,FINALS!$F$7:$AS$66,37,0),"")</f>
        <v/>
      </c>
      <c r="Z19" s="395"/>
    </row>
    <row r="20" spans="2:31" ht="15" customHeight="1" x14ac:dyDescent="0.2">
      <c r="B20" s="394"/>
      <c r="C20" s="663" t="s">
        <v>92</v>
      </c>
      <c r="D20" s="664"/>
      <c r="E20" s="389" t="s">
        <v>93</v>
      </c>
      <c r="F20" s="704"/>
      <c r="G20" s="361" t="str">
        <f>IF(Input!M7="","",Input!M7)</f>
        <v/>
      </c>
      <c r="H20" s="373" t="str">
        <f>IF(Input!M6="","",Input!M6)</f>
        <v/>
      </c>
      <c r="I20" s="381" t="str">
        <f>IFERROR(IF(
VLOOKUP($D$5,Input!$F$8:$R$67,8,0)="","",
VLOOKUP($D$5,Input!$F$8:$R$67,8,0)),"")</f>
        <v/>
      </c>
      <c r="J20" s="701"/>
      <c r="K20" s="703"/>
      <c r="L20" s="361" t="str">
        <f>IF(Input!Z7="","",Input!Z7)</f>
        <v/>
      </c>
      <c r="M20" s="373">
        <f>IF(Input!Z6="","",Input!Z6)</f>
        <v>20</v>
      </c>
      <c r="N20" s="381" t="str">
        <f>IFERROR(IF(
VLOOKUP($D$5,Input!$F$8:$BE$67,21,0)="","",
VLOOKUP($D$5,Input!$F$8:$BE$67,21,0)),"")</f>
        <v/>
      </c>
      <c r="O20" s="701"/>
      <c r="P20" s="703"/>
      <c r="Q20" s="361" t="str">
        <f>IF(Input!AM7="","",Input!AM7)</f>
        <v/>
      </c>
      <c r="R20" s="373" t="str">
        <f>IF(Input!AM6="","",Input!AM6)</f>
        <v/>
      </c>
      <c r="S20" s="381" t="str">
        <f>IFERROR(IF(
VLOOKUP($D$5,Input!$F$8:$BE$67,34,0)="","",
VLOOKUP($D$5,Input!$F$8:$BE$67,34,0)),"")</f>
        <v/>
      </c>
      <c r="T20" s="701"/>
      <c r="U20" s="703"/>
      <c r="V20" s="361" t="str">
        <f>IF(Input!AZ7="","",Input!AZ7)</f>
        <v/>
      </c>
      <c r="W20" s="373" t="str">
        <f>IF(Input!AZ6="","",Input!AZ6)</f>
        <v/>
      </c>
      <c r="X20" s="381" t="str">
        <f>IFERROR(IF(
VLOOKUP($D$5,Input!$F$8:$BE$67,47,0)="","",
VLOOKUP($D$5,Input!$F$8:$BE$67,47,0)),"")</f>
        <v/>
      </c>
      <c r="Y20" s="705"/>
      <c r="Z20" s="395"/>
    </row>
    <row r="21" spans="2:31" ht="15" customHeight="1" x14ac:dyDescent="0.2">
      <c r="B21" s="394"/>
      <c r="C21" s="663" t="s">
        <v>94</v>
      </c>
      <c r="D21" s="664"/>
      <c r="E21" s="389" t="s">
        <v>95</v>
      </c>
      <c r="F21" s="704"/>
      <c r="G21" s="361" t="str">
        <f>IF(Input!N7="","",Input!N7)</f>
        <v/>
      </c>
      <c r="H21" s="373" t="str">
        <f>IF(Input!N6="","",Input!N6)</f>
        <v/>
      </c>
      <c r="I21" s="381" t="str">
        <f>IFERROR(IF(
VLOOKUP($D$5,Input!$F$8:$R$67,9,0)="","",
VLOOKUP($D$5,Input!$F$8:$R$67,9,0)),"")</f>
        <v/>
      </c>
      <c r="J21" s="701"/>
      <c r="K21" s="703"/>
      <c r="L21" s="361" t="str">
        <f>IF(Input!AA7="","",Input!AA7)</f>
        <v/>
      </c>
      <c r="M21" s="373">
        <f>IF(Input!AA6="","",Input!AA6)</f>
        <v>35</v>
      </c>
      <c r="N21" s="381" t="str">
        <f>IFERROR(IF(
VLOOKUP($D$5,Input!$F$8:$BE$67,22,0)="","",
VLOOKUP($D$5,Input!$F$8:$BE$67,22,0)),"")</f>
        <v/>
      </c>
      <c r="O21" s="701"/>
      <c r="P21" s="703"/>
      <c r="Q21" s="361" t="str">
        <f>IF(Input!AN7="","",Input!AN7)</f>
        <v/>
      </c>
      <c r="R21" s="373" t="str">
        <f>IF(Input!AN6="","",Input!AN6)</f>
        <v/>
      </c>
      <c r="S21" s="381" t="str">
        <f>IFERROR(IF(
VLOOKUP($D$5,Input!$F$8:$BE$67,35,0)="","",
VLOOKUP($D$5,Input!$F$8:$BE$67,35,0)),"")</f>
        <v/>
      </c>
      <c r="T21" s="701"/>
      <c r="U21" s="703"/>
      <c r="V21" s="361" t="str">
        <f>IF(Input!BA7="","",Input!BA7)</f>
        <v/>
      </c>
      <c r="W21" s="373" t="str">
        <f>IF(Input!BA6="","",Input!BA6)</f>
        <v/>
      </c>
      <c r="X21" s="381" t="str">
        <f>IFERROR(IF(
VLOOKUP($D$5,Input!$F$8:$BE$67,48,0)="","",
VLOOKUP($D$5,Input!$F$8:$BE$67,48,0)),"")</f>
        <v/>
      </c>
      <c r="Y21" s="705"/>
      <c r="Z21" s="395"/>
    </row>
    <row r="22" spans="2:31" ht="15" customHeight="1" thickBot="1" x14ac:dyDescent="0.25">
      <c r="B22" s="394"/>
      <c r="C22" s="706" t="s">
        <v>96</v>
      </c>
      <c r="D22" s="707"/>
      <c r="E22" s="390" t="s">
        <v>97</v>
      </c>
      <c r="F22" s="704"/>
      <c r="G22" s="362" t="str">
        <f>IF(Input!O7="","",Input!O7)</f>
        <v/>
      </c>
      <c r="H22" s="374" t="str">
        <f>IF(Input!O6="","",Input!O6)</f>
        <v/>
      </c>
      <c r="I22" s="382" t="str">
        <f>IFERROR(IF(
VLOOKUP($D$5,Input!$F$8:$R$67,10,0)="","",
VLOOKUP($D$5,Input!$F$8:$R$67,10,0)),"")</f>
        <v/>
      </c>
      <c r="J22" s="701"/>
      <c r="K22" s="703"/>
      <c r="L22" s="362" t="str">
        <f>IF(Input!AB7="","",Input!AB7)</f>
        <v/>
      </c>
      <c r="M22" s="374" t="str">
        <f>IF(Input!AB6="","",Input!AB6)</f>
        <v/>
      </c>
      <c r="N22" s="382" t="str">
        <f>IFERROR(IF(
VLOOKUP($D$5,Input!$F$8:$BE$67,23,0)="","",
VLOOKUP($D$5,Input!$F$8:$BE$67,23,0)),"")</f>
        <v/>
      </c>
      <c r="O22" s="701"/>
      <c r="P22" s="703"/>
      <c r="Q22" s="362" t="str">
        <f>IF(Input!AO7="","",Input!AO7)</f>
        <v/>
      </c>
      <c r="R22" s="374" t="str">
        <f>IF(Input!AO6="","",Input!AO6)</f>
        <v/>
      </c>
      <c r="S22" s="382" t="str">
        <f>IFERROR(IF(
VLOOKUP($D$5,Input!$F$8:$BE$67,36,0)="","",
VLOOKUP($D$5,Input!$F$8:$BE$67,36,0)),"")</f>
        <v/>
      </c>
      <c r="T22" s="701"/>
      <c r="U22" s="703"/>
      <c r="V22" s="362" t="str">
        <f>IF(Input!BB7="","",Input!BB7)</f>
        <v/>
      </c>
      <c r="W22" s="374" t="str">
        <f>IF(Input!BB6="","",Input!BB6)</f>
        <v/>
      </c>
      <c r="X22" s="382" t="str">
        <f>IFERROR(IF(
VLOOKUP($D$5,Input!$F$8:$BE$67,49,0)="","",
VLOOKUP($D$5,Input!$F$8:$BE$67,49,0)),"")</f>
        <v/>
      </c>
      <c r="Y22" s="705"/>
      <c r="Z22" s="395"/>
    </row>
    <row r="23" spans="2:31" ht="15" customHeight="1" thickTop="1" x14ac:dyDescent="0.2">
      <c r="B23" s="394"/>
      <c r="C23" s="351"/>
      <c r="D23" s="344"/>
      <c r="E23" s="352"/>
      <c r="F23" s="398"/>
      <c r="G23" s="386" t="s">
        <v>138</v>
      </c>
      <c r="H23" s="414">
        <f>SUM(H19:H22)</f>
        <v>30</v>
      </c>
      <c r="I23" s="415">
        <f>SUM(I19:I22)</f>
        <v>0</v>
      </c>
      <c r="J23" s="701"/>
      <c r="K23" s="353"/>
      <c r="L23" s="387" t="s">
        <v>138</v>
      </c>
      <c r="M23" s="414">
        <f>SUM(M19:M22)</f>
        <v>65</v>
      </c>
      <c r="N23" s="415">
        <f>SUM(N19:N22)</f>
        <v>0</v>
      </c>
      <c r="O23" s="701"/>
      <c r="P23" s="353"/>
      <c r="Q23" s="387" t="s">
        <v>138</v>
      </c>
      <c r="R23" s="414">
        <f>SUM(R19:R22)</f>
        <v>0</v>
      </c>
      <c r="S23" s="415">
        <f>SUM(S19:S22)</f>
        <v>0</v>
      </c>
      <c r="T23" s="701"/>
      <c r="U23" s="353"/>
      <c r="V23" s="387" t="s">
        <v>138</v>
      </c>
      <c r="W23" s="414">
        <f>SUM(W19:W22)</f>
        <v>0</v>
      </c>
      <c r="X23" s="415">
        <f>SUM(X19:X22)</f>
        <v>0</v>
      </c>
      <c r="Y23" s="705"/>
      <c r="Z23" s="395"/>
    </row>
    <row r="24" spans="2:31" ht="21.95" customHeight="1" x14ac:dyDescent="0.2">
      <c r="B24" s="394"/>
      <c r="C24" s="671" t="s">
        <v>139</v>
      </c>
      <c r="D24" s="672"/>
      <c r="E24" s="673"/>
      <c r="F24" s="398"/>
      <c r="G24" s="695">
        <f>Settings!$G$39</f>
        <v>0.5</v>
      </c>
      <c r="H24" s="696"/>
      <c r="I24" s="696"/>
      <c r="J24" s="697"/>
      <c r="K24" s="353"/>
      <c r="L24" s="698">
        <f>Settings!$K$39</f>
        <v>0.5</v>
      </c>
      <c r="M24" s="696"/>
      <c r="N24" s="696"/>
      <c r="O24" s="697"/>
      <c r="P24" s="353"/>
      <c r="Q24" s="698">
        <f>Settings!$O$39</f>
        <v>0.5</v>
      </c>
      <c r="R24" s="696"/>
      <c r="S24" s="696"/>
      <c r="T24" s="697"/>
      <c r="U24" s="353"/>
      <c r="V24" s="698">
        <f>Settings!$S$39</f>
        <v>0.5</v>
      </c>
      <c r="W24" s="696"/>
      <c r="X24" s="696"/>
      <c r="Y24" s="699"/>
      <c r="Z24" s="395"/>
    </row>
    <row r="25" spans="2:31" ht="20.100000000000001" customHeight="1" thickBot="1" x14ac:dyDescent="0.25">
      <c r="B25" s="394"/>
      <c r="C25" s="711" t="s">
        <v>140</v>
      </c>
      <c r="D25" s="712"/>
      <c r="E25" s="713"/>
      <c r="F25" s="400"/>
      <c r="G25" s="363" t="str">
        <f>IF(Input!Q7="","",Input!Q7)</f>
        <v/>
      </c>
      <c r="H25" s="359">
        <f>IF(Input!Q6="","",Input!Q6)</f>
        <v>70</v>
      </c>
      <c r="I25" s="365" t="str">
        <f>IFERROR(IF(
VLOOKUP($D$5,Input!$F$8:$R$67,12,0)="","",
VLOOKUP($D$5,Input!$F$8:$R$67,12,0)),"")</f>
        <v/>
      </c>
      <c r="J25" s="366" t="str">
        <f>IFERROR(VLOOKUP($D$5,PRELIMS!$F$7:$AS$66,40,0),"")</f>
        <v/>
      </c>
      <c r="K25" s="354"/>
      <c r="L25" s="364" t="str">
        <f>IF(Input!AD7="","",Input!AD7)</f>
        <v/>
      </c>
      <c r="M25" s="359">
        <f>IF(Input!AD6="","",Input!AD6)</f>
        <v>70</v>
      </c>
      <c r="N25" s="365" t="str">
        <f>IFERROR(IF(
VLOOKUP($D$5,Input!$F$8:$BE$67,25,0)="","",
VLOOKUP($D$5,Input!$F$8:$BE$67,25,0)),"")</f>
        <v/>
      </c>
      <c r="O25" s="366" t="str">
        <f>IFERROR(VLOOKUP($D$5,MIDTERM!$F$7:$AS$66,40,0),"")</f>
        <v/>
      </c>
      <c r="P25" s="354"/>
      <c r="Q25" s="364" t="str">
        <f>IF(Input!AQ7="","",Input!AQ7)</f>
        <v/>
      </c>
      <c r="R25" s="359" t="str">
        <f>IF(Input!AQ6="","",Input!AQ6)</f>
        <v/>
      </c>
      <c r="S25" s="365" t="str">
        <f>IFERROR(IF(
VLOOKUP($D$5,Input!$F$8:$BE$67,38,0)="","",
VLOOKUP($D$5,Input!$F$8:$BE$67,38,0)),"")</f>
        <v/>
      </c>
      <c r="T25" s="366" t="str">
        <f>IFERROR(VLOOKUP($D$5,'PRE-FINALS'!$F$7:$AS$66,40,0),"")</f>
        <v/>
      </c>
      <c r="U25" s="354"/>
      <c r="V25" s="364" t="str">
        <f>IF(Input!BD7="","",Input!BD7)</f>
        <v/>
      </c>
      <c r="W25" s="359" t="str">
        <f>IF(Input!BD6="","",Input!BD6)</f>
        <v/>
      </c>
      <c r="X25" s="365" t="str">
        <f>IFERROR(IF(
VLOOKUP($D$5,Input!$F$8:$BE$67,51,0)="","",
VLOOKUP($D$5,Input!$F$8:$BE$67,51,0)),"")</f>
        <v/>
      </c>
      <c r="Y25" s="366" t="str">
        <f>IFERROR(VLOOKUP($D$5,FINALS!$F$7:$AS$66,40,0),"")</f>
        <v/>
      </c>
      <c r="Z25" s="395"/>
      <c r="AE25" s="424"/>
    </row>
    <row r="26" spans="2:31" ht="21.95" customHeight="1" thickBot="1" x14ac:dyDescent="0.25">
      <c r="B26" s="394"/>
      <c r="C26" s="714" t="s">
        <v>118</v>
      </c>
      <c r="D26" s="715"/>
      <c r="E26" s="716"/>
      <c r="F26" s="398"/>
      <c r="G26" s="708">
        <f>SUM(G12,G18,G24)</f>
        <v>1</v>
      </c>
      <c r="H26" s="709"/>
      <c r="I26" s="709"/>
      <c r="J26" s="710"/>
      <c r="K26" s="353"/>
      <c r="L26" s="708">
        <f>SUM(L12,L18,L24)</f>
        <v>1</v>
      </c>
      <c r="M26" s="709"/>
      <c r="N26" s="709"/>
      <c r="O26" s="710"/>
      <c r="P26" s="353"/>
      <c r="Q26" s="708">
        <f>SUM(Q12,Q18,Q24)</f>
        <v>1</v>
      </c>
      <c r="R26" s="709"/>
      <c r="S26" s="709"/>
      <c r="T26" s="710"/>
      <c r="U26" s="353"/>
      <c r="V26" s="708">
        <f>SUM(V12,V18,V24)</f>
        <v>1</v>
      </c>
      <c r="W26" s="709"/>
      <c r="X26" s="709"/>
      <c r="Y26" s="710"/>
      <c r="Z26" s="395"/>
    </row>
    <row r="27" spans="2:31" ht="9.9499999999999993" customHeight="1" thickBot="1" x14ac:dyDescent="0.25">
      <c r="B27" s="394"/>
      <c r="C27" s="399"/>
      <c r="D27" s="399"/>
      <c r="E27" s="399"/>
      <c r="F27" s="398"/>
      <c r="G27" s="398"/>
      <c r="H27" s="401"/>
      <c r="I27" s="401"/>
      <c r="J27" s="401"/>
      <c r="K27" s="398"/>
      <c r="L27" s="398"/>
      <c r="M27" s="398"/>
      <c r="N27" s="398"/>
      <c r="O27" s="398"/>
      <c r="P27" s="398"/>
      <c r="Q27" s="398"/>
      <c r="R27" s="398"/>
      <c r="S27" s="398"/>
      <c r="T27" s="398"/>
      <c r="U27" s="398"/>
      <c r="V27" s="398"/>
      <c r="W27" s="398"/>
      <c r="X27" s="398"/>
      <c r="Y27" s="398"/>
      <c r="Z27" s="395"/>
    </row>
    <row r="28" spans="2:31" ht="20.100000000000001" customHeight="1" x14ac:dyDescent="0.2">
      <c r="B28" s="394"/>
      <c r="D28" s="411"/>
      <c r="G28" s="357" t="s">
        <v>112</v>
      </c>
      <c r="H28" s="721" t="s">
        <v>111</v>
      </c>
      <c r="I28" s="721"/>
      <c r="J28" s="358" t="s">
        <v>110</v>
      </c>
      <c r="K28" s="355"/>
      <c r="L28" s="357" t="s">
        <v>112</v>
      </c>
      <c r="M28" s="721" t="s">
        <v>111</v>
      </c>
      <c r="N28" s="721"/>
      <c r="O28" s="358" t="s">
        <v>110</v>
      </c>
      <c r="P28" s="355"/>
      <c r="Q28" s="357" t="s">
        <v>112</v>
      </c>
      <c r="R28" s="721" t="s">
        <v>111</v>
      </c>
      <c r="S28" s="721"/>
      <c r="T28" s="358" t="s">
        <v>110</v>
      </c>
      <c r="U28" s="355"/>
      <c r="V28" s="357" t="s">
        <v>112</v>
      </c>
      <c r="W28" s="721" t="s">
        <v>111</v>
      </c>
      <c r="X28" s="721"/>
      <c r="Y28" s="358" t="s">
        <v>110</v>
      </c>
      <c r="Z28" s="395"/>
    </row>
    <row r="29" spans="2:31" ht="20.100000000000001" customHeight="1" thickBot="1" x14ac:dyDescent="0.25">
      <c r="B29" s="394"/>
      <c r="D29" s="411"/>
      <c r="F29" s="398"/>
      <c r="G29" s="375" t="str">
        <f>IFERROR(VLOOKUP($D$5,PRELIMS!$F$7:$AV$66,43,0),"")</f>
        <v/>
      </c>
      <c r="H29" s="722" t="str">
        <f>IFERROR(VLOOKUP($D$5,PRELIMS!$F$7:$AU$66,42,0),"")</f>
        <v/>
      </c>
      <c r="I29" s="722"/>
      <c r="J29" s="376" t="str">
        <f>IFERROR(VLOOKUP($D$5,PRELIMS!$F$7:$AT$66,41,0),"")</f>
        <v/>
      </c>
      <c r="K29" s="356"/>
      <c r="L29" s="375" t="str">
        <f>IFERROR(VLOOKUP($D$5,MIDTERM!$F$7:$AV$66,43,0),"")</f>
        <v/>
      </c>
      <c r="M29" s="722" t="str">
        <f>IFERROR(VLOOKUP($D$5,MIDTERM!$F$7:$AU$66,42,0),"")</f>
        <v/>
      </c>
      <c r="N29" s="722"/>
      <c r="O29" s="376" t="str">
        <f>IFERROR(VLOOKUP($D$5,MIDTERM!$F$7:$AT$66,41,0),"")</f>
        <v/>
      </c>
      <c r="P29" s="356"/>
      <c r="Q29" s="375" t="str">
        <f>IFERROR(VLOOKUP($D$5,'PRE-FINALS'!$F$7:$AV$66,43,0),"")</f>
        <v/>
      </c>
      <c r="R29" s="722" t="str">
        <f>IFERROR(VLOOKUP($D$5,'PRE-FINALS'!$F$7:$AU$66,42,0),"")</f>
        <v/>
      </c>
      <c r="S29" s="722"/>
      <c r="T29" s="376" t="str">
        <f>IFERROR(VLOOKUP($D$5,'PRE-FINALS'!$F$7:$AT$66,41,0),"")</f>
        <v/>
      </c>
      <c r="U29" s="356"/>
      <c r="V29" s="375" t="str">
        <f>IFERROR(VLOOKUP($D$5,FINALS!$F$7:$AV$66,43,0),"")</f>
        <v/>
      </c>
      <c r="W29" s="722" t="str">
        <f>IFERROR(VLOOKUP($D$5,FINALS!$F$7:$AU$66,42,0),"")</f>
        <v/>
      </c>
      <c r="X29" s="722"/>
      <c r="Y29" s="376" t="str">
        <f>IFERROR(VLOOKUP($D$5,FINALS!$F$7:$AT$66,41,0),"")</f>
        <v/>
      </c>
      <c r="Z29" s="395"/>
    </row>
    <row r="30" spans="2:31" ht="20.100000000000001" customHeight="1" thickTop="1" thickBot="1" x14ac:dyDescent="0.25">
      <c r="B30" s="394"/>
      <c r="D30" s="411"/>
      <c r="F30" s="398"/>
      <c r="G30" s="723" t="str">
        <f>IF($H$29="","",
 IF($H$29="INC","INC",
 IF($H$29="DRP","Dropped",
 IF($H$29&gt;=5,"Failed","Passed"))))</f>
        <v/>
      </c>
      <c r="H30" s="724"/>
      <c r="I30" s="724"/>
      <c r="J30" s="725"/>
      <c r="K30" s="353"/>
      <c r="L30" s="723" t="str">
        <f>IF($M$29="","",
 IF($M$29="INC","INC",
 IF($M$29="DRP","Dropped",
 IF($M$29&gt;=5,"Failed","Passed"))))</f>
        <v/>
      </c>
      <c r="M30" s="724"/>
      <c r="N30" s="724"/>
      <c r="O30" s="725"/>
      <c r="P30" s="353"/>
      <c r="Q30" s="723" t="str">
        <f>IF($R$29="","",
 IF($R$29="INC","INC",
 IF($R$29="DRP","Dropped",
 IF($R$29&gt;=5,"Failed","Passed"))))</f>
        <v/>
      </c>
      <c r="R30" s="724"/>
      <c r="S30" s="724"/>
      <c r="T30" s="725"/>
      <c r="U30" s="353"/>
      <c r="V30" s="717" t="str">
        <f>IF($W$29="", "",
 IF($W$29="INC", "INC",
 IF($W$29="DRP","Dropped",
 IF($W$29&gt;=5, "Failed", "Passed"))))</f>
        <v/>
      </c>
      <c r="W30" s="718"/>
      <c r="X30" s="718"/>
      <c r="Y30" s="719"/>
      <c r="Z30" s="395"/>
    </row>
    <row r="31" spans="2:31" ht="15" customHeight="1" thickBot="1" x14ac:dyDescent="0.25">
      <c r="B31" s="394"/>
      <c r="C31" s="398"/>
      <c r="D31" s="398"/>
      <c r="E31" s="398"/>
      <c r="F31" s="398"/>
      <c r="G31" s="398"/>
      <c r="H31" s="398"/>
      <c r="I31" s="398"/>
      <c r="J31" s="398"/>
      <c r="K31" s="398"/>
      <c r="L31" s="398"/>
      <c r="M31" s="398"/>
      <c r="N31" s="398"/>
      <c r="O31" s="398"/>
      <c r="P31" s="398"/>
      <c r="Q31" s="398"/>
      <c r="R31" s="398"/>
      <c r="S31" s="398"/>
      <c r="T31" s="398"/>
      <c r="U31" s="398"/>
      <c r="V31" s="398"/>
      <c r="W31" s="398"/>
      <c r="X31" s="398"/>
      <c r="Y31" s="398"/>
      <c r="Z31" s="395"/>
    </row>
    <row r="32" spans="2:31" ht="15" customHeight="1" thickTop="1" x14ac:dyDescent="0.2">
      <c r="B32" s="394"/>
      <c r="C32" s="720"/>
      <c r="D32" s="720"/>
      <c r="E32" s="720"/>
      <c r="F32" s="720"/>
      <c r="G32" s="720"/>
      <c r="H32" s="720"/>
      <c r="I32" s="720"/>
      <c r="J32" s="720"/>
      <c r="K32" s="720"/>
      <c r="L32" s="720"/>
      <c r="M32" s="720"/>
      <c r="N32" s="720"/>
      <c r="O32" s="720"/>
      <c r="P32" s="720"/>
      <c r="Q32" s="720"/>
      <c r="R32" s="720"/>
      <c r="S32" s="720"/>
      <c r="T32" s="720"/>
      <c r="U32" s="720"/>
      <c r="V32" s="720"/>
      <c r="W32" s="720"/>
      <c r="X32" s="720"/>
      <c r="Y32" s="720"/>
      <c r="Z32" s="395"/>
    </row>
    <row r="33" spans="2:26" ht="20.100000000000001" customHeight="1" x14ac:dyDescent="0.2">
      <c r="B33" s="394"/>
      <c r="C33" s="412"/>
      <c r="D33" s="412"/>
      <c r="E33" s="412"/>
      <c r="F33" s="412"/>
      <c r="G33" s="412"/>
      <c r="H33" s="412"/>
      <c r="I33" s="412"/>
      <c r="J33" s="412"/>
      <c r="K33" s="412"/>
      <c r="L33" s="675" t="s">
        <v>141</v>
      </c>
      <c r="M33" s="675"/>
      <c r="N33" s="675"/>
      <c r="O33" s="675"/>
      <c r="P33" s="412"/>
      <c r="Q33" s="412"/>
      <c r="R33" s="412"/>
      <c r="S33" s="412"/>
      <c r="T33" s="412"/>
      <c r="U33" s="412"/>
      <c r="V33" s="412"/>
      <c r="W33" s="412"/>
      <c r="X33" s="412"/>
      <c r="Y33" s="412"/>
      <c r="Z33" s="395"/>
    </row>
    <row r="34" spans="2:26" ht="9.9499999999999993" customHeight="1" thickBot="1" x14ac:dyDescent="0.25">
      <c r="B34" s="394"/>
      <c r="C34" s="402"/>
      <c r="D34" s="402"/>
      <c r="F34" s="402"/>
      <c r="G34" s="402"/>
      <c r="H34" s="402"/>
      <c r="I34" s="399"/>
      <c r="J34" s="399"/>
      <c r="K34" s="399"/>
      <c r="L34" s="399"/>
      <c r="M34" s="399"/>
      <c r="N34" s="399"/>
      <c r="O34" s="399"/>
      <c r="P34" s="399"/>
      <c r="Q34" s="399"/>
      <c r="R34" s="399"/>
      <c r="S34" s="399"/>
      <c r="T34" s="402"/>
      <c r="U34" s="402"/>
      <c r="V34" s="402"/>
      <c r="W34" s="402"/>
      <c r="X34" s="402"/>
      <c r="Z34" s="395"/>
    </row>
    <row r="35" spans="2:26" ht="24.95" customHeight="1" x14ac:dyDescent="0.2">
      <c r="B35" s="394"/>
      <c r="C35" s="642" t="s">
        <v>113</v>
      </c>
      <c r="D35" s="643"/>
      <c r="E35" s="644"/>
      <c r="F35" s="425"/>
      <c r="G35" s="646" t="s">
        <v>46</v>
      </c>
      <c r="H35" s="647"/>
      <c r="I35" s="647"/>
      <c r="J35" s="648"/>
      <c r="L35" s="667" t="s">
        <v>47</v>
      </c>
      <c r="M35" s="668"/>
      <c r="N35" s="668"/>
      <c r="O35" s="674"/>
      <c r="P35" s="425"/>
      <c r="Q35" s="667" t="s">
        <v>48</v>
      </c>
      <c r="R35" s="668"/>
      <c r="S35" s="668"/>
      <c r="T35" s="674"/>
      <c r="U35" s="426"/>
      <c r="V35" s="667" t="s">
        <v>49</v>
      </c>
      <c r="W35" s="668"/>
      <c r="X35" s="668"/>
      <c r="Y35" s="674"/>
      <c r="Z35" s="395"/>
    </row>
    <row r="36" spans="2:26" ht="17.100000000000001" customHeight="1" x14ac:dyDescent="0.2">
      <c r="B36" s="394"/>
      <c r="C36" s="427" t="s">
        <v>142</v>
      </c>
      <c r="D36" s="640" t="str">
        <f>IF(SUM(I36,N36,S36,X36)=0,"--",SUM(I36,N36,S36,X36))</f>
        <v>--</v>
      </c>
      <c r="E36" s="641"/>
      <c r="F36" s="428"/>
      <c r="G36" s="653" t="s">
        <v>142</v>
      </c>
      <c r="H36" s="654"/>
      <c r="I36" s="659" t="str">
        <f>IFERROR(COUNTIF(INDEX(PRELIMS!$G$7:$U$66,MATCH($D$5,PRELIMS!$F$7:$F$66,0),0),"P"),"--")</f>
        <v>--</v>
      </c>
      <c r="J36" s="660"/>
      <c r="L36" s="665" t="s">
        <v>142</v>
      </c>
      <c r="M36" s="666"/>
      <c r="N36" s="659" t="str">
        <f>IFERROR(COUNTIF(INDEX(MIDTERM!$G$7:$U$66,MATCH($D$5,MIDTERM!$F$7:$F$66,0),0),"P"),"--")</f>
        <v>--</v>
      </c>
      <c r="O36" s="660"/>
      <c r="P36" s="428"/>
      <c r="Q36" s="665" t="s">
        <v>142</v>
      </c>
      <c r="R36" s="666"/>
      <c r="S36" s="659" t="str">
        <f>IFERROR(COUNTIF(INDEX('PRE-FINALS'!$G$7:$U$66,MATCH($D$5,'PRE-FINALS'!$F$7:$F$66,0),0),"P"),"--")</f>
        <v>--</v>
      </c>
      <c r="T36" s="660"/>
      <c r="V36" s="665" t="s">
        <v>142</v>
      </c>
      <c r="W36" s="666"/>
      <c r="X36" s="659" t="str">
        <f>IFERROR(COUNTIF(INDEX(FINALS!$G$7:$U$66,MATCH($D$5,FINALS!$F$7:$F$66,0),0),"P"),"--")</f>
        <v>--</v>
      </c>
      <c r="Y36" s="660"/>
      <c r="Z36" s="395"/>
    </row>
    <row r="37" spans="2:26" ht="17.100000000000001" customHeight="1" x14ac:dyDescent="0.2">
      <c r="B37" s="394"/>
      <c r="C37" s="429" t="s">
        <v>143</v>
      </c>
      <c r="D37" s="638" t="str">
        <f t="shared" ref="D37:D39" si="0">IF(SUM(I37,N37,S37,X37)=0,"--",SUM(I37,N37,S37,X37))</f>
        <v>--</v>
      </c>
      <c r="E37" s="639"/>
      <c r="F37" s="428"/>
      <c r="G37" s="651" t="s">
        <v>143</v>
      </c>
      <c r="H37" s="652"/>
      <c r="I37" s="657" t="str">
        <f>IFERROR(COUNTIF(INDEX(PRELIMS!$G$7:$U$66,MATCH($D$5,PRELIMS!$F$7:$F$66,0),0),"A"),"--")</f>
        <v>--</v>
      </c>
      <c r="J37" s="658"/>
      <c r="L37" s="663" t="s">
        <v>143</v>
      </c>
      <c r="M37" s="664"/>
      <c r="N37" s="657" t="str">
        <f>IFERROR(COUNTIF(INDEX(MIDTERM!$G$7:$U$66,MATCH($D$5,MIDTERM!$F$7:$F$66,0),0),"A"),"--")</f>
        <v>--</v>
      </c>
      <c r="O37" s="658"/>
      <c r="P37" s="428"/>
      <c r="Q37" s="663" t="s">
        <v>143</v>
      </c>
      <c r="R37" s="664"/>
      <c r="S37" s="657" t="str">
        <f>IFERROR(COUNTIF(INDEX('PRE-FINALS'!$G$7:$U$66,MATCH($D$5,'PRE-FINALS'!$F$7:$F$66,0),0),"A"),"--")</f>
        <v>--</v>
      </c>
      <c r="T37" s="658"/>
      <c r="V37" s="663" t="s">
        <v>143</v>
      </c>
      <c r="W37" s="664"/>
      <c r="X37" s="657" t="str">
        <f>IFERROR(COUNTIF(INDEX(FINALS!$G$7:$U$66,MATCH($D$5,FINALS!$F$7:$F$66,0),0),"A"),"--")</f>
        <v>--</v>
      </c>
      <c r="Y37" s="658"/>
      <c r="Z37" s="395"/>
    </row>
    <row r="38" spans="2:26" ht="17.100000000000001" customHeight="1" x14ac:dyDescent="0.2">
      <c r="B38" s="394"/>
      <c r="C38" s="429" t="s">
        <v>144</v>
      </c>
      <c r="D38" s="638" t="str">
        <f t="shared" si="0"/>
        <v>--</v>
      </c>
      <c r="E38" s="639"/>
      <c r="F38" s="428"/>
      <c r="G38" s="651" t="s">
        <v>144</v>
      </c>
      <c r="H38" s="652"/>
      <c r="I38" s="657" t="str">
        <f>IFERROR(COUNTIF(INDEX(PRELIMS!$G$7:$U$66,MATCH($D$5,PRELIMS!$F$7:$F$66,0),0),"L"),"--")</f>
        <v>--</v>
      </c>
      <c r="J38" s="658"/>
      <c r="L38" s="663" t="s">
        <v>144</v>
      </c>
      <c r="M38" s="664"/>
      <c r="N38" s="657" t="str">
        <f>IFERROR(COUNTIF(INDEX(MIDTERM!$G$7:$U$66,MATCH($D$5,MIDTERM!$F$7:$F$66,0),0),"L"),"--")</f>
        <v>--</v>
      </c>
      <c r="O38" s="658"/>
      <c r="P38" s="428"/>
      <c r="Q38" s="663" t="s">
        <v>144</v>
      </c>
      <c r="R38" s="664"/>
      <c r="S38" s="657" t="str">
        <f>IFERROR(COUNTIF(INDEX('PRE-FINALS'!$G$7:$U$66,MATCH($D$5,'PRE-FINALS'!$F$7:$F$66,0),0),"L"),"--")</f>
        <v>--</v>
      </c>
      <c r="T38" s="658"/>
      <c r="V38" s="663" t="s">
        <v>144</v>
      </c>
      <c r="W38" s="664"/>
      <c r="X38" s="657" t="str">
        <f>IFERROR(COUNTIF(INDEX(FINALS!$G$7:$U$66,MATCH($D$5,FINALS!$F$7:$F$66,0),0),"L"),"--")</f>
        <v>--</v>
      </c>
      <c r="Y38" s="658"/>
      <c r="Z38" s="395"/>
    </row>
    <row r="39" spans="2:26" ht="17.100000000000001" customHeight="1" thickBot="1" x14ac:dyDescent="0.25">
      <c r="B39" s="394"/>
      <c r="C39" s="430" t="s">
        <v>145</v>
      </c>
      <c r="D39" s="636" t="str">
        <f t="shared" si="0"/>
        <v>--</v>
      </c>
      <c r="E39" s="637"/>
      <c r="F39" s="428"/>
      <c r="G39" s="649" t="s">
        <v>145</v>
      </c>
      <c r="H39" s="650"/>
      <c r="I39" s="655" t="str">
        <f>IFERROR(COUNTIF(INDEX(PRELIMS!$G$7:$U$66,MATCH($D$5,PRELIMS!$F$7:$F$66,0),0),"E"),"--")</f>
        <v>--</v>
      </c>
      <c r="J39" s="656"/>
      <c r="L39" s="661" t="s">
        <v>145</v>
      </c>
      <c r="M39" s="662"/>
      <c r="N39" s="655" t="str">
        <f>IFERROR(COUNTIF(INDEX(MIDTERM!$G$7:$U$66,MATCH($D$5,MIDTERM!$F$7:$F$66,0),0),"E"),"--")</f>
        <v>--</v>
      </c>
      <c r="O39" s="656"/>
      <c r="P39" s="428"/>
      <c r="Q39" s="661" t="s">
        <v>145</v>
      </c>
      <c r="R39" s="662"/>
      <c r="S39" s="655" t="str">
        <f>IFERROR(COUNTIF(INDEX('PRE-FINALS'!$G$7:$U$66,MATCH($D$5,'PRE-FINALS'!$F$7:$F$66,0),0),"E"),"--")</f>
        <v>--</v>
      </c>
      <c r="T39" s="656"/>
      <c r="V39" s="661" t="s">
        <v>145</v>
      </c>
      <c r="W39" s="662"/>
      <c r="X39" s="655" t="str">
        <f>IFERROR(COUNTIF(INDEX(FINALS!$G$7:$U$66,MATCH($D$5,FINALS!$F$7:$F$66,0),0),"E"),"--")</f>
        <v>--</v>
      </c>
      <c r="Y39" s="656"/>
      <c r="Z39" s="395"/>
    </row>
    <row r="40" spans="2:26" ht="24.95" customHeight="1" thickBot="1" x14ac:dyDescent="0.25">
      <c r="B40" s="431"/>
      <c r="C40" s="432"/>
      <c r="D40" s="432"/>
      <c r="E40" s="432"/>
      <c r="F40" s="432"/>
      <c r="G40" s="432"/>
      <c r="H40" s="432"/>
      <c r="I40" s="432"/>
      <c r="J40" s="432"/>
      <c r="K40" s="432"/>
      <c r="L40" s="432"/>
      <c r="M40" s="432"/>
      <c r="N40" s="432"/>
      <c r="O40" s="432"/>
      <c r="P40" s="432"/>
      <c r="Q40" s="432"/>
      <c r="R40" s="432"/>
      <c r="S40" s="432"/>
      <c r="T40" s="432"/>
      <c r="U40" s="432"/>
      <c r="V40" s="432"/>
      <c r="W40" s="432"/>
      <c r="X40" s="432"/>
      <c r="Y40" s="432"/>
      <c r="Z40" s="433"/>
    </row>
    <row r="41" spans="2:26" ht="15" customHeight="1" x14ac:dyDescent="0.2">
      <c r="C41" s="398"/>
      <c r="D41" s="398"/>
      <c r="E41" s="398"/>
      <c r="F41" s="398"/>
      <c r="G41" s="398"/>
      <c r="H41" s="398"/>
      <c r="I41" s="398"/>
      <c r="J41" s="398"/>
      <c r="K41" s="398"/>
      <c r="L41" s="398"/>
      <c r="M41" s="398"/>
      <c r="N41" s="398"/>
      <c r="P41" s="398"/>
      <c r="Q41" s="398"/>
      <c r="R41" s="398"/>
      <c r="S41" s="398"/>
      <c r="T41" s="398"/>
      <c r="U41" s="398"/>
      <c r="V41" s="398"/>
      <c r="W41" s="398"/>
      <c r="X41" s="398"/>
      <c r="Y41" s="398"/>
    </row>
    <row r="42" spans="2:26" ht="15" hidden="1" customHeight="1" x14ac:dyDescent="0.2">
      <c r="C42" s="398"/>
      <c r="D42" s="398"/>
      <c r="E42" s="398"/>
      <c r="F42" s="398"/>
      <c r="G42" s="398"/>
      <c r="H42" s="398"/>
      <c r="I42" s="398"/>
      <c r="J42" s="398"/>
      <c r="K42" s="398"/>
      <c r="L42" s="398"/>
      <c r="M42" s="398"/>
      <c r="N42" s="398"/>
      <c r="O42" s="398"/>
      <c r="P42" s="398"/>
      <c r="Q42" s="398"/>
      <c r="R42" s="398"/>
    </row>
    <row r="43" spans="2:26" ht="15" hidden="1" customHeight="1" x14ac:dyDescent="0.2">
      <c r="C43" s="398"/>
      <c r="D43" s="398"/>
      <c r="E43" s="398"/>
      <c r="F43" s="398"/>
      <c r="G43" s="398"/>
      <c r="H43" s="398"/>
      <c r="I43" s="398"/>
      <c r="J43" s="398"/>
      <c r="K43" s="398"/>
      <c r="L43" s="398"/>
      <c r="M43" s="398"/>
      <c r="N43" s="398"/>
      <c r="O43" s="398"/>
      <c r="P43" s="398"/>
      <c r="Q43" s="398"/>
      <c r="R43" s="398"/>
      <c r="S43" s="398"/>
      <c r="T43" s="398"/>
      <c r="U43" s="398"/>
      <c r="V43" s="398"/>
      <c r="W43" s="398"/>
      <c r="X43" s="398"/>
      <c r="Y43" s="398"/>
    </row>
    <row r="44" spans="2:26" ht="15" hidden="1" customHeight="1" x14ac:dyDescent="0.2">
      <c r="C44" s="398"/>
      <c r="D44" s="398"/>
      <c r="E44" s="398"/>
      <c r="F44" s="398"/>
      <c r="G44" s="398"/>
      <c r="H44" s="398"/>
      <c r="I44" s="398"/>
      <c r="J44" s="398"/>
      <c r="K44" s="398"/>
      <c r="L44" s="398"/>
      <c r="M44" s="398"/>
      <c r="N44" s="398"/>
      <c r="O44" s="398"/>
      <c r="P44" s="398"/>
      <c r="Q44" s="398"/>
      <c r="R44" s="398"/>
      <c r="S44" s="398"/>
      <c r="T44" s="398"/>
      <c r="U44" s="398"/>
      <c r="V44" s="398"/>
      <c r="W44" s="398"/>
      <c r="X44" s="398"/>
      <c r="Y44" s="398"/>
    </row>
    <row r="45" spans="2:26" ht="15" hidden="1" customHeight="1" x14ac:dyDescent="0.2">
      <c r="C45" s="398"/>
      <c r="D45" s="398"/>
      <c r="E45" s="398"/>
      <c r="F45" s="398"/>
      <c r="G45" s="398"/>
      <c r="H45" s="398"/>
      <c r="I45" s="398"/>
      <c r="J45" s="398"/>
      <c r="K45" s="398"/>
      <c r="L45" s="398"/>
      <c r="M45" s="398"/>
      <c r="N45" s="398"/>
      <c r="O45" s="398"/>
      <c r="P45" s="398"/>
      <c r="Q45" s="398"/>
      <c r="R45" s="398"/>
      <c r="S45" s="398"/>
      <c r="T45" s="398"/>
      <c r="U45" s="398"/>
      <c r="V45" s="398"/>
      <c r="W45" s="398"/>
      <c r="X45" s="398"/>
      <c r="Y45" s="398"/>
    </row>
    <row r="46" spans="2:26" ht="15" hidden="1" customHeight="1" x14ac:dyDescent="0.2">
      <c r="C46" s="398"/>
      <c r="D46" s="398"/>
      <c r="E46" s="398"/>
      <c r="F46" s="398"/>
      <c r="G46" s="398"/>
      <c r="H46" s="398"/>
      <c r="I46" s="398"/>
      <c r="J46" s="398"/>
      <c r="K46" s="398"/>
      <c r="L46" s="398"/>
      <c r="M46" s="398"/>
      <c r="N46" s="398"/>
      <c r="O46" s="398"/>
      <c r="P46" s="398"/>
      <c r="Q46" s="398"/>
      <c r="R46" s="398"/>
      <c r="S46" s="398"/>
      <c r="T46" s="398"/>
      <c r="U46" s="398"/>
      <c r="V46" s="398"/>
      <c r="W46" s="398"/>
      <c r="X46" s="398"/>
      <c r="Y46" s="398"/>
    </row>
    <row r="47" spans="2:26" ht="15" hidden="1" customHeight="1" x14ac:dyDescent="0.2">
      <c r="C47" s="398"/>
      <c r="D47" s="398"/>
      <c r="E47" s="398"/>
      <c r="F47" s="398"/>
      <c r="G47" s="398"/>
      <c r="H47" s="398"/>
      <c r="I47" s="398"/>
      <c r="J47" s="398"/>
      <c r="K47" s="398"/>
      <c r="L47" s="398"/>
      <c r="M47" s="398"/>
      <c r="N47" s="398"/>
      <c r="O47" s="398"/>
      <c r="P47" s="398"/>
      <c r="Q47" s="398"/>
      <c r="R47" s="398"/>
      <c r="S47" s="398"/>
      <c r="T47" s="398"/>
      <c r="U47" s="398"/>
      <c r="V47" s="398"/>
      <c r="W47" s="398"/>
      <c r="X47" s="398"/>
      <c r="Y47" s="398"/>
    </row>
    <row r="48" spans="2:26" ht="15" hidden="1" customHeight="1" x14ac:dyDescent="0.2">
      <c r="C48" s="398"/>
      <c r="D48" s="398"/>
      <c r="E48" s="398"/>
      <c r="F48" s="398"/>
      <c r="G48" s="398"/>
      <c r="H48" s="398"/>
      <c r="I48" s="398"/>
      <c r="J48" s="398"/>
      <c r="K48" s="398"/>
      <c r="L48" s="398"/>
      <c r="M48" s="398"/>
      <c r="N48" s="398"/>
      <c r="O48" s="398"/>
      <c r="P48" s="398"/>
      <c r="Q48" s="398"/>
      <c r="R48" s="398"/>
      <c r="S48" s="398"/>
      <c r="T48" s="398"/>
      <c r="U48" s="398"/>
      <c r="V48" s="398"/>
      <c r="W48" s="398"/>
      <c r="X48" s="398"/>
      <c r="Y48" s="398"/>
    </row>
    <row r="49" spans="3:25" ht="15" hidden="1" customHeight="1" x14ac:dyDescent="0.2">
      <c r="C49" s="398"/>
      <c r="D49" s="398"/>
      <c r="E49" s="398"/>
      <c r="F49" s="398"/>
      <c r="G49" s="398"/>
      <c r="H49" s="398"/>
      <c r="I49" s="398"/>
      <c r="J49" s="398"/>
      <c r="K49" s="398"/>
      <c r="L49" s="398"/>
      <c r="M49" s="398"/>
      <c r="N49" s="398"/>
      <c r="O49" s="398"/>
      <c r="P49" s="398"/>
      <c r="Q49" s="398"/>
      <c r="R49" s="398"/>
      <c r="S49" s="398"/>
      <c r="T49" s="398"/>
      <c r="U49" s="398"/>
      <c r="V49" s="398"/>
      <c r="W49" s="398"/>
      <c r="X49" s="398"/>
      <c r="Y49" s="398"/>
    </row>
    <row r="50" spans="3:25" ht="15" hidden="1" customHeight="1" x14ac:dyDescent="0.2">
      <c r="C50" s="398"/>
      <c r="D50" s="398"/>
      <c r="E50" s="398"/>
      <c r="F50" s="398"/>
      <c r="G50" s="398"/>
      <c r="H50" s="398"/>
      <c r="I50" s="398"/>
      <c r="J50" s="398"/>
      <c r="K50" s="398"/>
      <c r="L50" s="398"/>
      <c r="M50" s="398"/>
      <c r="N50" s="398"/>
      <c r="O50" s="398"/>
      <c r="P50" s="398"/>
      <c r="Q50" s="398"/>
      <c r="R50" s="398"/>
      <c r="S50" s="398"/>
      <c r="T50" s="398"/>
      <c r="U50" s="398"/>
      <c r="V50" s="398"/>
      <c r="W50" s="398"/>
      <c r="X50" s="398"/>
      <c r="Y50" s="398"/>
    </row>
    <row r="51" spans="3:25" ht="15" hidden="1" customHeight="1" x14ac:dyDescent="0.2">
      <c r="C51" s="398"/>
      <c r="D51" s="398"/>
      <c r="E51" s="398"/>
      <c r="F51" s="398"/>
      <c r="G51" s="398"/>
      <c r="H51" s="398"/>
      <c r="I51" s="398"/>
      <c r="J51" s="398"/>
      <c r="K51" s="398"/>
      <c r="L51" s="398"/>
      <c r="M51" s="398"/>
      <c r="N51" s="398"/>
      <c r="O51" s="398"/>
      <c r="P51" s="398"/>
      <c r="Q51" s="398"/>
      <c r="R51" s="398"/>
      <c r="S51" s="398"/>
      <c r="T51" s="398"/>
      <c r="U51" s="398"/>
      <c r="V51" s="398"/>
      <c r="W51" s="398"/>
      <c r="X51" s="398"/>
      <c r="Y51" s="398"/>
    </row>
    <row r="52" spans="3:25" ht="15" hidden="1" customHeight="1" x14ac:dyDescent="0.2">
      <c r="C52" s="398"/>
      <c r="D52" s="398"/>
      <c r="E52" s="398"/>
      <c r="F52" s="398"/>
      <c r="G52" s="398"/>
      <c r="H52" s="398"/>
      <c r="I52" s="398"/>
      <c r="J52" s="398"/>
      <c r="K52" s="398"/>
      <c r="L52" s="398"/>
      <c r="M52" s="398"/>
      <c r="N52" s="398"/>
      <c r="O52" s="398"/>
      <c r="P52" s="398"/>
      <c r="Q52" s="398"/>
      <c r="R52" s="398"/>
      <c r="S52" s="398"/>
      <c r="T52" s="398"/>
      <c r="U52" s="398"/>
      <c r="V52" s="398"/>
      <c r="W52" s="398"/>
      <c r="X52" s="398"/>
      <c r="Y52" s="398"/>
    </row>
    <row r="53" spans="3:25" ht="15" hidden="1" customHeight="1" x14ac:dyDescent="0.2">
      <c r="C53" s="398"/>
      <c r="D53" s="398"/>
      <c r="E53" s="398"/>
      <c r="F53" s="398"/>
      <c r="G53" s="398"/>
      <c r="H53" s="398"/>
      <c r="I53" s="398"/>
      <c r="J53" s="398"/>
      <c r="K53" s="398"/>
      <c r="L53" s="398"/>
      <c r="M53" s="398"/>
      <c r="N53" s="398"/>
      <c r="O53" s="398"/>
      <c r="P53" s="398"/>
      <c r="Q53" s="398"/>
      <c r="R53" s="398"/>
      <c r="S53" s="398"/>
      <c r="T53" s="398"/>
      <c r="U53" s="398"/>
      <c r="V53" s="398"/>
      <c r="W53" s="398"/>
      <c r="X53" s="398"/>
      <c r="Y53" s="398"/>
    </row>
    <row r="54" spans="3:25" ht="15" hidden="1" customHeight="1" x14ac:dyDescent="0.2">
      <c r="C54" s="398"/>
      <c r="D54" s="398"/>
      <c r="E54" s="398"/>
      <c r="F54" s="398"/>
      <c r="G54" s="398"/>
      <c r="H54" s="398"/>
      <c r="I54" s="398"/>
      <c r="J54" s="398"/>
      <c r="K54" s="398"/>
      <c r="L54" s="398"/>
      <c r="M54" s="398"/>
      <c r="N54" s="398"/>
      <c r="O54" s="398"/>
      <c r="P54" s="398"/>
      <c r="Q54" s="398"/>
      <c r="R54" s="398"/>
      <c r="S54" s="398"/>
      <c r="T54" s="398"/>
      <c r="U54" s="398"/>
      <c r="V54" s="398"/>
      <c r="W54" s="398"/>
      <c r="X54" s="398"/>
      <c r="Y54" s="398"/>
    </row>
    <row r="55" spans="3:25" ht="15" hidden="1" customHeight="1" x14ac:dyDescent="0.2">
      <c r="C55" s="398"/>
      <c r="D55" s="398"/>
      <c r="E55" s="398"/>
      <c r="F55" s="398"/>
      <c r="G55" s="398"/>
      <c r="H55" s="398"/>
      <c r="I55" s="398"/>
      <c r="J55" s="398"/>
      <c r="K55" s="398"/>
      <c r="L55" s="398"/>
      <c r="M55" s="398"/>
      <c r="N55" s="398"/>
      <c r="O55" s="398"/>
      <c r="P55" s="398"/>
      <c r="Q55" s="398"/>
      <c r="R55" s="398"/>
      <c r="S55" s="398"/>
      <c r="T55" s="398"/>
      <c r="U55" s="398"/>
      <c r="V55" s="398"/>
      <c r="W55" s="398"/>
      <c r="X55" s="398"/>
      <c r="Y55" s="398"/>
    </row>
    <row r="56" spans="3:25" ht="15" hidden="1" customHeight="1" x14ac:dyDescent="0.2">
      <c r="C56" s="398"/>
      <c r="D56" s="398"/>
      <c r="E56" s="398"/>
      <c r="F56" s="398"/>
      <c r="G56" s="398"/>
      <c r="H56" s="398"/>
      <c r="I56" s="398"/>
      <c r="J56" s="398"/>
      <c r="K56" s="398"/>
      <c r="L56" s="398"/>
      <c r="M56" s="398"/>
      <c r="N56" s="398"/>
      <c r="O56" s="398"/>
      <c r="P56" s="398"/>
      <c r="Q56" s="398"/>
      <c r="R56" s="398"/>
      <c r="S56" s="398"/>
      <c r="T56" s="398"/>
      <c r="U56" s="398"/>
      <c r="V56" s="398"/>
      <c r="W56" s="398"/>
      <c r="X56" s="398"/>
      <c r="Y56" s="398"/>
    </row>
    <row r="57" spans="3:25" ht="15" hidden="1" customHeight="1" x14ac:dyDescent="0.2">
      <c r="C57" s="398"/>
      <c r="D57" s="398"/>
      <c r="E57" s="398"/>
      <c r="F57" s="398"/>
      <c r="G57" s="398"/>
      <c r="H57" s="398"/>
      <c r="I57" s="398"/>
      <c r="J57" s="398"/>
      <c r="K57" s="398"/>
      <c r="L57" s="398"/>
      <c r="M57" s="398"/>
      <c r="N57" s="398"/>
      <c r="O57" s="398"/>
      <c r="P57" s="398"/>
      <c r="Q57" s="398"/>
      <c r="R57" s="398"/>
      <c r="S57" s="398"/>
      <c r="T57" s="398"/>
      <c r="U57" s="398"/>
      <c r="V57" s="398"/>
      <c r="W57" s="398"/>
      <c r="X57" s="398"/>
      <c r="Y57" s="398"/>
    </row>
    <row r="58" spans="3:25" ht="15" hidden="1" customHeight="1" x14ac:dyDescent="0.2">
      <c r="C58" s="398"/>
      <c r="D58" s="398"/>
      <c r="E58" s="398"/>
      <c r="F58" s="398"/>
      <c r="G58" s="398"/>
      <c r="H58" s="398"/>
      <c r="I58" s="398"/>
      <c r="J58" s="398"/>
      <c r="K58" s="398"/>
      <c r="L58" s="398"/>
      <c r="M58" s="398"/>
      <c r="N58" s="398"/>
      <c r="O58" s="398"/>
      <c r="P58" s="398"/>
      <c r="Q58" s="398"/>
      <c r="R58" s="398"/>
      <c r="S58" s="398"/>
      <c r="T58" s="398"/>
      <c r="U58" s="398"/>
      <c r="V58" s="398"/>
      <c r="W58" s="398"/>
      <c r="X58" s="398"/>
      <c r="Y58" s="398"/>
    </row>
    <row r="59" spans="3:25" ht="15" hidden="1" customHeight="1" x14ac:dyDescent="0.2">
      <c r="C59" s="398"/>
      <c r="D59" s="398"/>
      <c r="E59" s="398"/>
      <c r="F59" s="398"/>
      <c r="G59" s="398"/>
      <c r="H59" s="398"/>
      <c r="I59" s="398"/>
      <c r="J59" s="398"/>
      <c r="K59" s="398"/>
      <c r="L59" s="398"/>
      <c r="M59" s="398"/>
      <c r="N59" s="398"/>
      <c r="O59" s="398"/>
      <c r="P59" s="398"/>
      <c r="Q59" s="398"/>
      <c r="R59" s="398"/>
      <c r="S59" s="398"/>
      <c r="T59" s="398"/>
      <c r="U59" s="398"/>
      <c r="V59" s="398"/>
      <c r="W59" s="398"/>
      <c r="X59" s="398"/>
      <c r="Y59" s="398"/>
    </row>
    <row r="60" spans="3:25" ht="15" hidden="1" customHeight="1" x14ac:dyDescent="0.2">
      <c r="C60" s="398"/>
      <c r="D60" s="398"/>
      <c r="E60" s="398"/>
      <c r="F60" s="398"/>
      <c r="G60" s="398"/>
      <c r="H60" s="398"/>
      <c r="I60" s="398"/>
      <c r="J60" s="398"/>
      <c r="K60" s="398"/>
      <c r="L60" s="398"/>
      <c r="M60" s="398"/>
      <c r="N60" s="398"/>
      <c r="O60" s="398"/>
      <c r="P60" s="398"/>
      <c r="Q60" s="398"/>
      <c r="R60" s="398"/>
      <c r="S60" s="398"/>
      <c r="T60" s="398"/>
      <c r="U60" s="398"/>
      <c r="V60" s="398"/>
      <c r="W60" s="398"/>
      <c r="X60" s="398"/>
      <c r="Y60" s="398"/>
    </row>
    <row r="61" spans="3:25" ht="15" hidden="1" customHeight="1" x14ac:dyDescent="0.2">
      <c r="C61" s="398"/>
      <c r="D61" s="398"/>
      <c r="E61" s="398"/>
      <c r="F61" s="398"/>
      <c r="G61" s="398"/>
      <c r="H61" s="398"/>
      <c r="I61" s="398"/>
      <c r="J61" s="398"/>
      <c r="K61" s="398"/>
      <c r="L61" s="398"/>
      <c r="M61" s="398"/>
      <c r="N61" s="398"/>
      <c r="O61" s="398"/>
      <c r="P61" s="398"/>
      <c r="Q61" s="398"/>
      <c r="R61" s="398"/>
      <c r="S61" s="398"/>
      <c r="T61" s="398"/>
      <c r="U61" s="398"/>
      <c r="V61" s="398"/>
      <c r="W61" s="398"/>
      <c r="X61" s="398"/>
      <c r="Y61" s="398"/>
    </row>
    <row r="62" spans="3:25" ht="15" hidden="1" customHeight="1" x14ac:dyDescent="0.2">
      <c r="C62" s="398"/>
      <c r="D62" s="398"/>
      <c r="E62" s="398"/>
      <c r="F62" s="398"/>
      <c r="G62" s="398"/>
      <c r="H62" s="398"/>
      <c r="I62" s="398"/>
      <c r="J62" s="398"/>
      <c r="K62" s="398"/>
      <c r="L62" s="398"/>
      <c r="M62" s="398"/>
      <c r="N62" s="398"/>
      <c r="O62" s="398"/>
      <c r="P62" s="398"/>
      <c r="Q62" s="398"/>
      <c r="R62" s="398"/>
      <c r="S62" s="398"/>
      <c r="T62" s="398"/>
      <c r="U62" s="398"/>
      <c r="V62" s="398"/>
      <c r="W62" s="398"/>
      <c r="X62" s="398"/>
      <c r="Y62" s="398"/>
    </row>
    <row r="63" spans="3:25" ht="15" hidden="1" customHeight="1" x14ac:dyDescent="0.2">
      <c r="C63" s="398"/>
      <c r="D63" s="398"/>
      <c r="E63" s="398"/>
      <c r="F63" s="398"/>
      <c r="G63" s="398"/>
      <c r="H63" s="398"/>
      <c r="I63" s="398"/>
      <c r="J63" s="398"/>
      <c r="K63" s="398"/>
      <c r="L63" s="398"/>
      <c r="M63" s="398"/>
      <c r="N63" s="398"/>
      <c r="O63" s="398"/>
      <c r="P63" s="398"/>
      <c r="Q63" s="398"/>
      <c r="R63" s="398"/>
      <c r="S63" s="398"/>
      <c r="T63" s="398"/>
      <c r="U63" s="398"/>
      <c r="V63" s="398"/>
      <c r="W63" s="398"/>
      <c r="X63" s="398"/>
      <c r="Y63" s="398"/>
    </row>
    <row r="64" spans="3:25" ht="15" hidden="1" customHeight="1" x14ac:dyDescent="0.2">
      <c r="C64" s="398"/>
      <c r="D64" s="398"/>
      <c r="E64" s="398"/>
      <c r="F64" s="398"/>
      <c r="G64" s="398"/>
      <c r="H64" s="398"/>
      <c r="I64" s="398"/>
      <c r="J64" s="398"/>
      <c r="K64" s="398"/>
      <c r="L64" s="398"/>
      <c r="M64" s="398"/>
      <c r="N64" s="398"/>
      <c r="O64" s="398"/>
      <c r="P64" s="398"/>
      <c r="Q64" s="398"/>
      <c r="R64" s="398"/>
      <c r="S64" s="398"/>
      <c r="T64" s="398"/>
      <c r="U64" s="398"/>
      <c r="V64" s="398"/>
      <c r="W64" s="398"/>
      <c r="X64" s="398"/>
      <c r="Y64" s="398"/>
    </row>
    <row r="65" spans="3:25" ht="15" hidden="1" customHeight="1" x14ac:dyDescent="0.2">
      <c r="C65" s="398"/>
      <c r="D65" s="398"/>
      <c r="E65" s="398"/>
      <c r="F65" s="398"/>
      <c r="G65" s="398"/>
      <c r="H65" s="398"/>
      <c r="I65" s="398"/>
      <c r="J65" s="398"/>
      <c r="K65" s="398"/>
      <c r="L65" s="398"/>
      <c r="M65" s="398"/>
      <c r="N65" s="398"/>
      <c r="O65" s="398"/>
      <c r="P65" s="398"/>
      <c r="Q65" s="398"/>
      <c r="R65" s="398"/>
      <c r="S65" s="398"/>
      <c r="T65" s="398"/>
      <c r="U65" s="398"/>
      <c r="V65" s="398"/>
      <c r="W65" s="398"/>
      <c r="X65" s="398"/>
      <c r="Y65" s="398"/>
    </row>
    <row r="66" spans="3:25" ht="15" hidden="1" customHeight="1" x14ac:dyDescent="0.2">
      <c r="C66" s="398"/>
      <c r="D66" s="398"/>
      <c r="E66" s="398"/>
      <c r="F66" s="398"/>
      <c r="G66" s="398"/>
      <c r="H66" s="398"/>
      <c r="I66" s="398"/>
      <c r="J66" s="398"/>
      <c r="K66" s="398"/>
      <c r="L66" s="398"/>
      <c r="M66" s="398"/>
      <c r="N66" s="398"/>
      <c r="O66" s="398"/>
      <c r="P66" s="398"/>
      <c r="Q66" s="398"/>
      <c r="R66" s="398"/>
      <c r="S66" s="398"/>
      <c r="T66" s="398"/>
      <c r="U66" s="398"/>
      <c r="V66" s="398"/>
      <c r="W66" s="398"/>
      <c r="X66" s="398"/>
      <c r="Y66" s="398"/>
    </row>
    <row r="67" spans="3:25" ht="15" hidden="1" customHeight="1" x14ac:dyDescent="0.2">
      <c r="C67" s="398"/>
      <c r="D67" s="398"/>
      <c r="E67" s="398"/>
      <c r="F67" s="398"/>
      <c r="G67" s="398"/>
      <c r="H67" s="398"/>
      <c r="I67" s="398"/>
      <c r="J67" s="398"/>
      <c r="K67" s="398"/>
      <c r="L67" s="398"/>
      <c r="M67" s="398"/>
      <c r="N67" s="398"/>
      <c r="O67" s="398"/>
      <c r="P67" s="398"/>
      <c r="Q67" s="398"/>
      <c r="R67" s="398"/>
      <c r="S67" s="398"/>
      <c r="T67" s="398"/>
      <c r="U67" s="398"/>
      <c r="V67" s="398"/>
      <c r="W67" s="398"/>
      <c r="X67" s="398"/>
      <c r="Y67" s="398"/>
    </row>
    <row r="68" spans="3:25" ht="15" hidden="1" customHeight="1" x14ac:dyDescent="0.2">
      <c r="C68" s="398"/>
      <c r="D68" s="398"/>
      <c r="E68" s="398"/>
      <c r="F68" s="398"/>
      <c r="G68" s="398"/>
      <c r="H68" s="398"/>
      <c r="I68" s="398"/>
      <c r="J68" s="398"/>
      <c r="K68" s="398"/>
      <c r="L68" s="398"/>
      <c r="M68" s="398"/>
      <c r="N68" s="398"/>
      <c r="O68" s="398"/>
      <c r="P68" s="398"/>
      <c r="Q68" s="398"/>
      <c r="R68" s="398"/>
      <c r="S68" s="398"/>
      <c r="T68" s="398"/>
      <c r="U68" s="398"/>
      <c r="V68" s="398"/>
      <c r="W68" s="398"/>
      <c r="X68" s="398"/>
      <c r="Y68" s="398"/>
    </row>
    <row r="69" spans="3:25" ht="15" hidden="1" customHeight="1" x14ac:dyDescent="0.2">
      <c r="C69" s="398"/>
      <c r="D69" s="398"/>
      <c r="E69" s="398"/>
      <c r="F69" s="398"/>
      <c r="G69" s="398"/>
      <c r="H69" s="398"/>
      <c r="I69" s="398"/>
      <c r="J69" s="398"/>
      <c r="K69" s="398"/>
      <c r="L69" s="398"/>
      <c r="M69" s="398"/>
      <c r="N69" s="398"/>
      <c r="O69" s="398"/>
      <c r="P69" s="398"/>
      <c r="Q69" s="398"/>
      <c r="R69" s="398"/>
      <c r="S69" s="398"/>
      <c r="T69" s="398"/>
      <c r="U69" s="398"/>
      <c r="V69" s="398"/>
      <c r="W69" s="398"/>
      <c r="X69" s="398"/>
      <c r="Y69" s="398"/>
    </row>
    <row r="70" spans="3:25" ht="15" hidden="1" customHeight="1" x14ac:dyDescent="0.2">
      <c r="C70" s="398"/>
      <c r="D70" s="398"/>
      <c r="E70" s="398"/>
      <c r="F70" s="398"/>
      <c r="G70" s="398"/>
      <c r="H70" s="398"/>
      <c r="I70" s="398"/>
      <c r="J70" s="398"/>
      <c r="K70" s="398"/>
      <c r="L70" s="398"/>
      <c r="M70" s="398"/>
      <c r="N70" s="398"/>
      <c r="O70" s="398"/>
      <c r="P70" s="398"/>
      <c r="Q70" s="398"/>
      <c r="R70" s="398"/>
      <c r="S70" s="398"/>
      <c r="T70" s="398"/>
      <c r="U70" s="398"/>
      <c r="V70" s="398"/>
      <c r="W70" s="398"/>
      <c r="X70" s="398"/>
      <c r="Y70" s="398"/>
    </row>
    <row r="71" spans="3:25" ht="15" hidden="1" customHeight="1" x14ac:dyDescent="0.2">
      <c r="C71" s="398"/>
      <c r="D71" s="398"/>
      <c r="E71" s="398"/>
      <c r="F71" s="398"/>
      <c r="G71" s="398"/>
      <c r="H71" s="398"/>
      <c r="I71" s="398"/>
      <c r="J71" s="398"/>
      <c r="K71" s="398"/>
      <c r="L71" s="398"/>
      <c r="M71" s="398"/>
      <c r="N71" s="398"/>
      <c r="O71" s="398"/>
      <c r="P71" s="398"/>
      <c r="Q71" s="398"/>
      <c r="R71" s="398"/>
      <c r="S71" s="398"/>
      <c r="T71" s="398"/>
      <c r="U71" s="398"/>
      <c r="V71" s="398"/>
      <c r="W71" s="398"/>
      <c r="X71" s="398"/>
      <c r="Y71" s="398"/>
    </row>
    <row r="72" spans="3:25" ht="15" hidden="1" customHeight="1" x14ac:dyDescent="0.2">
      <c r="C72" s="398"/>
      <c r="D72" s="398"/>
      <c r="E72" s="398"/>
      <c r="F72" s="398"/>
      <c r="G72" s="398"/>
      <c r="H72" s="398"/>
      <c r="I72" s="398"/>
      <c r="J72" s="398"/>
      <c r="K72" s="398"/>
      <c r="L72" s="398"/>
      <c r="M72" s="398"/>
      <c r="N72" s="398"/>
      <c r="O72" s="398"/>
      <c r="P72" s="398"/>
      <c r="Q72" s="398"/>
      <c r="R72" s="398"/>
      <c r="S72" s="398"/>
      <c r="T72" s="398"/>
      <c r="U72" s="398"/>
      <c r="V72" s="398"/>
      <c r="W72" s="398"/>
      <c r="X72" s="398"/>
      <c r="Y72" s="398"/>
    </row>
    <row r="73" spans="3:25" ht="15" hidden="1" customHeight="1" x14ac:dyDescent="0.2">
      <c r="C73" s="398"/>
      <c r="D73" s="398"/>
      <c r="E73" s="398"/>
      <c r="F73" s="398"/>
      <c r="G73" s="398"/>
      <c r="H73" s="398"/>
      <c r="I73" s="398"/>
      <c r="J73" s="398"/>
      <c r="K73" s="398"/>
      <c r="L73" s="398"/>
      <c r="M73" s="398"/>
      <c r="N73" s="398"/>
      <c r="O73" s="398"/>
      <c r="P73" s="398"/>
      <c r="Q73" s="398"/>
      <c r="R73" s="398"/>
      <c r="S73" s="398"/>
      <c r="T73" s="398"/>
      <c r="U73" s="398"/>
      <c r="V73" s="398"/>
      <c r="W73" s="398"/>
      <c r="X73" s="398"/>
      <c r="Y73" s="398"/>
    </row>
    <row r="74" spans="3:25" ht="15" hidden="1" customHeight="1" x14ac:dyDescent="0.2">
      <c r="C74" s="398"/>
      <c r="D74" s="398"/>
      <c r="E74" s="398"/>
      <c r="F74" s="398"/>
      <c r="G74" s="398"/>
      <c r="H74" s="398"/>
      <c r="I74" s="398"/>
      <c r="J74" s="398"/>
      <c r="K74" s="398"/>
      <c r="L74" s="398"/>
      <c r="M74" s="398"/>
      <c r="N74" s="398"/>
      <c r="O74" s="398"/>
      <c r="P74" s="398"/>
      <c r="Q74" s="398"/>
      <c r="R74" s="398"/>
      <c r="S74" s="398"/>
      <c r="T74" s="398"/>
      <c r="U74" s="398"/>
      <c r="V74" s="398"/>
      <c r="W74" s="398"/>
      <c r="X74" s="398"/>
      <c r="Y74" s="398"/>
    </row>
    <row r="75" spans="3:25" ht="15" hidden="1" customHeight="1" x14ac:dyDescent="0.2">
      <c r="C75" s="398"/>
      <c r="D75" s="398"/>
      <c r="E75" s="398"/>
      <c r="F75" s="398"/>
      <c r="G75" s="398"/>
      <c r="H75" s="398"/>
      <c r="I75" s="398"/>
      <c r="J75" s="398"/>
      <c r="K75" s="398"/>
      <c r="L75" s="398"/>
      <c r="M75" s="398"/>
      <c r="N75" s="398"/>
      <c r="O75" s="398"/>
      <c r="P75" s="398"/>
      <c r="Q75" s="398"/>
      <c r="R75" s="398"/>
      <c r="S75" s="398"/>
      <c r="T75" s="398"/>
      <c r="U75" s="398"/>
      <c r="V75" s="398"/>
      <c r="W75" s="398"/>
      <c r="X75" s="398"/>
      <c r="Y75" s="398"/>
    </row>
    <row r="76" spans="3:25" ht="15" hidden="1" customHeight="1" x14ac:dyDescent="0.2">
      <c r="C76" s="398"/>
      <c r="D76" s="398"/>
      <c r="E76" s="398"/>
      <c r="F76" s="398"/>
      <c r="G76" s="398"/>
      <c r="H76" s="398"/>
      <c r="I76" s="398"/>
      <c r="J76" s="398"/>
      <c r="K76" s="398"/>
      <c r="L76" s="398"/>
      <c r="M76" s="398"/>
      <c r="N76" s="398"/>
      <c r="O76" s="398"/>
      <c r="P76" s="398"/>
      <c r="Q76" s="398"/>
      <c r="R76" s="398"/>
      <c r="S76" s="398"/>
      <c r="T76" s="398"/>
      <c r="U76" s="398"/>
      <c r="V76" s="398"/>
      <c r="W76" s="398"/>
      <c r="X76" s="398"/>
      <c r="Y76" s="398"/>
    </row>
    <row r="77" spans="3:25" ht="15" hidden="1" customHeight="1" x14ac:dyDescent="0.2">
      <c r="C77" s="398"/>
      <c r="D77" s="398"/>
      <c r="E77" s="398"/>
      <c r="F77" s="398"/>
      <c r="G77" s="398"/>
      <c r="H77" s="398"/>
      <c r="I77" s="398"/>
      <c r="J77" s="398"/>
      <c r="K77" s="398"/>
      <c r="L77" s="398"/>
      <c r="M77" s="398"/>
      <c r="N77" s="398"/>
      <c r="O77" s="398"/>
      <c r="P77" s="398"/>
      <c r="Q77" s="398"/>
      <c r="R77" s="398"/>
      <c r="S77" s="398"/>
      <c r="T77" s="398"/>
      <c r="U77" s="398"/>
      <c r="V77" s="398"/>
      <c r="W77" s="398"/>
      <c r="X77" s="398"/>
      <c r="Y77" s="398"/>
    </row>
    <row r="78" spans="3:25" ht="15" hidden="1" customHeight="1" x14ac:dyDescent="0.2">
      <c r="C78" s="398"/>
      <c r="D78" s="398"/>
      <c r="E78" s="398"/>
      <c r="F78" s="398"/>
      <c r="G78" s="398"/>
      <c r="H78" s="398"/>
      <c r="I78" s="398"/>
      <c r="J78" s="398"/>
      <c r="K78" s="398"/>
      <c r="L78" s="398"/>
      <c r="M78" s="398"/>
      <c r="N78" s="398"/>
      <c r="O78" s="398"/>
      <c r="P78" s="398"/>
      <c r="Q78" s="398"/>
      <c r="R78" s="398"/>
      <c r="S78" s="398"/>
      <c r="T78" s="398"/>
      <c r="U78" s="398"/>
      <c r="V78" s="398"/>
      <c r="W78" s="398"/>
      <c r="X78" s="398"/>
      <c r="Y78" s="398"/>
    </row>
    <row r="79" spans="3:25" ht="15" hidden="1" customHeight="1" x14ac:dyDescent="0.2">
      <c r="C79" s="398"/>
      <c r="D79" s="398"/>
      <c r="E79" s="398"/>
      <c r="F79" s="398"/>
      <c r="G79" s="398"/>
      <c r="H79" s="398"/>
      <c r="I79" s="398"/>
      <c r="J79" s="398"/>
      <c r="K79" s="398"/>
      <c r="L79" s="398"/>
      <c r="M79" s="398"/>
      <c r="N79" s="398"/>
      <c r="O79" s="398"/>
      <c r="P79" s="398"/>
      <c r="Q79" s="398"/>
      <c r="R79" s="398"/>
      <c r="S79" s="398"/>
      <c r="T79" s="398"/>
      <c r="U79" s="398"/>
      <c r="V79" s="398"/>
      <c r="W79" s="398"/>
      <c r="X79" s="398"/>
      <c r="Y79" s="398"/>
    </row>
    <row r="80" spans="3:25" ht="15" hidden="1" customHeight="1" x14ac:dyDescent="0.2">
      <c r="C80" s="398"/>
      <c r="D80" s="398"/>
      <c r="E80" s="398"/>
      <c r="F80" s="398"/>
      <c r="G80" s="398"/>
      <c r="H80" s="398"/>
      <c r="I80" s="398"/>
      <c r="J80" s="398"/>
      <c r="K80" s="398"/>
      <c r="L80" s="398"/>
      <c r="M80" s="398"/>
      <c r="N80" s="398"/>
      <c r="O80" s="398"/>
      <c r="P80" s="398"/>
      <c r="Q80" s="398"/>
      <c r="R80" s="398"/>
      <c r="S80" s="398"/>
      <c r="T80" s="398"/>
      <c r="U80" s="398"/>
      <c r="V80" s="398"/>
      <c r="W80" s="398"/>
      <c r="X80" s="398"/>
      <c r="Y80" s="398"/>
    </row>
    <row r="81" spans="3:25" ht="15" hidden="1" customHeight="1" x14ac:dyDescent="0.2">
      <c r="C81" s="398"/>
      <c r="D81" s="398"/>
      <c r="E81" s="398"/>
      <c r="F81" s="398"/>
      <c r="G81" s="398"/>
      <c r="H81" s="398"/>
      <c r="I81" s="398"/>
      <c r="J81" s="398"/>
      <c r="K81" s="398"/>
      <c r="L81" s="398"/>
      <c r="M81" s="398"/>
      <c r="N81" s="398"/>
      <c r="O81" s="398"/>
      <c r="P81" s="398"/>
      <c r="Q81" s="398"/>
      <c r="R81" s="398"/>
      <c r="S81" s="398"/>
      <c r="T81" s="398"/>
      <c r="U81" s="398"/>
      <c r="V81" s="398"/>
      <c r="W81" s="398"/>
      <c r="X81" s="398"/>
      <c r="Y81" s="398"/>
    </row>
    <row r="82" spans="3:25" ht="15" hidden="1" customHeight="1" x14ac:dyDescent="0.2">
      <c r="C82" s="398"/>
      <c r="D82" s="398"/>
      <c r="E82" s="398"/>
      <c r="F82" s="398"/>
      <c r="G82" s="398"/>
      <c r="H82" s="398"/>
      <c r="I82" s="398"/>
      <c r="J82" s="398"/>
      <c r="K82" s="398"/>
      <c r="L82" s="398"/>
      <c r="M82" s="398"/>
      <c r="N82" s="398"/>
      <c r="O82" s="398"/>
      <c r="P82" s="398"/>
      <c r="Q82" s="398"/>
      <c r="R82" s="398"/>
      <c r="S82" s="398"/>
      <c r="T82" s="398"/>
      <c r="U82" s="398"/>
      <c r="V82" s="398"/>
      <c r="W82" s="398"/>
      <c r="X82" s="398"/>
      <c r="Y82" s="398"/>
    </row>
    <row r="83" spans="3:25" ht="15" hidden="1" customHeight="1" x14ac:dyDescent="0.2">
      <c r="C83" s="398"/>
      <c r="D83" s="398"/>
      <c r="E83" s="398"/>
      <c r="F83" s="398"/>
      <c r="G83" s="398"/>
      <c r="H83" s="398"/>
      <c r="I83" s="398"/>
      <c r="J83" s="398"/>
      <c r="K83" s="398"/>
      <c r="L83" s="398"/>
      <c r="M83" s="398"/>
      <c r="N83" s="398"/>
      <c r="O83" s="398"/>
      <c r="P83" s="398"/>
      <c r="Q83" s="398"/>
      <c r="R83" s="398"/>
      <c r="S83" s="398"/>
      <c r="T83" s="398"/>
      <c r="U83" s="398"/>
      <c r="V83" s="398"/>
      <c r="W83" s="398"/>
      <c r="X83" s="398"/>
      <c r="Y83" s="398"/>
    </row>
    <row r="84" spans="3:25" ht="15" hidden="1" customHeight="1" x14ac:dyDescent="0.2">
      <c r="C84" s="398"/>
      <c r="D84" s="398"/>
      <c r="E84" s="398"/>
      <c r="F84" s="398"/>
      <c r="G84" s="398"/>
      <c r="H84" s="398"/>
      <c r="I84" s="398"/>
      <c r="J84" s="398"/>
      <c r="K84" s="398"/>
      <c r="L84" s="398"/>
      <c r="M84" s="398"/>
      <c r="N84" s="398"/>
      <c r="O84" s="398"/>
      <c r="P84" s="398"/>
      <c r="Q84" s="398"/>
      <c r="R84" s="398"/>
      <c r="S84" s="398"/>
      <c r="T84" s="398"/>
      <c r="U84" s="398"/>
      <c r="V84" s="398"/>
      <c r="W84" s="398"/>
      <c r="X84" s="398"/>
      <c r="Y84" s="398"/>
    </row>
    <row r="85" spans="3:25" ht="15" hidden="1" customHeight="1" x14ac:dyDescent="0.2">
      <c r="C85" s="398"/>
      <c r="D85" s="398"/>
      <c r="E85" s="398"/>
      <c r="F85" s="398"/>
      <c r="G85" s="398"/>
      <c r="H85" s="398"/>
      <c r="I85" s="398"/>
      <c r="J85" s="398"/>
      <c r="K85" s="398"/>
      <c r="L85" s="398"/>
      <c r="M85" s="398"/>
      <c r="N85" s="398"/>
      <c r="O85" s="398"/>
      <c r="P85" s="398"/>
      <c r="Q85" s="398"/>
      <c r="R85" s="398"/>
      <c r="S85" s="398"/>
      <c r="T85" s="398"/>
      <c r="U85" s="398"/>
      <c r="V85" s="398"/>
      <c r="W85" s="398"/>
      <c r="X85" s="398"/>
      <c r="Y85" s="398"/>
    </row>
    <row r="86" spans="3:25" ht="15" hidden="1" customHeight="1" x14ac:dyDescent="0.2">
      <c r="C86" s="398"/>
      <c r="D86" s="398"/>
      <c r="E86" s="398"/>
      <c r="F86" s="398"/>
      <c r="G86" s="398"/>
      <c r="H86" s="398"/>
      <c r="I86" s="398"/>
      <c r="J86" s="398"/>
      <c r="K86" s="398"/>
      <c r="L86" s="398"/>
      <c r="M86" s="398"/>
      <c r="N86" s="398"/>
      <c r="O86" s="398"/>
      <c r="P86" s="398"/>
      <c r="Q86" s="398"/>
      <c r="R86" s="398"/>
      <c r="S86" s="398"/>
      <c r="T86" s="398"/>
      <c r="U86" s="398"/>
      <c r="V86" s="398"/>
      <c r="W86" s="398"/>
      <c r="X86" s="398"/>
      <c r="Y86" s="398"/>
    </row>
    <row r="87" spans="3:25" ht="15" hidden="1" customHeight="1" x14ac:dyDescent="0.2">
      <c r="C87" s="398"/>
      <c r="D87" s="398"/>
      <c r="E87" s="398"/>
      <c r="F87" s="398"/>
      <c r="G87" s="398"/>
      <c r="H87" s="398"/>
      <c r="I87" s="398"/>
      <c r="J87" s="398"/>
      <c r="K87" s="398"/>
      <c r="L87" s="398"/>
      <c r="M87" s="398"/>
      <c r="N87" s="398"/>
      <c r="O87" s="398"/>
      <c r="P87" s="398"/>
      <c r="Q87" s="398"/>
      <c r="R87" s="398"/>
      <c r="S87" s="398"/>
      <c r="T87" s="398"/>
      <c r="U87" s="398"/>
      <c r="V87" s="398"/>
      <c r="W87" s="398"/>
      <c r="X87" s="398"/>
      <c r="Y87" s="398"/>
    </row>
    <row r="88" spans="3:25" ht="15" hidden="1" customHeight="1" x14ac:dyDescent="0.2">
      <c r="C88" s="398"/>
      <c r="D88" s="398"/>
      <c r="E88" s="398"/>
      <c r="F88" s="398"/>
      <c r="G88" s="398"/>
      <c r="H88" s="398"/>
      <c r="I88" s="398"/>
      <c r="J88" s="398"/>
      <c r="K88" s="398"/>
      <c r="L88" s="398"/>
      <c r="M88" s="398"/>
      <c r="N88" s="398"/>
      <c r="O88" s="398"/>
      <c r="P88" s="398"/>
      <c r="Q88" s="398"/>
      <c r="R88" s="398"/>
      <c r="S88" s="398"/>
      <c r="T88" s="398"/>
      <c r="U88" s="398"/>
      <c r="V88" s="398"/>
      <c r="W88" s="398"/>
      <c r="X88" s="398"/>
      <c r="Y88" s="398"/>
    </row>
    <row r="89" spans="3:25" ht="15" hidden="1" customHeight="1" x14ac:dyDescent="0.2">
      <c r="C89" s="398"/>
      <c r="D89" s="398"/>
      <c r="E89" s="398"/>
      <c r="F89" s="398"/>
      <c r="G89" s="398"/>
      <c r="H89" s="398"/>
      <c r="I89" s="398"/>
      <c r="J89" s="398"/>
      <c r="K89" s="398"/>
      <c r="L89" s="398"/>
      <c r="M89" s="398"/>
      <c r="N89" s="398"/>
      <c r="O89" s="398"/>
      <c r="P89" s="398"/>
      <c r="Q89" s="398"/>
      <c r="R89" s="398"/>
      <c r="S89" s="398"/>
      <c r="T89" s="398"/>
      <c r="U89" s="398"/>
      <c r="V89" s="398"/>
      <c r="W89" s="398"/>
      <c r="X89" s="398"/>
      <c r="Y89" s="398"/>
    </row>
    <row r="90" spans="3:25" ht="15" hidden="1" customHeight="1" x14ac:dyDescent="0.2">
      <c r="C90" s="398"/>
      <c r="D90" s="398"/>
      <c r="E90" s="398"/>
      <c r="F90" s="398"/>
      <c r="G90" s="398"/>
      <c r="H90" s="398"/>
      <c r="I90" s="398"/>
      <c r="J90" s="398"/>
      <c r="K90" s="398"/>
      <c r="L90" s="398"/>
      <c r="M90" s="398"/>
      <c r="N90" s="398"/>
      <c r="O90" s="398"/>
      <c r="P90" s="398"/>
      <c r="Q90" s="398"/>
      <c r="R90" s="398"/>
      <c r="S90" s="398"/>
      <c r="T90" s="398"/>
      <c r="U90" s="398"/>
      <c r="V90" s="398"/>
      <c r="W90" s="398"/>
      <c r="X90" s="398"/>
      <c r="Y90" s="398"/>
    </row>
    <row r="91" spans="3:25" ht="15" hidden="1" customHeight="1" x14ac:dyDescent="0.2">
      <c r="C91" s="398"/>
      <c r="D91" s="398"/>
      <c r="E91" s="398"/>
      <c r="F91" s="398"/>
      <c r="G91" s="398"/>
      <c r="H91" s="398"/>
      <c r="I91" s="398"/>
      <c r="J91" s="398"/>
      <c r="K91" s="398"/>
      <c r="L91" s="398"/>
      <c r="M91" s="398"/>
      <c r="N91" s="398"/>
      <c r="O91" s="398"/>
      <c r="P91" s="398"/>
      <c r="Q91" s="398"/>
      <c r="R91" s="398"/>
      <c r="S91" s="398"/>
      <c r="T91" s="398"/>
      <c r="U91" s="398"/>
      <c r="V91" s="398"/>
      <c r="W91" s="398"/>
      <c r="X91" s="398"/>
      <c r="Y91" s="398"/>
    </row>
    <row r="92" spans="3:25" ht="15" hidden="1" customHeight="1" x14ac:dyDescent="0.2">
      <c r="C92" s="398"/>
      <c r="D92" s="398"/>
      <c r="E92" s="398"/>
      <c r="F92" s="398"/>
      <c r="G92" s="398"/>
      <c r="H92" s="398"/>
      <c r="I92" s="398"/>
      <c r="J92" s="398"/>
      <c r="K92" s="398"/>
      <c r="L92" s="398"/>
      <c r="M92" s="398"/>
      <c r="N92" s="398"/>
      <c r="O92" s="398"/>
      <c r="P92" s="398"/>
      <c r="Q92" s="398"/>
      <c r="R92" s="398"/>
      <c r="S92" s="398"/>
      <c r="T92" s="398"/>
      <c r="U92" s="398"/>
      <c r="V92" s="398"/>
      <c r="W92" s="398"/>
      <c r="X92" s="398"/>
      <c r="Y92" s="398"/>
    </row>
  </sheetData>
  <sheetProtection algorithmName="SHA-512" hashValue="jjLUp1UIGW2cjixGdoZO1hEj+7tzlG0CljpI5+tVQNW9xI+5LJ0Gdp7YOXm04gyvjta1mtSb/ZupzNOszyonKg==" saltValue="f1JszAAv0AQOXqYgh/f21Q==" spinCount="100000" sheet="1" objects="1" scenarios="1"/>
  <mergeCells count="131">
    <mergeCell ref="I10:I11"/>
    <mergeCell ref="H10:H11"/>
    <mergeCell ref="G10:G11"/>
    <mergeCell ref="Q38:R38"/>
    <mergeCell ref="Q37:R37"/>
    <mergeCell ref="Q36:R36"/>
    <mergeCell ref="S38:T38"/>
    <mergeCell ref="S37:T37"/>
    <mergeCell ref="S36:T36"/>
    <mergeCell ref="N38:O38"/>
    <mergeCell ref="N37:O37"/>
    <mergeCell ref="N36:O36"/>
    <mergeCell ref="G30:J30"/>
    <mergeCell ref="L30:O30"/>
    <mergeCell ref="Q30:T30"/>
    <mergeCell ref="G18:J18"/>
    <mergeCell ref="L18:O18"/>
    <mergeCell ref="Q18:T18"/>
    <mergeCell ref="V30:Y30"/>
    <mergeCell ref="C32:Y32"/>
    <mergeCell ref="H28:I28"/>
    <mergeCell ref="M28:N28"/>
    <mergeCell ref="R28:S28"/>
    <mergeCell ref="W28:X28"/>
    <mergeCell ref="H29:I29"/>
    <mergeCell ref="M29:N29"/>
    <mergeCell ref="R29:S29"/>
    <mergeCell ref="W29:X29"/>
    <mergeCell ref="V26:Y26"/>
    <mergeCell ref="C24:E24"/>
    <mergeCell ref="G24:J24"/>
    <mergeCell ref="L24:O24"/>
    <mergeCell ref="Q24:T24"/>
    <mergeCell ref="V24:Y24"/>
    <mergeCell ref="P19:P22"/>
    <mergeCell ref="T19:T23"/>
    <mergeCell ref="U19:U22"/>
    <mergeCell ref="Y19:Y23"/>
    <mergeCell ref="C20:D20"/>
    <mergeCell ref="C21:D21"/>
    <mergeCell ref="C22:D22"/>
    <mergeCell ref="C25:E25"/>
    <mergeCell ref="C26:E26"/>
    <mergeCell ref="G26:J26"/>
    <mergeCell ref="L26:O26"/>
    <mergeCell ref="Q26:T26"/>
    <mergeCell ref="V18:Y18"/>
    <mergeCell ref="C19:D19"/>
    <mergeCell ref="F19:F22"/>
    <mergeCell ref="J19:J23"/>
    <mergeCell ref="K19:K22"/>
    <mergeCell ref="O19:O23"/>
    <mergeCell ref="U13:U16"/>
    <mergeCell ref="Y13:Y17"/>
    <mergeCell ref="C14:D14"/>
    <mergeCell ref="C15:D15"/>
    <mergeCell ref="C16:D16"/>
    <mergeCell ref="C12:E12"/>
    <mergeCell ref="G12:J12"/>
    <mergeCell ref="L12:O12"/>
    <mergeCell ref="Q12:T12"/>
    <mergeCell ref="V12:Y12"/>
    <mergeCell ref="C13:D13"/>
    <mergeCell ref="F13:F16"/>
    <mergeCell ref="J13:J17"/>
    <mergeCell ref="K13:K16"/>
    <mergeCell ref="O13:O17"/>
    <mergeCell ref="P13:P16"/>
    <mergeCell ref="T13:T17"/>
    <mergeCell ref="V9:Y9"/>
    <mergeCell ref="D6:E6"/>
    <mergeCell ref="K5:L5"/>
    <mergeCell ref="M5:Y5"/>
    <mergeCell ref="D5:I5"/>
    <mergeCell ref="Q10:Q11"/>
    <mergeCell ref="R10:R11"/>
    <mergeCell ref="S10:S11"/>
    <mergeCell ref="T10:T11"/>
    <mergeCell ref="X10:X11"/>
    <mergeCell ref="V10:V11"/>
    <mergeCell ref="W10:W11"/>
    <mergeCell ref="Y10:Y11"/>
    <mergeCell ref="O10:O11"/>
    <mergeCell ref="N10:N11"/>
    <mergeCell ref="M10:M11"/>
    <mergeCell ref="W6:Y6"/>
    <mergeCell ref="T6:U6"/>
    <mergeCell ref="F6:G6"/>
    <mergeCell ref="H6:I6"/>
    <mergeCell ref="K6:L6"/>
    <mergeCell ref="M6:N6"/>
    <mergeCell ref="L10:L11"/>
    <mergeCell ref="J10:J11"/>
    <mergeCell ref="X36:Y36"/>
    <mergeCell ref="X37:Y37"/>
    <mergeCell ref="X38:Y38"/>
    <mergeCell ref="X39:Y39"/>
    <mergeCell ref="S39:T39"/>
    <mergeCell ref="L35:O35"/>
    <mergeCell ref="Q35:T35"/>
    <mergeCell ref="V35:Y35"/>
    <mergeCell ref="L33:O33"/>
    <mergeCell ref="V39:W39"/>
    <mergeCell ref="V38:W38"/>
    <mergeCell ref="V37:W37"/>
    <mergeCell ref="V36:W36"/>
    <mergeCell ref="N39:O39"/>
    <mergeCell ref="D39:E39"/>
    <mergeCell ref="D38:E38"/>
    <mergeCell ref="D37:E37"/>
    <mergeCell ref="D36:E36"/>
    <mergeCell ref="C35:E35"/>
    <mergeCell ref="J3:Q3"/>
    <mergeCell ref="G35:J35"/>
    <mergeCell ref="G39:H39"/>
    <mergeCell ref="G38:H38"/>
    <mergeCell ref="G37:H37"/>
    <mergeCell ref="G36:H36"/>
    <mergeCell ref="I39:J39"/>
    <mergeCell ref="I38:J38"/>
    <mergeCell ref="I37:J37"/>
    <mergeCell ref="I36:J36"/>
    <mergeCell ref="Q39:R39"/>
    <mergeCell ref="L39:M39"/>
    <mergeCell ref="L38:M38"/>
    <mergeCell ref="L37:M37"/>
    <mergeCell ref="L36:M36"/>
    <mergeCell ref="G9:J9"/>
    <mergeCell ref="L9:O9"/>
    <mergeCell ref="Q9:T9"/>
    <mergeCell ref="C18:E18"/>
  </mergeCells>
  <printOptions horizontalCentered="1" verticalCentered="1"/>
  <pageMargins left="0.7" right="0.7" top="0.75" bottom="0.75" header="0.3" footer="0.3"/>
  <pageSetup scale="42" orientation="portrait" horizontalDpi="0" verticalDpi="0" r:id="rId1"/>
  <extLst>
    <ext xmlns:x14="http://schemas.microsoft.com/office/spreadsheetml/2009/9/main" uri="{78C0D931-6437-407d-A8EE-F0AAD7539E65}">
      <x14:conditionalFormattings>
        <x14:conditionalFormatting xmlns:xm="http://schemas.microsoft.com/office/excel/2006/main">
          <x14:cfRule type="containsText" priority="2" operator="containsText" id="{A651417D-0D6D-40BD-8E88-DFE3DE1DE7B9}">
            <xm:f>NOT(ISERROR(SEARCH("INC",G30)))</xm:f>
            <xm:f>"INC"</xm:f>
            <x14:dxf>
              <font>
                <b/>
                <i val="0"/>
                <color theme="1"/>
              </font>
              <fill>
                <patternFill>
                  <bgColor rgb="FFFAD6A5"/>
                </patternFill>
              </fill>
            </x14:dxf>
          </x14:cfRule>
          <x14:cfRule type="containsText" priority="6" operator="containsText" id="{AD074923-353C-4759-ABE3-90E1D701BDAC}">
            <xm:f>NOT(ISERROR(SEARCH("Dropped",G30)))</xm:f>
            <xm:f>"Dropped"</xm:f>
            <x14:dxf>
              <font>
                <b/>
                <i val="0"/>
                <color theme="1"/>
              </font>
              <fill>
                <patternFill>
                  <bgColor theme="0" tint="-0.499984740745262"/>
                </patternFill>
              </fill>
            </x14:dxf>
          </x14:cfRule>
          <x14:cfRule type="containsText" priority="7" operator="containsText" id="{E119BA5A-5A67-4FA3-AEE5-7441A4A915CF}">
            <xm:f>NOT(ISERROR(SEARCH("Failed",G30)))</xm:f>
            <xm:f>"Failed"</xm:f>
            <x14:dxf>
              <font>
                <b/>
                <i val="0"/>
                <color theme="0"/>
              </font>
              <fill>
                <patternFill>
                  <bgColor rgb="FFFF2D2D"/>
                </patternFill>
              </fill>
            </x14:dxf>
          </x14:cfRule>
          <x14:cfRule type="containsText" priority="8" operator="containsText" id="{B5D54358-25F7-4C7A-BDFD-093AC1A2B63D}">
            <xm:f>NOT(ISERROR(SEARCH("Passed",G30)))</xm:f>
            <xm:f>"Passed"</xm:f>
            <x14:dxf>
              <font>
                <b/>
                <i val="0"/>
                <color theme="0" tint="-4.9989318521683403E-2"/>
              </font>
              <fill>
                <patternFill>
                  <bgColor rgb="FF47982A"/>
                </patternFill>
              </fill>
            </x14:dxf>
          </x14:cfRule>
          <xm:sqref>G30:J30 L30:O30 Q30:T30 V30:Y30</xm:sqref>
        </x14:conditionalFormatting>
        <x14:conditionalFormatting xmlns:xm="http://schemas.microsoft.com/office/excel/2006/main">
          <x14:cfRule type="containsText" priority="4" operator="containsText" id="{F72130C2-0653-4A01-8F58-204BA8A3B489}">
            <xm:f>NOT(ISERROR(SEARCH("Error",J13)))</xm:f>
            <xm:f>"Error"</xm:f>
            <x14:dxf>
              <fill>
                <patternFill>
                  <bgColor rgb="FFFFCCCC"/>
                </patternFill>
              </fill>
            </x14:dxf>
          </x14:cfRule>
          <xm:sqref>J13:J17 O13:O17 T13:T17 Y13:Y17 J19:J23 O19:O23 T19:T23 Y19:Y23 J25 O25 T25 Y25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A903159-22A5-457B-B521-3D70F3FAFC63}">
          <x14:formula1>
            <xm:f>'Student Helper'!$C$2:$C$61</xm:f>
          </x14:formula1>
          <xm:sqref>D5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C25EE-29F7-473E-B74D-66D9F6732731}">
  <dimension ref="A1:D61"/>
  <sheetViews>
    <sheetView workbookViewId="0">
      <selection activeCell="C14" sqref="C14"/>
    </sheetView>
  </sheetViews>
  <sheetFormatPr defaultColWidth="0" defaultRowHeight="15" x14ac:dyDescent="0.2"/>
  <cols>
    <col min="1" max="1" width="9.140625" style="31" customWidth="1"/>
    <col min="2" max="2" width="20.7109375" style="31" customWidth="1"/>
    <col min="3" max="3" width="40.7109375" style="31" customWidth="1"/>
    <col min="4" max="4" width="0" style="31" hidden="1" customWidth="1"/>
    <col min="5" max="16384" width="9.140625" style="31" hidden="1"/>
  </cols>
  <sheetData>
    <row r="1" spans="1:4" x14ac:dyDescent="0.2">
      <c r="A1" s="441" t="s">
        <v>146</v>
      </c>
      <c r="B1" s="441" t="s">
        <v>106</v>
      </c>
      <c r="C1" s="441" t="s">
        <v>107</v>
      </c>
      <c r="D1" s="441"/>
    </row>
    <row r="2" spans="1:4" x14ac:dyDescent="0.2">
      <c r="A2" s="441">
        <v>1</v>
      </c>
      <c r="B2" s="441" t="str">
        <f>IF(ISBLANK(Input!D8),"",Input!D8)</f>
        <v>02000503790</v>
      </c>
      <c r="C2" s="419" t="str">
        <f>IF(ISBLANK(Input!F8),"",Input!F8)</f>
        <v>BARICAS, CASSANDRA ALAB</v>
      </c>
      <c r="D2" s="441"/>
    </row>
    <row r="3" spans="1:4" x14ac:dyDescent="0.2">
      <c r="A3" s="441">
        <v>2</v>
      </c>
      <c r="B3" s="441" t="str">
        <f>IF(ISBLANK(Input!D9),"",Input!D9)</f>
        <v>02000512377</v>
      </c>
      <c r="C3" s="419" t="str">
        <f>IF(ISBLANK(Input!F9),"",Input!F9)</f>
        <v>BETITA, RUSSEL ANGELO ROJO</v>
      </c>
      <c r="D3" s="442" t="s">
        <v>24</v>
      </c>
    </row>
    <row r="4" spans="1:4" x14ac:dyDescent="0.2">
      <c r="A4" s="441">
        <v>3</v>
      </c>
      <c r="B4" s="441" t="str">
        <f>IF(ISBLANK(Input!D10),"",Input!D10)</f>
        <v>02000509818</v>
      </c>
      <c r="C4" s="419" t="str">
        <f>IF(ISBLANK(Input!F10),"",Input!F10)</f>
        <v>DELA CRUZ, ANGEL CANDELARIA</v>
      </c>
      <c r="D4" s="441"/>
    </row>
    <row r="5" spans="1:4" x14ac:dyDescent="0.2">
      <c r="A5" s="441">
        <v>4</v>
      </c>
      <c r="B5" s="441" t="str">
        <f>IF(ISBLANK(Input!D11),"",Input!D11)</f>
        <v>02000367567</v>
      </c>
      <c r="C5" s="419" t="str">
        <f>IF(ISBLANK(Input!F11),"",Input!F11)</f>
        <v>DELMIGUEZ, DANIELLA CORTEZ</v>
      </c>
      <c r="D5" s="441"/>
    </row>
    <row r="6" spans="1:4" x14ac:dyDescent="0.2">
      <c r="A6" s="441">
        <v>5</v>
      </c>
      <c r="B6" s="441" t="str">
        <f>IF(ISBLANK(Input!D12),"",Input!D12)</f>
        <v>02000490904</v>
      </c>
      <c r="C6" s="419" t="str">
        <f>IF(ISBLANK(Input!F12),"",Input!F12)</f>
        <v>GONZAGA, SANDY</v>
      </c>
      <c r="D6" s="441"/>
    </row>
    <row r="7" spans="1:4" x14ac:dyDescent="0.2">
      <c r="A7" s="441">
        <v>6</v>
      </c>
      <c r="B7" s="441" t="str">
        <f>IF(ISBLANK(Input!D13),"",Input!D13)</f>
        <v>02000433161</v>
      </c>
      <c r="C7" s="419" t="str">
        <f>IF(ISBLANK(Input!F13),"",Input!F13)</f>
        <v>MAGADIA, LOURD GAVIN BUEZA</v>
      </c>
      <c r="D7" s="441"/>
    </row>
    <row r="8" spans="1:4" x14ac:dyDescent="0.2">
      <c r="A8" s="441">
        <v>7</v>
      </c>
      <c r="B8" s="441" t="str">
        <f>IF(ISBLANK(Input!D14),"",Input!D14)</f>
        <v>02000511375</v>
      </c>
      <c r="C8" s="419" t="str">
        <f>IF(ISBLANK(Input!F14),"",Input!F14)</f>
        <v>MANZANO, JHON KENNETH</v>
      </c>
      <c r="D8" s="441"/>
    </row>
    <row r="9" spans="1:4" x14ac:dyDescent="0.2">
      <c r="A9" s="441">
        <v>8</v>
      </c>
      <c r="B9" s="441" t="str">
        <f>IF(ISBLANK(Input!D15),"",Input!D15)</f>
        <v>02000511957</v>
      </c>
      <c r="C9" s="419" t="str">
        <f>IF(ISBLANK(Input!F15),"",Input!F15)</f>
        <v>OLAYRES, PRINCESS ENOLVA</v>
      </c>
      <c r="D9" s="441"/>
    </row>
    <row r="10" spans="1:4" x14ac:dyDescent="0.2">
      <c r="A10" s="441">
        <v>9</v>
      </c>
      <c r="B10" s="441" t="str">
        <f>IF(ISBLANK(Input!D16),"",Input!D16)</f>
        <v>02000512988</v>
      </c>
      <c r="C10" s="419" t="str">
        <f>IF(ISBLANK(Input!F16),"",Input!F16)</f>
        <v>OSEA, SANTINO JOSHUA NUYDA</v>
      </c>
      <c r="D10" s="441"/>
    </row>
    <row r="11" spans="1:4" x14ac:dyDescent="0.2">
      <c r="A11" s="441">
        <v>10</v>
      </c>
      <c r="B11" s="441" t="str">
        <f>IF(ISBLANK(Input!D17),"",Input!D17)</f>
        <v>02000509944</v>
      </c>
      <c r="C11" s="419" t="str">
        <f>IF(ISBLANK(Input!F17),"",Input!F17)</f>
        <v>RAMOS, RAFAH MORAL</v>
      </c>
      <c r="D11" s="441"/>
    </row>
    <row r="12" spans="1:4" x14ac:dyDescent="0.2">
      <c r="A12" s="441">
        <v>11</v>
      </c>
      <c r="B12" s="441" t="str">
        <f>IF(ISBLANK(Input!D18),"",Input!D18)</f>
        <v>02000492694</v>
      </c>
      <c r="C12" s="419" t="str">
        <f>IF(ISBLANK(Input!F18),"",Input!F18)</f>
        <v>RAYNES, RAISSEN ISAIAH NOCITO</v>
      </c>
      <c r="D12" s="441"/>
    </row>
    <row r="13" spans="1:4" x14ac:dyDescent="0.2">
      <c r="A13" s="441">
        <v>12</v>
      </c>
      <c r="B13" s="441" t="str">
        <f>IF(ISBLANK(Input!D19),"",Input!D19)</f>
        <v>02000512583</v>
      </c>
      <c r="C13" s="419" t="str">
        <f>IF(ISBLANK(Input!F19),"",Input!F19)</f>
        <v>SANCHEZ, CASEY FIONA NOCUS</v>
      </c>
      <c r="D13" s="441"/>
    </row>
    <row r="14" spans="1:4" x14ac:dyDescent="0.2">
      <c r="A14" s="441">
        <v>13</v>
      </c>
      <c r="B14" s="441" t="str">
        <f>IF(ISBLANK(Input!D20),"",Input!D20)</f>
        <v>02000510067</v>
      </c>
      <c r="C14" s="419" t="str">
        <f>IF(ISBLANK(Input!F20),"",Input!F20)</f>
        <v>SANOY, KARL ASHER MEDINA</v>
      </c>
      <c r="D14" s="441"/>
    </row>
    <row r="15" spans="1:4" x14ac:dyDescent="0.2">
      <c r="A15" s="441">
        <v>14</v>
      </c>
      <c r="B15" s="441" t="str">
        <f>IF(ISBLANK(Input!D21),"",Input!D21)</f>
        <v>02000511216</v>
      </c>
      <c r="C15" s="419" t="str">
        <f>IF(ISBLANK(Input!F21),"",Input!F21)</f>
        <v>TENORIO, JENINA ROSE TIBATIB</v>
      </c>
      <c r="D15" s="441"/>
    </row>
    <row r="16" spans="1:4" x14ac:dyDescent="0.2">
      <c r="A16" s="441">
        <v>15</v>
      </c>
      <c r="B16" s="441" t="str">
        <f>IF(ISBLANK(Input!D22),"",Input!D22)</f>
        <v>02000402782</v>
      </c>
      <c r="C16" s="419" t="str">
        <f>IF(ISBLANK(Input!F22),"",Input!F22)</f>
        <v>TUAZON, PHOEBE RONTAS</v>
      </c>
      <c r="D16" s="441"/>
    </row>
    <row r="17" spans="1:4" x14ac:dyDescent="0.2">
      <c r="A17" s="441">
        <v>16</v>
      </c>
      <c r="B17" s="441" t="str">
        <f>IF(ISBLANK(Input!D23),"",Input!D23)</f>
        <v>02000511382</v>
      </c>
      <c r="C17" s="419" t="str">
        <f>IF(ISBLANK(Input!F23),"",Input!F23)</f>
        <v>TUMACAG, JOHN RAVE VALERA</v>
      </c>
      <c r="D17" s="441"/>
    </row>
    <row r="18" spans="1:4" x14ac:dyDescent="0.2">
      <c r="A18" s="441">
        <v>17</v>
      </c>
      <c r="B18" s="441" t="str">
        <f>IF(ISBLANK(Input!D24),"",Input!D24)</f>
        <v>02000301305</v>
      </c>
      <c r="C18" s="419" t="str">
        <f>IF(ISBLANK(Input!F24),"",Input!F24)</f>
        <v>UMALI, RINZO CAMU</v>
      </c>
      <c r="D18" s="441"/>
    </row>
    <row r="19" spans="1:4" x14ac:dyDescent="0.2">
      <c r="A19" s="441">
        <v>18</v>
      </c>
      <c r="B19" s="441" t="str">
        <f>IF(ISBLANK(Input!D25),"",Input!D25)</f>
        <v/>
      </c>
      <c r="C19" s="419" t="str">
        <f>IF(ISBLANK(Input!F25),"",Input!F25)</f>
        <v/>
      </c>
      <c r="D19" s="441"/>
    </row>
    <row r="20" spans="1:4" x14ac:dyDescent="0.2">
      <c r="A20" s="441">
        <v>19</v>
      </c>
      <c r="B20" s="441" t="str">
        <f>IF(ISBLANK(Input!D26),"",Input!D26)</f>
        <v/>
      </c>
      <c r="C20" s="419" t="str">
        <f>IF(ISBLANK(Input!F26),"",Input!F26)</f>
        <v/>
      </c>
      <c r="D20" s="441"/>
    </row>
    <row r="21" spans="1:4" x14ac:dyDescent="0.2">
      <c r="A21" s="441">
        <v>20</v>
      </c>
      <c r="B21" s="441" t="str">
        <f>IF(ISBLANK(Input!D27),"",Input!D27)</f>
        <v/>
      </c>
      <c r="C21" s="419" t="str">
        <f>IF(ISBLANK(Input!F27),"",Input!F27)</f>
        <v/>
      </c>
      <c r="D21" s="441"/>
    </row>
    <row r="22" spans="1:4" x14ac:dyDescent="0.2">
      <c r="A22" s="441">
        <v>21</v>
      </c>
      <c r="B22" s="441" t="str">
        <f>IF(ISBLANK(Input!D28),"",Input!D28)</f>
        <v/>
      </c>
      <c r="C22" s="419" t="str">
        <f>IF(ISBLANK(Input!F28),"",Input!F28)</f>
        <v/>
      </c>
      <c r="D22" s="441"/>
    </row>
    <row r="23" spans="1:4" x14ac:dyDescent="0.2">
      <c r="A23" s="441">
        <v>22</v>
      </c>
      <c r="B23" s="441" t="str">
        <f>IF(ISBLANK(Input!D29),"",Input!D29)</f>
        <v/>
      </c>
      <c r="C23" s="419" t="str">
        <f>IF(ISBLANK(Input!F29),"",Input!F29)</f>
        <v/>
      </c>
      <c r="D23" s="441"/>
    </row>
    <row r="24" spans="1:4" x14ac:dyDescent="0.2">
      <c r="A24" s="441">
        <v>23</v>
      </c>
      <c r="B24" s="441" t="str">
        <f>IF(ISBLANK(Input!D30),"",Input!D30)</f>
        <v/>
      </c>
      <c r="C24" s="419" t="str">
        <f>IF(ISBLANK(Input!F30),"",Input!F30)</f>
        <v/>
      </c>
      <c r="D24" s="441"/>
    </row>
    <row r="25" spans="1:4" x14ac:dyDescent="0.2">
      <c r="A25" s="441">
        <v>24</v>
      </c>
      <c r="B25" s="441" t="str">
        <f>IF(ISBLANK(Input!D31),"",Input!D31)</f>
        <v/>
      </c>
      <c r="C25" s="419" t="str">
        <f>IF(ISBLANK(Input!F31),"",Input!F31)</f>
        <v/>
      </c>
      <c r="D25" s="441"/>
    </row>
    <row r="26" spans="1:4" x14ac:dyDescent="0.2">
      <c r="A26" s="441">
        <v>25</v>
      </c>
      <c r="B26" s="441" t="str">
        <f>IF(ISBLANK(Input!D32),"",Input!D32)</f>
        <v/>
      </c>
      <c r="C26" s="419" t="str">
        <f>IF(ISBLANK(Input!F32),"",Input!F32)</f>
        <v/>
      </c>
      <c r="D26" s="441"/>
    </row>
    <row r="27" spans="1:4" x14ac:dyDescent="0.2">
      <c r="A27" s="441">
        <v>26</v>
      </c>
      <c r="B27" s="441" t="str">
        <f>IF(ISBLANK(Input!D33),"",Input!D33)</f>
        <v/>
      </c>
      <c r="C27" s="419" t="str">
        <f>IF(ISBLANK(Input!F33),"",Input!F33)</f>
        <v/>
      </c>
      <c r="D27" s="441"/>
    </row>
    <row r="28" spans="1:4" x14ac:dyDescent="0.2">
      <c r="A28" s="441">
        <v>27</v>
      </c>
      <c r="B28" s="441" t="str">
        <f>IF(ISBLANK(Input!D34),"",Input!D34)</f>
        <v/>
      </c>
      <c r="C28" s="419" t="str">
        <f>IF(ISBLANK(Input!F34),"",Input!F34)</f>
        <v/>
      </c>
      <c r="D28" s="441"/>
    </row>
    <row r="29" spans="1:4" x14ac:dyDescent="0.2">
      <c r="A29" s="441">
        <v>28</v>
      </c>
      <c r="B29" s="441" t="str">
        <f>IF(ISBLANK(Input!D35),"",Input!D35)</f>
        <v/>
      </c>
      <c r="C29" s="419" t="str">
        <f>IF(ISBLANK(Input!F35),"",Input!F35)</f>
        <v/>
      </c>
      <c r="D29" s="441"/>
    </row>
    <row r="30" spans="1:4" x14ac:dyDescent="0.2">
      <c r="A30" s="441">
        <v>29</v>
      </c>
      <c r="B30" s="441" t="str">
        <f>IF(ISBLANK(Input!D36),"",Input!D36)</f>
        <v/>
      </c>
      <c r="C30" s="419" t="str">
        <f>IF(ISBLANK(Input!F36),"",Input!F36)</f>
        <v/>
      </c>
      <c r="D30" s="441"/>
    </row>
    <row r="31" spans="1:4" x14ac:dyDescent="0.2">
      <c r="A31" s="441">
        <v>30</v>
      </c>
      <c r="B31" s="441" t="str">
        <f>IF(ISBLANK(Input!D37),"",Input!D37)</f>
        <v/>
      </c>
      <c r="C31" s="419" t="str">
        <f>IF(ISBLANK(Input!F37),"",Input!F37)</f>
        <v/>
      </c>
      <c r="D31" s="441"/>
    </row>
    <row r="32" spans="1:4" x14ac:dyDescent="0.2">
      <c r="A32" s="441">
        <v>31</v>
      </c>
      <c r="B32" s="441" t="str">
        <f>IF(ISBLANK(Input!D38),"",Input!D38)</f>
        <v/>
      </c>
      <c r="C32" s="419" t="str">
        <f>IF(ISBLANK(Input!F38),"",Input!F38)</f>
        <v/>
      </c>
      <c r="D32" s="441"/>
    </row>
    <row r="33" spans="1:4" x14ac:dyDescent="0.2">
      <c r="A33" s="441">
        <v>32</v>
      </c>
      <c r="B33" s="441" t="str">
        <f>IF(ISBLANK(Input!D39),"",Input!D39)</f>
        <v/>
      </c>
      <c r="C33" s="419" t="str">
        <f>IF(ISBLANK(Input!F39),"",Input!F39)</f>
        <v/>
      </c>
      <c r="D33" s="441"/>
    </row>
    <row r="34" spans="1:4" x14ac:dyDescent="0.2">
      <c r="A34" s="441">
        <v>33</v>
      </c>
      <c r="B34" s="441" t="str">
        <f>IF(ISBLANK(Input!D40),"",Input!D40)</f>
        <v/>
      </c>
      <c r="C34" s="419" t="str">
        <f>IF(ISBLANK(Input!F40),"",Input!F40)</f>
        <v/>
      </c>
      <c r="D34" s="441"/>
    </row>
    <row r="35" spans="1:4" x14ac:dyDescent="0.2">
      <c r="A35" s="441">
        <v>34</v>
      </c>
      <c r="B35" s="441" t="str">
        <f>IF(ISBLANK(Input!D41),"",Input!D41)</f>
        <v/>
      </c>
      <c r="C35" s="419" t="str">
        <f>IF(ISBLANK(Input!F41),"",Input!F41)</f>
        <v/>
      </c>
      <c r="D35" s="441"/>
    </row>
    <row r="36" spans="1:4" x14ac:dyDescent="0.2">
      <c r="A36" s="441">
        <v>35</v>
      </c>
      <c r="B36" s="441" t="str">
        <f>IF(ISBLANK(Input!D42),"",Input!D42)</f>
        <v/>
      </c>
      <c r="C36" s="419" t="str">
        <f>IF(ISBLANK(Input!F42),"",Input!F42)</f>
        <v/>
      </c>
      <c r="D36" s="441"/>
    </row>
    <row r="37" spans="1:4" x14ac:dyDescent="0.2">
      <c r="A37" s="441">
        <v>36</v>
      </c>
      <c r="B37" s="441" t="str">
        <f>IF(ISBLANK(Input!D43),"",Input!D43)</f>
        <v/>
      </c>
      <c r="C37" s="419" t="str">
        <f>IF(ISBLANK(Input!F43),"",Input!F43)</f>
        <v/>
      </c>
      <c r="D37" s="441"/>
    </row>
    <row r="38" spans="1:4" x14ac:dyDescent="0.2">
      <c r="A38" s="441">
        <v>37</v>
      </c>
      <c r="B38" s="441" t="str">
        <f>IF(ISBLANK(Input!D44),"",Input!D44)</f>
        <v/>
      </c>
      <c r="C38" s="419" t="str">
        <f>IF(ISBLANK(Input!F44),"",Input!F44)</f>
        <v/>
      </c>
      <c r="D38" s="441"/>
    </row>
    <row r="39" spans="1:4" x14ac:dyDescent="0.2">
      <c r="A39" s="441">
        <v>38</v>
      </c>
      <c r="B39" s="441" t="str">
        <f>IF(ISBLANK(Input!D45),"",Input!D45)</f>
        <v/>
      </c>
      <c r="C39" s="419" t="str">
        <f>IF(ISBLANK(Input!F45),"",Input!F45)</f>
        <v/>
      </c>
      <c r="D39" s="441"/>
    </row>
    <row r="40" spans="1:4" x14ac:dyDescent="0.2">
      <c r="A40" s="441">
        <v>39</v>
      </c>
      <c r="B40" s="441" t="str">
        <f>IF(ISBLANK(Input!D46),"",Input!D46)</f>
        <v/>
      </c>
      <c r="C40" s="419" t="str">
        <f>IF(ISBLANK(Input!F46),"",Input!F46)</f>
        <v/>
      </c>
      <c r="D40" s="441"/>
    </row>
    <row r="41" spans="1:4" x14ac:dyDescent="0.2">
      <c r="A41" s="441">
        <v>40</v>
      </c>
      <c r="B41" s="441" t="str">
        <f>IF(ISBLANK(Input!D47),"",Input!D47)</f>
        <v/>
      </c>
      <c r="C41" s="419" t="str">
        <f>IF(ISBLANK(Input!F47),"",Input!F47)</f>
        <v/>
      </c>
      <c r="D41" s="441"/>
    </row>
    <row r="42" spans="1:4" x14ac:dyDescent="0.2">
      <c r="A42" s="441">
        <v>41</v>
      </c>
      <c r="B42" s="441" t="str">
        <f>IF(ISBLANK(Input!D48),"",Input!D48)</f>
        <v/>
      </c>
      <c r="C42" s="419" t="str">
        <f>IF(ISBLANK(Input!F48),"",Input!F48)</f>
        <v/>
      </c>
      <c r="D42" s="441"/>
    </row>
    <row r="43" spans="1:4" x14ac:dyDescent="0.2">
      <c r="A43" s="441">
        <v>42</v>
      </c>
      <c r="B43" s="441" t="str">
        <f>IF(ISBLANK(Input!D49),"",Input!D49)</f>
        <v/>
      </c>
      <c r="C43" s="419" t="str">
        <f>IF(ISBLANK(Input!F49),"",Input!F49)</f>
        <v/>
      </c>
      <c r="D43" s="441"/>
    </row>
    <row r="44" spans="1:4" x14ac:dyDescent="0.2">
      <c r="A44" s="441">
        <v>43</v>
      </c>
      <c r="B44" s="441" t="str">
        <f>IF(ISBLANK(Input!D50),"",Input!D50)</f>
        <v/>
      </c>
      <c r="C44" s="419" t="str">
        <f>IF(ISBLANK(Input!F50),"",Input!F50)</f>
        <v/>
      </c>
      <c r="D44" s="441"/>
    </row>
    <row r="45" spans="1:4" x14ac:dyDescent="0.2">
      <c r="A45" s="441">
        <v>44</v>
      </c>
      <c r="B45" s="441" t="str">
        <f>IF(ISBLANK(Input!D51),"",Input!D51)</f>
        <v/>
      </c>
      <c r="C45" s="419" t="str">
        <f>IF(ISBLANK(Input!F51),"",Input!F51)</f>
        <v/>
      </c>
      <c r="D45" s="441"/>
    </row>
    <row r="46" spans="1:4" x14ac:dyDescent="0.2">
      <c r="A46" s="441">
        <v>45</v>
      </c>
      <c r="B46" s="441" t="str">
        <f>IF(ISBLANK(Input!D52),"",Input!D52)</f>
        <v/>
      </c>
      <c r="C46" s="419" t="str">
        <f>IF(ISBLANK(Input!F52),"",Input!F52)</f>
        <v/>
      </c>
      <c r="D46" s="441"/>
    </row>
    <row r="47" spans="1:4" x14ac:dyDescent="0.2">
      <c r="A47" s="441">
        <v>46</v>
      </c>
      <c r="B47" s="441" t="str">
        <f>IF(ISBLANK(Input!D53),"",Input!D53)</f>
        <v/>
      </c>
      <c r="C47" s="419" t="str">
        <f>IF(ISBLANK(Input!F53),"",Input!F53)</f>
        <v/>
      </c>
      <c r="D47" s="441"/>
    </row>
    <row r="48" spans="1:4" x14ac:dyDescent="0.2">
      <c r="A48" s="441">
        <v>47</v>
      </c>
      <c r="B48" s="441" t="str">
        <f>IF(ISBLANK(Input!D54),"",Input!D54)</f>
        <v/>
      </c>
      <c r="C48" s="419" t="str">
        <f>IF(ISBLANK(Input!F54),"",Input!F54)</f>
        <v/>
      </c>
      <c r="D48" s="441"/>
    </row>
    <row r="49" spans="1:4" x14ac:dyDescent="0.2">
      <c r="A49" s="441">
        <v>48</v>
      </c>
      <c r="B49" s="441" t="str">
        <f>IF(ISBLANK(Input!D55),"",Input!D55)</f>
        <v/>
      </c>
      <c r="C49" s="419" t="str">
        <f>IF(ISBLANK(Input!F55),"",Input!F55)</f>
        <v/>
      </c>
      <c r="D49" s="441"/>
    </row>
    <row r="50" spans="1:4" x14ac:dyDescent="0.2">
      <c r="A50" s="441">
        <v>49</v>
      </c>
      <c r="B50" s="441" t="str">
        <f>IF(ISBLANK(Input!D56),"",Input!D56)</f>
        <v/>
      </c>
      <c r="C50" s="419" t="str">
        <f>IF(ISBLANK(Input!F56),"",Input!F56)</f>
        <v/>
      </c>
      <c r="D50" s="441"/>
    </row>
    <row r="51" spans="1:4" x14ac:dyDescent="0.2">
      <c r="A51" s="441">
        <v>50</v>
      </c>
      <c r="B51" s="441" t="str">
        <f>IF(ISBLANK(Input!D57),"",Input!D57)</f>
        <v/>
      </c>
      <c r="C51" s="419" t="str">
        <f>IF(ISBLANK(Input!F57),"",Input!F57)</f>
        <v/>
      </c>
      <c r="D51" s="441"/>
    </row>
    <row r="52" spans="1:4" x14ac:dyDescent="0.2">
      <c r="A52" s="441">
        <v>51</v>
      </c>
      <c r="B52" s="441" t="str">
        <f>IF(ISBLANK(Input!D58),"",Input!D58)</f>
        <v/>
      </c>
      <c r="C52" s="419" t="str">
        <f>IF(ISBLANK(Input!F58),"",Input!F58)</f>
        <v/>
      </c>
      <c r="D52" s="441"/>
    </row>
    <row r="53" spans="1:4" x14ac:dyDescent="0.2">
      <c r="A53" s="441">
        <v>52</v>
      </c>
      <c r="B53" s="441" t="str">
        <f>IF(ISBLANK(Input!D59),"",Input!D59)</f>
        <v/>
      </c>
      <c r="C53" s="419" t="str">
        <f>IF(ISBLANK(Input!F59),"",Input!F59)</f>
        <v/>
      </c>
      <c r="D53" s="441"/>
    </row>
    <row r="54" spans="1:4" x14ac:dyDescent="0.2">
      <c r="A54" s="441">
        <v>53</v>
      </c>
      <c r="B54" s="441" t="str">
        <f>IF(ISBLANK(Input!D60),"",Input!D60)</f>
        <v/>
      </c>
      <c r="C54" s="419" t="str">
        <f>IF(ISBLANK(Input!F60),"",Input!F60)</f>
        <v/>
      </c>
      <c r="D54" s="441"/>
    </row>
    <row r="55" spans="1:4" x14ac:dyDescent="0.2">
      <c r="A55" s="441">
        <v>54</v>
      </c>
      <c r="B55" s="441" t="str">
        <f>IF(ISBLANK(Input!D61),"",Input!D61)</f>
        <v/>
      </c>
      <c r="C55" s="419" t="str">
        <f>IF(ISBLANK(Input!F61),"",Input!F61)</f>
        <v/>
      </c>
      <c r="D55" s="441"/>
    </row>
    <row r="56" spans="1:4" x14ac:dyDescent="0.2">
      <c r="A56" s="441">
        <v>55</v>
      </c>
      <c r="B56" s="441" t="str">
        <f>IF(ISBLANK(Input!D62),"",Input!D62)</f>
        <v/>
      </c>
      <c r="C56" s="419" t="str">
        <f>IF(ISBLANK(Input!F62),"",Input!F62)</f>
        <v/>
      </c>
      <c r="D56" s="441"/>
    </row>
    <row r="57" spans="1:4" x14ac:dyDescent="0.2">
      <c r="A57" s="441">
        <v>56</v>
      </c>
      <c r="B57" s="441" t="str">
        <f>IF(ISBLANK(Input!D63),"",Input!D63)</f>
        <v/>
      </c>
      <c r="C57" s="419" t="str">
        <f>IF(ISBLANK(Input!F63),"",Input!F63)</f>
        <v/>
      </c>
      <c r="D57" s="441"/>
    </row>
    <row r="58" spans="1:4" x14ac:dyDescent="0.2">
      <c r="A58" s="441">
        <v>57</v>
      </c>
      <c r="B58" s="441" t="str">
        <f>IF(ISBLANK(Input!D64),"",Input!D64)</f>
        <v/>
      </c>
      <c r="C58" s="419" t="str">
        <f>IF(ISBLANK(Input!F64),"",Input!F64)</f>
        <v/>
      </c>
      <c r="D58" s="441"/>
    </row>
    <row r="59" spans="1:4" x14ac:dyDescent="0.2">
      <c r="A59" s="441">
        <v>58</v>
      </c>
      <c r="B59" s="441" t="str">
        <f>IF(ISBLANK(Input!D65),"",Input!D65)</f>
        <v/>
      </c>
      <c r="C59" s="419" t="str">
        <f>IF(ISBLANK(Input!F65),"",Input!F65)</f>
        <v/>
      </c>
      <c r="D59" s="441"/>
    </row>
    <row r="60" spans="1:4" x14ac:dyDescent="0.2">
      <c r="A60" s="441">
        <v>59</v>
      </c>
      <c r="B60" s="441" t="str">
        <f>IF(ISBLANK(Input!D66),"",Input!D66)</f>
        <v/>
      </c>
      <c r="C60" s="419" t="str">
        <f>IF(ISBLANK(Input!F66),"",Input!F66)</f>
        <v/>
      </c>
      <c r="D60" s="441"/>
    </row>
    <row r="61" spans="1:4" x14ac:dyDescent="0.2">
      <c r="A61" s="441">
        <v>60</v>
      </c>
      <c r="B61" s="441" t="str">
        <f>IF(ISBLANK(Input!D67),"",Input!D67)</f>
        <v/>
      </c>
      <c r="C61" s="419" t="str">
        <f>IF(ISBLANK(Input!F67),"",Input!F67)</f>
        <v/>
      </c>
      <c r="D61" s="441"/>
    </row>
  </sheetData>
  <sheetProtection algorithmName="SHA-512" hashValue="hV96WQY+Cp3xks16OQ7FCJL/RPVtlAolgkFuAKMJbf63rC5PREP7GOvoidSNWy04QmQJbdauxeD8Hwe+Q2JS4w==" saltValue="Kb5ejdDCCYac5ozjhDGiSQ==" spinCount="100000"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B14"/>
  <sheetViews>
    <sheetView showGridLines="0" workbookViewId="0">
      <selection activeCell="H23" sqref="H23"/>
    </sheetView>
  </sheetViews>
  <sheetFormatPr defaultColWidth="9.140625" defaultRowHeight="15" x14ac:dyDescent="0.2"/>
  <cols>
    <col min="1" max="1" width="9.85546875" style="30" customWidth="1"/>
    <col min="2" max="16384" width="9.140625" style="31"/>
  </cols>
  <sheetData>
    <row r="1" spans="1:2" x14ac:dyDescent="0.2">
      <c r="A1" s="32" t="s">
        <v>147</v>
      </c>
      <c r="B1" s="32" t="s">
        <v>148</v>
      </c>
    </row>
    <row r="2" spans="1:2" x14ac:dyDescent="0.2">
      <c r="A2" s="30">
        <v>0</v>
      </c>
      <c r="B2" s="30">
        <v>5</v>
      </c>
    </row>
    <row r="3" spans="1:2" x14ac:dyDescent="0.2">
      <c r="A3" s="30">
        <v>59.5</v>
      </c>
      <c r="B3" s="30">
        <v>3</v>
      </c>
    </row>
    <row r="4" spans="1:2" x14ac:dyDescent="0.2">
      <c r="A4" s="30">
        <v>65</v>
      </c>
      <c r="B4" s="30">
        <v>2.75</v>
      </c>
    </row>
    <row r="5" spans="1:2" x14ac:dyDescent="0.2">
      <c r="A5" s="30">
        <v>70.5</v>
      </c>
      <c r="B5" s="30">
        <v>2.5</v>
      </c>
    </row>
    <row r="6" spans="1:2" x14ac:dyDescent="0.2">
      <c r="A6" s="30">
        <v>76</v>
      </c>
      <c r="B6" s="30">
        <v>2.25</v>
      </c>
    </row>
    <row r="7" spans="1:2" x14ac:dyDescent="0.2">
      <c r="A7" s="30">
        <v>81.5</v>
      </c>
      <c r="B7" s="30">
        <v>2</v>
      </c>
    </row>
    <row r="8" spans="1:2" x14ac:dyDescent="0.2">
      <c r="A8" s="30">
        <v>86.5</v>
      </c>
      <c r="B8" s="30">
        <v>1.75</v>
      </c>
    </row>
    <row r="9" spans="1:2" x14ac:dyDescent="0.2">
      <c r="A9" s="30">
        <v>91.5</v>
      </c>
      <c r="B9" s="30">
        <v>1.5</v>
      </c>
    </row>
    <row r="10" spans="1:2" x14ac:dyDescent="0.2">
      <c r="A10" s="30">
        <v>94.5</v>
      </c>
      <c r="B10" s="30">
        <v>1.25</v>
      </c>
    </row>
    <row r="11" spans="1:2" x14ac:dyDescent="0.2">
      <c r="A11" s="30">
        <v>97.5</v>
      </c>
      <c r="B11" s="30">
        <v>1</v>
      </c>
    </row>
    <row r="12" spans="1:2" x14ac:dyDescent="0.2">
      <c r="A12" s="30" t="s">
        <v>149</v>
      </c>
      <c r="B12" s="30" t="s">
        <v>117</v>
      </c>
    </row>
    <row r="13" spans="1:2" x14ac:dyDescent="0.2">
      <c r="A13" s="30" t="s">
        <v>150</v>
      </c>
      <c r="B13" s="30" t="s">
        <v>116</v>
      </c>
    </row>
    <row r="14" spans="1:2" x14ac:dyDescent="0.2">
      <c r="A14" s="30" t="s">
        <v>151</v>
      </c>
      <c r="B14" s="30" t="s">
        <v>149</v>
      </c>
    </row>
  </sheetData>
  <sheetProtection algorithmName="SHA-512" hashValue="AANTVF96UaRYdpPBqDm/u3UBFIuRJ8m58iSiOzuDbFKttWgy2VFo7FjLLoT7osHJrshvww1D8aoXYg/XMRQCBw==" saltValue="Slj8hWOPGoCbjO8wxivyIw==" spinCount="100000" sheet="1" objects="1" scenarios="1"/>
  <phoneticPr fontId="4"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0BEDA-0C1C-43F9-9D09-9D40180F17F6}">
  <dimension ref="A1:H64"/>
  <sheetViews>
    <sheetView zoomScaleNormal="100" workbookViewId="0"/>
  </sheetViews>
  <sheetFormatPr defaultColWidth="0" defaultRowHeight="15.75" zeroHeight="1" x14ac:dyDescent="0.2"/>
  <cols>
    <col min="1" max="1" width="5.7109375" style="436" customWidth="1"/>
    <col min="2" max="2" width="8.7109375" style="436" customWidth="1"/>
    <col min="3" max="3" width="15.7109375" style="436" customWidth="1"/>
    <col min="4" max="4" width="35.7109375" style="436" customWidth="1"/>
    <col min="5" max="5" width="13.7109375" style="436" customWidth="1"/>
    <col min="6" max="7" width="50.7109375" style="436" customWidth="1"/>
    <col min="8" max="8" width="5.7109375" style="436" customWidth="1"/>
    <col min="9" max="16384" width="9.140625" style="436" hidden="1"/>
  </cols>
  <sheetData>
    <row r="1" spans="1:8" ht="69.95" customHeight="1" x14ac:dyDescent="0.2">
      <c r="A1" s="439"/>
      <c r="B1" s="726" t="s">
        <v>152</v>
      </c>
      <c r="C1" s="726"/>
      <c r="D1" s="726"/>
      <c r="E1" s="726"/>
      <c r="F1" s="726"/>
      <c r="G1" s="726"/>
      <c r="H1" s="439"/>
    </row>
    <row r="2" spans="1:8" ht="30" customHeight="1" x14ac:dyDescent="0.2">
      <c r="A2" s="439"/>
      <c r="B2" s="440" t="s">
        <v>146</v>
      </c>
      <c r="C2" s="440" t="s">
        <v>106</v>
      </c>
      <c r="D2" s="440" t="s">
        <v>107</v>
      </c>
      <c r="E2" s="440" t="s">
        <v>153</v>
      </c>
      <c r="F2" s="440" t="s">
        <v>154</v>
      </c>
      <c r="G2" s="440" t="s">
        <v>155</v>
      </c>
      <c r="H2" s="439"/>
    </row>
    <row r="3" spans="1:8" ht="17.100000000000001" customHeight="1" x14ac:dyDescent="0.2">
      <c r="A3" s="435"/>
      <c r="B3" s="437" cm="1">
        <f t="array" ref="B3">_xlfn.SEQUENCE(ROWS(_xlfn.ANCHORARRAY(C3)))</f>
        <v>1</v>
      </c>
      <c r="C3" s="437" t="str" cm="1">
        <f t="array" ref="C3">IFERROR(_xlfn._xlws.FILTER(_xlfn.HSTACK(Summary!$E$7:$E$66,Summary!$G$7:$G$66,Summary!$Q$7:$Q$66),Summary!$S$7:$S$66="Failed"),"")</f>
        <v/>
      </c>
      <c r="D3" s="437"/>
      <c r="E3" s="438"/>
      <c r="F3" s="434"/>
      <c r="G3" s="434"/>
      <c r="H3" s="435"/>
    </row>
    <row r="4" spans="1:8" ht="17.100000000000001" customHeight="1" x14ac:dyDescent="0.2">
      <c r="A4" s="435"/>
      <c r="B4" s="437"/>
      <c r="C4" s="437"/>
      <c r="D4" s="437"/>
      <c r="E4" s="438"/>
      <c r="F4" s="434"/>
      <c r="G4" s="434"/>
      <c r="H4" s="435"/>
    </row>
    <row r="5" spans="1:8" ht="17.100000000000001" customHeight="1" x14ac:dyDescent="0.2">
      <c r="A5" s="435"/>
      <c r="B5" s="437"/>
      <c r="C5" s="437"/>
      <c r="D5" s="437"/>
      <c r="E5" s="438"/>
      <c r="F5" s="434"/>
      <c r="G5" s="434"/>
      <c r="H5" s="435"/>
    </row>
    <row r="6" spans="1:8" ht="17.100000000000001" customHeight="1" x14ac:dyDescent="0.2">
      <c r="A6" s="435"/>
      <c r="B6" s="437"/>
      <c r="C6" s="437"/>
      <c r="D6" s="437"/>
      <c r="E6" s="438"/>
      <c r="F6" s="434"/>
      <c r="G6" s="434"/>
      <c r="H6" s="435"/>
    </row>
    <row r="7" spans="1:8" ht="17.100000000000001" customHeight="1" x14ac:dyDescent="0.2">
      <c r="A7" s="435"/>
      <c r="B7" s="437"/>
      <c r="C7" s="437"/>
      <c r="D7" s="437"/>
      <c r="E7" s="438"/>
      <c r="F7" s="434"/>
      <c r="G7" s="434"/>
      <c r="H7" s="435"/>
    </row>
    <row r="8" spans="1:8" ht="17.100000000000001" customHeight="1" x14ac:dyDescent="0.2">
      <c r="A8" s="435"/>
      <c r="B8" s="437"/>
      <c r="C8" s="437"/>
      <c r="D8" s="437"/>
      <c r="E8" s="438"/>
      <c r="F8" s="434"/>
      <c r="G8" s="434"/>
      <c r="H8" s="435"/>
    </row>
    <row r="9" spans="1:8" ht="17.100000000000001" customHeight="1" x14ac:dyDescent="0.2">
      <c r="A9" s="435"/>
      <c r="B9" s="437"/>
      <c r="C9" s="437"/>
      <c r="D9" s="437"/>
      <c r="E9" s="438"/>
      <c r="F9" s="434"/>
      <c r="G9" s="434"/>
      <c r="H9" s="435"/>
    </row>
    <row r="10" spans="1:8" ht="17.100000000000001" customHeight="1" x14ac:dyDescent="0.2">
      <c r="A10" s="435"/>
      <c r="B10" s="437"/>
      <c r="C10" s="437"/>
      <c r="D10" s="437"/>
      <c r="E10" s="438"/>
      <c r="F10" s="434"/>
      <c r="G10" s="434"/>
      <c r="H10" s="435"/>
    </row>
    <row r="11" spans="1:8" ht="17.100000000000001" customHeight="1" x14ac:dyDescent="0.2">
      <c r="A11" s="435"/>
      <c r="B11" s="437"/>
      <c r="C11" s="437"/>
      <c r="D11" s="437"/>
      <c r="E11" s="438"/>
      <c r="F11" s="434"/>
      <c r="G11" s="434"/>
      <c r="H11" s="435"/>
    </row>
    <row r="12" spans="1:8" ht="17.100000000000001" customHeight="1" x14ac:dyDescent="0.2">
      <c r="A12" s="435"/>
      <c r="B12" s="437"/>
      <c r="C12" s="437"/>
      <c r="D12" s="437"/>
      <c r="E12" s="438"/>
      <c r="F12" s="434"/>
      <c r="G12" s="434"/>
      <c r="H12" s="435"/>
    </row>
    <row r="13" spans="1:8" ht="17.100000000000001" customHeight="1" x14ac:dyDescent="0.2">
      <c r="A13" s="435"/>
      <c r="B13" s="437"/>
      <c r="C13" s="437"/>
      <c r="D13" s="437"/>
      <c r="E13" s="438"/>
      <c r="F13" s="434"/>
      <c r="G13" s="434"/>
      <c r="H13" s="435"/>
    </row>
    <row r="14" spans="1:8" ht="17.100000000000001" customHeight="1" x14ac:dyDescent="0.2">
      <c r="A14" s="435"/>
      <c r="B14" s="437"/>
      <c r="C14" s="437"/>
      <c r="D14" s="437"/>
      <c r="E14" s="438"/>
      <c r="F14" s="434"/>
      <c r="G14" s="434"/>
      <c r="H14" s="435"/>
    </row>
    <row r="15" spans="1:8" ht="17.100000000000001" customHeight="1" x14ac:dyDescent="0.2">
      <c r="A15" s="435"/>
      <c r="B15" s="437"/>
      <c r="C15" s="437"/>
      <c r="D15" s="437"/>
      <c r="E15" s="438"/>
      <c r="F15" s="434"/>
      <c r="G15" s="434"/>
      <c r="H15" s="435"/>
    </row>
    <row r="16" spans="1:8" ht="17.100000000000001" customHeight="1" x14ac:dyDescent="0.2">
      <c r="A16" s="435"/>
      <c r="B16" s="437"/>
      <c r="C16" s="437"/>
      <c r="D16" s="437"/>
      <c r="E16" s="438"/>
      <c r="F16" s="434"/>
      <c r="G16" s="434"/>
      <c r="H16" s="435"/>
    </row>
    <row r="17" spans="1:8" ht="17.100000000000001" customHeight="1" x14ac:dyDescent="0.2">
      <c r="A17" s="435"/>
      <c r="B17" s="437"/>
      <c r="C17" s="437"/>
      <c r="D17" s="437"/>
      <c r="E17" s="438"/>
      <c r="F17" s="434"/>
      <c r="G17" s="434"/>
      <c r="H17" s="435"/>
    </row>
    <row r="18" spans="1:8" ht="17.100000000000001" customHeight="1" x14ac:dyDescent="0.2">
      <c r="A18" s="435"/>
      <c r="B18" s="437"/>
      <c r="C18" s="437"/>
      <c r="D18" s="437"/>
      <c r="E18" s="438"/>
      <c r="F18" s="434"/>
      <c r="G18" s="434"/>
      <c r="H18" s="435"/>
    </row>
    <row r="19" spans="1:8" ht="17.100000000000001" customHeight="1" x14ac:dyDescent="0.2">
      <c r="A19" s="435"/>
      <c r="B19" s="437"/>
      <c r="C19" s="437"/>
      <c r="D19" s="437"/>
      <c r="E19" s="438"/>
      <c r="F19" s="434"/>
      <c r="G19" s="434"/>
      <c r="H19" s="435"/>
    </row>
    <row r="20" spans="1:8" ht="17.100000000000001" customHeight="1" x14ac:dyDescent="0.2">
      <c r="A20" s="435"/>
      <c r="B20" s="437"/>
      <c r="C20" s="437"/>
      <c r="D20" s="437"/>
      <c r="E20" s="438"/>
      <c r="F20" s="434"/>
      <c r="G20" s="434"/>
      <c r="H20" s="435"/>
    </row>
    <row r="21" spans="1:8" ht="17.100000000000001" customHeight="1" x14ac:dyDescent="0.2">
      <c r="A21" s="435"/>
      <c r="B21" s="437"/>
      <c r="C21" s="437"/>
      <c r="D21" s="437"/>
      <c r="E21" s="438"/>
      <c r="F21" s="434"/>
      <c r="G21" s="434"/>
      <c r="H21" s="435"/>
    </row>
    <row r="22" spans="1:8" ht="17.100000000000001" customHeight="1" x14ac:dyDescent="0.2">
      <c r="A22" s="435"/>
      <c r="B22" s="437"/>
      <c r="C22" s="437"/>
      <c r="D22" s="437"/>
      <c r="E22" s="438"/>
      <c r="F22" s="434"/>
      <c r="G22" s="434"/>
      <c r="H22" s="435"/>
    </row>
    <row r="23" spans="1:8" ht="17.100000000000001" customHeight="1" x14ac:dyDescent="0.2">
      <c r="A23" s="435"/>
      <c r="B23" s="437"/>
      <c r="C23" s="437"/>
      <c r="D23" s="437"/>
      <c r="E23" s="438"/>
      <c r="F23" s="434"/>
      <c r="G23" s="434"/>
      <c r="H23" s="435"/>
    </row>
    <row r="24" spans="1:8" ht="17.100000000000001" customHeight="1" x14ac:dyDescent="0.2">
      <c r="A24" s="435"/>
      <c r="B24" s="437"/>
      <c r="C24" s="437"/>
      <c r="D24" s="437"/>
      <c r="E24" s="438"/>
      <c r="F24" s="434"/>
      <c r="G24" s="434"/>
      <c r="H24" s="435"/>
    </row>
    <row r="25" spans="1:8" ht="17.100000000000001" customHeight="1" x14ac:dyDescent="0.2">
      <c r="A25" s="435"/>
      <c r="B25" s="437"/>
      <c r="C25" s="437"/>
      <c r="D25" s="437"/>
      <c r="E25" s="438"/>
      <c r="F25" s="434"/>
      <c r="G25" s="434"/>
      <c r="H25" s="435"/>
    </row>
    <row r="26" spans="1:8" ht="17.100000000000001" customHeight="1" x14ac:dyDescent="0.2">
      <c r="A26" s="435"/>
      <c r="B26" s="437"/>
      <c r="C26" s="437"/>
      <c r="D26" s="437"/>
      <c r="E26" s="438"/>
      <c r="F26" s="434"/>
      <c r="G26" s="434"/>
      <c r="H26" s="435"/>
    </row>
    <row r="27" spans="1:8" ht="17.100000000000001" customHeight="1" x14ac:dyDescent="0.2">
      <c r="A27" s="435"/>
      <c r="B27" s="437"/>
      <c r="C27" s="437"/>
      <c r="D27" s="437"/>
      <c r="E27" s="438"/>
      <c r="F27" s="434"/>
      <c r="G27" s="434"/>
      <c r="H27" s="435"/>
    </row>
    <row r="28" spans="1:8" ht="17.100000000000001" customHeight="1" x14ac:dyDescent="0.2">
      <c r="A28" s="435"/>
      <c r="B28" s="437"/>
      <c r="C28" s="437"/>
      <c r="D28" s="437"/>
      <c r="E28" s="438"/>
      <c r="F28" s="434"/>
      <c r="G28" s="434"/>
      <c r="H28" s="435"/>
    </row>
    <row r="29" spans="1:8" ht="17.100000000000001" customHeight="1" x14ac:dyDescent="0.2">
      <c r="A29" s="435"/>
      <c r="B29" s="437"/>
      <c r="C29" s="437"/>
      <c r="D29" s="437"/>
      <c r="E29" s="438"/>
      <c r="F29" s="434"/>
      <c r="G29" s="434"/>
      <c r="H29" s="435"/>
    </row>
    <row r="30" spans="1:8" ht="17.100000000000001" customHeight="1" x14ac:dyDescent="0.2">
      <c r="A30" s="435"/>
      <c r="B30" s="437"/>
      <c r="C30" s="437"/>
      <c r="D30" s="437"/>
      <c r="E30" s="438"/>
      <c r="F30" s="434"/>
      <c r="G30" s="434"/>
      <c r="H30" s="435"/>
    </row>
    <row r="31" spans="1:8" ht="17.100000000000001" customHeight="1" x14ac:dyDescent="0.2">
      <c r="A31" s="435"/>
      <c r="B31" s="437"/>
      <c r="C31" s="437"/>
      <c r="D31" s="437"/>
      <c r="E31" s="438"/>
      <c r="F31" s="434"/>
      <c r="G31" s="434"/>
      <c r="H31" s="435"/>
    </row>
    <row r="32" spans="1:8" ht="17.100000000000001" customHeight="1" x14ac:dyDescent="0.2">
      <c r="A32" s="435"/>
      <c r="B32" s="437"/>
      <c r="C32" s="437"/>
      <c r="D32" s="437"/>
      <c r="E32" s="438"/>
      <c r="F32" s="434"/>
      <c r="G32" s="434"/>
      <c r="H32" s="435"/>
    </row>
    <row r="33" spans="1:8" ht="17.100000000000001" customHeight="1" x14ac:dyDescent="0.2">
      <c r="A33" s="435"/>
      <c r="B33" s="437"/>
      <c r="C33" s="437"/>
      <c r="D33" s="437"/>
      <c r="E33" s="438"/>
      <c r="F33" s="434"/>
      <c r="G33" s="434"/>
      <c r="H33" s="435"/>
    </row>
    <row r="34" spans="1:8" ht="17.100000000000001" customHeight="1" x14ac:dyDescent="0.2">
      <c r="A34" s="435"/>
      <c r="B34" s="437"/>
      <c r="C34" s="437"/>
      <c r="D34" s="437"/>
      <c r="E34" s="438"/>
      <c r="F34" s="434"/>
      <c r="G34" s="434"/>
      <c r="H34" s="435"/>
    </row>
    <row r="35" spans="1:8" ht="17.100000000000001" customHeight="1" x14ac:dyDescent="0.2">
      <c r="A35" s="435"/>
      <c r="B35" s="437"/>
      <c r="C35" s="437"/>
      <c r="D35" s="437"/>
      <c r="E35" s="438"/>
      <c r="F35" s="434"/>
      <c r="G35" s="434"/>
      <c r="H35" s="435"/>
    </row>
    <row r="36" spans="1:8" ht="17.100000000000001" customHeight="1" x14ac:dyDescent="0.2">
      <c r="A36" s="435"/>
      <c r="B36" s="437"/>
      <c r="C36" s="437"/>
      <c r="D36" s="437"/>
      <c r="E36" s="438"/>
      <c r="F36" s="434"/>
      <c r="G36" s="434"/>
      <c r="H36" s="435"/>
    </row>
    <row r="37" spans="1:8" ht="17.100000000000001" customHeight="1" x14ac:dyDescent="0.2">
      <c r="A37" s="435"/>
      <c r="B37" s="437"/>
      <c r="C37" s="437"/>
      <c r="D37" s="437"/>
      <c r="E37" s="438"/>
      <c r="F37" s="434"/>
      <c r="G37" s="434"/>
      <c r="H37" s="435"/>
    </row>
    <row r="38" spans="1:8" ht="17.100000000000001" customHeight="1" x14ac:dyDescent="0.2">
      <c r="A38" s="435"/>
      <c r="B38" s="437"/>
      <c r="C38" s="437"/>
      <c r="D38" s="437"/>
      <c r="E38" s="438"/>
      <c r="F38" s="434"/>
      <c r="G38" s="434"/>
      <c r="H38" s="435"/>
    </row>
    <row r="39" spans="1:8" ht="17.100000000000001" customHeight="1" x14ac:dyDescent="0.2">
      <c r="A39" s="435"/>
      <c r="B39" s="437"/>
      <c r="C39" s="437"/>
      <c r="D39" s="437"/>
      <c r="E39" s="438"/>
      <c r="F39" s="434"/>
      <c r="G39" s="434"/>
      <c r="H39" s="435"/>
    </row>
    <row r="40" spans="1:8" ht="17.100000000000001" customHeight="1" x14ac:dyDescent="0.2">
      <c r="A40" s="435"/>
      <c r="B40" s="437"/>
      <c r="C40" s="437"/>
      <c r="D40" s="437"/>
      <c r="E40" s="438"/>
      <c r="F40" s="434"/>
      <c r="G40" s="434"/>
      <c r="H40" s="435"/>
    </row>
    <row r="41" spans="1:8" ht="17.100000000000001" customHeight="1" x14ac:dyDescent="0.2">
      <c r="A41" s="435"/>
      <c r="B41" s="437"/>
      <c r="C41" s="437"/>
      <c r="D41" s="437"/>
      <c r="E41" s="438"/>
      <c r="F41" s="434"/>
      <c r="G41" s="434"/>
      <c r="H41" s="435"/>
    </row>
    <row r="42" spans="1:8" ht="17.100000000000001" customHeight="1" x14ac:dyDescent="0.2">
      <c r="A42" s="435"/>
      <c r="B42" s="437"/>
      <c r="C42" s="437"/>
      <c r="D42" s="437"/>
      <c r="E42" s="438"/>
      <c r="F42" s="434"/>
      <c r="G42" s="434"/>
      <c r="H42" s="435"/>
    </row>
    <row r="43" spans="1:8" ht="17.100000000000001" customHeight="1" x14ac:dyDescent="0.2">
      <c r="A43" s="435"/>
      <c r="B43" s="437"/>
      <c r="C43" s="437"/>
      <c r="D43" s="437"/>
      <c r="E43" s="438"/>
      <c r="F43" s="434"/>
      <c r="G43" s="434"/>
      <c r="H43" s="435"/>
    </row>
    <row r="44" spans="1:8" ht="17.100000000000001" customHeight="1" x14ac:dyDescent="0.2">
      <c r="A44" s="435"/>
      <c r="B44" s="437"/>
      <c r="C44" s="437"/>
      <c r="D44" s="437"/>
      <c r="E44" s="438"/>
      <c r="F44" s="434"/>
      <c r="G44" s="434"/>
      <c r="H44" s="435"/>
    </row>
    <row r="45" spans="1:8" ht="17.100000000000001" customHeight="1" x14ac:dyDescent="0.2">
      <c r="A45" s="435"/>
      <c r="B45" s="437"/>
      <c r="C45" s="437"/>
      <c r="D45" s="437"/>
      <c r="E45" s="438"/>
      <c r="F45" s="434"/>
      <c r="G45" s="434"/>
      <c r="H45" s="435"/>
    </row>
    <row r="46" spans="1:8" ht="17.100000000000001" customHeight="1" x14ac:dyDescent="0.2">
      <c r="A46" s="435"/>
      <c r="B46" s="437"/>
      <c r="C46" s="437"/>
      <c r="D46" s="437"/>
      <c r="E46" s="438"/>
      <c r="F46" s="434"/>
      <c r="G46" s="434"/>
      <c r="H46" s="435"/>
    </row>
    <row r="47" spans="1:8" ht="17.100000000000001" customHeight="1" x14ac:dyDescent="0.2">
      <c r="A47" s="435"/>
      <c r="B47" s="437"/>
      <c r="C47" s="437"/>
      <c r="D47" s="437"/>
      <c r="E47" s="438"/>
      <c r="F47" s="434"/>
      <c r="G47" s="434"/>
      <c r="H47" s="435"/>
    </row>
    <row r="48" spans="1:8" ht="17.100000000000001" customHeight="1" x14ac:dyDescent="0.2">
      <c r="A48" s="435"/>
      <c r="B48" s="437"/>
      <c r="C48" s="437"/>
      <c r="D48" s="437"/>
      <c r="E48" s="438"/>
      <c r="F48" s="434"/>
      <c r="G48" s="434"/>
      <c r="H48" s="435"/>
    </row>
    <row r="49" spans="1:8" ht="17.100000000000001" customHeight="1" x14ac:dyDescent="0.2">
      <c r="A49" s="435"/>
      <c r="B49" s="437"/>
      <c r="C49" s="437"/>
      <c r="D49" s="437"/>
      <c r="E49" s="438"/>
      <c r="F49" s="434"/>
      <c r="G49" s="434"/>
      <c r="H49" s="435"/>
    </row>
    <row r="50" spans="1:8" ht="17.100000000000001" customHeight="1" x14ac:dyDescent="0.2">
      <c r="A50" s="435"/>
      <c r="B50" s="437"/>
      <c r="C50" s="437"/>
      <c r="D50" s="437"/>
      <c r="E50" s="438"/>
      <c r="F50" s="434"/>
      <c r="G50" s="434"/>
      <c r="H50" s="435"/>
    </row>
    <row r="51" spans="1:8" ht="17.100000000000001" customHeight="1" x14ac:dyDescent="0.2">
      <c r="A51" s="435"/>
      <c r="B51" s="437"/>
      <c r="C51" s="437"/>
      <c r="D51" s="437"/>
      <c r="E51" s="438"/>
      <c r="F51" s="434"/>
      <c r="G51" s="434"/>
      <c r="H51" s="435"/>
    </row>
    <row r="52" spans="1:8" ht="17.100000000000001" customHeight="1" x14ac:dyDescent="0.2">
      <c r="A52" s="435"/>
      <c r="B52" s="437"/>
      <c r="C52" s="437"/>
      <c r="D52" s="437"/>
      <c r="E52" s="438"/>
      <c r="F52" s="434"/>
      <c r="G52" s="434"/>
      <c r="H52" s="435"/>
    </row>
    <row r="53" spans="1:8" ht="17.100000000000001" customHeight="1" x14ac:dyDescent="0.2">
      <c r="A53" s="435"/>
      <c r="B53" s="437"/>
      <c r="C53" s="437"/>
      <c r="D53" s="437"/>
      <c r="E53" s="438"/>
      <c r="F53" s="434"/>
      <c r="G53" s="434"/>
      <c r="H53" s="435"/>
    </row>
    <row r="54" spans="1:8" ht="17.100000000000001" customHeight="1" x14ac:dyDescent="0.2">
      <c r="A54" s="435"/>
      <c r="B54" s="437"/>
      <c r="C54" s="437"/>
      <c r="D54" s="437"/>
      <c r="E54" s="438"/>
      <c r="F54" s="434"/>
      <c r="G54" s="434"/>
      <c r="H54" s="435"/>
    </row>
    <row r="55" spans="1:8" ht="17.100000000000001" customHeight="1" x14ac:dyDescent="0.2">
      <c r="A55" s="435"/>
      <c r="B55" s="437"/>
      <c r="C55" s="437"/>
      <c r="D55" s="437"/>
      <c r="E55" s="438"/>
      <c r="F55" s="434"/>
      <c r="G55" s="434"/>
      <c r="H55" s="435"/>
    </row>
    <row r="56" spans="1:8" ht="17.100000000000001" customHeight="1" x14ac:dyDescent="0.2">
      <c r="A56" s="435"/>
      <c r="B56" s="437"/>
      <c r="C56" s="437"/>
      <c r="D56" s="437"/>
      <c r="E56" s="438"/>
      <c r="F56" s="434"/>
      <c r="G56" s="434"/>
      <c r="H56" s="435"/>
    </row>
    <row r="57" spans="1:8" ht="17.100000000000001" customHeight="1" x14ac:dyDescent="0.2">
      <c r="A57" s="435"/>
      <c r="B57" s="437"/>
      <c r="C57" s="437"/>
      <c r="D57" s="437"/>
      <c r="E57" s="438"/>
      <c r="F57" s="434"/>
      <c r="G57" s="434"/>
      <c r="H57" s="435"/>
    </row>
    <row r="58" spans="1:8" ht="17.100000000000001" customHeight="1" x14ac:dyDescent="0.2">
      <c r="A58" s="435"/>
      <c r="B58" s="437"/>
      <c r="C58" s="437"/>
      <c r="D58" s="437"/>
      <c r="E58" s="438"/>
      <c r="F58" s="434"/>
      <c r="G58" s="434"/>
      <c r="H58" s="435"/>
    </row>
    <row r="59" spans="1:8" ht="17.100000000000001" customHeight="1" x14ac:dyDescent="0.2">
      <c r="A59" s="435"/>
      <c r="B59" s="437"/>
      <c r="C59" s="437"/>
      <c r="D59" s="437"/>
      <c r="E59" s="438"/>
      <c r="F59" s="434"/>
      <c r="G59" s="434"/>
      <c r="H59" s="435"/>
    </row>
    <row r="60" spans="1:8" ht="17.100000000000001" customHeight="1" x14ac:dyDescent="0.2">
      <c r="A60" s="435"/>
      <c r="B60" s="437"/>
      <c r="C60" s="437"/>
      <c r="D60" s="437"/>
      <c r="E60" s="438"/>
      <c r="F60" s="434"/>
      <c r="G60" s="434"/>
      <c r="H60" s="435"/>
    </row>
    <row r="61" spans="1:8" ht="17.100000000000001" customHeight="1" x14ac:dyDescent="0.2">
      <c r="A61" s="435"/>
      <c r="B61" s="437"/>
      <c r="C61" s="437"/>
      <c r="D61" s="437"/>
      <c r="E61" s="438"/>
      <c r="F61" s="434"/>
      <c r="G61" s="434"/>
      <c r="H61" s="435"/>
    </row>
    <row r="62" spans="1:8" ht="17.100000000000001" customHeight="1" x14ac:dyDescent="0.2">
      <c r="A62" s="435"/>
      <c r="B62" s="437"/>
      <c r="C62" s="437"/>
      <c r="D62" s="437"/>
      <c r="E62" s="438"/>
      <c r="F62" s="434"/>
      <c r="G62" s="434"/>
      <c r="H62" s="435"/>
    </row>
    <row r="63" spans="1:8" s="435" customFormat="1" x14ac:dyDescent="0.2"/>
    <row r="64" spans="1:8" ht="20.100000000000001" customHeight="1" x14ac:dyDescent="0.2">
      <c r="A64" s="435"/>
      <c r="B64" s="435"/>
      <c r="C64" s="435"/>
      <c r="D64" s="435"/>
      <c r="E64" s="435"/>
      <c r="F64" s="435"/>
      <c r="G64" s="435"/>
      <c r="H64" s="435"/>
    </row>
  </sheetData>
  <sheetProtection algorithmName="SHA-512" hashValue="NfBCBH85lR+PDD58nc1QOL+12DNXOZ1Oq8qGSCG6+Bj2SG95ls7WQYlymTQsgp/pK67m6z3HMkS7h3kfj/enkw==" saltValue="VjyxZ1qScZcO1xE8kbdDvw==" spinCount="100000" sheet="1" objects="1" scenarios="1"/>
  <mergeCells count="1">
    <mergeCell ref="B1:G1"/>
  </mergeCells>
  <conditionalFormatting sqref="B3:G62">
    <cfRule type="expression" dxfId="0" priority="1">
      <formula>$B3&lt;&gt;""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10</vt:i4>
      </vt:variant>
    </vt:vector>
  </HeadingPairs>
  <TitlesOfParts>
    <vt:vector size="22" baseType="lpstr">
      <vt:lpstr>Instructions</vt:lpstr>
      <vt:lpstr>Settings</vt:lpstr>
      <vt:lpstr>Input</vt:lpstr>
      <vt:lpstr>PRELIMS</vt:lpstr>
      <vt:lpstr>MIDTERM</vt:lpstr>
      <vt:lpstr>PRE-FINALS</vt:lpstr>
      <vt:lpstr>FINALS</vt:lpstr>
      <vt:lpstr>Summary</vt:lpstr>
      <vt:lpstr>SGI</vt:lpstr>
      <vt:lpstr>Student Helper</vt:lpstr>
      <vt:lpstr>TRANSMUTATION</vt:lpstr>
      <vt:lpstr>LFS</vt:lpstr>
      <vt:lpstr>FINALS!Print_Area</vt:lpstr>
      <vt:lpstr>Input!Print_Area</vt:lpstr>
      <vt:lpstr>MIDTERM!Print_Area</vt:lpstr>
      <vt:lpstr>'PRE-FINALS'!Print_Area</vt:lpstr>
      <vt:lpstr>PRELIMS!Print_Area</vt:lpstr>
      <vt:lpstr>SGI!Print_Area</vt:lpstr>
      <vt:lpstr>Summary!Print_Area</vt:lpstr>
      <vt:lpstr>Input!Print_Titles</vt:lpstr>
      <vt:lpstr>StudentNames</vt:lpstr>
      <vt:lpstr>TRANSMUTATION</vt:lpstr>
    </vt:vector>
  </TitlesOfParts>
  <Manager/>
  <Company>San Sebastian College - Recolletos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June R. Francisco</dc:creator>
  <cp:keywords/>
  <dc:description/>
  <cp:lastModifiedBy>JOHN MARQ RAMOS</cp:lastModifiedBy>
  <cp:revision/>
  <dcterms:created xsi:type="dcterms:W3CDTF">2003-06-28T16:52:05Z</dcterms:created>
  <dcterms:modified xsi:type="dcterms:W3CDTF">2026-10-11T04:37:10Z</dcterms:modified>
  <cp:category/>
  <cp:contentStatus/>
</cp:coreProperties>
</file>